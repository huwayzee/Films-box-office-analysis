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sights" sheetId="2" state="visible" r:id="rId2"/>
    <sheet name="Segment Analysis" sheetId="3" state="visible" r:id="rId3"/>
    <sheet name="Data Quality" sheetId="4" state="visible" r:id="rId4"/>
    <sheet name="Cleaned Data" sheetId="5" state="visible" r:id="rId5"/>
  </sheets>
  <definedNames>
    <definedName name="_xlnm._FilterDatabase" localSheetId="4" hidden="1">'Cleaned Data'!$A$1:$Q$4847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s&quot;"/>
    <numFmt numFmtId="165" formatCode="#,##0;(#,##0)"/>
    <numFmt numFmtId="166" formatCode="0.00&quot;x&quot;"/>
    <numFmt numFmtId="167" formatCode="$#,##0,,&quot;M&quot;"/>
    <numFmt numFmtId="168" formatCode="$#,##0,,&quot;M&quot;;($#,##0,,&quot;M&quot;)"/>
    <numFmt numFmtId="169" formatCode="0.0%"/>
    <numFmt numFmtId="170" formatCode="$#,##0.0,,,&quot;B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i val="1"/>
      <color rgb="00595959"/>
    </font>
    <font>
      <name val="Arial"/>
      <color rgb="000000FF"/>
    </font>
    <font>
      <name val="Arial"/>
      <b val="1"/>
      <sz val="18"/>
    </font>
    <font>
      <name val="Arial"/>
      <b val="1"/>
      <color rgb="00595959"/>
    </font>
    <font>
      <name val="Arial"/>
      <b val="1"/>
      <color rgb="001F3864"/>
      <sz val="20"/>
    </font>
    <font>
      <name val="Arial"/>
      <b val="1"/>
      <sz val="1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9" fontId="8" fillId="0" borderId="0" pivotButton="0" quotePrefix="0" xfId="0"/>
    <xf numFmtId="166" fontId="8" fillId="0" borderId="0" pivotButton="0" quotePrefix="0" xfId="0"/>
    <xf numFmtId="170" fontId="8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168" fontId="2" fillId="0" borderId="1" pivotButton="0" quotePrefix="0" xfId="0"/>
    <xf numFmtId="164" fontId="2" fillId="0" borderId="1" applyAlignment="1" pivotButton="0" quotePrefix="0" xfId="0">
      <alignment horizontal="left"/>
    </xf>
    <xf numFmtId="0" fontId="2" fillId="0" borderId="0" pivotButton="0" quotePrefix="0" xfId="0"/>
    <xf numFmtId="3" fontId="2" fillId="0" borderId="0" pivotButton="0" quotePrefix="0" xfId="0"/>
    <xf numFmtId="3" fontId="5" fillId="0" borderId="0" pivotButton="0" quotePrefix="0" xfId="0"/>
    <xf numFmtId="169" fontId="2" fillId="0" borderId="0" pivotButton="0" quotePrefix="0" xfId="0"/>
    <xf numFmtId="0" fontId="1" fillId="2" borderId="0" applyAlignment="1" pivotButton="0" quotePrefix="0" xfId="0">
      <alignment vertical="center" wrapText="1"/>
    </xf>
    <xf numFmtId="165" fontId="2" fillId="0" borderId="0" pivotButton="0" quotePrefix="0" xfId="0"/>
    <xf numFmtId="166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Hit rate by budget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'Segment Analysis'!$A$5:$A$9</f>
            </numRef>
          </cat>
          <val>
            <numRef>
              <f>'Segment Analysis'!$C$5:$C$9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Hit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Hit rate by rating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'Segment Analysis'!$A$12:$A$15</f>
            </numRef>
          </cat>
          <val>
            <numRef>
              <f>'Segment Analysis'!$C$12:$C$15</f>
            </numRef>
          </val>
        </ser>
        <dLbls>
          <numFmt formatCode="0%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Hit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return by budget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'Segment Analysis'!$A$5:$A$9</f>
            </numRef>
          </cat>
          <val>
            <numRef>
              <f>'Segment Analysis'!$D$5:$D$9</f>
            </numRef>
          </val>
        </ser>
        <dLbls>
          <numFmt formatCode="0.00&quot;x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Return (x)</a:t>
                </a:r>
              </a:p>
            </rich>
          </tx>
        </title>
        <numFmt formatCode="0.00&quot;x&quot;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return by decade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3864"/>
            </a:solidFill>
            <a:ln>
              <a:prstDash val="solid"/>
            </a:ln>
          </spPr>
          <cat>
            <numRef>
              <f>'Segment Analysis'!$A$25:$A$28</f>
            </numRef>
          </cat>
          <val>
            <numRef>
              <f>'Segment Analysis'!$D$25:$D$28</f>
            </numRef>
          </val>
        </ser>
        <dLbls>
          <numFmt formatCode="0.00&quot;x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Return (x)</a:t>
                </a:r>
              </a:p>
            </rich>
          </tx>
        </title>
        <numFmt formatCode="0.00&quot;x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Analyst</author>
  </authors>
  <commentList>
    <comment ref="I1" authorId="0" shapeId="0">
      <text>
        <t>Budgets for non-US films are in local currency (e.g. KRW, JPY), so only US films are used in the analysis.</t>
      </text>
    </comment>
    <comment ref="J1" authorId="0" shapeId="0">
      <text>
        <t>Yes = gross was missing in the source and filled with the median 25,529,689.5. These rows are excluded from revenue analysis.</t>
      </text>
    </comment>
    <comment ref="K1" authorId="0" shapeId="0">
      <text>
        <t>Yes = US film, released 1980 or later, with a real (not imputed) gross.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468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22</row>
      <rowOff>0</rowOff>
    </from>
    <ext cx="468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Films Box Office Dashboard</t>
        </is>
      </c>
    </row>
    <row r="2">
      <c r="A2" s="2" t="inlineStr">
        <is>
          <t>US films from 1980 to 2016 with real gross values. Hit = box office gross at or above production budget (marketing costs not included).</t>
        </is>
      </c>
    </row>
    <row r="4">
      <c r="A4" s="3" t="inlineStr">
        <is>
          <t>Films analysed</t>
        </is>
      </c>
      <c r="C4" s="3" t="inlineStr">
        <is>
          <t>Hit rate</t>
        </is>
      </c>
      <c r="E4" s="3" t="inlineStr">
        <is>
          <t>Median return</t>
        </is>
      </c>
      <c r="G4" s="3" t="inlineStr">
        <is>
          <t>Total profit</t>
        </is>
      </c>
    </row>
    <row r="5">
      <c r="A5" s="4">
        <f>COUNTIF('Cleaned Data'!$K$2:$K$4847,"Yes")</f>
        <v/>
      </c>
      <c r="C5" s="5">
        <f>AVERAGEIFS('Cleaned Data'!$N$2:$N$4847,'Cleaned Data'!$K$2:$K$4847,"Yes")</f>
        <v/>
      </c>
      <c r="E5" s="6">
        <f t="array" ref="E5">MEDIAN(IF('Cleaned Data'!$K$2:$K$4847="Yes",'Cleaned Data'!$M$2:$M$4847))</f>
        <v/>
      </c>
      <c r="G5" s="7">
        <f>SUMIFS('Cleaned Data'!$L$2:$L$4847,'Cleaned Data'!$K$2:$K$4847,"Yes")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10" customWidth="1" min="3" max="3"/>
  </cols>
  <sheetData>
    <row r="1">
      <c r="B1" s="8" t="inlineStr">
        <is>
          <t>Films Box Office: Business &amp; Human Insights</t>
        </is>
      </c>
    </row>
    <row r="2">
      <c r="B2" s="2" t="inlineStr">
        <is>
          <t>Analysis set: 3,087 US films from 1980 to 2016 with real gross values. Hit = gross at or above budget. Supporting figures are in Segment Analysis.</t>
        </is>
      </c>
    </row>
    <row r="4">
      <c r="B4" s="9" t="inlineStr">
        <is>
          <t>KEY TAKEAWAYS</t>
        </is>
      </c>
      <c r="C4" s="10" t="n"/>
    </row>
    <row r="5" ht="45" customHeight="1">
      <c r="B5" s="11" t="inlineStr">
        <is>
          <t>Only about half of films earn back their budget</t>
        </is>
      </c>
      <c r="C5" s="12" t="inlineStr">
        <is>
          <t>Just 55% of films took in at least their budget at the box office, and the median film returned $1.14 per $1 spent. Before marketing and distribution costs, a typical release only just breaks even, so studios rely on a few big winners to cover the rest.</t>
        </is>
      </c>
    </row>
    <row r="6" ht="30" customHeight="1">
      <c r="B6" s="11" t="inlineStr">
        <is>
          <t>A few films earn most of the money</t>
        </is>
      </c>
      <c r="C6" s="12" t="inlineStr">
        <is>
          <t>The top 10% of films brought in about 41% of all box office takings. The business is driven by hits, so managing a slate as a portfolio matters more than any single title.</t>
        </is>
      </c>
    </row>
    <row r="7" ht="45" customHeight="1">
      <c r="B7" s="11" t="inlineStr">
        <is>
          <t>Smaller budgets give the best returns</t>
        </is>
      </c>
      <c r="C7" s="12" t="inlineStr">
        <is>
          <t>Films under $5M had the highest median return (1.71x) and hit rate (59%). Films over $50M returned about 1.0x. Big budgets buy absolute revenue but not better odds. When they fail, the losses are huge: John Carter, Battleship, 47 Ronin and Jack the Giant Slayer each lost more than $130M.</t>
        </is>
      </c>
    </row>
    <row r="8" ht="45" customHeight="1">
      <c r="B8" s="11" t="inlineStr">
        <is>
          <t>Family-friendly ratings do better</t>
        </is>
      </c>
      <c r="C8" s="12" t="inlineStr">
        <is>
          <t>G and PG films hit 63-66% of the time, compared with 53-54% for PG-13 and R. A wider audience (families who buy multiple tickets, plus repeat viewing) turns into steadier returns. R is the most common rating (44% of the set) but the least reliable.</t>
        </is>
      </c>
    </row>
    <row r="9" ht="45" customHeight="1">
      <c r="B9" s="11" t="inlineStr">
        <is>
          <t>Longer films do better, partly because of what they are</t>
        </is>
      </c>
      <c r="C9" s="12" t="inlineStr">
        <is>
          <t>Films over 140 minutes had a 63% hit rate, compared with 52% for films under 90 minutes. Long films are usually prestige or franchise projects with strong source material, so length reflects confidence in the film rather than causing success.</t>
        </is>
      </c>
    </row>
    <row r="10" ht="45" customHeight="1">
      <c r="B10" s="11" t="inlineStr">
        <is>
          <t>Low-budget horror stands out</t>
        </is>
      </c>
      <c r="C10" s="12" t="inlineStr">
        <is>
          <t>Paranormal Activity ($15K budget, $108M gross) and The Blair Witch Project ($60K budget, $141M gross) are the biggest return outliers. Horror is cheap to make, and fans turn out reliably and spread the word, so it is a low-risk way to try new filmmakers and ideas.</t>
        </is>
      </c>
    </row>
    <row r="12">
      <c r="B12" s="9" t="inlineStr">
        <is>
          <t>HUMAN INSIGHTS (WHY AUDIENCES BEHAVE THIS WAY)</t>
        </is>
      </c>
      <c r="C12" s="10" t="n"/>
    </row>
    <row r="13" ht="30" customHeight="1">
      <c r="B13" s="11" t="inlineStr">
        <is>
          <t>Going to the cinema is a social decision</t>
        </is>
      </c>
      <c r="C13" s="12" t="inlineStr">
        <is>
          <t>G and PG films are chosen by groups, often parents with children. One "yes" sells several tickets, which explains their higher median gross despite similar budgets.</t>
        </is>
      </c>
    </row>
    <row r="14" ht="30" customHeight="1">
      <c r="B14" s="11" t="inlineStr">
        <is>
          <t>Novelty and fear spread by word of mouth</t>
        </is>
      </c>
      <c r="C14" s="12" t="inlineStr">
        <is>
          <t>The low-budget horror hits sold an experience ("you have to see this") rather than stars or spectacle. Audiences reward originality when the marketing makes the film feel like an event.</t>
        </is>
      </c>
    </row>
    <row r="15" ht="30" customHeight="1">
      <c r="B15" s="11" t="inlineStr">
        <is>
          <t>Spectacle alone does not win audiences</t>
        </is>
      </c>
      <c r="C15" s="12" t="inlineStr">
        <is>
          <t>Several $175M+ flops relied on effects and unfamiliar source material. Audiences pay for stories and characters they already care about, not the size of the budget.</t>
        </is>
      </c>
    </row>
    <row r="16" ht="45" customHeight="1">
      <c r="B16" s="11" t="inlineStr">
        <is>
          <t>Viewers are getting more selective</t>
        </is>
      </c>
      <c r="C16" s="12" t="inlineStr">
        <is>
          <t>Median returns fell from about 3x in the 1980s to about 1.0-1.1x in the 2000s and 2010s, while releases per year grew to more than 200. More choice (and later, streaming) spreads audience attention more thinly.</t>
        </is>
      </c>
    </row>
    <row r="18">
      <c r="B18" s="9" t="inlineStr">
        <is>
          <t>RECOMMENDATIONS</t>
        </is>
      </c>
      <c r="C18" s="10" t="n"/>
    </row>
    <row r="19" ht="30" customHeight="1">
      <c r="B19" s="11" t="inlineStr">
        <is>
          <t>1. Manage the slate as a portfolio</t>
        </is>
      </c>
      <c r="C19" s="12" t="inlineStr">
        <is>
          <t>Fund several micro- and low-budget titles (under $5M) for each tentpole. Each small film costs little if it fails and can return 100x or more if it catches on.</t>
        </is>
      </c>
    </row>
    <row r="20" ht="30" customHeight="1">
      <c r="B20" s="11" t="inlineStr">
        <is>
          <t>2. Set a higher bar for $100M+ projects</t>
        </is>
      </c>
      <c r="C20" s="12" t="inlineStr">
        <is>
          <t>Approve tentpoles only with proven IP, a family-friendly rating plan and international pre-sales. Their hit rate is no better than average and the losses are the largest.</t>
        </is>
      </c>
    </row>
    <row r="21" ht="30" customHeight="1">
      <c r="B21" s="11" t="inlineStr">
        <is>
          <t>3. Aim for PG or PG-13 where the story allows</t>
        </is>
      </c>
      <c r="C21" s="12" t="inlineStr">
        <is>
          <t>Moving a film from R to PG-13 widens its audience. Only target R when the genre (horror, adult drama) needs it and the budget is kept low.</t>
        </is>
      </c>
    </row>
    <row r="22" ht="30" customHeight="1">
      <c r="B22" s="11" t="inlineStr">
        <is>
          <t>4. Invest in genres that build word of mouth</t>
        </is>
      </c>
      <c r="C22" s="12" t="inlineStr">
        <is>
          <t>Horror and original concepts at low budgets give the best return for the risk. Spend on event-style marketing rather than production.</t>
        </is>
      </c>
    </row>
    <row r="24">
      <c r="B24" s="9" t="inlineStr">
        <is>
          <t>DATA CLEANING DONE</t>
        </is>
      </c>
      <c r="C24" s="10" t="n"/>
    </row>
    <row r="25" ht="30" customHeight="1">
      <c r="B25" s="11" t="inlineStr">
        <is>
          <t>Header row restored</t>
        </is>
      </c>
      <c r="C25" s="12" t="inlineStr">
        <is>
          <t>Row 1 held a garbled film record instead of column names. Proper headers were added and the record (Intolerance, 1916) was restored as a data row.</t>
        </is>
      </c>
    </row>
    <row r="26" ht="30" customHeight="1">
      <c r="B26" s="11" t="inlineStr">
        <is>
          <t>122 duplicates removed</t>
        </is>
      </c>
      <c r="C26" s="12" t="inlineStr">
        <is>
          <t>Rows repeating the same title and year were removed, keeping the first occurrence.</t>
        </is>
      </c>
    </row>
    <row r="27" ht="30" customHeight="1">
      <c r="B27" s="11" t="inlineStr">
        <is>
          <t>790 imputed gross values flagged</t>
        </is>
      </c>
      <c r="C27" s="12" t="inlineStr">
        <is>
          <t>Gross values filled with the median (25,529,689.5), plus 1 missing, are flagged in the Gross Imputed column and excluded from all revenue figures.</t>
        </is>
      </c>
    </row>
    <row r="28" ht="30" customHeight="1">
      <c r="B28" s="11" t="inlineStr">
        <is>
          <t>Text "nan" placeholders blanked</t>
        </is>
      </c>
      <c r="C28" s="12" t="inlineStr">
        <is>
          <t>Missing ratings, languages and countries stored as the text "nan" are now true blanks.</t>
        </is>
      </c>
    </row>
    <row r="29" ht="30" customHeight="1">
      <c r="B29" s="11" t="inlineStr">
        <is>
          <t>Analysis limited to US films from 1980</t>
        </is>
      </c>
      <c r="C29" s="12" t="inlineStr">
        <is>
          <t>Non-US budgets are in local currencies (The Host: 12.2B KRW), and pre-1980 films are too few to compare.</t>
        </is>
      </c>
    </row>
    <row r="30" ht="30" customHeight="1">
      <c r="B30" s="11" t="inlineStr">
        <is>
          <t>Known limitations</t>
        </is>
      </c>
      <c r="C30" s="12" t="inlineStr">
        <is>
          <t>Gross is box office only (no streaming, home video or marketing costs). The Polar Express gross ($0.67M) is a source error. Results show patterns, not causes.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14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Segment Analysis: US films from 1980, real gross values only</t>
        </is>
      </c>
    </row>
    <row r="2">
      <c r="A2" s="2" t="inlineStr">
        <is>
          <t>All figures are live formulas on Cleaned Data, filtered to In Analysis Set = Yes. Return = gross / budget. Hit = gross at or above budget. Median return is an array formula.</t>
        </is>
      </c>
    </row>
    <row r="4">
      <c r="A4" s="9" t="inlineStr">
        <is>
          <t>Budget tier</t>
        </is>
      </c>
      <c r="B4" s="9" t="inlineStr">
        <is>
          <t>Films</t>
        </is>
      </c>
      <c r="C4" s="9" t="inlineStr">
        <is>
          <t>Hit rate</t>
        </is>
      </c>
      <c r="D4" s="9" t="inlineStr">
        <is>
          <t>Median return</t>
        </is>
      </c>
      <c r="E4" s="9" t="inlineStr">
        <is>
          <t>Total budget</t>
        </is>
      </c>
      <c r="F4" s="9" t="inlineStr">
        <is>
          <t>Total gross</t>
        </is>
      </c>
      <c r="G4" s="9" t="inlineStr">
        <is>
          <t>Total profit</t>
        </is>
      </c>
    </row>
    <row r="5">
      <c r="A5" s="14" t="inlineStr">
        <is>
          <t>Under $5M</t>
        </is>
      </c>
      <c r="B5" s="15">
        <f>COUNTIFS('Cleaned Data'!$K$2:$K$4847,"Yes",'Cleaned Data'!$O$2:$O$4847,$A5)</f>
        <v/>
      </c>
      <c r="C5" s="16">
        <f>IFERROR(AVERAGEIFS('Cleaned Data'!$N$2:$N$4847,'Cleaned Data'!$K$2:$K$4847,"Yes",'Cleaned Data'!$O$2:$O$4847,$A5),0)</f>
        <v/>
      </c>
      <c r="D5" s="17">
        <f t="array" ref="D5">MEDIAN(IF(('Cleaned Data'!$K$2:$K$4847="Yes")*('Cleaned Data'!$O$2:$O$4847=$A5),'Cleaned Data'!$M$2:$M$4847))</f>
        <v/>
      </c>
      <c r="E5" s="18">
        <f>SUMIFS('Cleaned Data'!$I$2:$I$4847,'Cleaned Data'!$K$2:$K$4847,"Yes",'Cleaned Data'!$O$2:$O$4847,$A5)</f>
        <v/>
      </c>
      <c r="F5" s="18">
        <f>SUMIFS('Cleaned Data'!$H$2:$H$4847,'Cleaned Data'!$K$2:$K$4847,"Yes",'Cleaned Data'!$O$2:$O$4847,$A5)</f>
        <v/>
      </c>
      <c r="G5" s="19">
        <f>SUMIFS('Cleaned Data'!$L$2:$L$4847,'Cleaned Data'!$K$2:$K$4847,"Yes",'Cleaned Data'!$O$2:$O$4847,$A5)</f>
        <v/>
      </c>
    </row>
    <row r="6">
      <c r="A6" s="14" t="inlineStr">
        <is>
          <t>$5M-20M</t>
        </is>
      </c>
      <c r="B6" s="15">
        <f>COUNTIFS('Cleaned Data'!$K$2:$K$4847,"Yes",'Cleaned Data'!$O$2:$O$4847,$A6)</f>
        <v/>
      </c>
      <c r="C6" s="16">
        <f>IFERROR(AVERAGEIFS('Cleaned Data'!$N$2:$N$4847,'Cleaned Data'!$K$2:$K$4847,"Yes",'Cleaned Data'!$O$2:$O$4847,$A6),0)</f>
        <v/>
      </c>
      <c r="D6" s="17">
        <f t="array" ref="D6">MEDIAN(IF(('Cleaned Data'!$K$2:$K$4847="Yes")*('Cleaned Data'!$O$2:$O$4847=$A6),'Cleaned Data'!$M$2:$M$4847))</f>
        <v/>
      </c>
      <c r="E6" s="18">
        <f>SUMIFS('Cleaned Data'!$I$2:$I$4847,'Cleaned Data'!$K$2:$K$4847,"Yes",'Cleaned Data'!$O$2:$O$4847,$A6)</f>
        <v/>
      </c>
      <c r="F6" s="18">
        <f>SUMIFS('Cleaned Data'!$H$2:$H$4847,'Cleaned Data'!$K$2:$K$4847,"Yes",'Cleaned Data'!$O$2:$O$4847,$A6)</f>
        <v/>
      </c>
      <c r="G6" s="19">
        <f>SUMIFS('Cleaned Data'!$L$2:$L$4847,'Cleaned Data'!$K$2:$K$4847,"Yes",'Cleaned Data'!$O$2:$O$4847,$A6)</f>
        <v/>
      </c>
    </row>
    <row r="7">
      <c r="A7" s="14" t="inlineStr">
        <is>
          <t>$20M-50M</t>
        </is>
      </c>
      <c r="B7" s="15">
        <f>COUNTIFS('Cleaned Data'!$K$2:$K$4847,"Yes",'Cleaned Data'!$O$2:$O$4847,$A7)</f>
        <v/>
      </c>
      <c r="C7" s="16">
        <f>IFERROR(AVERAGEIFS('Cleaned Data'!$N$2:$N$4847,'Cleaned Data'!$K$2:$K$4847,"Yes",'Cleaned Data'!$O$2:$O$4847,$A7),0)</f>
        <v/>
      </c>
      <c r="D7" s="17">
        <f t="array" ref="D7">MEDIAN(IF(('Cleaned Data'!$K$2:$K$4847="Yes")*('Cleaned Data'!$O$2:$O$4847=$A7),'Cleaned Data'!$M$2:$M$4847))</f>
        <v/>
      </c>
      <c r="E7" s="18">
        <f>SUMIFS('Cleaned Data'!$I$2:$I$4847,'Cleaned Data'!$K$2:$K$4847,"Yes",'Cleaned Data'!$O$2:$O$4847,$A7)</f>
        <v/>
      </c>
      <c r="F7" s="18">
        <f>SUMIFS('Cleaned Data'!$H$2:$H$4847,'Cleaned Data'!$K$2:$K$4847,"Yes",'Cleaned Data'!$O$2:$O$4847,$A7)</f>
        <v/>
      </c>
      <c r="G7" s="19">
        <f>SUMIFS('Cleaned Data'!$L$2:$L$4847,'Cleaned Data'!$K$2:$K$4847,"Yes",'Cleaned Data'!$O$2:$O$4847,$A7)</f>
        <v/>
      </c>
    </row>
    <row r="8">
      <c r="A8" s="14" t="inlineStr">
        <is>
          <t>$50M-100M</t>
        </is>
      </c>
      <c r="B8" s="15">
        <f>COUNTIFS('Cleaned Data'!$K$2:$K$4847,"Yes",'Cleaned Data'!$O$2:$O$4847,$A8)</f>
        <v/>
      </c>
      <c r="C8" s="16">
        <f>IFERROR(AVERAGEIFS('Cleaned Data'!$N$2:$N$4847,'Cleaned Data'!$K$2:$K$4847,"Yes",'Cleaned Data'!$O$2:$O$4847,$A8),0)</f>
        <v/>
      </c>
      <c r="D8" s="17">
        <f t="array" ref="D8">MEDIAN(IF(('Cleaned Data'!$K$2:$K$4847="Yes")*('Cleaned Data'!$O$2:$O$4847=$A8),'Cleaned Data'!$M$2:$M$4847))</f>
        <v/>
      </c>
      <c r="E8" s="18">
        <f>SUMIFS('Cleaned Data'!$I$2:$I$4847,'Cleaned Data'!$K$2:$K$4847,"Yes",'Cleaned Data'!$O$2:$O$4847,$A8)</f>
        <v/>
      </c>
      <c r="F8" s="18">
        <f>SUMIFS('Cleaned Data'!$H$2:$H$4847,'Cleaned Data'!$K$2:$K$4847,"Yes",'Cleaned Data'!$O$2:$O$4847,$A8)</f>
        <v/>
      </c>
      <c r="G8" s="19">
        <f>SUMIFS('Cleaned Data'!$L$2:$L$4847,'Cleaned Data'!$K$2:$K$4847,"Yes",'Cleaned Data'!$O$2:$O$4847,$A8)</f>
        <v/>
      </c>
    </row>
    <row r="9">
      <c r="A9" s="14" t="inlineStr">
        <is>
          <t>$100M+</t>
        </is>
      </c>
      <c r="B9" s="15">
        <f>COUNTIFS('Cleaned Data'!$K$2:$K$4847,"Yes",'Cleaned Data'!$O$2:$O$4847,$A9)</f>
        <v/>
      </c>
      <c r="C9" s="16">
        <f>IFERROR(AVERAGEIFS('Cleaned Data'!$N$2:$N$4847,'Cleaned Data'!$K$2:$K$4847,"Yes",'Cleaned Data'!$O$2:$O$4847,$A9),0)</f>
        <v/>
      </c>
      <c r="D9" s="17">
        <f t="array" ref="D9">MEDIAN(IF(('Cleaned Data'!$K$2:$K$4847="Yes")*('Cleaned Data'!$O$2:$O$4847=$A9),'Cleaned Data'!$M$2:$M$4847))</f>
        <v/>
      </c>
      <c r="E9" s="18">
        <f>SUMIFS('Cleaned Data'!$I$2:$I$4847,'Cleaned Data'!$K$2:$K$4847,"Yes",'Cleaned Data'!$O$2:$O$4847,$A9)</f>
        <v/>
      </c>
      <c r="F9" s="18">
        <f>SUMIFS('Cleaned Data'!$H$2:$H$4847,'Cleaned Data'!$K$2:$K$4847,"Yes",'Cleaned Data'!$O$2:$O$4847,$A9)</f>
        <v/>
      </c>
      <c r="G9" s="19">
        <f>SUMIFS('Cleaned Data'!$L$2:$L$4847,'Cleaned Data'!$K$2:$K$4847,"Yes",'Cleaned Data'!$O$2:$O$4847,$A9)</f>
        <v/>
      </c>
    </row>
    <row r="11">
      <c r="A11" s="9" t="inlineStr">
        <is>
          <t>Rating</t>
        </is>
      </c>
      <c r="B11" s="9" t="inlineStr">
        <is>
          <t>Films</t>
        </is>
      </c>
      <c r="C11" s="9" t="inlineStr">
        <is>
          <t>Hit rate</t>
        </is>
      </c>
      <c r="D11" s="9" t="inlineStr">
        <is>
          <t>Median return</t>
        </is>
      </c>
      <c r="E11" s="9" t="inlineStr">
        <is>
          <t>Total budget</t>
        </is>
      </c>
      <c r="F11" s="9" t="inlineStr">
        <is>
          <t>Total gross</t>
        </is>
      </c>
      <c r="G11" s="9" t="inlineStr">
        <is>
          <t>Total profit</t>
        </is>
      </c>
    </row>
    <row r="12">
      <c r="A12" s="14" t="inlineStr">
        <is>
          <t>G</t>
        </is>
      </c>
      <c r="B12" s="15">
        <f>COUNTIFS('Cleaned Data'!$K$2:$K$4847,"Yes",'Cleaned Data'!$G$2:$G$4847,$A12)</f>
        <v/>
      </c>
      <c r="C12" s="16">
        <f>IFERROR(AVERAGEIFS('Cleaned Data'!$N$2:$N$4847,'Cleaned Data'!$K$2:$K$4847,"Yes",'Cleaned Data'!$G$2:$G$4847,$A12),0)</f>
        <v/>
      </c>
      <c r="D12" s="17">
        <f t="array" ref="D12">MEDIAN(IF(('Cleaned Data'!$K$2:$K$4847="Yes")*('Cleaned Data'!$G$2:$G$4847=$A12),'Cleaned Data'!$M$2:$M$4847))</f>
        <v/>
      </c>
      <c r="E12" s="18">
        <f>SUMIFS('Cleaned Data'!$I$2:$I$4847,'Cleaned Data'!$K$2:$K$4847,"Yes",'Cleaned Data'!$G$2:$G$4847,$A12)</f>
        <v/>
      </c>
      <c r="F12" s="18">
        <f>SUMIFS('Cleaned Data'!$H$2:$H$4847,'Cleaned Data'!$K$2:$K$4847,"Yes",'Cleaned Data'!$G$2:$G$4847,$A12)</f>
        <v/>
      </c>
      <c r="G12" s="19">
        <f>SUMIFS('Cleaned Data'!$L$2:$L$4847,'Cleaned Data'!$K$2:$K$4847,"Yes",'Cleaned Data'!$G$2:$G$4847,$A12)</f>
        <v/>
      </c>
    </row>
    <row r="13">
      <c r="A13" s="14" t="inlineStr">
        <is>
          <t>PG</t>
        </is>
      </c>
      <c r="B13" s="15">
        <f>COUNTIFS('Cleaned Data'!$K$2:$K$4847,"Yes",'Cleaned Data'!$G$2:$G$4847,$A13)</f>
        <v/>
      </c>
      <c r="C13" s="16">
        <f>IFERROR(AVERAGEIFS('Cleaned Data'!$N$2:$N$4847,'Cleaned Data'!$K$2:$K$4847,"Yes",'Cleaned Data'!$G$2:$G$4847,$A13),0)</f>
        <v/>
      </c>
      <c r="D13" s="17">
        <f t="array" ref="D13">MEDIAN(IF(('Cleaned Data'!$K$2:$K$4847="Yes")*('Cleaned Data'!$G$2:$G$4847=$A13),'Cleaned Data'!$M$2:$M$4847))</f>
        <v/>
      </c>
      <c r="E13" s="18">
        <f>SUMIFS('Cleaned Data'!$I$2:$I$4847,'Cleaned Data'!$K$2:$K$4847,"Yes",'Cleaned Data'!$G$2:$G$4847,$A13)</f>
        <v/>
      </c>
      <c r="F13" s="18">
        <f>SUMIFS('Cleaned Data'!$H$2:$H$4847,'Cleaned Data'!$K$2:$K$4847,"Yes",'Cleaned Data'!$G$2:$G$4847,$A13)</f>
        <v/>
      </c>
      <c r="G13" s="19">
        <f>SUMIFS('Cleaned Data'!$L$2:$L$4847,'Cleaned Data'!$K$2:$K$4847,"Yes",'Cleaned Data'!$G$2:$G$4847,$A13)</f>
        <v/>
      </c>
    </row>
    <row r="14">
      <c r="A14" s="14" t="inlineStr">
        <is>
          <t>PG-13</t>
        </is>
      </c>
      <c r="B14" s="15">
        <f>COUNTIFS('Cleaned Data'!$K$2:$K$4847,"Yes",'Cleaned Data'!$G$2:$G$4847,$A14)</f>
        <v/>
      </c>
      <c r="C14" s="16">
        <f>IFERROR(AVERAGEIFS('Cleaned Data'!$N$2:$N$4847,'Cleaned Data'!$K$2:$K$4847,"Yes",'Cleaned Data'!$G$2:$G$4847,$A14),0)</f>
        <v/>
      </c>
      <c r="D14" s="17">
        <f t="array" ref="D14">MEDIAN(IF(('Cleaned Data'!$K$2:$K$4847="Yes")*('Cleaned Data'!$G$2:$G$4847=$A14),'Cleaned Data'!$M$2:$M$4847))</f>
        <v/>
      </c>
      <c r="E14" s="18">
        <f>SUMIFS('Cleaned Data'!$I$2:$I$4847,'Cleaned Data'!$K$2:$K$4847,"Yes",'Cleaned Data'!$G$2:$G$4847,$A14)</f>
        <v/>
      </c>
      <c r="F14" s="18">
        <f>SUMIFS('Cleaned Data'!$H$2:$H$4847,'Cleaned Data'!$K$2:$K$4847,"Yes",'Cleaned Data'!$G$2:$G$4847,$A14)</f>
        <v/>
      </c>
      <c r="G14" s="19">
        <f>SUMIFS('Cleaned Data'!$L$2:$L$4847,'Cleaned Data'!$K$2:$K$4847,"Yes",'Cleaned Data'!$G$2:$G$4847,$A14)</f>
        <v/>
      </c>
    </row>
    <row r="15">
      <c r="A15" s="14" t="inlineStr">
        <is>
          <t>R</t>
        </is>
      </c>
      <c r="B15" s="15">
        <f>COUNTIFS('Cleaned Data'!$K$2:$K$4847,"Yes",'Cleaned Data'!$G$2:$G$4847,$A15)</f>
        <v/>
      </c>
      <c r="C15" s="16">
        <f>IFERROR(AVERAGEIFS('Cleaned Data'!$N$2:$N$4847,'Cleaned Data'!$K$2:$K$4847,"Yes",'Cleaned Data'!$G$2:$G$4847,$A15),0)</f>
        <v/>
      </c>
      <c r="D15" s="17">
        <f t="array" ref="D15">MEDIAN(IF(('Cleaned Data'!$K$2:$K$4847="Yes")*('Cleaned Data'!$G$2:$G$4847=$A15),'Cleaned Data'!$M$2:$M$4847))</f>
        <v/>
      </c>
      <c r="E15" s="18">
        <f>SUMIFS('Cleaned Data'!$I$2:$I$4847,'Cleaned Data'!$K$2:$K$4847,"Yes",'Cleaned Data'!$G$2:$G$4847,$A15)</f>
        <v/>
      </c>
      <c r="F15" s="18">
        <f>SUMIFS('Cleaned Data'!$H$2:$H$4847,'Cleaned Data'!$K$2:$K$4847,"Yes",'Cleaned Data'!$G$2:$G$4847,$A15)</f>
        <v/>
      </c>
      <c r="G15" s="19">
        <f>SUMIFS('Cleaned Data'!$L$2:$L$4847,'Cleaned Data'!$K$2:$K$4847,"Yes",'Cleaned Data'!$G$2:$G$4847,$A15)</f>
        <v/>
      </c>
    </row>
    <row r="17">
      <c r="A17" s="9" t="inlineStr">
        <is>
          <t>Runtime (min)</t>
        </is>
      </c>
      <c r="B17" s="9" t="inlineStr">
        <is>
          <t>Films</t>
        </is>
      </c>
      <c r="C17" s="9" t="inlineStr">
        <is>
          <t>Hit rate</t>
        </is>
      </c>
      <c r="D17" s="9" t="inlineStr">
        <is>
          <t>Median return</t>
        </is>
      </c>
      <c r="E17" s="9" t="inlineStr">
        <is>
          <t>Total budget</t>
        </is>
      </c>
      <c r="F17" s="9" t="inlineStr">
        <is>
          <t>Total gross</t>
        </is>
      </c>
      <c r="G17" s="9" t="inlineStr">
        <is>
          <t>Total profit</t>
        </is>
      </c>
    </row>
    <row r="18">
      <c r="A18" s="14" t="inlineStr">
        <is>
          <t>90 or less</t>
        </is>
      </c>
      <c r="B18" s="15">
        <f>COUNTIFS('Cleaned Data'!$K$2:$K$4847,"Yes",'Cleaned Data'!$P$2:$P$4847,$A18)</f>
        <v/>
      </c>
      <c r="C18" s="16">
        <f>IFERROR(AVERAGEIFS('Cleaned Data'!$N$2:$N$4847,'Cleaned Data'!$K$2:$K$4847,"Yes",'Cleaned Data'!$P$2:$P$4847,$A18),0)</f>
        <v/>
      </c>
      <c r="D18" s="17">
        <f t="array" ref="D18">MEDIAN(IF(('Cleaned Data'!$K$2:$K$4847="Yes")*('Cleaned Data'!$P$2:$P$4847=$A18),'Cleaned Data'!$M$2:$M$4847))</f>
        <v/>
      </c>
      <c r="E18" s="18">
        <f>SUMIFS('Cleaned Data'!$I$2:$I$4847,'Cleaned Data'!$K$2:$K$4847,"Yes",'Cleaned Data'!$P$2:$P$4847,$A18)</f>
        <v/>
      </c>
      <c r="F18" s="18">
        <f>SUMIFS('Cleaned Data'!$H$2:$H$4847,'Cleaned Data'!$K$2:$K$4847,"Yes",'Cleaned Data'!$P$2:$P$4847,$A18)</f>
        <v/>
      </c>
      <c r="G18" s="19">
        <f>SUMIFS('Cleaned Data'!$L$2:$L$4847,'Cleaned Data'!$K$2:$K$4847,"Yes",'Cleaned Data'!$P$2:$P$4847,$A18)</f>
        <v/>
      </c>
    </row>
    <row r="19">
      <c r="A19" s="14" t="inlineStr">
        <is>
          <t>91-105</t>
        </is>
      </c>
      <c r="B19" s="15">
        <f>COUNTIFS('Cleaned Data'!$K$2:$K$4847,"Yes",'Cleaned Data'!$P$2:$P$4847,$A19)</f>
        <v/>
      </c>
      <c r="C19" s="16">
        <f>IFERROR(AVERAGEIFS('Cleaned Data'!$N$2:$N$4847,'Cleaned Data'!$K$2:$K$4847,"Yes",'Cleaned Data'!$P$2:$P$4847,$A19),0)</f>
        <v/>
      </c>
      <c r="D19" s="17">
        <f t="array" ref="D19">MEDIAN(IF(('Cleaned Data'!$K$2:$K$4847="Yes")*('Cleaned Data'!$P$2:$P$4847=$A19),'Cleaned Data'!$M$2:$M$4847))</f>
        <v/>
      </c>
      <c r="E19" s="18">
        <f>SUMIFS('Cleaned Data'!$I$2:$I$4847,'Cleaned Data'!$K$2:$K$4847,"Yes",'Cleaned Data'!$P$2:$P$4847,$A19)</f>
        <v/>
      </c>
      <c r="F19" s="18">
        <f>SUMIFS('Cleaned Data'!$H$2:$H$4847,'Cleaned Data'!$K$2:$K$4847,"Yes",'Cleaned Data'!$P$2:$P$4847,$A19)</f>
        <v/>
      </c>
      <c r="G19" s="19">
        <f>SUMIFS('Cleaned Data'!$L$2:$L$4847,'Cleaned Data'!$K$2:$K$4847,"Yes",'Cleaned Data'!$P$2:$P$4847,$A19)</f>
        <v/>
      </c>
    </row>
    <row r="20">
      <c r="A20" s="14" t="inlineStr">
        <is>
          <t>106-120</t>
        </is>
      </c>
      <c r="B20" s="15">
        <f>COUNTIFS('Cleaned Data'!$K$2:$K$4847,"Yes",'Cleaned Data'!$P$2:$P$4847,$A20)</f>
        <v/>
      </c>
      <c r="C20" s="16">
        <f>IFERROR(AVERAGEIFS('Cleaned Data'!$N$2:$N$4847,'Cleaned Data'!$K$2:$K$4847,"Yes",'Cleaned Data'!$P$2:$P$4847,$A20),0)</f>
        <v/>
      </c>
      <c r="D20" s="17">
        <f t="array" ref="D20">MEDIAN(IF(('Cleaned Data'!$K$2:$K$4847="Yes")*('Cleaned Data'!$P$2:$P$4847=$A20),'Cleaned Data'!$M$2:$M$4847))</f>
        <v/>
      </c>
      <c r="E20" s="18">
        <f>SUMIFS('Cleaned Data'!$I$2:$I$4847,'Cleaned Data'!$K$2:$K$4847,"Yes",'Cleaned Data'!$P$2:$P$4847,$A20)</f>
        <v/>
      </c>
      <c r="F20" s="18">
        <f>SUMIFS('Cleaned Data'!$H$2:$H$4847,'Cleaned Data'!$K$2:$K$4847,"Yes",'Cleaned Data'!$P$2:$P$4847,$A20)</f>
        <v/>
      </c>
      <c r="G20" s="19">
        <f>SUMIFS('Cleaned Data'!$L$2:$L$4847,'Cleaned Data'!$K$2:$K$4847,"Yes",'Cleaned Data'!$P$2:$P$4847,$A20)</f>
        <v/>
      </c>
    </row>
    <row r="21">
      <c r="A21" s="14" t="inlineStr">
        <is>
          <t>121-140</t>
        </is>
      </c>
      <c r="B21" s="15">
        <f>COUNTIFS('Cleaned Data'!$K$2:$K$4847,"Yes",'Cleaned Data'!$P$2:$P$4847,$A21)</f>
        <v/>
      </c>
      <c r="C21" s="16">
        <f>IFERROR(AVERAGEIFS('Cleaned Data'!$N$2:$N$4847,'Cleaned Data'!$K$2:$K$4847,"Yes",'Cleaned Data'!$P$2:$P$4847,$A21),0)</f>
        <v/>
      </c>
      <c r="D21" s="17">
        <f t="array" ref="D21">MEDIAN(IF(('Cleaned Data'!$K$2:$K$4847="Yes")*('Cleaned Data'!$P$2:$P$4847=$A21),'Cleaned Data'!$M$2:$M$4847))</f>
        <v/>
      </c>
      <c r="E21" s="18">
        <f>SUMIFS('Cleaned Data'!$I$2:$I$4847,'Cleaned Data'!$K$2:$K$4847,"Yes",'Cleaned Data'!$P$2:$P$4847,$A21)</f>
        <v/>
      </c>
      <c r="F21" s="18">
        <f>SUMIFS('Cleaned Data'!$H$2:$H$4847,'Cleaned Data'!$K$2:$K$4847,"Yes",'Cleaned Data'!$P$2:$P$4847,$A21)</f>
        <v/>
      </c>
      <c r="G21" s="19">
        <f>SUMIFS('Cleaned Data'!$L$2:$L$4847,'Cleaned Data'!$K$2:$K$4847,"Yes",'Cleaned Data'!$P$2:$P$4847,$A21)</f>
        <v/>
      </c>
    </row>
    <row r="22">
      <c r="A22" s="14" t="inlineStr">
        <is>
          <t>Over 140</t>
        </is>
      </c>
      <c r="B22" s="15">
        <f>COUNTIFS('Cleaned Data'!$K$2:$K$4847,"Yes",'Cleaned Data'!$P$2:$P$4847,$A22)</f>
        <v/>
      </c>
      <c r="C22" s="16">
        <f>IFERROR(AVERAGEIFS('Cleaned Data'!$N$2:$N$4847,'Cleaned Data'!$K$2:$K$4847,"Yes",'Cleaned Data'!$P$2:$P$4847,$A22),0)</f>
        <v/>
      </c>
      <c r="D22" s="17">
        <f t="array" ref="D22">MEDIAN(IF(('Cleaned Data'!$K$2:$K$4847="Yes")*('Cleaned Data'!$P$2:$P$4847=$A22),'Cleaned Data'!$M$2:$M$4847))</f>
        <v/>
      </c>
      <c r="E22" s="18">
        <f>SUMIFS('Cleaned Data'!$I$2:$I$4847,'Cleaned Data'!$K$2:$K$4847,"Yes",'Cleaned Data'!$P$2:$P$4847,$A22)</f>
        <v/>
      </c>
      <c r="F22" s="18">
        <f>SUMIFS('Cleaned Data'!$H$2:$H$4847,'Cleaned Data'!$K$2:$K$4847,"Yes",'Cleaned Data'!$P$2:$P$4847,$A22)</f>
        <v/>
      </c>
      <c r="G22" s="19">
        <f>SUMIFS('Cleaned Data'!$L$2:$L$4847,'Cleaned Data'!$K$2:$K$4847,"Yes",'Cleaned Data'!$P$2:$P$4847,$A22)</f>
        <v/>
      </c>
    </row>
    <row r="24">
      <c r="A24" s="9" t="inlineStr">
        <is>
          <t>Decade</t>
        </is>
      </c>
      <c r="B24" s="9" t="inlineStr">
        <is>
          <t>Films</t>
        </is>
      </c>
      <c r="C24" s="9" t="inlineStr">
        <is>
          <t>Hit rate</t>
        </is>
      </c>
      <c r="D24" s="9" t="inlineStr">
        <is>
          <t>Median return</t>
        </is>
      </c>
      <c r="E24" s="9" t="inlineStr">
        <is>
          <t>Total budget</t>
        </is>
      </c>
      <c r="F24" s="9" t="inlineStr">
        <is>
          <t>Total gross</t>
        </is>
      </c>
      <c r="G24" s="9" t="inlineStr">
        <is>
          <t>Total profit</t>
        </is>
      </c>
    </row>
    <row r="25">
      <c r="A25" s="20" t="n">
        <v>1980</v>
      </c>
      <c r="B25" s="15">
        <f>COUNTIFS('Cleaned Data'!$K$2:$K$4847,"Yes",'Cleaned Data'!$Q$2:$Q$4847,$A25)</f>
        <v/>
      </c>
      <c r="C25" s="16">
        <f>IFERROR(AVERAGEIFS('Cleaned Data'!$N$2:$N$4847,'Cleaned Data'!$K$2:$K$4847,"Yes",'Cleaned Data'!$Q$2:$Q$4847,$A25),0)</f>
        <v/>
      </c>
      <c r="D25" s="17">
        <f t="array" ref="D25">MEDIAN(IF(('Cleaned Data'!$K$2:$K$4847="Yes")*('Cleaned Data'!$Q$2:$Q$4847=$A25),'Cleaned Data'!$M$2:$M$4847))</f>
        <v/>
      </c>
      <c r="E25" s="18">
        <f>SUMIFS('Cleaned Data'!$I$2:$I$4847,'Cleaned Data'!$K$2:$K$4847,"Yes",'Cleaned Data'!$Q$2:$Q$4847,$A25)</f>
        <v/>
      </c>
      <c r="F25" s="18">
        <f>SUMIFS('Cleaned Data'!$H$2:$H$4847,'Cleaned Data'!$K$2:$K$4847,"Yes",'Cleaned Data'!$Q$2:$Q$4847,$A25)</f>
        <v/>
      </c>
      <c r="G25" s="19">
        <f>SUMIFS('Cleaned Data'!$L$2:$L$4847,'Cleaned Data'!$K$2:$K$4847,"Yes",'Cleaned Data'!$Q$2:$Q$4847,$A25)</f>
        <v/>
      </c>
    </row>
    <row r="26">
      <c r="A26" s="20" t="n">
        <v>1990</v>
      </c>
      <c r="B26" s="15">
        <f>COUNTIFS('Cleaned Data'!$K$2:$K$4847,"Yes",'Cleaned Data'!$Q$2:$Q$4847,$A26)</f>
        <v/>
      </c>
      <c r="C26" s="16">
        <f>IFERROR(AVERAGEIFS('Cleaned Data'!$N$2:$N$4847,'Cleaned Data'!$K$2:$K$4847,"Yes",'Cleaned Data'!$Q$2:$Q$4847,$A26),0)</f>
        <v/>
      </c>
      <c r="D26" s="17">
        <f t="array" ref="D26">MEDIAN(IF(('Cleaned Data'!$K$2:$K$4847="Yes")*('Cleaned Data'!$Q$2:$Q$4847=$A26),'Cleaned Data'!$M$2:$M$4847))</f>
        <v/>
      </c>
      <c r="E26" s="18">
        <f>SUMIFS('Cleaned Data'!$I$2:$I$4847,'Cleaned Data'!$K$2:$K$4847,"Yes",'Cleaned Data'!$Q$2:$Q$4847,$A26)</f>
        <v/>
      </c>
      <c r="F26" s="18">
        <f>SUMIFS('Cleaned Data'!$H$2:$H$4847,'Cleaned Data'!$K$2:$K$4847,"Yes",'Cleaned Data'!$Q$2:$Q$4847,$A26)</f>
        <v/>
      </c>
      <c r="G26" s="19">
        <f>SUMIFS('Cleaned Data'!$L$2:$L$4847,'Cleaned Data'!$K$2:$K$4847,"Yes",'Cleaned Data'!$Q$2:$Q$4847,$A26)</f>
        <v/>
      </c>
    </row>
    <row r="27">
      <c r="A27" s="20" t="n">
        <v>2000</v>
      </c>
      <c r="B27" s="15">
        <f>COUNTIFS('Cleaned Data'!$K$2:$K$4847,"Yes",'Cleaned Data'!$Q$2:$Q$4847,$A27)</f>
        <v/>
      </c>
      <c r="C27" s="16">
        <f>IFERROR(AVERAGEIFS('Cleaned Data'!$N$2:$N$4847,'Cleaned Data'!$K$2:$K$4847,"Yes",'Cleaned Data'!$Q$2:$Q$4847,$A27),0)</f>
        <v/>
      </c>
      <c r="D27" s="17">
        <f t="array" ref="D27">MEDIAN(IF(('Cleaned Data'!$K$2:$K$4847="Yes")*('Cleaned Data'!$Q$2:$Q$4847=$A27),'Cleaned Data'!$M$2:$M$4847))</f>
        <v/>
      </c>
      <c r="E27" s="18">
        <f>SUMIFS('Cleaned Data'!$I$2:$I$4847,'Cleaned Data'!$K$2:$K$4847,"Yes",'Cleaned Data'!$Q$2:$Q$4847,$A27)</f>
        <v/>
      </c>
      <c r="F27" s="18">
        <f>SUMIFS('Cleaned Data'!$H$2:$H$4847,'Cleaned Data'!$K$2:$K$4847,"Yes",'Cleaned Data'!$Q$2:$Q$4847,$A27)</f>
        <v/>
      </c>
      <c r="G27" s="19">
        <f>SUMIFS('Cleaned Data'!$L$2:$L$4847,'Cleaned Data'!$K$2:$K$4847,"Yes",'Cleaned Data'!$Q$2:$Q$4847,$A27)</f>
        <v/>
      </c>
    </row>
    <row r="28">
      <c r="A28" s="20" t="n">
        <v>2010</v>
      </c>
      <c r="B28" s="15">
        <f>COUNTIFS('Cleaned Data'!$K$2:$K$4847,"Yes",'Cleaned Data'!$Q$2:$Q$4847,$A28)</f>
        <v/>
      </c>
      <c r="C28" s="16">
        <f>IFERROR(AVERAGEIFS('Cleaned Data'!$N$2:$N$4847,'Cleaned Data'!$K$2:$K$4847,"Yes",'Cleaned Data'!$Q$2:$Q$4847,$A28),0)</f>
        <v/>
      </c>
      <c r="D28" s="17">
        <f t="array" ref="D28">MEDIAN(IF(('Cleaned Data'!$K$2:$K$4847="Yes")*('Cleaned Data'!$Q$2:$Q$4847=$A28),'Cleaned Data'!$M$2:$M$4847))</f>
        <v/>
      </c>
      <c r="E28" s="18">
        <f>SUMIFS('Cleaned Data'!$I$2:$I$4847,'Cleaned Data'!$K$2:$K$4847,"Yes",'Cleaned Data'!$Q$2:$Q$4847,$A28)</f>
        <v/>
      </c>
      <c r="F28" s="18">
        <f>SUMIFS('Cleaned Data'!$H$2:$H$4847,'Cleaned Data'!$K$2:$K$4847,"Yes",'Cleaned Data'!$Q$2:$Q$4847,$A28)</f>
        <v/>
      </c>
      <c r="G28" s="19">
        <f>SUMIFS('Cleaned Data'!$L$2:$L$4847,'Cleaned Data'!$K$2:$K$4847,"Yes",'Cleaned Data'!$Q$2:$Q$4847,$A28)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0" customWidth="1" min="3" max="3"/>
  </cols>
  <sheetData>
    <row r="1">
      <c r="A1" s="13" t="inlineStr">
        <is>
          <t>Data Quality Log</t>
        </is>
      </c>
    </row>
    <row r="3">
      <c r="A3" s="9" t="inlineStr">
        <is>
          <t>Check</t>
        </is>
      </c>
      <c r="B3" s="9" t="inlineStr">
        <is>
          <t>Result</t>
        </is>
      </c>
      <c r="C3" s="9" t="inlineStr">
        <is>
          <t>Action taken</t>
        </is>
      </c>
    </row>
    <row r="4">
      <c r="A4" s="21" t="inlineStr">
        <is>
          <t>Films in cleaned dataset</t>
        </is>
      </c>
      <c r="B4" s="22">
        <f>COUNTA('Cleaned Data'!B2:B4847)</f>
        <v/>
      </c>
      <c r="C4" s="21" t="inlineStr">
        <is>
          <t>Source had 4,968 records; header row restored</t>
        </is>
      </c>
    </row>
    <row r="5">
      <c r="A5" s="21" t="inlineStr">
        <is>
          <t>Duplicate title + year rows removed</t>
        </is>
      </c>
      <c r="B5" s="23" t="n">
        <v>122</v>
      </c>
      <c r="C5" s="21" t="inlineStr">
        <is>
          <t>Removed in cleaning (kept first occurrence). Hardcoded: count from the cleaning script</t>
        </is>
      </c>
    </row>
    <row r="6">
      <c r="A6" s="21" t="inlineStr">
        <is>
          <t>Gross filled with median (25,529,689.5) or missing</t>
        </is>
      </c>
      <c r="B6" s="22">
        <f>COUNTIF('Cleaned Data'!J2:J4847,"Yes")</f>
        <v/>
      </c>
      <c r="C6" s="21" t="inlineStr">
        <is>
          <t>Flagged in Gross Imputed and excluded from revenue analysis</t>
        </is>
      </c>
    </row>
    <row r="7">
      <c r="A7" s="21" t="inlineStr">
        <is>
          <t>Share of films with imputed gross</t>
        </is>
      </c>
      <c r="B7" s="24">
        <f>B6/B4</f>
        <v/>
      </c>
      <c r="C7" s="21" t="inlineStr">
        <is>
          <t>Too large to ignore: it would bias averages toward the median</t>
        </is>
      </c>
    </row>
    <row r="8">
      <c r="A8" s="21" t="inlineStr">
        <is>
          <t>Budget exactly 20,000,000</t>
        </is>
      </c>
      <c r="B8" s="22">
        <f>COUNTIF('Cleaned Data'!I2:I4847,20000000)</f>
        <v/>
      </c>
      <c r="C8" s="21" t="inlineStr">
        <is>
          <t>Kept: a common real budget, but may hide more imputation</t>
        </is>
      </c>
    </row>
    <row r="9">
      <c r="A9" s="21" t="inlineStr">
        <is>
          <t>Budgets above 1 billion (local currency)</t>
        </is>
      </c>
      <c r="B9" s="22">
        <f>COUNTIF('Cleaned Data'!I2:I4847,"&gt;1000000000")</f>
        <v/>
      </c>
      <c r="C9" s="21" t="inlineStr">
        <is>
          <t>Non-US budgets in KRW/JPY/HUF; analysis limited to US films</t>
        </is>
      </c>
    </row>
    <row r="10">
      <c r="A10" s="21" t="inlineStr">
        <is>
          <t>Runtime under 40 minutes</t>
        </is>
      </c>
      <c r="B10" s="22">
        <f>COUNTIF('Cleaned Data'!E2:E4847,"&lt;40")</f>
        <v/>
      </c>
      <c r="C10" s="21" t="inlineStr">
        <is>
          <t>Kept: shorts or entry errors, small effect on results</t>
        </is>
      </c>
    </row>
    <row r="11">
      <c r="A11" s="21" t="inlineStr">
        <is>
          <t>Missing rating</t>
        </is>
      </c>
      <c r="B11" s="22">
        <f>COUNTBLANK('Cleaned Data'!G2:G4847)</f>
        <v/>
      </c>
      <c r="C11" s="21" t="inlineStr">
        <is>
          <t>Kept: shown as blank; excluded from the rating segment</t>
        </is>
      </c>
    </row>
    <row r="12">
      <c r="A12" s="21" t="inlineStr">
        <is>
          <t>Missing language</t>
        </is>
      </c>
      <c r="B12" s="22">
        <f>COUNTBLANK('Cleaned Data'!F2:F4847)</f>
        <v/>
      </c>
      <c r="C12" s="21" t="inlineStr">
        <is>
          <t>Text "nan" placeholders converted to blanks</t>
        </is>
      </c>
    </row>
    <row r="13">
      <c r="A13" s="21" t="inlineStr">
        <is>
          <t>Films in analysis set</t>
        </is>
      </c>
      <c r="B13" s="22">
        <f>COUNTIF('Cleaned Data'!K2:K4847,"Yes")</f>
        <v/>
      </c>
      <c r="C13" s="21" t="inlineStr">
        <is>
          <t>US, 1980 or later, real gross</t>
        </is>
      </c>
    </row>
    <row r="15">
      <c r="A15" s="2" t="inlineStr">
        <is>
          <t>Known value error: The Polar Express (2004) shows a gross of $0.67M; the real US gross was over $180M. Left as-is to keep the source traceable.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7" customWidth="1" min="3" max="3"/>
    <col width="12" customWidth="1" min="4" max="4"/>
    <col width="10" customWidth="1" min="5" max="5"/>
    <col width="11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5" customWidth="1" min="12" max="12"/>
    <col width="10" customWidth="1" min="13" max="13"/>
    <col width="6" customWidth="1" min="14" max="14"/>
    <col width="12" customWidth="1" min="15" max="15"/>
    <col width="12" customWidth="1" min="16" max="16"/>
    <col width="8" customWidth="1" min="17" max="17"/>
  </cols>
  <sheetData>
    <row r="1">
      <c r="A1" s="25" t="inlineStr">
        <is>
          <t>ID</t>
        </is>
      </c>
      <c r="B1" s="25" t="inlineStr">
        <is>
          <t>Title</t>
        </is>
      </c>
      <c r="C1" s="25" t="inlineStr">
        <is>
          <t>Year</t>
        </is>
      </c>
      <c r="D1" s="25" t="inlineStr">
        <is>
          <t>Country</t>
        </is>
      </c>
      <c r="E1" s="25" t="inlineStr">
        <is>
          <t>Duration (min)</t>
        </is>
      </c>
      <c r="F1" s="25" t="inlineStr">
        <is>
          <t>Language</t>
        </is>
      </c>
      <c r="G1" s="25" t="inlineStr">
        <is>
          <t>Rating</t>
        </is>
      </c>
      <c r="H1" s="25" t="inlineStr">
        <is>
          <t>Gross (USD)</t>
        </is>
      </c>
      <c r="I1" s="25" t="inlineStr">
        <is>
          <t>Budget (local currency)</t>
        </is>
      </c>
      <c r="J1" s="25" t="inlineStr">
        <is>
          <t>Gross Imputed</t>
        </is>
      </c>
      <c r="K1" s="25" t="inlineStr">
        <is>
          <t>In Analysis Set</t>
        </is>
      </c>
      <c r="L1" s="25" t="inlineStr">
        <is>
          <t>Profit</t>
        </is>
      </c>
      <c r="M1" s="25" t="inlineStr">
        <is>
          <t>Return (x)</t>
        </is>
      </c>
      <c r="N1" s="25" t="inlineStr">
        <is>
          <t>Hit</t>
        </is>
      </c>
      <c r="O1" s="25" t="inlineStr">
        <is>
          <t>Budget Tier</t>
        </is>
      </c>
      <c r="P1" s="25" t="inlineStr">
        <is>
          <t>Runtime Band</t>
        </is>
      </c>
      <c r="Q1" s="25" t="inlineStr">
        <is>
          <t>Decade</t>
        </is>
      </c>
    </row>
    <row r="2">
      <c r="A2" s="21" t="n">
        <v>1</v>
      </c>
      <c r="B2" s="21" t="inlineStr">
        <is>
          <t>Intolerance: Love's Struggle Throughout the Ages</t>
        </is>
      </c>
      <c r="C2" s="21" t="n">
        <v>1916</v>
      </c>
      <c r="D2" s="21" t="inlineStr">
        <is>
          <t>USA</t>
        </is>
      </c>
      <c r="E2" s="21" t="n">
        <v>123</v>
      </c>
      <c r="F2" s="21" t="n"/>
      <c r="G2" s="21" t="inlineStr">
        <is>
          <t>Not Rated</t>
        </is>
      </c>
      <c r="H2" s="22" t="n"/>
      <c r="I2" s="22" t="n">
        <v>385907</v>
      </c>
      <c r="J2" s="21">
        <f>IF(OR(H2="",H2=25529689.5),"Yes","No")</f>
        <v/>
      </c>
      <c r="K2" s="21">
        <f>IF(AND(D2="USA",C2&gt;=1980,J2="No"),"Yes","No")</f>
        <v/>
      </c>
      <c r="L2" s="26">
        <f>IF(J2="Yes","",H2-I2)</f>
        <v/>
      </c>
      <c r="M2" s="27">
        <f>IF(OR(J2="Yes",I2=0),"",H2/I2)</f>
        <v/>
      </c>
      <c r="N2" s="21">
        <f>IF(J2="Yes","",IF(H2&gt;=I2,1,0))</f>
        <v/>
      </c>
      <c r="O2" s="21">
        <f>IF(I2&lt;=5000000,"Under $5M",IF(I2&lt;=20000000,"$5M-20M",IF(I2&lt;=50000000,"$20M-50M",IF(I2&lt;=100000000,"$50M-100M","$100M+"))))</f>
        <v/>
      </c>
      <c r="P2" s="21">
        <f>IF(E2&lt;=90,"90 or less",IF(E2&lt;=105,"91-105",IF(E2&lt;=120,"106-120",IF(E2&lt;=140,"121-140","Over 140"))))</f>
        <v/>
      </c>
      <c r="Q2" s="28">
        <f>INT(C2/10)*10</f>
        <v/>
      </c>
    </row>
    <row r="3">
      <c r="A3" s="21" t="n">
        <v>2</v>
      </c>
      <c r="B3" s="21" t="inlineStr">
        <is>
          <t>Over the Hill to the Poorhouse</t>
        </is>
      </c>
      <c r="C3" s="21" t="n">
        <v>1920</v>
      </c>
      <c r="D3" s="21" t="inlineStr">
        <is>
          <t>USA</t>
        </is>
      </c>
      <c r="E3" s="21" t="n">
        <v>110</v>
      </c>
      <c r="F3" s="21" t="n"/>
      <c r="G3" s="21" t="n"/>
      <c r="H3" s="22" t="n">
        <v>3000000</v>
      </c>
      <c r="I3" s="22" t="n">
        <v>100000</v>
      </c>
      <c r="J3" s="21">
        <f>IF(OR(H3="",H3=25529689.5),"Yes","No")</f>
        <v/>
      </c>
      <c r="K3" s="21">
        <f>IF(AND(D3="USA",C3&gt;=1980,J3="No"),"Yes","No")</f>
        <v/>
      </c>
      <c r="L3" s="26">
        <f>IF(J3="Yes","",H3-I3)</f>
        <v/>
      </c>
      <c r="M3" s="27">
        <f>IF(OR(J3="Yes",I3=0),"",H3/I3)</f>
        <v/>
      </c>
      <c r="N3" s="21">
        <f>IF(J3="Yes","",IF(H3&gt;=I3,1,0))</f>
        <v/>
      </c>
      <c r="O3" s="21">
        <f>IF(I3&lt;=5000000,"Under $5M",IF(I3&lt;=20000000,"$5M-20M",IF(I3&lt;=50000000,"$20M-50M",IF(I3&lt;=100000000,"$50M-100M","$100M+"))))</f>
        <v/>
      </c>
      <c r="P3" s="21">
        <f>IF(E3&lt;=90,"90 or less",IF(E3&lt;=105,"91-105",IF(E3&lt;=120,"106-120",IF(E3&lt;=140,"121-140","Over 140"))))</f>
        <v/>
      </c>
      <c r="Q3" s="28">
        <f>INT(C3/10)*10</f>
        <v/>
      </c>
    </row>
    <row r="4">
      <c r="A4" s="21" t="n">
        <v>3</v>
      </c>
      <c r="B4" s="21" t="inlineStr">
        <is>
          <t>The Big Parade</t>
        </is>
      </c>
      <c r="C4" s="21" t="n">
        <v>1925</v>
      </c>
      <c r="D4" s="21" t="inlineStr">
        <is>
          <t>USA</t>
        </is>
      </c>
      <c r="E4" s="21" t="n">
        <v>151</v>
      </c>
      <c r="F4" s="21" t="n"/>
      <c r="G4" s="21" t="inlineStr">
        <is>
          <t>Not Rated</t>
        </is>
      </c>
      <c r="H4" s="22" t="n">
        <v>25529689.5</v>
      </c>
      <c r="I4" s="22" t="n">
        <v>245000</v>
      </c>
      <c r="J4" s="21">
        <f>IF(OR(H4="",H4=25529689.5),"Yes","No")</f>
        <v/>
      </c>
      <c r="K4" s="21">
        <f>IF(AND(D4="USA",C4&gt;=1980,J4="No"),"Yes","No")</f>
        <v/>
      </c>
      <c r="L4" s="26">
        <f>IF(J4="Yes","",H4-I4)</f>
        <v/>
      </c>
      <c r="M4" s="27">
        <f>IF(OR(J4="Yes",I4=0),"",H4/I4)</f>
        <v/>
      </c>
      <c r="N4" s="21">
        <f>IF(J4="Yes","",IF(H4&gt;=I4,1,0))</f>
        <v/>
      </c>
      <c r="O4" s="21">
        <f>IF(I4&lt;=5000000,"Under $5M",IF(I4&lt;=20000000,"$5M-20M",IF(I4&lt;=50000000,"$20M-50M",IF(I4&lt;=100000000,"$50M-100M","$100M+"))))</f>
        <v/>
      </c>
      <c r="P4" s="21">
        <f>IF(E4&lt;=90,"90 or less",IF(E4&lt;=105,"91-105",IF(E4&lt;=120,"106-120",IF(E4&lt;=140,"121-140","Over 140"))))</f>
        <v/>
      </c>
      <c r="Q4" s="28">
        <f>INT(C4/10)*10</f>
        <v/>
      </c>
    </row>
    <row r="5">
      <c r="A5" s="21" t="n">
        <v>4</v>
      </c>
      <c r="B5" s="21" t="inlineStr">
        <is>
          <t>Metropolis</t>
        </is>
      </c>
      <c r="C5" s="21" t="n">
        <v>1927</v>
      </c>
      <c r="D5" s="21" t="inlineStr">
        <is>
          <t>Germany</t>
        </is>
      </c>
      <c r="E5" s="21" t="n">
        <v>145</v>
      </c>
      <c r="F5" s="21" t="inlineStr">
        <is>
          <t>German</t>
        </is>
      </c>
      <c r="G5" s="21" t="inlineStr">
        <is>
          <t>Not Rated</t>
        </is>
      </c>
      <c r="H5" s="22" t="n">
        <v>26435</v>
      </c>
      <c r="I5" s="22" t="n">
        <v>6000000</v>
      </c>
      <c r="J5" s="21">
        <f>IF(OR(H5="",H5=25529689.5),"Yes","No")</f>
        <v/>
      </c>
      <c r="K5" s="21">
        <f>IF(AND(D5="USA",C5&gt;=1980,J5="No"),"Yes","No")</f>
        <v/>
      </c>
      <c r="L5" s="26">
        <f>IF(J5="Yes","",H5-I5)</f>
        <v/>
      </c>
      <c r="M5" s="27">
        <f>IF(OR(J5="Yes",I5=0),"",H5/I5)</f>
        <v/>
      </c>
      <c r="N5" s="21">
        <f>IF(J5="Yes","",IF(H5&gt;=I5,1,0))</f>
        <v/>
      </c>
      <c r="O5" s="21">
        <f>IF(I5&lt;=5000000,"Under $5M",IF(I5&lt;=20000000,"$5M-20M",IF(I5&lt;=50000000,"$20M-50M",IF(I5&lt;=100000000,"$50M-100M","$100M+"))))</f>
        <v/>
      </c>
      <c r="P5" s="21">
        <f>IF(E5&lt;=90,"90 or less",IF(E5&lt;=105,"91-105",IF(E5&lt;=120,"106-120",IF(E5&lt;=140,"121-140","Over 140"))))</f>
        <v/>
      </c>
      <c r="Q5" s="28">
        <f>INT(C5/10)*10</f>
        <v/>
      </c>
    </row>
    <row r="6">
      <c r="A6" s="21" t="n">
        <v>5</v>
      </c>
      <c r="B6" s="21" t="inlineStr">
        <is>
          <t>Pandora's Box</t>
        </is>
      </c>
      <c r="C6" s="21" t="n">
        <v>1929</v>
      </c>
      <c r="D6" s="21" t="inlineStr">
        <is>
          <t>Germany</t>
        </is>
      </c>
      <c r="E6" s="21" t="n">
        <v>110</v>
      </c>
      <c r="F6" s="21" t="inlineStr">
        <is>
          <t>German</t>
        </is>
      </c>
      <c r="G6" s="21" t="inlineStr">
        <is>
          <t>Not Rated</t>
        </is>
      </c>
      <c r="H6" s="22" t="n">
        <v>9950</v>
      </c>
      <c r="I6" s="22" t="n">
        <v>20000000</v>
      </c>
      <c r="J6" s="21">
        <f>IF(OR(H6="",H6=25529689.5),"Yes","No")</f>
        <v/>
      </c>
      <c r="K6" s="21">
        <f>IF(AND(D6="USA",C6&gt;=1980,J6="No"),"Yes","No")</f>
        <v/>
      </c>
      <c r="L6" s="26">
        <f>IF(J6="Yes","",H6-I6)</f>
        <v/>
      </c>
      <c r="M6" s="27">
        <f>IF(OR(J6="Yes",I6=0),"",H6/I6)</f>
        <v/>
      </c>
      <c r="N6" s="21">
        <f>IF(J6="Yes","",IF(H6&gt;=I6,1,0))</f>
        <v/>
      </c>
      <c r="O6" s="21">
        <f>IF(I6&lt;=5000000,"Under $5M",IF(I6&lt;=20000000,"$5M-20M",IF(I6&lt;=50000000,"$20M-50M",IF(I6&lt;=100000000,"$50M-100M","$100M+"))))</f>
        <v/>
      </c>
      <c r="P6" s="21">
        <f>IF(E6&lt;=90,"90 or less",IF(E6&lt;=105,"91-105",IF(E6&lt;=120,"106-120",IF(E6&lt;=140,"121-140","Over 140"))))</f>
        <v/>
      </c>
      <c r="Q6" s="28">
        <f>INT(C6/10)*10</f>
        <v/>
      </c>
    </row>
    <row r="7">
      <c r="A7" s="21" t="n">
        <v>6</v>
      </c>
      <c r="B7" s="21" t="inlineStr">
        <is>
          <t>The Broadway Melody</t>
        </is>
      </c>
      <c r="C7" s="21" t="n">
        <v>1929</v>
      </c>
      <c r="D7" s="21" t="inlineStr">
        <is>
          <t>USA</t>
        </is>
      </c>
      <c r="E7" s="21" t="n">
        <v>100</v>
      </c>
      <c r="F7" s="21" t="inlineStr">
        <is>
          <t>English</t>
        </is>
      </c>
      <c r="G7" s="21" t="inlineStr">
        <is>
          <t>Passed</t>
        </is>
      </c>
      <c r="H7" s="22" t="n">
        <v>2808000</v>
      </c>
      <c r="I7" s="22" t="n">
        <v>379000</v>
      </c>
      <c r="J7" s="21">
        <f>IF(OR(H7="",H7=25529689.5),"Yes","No")</f>
        <v/>
      </c>
      <c r="K7" s="21">
        <f>IF(AND(D7="USA",C7&gt;=1980,J7="No"),"Yes","No")</f>
        <v/>
      </c>
      <c r="L7" s="26">
        <f>IF(J7="Yes","",H7-I7)</f>
        <v/>
      </c>
      <c r="M7" s="27">
        <f>IF(OR(J7="Yes",I7=0),"",H7/I7)</f>
        <v/>
      </c>
      <c r="N7" s="21">
        <f>IF(J7="Yes","",IF(H7&gt;=I7,1,0))</f>
        <v/>
      </c>
      <c r="O7" s="21">
        <f>IF(I7&lt;=5000000,"Under $5M",IF(I7&lt;=20000000,"$5M-20M",IF(I7&lt;=50000000,"$20M-50M",IF(I7&lt;=100000000,"$50M-100M","$100M+"))))</f>
        <v/>
      </c>
      <c r="P7" s="21">
        <f>IF(E7&lt;=90,"90 or less",IF(E7&lt;=105,"91-105",IF(E7&lt;=120,"106-120",IF(E7&lt;=140,"121-140","Over 140"))))</f>
        <v/>
      </c>
      <c r="Q7" s="28">
        <f>INT(C7/10)*10</f>
        <v/>
      </c>
    </row>
    <row r="8">
      <c r="A8" s="21" t="n">
        <v>7</v>
      </c>
      <c r="B8" s="21" t="inlineStr">
        <is>
          <t>Hell's Angels</t>
        </is>
      </c>
      <c r="C8" s="21" t="n">
        <v>1930</v>
      </c>
      <c r="D8" s="21" t="inlineStr">
        <is>
          <t>USA</t>
        </is>
      </c>
      <c r="E8" s="21" t="n">
        <v>96</v>
      </c>
      <c r="F8" s="21" t="inlineStr">
        <is>
          <t>English</t>
        </is>
      </c>
      <c r="G8" s="21" t="inlineStr">
        <is>
          <t>Passed</t>
        </is>
      </c>
      <c r="H8" s="22" t="n">
        <v>25529689.5</v>
      </c>
      <c r="I8" s="22" t="n">
        <v>3950000</v>
      </c>
      <c r="J8" s="21">
        <f>IF(OR(H8="",H8=25529689.5),"Yes","No")</f>
        <v/>
      </c>
      <c r="K8" s="21">
        <f>IF(AND(D8="USA",C8&gt;=1980,J8="No"),"Yes","No")</f>
        <v/>
      </c>
      <c r="L8" s="26">
        <f>IF(J8="Yes","",H8-I8)</f>
        <v/>
      </c>
      <c r="M8" s="27">
        <f>IF(OR(J8="Yes",I8=0),"",H8/I8)</f>
        <v/>
      </c>
      <c r="N8" s="21">
        <f>IF(J8="Yes","",IF(H8&gt;=I8,1,0))</f>
        <v/>
      </c>
      <c r="O8" s="21">
        <f>IF(I8&lt;=5000000,"Under $5M",IF(I8&lt;=20000000,"$5M-20M",IF(I8&lt;=50000000,"$20M-50M",IF(I8&lt;=100000000,"$50M-100M","$100M+"))))</f>
        <v/>
      </c>
      <c r="P8" s="21">
        <f>IF(E8&lt;=90,"90 or less",IF(E8&lt;=105,"91-105",IF(E8&lt;=120,"106-120",IF(E8&lt;=140,"121-140","Over 140"))))</f>
        <v/>
      </c>
      <c r="Q8" s="28">
        <f>INT(C8/10)*10</f>
        <v/>
      </c>
    </row>
    <row r="9">
      <c r="A9" s="21" t="n">
        <v>8</v>
      </c>
      <c r="B9" s="21" t="inlineStr">
        <is>
          <t>A Farewell to Arms</t>
        </is>
      </c>
      <c r="C9" s="21" t="n">
        <v>1932</v>
      </c>
      <c r="D9" s="21" t="inlineStr">
        <is>
          <t>USA</t>
        </is>
      </c>
      <c r="E9" s="21" t="n">
        <v>79</v>
      </c>
      <c r="F9" s="21" t="inlineStr">
        <is>
          <t>English</t>
        </is>
      </c>
      <c r="G9" s="21" t="inlineStr">
        <is>
          <t>Unrated</t>
        </is>
      </c>
      <c r="H9" s="22" t="n">
        <v>25529689.5</v>
      </c>
      <c r="I9" s="22" t="n">
        <v>800000</v>
      </c>
      <c r="J9" s="21">
        <f>IF(OR(H9="",H9=25529689.5),"Yes","No")</f>
        <v/>
      </c>
      <c r="K9" s="21">
        <f>IF(AND(D9="USA",C9&gt;=1980,J9="No"),"Yes","No")</f>
        <v/>
      </c>
      <c r="L9" s="26">
        <f>IF(J9="Yes","",H9-I9)</f>
        <v/>
      </c>
      <c r="M9" s="27">
        <f>IF(OR(J9="Yes",I9=0),"",H9/I9)</f>
        <v/>
      </c>
      <c r="N9" s="21">
        <f>IF(J9="Yes","",IF(H9&gt;=I9,1,0))</f>
        <v/>
      </c>
      <c r="O9" s="21">
        <f>IF(I9&lt;=5000000,"Under $5M",IF(I9&lt;=20000000,"$5M-20M",IF(I9&lt;=50000000,"$20M-50M",IF(I9&lt;=100000000,"$50M-100M","$100M+"))))</f>
        <v/>
      </c>
      <c r="P9" s="21">
        <f>IF(E9&lt;=90,"90 or less",IF(E9&lt;=105,"91-105",IF(E9&lt;=120,"106-120",IF(E9&lt;=140,"121-140","Over 140"))))</f>
        <v/>
      </c>
      <c r="Q9" s="28">
        <f>INT(C9/10)*10</f>
        <v/>
      </c>
    </row>
    <row r="10">
      <c r="A10" s="21" t="n">
        <v>9</v>
      </c>
      <c r="B10" s="21" t="inlineStr">
        <is>
          <t>42nd Street</t>
        </is>
      </c>
      <c r="C10" s="21" t="n">
        <v>1933</v>
      </c>
      <c r="D10" s="21" t="inlineStr">
        <is>
          <t>USA</t>
        </is>
      </c>
      <c r="E10" s="21" t="n">
        <v>89</v>
      </c>
      <c r="F10" s="21" t="inlineStr">
        <is>
          <t>English</t>
        </is>
      </c>
      <c r="G10" s="21" t="inlineStr">
        <is>
          <t>Unrated</t>
        </is>
      </c>
      <c r="H10" s="22" t="n">
        <v>2300000</v>
      </c>
      <c r="I10" s="22" t="n">
        <v>439000</v>
      </c>
      <c r="J10" s="21">
        <f>IF(OR(H10="",H10=25529689.5),"Yes","No")</f>
        <v/>
      </c>
      <c r="K10" s="21">
        <f>IF(AND(D10="USA",C10&gt;=1980,J10="No"),"Yes","No")</f>
        <v/>
      </c>
      <c r="L10" s="26">
        <f>IF(J10="Yes","",H10-I10)</f>
        <v/>
      </c>
      <c r="M10" s="27">
        <f>IF(OR(J10="Yes",I10=0),"",H10/I10)</f>
        <v/>
      </c>
      <c r="N10" s="21">
        <f>IF(J10="Yes","",IF(H10&gt;=I10,1,0))</f>
        <v/>
      </c>
      <c r="O10" s="21">
        <f>IF(I10&lt;=5000000,"Under $5M",IF(I10&lt;=20000000,"$5M-20M",IF(I10&lt;=50000000,"$20M-50M",IF(I10&lt;=100000000,"$50M-100M","$100M+"))))</f>
        <v/>
      </c>
      <c r="P10" s="21">
        <f>IF(E10&lt;=90,"90 or less",IF(E10&lt;=105,"91-105",IF(E10&lt;=120,"106-120",IF(E10&lt;=140,"121-140","Over 140"))))</f>
        <v/>
      </c>
      <c r="Q10" s="28">
        <f>INT(C10/10)*10</f>
        <v/>
      </c>
    </row>
    <row r="11">
      <c r="A11" s="21" t="n">
        <v>10</v>
      </c>
      <c r="B11" s="21" t="inlineStr">
        <is>
          <t>She Done Him Wrong</t>
        </is>
      </c>
      <c r="C11" s="21" t="n">
        <v>1933</v>
      </c>
      <c r="D11" s="21" t="inlineStr">
        <is>
          <t>USA</t>
        </is>
      </c>
      <c r="E11" s="21" t="n">
        <v>66</v>
      </c>
      <c r="F11" s="21" t="inlineStr">
        <is>
          <t>English</t>
        </is>
      </c>
      <c r="G11" s="21" t="inlineStr">
        <is>
          <t>Approved</t>
        </is>
      </c>
      <c r="H11" s="22" t="n">
        <v>25529689.5</v>
      </c>
      <c r="I11" s="22" t="n">
        <v>200000</v>
      </c>
      <c r="J11" s="21">
        <f>IF(OR(H11="",H11=25529689.5),"Yes","No")</f>
        <v/>
      </c>
      <c r="K11" s="21">
        <f>IF(AND(D11="USA",C11&gt;=1980,J11="No"),"Yes","No")</f>
        <v/>
      </c>
      <c r="L11" s="26">
        <f>IF(J11="Yes","",H11-I11)</f>
        <v/>
      </c>
      <c r="M11" s="27">
        <f>IF(OR(J11="Yes",I11=0),"",H11/I11)</f>
        <v/>
      </c>
      <c r="N11" s="21">
        <f>IF(J11="Yes","",IF(H11&gt;=I11,1,0))</f>
        <v/>
      </c>
      <c r="O11" s="21">
        <f>IF(I11&lt;=5000000,"Under $5M",IF(I11&lt;=20000000,"$5M-20M",IF(I11&lt;=50000000,"$20M-50M",IF(I11&lt;=100000000,"$50M-100M","$100M+"))))</f>
        <v/>
      </c>
      <c r="P11" s="21">
        <f>IF(E11&lt;=90,"90 or less",IF(E11&lt;=105,"91-105",IF(E11&lt;=120,"106-120",IF(E11&lt;=140,"121-140","Over 140"))))</f>
        <v/>
      </c>
      <c r="Q11" s="28">
        <f>INT(C11/10)*10</f>
        <v/>
      </c>
    </row>
    <row r="12">
      <c r="A12" s="21" t="n">
        <v>11</v>
      </c>
      <c r="B12" s="21" t="inlineStr">
        <is>
          <t>It Happened One Night</t>
        </is>
      </c>
      <c r="C12" s="21" t="n">
        <v>1934</v>
      </c>
      <c r="D12" s="21" t="inlineStr">
        <is>
          <t>USA</t>
        </is>
      </c>
      <c r="E12" s="21" t="n">
        <v>65</v>
      </c>
      <c r="F12" s="21" t="inlineStr">
        <is>
          <t>English</t>
        </is>
      </c>
      <c r="G12" s="21" t="inlineStr">
        <is>
          <t>Unrated</t>
        </is>
      </c>
      <c r="H12" s="22" t="n">
        <v>25529689.5</v>
      </c>
      <c r="I12" s="22" t="n">
        <v>325000</v>
      </c>
      <c r="J12" s="21">
        <f>IF(OR(H12="",H12=25529689.5),"Yes","No")</f>
        <v/>
      </c>
      <c r="K12" s="21">
        <f>IF(AND(D12="USA",C12&gt;=1980,J12="No"),"Yes","No")</f>
        <v/>
      </c>
      <c r="L12" s="26">
        <f>IF(J12="Yes","",H12-I12)</f>
        <v/>
      </c>
      <c r="M12" s="27">
        <f>IF(OR(J12="Yes",I12=0),"",H12/I12)</f>
        <v/>
      </c>
      <c r="N12" s="21">
        <f>IF(J12="Yes","",IF(H12&gt;=I12,1,0))</f>
        <v/>
      </c>
      <c r="O12" s="21">
        <f>IF(I12&lt;=5000000,"Under $5M",IF(I12&lt;=20000000,"$5M-20M",IF(I12&lt;=50000000,"$20M-50M",IF(I12&lt;=100000000,"$50M-100M","$100M+"))))</f>
        <v/>
      </c>
      <c r="P12" s="21">
        <f>IF(E12&lt;=90,"90 or less",IF(E12&lt;=105,"91-105",IF(E12&lt;=120,"106-120",IF(E12&lt;=140,"121-140","Over 140"))))</f>
        <v/>
      </c>
      <c r="Q12" s="28">
        <f>INT(C12/10)*10</f>
        <v/>
      </c>
    </row>
    <row r="13">
      <c r="A13" s="21" t="n">
        <v>12</v>
      </c>
      <c r="B13" s="21" t="inlineStr">
        <is>
          <t>Top Hat</t>
        </is>
      </c>
      <c r="C13" s="21" t="n">
        <v>1935</v>
      </c>
      <c r="D13" s="21" t="inlineStr">
        <is>
          <t>USA</t>
        </is>
      </c>
      <c r="E13" s="21" t="n">
        <v>81</v>
      </c>
      <c r="F13" s="21" t="inlineStr">
        <is>
          <t>English</t>
        </is>
      </c>
      <c r="G13" s="21" t="inlineStr">
        <is>
          <t>Approved</t>
        </is>
      </c>
      <c r="H13" s="22" t="n">
        <v>3000000</v>
      </c>
      <c r="I13" s="22" t="n">
        <v>609000</v>
      </c>
      <c r="J13" s="21">
        <f>IF(OR(H13="",H13=25529689.5),"Yes","No")</f>
        <v/>
      </c>
      <c r="K13" s="21">
        <f>IF(AND(D13="USA",C13&gt;=1980,J13="No"),"Yes","No")</f>
        <v/>
      </c>
      <c r="L13" s="26">
        <f>IF(J13="Yes","",H13-I13)</f>
        <v/>
      </c>
      <c r="M13" s="27">
        <f>IF(OR(J13="Yes",I13=0),"",H13/I13)</f>
        <v/>
      </c>
      <c r="N13" s="21">
        <f>IF(J13="Yes","",IF(H13&gt;=I13,1,0))</f>
        <v/>
      </c>
      <c r="O13" s="21">
        <f>IF(I13&lt;=5000000,"Under $5M",IF(I13&lt;=20000000,"$5M-20M",IF(I13&lt;=50000000,"$20M-50M",IF(I13&lt;=100000000,"$50M-100M","$100M+"))))</f>
        <v/>
      </c>
      <c r="P13" s="21">
        <f>IF(E13&lt;=90,"90 or less",IF(E13&lt;=105,"91-105",IF(E13&lt;=120,"106-120",IF(E13&lt;=140,"121-140","Over 140"))))</f>
        <v/>
      </c>
      <c r="Q13" s="28">
        <f>INT(C13/10)*10</f>
        <v/>
      </c>
    </row>
    <row r="14">
      <c r="A14" s="21" t="n">
        <v>13</v>
      </c>
      <c r="B14" s="21" t="inlineStr">
        <is>
          <t>Modern Times</t>
        </is>
      </c>
      <c r="C14" s="21" t="n">
        <v>1936</v>
      </c>
      <c r="D14" s="21" t="inlineStr">
        <is>
          <t>USA</t>
        </is>
      </c>
      <c r="E14" s="21" t="n">
        <v>87</v>
      </c>
      <c r="F14" s="21" t="inlineStr">
        <is>
          <t>English</t>
        </is>
      </c>
      <c r="G14" s="21" t="inlineStr">
        <is>
          <t>G</t>
        </is>
      </c>
      <c r="H14" s="22" t="n">
        <v>163245</v>
      </c>
      <c r="I14" s="22" t="n">
        <v>1500000</v>
      </c>
      <c r="J14" s="21">
        <f>IF(OR(H14="",H14=25529689.5),"Yes","No")</f>
        <v/>
      </c>
      <c r="K14" s="21">
        <f>IF(AND(D14="USA",C14&gt;=1980,J14="No"),"Yes","No")</f>
        <v/>
      </c>
      <c r="L14" s="26">
        <f>IF(J14="Yes","",H14-I14)</f>
        <v/>
      </c>
      <c r="M14" s="27">
        <f>IF(OR(J14="Yes",I14=0),"",H14/I14)</f>
        <v/>
      </c>
      <c r="N14" s="21">
        <f>IF(J14="Yes","",IF(H14&gt;=I14,1,0))</f>
        <v/>
      </c>
      <c r="O14" s="21">
        <f>IF(I14&lt;=5000000,"Under $5M",IF(I14&lt;=20000000,"$5M-20M",IF(I14&lt;=50000000,"$20M-50M",IF(I14&lt;=100000000,"$50M-100M","$100M+"))))</f>
        <v/>
      </c>
      <c r="P14" s="21">
        <f>IF(E14&lt;=90,"90 or less",IF(E14&lt;=105,"91-105",IF(E14&lt;=120,"106-120",IF(E14&lt;=140,"121-140","Over 140"))))</f>
        <v/>
      </c>
      <c r="Q14" s="28">
        <f>INT(C14/10)*10</f>
        <v/>
      </c>
    </row>
    <row r="15">
      <c r="A15" s="21" t="n">
        <v>14</v>
      </c>
      <c r="B15" s="21" t="inlineStr">
        <is>
          <t>The Charge of the Light Brigade</t>
        </is>
      </c>
      <c r="C15" s="21" t="n">
        <v>1936</v>
      </c>
      <c r="D15" s="21" t="inlineStr">
        <is>
          <t>USA</t>
        </is>
      </c>
      <c r="E15" s="21" t="n">
        <v>100</v>
      </c>
      <c r="F15" s="21" t="inlineStr">
        <is>
          <t>English</t>
        </is>
      </c>
      <c r="G15" s="21" t="inlineStr">
        <is>
          <t>Approved</t>
        </is>
      </c>
      <c r="H15" s="22" t="n">
        <v>25529689.5</v>
      </c>
      <c r="I15" s="22" t="n">
        <v>1200000</v>
      </c>
      <c r="J15" s="21">
        <f>IF(OR(H15="",H15=25529689.5),"Yes","No")</f>
        <v/>
      </c>
      <c r="K15" s="21">
        <f>IF(AND(D15="USA",C15&gt;=1980,J15="No"),"Yes","No")</f>
        <v/>
      </c>
      <c r="L15" s="26">
        <f>IF(J15="Yes","",H15-I15)</f>
        <v/>
      </c>
      <c r="M15" s="27">
        <f>IF(OR(J15="Yes",I15=0),"",H15/I15)</f>
        <v/>
      </c>
      <c r="N15" s="21">
        <f>IF(J15="Yes","",IF(H15&gt;=I15,1,0))</f>
        <v/>
      </c>
      <c r="O15" s="21">
        <f>IF(I15&lt;=5000000,"Under $5M",IF(I15&lt;=20000000,"$5M-20M",IF(I15&lt;=50000000,"$20M-50M",IF(I15&lt;=100000000,"$50M-100M","$100M+"))))</f>
        <v/>
      </c>
      <c r="P15" s="21">
        <f>IF(E15&lt;=90,"90 or less",IF(E15&lt;=105,"91-105",IF(E15&lt;=120,"106-120",IF(E15&lt;=140,"121-140","Over 140"))))</f>
        <v/>
      </c>
      <c r="Q15" s="28">
        <f>INT(C15/10)*10</f>
        <v/>
      </c>
    </row>
    <row r="16">
      <c r="A16" s="21" t="n">
        <v>15</v>
      </c>
      <c r="B16" s="21" t="inlineStr">
        <is>
          <t>Snow White and the Seven Dwarfs</t>
        </is>
      </c>
      <c r="C16" s="21" t="n">
        <v>1937</v>
      </c>
      <c r="D16" s="21" t="inlineStr">
        <is>
          <t>USA</t>
        </is>
      </c>
      <c r="E16" s="21" t="n">
        <v>83</v>
      </c>
      <c r="F16" s="21" t="inlineStr">
        <is>
          <t>English</t>
        </is>
      </c>
      <c r="G16" s="21" t="inlineStr">
        <is>
          <t>Approved</t>
        </is>
      </c>
      <c r="H16" s="22" t="n">
        <v>184925485</v>
      </c>
      <c r="I16" s="22" t="n">
        <v>2000000</v>
      </c>
      <c r="J16" s="21">
        <f>IF(OR(H16="",H16=25529689.5),"Yes","No")</f>
        <v/>
      </c>
      <c r="K16" s="21">
        <f>IF(AND(D16="USA",C16&gt;=1980,J16="No"),"Yes","No")</f>
        <v/>
      </c>
      <c r="L16" s="26">
        <f>IF(J16="Yes","",H16-I16)</f>
        <v/>
      </c>
      <c r="M16" s="27">
        <f>IF(OR(J16="Yes",I16=0),"",H16/I16)</f>
        <v/>
      </c>
      <c r="N16" s="21">
        <f>IF(J16="Yes","",IF(H16&gt;=I16,1,0))</f>
        <v/>
      </c>
      <c r="O16" s="21">
        <f>IF(I16&lt;=5000000,"Under $5M",IF(I16&lt;=20000000,"$5M-20M",IF(I16&lt;=50000000,"$20M-50M",IF(I16&lt;=100000000,"$50M-100M","$100M+"))))</f>
        <v/>
      </c>
      <c r="P16" s="21">
        <f>IF(E16&lt;=90,"90 or less",IF(E16&lt;=105,"91-105",IF(E16&lt;=120,"106-120",IF(E16&lt;=140,"121-140","Over 140"))))</f>
        <v/>
      </c>
      <c r="Q16" s="28">
        <f>INT(C16/10)*10</f>
        <v/>
      </c>
    </row>
    <row r="17">
      <c r="A17" s="21" t="n">
        <v>16</v>
      </c>
      <c r="B17" s="21" t="inlineStr">
        <is>
          <t>The Prisoner of Zenda</t>
        </is>
      </c>
      <c r="C17" s="21" t="n">
        <v>1937</v>
      </c>
      <c r="D17" s="21" t="inlineStr">
        <is>
          <t>USA</t>
        </is>
      </c>
      <c r="E17" s="21" t="n">
        <v>101</v>
      </c>
      <c r="F17" s="21" t="inlineStr">
        <is>
          <t>English</t>
        </is>
      </c>
      <c r="G17" s="21" t="inlineStr">
        <is>
          <t>Approved</t>
        </is>
      </c>
      <c r="H17" s="22" t="n">
        <v>25529689.5</v>
      </c>
      <c r="I17" s="22" t="n">
        <v>20000000</v>
      </c>
      <c r="J17" s="21">
        <f>IF(OR(H17="",H17=25529689.5),"Yes","No")</f>
        <v/>
      </c>
      <c r="K17" s="21">
        <f>IF(AND(D17="USA",C17&gt;=1980,J17="No"),"Yes","No")</f>
        <v/>
      </c>
      <c r="L17" s="26">
        <f>IF(J17="Yes","",H17-I17)</f>
        <v/>
      </c>
      <c r="M17" s="27">
        <f>IF(OR(J17="Yes",I17=0),"",H17/I17)</f>
        <v/>
      </c>
      <c r="N17" s="21">
        <f>IF(J17="Yes","",IF(H17&gt;=I17,1,0))</f>
        <v/>
      </c>
      <c r="O17" s="21">
        <f>IF(I17&lt;=5000000,"Under $5M",IF(I17&lt;=20000000,"$5M-20M",IF(I17&lt;=50000000,"$20M-50M",IF(I17&lt;=100000000,"$50M-100M","$100M+"))))</f>
        <v/>
      </c>
      <c r="P17" s="21">
        <f>IF(E17&lt;=90,"90 or less",IF(E17&lt;=105,"91-105",IF(E17&lt;=120,"106-120",IF(E17&lt;=140,"121-140","Over 140"))))</f>
        <v/>
      </c>
      <c r="Q17" s="28">
        <f>INT(C17/10)*10</f>
        <v/>
      </c>
    </row>
    <row r="18">
      <c r="A18" s="21" t="n">
        <v>17</v>
      </c>
      <c r="B18" s="21" t="inlineStr">
        <is>
          <t>Alexander's Ragtime Band</t>
        </is>
      </c>
      <c r="C18" s="21" t="n">
        <v>1938</v>
      </c>
      <c r="D18" s="21" t="inlineStr">
        <is>
          <t>USA</t>
        </is>
      </c>
      <c r="E18" s="21" t="n">
        <v>106</v>
      </c>
      <c r="F18" s="21" t="inlineStr">
        <is>
          <t>English</t>
        </is>
      </c>
      <c r="G18" s="21" t="inlineStr">
        <is>
          <t>Approved</t>
        </is>
      </c>
      <c r="H18" s="22" t="n">
        <v>25529689.5</v>
      </c>
      <c r="I18" s="22" t="n">
        <v>2000000</v>
      </c>
      <c r="J18" s="21">
        <f>IF(OR(H18="",H18=25529689.5),"Yes","No")</f>
        <v/>
      </c>
      <c r="K18" s="21">
        <f>IF(AND(D18="USA",C18&gt;=1980,J18="No"),"Yes","No")</f>
        <v/>
      </c>
      <c r="L18" s="26">
        <f>IF(J18="Yes","",H18-I18)</f>
        <v/>
      </c>
      <c r="M18" s="27">
        <f>IF(OR(J18="Yes",I18=0),"",H18/I18)</f>
        <v/>
      </c>
      <c r="N18" s="21">
        <f>IF(J18="Yes","",IF(H18&gt;=I18,1,0))</f>
        <v/>
      </c>
      <c r="O18" s="21">
        <f>IF(I18&lt;=5000000,"Under $5M",IF(I18&lt;=20000000,"$5M-20M",IF(I18&lt;=50000000,"$20M-50M",IF(I18&lt;=100000000,"$50M-100M","$100M+"))))</f>
        <v/>
      </c>
      <c r="P18" s="21">
        <f>IF(E18&lt;=90,"90 or less",IF(E18&lt;=105,"91-105",IF(E18&lt;=120,"106-120",IF(E18&lt;=140,"121-140","Over 140"))))</f>
        <v/>
      </c>
      <c r="Q18" s="28">
        <f>INT(C18/10)*10</f>
        <v/>
      </c>
    </row>
    <row r="19">
      <c r="A19" s="21" t="n">
        <v>18</v>
      </c>
      <c r="B19" s="21" t="inlineStr">
        <is>
          <t>You Can't Take It with You</t>
        </is>
      </c>
      <c r="C19" s="21" t="n">
        <v>1938</v>
      </c>
      <c r="D19" s="21" t="inlineStr">
        <is>
          <t>USA</t>
        </is>
      </c>
      <c r="E19" s="21" t="n">
        <v>126</v>
      </c>
      <c r="F19" s="21" t="inlineStr">
        <is>
          <t>English</t>
        </is>
      </c>
      <c r="G19" s="21" t="inlineStr">
        <is>
          <t>Approved</t>
        </is>
      </c>
      <c r="H19" s="22" t="n">
        <v>25529689.5</v>
      </c>
      <c r="I19" s="22" t="n">
        <v>1644736</v>
      </c>
      <c r="J19" s="21">
        <f>IF(OR(H19="",H19=25529689.5),"Yes","No")</f>
        <v/>
      </c>
      <c r="K19" s="21">
        <f>IF(AND(D19="USA",C19&gt;=1980,J19="No"),"Yes","No")</f>
        <v/>
      </c>
      <c r="L19" s="26">
        <f>IF(J19="Yes","",H19-I19)</f>
        <v/>
      </c>
      <c r="M19" s="27">
        <f>IF(OR(J19="Yes",I19=0),"",H19/I19)</f>
        <v/>
      </c>
      <c r="N19" s="21">
        <f>IF(J19="Yes","",IF(H19&gt;=I19,1,0))</f>
        <v/>
      </c>
      <c r="O19" s="21">
        <f>IF(I19&lt;=5000000,"Under $5M",IF(I19&lt;=20000000,"$5M-20M",IF(I19&lt;=50000000,"$20M-50M",IF(I19&lt;=100000000,"$50M-100M","$100M+"))))</f>
        <v/>
      </c>
      <c r="P19" s="21">
        <f>IF(E19&lt;=90,"90 or less",IF(E19&lt;=105,"91-105",IF(E19&lt;=120,"106-120",IF(E19&lt;=140,"121-140","Over 140"))))</f>
        <v/>
      </c>
      <c r="Q19" s="28">
        <f>INT(C19/10)*10</f>
        <v/>
      </c>
    </row>
    <row r="20">
      <c r="A20" s="21" t="n">
        <v>19</v>
      </c>
      <c r="B20" s="21" t="inlineStr">
        <is>
          <t>Gone with the Wind</t>
        </is>
      </c>
      <c r="C20" s="21" t="n">
        <v>1939</v>
      </c>
      <c r="D20" s="21" t="inlineStr">
        <is>
          <t>USA</t>
        </is>
      </c>
      <c r="E20" s="21" t="n">
        <v>226</v>
      </c>
      <c r="F20" s="21" t="inlineStr">
        <is>
          <t>English</t>
        </is>
      </c>
      <c r="G20" s="21" t="inlineStr">
        <is>
          <t>G</t>
        </is>
      </c>
      <c r="H20" s="22" t="n">
        <v>198655278</v>
      </c>
      <c r="I20" s="22" t="n">
        <v>3977000</v>
      </c>
      <c r="J20" s="21">
        <f>IF(OR(H20="",H20=25529689.5),"Yes","No")</f>
        <v/>
      </c>
      <c r="K20" s="21">
        <f>IF(AND(D20="USA",C20&gt;=1980,J20="No"),"Yes","No")</f>
        <v/>
      </c>
      <c r="L20" s="26">
        <f>IF(J20="Yes","",H20-I20)</f>
        <v/>
      </c>
      <c r="M20" s="27">
        <f>IF(OR(J20="Yes",I20=0),"",H20/I20)</f>
        <v/>
      </c>
      <c r="N20" s="21">
        <f>IF(J20="Yes","",IF(H20&gt;=I20,1,0))</f>
        <v/>
      </c>
      <c r="O20" s="21">
        <f>IF(I20&lt;=5000000,"Under $5M",IF(I20&lt;=20000000,"$5M-20M",IF(I20&lt;=50000000,"$20M-50M",IF(I20&lt;=100000000,"$50M-100M","$100M+"))))</f>
        <v/>
      </c>
      <c r="P20" s="21">
        <f>IF(E20&lt;=90,"90 or less",IF(E20&lt;=105,"91-105",IF(E20&lt;=120,"106-120",IF(E20&lt;=140,"121-140","Over 140"))))</f>
        <v/>
      </c>
      <c r="Q20" s="28">
        <f>INT(C20/10)*10</f>
        <v/>
      </c>
    </row>
    <row r="21">
      <c r="A21" s="21" t="n">
        <v>20</v>
      </c>
      <c r="B21" s="21" t="inlineStr">
        <is>
          <t>Mr. Smith Goes to Washington</t>
        </is>
      </c>
      <c r="C21" s="21" t="n">
        <v>1939</v>
      </c>
      <c r="D21" s="21" t="inlineStr">
        <is>
          <t>USA</t>
        </is>
      </c>
      <c r="E21" s="21" t="n">
        <v>120</v>
      </c>
      <c r="F21" s="21" t="inlineStr">
        <is>
          <t>English</t>
        </is>
      </c>
      <c r="G21" s="21" t="inlineStr">
        <is>
          <t>Not Rated</t>
        </is>
      </c>
      <c r="H21" s="22" t="n">
        <v>25529689.5</v>
      </c>
      <c r="I21" s="22" t="n">
        <v>1500000</v>
      </c>
      <c r="J21" s="21">
        <f>IF(OR(H21="",H21=25529689.5),"Yes","No")</f>
        <v/>
      </c>
      <c r="K21" s="21">
        <f>IF(AND(D21="USA",C21&gt;=1980,J21="No"),"Yes","No")</f>
        <v/>
      </c>
      <c r="L21" s="26">
        <f>IF(J21="Yes","",H21-I21)</f>
        <v/>
      </c>
      <c r="M21" s="27">
        <f>IF(OR(J21="Yes",I21=0),"",H21/I21)</f>
        <v/>
      </c>
      <c r="N21" s="21">
        <f>IF(J21="Yes","",IF(H21&gt;=I21,1,0))</f>
        <v/>
      </c>
      <c r="O21" s="21">
        <f>IF(I21&lt;=5000000,"Under $5M",IF(I21&lt;=20000000,"$5M-20M",IF(I21&lt;=50000000,"$20M-50M",IF(I21&lt;=100000000,"$50M-100M","$100M+"))))</f>
        <v/>
      </c>
      <c r="P21" s="21">
        <f>IF(E21&lt;=90,"90 or less",IF(E21&lt;=105,"91-105",IF(E21&lt;=120,"106-120",IF(E21&lt;=140,"121-140","Over 140"))))</f>
        <v/>
      </c>
      <c r="Q21" s="28">
        <f>INT(C21/10)*10</f>
        <v/>
      </c>
    </row>
    <row r="22">
      <c r="A22" s="21" t="n">
        <v>21</v>
      </c>
      <c r="B22" s="21" t="inlineStr">
        <is>
          <t>The Wizard of Oz</t>
        </is>
      </c>
      <c r="C22" s="21" t="n">
        <v>1939</v>
      </c>
      <c r="D22" s="21" t="inlineStr">
        <is>
          <t>USA</t>
        </is>
      </c>
      <c r="E22" s="21" t="n">
        <v>102</v>
      </c>
      <c r="F22" s="21" t="inlineStr">
        <is>
          <t>English</t>
        </is>
      </c>
      <c r="G22" s="21" t="inlineStr">
        <is>
          <t>Passed</t>
        </is>
      </c>
      <c r="H22" s="22" t="n">
        <v>22202612</v>
      </c>
      <c r="I22" s="22" t="n">
        <v>2800000</v>
      </c>
      <c r="J22" s="21">
        <f>IF(OR(H22="",H22=25529689.5),"Yes","No")</f>
        <v/>
      </c>
      <c r="K22" s="21">
        <f>IF(AND(D22="USA",C22&gt;=1980,J22="No"),"Yes","No")</f>
        <v/>
      </c>
      <c r="L22" s="26">
        <f>IF(J22="Yes","",H22-I22)</f>
        <v/>
      </c>
      <c r="M22" s="27">
        <f>IF(OR(J22="Yes",I22=0),"",H22/I22)</f>
        <v/>
      </c>
      <c r="N22" s="21">
        <f>IF(J22="Yes","",IF(H22&gt;=I22,1,0))</f>
        <v/>
      </c>
      <c r="O22" s="21">
        <f>IF(I22&lt;=5000000,"Under $5M",IF(I22&lt;=20000000,"$5M-20M",IF(I22&lt;=50000000,"$20M-50M",IF(I22&lt;=100000000,"$50M-100M","$100M+"))))</f>
        <v/>
      </c>
      <c r="P22" s="21">
        <f>IF(E22&lt;=90,"90 or less",IF(E22&lt;=105,"91-105",IF(E22&lt;=120,"106-120",IF(E22&lt;=140,"121-140","Over 140"))))</f>
        <v/>
      </c>
      <c r="Q22" s="28">
        <f>INT(C22/10)*10</f>
        <v/>
      </c>
    </row>
    <row r="23">
      <c r="A23" s="21" t="n">
        <v>22</v>
      </c>
      <c r="B23" s="21" t="inlineStr">
        <is>
          <t>Boom Town</t>
        </is>
      </c>
      <c r="C23" s="21" t="n">
        <v>1940</v>
      </c>
      <c r="D23" s="21" t="inlineStr">
        <is>
          <t>USA</t>
        </is>
      </c>
      <c r="E23" s="21" t="n">
        <v>119</v>
      </c>
      <c r="F23" s="21" t="inlineStr">
        <is>
          <t>English</t>
        </is>
      </c>
      <c r="G23" s="21" t="inlineStr">
        <is>
          <t>Passed</t>
        </is>
      </c>
      <c r="H23" s="22" t="n">
        <v>25529689.5</v>
      </c>
      <c r="I23" s="22" t="n">
        <v>1614000</v>
      </c>
      <c r="J23" s="21">
        <f>IF(OR(H23="",H23=25529689.5),"Yes","No")</f>
        <v/>
      </c>
      <c r="K23" s="21">
        <f>IF(AND(D23="USA",C23&gt;=1980,J23="No"),"Yes","No")</f>
        <v/>
      </c>
      <c r="L23" s="26">
        <f>IF(J23="Yes","",H23-I23)</f>
        <v/>
      </c>
      <c r="M23" s="27">
        <f>IF(OR(J23="Yes",I23=0),"",H23/I23)</f>
        <v/>
      </c>
      <c r="N23" s="21">
        <f>IF(J23="Yes","",IF(H23&gt;=I23,1,0))</f>
        <v/>
      </c>
      <c r="O23" s="21">
        <f>IF(I23&lt;=5000000,"Under $5M",IF(I23&lt;=20000000,"$5M-20M",IF(I23&lt;=50000000,"$20M-50M",IF(I23&lt;=100000000,"$50M-100M","$100M+"))))</f>
        <v/>
      </c>
      <c r="P23" s="21">
        <f>IF(E23&lt;=90,"90 or less",IF(E23&lt;=105,"91-105",IF(E23&lt;=120,"106-120",IF(E23&lt;=140,"121-140","Over 140"))))</f>
        <v/>
      </c>
      <c r="Q23" s="28">
        <f>INT(C23/10)*10</f>
        <v/>
      </c>
    </row>
    <row r="24">
      <c r="A24" s="21" t="n">
        <v>23</v>
      </c>
      <c r="B24" s="21" t="inlineStr">
        <is>
          <t>Fantasia</t>
        </is>
      </c>
      <c r="C24" s="21" t="n">
        <v>1940</v>
      </c>
      <c r="D24" s="21" t="inlineStr">
        <is>
          <t>USA</t>
        </is>
      </c>
      <c r="E24" s="21" t="n">
        <v>120</v>
      </c>
      <c r="F24" s="21" t="inlineStr">
        <is>
          <t>English</t>
        </is>
      </c>
      <c r="G24" s="21" t="inlineStr">
        <is>
          <t>G</t>
        </is>
      </c>
      <c r="H24" s="22" t="n">
        <v>76400000</v>
      </c>
      <c r="I24" s="22" t="n">
        <v>2280000</v>
      </c>
      <c r="J24" s="21">
        <f>IF(OR(H24="",H24=25529689.5),"Yes","No")</f>
        <v/>
      </c>
      <c r="K24" s="21">
        <f>IF(AND(D24="USA",C24&gt;=1980,J24="No"),"Yes","No")</f>
        <v/>
      </c>
      <c r="L24" s="26">
        <f>IF(J24="Yes","",H24-I24)</f>
        <v/>
      </c>
      <c r="M24" s="27">
        <f>IF(OR(J24="Yes",I24=0),"",H24/I24)</f>
        <v/>
      </c>
      <c r="N24" s="21">
        <f>IF(J24="Yes","",IF(H24&gt;=I24,1,0))</f>
        <v/>
      </c>
      <c r="O24" s="21">
        <f>IF(I24&lt;=5000000,"Under $5M",IF(I24&lt;=20000000,"$5M-20M",IF(I24&lt;=50000000,"$20M-50M",IF(I24&lt;=100000000,"$50M-100M","$100M+"))))</f>
        <v/>
      </c>
      <c r="P24" s="21">
        <f>IF(E24&lt;=90,"90 or less",IF(E24&lt;=105,"91-105",IF(E24&lt;=120,"106-120",IF(E24&lt;=140,"121-140","Over 140"))))</f>
        <v/>
      </c>
      <c r="Q24" s="28">
        <f>INT(C24/10)*10</f>
        <v/>
      </c>
    </row>
    <row r="25">
      <c r="A25" s="21" t="n">
        <v>24</v>
      </c>
      <c r="B25" s="21" t="inlineStr">
        <is>
          <t>Pinocchio</t>
        </is>
      </c>
      <c r="C25" s="21" t="n">
        <v>1940</v>
      </c>
      <c r="D25" s="21" t="inlineStr">
        <is>
          <t>USA</t>
        </is>
      </c>
      <c r="E25" s="21" t="n">
        <v>88</v>
      </c>
      <c r="F25" s="21" t="inlineStr">
        <is>
          <t>English</t>
        </is>
      </c>
      <c r="G25" s="21" t="inlineStr">
        <is>
          <t>Approved</t>
        </is>
      </c>
      <c r="H25" s="22" t="n">
        <v>84300000</v>
      </c>
      <c r="I25" s="22" t="n">
        <v>2600000</v>
      </c>
      <c r="J25" s="21">
        <f>IF(OR(H25="",H25=25529689.5),"Yes","No")</f>
        <v/>
      </c>
      <c r="K25" s="21">
        <f>IF(AND(D25="USA",C25&gt;=1980,J25="No"),"Yes","No")</f>
        <v/>
      </c>
      <c r="L25" s="26">
        <f>IF(J25="Yes","",H25-I25)</f>
        <v/>
      </c>
      <c r="M25" s="27">
        <f>IF(OR(J25="Yes",I25=0),"",H25/I25)</f>
        <v/>
      </c>
      <c r="N25" s="21">
        <f>IF(J25="Yes","",IF(H25&gt;=I25,1,0))</f>
        <v/>
      </c>
      <c r="O25" s="21">
        <f>IF(I25&lt;=5000000,"Under $5M",IF(I25&lt;=20000000,"$5M-20M",IF(I25&lt;=50000000,"$20M-50M",IF(I25&lt;=100000000,"$50M-100M","$100M+"))))</f>
        <v/>
      </c>
      <c r="P25" s="21">
        <f>IF(E25&lt;=90,"90 or less",IF(E25&lt;=105,"91-105",IF(E25&lt;=120,"106-120",IF(E25&lt;=140,"121-140","Over 140"))))</f>
        <v/>
      </c>
      <c r="Q25" s="28">
        <f>INT(C25/10)*10</f>
        <v/>
      </c>
    </row>
    <row r="26">
      <c r="A26" s="21" t="n">
        <v>25</v>
      </c>
      <c r="B26" s="21" t="inlineStr">
        <is>
          <t>Rebecca</t>
        </is>
      </c>
      <c r="C26" s="21" t="n">
        <v>1940</v>
      </c>
      <c r="D26" s="21" t="inlineStr">
        <is>
          <t>USA</t>
        </is>
      </c>
      <c r="E26" s="21" t="n">
        <v>130</v>
      </c>
      <c r="F26" s="21" t="inlineStr">
        <is>
          <t>English</t>
        </is>
      </c>
      <c r="G26" s="21" t="inlineStr">
        <is>
          <t>Not Rated</t>
        </is>
      </c>
      <c r="H26" s="22" t="n">
        <v>25529689.5</v>
      </c>
      <c r="I26" s="22" t="n">
        <v>1288000</v>
      </c>
      <c r="J26" s="21">
        <f>IF(OR(H26="",H26=25529689.5),"Yes","No")</f>
        <v/>
      </c>
      <c r="K26" s="21">
        <f>IF(AND(D26="USA",C26&gt;=1980,J26="No"),"Yes","No")</f>
        <v/>
      </c>
      <c r="L26" s="26">
        <f>IF(J26="Yes","",H26-I26)</f>
        <v/>
      </c>
      <c r="M26" s="27">
        <f>IF(OR(J26="Yes",I26=0),"",H26/I26)</f>
        <v/>
      </c>
      <c r="N26" s="21">
        <f>IF(J26="Yes","",IF(H26&gt;=I26,1,0))</f>
        <v/>
      </c>
      <c r="O26" s="21">
        <f>IF(I26&lt;=5000000,"Under $5M",IF(I26&lt;=20000000,"$5M-20M",IF(I26&lt;=50000000,"$20M-50M",IF(I26&lt;=100000000,"$50M-100M","$100M+"))))</f>
        <v/>
      </c>
      <c r="P26" s="21">
        <f>IF(E26&lt;=90,"90 or less",IF(E26&lt;=105,"91-105",IF(E26&lt;=120,"106-120",IF(E26&lt;=140,"121-140","Over 140"))))</f>
        <v/>
      </c>
      <c r="Q26" s="28">
        <f>INT(C26/10)*10</f>
        <v/>
      </c>
    </row>
    <row r="27">
      <c r="A27" s="21" t="n">
        <v>26</v>
      </c>
      <c r="B27" s="21" t="inlineStr">
        <is>
          <t>The Blue Bird</t>
        </is>
      </c>
      <c r="C27" s="21" t="n">
        <v>1940</v>
      </c>
      <c r="D27" s="21" t="inlineStr">
        <is>
          <t>USA</t>
        </is>
      </c>
      <c r="E27" s="21" t="n">
        <v>83</v>
      </c>
      <c r="F27" s="21" t="inlineStr">
        <is>
          <t>English</t>
        </is>
      </c>
      <c r="G27" s="21" t="inlineStr">
        <is>
          <t>Approved</t>
        </is>
      </c>
      <c r="H27" s="22" t="n">
        <v>25529689.5</v>
      </c>
      <c r="I27" s="22" t="n">
        <v>20000000</v>
      </c>
      <c r="J27" s="21">
        <f>IF(OR(H27="",H27=25529689.5),"Yes","No")</f>
        <v/>
      </c>
      <c r="K27" s="21">
        <f>IF(AND(D27="USA",C27&gt;=1980,J27="No"),"Yes","No")</f>
        <v/>
      </c>
      <c r="L27" s="26">
        <f>IF(J27="Yes","",H27-I27)</f>
        <v/>
      </c>
      <c r="M27" s="27">
        <f>IF(OR(J27="Yes",I27=0),"",H27/I27)</f>
        <v/>
      </c>
      <c r="N27" s="21">
        <f>IF(J27="Yes","",IF(H27&gt;=I27,1,0))</f>
        <v/>
      </c>
      <c r="O27" s="21">
        <f>IF(I27&lt;=5000000,"Under $5M",IF(I27&lt;=20000000,"$5M-20M",IF(I27&lt;=50000000,"$20M-50M",IF(I27&lt;=100000000,"$50M-100M","$100M+"))))</f>
        <v/>
      </c>
      <c r="P27" s="21">
        <f>IF(E27&lt;=90,"90 or less",IF(E27&lt;=105,"91-105",IF(E27&lt;=120,"106-120",IF(E27&lt;=140,"121-140","Over 140"))))</f>
        <v/>
      </c>
      <c r="Q27" s="28">
        <f>INT(C27/10)*10</f>
        <v/>
      </c>
    </row>
    <row r="28">
      <c r="A28" s="21" t="n">
        <v>27</v>
      </c>
      <c r="B28" s="21" t="inlineStr">
        <is>
          <t>How Green Was My Valley</t>
        </is>
      </c>
      <c r="C28" s="21" t="n">
        <v>1941</v>
      </c>
      <c r="D28" s="21" t="inlineStr">
        <is>
          <t>USA</t>
        </is>
      </c>
      <c r="E28" s="21" t="n">
        <v>118</v>
      </c>
      <c r="F28" s="21" t="inlineStr">
        <is>
          <t>English</t>
        </is>
      </c>
      <c r="G28" s="21" t="inlineStr">
        <is>
          <t>Approved</t>
        </is>
      </c>
      <c r="H28" s="22" t="n">
        <v>25529689.5</v>
      </c>
      <c r="I28" s="22" t="n">
        <v>1250000</v>
      </c>
      <c r="J28" s="21">
        <f>IF(OR(H28="",H28=25529689.5),"Yes","No")</f>
        <v/>
      </c>
      <c r="K28" s="21">
        <f>IF(AND(D28="USA",C28&gt;=1980,J28="No"),"Yes","No")</f>
        <v/>
      </c>
      <c r="L28" s="26">
        <f>IF(J28="Yes","",H28-I28)</f>
        <v/>
      </c>
      <c r="M28" s="27">
        <f>IF(OR(J28="Yes",I28=0),"",H28/I28)</f>
        <v/>
      </c>
      <c r="N28" s="21">
        <f>IF(J28="Yes","",IF(H28&gt;=I28,1,0))</f>
        <v/>
      </c>
      <c r="O28" s="21">
        <f>IF(I28&lt;=5000000,"Under $5M",IF(I28&lt;=20000000,"$5M-20M",IF(I28&lt;=50000000,"$20M-50M",IF(I28&lt;=100000000,"$50M-100M","$100M+"))))</f>
        <v/>
      </c>
      <c r="P28" s="21">
        <f>IF(E28&lt;=90,"90 or less",IF(E28&lt;=105,"91-105",IF(E28&lt;=120,"106-120",IF(E28&lt;=140,"121-140","Over 140"))))</f>
        <v/>
      </c>
      <c r="Q28" s="28">
        <f>INT(C28/10)*10</f>
        <v/>
      </c>
    </row>
    <row r="29">
      <c r="A29" s="21" t="n">
        <v>28</v>
      </c>
      <c r="B29" s="21" t="inlineStr">
        <is>
          <t>Bambi</t>
        </is>
      </c>
      <c r="C29" s="21" t="n">
        <v>1942</v>
      </c>
      <c r="D29" s="21" t="inlineStr">
        <is>
          <t>USA</t>
        </is>
      </c>
      <c r="E29" s="21" t="n">
        <v>70</v>
      </c>
      <c r="F29" s="21" t="inlineStr">
        <is>
          <t>English</t>
        </is>
      </c>
      <c r="G29" s="21" t="inlineStr">
        <is>
          <t>Approved</t>
        </is>
      </c>
      <c r="H29" s="22" t="n">
        <v>102797150</v>
      </c>
      <c r="I29" s="22" t="n">
        <v>20000000</v>
      </c>
      <c r="J29" s="21">
        <f>IF(OR(H29="",H29=25529689.5),"Yes","No")</f>
        <v/>
      </c>
      <c r="K29" s="21">
        <f>IF(AND(D29="USA",C29&gt;=1980,J29="No"),"Yes","No")</f>
        <v/>
      </c>
      <c r="L29" s="26">
        <f>IF(J29="Yes","",H29-I29)</f>
        <v/>
      </c>
      <c r="M29" s="27">
        <f>IF(OR(J29="Yes",I29=0),"",H29/I29)</f>
        <v/>
      </c>
      <c r="N29" s="21">
        <f>IF(J29="Yes","",IF(H29&gt;=I29,1,0))</f>
        <v/>
      </c>
      <c r="O29" s="21">
        <f>IF(I29&lt;=5000000,"Under $5M",IF(I29&lt;=20000000,"$5M-20M",IF(I29&lt;=50000000,"$20M-50M",IF(I29&lt;=100000000,"$50M-100M","$100M+"))))</f>
        <v/>
      </c>
      <c r="P29" s="21">
        <f>IF(E29&lt;=90,"90 or less",IF(E29&lt;=105,"91-105",IF(E29&lt;=120,"106-120",IF(E29&lt;=140,"121-140","Over 140"))))</f>
        <v/>
      </c>
      <c r="Q29" s="28">
        <f>INT(C29/10)*10</f>
        <v/>
      </c>
    </row>
    <row r="30">
      <c r="A30" s="21" t="n">
        <v>29</v>
      </c>
      <c r="B30" s="21" t="inlineStr">
        <is>
          <t>Casablanca</t>
        </is>
      </c>
      <c r="C30" s="21" t="n">
        <v>1942</v>
      </c>
      <c r="D30" s="21" t="inlineStr">
        <is>
          <t>USA</t>
        </is>
      </c>
      <c r="E30" s="21" t="n">
        <v>82</v>
      </c>
      <c r="F30" s="21" t="inlineStr">
        <is>
          <t>English</t>
        </is>
      </c>
      <c r="G30" s="21" t="inlineStr">
        <is>
          <t>PG</t>
        </is>
      </c>
      <c r="H30" s="22" t="n">
        <v>25529689.5</v>
      </c>
      <c r="I30" s="22" t="n">
        <v>950000</v>
      </c>
      <c r="J30" s="21">
        <f>IF(OR(H30="",H30=25529689.5),"Yes","No")</f>
        <v/>
      </c>
      <c r="K30" s="21">
        <f>IF(AND(D30="USA",C30&gt;=1980,J30="No"),"Yes","No")</f>
        <v/>
      </c>
      <c r="L30" s="26">
        <f>IF(J30="Yes","",H30-I30)</f>
        <v/>
      </c>
      <c r="M30" s="27">
        <f>IF(OR(J30="Yes",I30=0),"",H30/I30)</f>
        <v/>
      </c>
      <c r="N30" s="21">
        <f>IF(J30="Yes","",IF(H30&gt;=I30,1,0))</f>
        <v/>
      </c>
      <c r="O30" s="21">
        <f>IF(I30&lt;=5000000,"Under $5M",IF(I30&lt;=20000000,"$5M-20M",IF(I30&lt;=50000000,"$20M-50M",IF(I30&lt;=100000000,"$50M-100M","$100M+"))))</f>
        <v/>
      </c>
      <c r="P30" s="21">
        <f>IF(E30&lt;=90,"90 or less",IF(E30&lt;=105,"91-105",IF(E30&lt;=120,"106-120",IF(E30&lt;=140,"121-140","Over 140"))))</f>
        <v/>
      </c>
      <c r="Q30" s="28">
        <f>INT(C30/10)*10</f>
        <v/>
      </c>
    </row>
    <row r="31">
      <c r="A31" s="21" t="n">
        <v>30</v>
      </c>
      <c r="B31" s="21" t="inlineStr">
        <is>
          <t>A Guy Named Joe</t>
        </is>
      </c>
      <c r="C31" s="21" t="n">
        <v>1943</v>
      </c>
      <c r="D31" s="21" t="inlineStr">
        <is>
          <t>USA</t>
        </is>
      </c>
      <c r="E31" s="21" t="n">
        <v>122</v>
      </c>
      <c r="F31" s="21" t="inlineStr">
        <is>
          <t>English</t>
        </is>
      </c>
      <c r="G31" s="21" t="inlineStr">
        <is>
          <t>Passed</t>
        </is>
      </c>
      <c r="H31" s="22" t="n">
        <v>25529689.5</v>
      </c>
      <c r="I31" s="22" t="n">
        <v>2627000</v>
      </c>
      <c r="J31" s="21">
        <f>IF(OR(H31="",H31=25529689.5),"Yes","No")</f>
        <v/>
      </c>
      <c r="K31" s="21">
        <f>IF(AND(D31="USA",C31&gt;=1980,J31="No"),"Yes","No")</f>
        <v/>
      </c>
      <c r="L31" s="26">
        <f>IF(J31="Yes","",H31-I31)</f>
        <v/>
      </c>
      <c r="M31" s="27">
        <f>IF(OR(J31="Yes",I31=0),"",H31/I31)</f>
        <v/>
      </c>
      <c r="N31" s="21">
        <f>IF(J31="Yes","",IF(H31&gt;=I31,1,0))</f>
        <v/>
      </c>
      <c r="O31" s="21">
        <f>IF(I31&lt;=5000000,"Under $5M",IF(I31&lt;=20000000,"$5M-20M",IF(I31&lt;=50000000,"$20M-50M",IF(I31&lt;=100000000,"$50M-100M","$100M+"))))</f>
        <v/>
      </c>
      <c r="P31" s="21">
        <f>IF(E31&lt;=90,"90 or less",IF(E31&lt;=105,"91-105",IF(E31&lt;=120,"106-120",IF(E31&lt;=140,"121-140","Over 140"))))</f>
        <v/>
      </c>
      <c r="Q31" s="28">
        <f>INT(C31/10)*10</f>
        <v/>
      </c>
    </row>
    <row r="32">
      <c r="A32" s="21" t="n">
        <v>31</v>
      </c>
      <c r="B32" s="21" t="inlineStr">
        <is>
          <t>Bathing Beauty</t>
        </is>
      </c>
      <c r="C32" s="21" t="n">
        <v>1944</v>
      </c>
      <c r="D32" s="21" t="inlineStr">
        <is>
          <t>USA</t>
        </is>
      </c>
      <c r="E32" s="21" t="n">
        <v>101</v>
      </c>
      <c r="F32" s="21" t="inlineStr">
        <is>
          <t>English</t>
        </is>
      </c>
      <c r="G32" s="21" t="inlineStr">
        <is>
          <t>Passed</t>
        </is>
      </c>
      <c r="H32" s="22" t="n">
        <v>25529689.5</v>
      </c>
      <c r="I32" s="22" t="n">
        <v>2361000</v>
      </c>
      <c r="J32" s="21">
        <f>IF(OR(H32="",H32=25529689.5),"Yes","No")</f>
        <v/>
      </c>
      <c r="K32" s="21">
        <f>IF(AND(D32="USA",C32&gt;=1980,J32="No"),"Yes","No")</f>
        <v/>
      </c>
      <c r="L32" s="26">
        <f>IF(J32="Yes","",H32-I32)</f>
        <v/>
      </c>
      <c r="M32" s="27">
        <f>IF(OR(J32="Yes",I32=0),"",H32/I32)</f>
        <v/>
      </c>
      <c r="N32" s="21">
        <f>IF(J32="Yes","",IF(H32&gt;=I32,1,0))</f>
        <v/>
      </c>
      <c r="O32" s="21">
        <f>IF(I32&lt;=5000000,"Under $5M",IF(I32&lt;=20000000,"$5M-20M",IF(I32&lt;=50000000,"$20M-50M",IF(I32&lt;=100000000,"$50M-100M","$100M+"))))</f>
        <v/>
      </c>
      <c r="P32" s="21">
        <f>IF(E32&lt;=90,"90 or less",IF(E32&lt;=105,"91-105",IF(E32&lt;=120,"106-120",IF(E32&lt;=140,"121-140","Over 140"))))</f>
        <v/>
      </c>
      <c r="Q32" s="28">
        <f>INT(C32/10)*10</f>
        <v/>
      </c>
    </row>
    <row r="33">
      <c r="A33" s="21" t="n">
        <v>32</v>
      </c>
      <c r="B33" s="21" t="inlineStr">
        <is>
          <t>Spellbound</t>
        </is>
      </c>
      <c r="C33" s="21" t="n">
        <v>1945</v>
      </c>
      <c r="D33" s="21" t="inlineStr">
        <is>
          <t>USA</t>
        </is>
      </c>
      <c r="E33" s="21" t="n">
        <v>95</v>
      </c>
      <c r="F33" s="21" t="inlineStr">
        <is>
          <t>English</t>
        </is>
      </c>
      <c r="G33" s="21" t="inlineStr">
        <is>
          <t>Unrated</t>
        </is>
      </c>
      <c r="H33" s="22" t="n">
        <v>25529689.5</v>
      </c>
      <c r="I33" s="22" t="n">
        <v>1696377</v>
      </c>
      <c r="J33" s="21">
        <f>IF(OR(H33="",H33=25529689.5),"Yes","No")</f>
        <v/>
      </c>
      <c r="K33" s="21">
        <f>IF(AND(D33="USA",C33&gt;=1980,J33="No"),"Yes","No")</f>
        <v/>
      </c>
      <c r="L33" s="26">
        <f>IF(J33="Yes","",H33-I33)</f>
        <v/>
      </c>
      <c r="M33" s="27">
        <f>IF(OR(J33="Yes",I33=0),"",H33/I33)</f>
        <v/>
      </c>
      <c r="N33" s="21">
        <f>IF(J33="Yes","",IF(H33&gt;=I33,1,0))</f>
        <v/>
      </c>
      <c r="O33" s="21">
        <f>IF(I33&lt;=5000000,"Under $5M",IF(I33&lt;=20000000,"$5M-20M",IF(I33&lt;=50000000,"$20M-50M",IF(I33&lt;=100000000,"$50M-100M","$100M+"))))</f>
        <v/>
      </c>
      <c r="P33" s="21">
        <f>IF(E33&lt;=90,"90 or less",IF(E33&lt;=105,"91-105",IF(E33&lt;=120,"106-120",IF(E33&lt;=140,"121-140","Over 140"))))</f>
        <v/>
      </c>
      <c r="Q33" s="28">
        <f>INT(C33/10)*10</f>
        <v/>
      </c>
    </row>
    <row r="34">
      <c r="A34" s="21" t="n">
        <v>33</v>
      </c>
      <c r="B34" s="21" t="inlineStr">
        <is>
          <t>State Fair</t>
        </is>
      </c>
      <c r="C34" s="21" t="n">
        <v>1945</v>
      </c>
      <c r="D34" s="21" t="inlineStr">
        <is>
          <t>USA</t>
        </is>
      </c>
      <c r="E34" s="21" t="n">
        <v>100</v>
      </c>
      <c r="F34" s="21" t="inlineStr">
        <is>
          <t>English</t>
        </is>
      </c>
      <c r="G34" s="21" t="inlineStr">
        <is>
          <t>Approved</t>
        </is>
      </c>
      <c r="H34" s="22" t="n">
        <v>25529689.5</v>
      </c>
      <c r="I34" s="22" t="n">
        <v>20000000</v>
      </c>
      <c r="J34" s="21">
        <f>IF(OR(H34="",H34=25529689.5),"Yes","No")</f>
        <v/>
      </c>
      <c r="K34" s="21">
        <f>IF(AND(D34="USA",C34&gt;=1980,J34="No"),"Yes","No")</f>
        <v/>
      </c>
      <c r="L34" s="26">
        <f>IF(J34="Yes","",H34-I34)</f>
        <v/>
      </c>
      <c r="M34" s="27">
        <f>IF(OR(J34="Yes",I34=0),"",H34/I34)</f>
        <v/>
      </c>
      <c r="N34" s="21">
        <f>IF(J34="Yes","",IF(H34&gt;=I34,1,0))</f>
        <v/>
      </c>
      <c r="O34" s="21">
        <f>IF(I34&lt;=5000000,"Under $5M",IF(I34&lt;=20000000,"$5M-20M",IF(I34&lt;=50000000,"$20M-50M",IF(I34&lt;=100000000,"$50M-100M","$100M+"))))</f>
        <v/>
      </c>
      <c r="P34" s="21">
        <f>IF(E34&lt;=90,"90 or less",IF(E34&lt;=105,"91-105",IF(E34&lt;=120,"106-120",IF(E34&lt;=140,"121-140","Over 140"))))</f>
        <v/>
      </c>
      <c r="Q34" s="28">
        <f>INT(C34/10)*10</f>
        <v/>
      </c>
    </row>
    <row r="35">
      <c r="A35" s="21" t="n">
        <v>34</v>
      </c>
      <c r="B35" s="21" t="inlineStr">
        <is>
          <t>The Lost Weekend</t>
        </is>
      </c>
      <c r="C35" s="21" t="n">
        <v>1945</v>
      </c>
      <c r="D35" s="21" t="inlineStr">
        <is>
          <t>USA</t>
        </is>
      </c>
      <c r="E35" s="21" t="n">
        <v>101</v>
      </c>
      <c r="F35" s="21" t="inlineStr">
        <is>
          <t>English</t>
        </is>
      </c>
      <c r="G35" s="21" t="inlineStr">
        <is>
          <t>Not Rated</t>
        </is>
      </c>
      <c r="H35" s="22" t="n">
        <v>25529689.5</v>
      </c>
      <c r="I35" s="22" t="n">
        <v>1250000</v>
      </c>
      <c r="J35" s="21">
        <f>IF(OR(H35="",H35=25529689.5),"Yes","No")</f>
        <v/>
      </c>
      <c r="K35" s="21">
        <f>IF(AND(D35="USA",C35&gt;=1980,J35="No"),"Yes","No")</f>
        <v/>
      </c>
      <c r="L35" s="26">
        <f>IF(J35="Yes","",H35-I35)</f>
        <v/>
      </c>
      <c r="M35" s="27">
        <f>IF(OR(J35="Yes",I35=0),"",H35/I35)</f>
        <v/>
      </c>
      <c r="N35" s="21">
        <f>IF(J35="Yes","",IF(H35&gt;=I35,1,0))</f>
        <v/>
      </c>
      <c r="O35" s="21">
        <f>IF(I35&lt;=5000000,"Under $5M",IF(I35&lt;=20000000,"$5M-20M",IF(I35&lt;=50000000,"$20M-50M",IF(I35&lt;=100000000,"$50M-100M","$100M+"))))</f>
        <v/>
      </c>
      <c r="P35" s="21">
        <f>IF(E35&lt;=90,"90 or less",IF(E35&lt;=105,"91-105",IF(E35&lt;=120,"106-120",IF(E35&lt;=140,"121-140","Over 140"))))</f>
        <v/>
      </c>
      <c r="Q35" s="28">
        <f>INT(C35/10)*10</f>
        <v/>
      </c>
    </row>
    <row r="36">
      <c r="A36" s="21" t="n">
        <v>35</v>
      </c>
      <c r="B36" s="21" t="inlineStr">
        <is>
          <t>The Valley of Decision</t>
        </is>
      </c>
      <c r="C36" s="21" t="n">
        <v>1945</v>
      </c>
      <c r="D36" s="21" t="inlineStr">
        <is>
          <t>USA</t>
        </is>
      </c>
      <c r="E36" s="21" t="n">
        <v>119</v>
      </c>
      <c r="F36" s="21" t="inlineStr">
        <is>
          <t>English</t>
        </is>
      </c>
      <c r="G36" s="21" t="inlineStr">
        <is>
          <t>Passed</t>
        </is>
      </c>
      <c r="H36" s="22" t="n">
        <v>25529689.5</v>
      </c>
      <c r="I36" s="22" t="n">
        <v>2160000</v>
      </c>
      <c r="J36" s="21">
        <f>IF(OR(H36="",H36=25529689.5),"Yes","No")</f>
        <v/>
      </c>
      <c r="K36" s="21">
        <f>IF(AND(D36="USA",C36&gt;=1980,J36="No"),"Yes","No")</f>
        <v/>
      </c>
      <c r="L36" s="26">
        <f>IF(J36="Yes","",H36-I36)</f>
        <v/>
      </c>
      <c r="M36" s="27">
        <f>IF(OR(J36="Yes",I36=0),"",H36/I36)</f>
        <v/>
      </c>
      <c r="N36" s="21">
        <f>IF(J36="Yes","",IF(H36&gt;=I36,1,0))</f>
        <v/>
      </c>
      <c r="O36" s="21">
        <f>IF(I36&lt;=5000000,"Under $5M",IF(I36&lt;=20000000,"$5M-20M",IF(I36&lt;=50000000,"$20M-50M",IF(I36&lt;=100000000,"$50M-100M","$100M+"))))</f>
        <v/>
      </c>
      <c r="P36" s="21">
        <f>IF(E36&lt;=90,"90 or less",IF(E36&lt;=105,"91-105",IF(E36&lt;=120,"106-120",IF(E36&lt;=140,"121-140","Over 140"))))</f>
        <v/>
      </c>
      <c r="Q36" s="28">
        <f>INT(C36/10)*10</f>
        <v/>
      </c>
    </row>
    <row r="37">
      <c r="A37" s="21" t="n">
        <v>36</v>
      </c>
      <c r="B37" s="21" t="inlineStr">
        <is>
          <t>Duel in the Sun</t>
        </is>
      </c>
      <c r="C37" s="21" t="n">
        <v>1946</v>
      </c>
      <c r="D37" s="21" t="inlineStr">
        <is>
          <t>USA</t>
        </is>
      </c>
      <c r="E37" s="21" t="n">
        <v>144</v>
      </c>
      <c r="F37" s="21" t="inlineStr">
        <is>
          <t>English</t>
        </is>
      </c>
      <c r="G37" s="21" t="inlineStr">
        <is>
          <t>Unrated</t>
        </is>
      </c>
      <c r="H37" s="22" t="n">
        <v>20400000</v>
      </c>
      <c r="I37" s="22" t="n">
        <v>8000000</v>
      </c>
      <c r="J37" s="21">
        <f>IF(OR(H37="",H37=25529689.5),"Yes","No")</f>
        <v/>
      </c>
      <c r="K37" s="21">
        <f>IF(AND(D37="USA",C37&gt;=1980,J37="No"),"Yes","No")</f>
        <v/>
      </c>
      <c r="L37" s="26">
        <f>IF(J37="Yes","",H37-I37)</f>
        <v/>
      </c>
      <c r="M37" s="27">
        <f>IF(OR(J37="Yes",I37=0),"",H37/I37)</f>
        <v/>
      </c>
      <c r="N37" s="21">
        <f>IF(J37="Yes","",IF(H37&gt;=I37,1,0))</f>
        <v/>
      </c>
      <c r="O37" s="21">
        <f>IF(I37&lt;=5000000,"Under $5M",IF(I37&lt;=20000000,"$5M-20M",IF(I37&lt;=50000000,"$20M-50M",IF(I37&lt;=100000000,"$50M-100M","$100M+"))))</f>
        <v/>
      </c>
      <c r="P37" s="21">
        <f>IF(E37&lt;=90,"90 or less",IF(E37&lt;=105,"91-105",IF(E37&lt;=120,"106-120",IF(E37&lt;=140,"121-140","Over 140"))))</f>
        <v/>
      </c>
      <c r="Q37" s="28">
        <f>INT(C37/10)*10</f>
        <v/>
      </c>
    </row>
    <row r="38">
      <c r="A38" s="21" t="n">
        <v>37</v>
      </c>
      <c r="B38" s="21" t="inlineStr">
        <is>
          <t>It's a Wonderful Life</t>
        </is>
      </c>
      <c r="C38" s="21" t="n">
        <v>1946</v>
      </c>
      <c r="D38" s="21" t="inlineStr">
        <is>
          <t>USA</t>
        </is>
      </c>
      <c r="E38" s="21" t="n">
        <v>118</v>
      </c>
      <c r="F38" s="21" t="inlineStr">
        <is>
          <t>English</t>
        </is>
      </c>
      <c r="G38" s="21" t="inlineStr">
        <is>
          <t>PG</t>
        </is>
      </c>
      <c r="H38" s="22" t="n">
        <v>25529689.5</v>
      </c>
      <c r="I38" s="22" t="n">
        <v>3180000</v>
      </c>
      <c r="J38" s="21">
        <f>IF(OR(H38="",H38=25529689.5),"Yes","No")</f>
        <v/>
      </c>
      <c r="K38" s="21">
        <f>IF(AND(D38="USA",C38&gt;=1980,J38="No"),"Yes","No")</f>
        <v/>
      </c>
      <c r="L38" s="26">
        <f>IF(J38="Yes","",H38-I38)</f>
        <v/>
      </c>
      <c r="M38" s="27">
        <f>IF(OR(J38="Yes",I38=0),"",H38/I38)</f>
        <v/>
      </c>
      <c r="N38" s="21">
        <f>IF(J38="Yes","",IF(H38&gt;=I38,1,0))</f>
        <v/>
      </c>
      <c r="O38" s="21">
        <f>IF(I38&lt;=5000000,"Under $5M",IF(I38&lt;=20000000,"$5M-20M",IF(I38&lt;=50000000,"$20M-50M",IF(I38&lt;=100000000,"$50M-100M","$100M+"))))</f>
        <v/>
      </c>
      <c r="P38" s="21">
        <f>IF(E38&lt;=90,"90 or less",IF(E38&lt;=105,"91-105",IF(E38&lt;=120,"106-120",IF(E38&lt;=140,"121-140","Over 140"))))</f>
        <v/>
      </c>
      <c r="Q38" s="28">
        <f>INT(C38/10)*10</f>
        <v/>
      </c>
    </row>
    <row r="39">
      <c r="A39" s="21" t="n">
        <v>38</v>
      </c>
      <c r="B39" s="21" t="inlineStr">
        <is>
          <t>The Best Years of Our Lives</t>
        </is>
      </c>
      <c r="C39" s="21" t="n">
        <v>1946</v>
      </c>
      <c r="D39" s="21" t="inlineStr">
        <is>
          <t>USA</t>
        </is>
      </c>
      <c r="E39" s="21" t="n">
        <v>172</v>
      </c>
      <c r="F39" s="21" t="inlineStr">
        <is>
          <t>English</t>
        </is>
      </c>
      <c r="G39" s="21" t="inlineStr">
        <is>
          <t>Not Rated</t>
        </is>
      </c>
      <c r="H39" s="22" t="n">
        <v>23650000</v>
      </c>
      <c r="I39" s="22" t="n">
        <v>2100000</v>
      </c>
      <c r="J39" s="21">
        <f>IF(OR(H39="",H39=25529689.5),"Yes","No")</f>
        <v/>
      </c>
      <c r="K39" s="21">
        <f>IF(AND(D39="USA",C39&gt;=1980,J39="No"),"Yes","No")</f>
        <v/>
      </c>
      <c r="L39" s="26">
        <f>IF(J39="Yes","",H39-I39)</f>
        <v/>
      </c>
      <c r="M39" s="27">
        <f>IF(OR(J39="Yes",I39=0),"",H39/I39)</f>
        <v/>
      </c>
      <c r="N39" s="21">
        <f>IF(J39="Yes","",IF(H39&gt;=I39,1,0))</f>
        <v/>
      </c>
      <c r="O39" s="21">
        <f>IF(I39&lt;=5000000,"Under $5M",IF(I39&lt;=20000000,"$5M-20M",IF(I39&lt;=50000000,"$20M-50M",IF(I39&lt;=100000000,"$50M-100M","$100M+"))))</f>
        <v/>
      </c>
      <c r="P39" s="21">
        <f>IF(E39&lt;=90,"90 or less",IF(E39&lt;=105,"91-105",IF(E39&lt;=120,"106-120",IF(E39&lt;=140,"121-140","Over 140"))))</f>
        <v/>
      </c>
      <c r="Q39" s="28">
        <f>INT(C39/10)*10</f>
        <v/>
      </c>
    </row>
    <row r="40">
      <c r="A40" s="21" t="n">
        <v>39</v>
      </c>
      <c r="B40" s="21" t="inlineStr">
        <is>
          <t>Gentleman's Agreement</t>
        </is>
      </c>
      <c r="C40" s="21" t="n">
        <v>1947</v>
      </c>
      <c r="D40" s="21" t="inlineStr">
        <is>
          <t>USA</t>
        </is>
      </c>
      <c r="E40" s="21" t="n">
        <v>118</v>
      </c>
      <c r="F40" s="21" t="inlineStr">
        <is>
          <t>English</t>
        </is>
      </c>
      <c r="G40" s="21" t="inlineStr">
        <is>
          <t>Approved</t>
        </is>
      </c>
      <c r="H40" s="22" t="n">
        <v>25529689.5</v>
      </c>
      <c r="I40" s="22" t="n">
        <v>2000000</v>
      </c>
      <c r="J40" s="21">
        <f>IF(OR(H40="",H40=25529689.5),"Yes","No")</f>
        <v/>
      </c>
      <c r="K40" s="21">
        <f>IF(AND(D40="USA",C40&gt;=1980,J40="No"),"Yes","No")</f>
        <v/>
      </c>
      <c r="L40" s="26">
        <f>IF(J40="Yes","",H40-I40)</f>
        <v/>
      </c>
      <c r="M40" s="27">
        <f>IF(OR(J40="Yes",I40=0),"",H40/I40)</f>
        <v/>
      </c>
      <c r="N40" s="21">
        <f>IF(J40="Yes","",IF(H40&gt;=I40,1,0))</f>
        <v/>
      </c>
      <c r="O40" s="21">
        <f>IF(I40&lt;=5000000,"Under $5M",IF(I40&lt;=20000000,"$5M-20M",IF(I40&lt;=50000000,"$20M-50M",IF(I40&lt;=100000000,"$50M-100M","$100M+"))))</f>
        <v/>
      </c>
      <c r="P40" s="21">
        <f>IF(E40&lt;=90,"90 or less",IF(E40&lt;=105,"91-105",IF(E40&lt;=120,"106-120",IF(E40&lt;=140,"121-140","Over 140"))))</f>
        <v/>
      </c>
      <c r="Q40" s="28">
        <f>INT(C40/10)*10</f>
        <v/>
      </c>
    </row>
    <row r="41">
      <c r="A41" s="21" t="n">
        <v>40</v>
      </c>
      <c r="B41" s="21" t="inlineStr">
        <is>
          <t>The Lady from Shanghai</t>
        </is>
      </c>
      <c r="C41" s="21" t="n">
        <v>1947</v>
      </c>
      <c r="D41" s="21" t="inlineStr">
        <is>
          <t>USA</t>
        </is>
      </c>
      <c r="E41" s="21" t="n">
        <v>92</v>
      </c>
      <c r="F41" s="21" t="inlineStr">
        <is>
          <t>English</t>
        </is>
      </c>
      <c r="G41" s="21" t="inlineStr">
        <is>
          <t>Not Rated</t>
        </is>
      </c>
      <c r="H41" s="22" t="n">
        <v>7927</v>
      </c>
      <c r="I41" s="22" t="n">
        <v>2300000</v>
      </c>
      <c r="J41" s="21">
        <f>IF(OR(H41="",H41=25529689.5),"Yes","No")</f>
        <v/>
      </c>
      <c r="K41" s="21">
        <f>IF(AND(D41="USA",C41&gt;=1980,J41="No"),"Yes","No")</f>
        <v/>
      </c>
      <c r="L41" s="26">
        <f>IF(J41="Yes","",H41-I41)</f>
        <v/>
      </c>
      <c r="M41" s="27">
        <f>IF(OR(J41="Yes",I41=0),"",H41/I41)</f>
        <v/>
      </c>
      <c r="N41" s="21">
        <f>IF(J41="Yes","",IF(H41&gt;=I41,1,0))</f>
        <v/>
      </c>
      <c r="O41" s="21">
        <f>IF(I41&lt;=5000000,"Under $5M",IF(I41&lt;=20000000,"$5M-20M",IF(I41&lt;=50000000,"$20M-50M",IF(I41&lt;=100000000,"$50M-100M","$100M+"))))</f>
        <v/>
      </c>
      <c r="P41" s="21">
        <f>IF(E41&lt;=90,"90 or less",IF(E41&lt;=105,"91-105",IF(E41&lt;=120,"106-120",IF(E41&lt;=140,"121-140","Over 140"))))</f>
        <v/>
      </c>
      <c r="Q41" s="28">
        <f>INT(C41/10)*10</f>
        <v/>
      </c>
    </row>
    <row r="42">
      <c r="A42" s="21" t="n">
        <v>41</v>
      </c>
      <c r="B42" s="21" t="inlineStr">
        <is>
          <t>Tycoon</t>
        </is>
      </c>
      <c r="C42" s="21" t="n">
        <v>1947</v>
      </c>
      <c r="D42" s="21" t="inlineStr">
        <is>
          <t>USA</t>
        </is>
      </c>
      <c r="E42" s="21" t="n">
        <v>95</v>
      </c>
      <c r="F42" s="21" t="inlineStr">
        <is>
          <t>English</t>
        </is>
      </c>
      <c r="G42" s="21" t="inlineStr">
        <is>
          <t>Approved</t>
        </is>
      </c>
      <c r="H42" s="22" t="n">
        <v>25529689.5</v>
      </c>
      <c r="I42" s="22" t="n">
        <v>3209000</v>
      </c>
      <c r="J42" s="21">
        <f>IF(OR(H42="",H42=25529689.5),"Yes","No")</f>
        <v/>
      </c>
      <c r="K42" s="21">
        <f>IF(AND(D42="USA",C42&gt;=1980,J42="No"),"Yes","No")</f>
        <v/>
      </c>
      <c r="L42" s="26">
        <f>IF(J42="Yes","",H42-I42)</f>
        <v/>
      </c>
      <c r="M42" s="27">
        <f>IF(OR(J42="Yes",I42=0),"",H42/I42)</f>
        <v/>
      </c>
      <c r="N42" s="21">
        <f>IF(J42="Yes","",IF(H42&gt;=I42,1,0))</f>
        <v/>
      </c>
      <c r="O42" s="21">
        <f>IF(I42&lt;=5000000,"Under $5M",IF(I42&lt;=20000000,"$5M-20M",IF(I42&lt;=50000000,"$20M-50M",IF(I42&lt;=100000000,"$50M-100M","$100M+"))))</f>
        <v/>
      </c>
      <c r="P42" s="21">
        <f>IF(E42&lt;=90,"90 or less",IF(E42&lt;=105,"91-105",IF(E42&lt;=120,"106-120",IF(E42&lt;=140,"121-140","Over 140"))))</f>
        <v/>
      </c>
      <c r="Q42" s="28">
        <f>INT(C42/10)*10</f>
        <v/>
      </c>
    </row>
    <row r="43">
      <c r="A43" s="21" t="n">
        <v>42</v>
      </c>
      <c r="B43" s="21" t="inlineStr">
        <is>
          <t>Open Secret</t>
        </is>
      </c>
      <c r="C43" s="21" t="n">
        <v>1948</v>
      </c>
      <c r="D43" s="21" t="inlineStr">
        <is>
          <t>USA</t>
        </is>
      </c>
      <c r="E43" s="21" t="n">
        <v>68</v>
      </c>
      <c r="F43" s="21" t="inlineStr">
        <is>
          <t>English</t>
        </is>
      </c>
      <c r="G43" s="21" t="inlineStr">
        <is>
          <t>Approved</t>
        </is>
      </c>
      <c r="H43" s="22" t="n">
        <v>25529689.5</v>
      </c>
      <c r="I43" s="22" t="n">
        <v>20000000</v>
      </c>
      <c r="J43" s="21">
        <f>IF(OR(H43="",H43=25529689.5),"Yes","No")</f>
        <v/>
      </c>
      <c r="K43" s="21">
        <f>IF(AND(D43="USA",C43&gt;=1980,J43="No"),"Yes","No")</f>
        <v/>
      </c>
      <c r="L43" s="26">
        <f>IF(J43="Yes","",H43-I43)</f>
        <v/>
      </c>
      <c r="M43" s="27">
        <f>IF(OR(J43="Yes",I43=0),"",H43/I43)</f>
        <v/>
      </c>
      <c r="N43" s="21">
        <f>IF(J43="Yes","",IF(H43&gt;=I43,1,0))</f>
        <v/>
      </c>
      <c r="O43" s="21">
        <f>IF(I43&lt;=5000000,"Under $5M",IF(I43&lt;=20000000,"$5M-20M",IF(I43&lt;=50000000,"$20M-50M",IF(I43&lt;=100000000,"$50M-100M","$100M+"))))</f>
        <v/>
      </c>
      <c r="P43" s="21">
        <f>IF(E43&lt;=90,"90 or less",IF(E43&lt;=105,"91-105",IF(E43&lt;=120,"106-120",IF(E43&lt;=140,"121-140","Over 140"))))</f>
        <v/>
      </c>
      <c r="Q43" s="28">
        <f>INT(C43/10)*10</f>
        <v/>
      </c>
    </row>
    <row r="44">
      <c r="A44" s="21" t="n">
        <v>43</v>
      </c>
      <c r="B44" s="21" t="inlineStr">
        <is>
          <t>Red River</t>
        </is>
      </c>
      <c r="C44" s="21" t="n">
        <v>1948</v>
      </c>
      <c r="D44" s="21" t="inlineStr">
        <is>
          <t>USA</t>
        </is>
      </c>
      <c r="E44" s="21" t="n">
        <v>126</v>
      </c>
      <c r="F44" s="21" t="inlineStr">
        <is>
          <t>English</t>
        </is>
      </c>
      <c r="G44" s="21" t="inlineStr">
        <is>
          <t>Approved</t>
        </is>
      </c>
      <c r="H44" s="22" t="n">
        <v>25529689.5</v>
      </c>
      <c r="I44" s="22" t="n">
        <v>3000000</v>
      </c>
      <c r="J44" s="21">
        <f>IF(OR(H44="",H44=25529689.5),"Yes","No")</f>
        <v/>
      </c>
      <c r="K44" s="21">
        <f>IF(AND(D44="USA",C44&gt;=1980,J44="No"),"Yes","No")</f>
        <v/>
      </c>
      <c r="L44" s="26">
        <f>IF(J44="Yes","",H44-I44)</f>
        <v/>
      </c>
      <c r="M44" s="27">
        <f>IF(OR(J44="Yes",I44=0),"",H44/I44)</f>
        <v/>
      </c>
      <c r="N44" s="21">
        <f>IF(J44="Yes","",IF(H44&gt;=I44,1,0))</f>
        <v/>
      </c>
      <c r="O44" s="21">
        <f>IF(I44&lt;=5000000,"Under $5M",IF(I44&lt;=20000000,"$5M-20M",IF(I44&lt;=50000000,"$20M-50M",IF(I44&lt;=100000000,"$50M-100M","$100M+"))))</f>
        <v/>
      </c>
      <c r="P44" s="21">
        <f>IF(E44&lt;=90,"90 or less",IF(E44&lt;=105,"91-105",IF(E44&lt;=120,"106-120",IF(E44&lt;=140,"121-140","Over 140"))))</f>
        <v/>
      </c>
      <c r="Q44" s="28">
        <f>INT(C44/10)*10</f>
        <v/>
      </c>
    </row>
    <row r="45">
      <c r="A45" s="21" t="n">
        <v>44</v>
      </c>
      <c r="B45" s="21" t="inlineStr">
        <is>
          <t>The Pirate</t>
        </is>
      </c>
      <c r="C45" s="21" t="n">
        <v>1948</v>
      </c>
      <c r="D45" s="21" t="inlineStr">
        <is>
          <t>USA</t>
        </is>
      </c>
      <c r="E45" s="21" t="n">
        <v>102</v>
      </c>
      <c r="F45" s="21" t="inlineStr">
        <is>
          <t>English</t>
        </is>
      </c>
      <c r="G45" s="21" t="inlineStr">
        <is>
          <t>Approved</t>
        </is>
      </c>
      <c r="H45" s="22" t="n">
        <v>2956000</v>
      </c>
      <c r="I45" s="22" t="n">
        <v>3700000</v>
      </c>
      <c r="J45" s="21">
        <f>IF(OR(H45="",H45=25529689.5),"Yes","No")</f>
        <v/>
      </c>
      <c r="K45" s="21">
        <f>IF(AND(D45="USA",C45&gt;=1980,J45="No"),"Yes","No")</f>
        <v/>
      </c>
      <c r="L45" s="26">
        <f>IF(J45="Yes","",H45-I45)</f>
        <v/>
      </c>
      <c r="M45" s="27">
        <f>IF(OR(J45="Yes",I45=0),"",H45/I45)</f>
        <v/>
      </c>
      <c r="N45" s="21">
        <f>IF(J45="Yes","",IF(H45&gt;=I45,1,0))</f>
        <v/>
      </c>
      <c r="O45" s="21">
        <f>IF(I45&lt;=5000000,"Under $5M",IF(I45&lt;=20000000,"$5M-20M",IF(I45&lt;=50000000,"$20M-50M",IF(I45&lt;=100000000,"$50M-100M","$100M+"))))</f>
        <v/>
      </c>
      <c r="P45" s="21">
        <f>IF(E45&lt;=90,"90 or less",IF(E45&lt;=105,"91-105",IF(E45&lt;=120,"106-120",IF(E45&lt;=140,"121-140","Over 140"))))</f>
        <v/>
      </c>
      <c r="Q45" s="28">
        <f>INT(C45/10)*10</f>
        <v/>
      </c>
    </row>
    <row r="46">
      <c r="A46" s="21" t="n">
        <v>45</v>
      </c>
      <c r="B46" s="21" t="inlineStr">
        <is>
          <t>Sands of Iwo Jima</t>
        </is>
      </c>
      <c r="C46" s="21" t="n">
        <v>1949</v>
      </c>
      <c r="D46" s="21" t="inlineStr">
        <is>
          <t>USA</t>
        </is>
      </c>
      <c r="E46" s="21" t="n">
        <v>109</v>
      </c>
      <c r="F46" s="21" t="inlineStr">
        <is>
          <t>English</t>
        </is>
      </c>
      <c r="G46" s="21" t="inlineStr">
        <is>
          <t>Approved</t>
        </is>
      </c>
      <c r="H46" s="22" t="n">
        <v>25529689.5</v>
      </c>
      <c r="I46" s="22" t="n">
        <v>1000000</v>
      </c>
      <c r="J46" s="21">
        <f>IF(OR(H46="",H46=25529689.5),"Yes","No")</f>
        <v/>
      </c>
      <c r="K46" s="21">
        <f>IF(AND(D46="USA",C46&gt;=1980,J46="No"),"Yes","No")</f>
        <v/>
      </c>
      <c r="L46" s="26">
        <f>IF(J46="Yes","",H46-I46)</f>
        <v/>
      </c>
      <c r="M46" s="27">
        <f>IF(OR(J46="Yes",I46=0),"",H46/I46)</f>
        <v/>
      </c>
      <c r="N46" s="21">
        <f>IF(J46="Yes","",IF(H46&gt;=I46,1,0))</f>
        <v/>
      </c>
      <c r="O46" s="21">
        <f>IF(I46&lt;=5000000,"Under $5M",IF(I46&lt;=20000000,"$5M-20M",IF(I46&lt;=50000000,"$20M-50M",IF(I46&lt;=100000000,"$50M-100M","$100M+"))))</f>
        <v/>
      </c>
      <c r="P46" s="21">
        <f>IF(E46&lt;=90,"90 or less",IF(E46&lt;=105,"91-105",IF(E46&lt;=120,"106-120",IF(E46&lt;=140,"121-140","Over 140"))))</f>
        <v/>
      </c>
      <c r="Q46" s="28">
        <f>INT(C46/10)*10</f>
        <v/>
      </c>
    </row>
    <row r="47">
      <c r="A47" s="21" t="n">
        <v>46</v>
      </c>
      <c r="B47" s="21" t="inlineStr">
        <is>
          <t>She Wore a Yellow Ribbon</t>
        </is>
      </c>
      <c r="C47" s="21" t="n">
        <v>1949</v>
      </c>
      <c r="D47" s="21" t="inlineStr">
        <is>
          <t>USA</t>
        </is>
      </c>
      <c r="E47" s="21" t="n">
        <v>103</v>
      </c>
      <c r="F47" s="21" t="inlineStr">
        <is>
          <t>English</t>
        </is>
      </c>
      <c r="G47" s="21" t="inlineStr">
        <is>
          <t>Unrated</t>
        </is>
      </c>
      <c r="H47" s="22" t="n">
        <v>25529689.5</v>
      </c>
      <c r="I47" s="22" t="n">
        <v>1600000</v>
      </c>
      <c r="J47" s="21">
        <f>IF(OR(H47="",H47=25529689.5),"Yes","No")</f>
        <v/>
      </c>
      <c r="K47" s="21">
        <f>IF(AND(D47="USA",C47&gt;=1980,J47="No"),"Yes","No")</f>
        <v/>
      </c>
      <c r="L47" s="26">
        <f>IF(J47="Yes","",H47-I47)</f>
        <v/>
      </c>
      <c r="M47" s="27">
        <f>IF(OR(J47="Yes",I47=0),"",H47/I47)</f>
        <v/>
      </c>
      <c r="N47" s="21">
        <f>IF(J47="Yes","",IF(H47&gt;=I47,1,0))</f>
        <v/>
      </c>
      <c r="O47" s="21">
        <f>IF(I47&lt;=5000000,"Under $5M",IF(I47&lt;=20000000,"$5M-20M",IF(I47&lt;=50000000,"$20M-50M",IF(I47&lt;=100000000,"$50M-100M","$100M+"))))</f>
        <v/>
      </c>
      <c r="P47" s="21">
        <f>IF(E47&lt;=90,"90 or less",IF(E47&lt;=105,"91-105",IF(E47&lt;=120,"106-120",IF(E47&lt;=140,"121-140","Over 140"))))</f>
        <v/>
      </c>
      <c r="Q47" s="28">
        <f>INT(C47/10)*10</f>
        <v/>
      </c>
    </row>
    <row r="48">
      <c r="A48" s="21" t="n">
        <v>47</v>
      </c>
      <c r="B48" s="21" t="inlineStr">
        <is>
          <t>Annie Get Your Gun</t>
        </is>
      </c>
      <c r="C48" s="21" t="n">
        <v>1950</v>
      </c>
      <c r="D48" s="21" t="inlineStr">
        <is>
          <t>USA</t>
        </is>
      </c>
      <c r="E48" s="21" t="n">
        <v>107</v>
      </c>
      <c r="F48" s="21" t="inlineStr">
        <is>
          <t>English</t>
        </is>
      </c>
      <c r="G48" s="21" t="inlineStr">
        <is>
          <t>Passed</t>
        </is>
      </c>
      <c r="H48" s="22" t="n">
        <v>8000000</v>
      </c>
      <c r="I48" s="22" t="n">
        <v>3768785</v>
      </c>
      <c r="J48" s="21">
        <f>IF(OR(H48="",H48=25529689.5),"Yes","No")</f>
        <v/>
      </c>
      <c r="K48" s="21">
        <f>IF(AND(D48="USA",C48&gt;=1980,J48="No"),"Yes","No")</f>
        <v/>
      </c>
      <c r="L48" s="26">
        <f>IF(J48="Yes","",H48-I48)</f>
        <v/>
      </c>
      <c r="M48" s="27">
        <f>IF(OR(J48="Yes",I48=0),"",H48/I48)</f>
        <v/>
      </c>
      <c r="N48" s="21">
        <f>IF(J48="Yes","",IF(H48&gt;=I48,1,0))</f>
        <v/>
      </c>
      <c r="O48" s="21">
        <f>IF(I48&lt;=5000000,"Under $5M",IF(I48&lt;=20000000,"$5M-20M",IF(I48&lt;=50000000,"$20M-50M",IF(I48&lt;=100000000,"$50M-100M","$100M+"))))</f>
        <v/>
      </c>
      <c r="P48" s="21">
        <f>IF(E48&lt;=90,"90 or less",IF(E48&lt;=105,"91-105",IF(E48&lt;=120,"106-120",IF(E48&lt;=140,"121-140","Over 140"))))</f>
        <v/>
      </c>
      <c r="Q48" s="28">
        <f>INT(C48/10)*10</f>
        <v/>
      </c>
    </row>
    <row r="49">
      <c r="A49" s="21" t="n">
        <v>48</v>
      </c>
      <c r="B49" s="21" t="inlineStr">
        <is>
          <t>A Streetcar Named Desire</t>
        </is>
      </c>
      <c r="C49" s="21" t="n">
        <v>1951</v>
      </c>
      <c r="D49" s="21" t="inlineStr">
        <is>
          <t>USA</t>
        </is>
      </c>
      <c r="E49" s="21" t="n">
        <v>125</v>
      </c>
      <c r="F49" s="21" t="inlineStr">
        <is>
          <t>English</t>
        </is>
      </c>
      <c r="G49" s="21" t="inlineStr">
        <is>
          <t>PG</t>
        </is>
      </c>
      <c r="H49" s="22" t="n">
        <v>25529689.5</v>
      </c>
      <c r="I49" s="22" t="n">
        <v>1800000</v>
      </c>
      <c r="J49" s="21">
        <f>IF(OR(H49="",H49=25529689.5),"Yes","No")</f>
        <v/>
      </c>
      <c r="K49" s="21">
        <f>IF(AND(D49="USA",C49&gt;=1980,J49="No"),"Yes","No")</f>
        <v/>
      </c>
      <c r="L49" s="26">
        <f>IF(J49="Yes","",H49-I49)</f>
        <v/>
      </c>
      <c r="M49" s="27">
        <f>IF(OR(J49="Yes",I49=0),"",H49/I49)</f>
        <v/>
      </c>
      <c r="N49" s="21">
        <f>IF(J49="Yes","",IF(H49&gt;=I49,1,0))</f>
        <v/>
      </c>
      <c r="O49" s="21">
        <f>IF(I49&lt;=5000000,"Under $5M",IF(I49&lt;=20000000,"$5M-20M",IF(I49&lt;=50000000,"$20M-50M",IF(I49&lt;=100000000,"$50M-100M","$100M+"))))</f>
        <v/>
      </c>
      <c r="P49" s="21">
        <f>IF(E49&lt;=90,"90 or less",IF(E49&lt;=105,"91-105",IF(E49&lt;=120,"106-120",IF(E49&lt;=140,"121-140","Over 140"))))</f>
        <v/>
      </c>
      <c r="Q49" s="28">
        <f>INT(C49/10)*10</f>
        <v/>
      </c>
    </row>
    <row r="50">
      <c r="A50" s="21" t="n">
        <v>49</v>
      </c>
      <c r="B50" s="21" t="inlineStr">
        <is>
          <t>Quo Vadis</t>
        </is>
      </c>
      <c r="C50" s="21" t="n">
        <v>1951</v>
      </c>
      <c r="D50" s="21" t="inlineStr">
        <is>
          <t>USA</t>
        </is>
      </c>
      <c r="E50" s="21" t="n">
        <v>171</v>
      </c>
      <c r="F50" s="21" t="inlineStr">
        <is>
          <t>English</t>
        </is>
      </c>
      <c r="G50" s="21" t="inlineStr">
        <is>
          <t>Passed</t>
        </is>
      </c>
      <c r="H50" s="22" t="n">
        <v>25529689.5</v>
      </c>
      <c r="I50" s="22" t="n">
        <v>7623000</v>
      </c>
      <c r="J50" s="21">
        <f>IF(OR(H50="",H50=25529689.5),"Yes","No")</f>
        <v/>
      </c>
      <c r="K50" s="21">
        <f>IF(AND(D50="USA",C50&gt;=1980,J50="No"),"Yes","No")</f>
        <v/>
      </c>
      <c r="L50" s="26">
        <f>IF(J50="Yes","",H50-I50)</f>
        <v/>
      </c>
      <c r="M50" s="27">
        <f>IF(OR(J50="Yes",I50=0),"",H50/I50)</f>
        <v/>
      </c>
      <c r="N50" s="21">
        <f>IF(J50="Yes","",IF(H50&gt;=I50,1,0))</f>
        <v/>
      </c>
      <c r="O50" s="21">
        <f>IF(I50&lt;=5000000,"Under $5M",IF(I50&lt;=20000000,"$5M-20M",IF(I50&lt;=50000000,"$20M-50M",IF(I50&lt;=100000000,"$50M-100M","$100M+"))))</f>
        <v/>
      </c>
      <c r="P50" s="21">
        <f>IF(E50&lt;=90,"90 or less",IF(E50&lt;=105,"91-105",IF(E50&lt;=120,"106-120",IF(E50&lt;=140,"121-140","Over 140"))))</f>
        <v/>
      </c>
      <c r="Q50" s="28">
        <f>INT(C50/10)*10</f>
        <v/>
      </c>
    </row>
    <row r="51">
      <c r="A51" s="21" t="n">
        <v>50</v>
      </c>
      <c r="B51" s="21" t="inlineStr">
        <is>
          <t>Show Boat</t>
        </is>
      </c>
      <c r="C51" s="21" t="n">
        <v>1951</v>
      </c>
      <c r="D51" s="21" t="inlineStr">
        <is>
          <t>USA</t>
        </is>
      </c>
      <c r="E51" s="21" t="n">
        <v>108</v>
      </c>
      <c r="F51" s="21" t="inlineStr">
        <is>
          <t>English</t>
        </is>
      </c>
      <c r="G51" s="21" t="inlineStr">
        <is>
          <t>Approved</t>
        </is>
      </c>
      <c r="H51" s="22" t="n">
        <v>25529689.5</v>
      </c>
      <c r="I51" s="22" t="n">
        <v>2295429</v>
      </c>
      <c r="J51" s="21">
        <f>IF(OR(H51="",H51=25529689.5),"Yes","No")</f>
        <v/>
      </c>
      <c r="K51" s="21">
        <f>IF(AND(D51="USA",C51&gt;=1980,J51="No"),"Yes","No")</f>
        <v/>
      </c>
      <c r="L51" s="26">
        <f>IF(J51="Yes","",H51-I51)</f>
        <v/>
      </c>
      <c r="M51" s="27">
        <f>IF(OR(J51="Yes",I51=0),"",H51/I51)</f>
        <v/>
      </c>
      <c r="N51" s="21">
        <f>IF(J51="Yes","",IF(H51&gt;=I51,1,0))</f>
        <v/>
      </c>
      <c r="O51" s="21">
        <f>IF(I51&lt;=5000000,"Under $5M",IF(I51&lt;=20000000,"$5M-20M",IF(I51&lt;=50000000,"$20M-50M",IF(I51&lt;=100000000,"$50M-100M","$100M+"))))</f>
        <v/>
      </c>
      <c r="P51" s="21">
        <f>IF(E51&lt;=90,"90 or less",IF(E51&lt;=105,"91-105",IF(E51&lt;=120,"106-120",IF(E51&lt;=140,"121-140","Over 140"))))</f>
        <v/>
      </c>
      <c r="Q51" s="28">
        <f>INT(C51/10)*10</f>
        <v/>
      </c>
    </row>
    <row r="52">
      <c r="A52" s="21" t="n">
        <v>51</v>
      </c>
      <c r="B52" s="21" t="inlineStr">
        <is>
          <t>Deadline - U.S.A.</t>
        </is>
      </c>
      <c r="C52" s="21" t="n">
        <v>1952</v>
      </c>
      <c r="D52" s="21" t="inlineStr">
        <is>
          <t>USA</t>
        </is>
      </c>
      <c r="E52" s="21" t="n">
        <v>87</v>
      </c>
      <c r="F52" s="21" t="inlineStr">
        <is>
          <t>English</t>
        </is>
      </c>
      <c r="G52" s="21" t="n"/>
      <c r="H52" s="22" t="n">
        <v>25529689.5</v>
      </c>
      <c r="I52" s="22" t="n">
        <v>20000000</v>
      </c>
      <c r="J52" s="21">
        <f>IF(OR(H52="",H52=25529689.5),"Yes","No")</f>
        <v/>
      </c>
      <c r="K52" s="21">
        <f>IF(AND(D52="USA",C52&gt;=1980,J52="No"),"Yes","No")</f>
        <v/>
      </c>
      <c r="L52" s="26">
        <f>IF(J52="Yes","",H52-I52)</f>
        <v/>
      </c>
      <c r="M52" s="27">
        <f>IF(OR(J52="Yes",I52=0),"",H52/I52)</f>
        <v/>
      </c>
      <c r="N52" s="21">
        <f>IF(J52="Yes","",IF(H52&gt;=I52,1,0))</f>
        <v/>
      </c>
      <c r="O52" s="21">
        <f>IF(I52&lt;=5000000,"Under $5M",IF(I52&lt;=20000000,"$5M-20M",IF(I52&lt;=50000000,"$20M-50M",IF(I52&lt;=100000000,"$50M-100M","$100M+"))))</f>
        <v/>
      </c>
      <c r="P52" s="21">
        <f>IF(E52&lt;=90,"90 or less",IF(E52&lt;=105,"91-105",IF(E52&lt;=120,"106-120",IF(E52&lt;=140,"121-140","Over 140"))))</f>
        <v/>
      </c>
      <c r="Q52" s="28">
        <f>INT(C52/10)*10</f>
        <v/>
      </c>
    </row>
    <row r="53">
      <c r="A53" s="21" t="n">
        <v>52</v>
      </c>
      <c r="B53" s="21" t="inlineStr">
        <is>
          <t>High Noon</t>
        </is>
      </c>
      <c r="C53" s="21" t="n">
        <v>1952</v>
      </c>
      <c r="D53" s="21" t="inlineStr">
        <is>
          <t>USA</t>
        </is>
      </c>
      <c r="E53" s="21" t="n">
        <v>85</v>
      </c>
      <c r="F53" s="21" t="inlineStr">
        <is>
          <t>English</t>
        </is>
      </c>
      <c r="G53" s="21" t="inlineStr">
        <is>
          <t>PG</t>
        </is>
      </c>
      <c r="H53" s="22" t="n">
        <v>25529689.5</v>
      </c>
      <c r="I53" s="22" t="n">
        <v>750000</v>
      </c>
      <c r="J53" s="21">
        <f>IF(OR(H53="",H53=25529689.5),"Yes","No")</f>
        <v/>
      </c>
      <c r="K53" s="21">
        <f>IF(AND(D53="USA",C53&gt;=1980,J53="No"),"Yes","No")</f>
        <v/>
      </c>
      <c r="L53" s="26">
        <f>IF(J53="Yes","",H53-I53)</f>
        <v/>
      </c>
      <c r="M53" s="27">
        <f>IF(OR(J53="Yes",I53=0),"",H53/I53)</f>
        <v/>
      </c>
      <c r="N53" s="21">
        <f>IF(J53="Yes","",IF(H53&gt;=I53,1,0))</f>
        <v/>
      </c>
      <c r="O53" s="21">
        <f>IF(I53&lt;=5000000,"Under $5M",IF(I53&lt;=20000000,"$5M-20M",IF(I53&lt;=50000000,"$20M-50M",IF(I53&lt;=100000000,"$50M-100M","$100M+"))))</f>
        <v/>
      </c>
      <c r="P53" s="21">
        <f>IF(E53&lt;=90,"90 or less",IF(E53&lt;=105,"91-105",IF(E53&lt;=120,"106-120",IF(E53&lt;=140,"121-140","Over 140"))))</f>
        <v/>
      </c>
      <c r="Q53" s="28">
        <f>INT(C53/10)*10</f>
        <v/>
      </c>
    </row>
    <row r="54">
      <c r="A54" s="21" t="n">
        <v>53</v>
      </c>
      <c r="B54" s="21" t="inlineStr">
        <is>
          <t>Singin' in the Rain</t>
        </is>
      </c>
      <c r="C54" s="21" t="n">
        <v>1952</v>
      </c>
      <c r="D54" s="21" t="inlineStr">
        <is>
          <t>USA</t>
        </is>
      </c>
      <c r="E54" s="21" t="n">
        <v>103</v>
      </c>
      <c r="F54" s="21" t="inlineStr">
        <is>
          <t>English</t>
        </is>
      </c>
      <c r="G54" s="21" t="inlineStr">
        <is>
          <t>Approved</t>
        </is>
      </c>
      <c r="H54" s="22" t="n">
        <v>25529689.5</v>
      </c>
      <c r="I54" s="22" t="n">
        <v>2540800</v>
      </c>
      <c r="J54" s="21">
        <f>IF(OR(H54="",H54=25529689.5),"Yes","No")</f>
        <v/>
      </c>
      <c r="K54" s="21">
        <f>IF(AND(D54="USA",C54&gt;=1980,J54="No"),"Yes","No")</f>
        <v/>
      </c>
      <c r="L54" s="26">
        <f>IF(J54="Yes","",H54-I54)</f>
        <v/>
      </c>
      <c r="M54" s="27">
        <f>IF(OR(J54="Yes",I54=0),"",H54/I54)</f>
        <v/>
      </c>
      <c r="N54" s="21">
        <f>IF(J54="Yes","",IF(H54&gt;=I54,1,0))</f>
        <v/>
      </c>
      <c r="O54" s="21">
        <f>IF(I54&lt;=5000000,"Under $5M",IF(I54&lt;=20000000,"$5M-20M",IF(I54&lt;=50000000,"$20M-50M",IF(I54&lt;=100000000,"$50M-100M","$100M+"))))</f>
        <v/>
      </c>
      <c r="P54" s="21">
        <f>IF(E54&lt;=90,"90 or less",IF(E54&lt;=105,"91-105",IF(E54&lt;=120,"106-120",IF(E54&lt;=140,"121-140","Over 140"))))</f>
        <v/>
      </c>
      <c r="Q54" s="28">
        <f>INT(C54/10)*10</f>
        <v/>
      </c>
    </row>
    <row r="55">
      <c r="A55" s="21" t="n">
        <v>54</v>
      </c>
      <c r="B55" s="21" t="inlineStr">
        <is>
          <t>The Greatest Show on Earth</t>
        </is>
      </c>
      <c r="C55" s="21" t="n">
        <v>1952</v>
      </c>
      <c r="D55" s="21" t="inlineStr">
        <is>
          <t>USA</t>
        </is>
      </c>
      <c r="E55" s="21" t="n">
        <v>152</v>
      </c>
      <c r="F55" s="21" t="inlineStr">
        <is>
          <t>English</t>
        </is>
      </c>
      <c r="G55" s="21" t="inlineStr">
        <is>
          <t>Not Rated</t>
        </is>
      </c>
      <c r="H55" s="22" t="n">
        <v>36000000</v>
      </c>
      <c r="I55" s="22" t="n">
        <v>4000000</v>
      </c>
      <c r="J55" s="21">
        <f>IF(OR(H55="",H55=25529689.5),"Yes","No")</f>
        <v/>
      </c>
      <c r="K55" s="21">
        <f>IF(AND(D55="USA",C55&gt;=1980,J55="No"),"Yes","No")</f>
        <v/>
      </c>
      <c r="L55" s="26">
        <f>IF(J55="Yes","",H55-I55)</f>
        <v/>
      </c>
      <c r="M55" s="27">
        <f>IF(OR(J55="Yes",I55=0),"",H55/I55)</f>
        <v/>
      </c>
      <c r="N55" s="21">
        <f>IF(J55="Yes","",IF(H55&gt;=I55,1,0))</f>
        <v/>
      </c>
      <c r="O55" s="21">
        <f>IF(I55&lt;=5000000,"Under $5M",IF(I55&lt;=20000000,"$5M-20M",IF(I55&lt;=50000000,"$20M-50M",IF(I55&lt;=100000000,"$50M-100M","$100M+"))))</f>
        <v/>
      </c>
      <c r="P55" s="21">
        <f>IF(E55&lt;=90,"90 or less",IF(E55&lt;=105,"91-105",IF(E55&lt;=120,"106-120",IF(E55&lt;=140,"121-140","Over 140"))))</f>
        <v/>
      </c>
      <c r="Q55" s="28">
        <f>INT(C55/10)*10</f>
        <v/>
      </c>
    </row>
    <row r="56">
      <c r="A56" s="21" t="n">
        <v>55</v>
      </c>
      <c r="B56" s="21" t="inlineStr">
        <is>
          <t>From Here to Eternity</t>
        </is>
      </c>
      <c r="C56" s="21" t="n">
        <v>1953</v>
      </c>
      <c r="D56" s="21" t="inlineStr">
        <is>
          <t>USA</t>
        </is>
      </c>
      <c r="E56" s="21" t="n">
        <v>118</v>
      </c>
      <c r="F56" s="21" t="inlineStr">
        <is>
          <t>English</t>
        </is>
      </c>
      <c r="G56" s="21" t="inlineStr">
        <is>
          <t>Not Rated</t>
        </is>
      </c>
      <c r="H56" s="22" t="n">
        <v>25529689.5</v>
      </c>
      <c r="I56" s="22" t="n">
        <v>1650000</v>
      </c>
      <c r="J56" s="21">
        <f>IF(OR(H56="",H56=25529689.5),"Yes","No")</f>
        <v/>
      </c>
      <c r="K56" s="21">
        <f>IF(AND(D56="USA",C56&gt;=1980,J56="No"),"Yes","No")</f>
        <v/>
      </c>
      <c r="L56" s="26">
        <f>IF(J56="Yes","",H56-I56)</f>
        <v/>
      </c>
      <c r="M56" s="27">
        <f>IF(OR(J56="Yes",I56=0),"",H56/I56)</f>
        <v/>
      </c>
      <c r="N56" s="21">
        <f>IF(J56="Yes","",IF(H56&gt;=I56,1,0))</f>
        <v/>
      </c>
      <c r="O56" s="21">
        <f>IF(I56&lt;=5000000,"Under $5M",IF(I56&lt;=20000000,"$5M-20M",IF(I56&lt;=50000000,"$20M-50M",IF(I56&lt;=100000000,"$50M-100M","$100M+"))))</f>
        <v/>
      </c>
      <c r="P56" s="21">
        <f>IF(E56&lt;=90,"90 or less",IF(E56&lt;=105,"91-105",IF(E56&lt;=120,"106-120",IF(E56&lt;=140,"121-140","Over 140"))))</f>
        <v/>
      </c>
      <c r="Q56" s="28">
        <f>INT(C56/10)*10</f>
        <v/>
      </c>
    </row>
    <row r="57">
      <c r="A57" s="21" t="n">
        <v>56</v>
      </c>
      <c r="B57" s="21" t="inlineStr">
        <is>
          <t>Niagara</t>
        </is>
      </c>
      <c r="C57" s="21" t="n">
        <v>1953</v>
      </c>
      <c r="D57" s="21" t="inlineStr">
        <is>
          <t>USA</t>
        </is>
      </c>
      <c r="E57" s="21" t="n">
        <v>92</v>
      </c>
      <c r="F57" s="21" t="inlineStr">
        <is>
          <t>English</t>
        </is>
      </c>
      <c r="G57" s="21" t="inlineStr">
        <is>
          <t>Approved</t>
        </is>
      </c>
      <c r="H57" s="22" t="n">
        <v>25529689.5</v>
      </c>
      <c r="I57" s="22" t="n">
        <v>1250000</v>
      </c>
      <c r="J57" s="21">
        <f>IF(OR(H57="",H57=25529689.5),"Yes","No")</f>
        <v/>
      </c>
      <c r="K57" s="21">
        <f>IF(AND(D57="USA",C57&gt;=1980,J57="No"),"Yes","No")</f>
        <v/>
      </c>
      <c r="L57" s="26">
        <f>IF(J57="Yes","",H57-I57)</f>
        <v/>
      </c>
      <c r="M57" s="27">
        <f>IF(OR(J57="Yes",I57=0),"",H57/I57)</f>
        <v/>
      </c>
      <c r="N57" s="21">
        <f>IF(J57="Yes","",IF(H57&gt;=I57,1,0))</f>
        <v/>
      </c>
      <c r="O57" s="21">
        <f>IF(I57&lt;=5000000,"Under $5M",IF(I57&lt;=20000000,"$5M-20M",IF(I57&lt;=50000000,"$20M-50M",IF(I57&lt;=100000000,"$50M-100M","$100M+"))))</f>
        <v/>
      </c>
      <c r="P57" s="21">
        <f>IF(E57&lt;=90,"90 or less",IF(E57&lt;=105,"91-105",IF(E57&lt;=120,"106-120",IF(E57&lt;=140,"121-140","Over 140"))))</f>
        <v/>
      </c>
      <c r="Q57" s="28">
        <f>INT(C57/10)*10</f>
        <v/>
      </c>
    </row>
    <row r="58">
      <c r="A58" s="21" t="n">
        <v>57</v>
      </c>
      <c r="B58" s="21" t="inlineStr">
        <is>
          <t>The Beast from 20,000 Fathoms</t>
        </is>
      </c>
      <c r="C58" s="21" t="n">
        <v>1953</v>
      </c>
      <c r="D58" s="21" t="inlineStr">
        <is>
          <t>USA</t>
        </is>
      </c>
      <c r="E58" s="21" t="n">
        <v>80</v>
      </c>
      <c r="F58" s="21" t="inlineStr">
        <is>
          <t>English</t>
        </is>
      </c>
      <c r="G58" s="21" t="inlineStr">
        <is>
          <t>Approved</t>
        </is>
      </c>
      <c r="H58" s="22" t="n">
        <v>5000000</v>
      </c>
      <c r="I58" s="22" t="n">
        <v>210000</v>
      </c>
      <c r="J58" s="21">
        <f>IF(OR(H58="",H58=25529689.5),"Yes","No")</f>
        <v/>
      </c>
      <c r="K58" s="21">
        <f>IF(AND(D58="USA",C58&gt;=1980,J58="No"),"Yes","No")</f>
        <v/>
      </c>
      <c r="L58" s="26">
        <f>IF(J58="Yes","",H58-I58)</f>
        <v/>
      </c>
      <c r="M58" s="27">
        <f>IF(OR(J58="Yes",I58=0),"",H58/I58)</f>
        <v/>
      </c>
      <c r="N58" s="21">
        <f>IF(J58="Yes","",IF(H58&gt;=I58,1,0))</f>
        <v/>
      </c>
      <c r="O58" s="21">
        <f>IF(I58&lt;=5000000,"Under $5M",IF(I58&lt;=20000000,"$5M-20M",IF(I58&lt;=50000000,"$20M-50M",IF(I58&lt;=100000000,"$50M-100M","$100M+"))))</f>
        <v/>
      </c>
      <c r="P58" s="21">
        <f>IF(E58&lt;=90,"90 or less",IF(E58&lt;=105,"91-105",IF(E58&lt;=120,"106-120",IF(E58&lt;=140,"121-140","Over 140"))))</f>
        <v/>
      </c>
      <c r="Q58" s="28">
        <f>INT(C58/10)*10</f>
        <v/>
      </c>
    </row>
    <row r="59">
      <c r="A59" s="21" t="n">
        <v>58</v>
      </c>
      <c r="B59" s="21" t="inlineStr">
        <is>
          <t>The Robe</t>
        </is>
      </c>
      <c r="C59" s="21" t="n">
        <v>1953</v>
      </c>
      <c r="D59" s="21" t="inlineStr">
        <is>
          <t>USA</t>
        </is>
      </c>
      <c r="E59" s="21" t="n">
        <v>135</v>
      </c>
      <c r="F59" s="21" t="inlineStr">
        <is>
          <t>English</t>
        </is>
      </c>
      <c r="G59" s="21" t="inlineStr">
        <is>
          <t>Unrated</t>
        </is>
      </c>
      <c r="H59" s="22" t="n">
        <v>36000000</v>
      </c>
      <c r="I59" s="22" t="n">
        <v>5000000</v>
      </c>
      <c r="J59" s="21">
        <f>IF(OR(H59="",H59=25529689.5),"Yes","No")</f>
        <v/>
      </c>
      <c r="K59" s="21">
        <f>IF(AND(D59="USA",C59&gt;=1980,J59="No"),"Yes","No")</f>
        <v/>
      </c>
      <c r="L59" s="26">
        <f>IF(J59="Yes","",H59-I59)</f>
        <v/>
      </c>
      <c r="M59" s="27">
        <f>IF(OR(J59="Yes",I59=0),"",H59/I59)</f>
        <v/>
      </c>
      <c r="N59" s="21">
        <f>IF(J59="Yes","",IF(H59&gt;=I59,1,0))</f>
        <v/>
      </c>
      <c r="O59" s="21">
        <f>IF(I59&lt;=5000000,"Under $5M",IF(I59&lt;=20000000,"$5M-20M",IF(I59&lt;=50000000,"$20M-50M",IF(I59&lt;=100000000,"$50M-100M","$100M+"))))</f>
        <v/>
      </c>
      <c r="P59" s="21">
        <f>IF(E59&lt;=90,"90 or less",IF(E59&lt;=105,"91-105",IF(E59&lt;=120,"106-120",IF(E59&lt;=140,"121-140","Over 140"))))</f>
        <v/>
      </c>
      <c r="Q59" s="28">
        <f>INT(C59/10)*10</f>
        <v/>
      </c>
    </row>
    <row r="60">
      <c r="A60" s="21" t="n">
        <v>59</v>
      </c>
      <c r="B60" s="21" t="inlineStr">
        <is>
          <t>20,000 Leagues Under the Sea</t>
        </is>
      </c>
      <c r="C60" s="21" t="n">
        <v>1954</v>
      </c>
      <c r="D60" s="21" t="inlineStr">
        <is>
          <t>USA</t>
        </is>
      </c>
      <c r="E60" s="21" t="n">
        <v>127</v>
      </c>
      <c r="F60" s="21" t="inlineStr">
        <is>
          <t>English</t>
        </is>
      </c>
      <c r="G60" s="21" t="inlineStr">
        <is>
          <t>Approved</t>
        </is>
      </c>
      <c r="H60" s="22" t="n">
        <v>25529689.5</v>
      </c>
      <c r="I60" s="22" t="n">
        <v>5000000</v>
      </c>
      <c r="J60" s="21">
        <f>IF(OR(H60="",H60=25529689.5),"Yes","No")</f>
        <v/>
      </c>
      <c r="K60" s="21">
        <f>IF(AND(D60="USA",C60&gt;=1980,J60="No"),"Yes","No")</f>
        <v/>
      </c>
      <c r="L60" s="26">
        <f>IF(J60="Yes","",H60-I60)</f>
        <v/>
      </c>
      <c r="M60" s="27">
        <f>IF(OR(J60="Yes",I60=0),"",H60/I60)</f>
        <v/>
      </c>
      <c r="N60" s="21">
        <f>IF(J60="Yes","",IF(H60&gt;=I60,1,0))</f>
        <v/>
      </c>
      <c r="O60" s="21">
        <f>IF(I60&lt;=5000000,"Under $5M",IF(I60&lt;=20000000,"$5M-20M",IF(I60&lt;=50000000,"$20M-50M",IF(I60&lt;=100000000,"$50M-100M","$100M+"))))</f>
        <v/>
      </c>
      <c r="P60" s="21">
        <f>IF(E60&lt;=90,"90 or less",IF(E60&lt;=105,"91-105",IF(E60&lt;=120,"106-120",IF(E60&lt;=140,"121-140","Over 140"))))</f>
        <v/>
      </c>
      <c r="Q60" s="28">
        <f>INT(C60/10)*10</f>
        <v/>
      </c>
    </row>
    <row r="61">
      <c r="A61" s="21" t="n">
        <v>61</v>
      </c>
      <c r="B61" s="21" t="inlineStr">
        <is>
          <t>On the Waterfront</t>
        </is>
      </c>
      <c r="C61" s="21" t="n">
        <v>1954</v>
      </c>
      <c r="D61" s="21" t="inlineStr">
        <is>
          <t>USA</t>
        </is>
      </c>
      <c r="E61" s="21" t="n">
        <v>108</v>
      </c>
      <c r="F61" s="21" t="inlineStr">
        <is>
          <t>English</t>
        </is>
      </c>
      <c r="G61" s="21" t="inlineStr">
        <is>
          <t>Not Rated</t>
        </is>
      </c>
      <c r="H61" s="22" t="n">
        <v>9600000</v>
      </c>
      <c r="I61" s="22" t="n">
        <v>910000</v>
      </c>
      <c r="J61" s="21">
        <f>IF(OR(H61="",H61=25529689.5),"Yes","No")</f>
        <v/>
      </c>
      <c r="K61" s="21">
        <f>IF(AND(D61="USA",C61&gt;=1980,J61="No"),"Yes","No")</f>
        <v/>
      </c>
      <c r="L61" s="26">
        <f>IF(J61="Yes","",H61-I61)</f>
        <v/>
      </c>
      <c r="M61" s="27">
        <f>IF(OR(J61="Yes",I61=0),"",H61/I61)</f>
        <v/>
      </c>
      <c r="N61" s="21">
        <f>IF(J61="Yes","",IF(H61&gt;=I61,1,0))</f>
        <v/>
      </c>
      <c r="O61" s="21">
        <f>IF(I61&lt;=5000000,"Under $5M",IF(I61&lt;=20000000,"$5M-20M",IF(I61&lt;=50000000,"$20M-50M",IF(I61&lt;=100000000,"$50M-100M","$100M+"))))</f>
        <v/>
      </c>
      <c r="P61" s="21">
        <f>IF(E61&lt;=90,"90 or less",IF(E61&lt;=105,"91-105",IF(E61&lt;=120,"106-120",IF(E61&lt;=140,"121-140","Over 140"))))</f>
        <v/>
      </c>
      <c r="Q61" s="28">
        <f>INT(C61/10)*10</f>
        <v/>
      </c>
    </row>
    <row r="62">
      <c r="A62" s="21" t="n">
        <v>62</v>
      </c>
      <c r="B62" s="21" t="inlineStr">
        <is>
          <t>Seven Samurai</t>
        </is>
      </c>
      <c r="C62" s="21" t="n">
        <v>1954</v>
      </c>
      <c r="D62" s="21" t="inlineStr">
        <is>
          <t>Japan</t>
        </is>
      </c>
      <c r="E62" s="21" t="n">
        <v>202</v>
      </c>
      <c r="F62" s="21" t="inlineStr">
        <is>
          <t>Japanese</t>
        </is>
      </c>
      <c r="G62" s="21" t="inlineStr">
        <is>
          <t>Unrated</t>
        </is>
      </c>
      <c r="H62" s="22" t="n">
        <v>269061</v>
      </c>
      <c r="I62" s="22" t="n">
        <v>2000000</v>
      </c>
      <c r="J62" s="21">
        <f>IF(OR(H62="",H62=25529689.5),"Yes","No")</f>
        <v/>
      </c>
      <c r="K62" s="21">
        <f>IF(AND(D62="USA",C62&gt;=1980,J62="No"),"Yes","No")</f>
        <v/>
      </c>
      <c r="L62" s="26">
        <f>IF(J62="Yes","",H62-I62)</f>
        <v/>
      </c>
      <c r="M62" s="27">
        <f>IF(OR(J62="Yes",I62=0),"",H62/I62)</f>
        <v/>
      </c>
      <c r="N62" s="21">
        <f>IF(J62="Yes","",IF(H62&gt;=I62,1,0))</f>
        <v/>
      </c>
      <c r="O62" s="21">
        <f>IF(I62&lt;=5000000,"Under $5M",IF(I62&lt;=20000000,"$5M-20M",IF(I62&lt;=50000000,"$20M-50M",IF(I62&lt;=100000000,"$50M-100M","$100M+"))))</f>
        <v/>
      </c>
      <c r="P62" s="21">
        <f>IF(E62&lt;=90,"90 or less",IF(E62&lt;=105,"91-105",IF(E62&lt;=120,"106-120",IF(E62&lt;=140,"121-140","Over 140"))))</f>
        <v/>
      </c>
      <c r="Q62" s="28">
        <f>INT(C62/10)*10</f>
        <v/>
      </c>
    </row>
    <row r="63">
      <c r="A63" s="21" t="n">
        <v>63</v>
      </c>
      <c r="B63" s="21" t="inlineStr">
        <is>
          <t>The Egyptian</t>
        </is>
      </c>
      <c r="C63" s="21" t="n">
        <v>1954</v>
      </c>
      <c r="D63" s="21" t="inlineStr">
        <is>
          <t>USA</t>
        </is>
      </c>
      <c r="E63" s="21" t="n">
        <v>139</v>
      </c>
      <c r="F63" s="21" t="inlineStr">
        <is>
          <t>English</t>
        </is>
      </c>
      <c r="G63" s="21" t="inlineStr">
        <is>
          <t>Approved</t>
        </is>
      </c>
      <c r="H63" s="22" t="n">
        <v>25529689.5</v>
      </c>
      <c r="I63" s="22" t="n">
        <v>5000000</v>
      </c>
      <c r="J63" s="21">
        <f>IF(OR(H63="",H63=25529689.5),"Yes","No")</f>
        <v/>
      </c>
      <c r="K63" s="21">
        <f>IF(AND(D63="USA",C63&gt;=1980,J63="No"),"Yes","No")</f>
        <v/>
      </c>
      <c r="L63" s="26">
        <f>IF(J63="Yes","",H63-I63)</f>
        <v/>
      </c>
      <c r="M63" s="27">
        <f>IF(OR(J63="Yes",I63=0),"",H63/I63)</f>
        <v/>
      </c>
      <c r="N63" s="21">
        <f>IF(J63="Yes","",IF(H63&gt;=I63,1,0))</f>
        <v/>
      </c>
      <c r="O63" s="21">
        <f>IF(I63&lt;=5000000,"Under $5M",IF(I63&lt;=20000000,"$5M-20M",IF(I63&lt;=50000000,"$20M-50M",IF(I63&lt;=100000000,"$50M-100M","$100M+"))))</f>
        <v/>
      </c>
      <c r="P63" s="21">
        <f>IF(E63&lt;=90,"90 or less",IF(E63&lt;=105,"91-105",IF(E63&lt;=120,"106-120",IF(E63&lt;=140,"121-140","Over 140"))))</f>
        <v/>
      </c>
      <c r="Q63" s="28">
        <f>INT(C63/10)*10</f>
        <v/>
      </c>
    </row>
    <row r="64">
      <c r="A64" s="21" t="n">
        <v>64</v>
      </c>
      <c r="B64" s="21" t="inlineStr">
        <is>
          <t>Ordet</t>
        </is>
      </c>
      <c r="C64" s="21" t="n">
        <v>1955</v>
      </c>
      <c r="D64" s="21" t="inlineStr">
        <is>
          <t>Denmark</t>
        </is>
      </c>
      <c r="E64" s="21" t="n">
        <v>126</v>
      </c>
      <c r="F64" s="21" t="inlineStr">
        <is>
          <t>Danish</t>
        </is>
      </c>
      <c r="G64" s="21" t="inlineStr">
        <is>
          <t>Not Rated</t>
        </is>
      </c>
      <c r="H64" s="22" t="n">
        <v>25529689.5</v>
      </c>
      <c r="I64" s="22" t="n">
        <v>20000000</v>
      </c>
      <c r="J64" s="21">
        <f>IF(OR(H64="",H64=25529689.5),"Yes","No")</f>
        <v/>
      </c>
      <c r="K64" s="21">
        <f>IF(AND(D64="USA",C64&gt;=1980,J64="No"),"Yes","No")</f>
        <v/>
      </c>
      <c r="L64" s="26">
        <f>IF(J64="Yes","",H64-I64)</f>
        <v/>
      </c>
      <c r="M64" s="27">
        <f>IF(OR(J64="Yes",I64=0),"",H64/I64)</f>
        <v/>
      </c>
      <c r="N64" s="21">
        <f>IF(J64="Yes","",IF(H64&gt;=I64,1,0))</f>
        <v/>
      </c>
      <c r="O64" s="21">
        <f>IF(I64&lt;=5000000,"Under $5M",IF(I64&lt;=20000000,"$5M-20M",IF(I64&lt;=50000000,"$20M-50M",IF(I64&lt;=100000000,"$50M-100M","$100M+"))))</f>
        <v/>
      </c>
      <c r="P64" s="21">
        <f>IF(E64&lt;=90,"90 or less",IF(E64&lt;=105,"91-105",IF(E64&lt;=120,"106-120",IF(E64&lt;=140,"121-140","Over 140"))))</f>
        <v/>
      </c>
      <c r="Q64" s="28">
        <f>INT(C64/10)*10</f>
        <v/>
      </c>
    </row>
    <row r="65">
      <c r="A65" s="21" t="n">
        <v>65</v>
      </c>
      <c r="B65" s="21" t="inlineStr">
        <is>
          <t>The Trouble with Harry</t>
        </is>
      </c>
      <c r="C65" s="21" t="n">
        <v>1955</v>
      </c>
      <c r="D65" s="21" t="inlineStr">
        <is>
          <t>USA</t>
        </is>
      </c>
      <c r="E65" s="21" t="n">
        <v>99</v>
      </c>
      <c r="F65" s="21" t="inlineStr">
        <is>
          <t>English</t>
        </is>
      </c>
      <c r="G65" s="21" t="inlineStr">
        <is>
          <t>Approved</t>
        </is>
      </c>
      <c r="H65" s="22" t="n">
        <v>25529689.5</v>
      </c>
      <c r="I65" s="22" t="n">
        <v>1200000</v>
      </c>
      <c r="J65" s="21">
        <f>IF(OR(H65="",H65=25529689.5),"Yes","No")</f>
        <v/>
      </c>
      <c r="K65" s="21">
        <f>IF(AND(D65="USA",C65&gt;=1980,J65="No"),"Yes","No")</f>
        <v/>
      </c>
      <c r="L65" s="26">
        <f>IF(J65="Yes","",H65-I65)</f>
        <v/>
      </c>
      <c r="M65" s="27">
        <f>IF(OR(J65="Yes",I65=0),"",H65/I65)</f>
        <v/>
      </c>
      <c r="N65" s="21">
        <f>IF(J65="Yes","",IF(H65&gt;=I65,1,0))</f>
        <v/>
      </c>
      <c r="O65" s="21">
        <f>IF(I65&lt;=5000000,"Under $5M",IF(I65&lt;=20000000,"$5M-20M",IF(I65&lt;=50000000,"$20M-50M",IF(I65&lt;=100000000,"$50M-100M","$100M+"))))</f>
        <v/>
      </c>
      <c r="P65" s="21">
        <f>IF(E65&lt;=90,"90 or less",IF(E65&lt;=105,"91-105",IF(E65&lt;=120,"106-120",IF(E65&lt;=140,"121-140","Over 140"))))</f>
        <v/>
      </c>
      <c r="Q65" s="28">
        <f>INT(C65/10)*10</f>
        <v/>
      </c>
    </row>
    <row r="66">
      <c r="A66" s="21" t="n">
        <v>66</v>
      </c>
      <c r="B66" s="21" t="inlineStr">
        <is>
          <t>Love Me Tender</t>
        </is>
      </c>
      <c r="C66" s="21" t="n">
        <v>1956</v>
      </c>
      <c r="D66" s="21" t="inlineStr">
        <is>
          <t>USA</t>
        </is>
      </c>
      <c r="E66" s="21" t="n">
        <v>89</v>
      </c>
      <c r="F66" s="21" t="inlineStr">
        <is>
          <t>English</t>
        </is>
      </c>
      <c r="G66" s="21" t="n"/>
      <c r="H66" s="22" t="n">
        <v>25529689.5</v>
      </c>
      <c r="I66" s="22" t="n">
        <v>1000000</v>
      </c>
      <c r="J66" s="21">
        <f>IF(OR(H66="",H66=25529689.5),"Yes","No")</f>
        <v/>
      </c>
      <c r="K66" s="21">
        <f>IF(AND(D66="USA",C66&gt;=1980,J66="No"),"Yes","No")</f>
        <v/>
      </c>
      <c r="L66" s="26">
        <f>IF(J66="Yes","",H66-I66)</f>
        <v/>
      </c>
      <c r="M66" s="27">
        <f>IF(OR(J66="Yes",I66=0),"",H66/I66)</f>
        <v/>
      </c>
      <c r="N66" s="21">
        <f>IF(J66="Yes","",IF(H66&gt;=I66,1,0))</f>
        <v/>
      </c>
      <c r="O66" s="21">
        <f>IF(I66&lt;=5000000,"Under $5M",IF(I66&lt;=20000000,"$5M-20M",IF(I66&lt;=50000000,"$20M-50M",IF(I66&lt;=100000000,"$50M-100M","$100M+"))))</f>
        <v/>
      </c>
      <c r="P66" s="21">
        <f>IF(E66&lt;=90,"90 or less",IF(E66&lt;=105,"91-105",IF(E66&lt;=120,"106-120",IF(E66&lt;=140,"121-140","Over 140"))))</f>
        <v/>
      </c>
      <c r="Q66" s="28">
        <f>INT(C66/10)*10</f>
        <v/>
      </c>
    </row>
    <row r="67">
      <c r="A67" s="21" t="n">
        <v>67</v>
      </c>
      <c r="B67" s="21" t="inlineStr">
        <is>
          <t>Moby Dick</t>
        </is>
      </c>
      <c r="C67" s="21" t="n">
        <v>1956</v>
      </c>
      <c r="D67" s="21" t="inlineStr">
        <is>
          <t>USA</t>
        </is>
      </c>
      <c r="E67" s="21" t="n">
        <v>115</v>
      </c>
      <c r="F67" s="21" t="inlineStr">
        <is>
          <t>English</t>
        </is>
      </c>
      <c r="G67" s="21" t="inlineStr">
        <is>
          <t>Unrated</t>
        </is>
      </c>
      <c r="H67" s="22" t="n">
        <v>25529689.5</v>
      </c>
      <c r="I67" s="22" t="n">
        <v>4500000</v>
      </c>
      <c r="J67" s="21">
        <f>IF(OR(H67="",H67=25529689.5),"Yes","No")</f>
        <v/>
      </c>
      <c r="K67" s="21">
        <f>IF(AND(D67="USA",C67&gt;=1980,J67="No"),"Yes","No")</f>
        <v/>
      </c>
      <c r="L67" s="26">
        <f>IF(J67="Yes","",H67-I67)</f>
        <v/>
      </c>
      <c r="M67" s="27">
        <f>IF(OR(J67="Yes",I67=0),"",H67/I67)</f>
        <v/>
      </c>
      <c r="N67" s="21">
        <f>IF(J67="Yes","",IF(H67&gt;=I67,1,0))</f>
        <v/>
      </c>
      <c r="O67" s="21">
        <f>IF(I67&lt;=5000000,"Under $5M",IF(I67&lt;=20000000,"$5M-20M",IF(I67&lt;=50000000,"$20M-50M",IF(I67&lt;=100000000,"$50M-100M","$100M+"))))</f>
        <v/>
      </c>
      <c r="P67" s="21">
        <f>IF(E67&lt;=90,"90 or less",IF(E67&lt;=105,"91-105",IF(E67&lt;=120,"106-120",IF(E67&lt;=140,"121-140","Over 140"))))</f>
        <v/>
      </c>
      <c r="Q67" s="28">
        <f>INT(C67/10)*10</f>
        <v/>
      </c>
    </row>
    <row r="68">
      <c r="A68" s="21" t="n">
        <v>68</v>
      </c>
      <c r="B68" s="21" t="inlineStr">
        <is>
          <t>Trapeze</t>
        </is>
      </c>
      <c r="C68" s="21" t="n">
        <v>1956</v>
      </c>
      <c r="D68" s="21" t="inlineStr">
        <is>
          <t>USA</t>
        </is>
      </c>
      <c r="E68" s="21" t="n">
        <v>105</v>
      </c>
      <c r="F68" s="21" t="inlineStr">
        <is>
          <t>English</t>
        </is>
      </c>
      <c r="G68" s="21" t="inlineStr">
        <is>
          <t>Approved</t>
        </is>
      </c>
      <c r="H68" s="22" t="n">
        <v>25529689.5</v>
      </c>
      <c r="I68" s="22" t="n">
        <v>4000000</v>
      </c>
      <c r="J68" s="21">
        <f>IF(OR(H68="",H68=25529689.5),"Yes","No")</f>
        <v/>
      </c>
      <c r="K68" s="21">
        <f>IF(AND(D68="USA",C68&gt;=1980,J68="No"),"Yes","No")</f>
        <v/>
      </c>
      <c r="L68" s="26">
        <f>IF(J68="Yes","",H68-I68)</f>
        <v/>
      </c>
      <c r="M68" s="27">
        <f>IF(OR(J68="Yes",I68=0),"",H68/I68)</f>
        <v/>
      </c>
      <c r="N68" s="21">
        <f>IF(J68="Yes","",IF(H68&gt;=I68,1,0))</f>
        <v/>
      </c>
      <c r="O68" s="21">
        <f>IF(I68&lt;=5000000,"Under $5M",IF(I68&lt;=20000000,"$5M-20M",IF(I68&lt;=50000000,"$20M-50M",IF(I68&lt;=100000000,"$50M-100M","$100M+"))))</f>
        <v/>
      </c>
      <c r="P68" s="21">
        <f>IF(E68&lt;=90,"90 or less",IF(E68&lt;=105,"91-105",IF(E68&lt;=120,"106-120",IF(E68&lt;=140,"121-140","Over 140"))))</f>
        <v/>
      </c>
      <c r="Q68" s="28">
        <f>INT(C68/10)*10</f>
        <v/>
      </c>
    </row>
    <row r="69">
      <c r="A69" s="21" t="n">
        <v>69</v>
      </c>
      <c r="B69" s="21" t="inlineStr">
        <is>
          <t>12 Angry Men</t>
        </is>
      </c>
      <c r="C69" s="21" t="n">
        <v>1957</v>
      </c>
      <c r="D69" s="21" t="inlineStr">
        <is>
          <t>USA</t>
        </is>
      </c>
      <c r="E69" s="21" t="n">
        <v>96</v>
      </c>
      <c r="F69" s="21" t="inlineStr">
        <is>
          <t>English</t>
        </is>
      </c>
      <c r="G69" s="21" t="inlineStr">
        <is>
          <t>Not Rated</t>
        </is>
      </c>
      <c r="H69" s="22" t="n">
        <v>25529689.5</v>
      </c>
      <c r="I69" s="22" t="n">
        <v>350000</v>
      </c>
      <c r="J69" s="21">
        <f>IF(OR(H69="",H69=25529689.5),"Yes","No")</f>
        <v/>
      </c>
      <c r="K69" s="21">
        <f>IF(AND(D69="USA",C69&gt;=1980,J69="No"),"Yes","No")</f>
        <v/>
      </c>
      <c r="L69" s="26">
        <f>IF(J69="Yes","",H69-I69)</f>
        <v/>
      </c>
      <c r="M69" s="27">
        <f>IF(OR(J69="Yes",I69=0),"",H69/I69)</f>
        <v/>
      </c>
      <c r="N69" s="21">
        <f>IF(J69="Yes","",IF(H69&gt;=I69,1,0))</f>
        <v/>
      </c>
      <c r="O69" s="21">
        <f>IF(I69&lt;=5000000,"Under $5M",IF(I69&lt;=20000000,"$5M-20M",IF(I69&lt;=50000000,"$20M-50M",IF(I69&lt;=100000000,"$50M-100M","$100M+"))))</f>
        <v/>
      </c>
      <c r="P69" s="21">
        <f>IF(E69&lt;=90,"90 or less",IF(E69&lt;=105,"91-105",IF(E69&lt;=120,"106-120",IF(E69&lt;=140,"121-140","Over 140"))))</f>
        <v/>
      </c>
      <c r="Q69" s="28">
        <f>INT(C69/10)*10</f>
        <v/>
      </c>
    </row>
    <row r="70">
      <c r="A70" s="21" t="n">
        <v>70</v>
      </c>
      <c r="B70" s="21" t="inlineStr">
        <is>
          <t>The Bridge on the River Kwai</t>
        </is>
      </c>
      <c r="C70" s="21" t="n">
        <v>1957</v>
      </c>
      <c r="D70" s="21" t="inlineStr">
        <is>
          <t>UK</t>
        </is>
      </c>
      <c r="E70" s="21" t="n">
        <v>161</v>
      </c>
      <c r="F70" s="21" t="inlineStr">
        <is>
          <t>English</t>
        </is>
      </c>
      <c r="G70" s="21" t="inlineStr">
        <is>
          <t>PG</t>
        </is>
      </c>
      <c r="H70" s="22" t="n">
        <v>27200000</v>
      </c>
      <c r="I70" s="22" t="n">
        <v>3000000</v>
      </c>
      <c r="J70" s="21">
        <f>IF(OR(H70="",H70=25529689.5),"Yes","No")</f>
        <v/>
      </c>
      <c r="K70" s="21">
        <f>IF(AND(D70="USA",C70&gt;=1980,J70="No"),"Yes","No")</f>
        <v/>
      </c>
      <c r="L70" s="26">
        <f>IF(J70="Yes","",H70-I70)</f>
        <v/>
      </c>
      <c r="M70" s="27">
        <f>IF(OR(J70="Yes",I70=0),"",H70/I70)</f>
        <v/>
      </c>
      <c r="N70" s="21">
        <f>IF(J70="Yes","",IF(H70&gt;=I70,1,0))</f>
        <v/>
      </c>
      <c r="O70" s="21">
        <f>IF(I70&lt;=5000000,"Under $5M",IF(I70&lt;=20000000,"$5M-20M",IF(I70&lt;=50000000,"$20M-50M",IF(I70&lt;=100000000,"$50M-100M","$100M+"))))</f>
        <v/>
      </c>
      <c r="P70" s="21">
        <f>IF(E70&lt;=90,"90 or less",IF(E70&lt;=105,"91-105",IF(E70&lt;=120,"106-120",IF(E70&lt;=140,"121-140","Over 140"))))</f>
        <v/>
      </c>
      <c r="Q70" s="28">
        <f>INT(C70/10)*10</f>
        <v/>
      </c>
    </row>
    <row r="71">
      <c r="A71" s="21" t="n">
        <v>71</v>
      </c>
      <c r="B71" s="21" t="inlineStr">
        <is>
          <t>Cat on a Hot Tin Roof</t>
        </is>
      </c>
      <c r="C71" s="21" t="n">
        <v>1958</v>
      </c>
      <c r="D71" s="21" t="inlineStr">
        <is>
          <t>USA</t>
        </is>
      </c>
      <c r="E71" s="21" t="n">
        <v>108</v>
      </c>
      <c r="F71" s="21" t="inlineStr">
        <is>
          <t>English</t>
        </is>
      </c>
      <c r="G71" s="21" t="inlineStr">
        <is>
          <t>Approved</t>
        </is>
      </c>
      <c r="H71" s="22" t="n">
        <v>25529689.5</v>
      </c>
      <c r="I71" s="22" t="n">
        <v>3000000</v>
      </c>
      <c r="J71" s="21">
        <f>IF(OR(H71="",H71=25529689.5),"Yes","No")</f>
        <v/>
      </c>
      <c r="K71" s="21">
        <f>IF(AND(D71="USA",C71&gt;=1980,J71="No"),"Yes","No")</f>
        <v/>
      </c>
      <c r="L71" s="26">
        <f>IF(J71="Yes","",H71-I71)</f>
        <v/>
      </c>
      <c r="M71" s="27">
        <f>IF(OR(J71="Yes",I71=0),"",H71/I71)</f>
        <v/>
      </c>
      <c r="N71" s="21">
        <f>IF(J71="Yes","",IF(H71&gt;=I71,1,0))</f>
        <v/>
      </c>
      <c r="O71" s="21">
        <f>IF(I71&lt;=5000000,"Under $5M",IF(I71&lt;=20000000,"$5M-20M",IF(I71&lt;=50000000,"$20M-50M",IF(I71&lt;=100000000,"$50M-100M","$100M+"))))</f>
        <v/>
      </c>
      <c r="P71" s="21">
        <f>IF(E71&lt;=90,"90 or less",IF(E71&lt;=105,"91-105",IF(E71&lt;=120,"106-120",IF(E71&lt;=140,"121-140","Over 140"))))</f>
        <v/>
      </c>
      <c r="Q71" s="28">
        <f>INT(C71/10)*10</f>
        <v/>
      </c>
    </row>
    <row r="72">
      <c r="A72" s="21" t="n">
        <v>72</v>
      </c>
      <c r="B72" s="21" t="inlineStr">
        <is>
          <t>Solomon and Sheba</t>
        </is>
      </c>
      <c r="C72" s="21" t="n">
        <v>1959</v>
      </c>
      <c r="D72" s="21" t="inlineStr">
        <is>
          <t>USA</t>
        </is>
      </c>
      <c r="E72" s="21" t="n">
        <v>141</v>
      </c>
      <c r="F72" s="21" t="inlineStr">
        <is>
          <t>English</t>
        </is>
      </c>
      <c r="G72" s="21" t="n"/>
      <c r="H72" s="22" t="n">
        <v>25529689.5</v>
      </c>
      <c r="I72" s="22" t="n">
        <v>5000000</v>
      </c>
      <c r="J72" s="21">
        <f>IF(OR(H72="",H72=25529689.5),"Yes","No")</f>
        <v/>
      </c>
      <c r="K72" s="21">
        <f>IF(AND(D72="USA",C72&gt;=1980,J72="No"),"Yes","No")</f>
        <v/>
      </c>
      <c r="L72" s="26">
        <f>IF(J72="Yes","",H72-I72)</f>
        <v/>
      </c>
      <c r="M72" s="27">
        <f>IF(OR(J72="Yes",I72=0),"",H72/I72)</f>
        <v/>
      </c>
      <c r="N72" s="21">
        <f>IF(J72="Yes","",IF(H72&gt;=I72,1,0))</f>
        <v/>
      </c>
      <c r="O72" s="21">
        <f>IF(I72&lt;=5000000,"Under $5M",IF(I72&lt;=20000000,"$5M-20M",IF(I72&lt;=50000000,"$20M-50M",IF(I72&lt;=100000000,"$50M-100M","$100M+"))))</f>
        <v/>
      </c>
      <c r="P72" s="21">
        <f>IF(E72&lt;=90,"90 or less",IF(E72&lt;=105,"91-105",IF(E72&lt;=120,"106-120",IF(E72&lt;=140,"121-140","Over 140"))))</f>
        <v/>
      </c>
      <c r="Q72" s="28">
        <f>INT(C72/10)*10</f>
        <v/>
      </c>
    </row>
    <row r="73">
      <c r="A73" s="21" t="n">
        <v>73</v>
      </c>
      <c r="B73" s="21" t="inlineStr">
        <is>
          <t>Some Like It Hot</t>
        </is>
      </c>
      <c r="C73" s="21" t="n">
        <v>1959</v>
      </c>
      <c r="D73" s="21" t="inlineStr">
        <is>
          <t>USA</t>
        </is>
      </c>
      <c r="E73" s="21" t="n">
        <v>120</v>
      </c>
      <c r="F73" s="21" t="inlineStr">
        <is>
          <t>English</t>
        </is>
      </c>
      <c r="G73" s="21" t="inlineStr">
        <is>
          <t>Not Rated</t>
        </is>
      </c>
      <c r="H73" s="22" t="n">
        <v>25000000</v>
      </c>
      <c r="I73" s="22" t="n">
        <v>2883848</v>
      </c>
      <c r="J73" s="21">
        <f>IF(OR(H73="",H73=25529689.5),"Yes","No")</f>
        <v/>
      </c>
      <c r="K73" s="21">
        <f>IF(AND(D73="USA",C73&gt;=1980,J73="No"),"Yes","No")</f>
        <v/>
      </c>
      <c r="L73" s="26">
        <f>IF(J73="Yes","",H73-I73)</f>
        <v/>
      </c>
      <c r="M73" s="27">
        <f>IF(OR(J73="Yes",I73=0),"",H73/I73)</f>
        <v/>
      </c>
      <c r="N73" s="21">
        <f>IF(J73="Yes","",IF(H73&gt;=I73,1,0))</f>
        <v/>
      </c>
      <c r="O73" s="21">
        <f>IF(I73&lt;=5000000,"Under $5M",IF(I73&lt;=20000000,"$5M-20M",IF(I73&lt;=50000000,"$20M-50M",IF(I73&lt;=100000000,"$50M-100M","$100M+"))))</f>
        <v/>
      </c>
      <c r="P73" s="21">
        <f>IF(E73&lt;=90,"90 or less",IF(E73&lt;=105,"91-105",IF(E73&lt;=120,"106-120",IF(E73&lt;=140,"121-140","Over 140"))))</f>
        <v/>
      </c>
      <c r="Q73" s="28">
        <f>INT(C73/10)*10</f>
        <v/>
      </c>
    </row>
    <row r="74">
      <c r="A74" s="21" t="n">
        <v>74</v>
      </c>
      <c r="B74" s="21" t="inlineStr">
        <is>
          <t>The Nun's Story</t>
        </is>
      </c>
      <c r="C74" s="21" t="n">
        <v>1959</v>
      </c>
      <c r="D74" s="21" t="inlineStr">
        <is>
          <t>USA</t>
        </is>
      </c>
      <c r="E74" s="21" t="n">
        <v>149</v>
      </c>
      <c r="F74" s="21" t="inlineStr">
        <is>
          <t>English</t>
        </is>
      </c>
      <c r="G74" s="21" t="inlineStr">
        <is>
          <t>Not Rated</t>
        </is>
      </c>
      <c r="H74" s="22" t="n">
        <v>25529689.5</v>
      </c>
      <c r="I74" s="22" t="n">
        <v>3500000</v>
      </c>
      <c r="J74" s="21">
        <f>IF(OR(H74="",H74=25529689.5),"Yes","No")</f>
        <v/>
      </c>
      <c r="K74" s="21">
        <f>IF(AND(D74="USA",C74&gt;=1980,J74="No"),"Yes","No")</f>
        <v/>
      </c>
      <c r="L74" s="26">
        <f>IF(J74="Yes","",H74-I74)</f>
        <v/>
      </c>
      <c r="M74" s="27">
        <f>IF(OR(J74="Yes",I74=0),"",H74/I74)</f>
        <v/>
      </c>
      <c r="N74" s="21">
        <f>IF(J74="Yes","",IF(H74&gt;=I74,1,0))</f>
        <v/>
      </c>
      <c r="O74" s="21">
        <f>IF(I74&lt;=5000000,"Under $5M",IF(I74&lt;=20000000,"$5M-20M",IF(I74&lt;=50000000,"$20M-50M",IF(I74&lt;=100000000,"$50M-100M","$100M+"))))</f>
        <v/>
      </c>
      <c r="P74" s="21">
        <f>IF(E74&lt;=90,"90 or less",IF(E74&lt;=105,"91-105",IF(E74&lt;=120,"106-120",IF(E74&lt;=140,"121-140","Over 140"))))</f>
        <v/>
      </c>
      <c r="Q74" s="28">
        <f>INT(C74/10)*10</f>
        <v/>
      </c>
    </row>
    <row r="75">
      <c r="A75" s="21" t="n">
        <v>75</v>
      </c>
      <c r="B75" s="21" t="inlineStr">
        <is>
          <t>Elmer Gantry</t>
        </is>
      </c>
      <c r="C75" s="21" t="n">
        <v>1960</v>
      </c>
      <c r="D75" s="21" t="inlineStr">
        <is>
          <t>USA</t>
        </is>
      </c>
      <c r="E75" s="21" t="n">
        <v>146</v>
      </c>
      <c r="F75" s="21" t="inlineStr">
        <is>
          <t>English</t>
        </is>
      </c>
      <c r="G75" s="21" t="inlineStr">
        <is>
          <t>Approved</t>
        </is>
      </c>
      <c r="H75" s="22" t="n">
        <v>25529689.5</v>
      </c>
      <c r="I75" s="22" t="n">
        <v>3000000</v>
      </c>
      <c r="J75" s="21">
        <f>IF(OR(H75="",H75=25529689.5),"Yes","No")</f>
        <v/>
      </c>
      <c r="K75" s="21">
        <f>IF(AND(D75="USA",C75&gt;=1980,J75="No"),"Yes","No")</f>
        <v/>
      </c>
      <c r="L75" s="26">
        <f>IF(J75="Yes","",H75-I75)</f>
        <v/>
      </c>
      <c r="M75" s="27">
        <f>IF(OR(J75="Yes",I75=0),"",H75/I75)</f>
        <v/>
      </c>
      <c r="N75" s="21">
        <f>IF(J75="Yes","",IF(H75&gt;=I75,1,0))</f>
        <v/>
      </c>
      <c r="O75" s="21">
        <f>IF(I75&lt;=5000000,"Under $5M",IF(I75&lt;=20000000,"$5M-20M",IF(I75&lt;=50000000,"$20M-50M",IF(I75&lt;=100000000,"$50M-100M","$100M+"))))</f>
        <v/>
      </c>
      <c r="P75" s="21">
        <f>IF(E75&lt;=90,"90 or less",IF(E75&lt;=105,"91-105",IF(E75&lt;=120,"106-120",IF(E75&lt;=140,"121-140","Over 140"))))</f>
        <v/>
      </c>
      <c r="Q75" s="28">
        <f>INT(C75/10)*10</f>
        <v/>
      </c>
    </row>
    <row r="76">
      <c r="A76" s="21" t="n">
        <v>76</v>
      </c>
      <c r="B76" s="21" t="inlineStr">
        <is>
          <t>Psycho</t>
        </is>
      </c>
      <c r="C76" s="21" t="n">
        <v>1960</v>
      </c>
      <c r="D76" s="21" t="inlineStr">
        <is>
          <t>USA</t>
        </is>
      </c>
      <c r="E76" s="21" t="n">
        <v>108</v>
      </c>
      <c r="F76" s="21" t="inlineStr">
        <is>
          <t>English</t>
        </is>
      </c>
      <c r="G76" s="21" t="inlineStr">
        <is>
          <t>R</t>
        </is>
      </c>
      <c r="H76" s="22" t="n">
        <v>32000000</v>
      </c>
      <c r="I76" s="22" t="n">
        <v>806947</v>
      </c>
      <c r="J76" s="21">
        <f>IF(OR(H76="",H76=25529689.5),"Yes","No")</f>
        <v/>
      </c>
      <c r="K76" s="21">
        <f>IF(AND(D76="USA",C76&gt;=1980,J76="No"),"Yes","No")</f>
        <v/>
      </c>
      <c r="L76" s="26">
        <f>IF(J76="Yes","",H76-I76)</f>
        <v/>
      </c>
      <c r="M76" s="27">
        <f>IF(OR(J76="Yes",I76=0),"",H76/I76)</f>
        <v/>
      </c>
      <c r="N76" s="21">
        <f>IF(J76="Yes","",IF(H76&gt;=I76,1,0))</f>
        <v/>
      </c>
      <c r="O76" s="21">
        <f>IF(I76&lt;=5000000,"Under $5M",IF(I76&lt;=20000000,"$5M-20M",IF(I76&lt;=50000000,"$20M-50M",IF(I76&lt;=100000000,"$50M-100M","$100M+"))))</f>
        <v/>
      </c>
      <c r="P76" s="21">
        <f>IF(E76&lt;=90,"90 or less",IF(E76&lt;=105,"91-105",IF(E76&lt;=120,"106-120",IF(E76&lt;=140,"121-140","Over 140"))))</f>
        <v/>
      </c>
      <c r="Q76" s="28">
        <f>INT(C76/10)*10</f>
        <v/>
      </c>
    </row>
    <row r="77">
      <c r="A77" s="21" t="n">
        <v>77</v>
      </c>
      <c r="B77" s="21" t="inlineStr">
        <is>
          <t>The Apartment</t>
        </is>
      </c>
      <c r="C77" s="21" t="n">
        <v>1960</v>
      </c>
      <c r="D77" s="21" t="inlineStr">
        <is>
          <t>USA</t>
        </is>
      </c>
      <c r="E77" s="21" t="n">
        <v>125</v>
      </c>
      <c r="F77" s="21" t="inlineStr">
        <is>
          <t>English</t>
        </is>
      </c>
      <c r="G77" s="21" t="inlineStr">
        <is>
          <t>Approved</t>
        </is>
      </c>
      <c r="H77" s="22" t="n">
        <v>25529689.5</v>
      </c>
      <c r="I77" s="22" t="n">
        <v>3000000</v>
      </c>
      <c r="J77" s="21">
        <f>IF(OR(H77="",H77=25529689.5),"Yes","No")</f>
        <v/>
      </c>
      <c r="K77" s="21">
        <f>IF(AND(D77="USA",C77&gt;=1980,J77="No"),"Yes","No")</f>
        <v/>
      </c>
      <c r="L77" s="26">
        <f>IF(J77="Yes","",H77-I77)</f>
        <v/>
      </c>
      <c r="M77" s="27">
        <f>IF(OR(J77="Yes",I77=0),"",H77/I77)</f>
        <v/>
      </c>
      <c r="N77" s="21">
        <f>IF(J77="Yes","",IF(H77&gt;=I77,1,0))</f>
        <v/>
      </c>
      <c r="O77" s="21">
        <f>IF(I77&lt;=5000000,"Under $5M",IF(I77&lt;=20000000,"$5M-20M",IF(I77&lt;=50000000,"$20M-50M",IF(I77&lt;=100000000,"$50M-100M","$100M+"))))</f>
        <v/>
      </c>
      <c r="P77" s="21">
        <f>IF(E77&lt;=90,"90 or less",IF(E77&lt;=105,"91-105",IF(E77&lt;=120,"106-120",IF(E77&lt;=140,"121-140","Over 140"))))</f>
        <v/>
      </c>
      <c r="Q77" s="28">
        <f>INT(C77/10)*10</f>
        <v/>
      </c>
    </row>
    <row r="78">
      <c r="A78" s="21" t="n">
        <v>78</v>
      </c>
      <c r="B78" s="21" t="inlineStr">
        <is>
          <t>Judgment at Nuremberg</t>
        </is>
      </c>
      <c r="C78" s="21" t="n">
        <v>1961</v>
      </c>
      <c r="D78" s="21" t="inlineStr">
        <is>
          <t>USA</t>
        </is>
      </c>
      <c r="E78" s="21" t="n">
        <v>186</v>
      </c>
      <c r="F78" s="21" t="inlineStr">
        <is>
          <t>English</t>
        </is>
      </c>
      <c r="G78" s="21" t="inlineStr">
        <is>
          <t>Not Rated</t>
        </is>
      </c>
      <c r="H78" s="22" t="n">
        <v>25529689.5</v>
      </c>
      <c r="I78" s="22" t="n">
        <v>3000000</v>
      </c>
      <c r="J78" s="21">
        <f>IF(OR(H78="",H78=25529689.5),"Yes","No")</f>
        <v/>
      </c>
      <c r="K78" s="21">
        <f>IF(AND(D78="USA",C78&gt;=1980,J78="No"),"Yes","No")</f>
        <v/>
      </c>
      <c r="L78" s="26">
        <f>IF(J78="Yes","",H78-I78)</f>
        <v/>
      </c>
      <c r="M78" s="27">
        <f>IF(OR(J78="Yes",I78=0),"",H78/I78)</f>
        <v/>
      </c>
      <c r="N78" s="21">
        <f>IF(J78="Yes","",IF(H78&gt;=I78,1,0))</f>
        <v/>
      </c>
      <c r="O78" s="21">
        <f>IF(I78&lt;=5000000,"Under $5M",IF(I78&lt;=20000000,"$5M-20M",IF(I78&lt;=50000000,"$20M-50M",IF(I78&lt;=100000000,"$50M-100M","$100M+"))))</f>
        <v/>
      </c>
      <c r="P78" s="21">
        <f>IF(E78&lt;=90,"90 or less",IF(E78&lt;=105,"91-105",IF(E78&lt;=120,"106-120",IF(E78&lt;=140,"121-140","Over 140"))))</f>
        <v/>
      </c>
      <c r="Q78" s="28">
        <f>INT(C78/10)*10</f>
        <v/>
      </c>
    </row>
    <row r="79">
      <c r="A79" s="21" t="n">
        <v>79</v>
      </c>
      <c r="B79" s="21" t="inlineStr">
        <is>
          <t>Pocketful of Miracles</t>
        </is>
      </c>
      <c r="C79" s="21" t="n">
        <v>1961</v>
      </c>
      <c r="D79" s="21" t="inlineStr">
        <is>
          <t>USA</t>
        </is>
      </c>
      <c r="E79" s="21" t="n">
        <v>136</v>
      </c>
      <c r="F79" s="21" t="inlineStr">
        <is>
          <t>English</t>
        </is>
      </c>
      <c r="G79" s="21" t="inlineStr">
        <is>
          <t>Approved</t>
        </is>
      </c>
      <c r="H79" s="22" t="n">
        <v>25529689.5</v>
      </c>
      <c r="I79" s="22" t="n">
        <v>2900000</v>
      </c>
      <c r="J79" s="21">
        <f>IF(OR(H79="",H79=25529689.5),"Yes","No")</f>
        <v/>
      </c>
      <c r="K79" s="21">
        <f>IF(AND(D79="USA",C79&gt;=1980,J79="No"),"Yes","No")</f>
        <v/>
      </c>
      <c r="L79" s="26">
        <f>IF(J79="Yes","",H79-I79)</f>
        <v/>
      </c>
      <c r="M79" s="27">
        <f>IF(OR(J79="Yes",I79=0),"",H79/I79)</f>
        <v/>
      </c>
      <c r="N79" s="21">
        <f>IF(J79="Yes","",IF(H79&gt;=I79,1,0))</f>
        <v/>
      </c>
      <c r="O79" s="21">
        <f>IF(I79&lt;=5000000,"Under $5M",IF(I79&lt;=20000000,"$5M-20M",IF(I79&lt;=50000000,"$20M-50M",IF(I79&lt;=100000000,"$50M-100M","$100M+"))))</f>
        <v/>
      </c>
      <c r="P79" s="21">
        <f>IF(E79&lt;=90,"90 or less",IF(E79&lt;=105,"91-105",IF(E79&lt;=120,"106-120",IF(E79&lt;=140,"121-140","Over 140"))))</f>
        <v/>
      </c>
      <c r="Q79" s="28">
        <f>INT(C79/10)*10</f>
        <v/>
      </c>
    </row>
    <row r="80">
      <c r="A80" s="21" t="n">
        <v>80</v>
      </c>
      <c r="B80" s="21" t="inlineStr">
        <is>
          <t>The Hustler</t>
        </is>
      </c>
      <c r="C80" s="21" t="n">
        <v>1961</v>
      </c>
      <c r="D80" s="21" t="inlineStr">
        <is>
          <t>USA</t>
        </is>
      </c>
      <c r="E80" s="21" t="n">
        <v>134</v>
      </c>
      <c r="F80" s="21" t="inlineStr">
        <is>
          <t>English</t>
        </is>
      </c>
      <c r="G80" s="21" t="inlineStr">
        <is>
          <t>Unrated</t>
        </is>
      </c>
      <c r="H80" s="22" t="n">
        <v>25529689.5</v>
      </c>
      <c r="I80" s="22" t="n">
        <v>2000000</v>
      </c>
      <c r="J80" s="21">
        <f>IF(OR(H80="",H80=25529689.5),"Yes","No")</f>
        <v/>
      </c>
      <c r="K80" s="21">
        <f>IF(AND(D80="USA",C80&gt;=1980,J80="No"),"Yes","No")</f>
        <v/>
      </c>
      <c r="L80" s="26">
        <f>IF(J80="Yes","",H80-I80)</f>
        <v/>
      </c>
      <c r="M80" s="27">
        <f>IF(OR(J80="Yes",I80=0),"",H80/I80)</f>
        <v/>
      </c>
      <c r="N80" s="21">
        <f>IF(J80="Yes","",IF(H80&gt;=I80,1,0))</f>
        <v/>
      </c>
      <c r="O80" s="21">
        <f>IF(I80&lt;=5000000,"Under $5M",IF(I80&lt;=20000000,"$5M-20M",IF(I80&lt;=50000000,"$20M-50M",IF(I80&lt;=100000000,"$50M-100M","$100M+"))))</f>
        <v/>
      </c>
      <c r="P80" s="21">
        <f>IF(E80&lt;=90,"90 or less",IF(E80&lt;=105,"91-105",IF(E80&lt;=120,"106-120",IF(E80&lt;=140,"121-140","Over 140"))))</f>
        <v/>
      </c>
      <c r="Q80" s="28">
        <f>INT(C80/10)*10</f>
        <v/>
      </c>
    </row>
    <row r="81">
      <c r="A81" s="21" t="n">
        <v>81</v>
      </c>
      <c r="B81" s="21" t="inlineStr">
        <is>
          <t>The Misfits</t>
        </is>
      </c>
      <c r="C81" s="21" t="n">
        <v>1961</v>
      </c>
      <c r="D81" s="21" t="inlineStr">
        <is>
          <t>USA</t>
        </is>
      </c>
      <c r="E81" s="21" t="n">
        <v>120</v>
      </c>
      <c r="F81" s="21" t="inlineStr">
        <is>
          <t>English</t>
        </is>
      </c>
      <c r="G81" s="21" t="inlineStr">
        <is>
          <t>Approved</t>
        </is>
      </c>
      <c r="H81" s="22" t="n">
        <v>25529689.5</v>
      </c>
      <c r="I81" s="22" t="n">
        <v>4000000</v>
      </c>
      <c r="J81" s="21">
        <f>IF(OR(H81="",H81=25529689.5),"Yes","No")</f>
        <v/>
      </c>
      <c r="K81" s="21">
        <f>IF(AND(D81="USA",C81&gt;=1980,J81="No"),"Yes","No")</f>
        <v/>
      </c>
      <c r="L81" s="26">
        <f>IF(J81="Yes","",H81-I81)</f>
        <v/>
      </c>
      <c r="M81" s="27">
        <f>IF(OR(J81="Yes",I81=0),"",H81/I81)</f>
        <v/>
      </c>
      <c r="N81" s="21">
        <f>IF(J81="Yes","",IF(H81&gt;=I81,1,0))</f>
        <v/>
      </c>
      <c r="O81" s="21">
        <f>IF(I81&lt;=5000000,"Under $5M",IF(I81&lt;=20000000,"$5M-20M",IF(I81&lt;=50000000,"$20M-50M",IF(I81&lt;=100000000,"$50M-100M","$100M+"))))</f>
        <v/>
      </c>
      <c r="P81" s="21">
        <f>IF(E81&lt;=90,"90 or less",IF(E81&lt;=105,"91-105",IF(E81&lt;=120,"106-120",IF(E81&lt;=140,"121-140","Over 140"))))</f>
        <v/>
      </c>
      <c r="Q81" s="28">
        <f>INT(C81/10)*10</f>
        <v/>
      </c>
    </row>
    <row r="82">
      <c r="A82" s="21" t="n">
        <v>82</v>
      </c>
      <c r="B82" s="21" t="inlineStr">
        <is>
          <t>West Side Story</t>
        </is>
      </c>
      <c r="C82" s="21" t="n">
        <v>1961</v>
      </c>
      <c r="D82" s="21" t="inlineStr">
        <is>
          <t>USA</t>
        </is>
      </c>
      <c r="E82" s="21" t="n">
        <v>152</v>
      </c>
      <c r="F82" s="21" t="inlineStr">
        <is>
          <t>English</t>
        </is>
      </c>
      <c r="G82" s="21" t="inlineStr">
        <is>
          <t>Unrated</t>
        </is>
      </c>
      <c r="H82" s="22" t="n">
        <v>43650000</v>
      </c>
      <c r="I82" s="22" t="n">
        <v>6000000</v>
      </c>
      <c r="J82" s="21">
        <f>IF(OR(H82="",H82=25529689.5),"Yes","No")</f>
        <v/>
      </c>
      <c r="K82" s="21">
        <f>IF(AND(D82="USA",C82&gt;=1980,J82="No"),"Yes","No")</f>
        <v/>
      </c>
      <c r="L82" s="26">
        <f>IF(J82="Yes","",H82-I82)</f>
        <v/>
      </c>
      <c r="M82" s="27">
        <f>IF(OR(J82="Yes",I82=0),"",H82/I82)</f>
        <v/>
      </c>
      <c r="N82" s="21">
        <f>IF(J82="Yes","",IF(H82&gt;=I82,1,0))</f>
        <v/>
      </c>
      <c r="O82" s="21">
        <f>IF(I82&lt;=5000000,"Under $5M",IF(I82&lt;=20000000,"$5M-20M",IF(I82&lt;=50000000,"$20M-50M",IF(I82&lt;=100000000,"$50M-100M","$100M+"))))</f>
        <v/>
      </c>
      <c r="P82" s="21">
        <f>IF(E82&lt;=90,"90 or less",IF(E82&lt;=105,"91-105",IF(E82&lt;=120,"106-120",IF(E82&lt;=140,"121-140","Over 140"))))</f>
        <v/>
      </c>
      <c r="Q82" s="28">
        <f>INT(C82/10)*10</f>
        <v/>
      </c>
    </row>
    <row r="83">
      <c r="A83" s="21" t="n">
        <v>83</v>
      </c>
      <c r="B83" s="21" t="inlineStr">
        <is>
          <t>Dr. No</t>
        </is>
      </c>
      <c r="C83" s="21" t="n">
        <v>1962</v>
      </c>
      <c r="D83" s="21" t="inlineStr">
        <is>
          <t>UK</t>
        </is>
      </c>
      <c r="E83" s="21" t="n">
        <v>110</v>
      </c>
      <c r="F83" s="21" t="inlineStr">
        <is>
          <t>English</t>
        </is>
      </c>
      <c r="G83" s="21" t="inlineStr">
        <is>
          <t>Approved</t>
        </is>
      </c>
      <c r="H83" s="22" t="n">
        <v>16067035</v>
      </c>
      <c r="I83" s="22" t="n">
        <v>1100000</v>
      </c>
      <c r="J83" s="21">
        <f>IF(OR(H83="",H83=25529689.5),"Yes","No")</f>
        <v/>
      </c>
      <c r="K83" s="21">
        <f>IF(AND(D83="USA",C83&gt;=1980,J83="No"),"Yes","No")</f>
        <v/>
      </c>
      <c r="L83" s="26">
        <f>IF(J83="Yes","",H83-I83)</f>
        <v/>
      </c>
      <c r="M83" s="27">
        <f>IF(OR(J83="Yes",I83=0),"",H83/I83)</f>
        <v/>
      </c>
      <c r="N83" s="21">
        <f>IF(J83="Yes","",IF(H83&gt;=I83,1,0))</f>
        <v/>
      </c>
      <c r="O83" s="21">
        <f>IF(I83&lt;=5000000,"Under $5M",IF(I83&lt;=20000000,"$5M-20M",IF(I83&lt;=50000000,"$20M-50M",IF(I83&lt;=100000000,"$50M-100M","$100M+"))))</f>
        <v/>
      </c>
      <c r="P83" s="21">
        <f>IF(E83&lt;=90,"90 or less",IF(E83&lt;=105,"91-105",IF(E83&lt;=120,"106-120",IF(E83&lt;=140,"121-140","Over 140"))))</f>
        <v/>
      </c>
      <c r="Q83" s="28">
        <f>INT(C83/10)*10</f>
        <v/>
      </c>
    </row>
    <row r="84">
      <c r="A84" s="21" t="n">
        <v>84</v>
      </c>
      <c r="B84" s="21" t="inlineStr">
        <is>
          <t>Lawrence of Arabia</t>
        </is>
      </c>
      <c r="C84" s="21" t="n">
        <v>1962</v>
      </c>
      <c r="D84" s="21" t="inlineStr">
        <is>
          <t>UK</t>
        </is>
      </c>
      <c r="E84" s="21" t="n">
        <v>227</v>
      </c>
      <c r="F84" s="21" t="inlineStr">
        <is>
          <t>English</t>
        </is>
      </c>
      <c r="G84" s="21" t="inlineStr">
        <is>
          <t>PG</t>
        </is>
      </c>
      <c r="H84" s="22" t="n">
        <v>6000000</v>
      </c>
      <c r="I84" s="22" t="n">
        <v>15000000</v>
      </c>
      <c r="J84" s="21">
        <f>IF(OR(H84="",H84=25529689.5),"Yes","No")</f>
        <v/>
      </c>
      <c r="K84" s="21">
        <f>IF(AND(D84="USA",C84&gt;=1980,J84="No"),"Yes","No")</f>
        <v/>
      </c>
      <c r="L84" s="26">
        <f>IF(J84="Yes","",H84-I84)</f>
        <v/>
      </c>
      <c r="M84" s="27">
        <f>IF(OR(J84="Yes",I84=0),"",H84/I84)</f>
        <v/>
      </c>
      <c r="N84" s="21">
        <f>IF(J84="Yes","",IF(H84&gt;=I84,1,0))</f>
        <v/>
      </c>
      <c r="O84" s="21">
        <f>IF(I84&lt;=5000000,"Under $5M",IF(I84&lt;=20000000,"$5M-20M",IF(I84&lt;=50000000,"$20M-50M",IF(I84&lt;=100000000,"$50M-100M","$100M+"))))</f>
        <v/>
      </c>
      <c r="P84" s="21">
        <f>IF(E84&lt;=90,"90 or less",IF(E84&lt;=105,"91-105",IF(E84&lt;=120,"106-120",IF(E84&lt;=140,"121-140","Over 140"))))</f>
        <v/>
      </c>
      <c r="Q84" s="28">
        <f>INT(C84/10)*10</f>
        <v/>
      </c>
    </row>
    <row r="85">
      <c r="A85" s="21" t="n">
        <v>85</v>
      </c>
      <c r="B85" s="21" t="inlineStr">
        <is>
          <t>Lolita</t>
        </is>
      </c>
      <c r="C85" s="21" t="n">
        <v>1962</v>
      </c>
      <c r="D85" s="21" t="inlineStr">
        <is>
          <t>UK</t>
        </is>
      </c>
      <c r="E85" s="21" t="n">
        <v>152</v>
      </c>
      <c r="F85" s="21" t="inlineStr">
        <is>
          <t>English</t>
        </is>
      </c>
      <c r="G85" s="21" t="inlineStr">
        <is>
          <t>Not Rated</t>
        </is>
      </c>
      <c r="H85" s="22" t="n">
        <v>25529689.5</v>
      </c>
      <c r="I85" s="22" t="n">
        <v>2000000</v>
      </c>
      <c r="J85" s="21">
        <f>IF(OR(H85="",H85=25529689.5),"Yes","No")</f>
        <v/>
      </c>
      <c r="K85" s="21">
        <f>IF(AND(D85="USA",C85&gt;=1980,J85="No"),"Yes","No")</f>
        <v/>
      </c>
      <c r="L85" s="26">
        <f>IF(J85="Yes","",H85-I85)</f>
        <v/>
      </c>
      <c r="M85" s="27">
        <f>IF(OR(J85="Yes",I85=0),"",H85/I85)</f>
        <v/>
      </c>
      <c r="N85" s="21">
        <f>IF(J85="Yes","",IF(H85&gt;=I85,1,0))</f>
        <v/>
      </c>
      <c r="O85" s="21">
        <f>IF(I85&lt;=5000000,"Under $5M",IF(I85&lt;=20000000,"$5M-20M",IF(I85&lt;=50000000,"$20M-50M",IF(I85&lt;=100000000,"$50M-100M","$100M+"))))</f>
        <v/>
      </c>
      <c r="P85" s="21">
        <f>IF(E85&lt;=90,"90 or less",IF(E85&lt;=105,"91-105",IF(E85&lt;=120,"106-120",IF(E85&lt;=140,"121-140","Over 140"))))</f>
        <v/>
      </c>
      <c r="Q85" s="28">
        <f>INT(C85/10)*10</f>
        <v/>
      </c>
    </row>
    <row r="86">
      <c r="A86" s="21" t="n">
        <v>87</v>
      </c>
      <c r="B86" s="21" t="inlineStr">
        <is>
          <t>The Brain That Wouldn't Die</t>
        </is>
      </c>
      <c r="C86" s="21" t="n">
        <v>1962</v>
      </c>
      <c r="D86" s="21" t="inlineStr">
        <is>
          <t>USA</t>
        </is>
      </c>
      <c r="E86" s="21" t="n">
        <v>70</v>
      </c>
      <c r="F86" s="21" t="inlineStr">
        <is>
          <t>English</t>
        </is>
      </c>
      <c r="G86" s="21" t="inlineStr">
        <is>
          <t>Approved</t>
        </is>
      </c>
      <c r="H86" s="22" t="n">
        <v>25529689.5</v>
      </c>
      <c r="I86" s="22" t="n">
        <v>62000</v>
      </c>
      <c r="J86" s="21">
        <f>IF(OR(H86="",H86=25529689.5),"Yes","No")</f>
        <v/>
      </c>
      <c r="K86" s="21">
        <f>IF(AND(D86="USA",C86&gt;=1980,J86="No"),"Yes","No")</f>
        <v/>
      </c>
      <c r="L86" s="26">
        <f>IF(J86="Yes","",H86-I86)</f>
        <v/>
      </c>
      <c r="M86" s="27">
        <f>IF(OR(J86="Yes",I86=0),"",H86/I86)</f>
        <v/>
      </c>
      <c r="N86" s="21">
        <f>IF(J86="Yes","",IF(H86&gt;=I86,1,0))</f>
        <v/>
      </c>
      <c r="O86" s="21">
        <f>IF(I86&lt;=5000000,"Under $5M",IF(I86&lt;=20000000,"$5M-20M",IF(I86&lt;=50000000,"$20M-50M",IF(I86&lt;=100000000,"$50M-100M","$100M+"))))</f>
        <v/>
      </c>
      <c r="P86" s="21">
        <f>IF(E86&lt;=90,"90 or less",IF(E86&lt;=105,"91-105",IF(E86&lt;=120,"106-120",IF(E86&lt;=140,"121-140","Over 140"))))</f>
        <v/>
      </c>
      <c r="Q86" s="28">
        <f>INT(C86/10)*10</f>
        <v/>
      </c>
    </row>
    <row r="87">
      <c r="A87" s="21" t="n">
        <v>88</v>
      </c>
      <c r="B87" s="21" t="inlineStr">
        <is>
          <t>The Longest Day</t>
        </is>
      </c>
      <c r="C87" s="21" t="n">
        <v>1962</v>
      </c>
      <c r="D87" s="21" t="inlineStr">
        <is>
          <t>USA</t>
        </is>
      </c>
      <c r="E87" s="21" t="n">
        <v>178</v>
      </c>
      <c r="F87" s="21" t="inlineStr">
        <is>
          <t>English</t>
        </is>
      </c>
      <c r="G87" s="21" t="inlineStr">
        <is>
          <t>G</t>
        </is>
      </c>
      <c r="H87" s="22" t="n">
        <v>25529689.5</v>
      </c>
      <c r="I87" s="22" t="n">
        <v>10000000</v>
      </c>
      <c r="J87" s="21">
        <f>IF(OR(H87="",H87=25529689.5),"Yes","No")</f>
        <v/>
      </c>
      <c r="K87" s="21">
        <f>IF(AND(D87="USA",C87&gt;=1980,J87="No"),"Yes","No")</f>
        <v/>
      </c>
      <c r="L87" s="26">
        <f>IF(J87="Yes","",H87-I87)</f>
        <v/>
      </c>
      <c r="M87" s="27">
        <f>IF(OR(J87="Yes",I87=0),"",H87/I87)</f>
        <v/>
      </c>
      <c r="N87" s="21">
        <f>IF(J87="Yes","",IF(H87&gt;=I87,1,0))</f>
        <v/>
      </c>
      <c r="O87" s="21">
        <f>IF(I87&lt;=5000000,"Under $5M",IF(I87&lt;=20000000,"$5M-20M",IF(I87&lt;=50000000,"$20M-50M",IF(I87&lt;=100000000,"$50M-100M","$100M+"))))</f>
        <v/>
      </c>
      <c r="P87" s="21">
        <f>IF(E87&lt;=90,"90 or less",IF(E87&lt;=105,"91-105",IF(E87&lt;=120,"106-120",IF(E87&lt;=140,"121-140","Over 140"))))</f>
        <v/>
      </c>
      <c r="Q87" s="28">
        <f>INT(C87/10)*10</f>
        <v/>
      </c>
    </row>
    <row r="88">
      <c r="A88" s="21" t="n">
        <v>89</v>
      </c>
      <c r="B88" s="21" t="inlineStr">
        <is>
          <t>The Man Who Shot Liberty Valance</t>
        </is>
      </c>
      <c r="C88" s="21" t="n">
        <v>1962</v>
      </c>
      <c r="D88" s="21" t="inlineStr">
        <is>
          <t>USA</t>
        </is>
      </c>
      <c r="E88" s="21" t="n">
        <v>113</v>
      </c>
      <c r="F88" s="21" t="inlineStr">
        <is>
          <t>English</t>
        </is>
      </c>
      <c r="G88" s="21" t="inlineStr">
        <is>
          <t>Approved</t>
        </is>
      </c>
      <c r="H88" s="22" t="n">
        <v>25529689.5</v>
      </c>
      <c r="I88" s="22" t="n">
        <v>3200000</v>
      </c>
      <c r="J88" s="21">
        <f>IF(OR(H88="",H88=25529689.5),"Yes","No")</f>
        <v/>
      </c>
      <c r="K88" s="21">
        <f>IF(AND(D88="USA",C88&gt;=1980,J88="No"),"Yes","No")</f>
        <v/>
      </c>
      <c r="L88" s="26">
        <f>IF(J88="Yes","",H88-I88)</f>
        <v/>
      </c>
      <c r="M88" s="27">
        <f>IF(OR(J88="Yes",I88=0),"",H88/I88)</f>
        <v/>
      </c>
      <c r="N88" s="21">
        <f>IF(J88="Yes","",IF(H88&gt;=I88,1,0))</f>
        <v/>
      </c>
      <c r="O88" s="21">
        <f>IF(I88&lt;=5000000,"Under $5M",IF(I88&lt;=20000000,"$5M-20M",IF(I88&lt;=50000000,"$20M-50M",IF(I88&lt;=100000000,"$50M-100M","$100M+"))))</f>
        <v/>
      </c>
      <c r="P88" s="21">
        <f>IF(E88&lt;=90,"90 or less",IF(E88&lt;=105,"91-105",IF(E88&lt;=120,"106-120",IF(E88&lt;=140,"121-140","Over 140"))))</f>
        <v/>
      </c>
      <c r="Q88" s="28">
        <f>INT(C88/10)*10</f>
        <v/>
      </c>
    </row>
    <row r="89">
      <c r="A89" s="21" t="n">
        <v>90</v>
      </c>
      <c r="B89" s="21" t="inlineStr">
        <is>
          <t>To Kill a Mockingbird</t>
        </is>
      </c>
      <c r="C89" s="21" t="n">
        <v>1962</v>
      </c>
      <c r="D89" s="21" t="inlineStr">
        <is>
          <t>USA</t>
        </is>
      </c>
      <c r="E89" s="21" t="n">
        <v>129</v>
      </c>
      <c r="F89" s="21" t="inlineStr">
        <is>
          <t>English</t>
        </is>
      </c>
      <c r="G89" s="21" t="inlineStr">
        <is>
          <t>Not Rated</t>
        </is>
      </c>
      <c r="H89" s="22" t="n">
        <v>25529689.5</v>
      </c>
      <c r="I89" s="22" t="n">
        <v>2000000</v>
      </c>
      <c r="J89" s="21">
        <f>IF(OR(H89="",H89=25529689.5),"Yes","No")</f>
        <v/>
      </c>
      <c r="K89" s="21">
        <f>IF(AND(D89="USA",C89&gt;=1980,J89="No"),"Yes","No")</f>
        <v/>
      </c>
      <c r="L89" s="26">
        <f>IF(J89="Yes","",H89-I89)</f>
        <v/>
      </c>
      <c r="M89" s="27">
        <f>IF(OR(J89="Yes",I89=0),"",H89/I89)</f>
        <v/>
      </c>
      <c r="N89" s="21">
        <f>IF(J89="Yes","",IF(H89&gt;=I89,1,0))</f>
        <v/>
      </c>
      <c r="O89" s="21">
        <f>IF(I89&lt;=5000000,"Under $5M",IF(I89&lt;=20000000,"$5M-20M",IF(I89&lt;=50000000,"$20M-50M",IF(I89&lt;=100000000,"$50M-100M","$100M+"))))</f>
        <v/>
      </c>
      <c r="P89" s="21">
        <f>IF(E89&lt;=90,"90 or less",IF(E89&lt;=105,"91-105",IF(E89&lt;=120,"106-120",IF(E89&lt;=140,"121-140","Over 140"))))</f>
        <v/>
      </c>
      <c r="Q89" s="28">
        <f>INT(C89/10)*10</f>
        <v/>
      </c>
    </row>
    <row r="90">
      <c r="A90" s="21" t="n">
        <v>91</v>
      </c>
      <c r="B90" s="21" t="inlineStr">
        <is>
          <t>55 Days at Peking</t>
        </is>
      </c>
      <c r="C90" s="21" t="n">
        <v>1963</v>
      </c>
      <c r="D90" s="21" t="inlineStr">
        <is>
          <t>USA</t>
        </is>
      </c>
      <c r="E90" s="21" t="n">
        <v>154</v>
      </c>
      <c r="F90" s="21" t="inlineStr">
        <is>
          <t>English</t>
        </is>
      </c>
      <c r="G90" s="21" t="inlineStr">
        <is>
          <t>Unrated</t>
        </is>
      </c>
      <c r="H90" s="22" t="n">
        <v>25529689.5</v>
      </c>
      <c r="I90" s="22" t="n">
        <v>9000000</v>
      </c>
      <c r="J90" s="21">
        <f>IF(OR(H90="",H90=25529689.5),"Yes","No")</f>
        <v/>
      </c>
      <c r="K90" s="21">
        <f>IF(AND(D90="USA",C90&gt;=1980,J90="No"),"Yes","No")</f>
        <v/>
      </c>
      <c r="L90" s="26">
        <f>IF(J90="Yes","",H90-I90)</f>
        <v/>
      </c>
      <c r="M90" s="27">
        <f>IF(OR(J90="Yes",I90=0),"",H90/I90)</f>
        <v/>
      </c>
      <c r="N90" s="21">
        <f>IF(J90="Yes","",IF(H90&gt;=I90,1,0))</f>
        <v/>
      </c>
      <c r="O90" s="21">
        <f>IF(I90&lt;=5000000,"Under $5M",IF(I90&lt;=20000000,"$5M-20M",IF(I90&lt;=50000000,"$20M-50M",IF(I90&lt;=100000000,"$50M-100M","$100M+"))))</f>
        <v/>
      </c>
      <c r="P90" s="21">
        <f>IF(E90&lt;=90,"90 or less",IF(E90&lt;=105,"91-105",IF(E90&lt;=120,"106-120",IF(E90&lt;=140,"121-140","Over 140"))))</f>
        <v/>
      </c>
      <c r="Q90" s="28">
        <f>INT(C90/10)*10</f>
        <v/>
      </c>
    </row>
    <row r="91">
      <c r="A91" s="21" t="n">
        <v>92</v>
      </c>
      <c r="B91" s="21" t="inlineStr">
        <is>
          <t>Cleopatra</t>
        </is>
      </c>
      <c r="C91" s="21" t="n">
        <v>1963</v>
      </c>
      <c r="D91" s="21" t="inlineStr">
        <is>
          <t>UK</t>
        </is>
      </c>
      <c r="E91" s="21" t="n">
        <v>251</v>
      </c>
      <c r="F91" s="21" t="inlineStr">
        <is>
          <t>English</t>
        </is>
      </c>
      <c r="G91" s="21" t="inlineStr">
        <is>
          <t>Approved</t>
        </is>
      </c>
      <c r="H91" s="22" t="n">
        <v>57750000</v>
      </c>
      <c r="I91" s="22" t="n">
        <v>31115000</v>
      </c>
      <c r="J91" s="21">
        <f>IF(OR(H91="",H91=25529689.5),"Yes","No")</f>
        <v/>
      </c>
      <c r="K91" s="21">
        <f>IF(AND(D91="USA",C91&gt;=1980,J91="No"),"Yes","No")</f>
        <v/>
      </c>
      <c r="L91" s="26">
        <f>IF(J91="Yes","",H91-I91)</f>
        <v/>
      </c>
      <c r="M91" s="27">
        <f>IF(OR(J91="Yes",I91=0),"",H91/I91)</f>
        <v/>
      </c>
      <c r="N91" s="21">
        <f>IF(J91="Yes","",IF(H91&gt;=I91,1,0))</f>
        <v/>
      </c>
      <c r="O91" s="21">
        <f>IF(I91&lt;=5000000,"Under $5M",IF(I91&lt;=20000000,"$5M-20M",IF(I91&lt;=50000000,"$20M-50M",IF(I91&lt;=100000000,"$50M-100M","$100M+"))))</f>
        <v/>
      </c>
      <c r="P91" s="21">
        <f>IF(E91&lt;=90,"90 or less",IF(E91&lt;=105,"91-105",IF(E91&lt;=120,"106-120",IF(E91&lt;=140,"121-140","Over 140"))))</f>
        <v/>
      </c>
      <c r="Q91" s="28">
        <f>INT(C91/10)*10</f>
        <v/>
      </c>
    </row>
    <row r="92">
      <c r="A92" s="21" t="n">
        <v>93</v>
      </c>
      <c r="B92" s="21" t="inlineStr">
        <is>
          <t>Donovan's Reef</t>
        </is>
      </c>
      <c r="C92" s="21" t="n">
        <v>1963</v>
      </c>
      <c r="D92" s="21" t="inlineStr">
        <is>
          <t>USA</t>
        </is>
      </c>
      <c r="E92" s="21" t="n">
        <v>109</v>
      </c>
      <c r="F92" s="21" t="inlineStr">
        <is>
          <t>English</t>
        </is>
      </c>
      <c r="G92" s="21" t="inlineStr">
        <is>
          <t>Not Rated</t>
        </is>
      </c>
      <c r="H92" s="22" t="n">
        <v>25529689.5</v>
      </c>
      <c r="I92" s="22" t="n">
        <v>2686585</v>
      </c>
      <c r="J92" s="21">
        <f>IF(OR(H92="",H92=25529689.5),"Yes","No")</f>
        <v/>
      </c>
      <c r="K92" s="21">
        <f>IF(AND(D92="USA",C92&gt;=1980,J92="No"),"Yes","No")</f>
        <v/>
      </c>
      <c r="L92" s="26">
        <f>IF(J92="Yes","",H92-I92)</f>
        <v/>
      </c>
      <c r="M92" s="27">
        <f>IF(OR(J92="Yes",I92=0),"",H92/I92)</f>
        <v/>
      </c>
      <c r="N92" s="21">
        <f>IF(J92="Yes","",IF(H92&gt;=I92,1,0))</f>
        <v/>
      </c>
      <c r="O92" s="21">
        <f>IF(I92&lt;=5000000,"Under $5M",IF(I92&lt;=20000000,"$5M-20M",IF(I92&lt;=50000000,"$20M-50M",IF(I92&lt;=100000000,"$50M-100M","$100M+"))))</f>
        <v/>
      </c>
      <c r="P92" s="21">
        <f>IF(E92&lt;=90,"90 or less",IF(E92&lt;=105,"91-105",IF(E92&lt;=120,"106-120",IF(E92&lt;=140,"121-140","Over 140"))))</f>
        <v/>
      </c>
      <c r="Q92" s="28">
        <f>INT(C92/10)*10</f>
        <v/>
      </c>
    </row>
    <row r="93">
      <c r="A93" s="21" t="n">
        <v>94</v>
      </c>
      <c r="B93" s="21" t="inlineStr">
        <is>
          <t>From Russia with Love</t>
        </is>
      </c>
      <c r="C93" s="21" t="n">
        <v>1963</v>
      </c>
      <c r="D93" s="21" t="inlineStr">
        <is>
          <t>UK</t>
        </is>
      </c>
      <c r="E93" s="21" t="n">
        <v>115</v>
      </c>
      <c r="F93" s="21" t="inlineStr">
        <is>
          <t>English</t>
        </is>
      </c>
      <c r="G93" s="21" t="inlineStr">
        <is>
          <t>Approved</t>
        </is>
      </c>
      <c r="H93" s="22" t="n">
        <v>24800000</v>
      </c>
      <c r="I93" s="22" t="n">
        <v>2000000</v>
      </c>
      <c r="J93" s="21">
        <f>IF(OR(H93="",H93=25529689.5),"Yes","No")</f>
        <v/>
      </c>
      <c r="K93" s="21">
        <f>IF(AND(D93="USA",C93&gt;=1980,J93="No"),"Yes","No")</f>
        <v/>
      </c>
      <c r="L93" s="26">
        <f>IF(J93="Yes","",H93-I93)</f>
        <v/>
      </c>
      <c r="M93" s="27">
        <f>IF(OR(J93="Yes",I93=0),"",H93/I93)</f>
        <v/>
      </c>
      <c r="N93" s="21">
        <f>IF(J93="Yes","",IF(H93&gt;=I93,1,0))</f>
        <v/>
      </c>
      <c r="O93" s="21">
        <f>IF(I93&lt;=5000000,"Under $5M",IF(I93&lt;=20000000,"$5M-20M",IF(I93&lt;=50000000,"$20M-50M",IF(I93&lt;=100000000,"$50M-100M","$100M+"))))</f>
        <v/>
      </c>
      <c r="P93" s="21">
        <f>IF(E93&lt;=90,"90 or less",IF(E93&lt;=105,"91-105",IF(E93&lt;=120,"106-120",IF(E93&lt;=140,"121-140","Over 140"))))</f>
        <v/>
      </c>
      <c r="Q93" s="28">
        <f>INT(C93/10)*10</f>
        <v/>
      </c>
    </row>
    <row r="94">
      <c r="A94" s="21" t="n">
        <v>95</v>
      </c>
      <c r="B94" s="21" t="inlineStr">
        <is>
          <t>Hud</t>
        </is>
      </c>
      <c r="C94" s="21" t="n">
        <v>1963</v>
      </c>
      <c r="D94" s="21" t="inlineStr">
        <is>
          <t>USA</t>
        </is>
      </c>
      <c r="E94" s="21" t="n">
        <v>112</v>
      </c>
      <c r="F94" s="21" t="inlineStr">
        <is>
          <t>English</t>
        </is>
      </c>
      <c r="G94" s="21" t="inlineStr">
        <is>
          <t>Approved</t>
        </is>
      </c>
      <c r="H94" s="22" t="n">
        <v>25529689.5</v>
      </c>
      <c r="I94" s="22" t="n">
        <v>2500000</v>
      </c>
      <c r="J94" s="21">
        <f>IF(OR(H94="",H94=25529689.5),"Yes","No")</f>
        <v/>
      </c>
      <c r="K94" s="21">
        <f>IF(AND(D94="USA",C94&gt;=1980,J94="No"),"Yes","No")</f>
        <v/>
      </c>
      <c r="L94" s="26">
        <f>IF(J94="Yes","",H94-I94)</f>
        <v/>
      </c>
      <c r="M94" s="27">
        <f>IF(OR(J94="Yes",I94=0),"",H94/I94)</f>
        <v/>
      </c>
      <c r="N94" s="21">
        <f>IF(J94="Yes","",IF(H94&gt;=I94,1,0))</f>
        <v/>
      </c>
      <c r="O94" s="21">
        <f>IF(I94&lt;=5000000,"Under $5M",IF(I94&lt;=20000000,"$5M-20M",IF(I94&lt;=50000000,"$20M-50M",IF(I94&lt;=100000000,"$50M-100M","$100M+"))))</f>
        <v/>
      </c>
      <c r="P94" s="21">
        <f>IF(E94&lt;=90,"90 or less",IF(E94&lt;=105,"91-105",IF(E94&lt;=120,"106-120",IF(E94&lt;=140,"121-140","Over 140"))))</f>
        <v/>
      </c>
      <c r="Q94" s="28">
        <f>INT(C94/10)*10</f>
        <v/>
      </c>
    </row>
    <row r="95">
      <c r="A95" s="21" t="n">
        <v>96</v>
      </c>
      <c r="B95" s="21" t="inlineStr">
        <is>
          <t>It's a Mad, Mad, Mad, Mad World</t>
        </is>
      </c>
      <c r="C95" s="21" t="n">
        <v>1963</v>
      </c>
      <c r="D95" s="21" t="inlineStr">
        <is>
          <t>USA</t>
        </is>
      </c>
      <c r="E95" s="21" t="n">
        <v>197</v>
      </c>
      <c r="F95" s="21" t="inlineStr">
        <is>
          <t>English</t>
        </is>
      </c>
      <c r="G95" s="21" t="inlineStr">
        <is>
          <t>Approved</t>
        </is>
      </c>
      <c r="H95" s="22" t="n">
        <v>46300000</v>
      </c>
      <c r="I95" s="22" t="n">
        <v>9400000</v>
      </c>
      <c r="J95" s="21">
        <f>IF(OR(H95="",H95=25529689.5),"Yes","No")</f>
        <v/>
      </c>
      <c r="K95" s="21">
        <f>IF(AND(D95="USA",C95&gt;=1980,J95="No"),"Yes","No")</f>
        <v/>
      </c>
      <c r="L95" s="26">
        <f>IF(J95="Yes","",H95-I95)</f>
        <v/>
      </c>
      <c r="M95" s="27">
        <f>IF(OR(J95="Yes",I95=0),"",H95/I95)</f>
        <v/>
      </c>
      <c r="N95" s="21">
        <f>IF(J95="Yes","",IF(H95&gt;=I95,1,0))</f>
        <v/>
      </c>
      <c r="O95" s="21">
        <f>IF(I95&lt;=5000000,"Under $5M",IF(I95&lt;=20000000,"$5M-20M",IF(I95&lt;=50000000,"$20M-50M",IF(I95&lt;=100000000,"$50M-100M","$100M+"))))</f>
        <v/>
      </c>
      <c r="P95" s="21">
        <f>IF(E95&lt;=90,"90 or less",IF(E95&lt;=105,"91-105",IF(E95&lt;=120,"106-120",IF(E95&lt;=140,"121-140","Over 140"))))</f>
        <v/>
      </c>
      <c r="Q95" s="28">
        <f>INT(C95/10)*10</f>
        <v/>
      </c>
    </row>
    <row r="96">
      <c r="A96" s="21" t="n">
        <v>97</v>
      </c>
      <c r="B96" s="21" t="inlineStr">
        <is>
          <t>The Great Escape</t>
        </is>
      </c>
      <c r="C96" s="21" t="n">
        <v>1963</v>
      </c>
      <c r="D96" s="21" t="inlineStr">
        <is>
          <t>USA</t>
        </is>
      </c>
      <c r="E96" s="21" t="n">
        <v>172</v>
      </c>
      <c r="F96" s="21" t="inlineStr">
        <is>
          <t>English</t>
        </is>
      </c>
      <c r="G96" s="21" t="inlineStr">
        <is>
          <t>Approved</t>
        </is>
      </c>
      <c r="H96" s="22" t="n">
        <v>25529689.5</v>
      </c>
      <c r="I96" s="22" t="n">
        <v>4000000</v>
      </c>
      <c r="J96" s="21">
        <f>IF(OR(H96="",H96=25529689.5),"Yes","No")</f>
        <v/>
      </c>
      <c r="K96" s="21">
        <f>IF(AND(D96="USA",C96&gt;=1980,J96="No"),"Yes","No")</f>
        <v/>
      </c>
      <c r="L96" s="26">
        <f>IF(J96="Yes","",H96-I96)</f>
        <v/>
      </c>
      <c r="M96" s="27">
        <f>IF(OR(J96="Yes",I96=0),"",H96/I96)</f>
        <v/>
      </c>
      <c r="N96" s="21">
        <f>IF(J96="Yes","",IF(H96&gt;=I96,1,0))</f>
        <v/>
      </c>
      <c r="O96" s="21">
        <f>IF(I96&lt;=5000000,"Under $5M",IF(I96&lt;=20000000,"$5M-20M",IF(I96&lt;=50000000,"$20M-50M",IF(I96&lt;=100000000,"$50M-100M","$100M+"))))</f>
        <v/>
      </c>
      <c r="P96" s="21">
        <f>IF(E96&lt;=90,"90 or less",IF(E96&lt;=105,"91-105",IF(E96&lt;=120,"106-120",IF(E96&lt;=140,"121-140","Over 140"))))</f>
        <v/>
      </c>
      <c r="Q96" s="28">
        <f>INT(C96/10)*10</f>
        <v/>
      </c>
    </row>
    <row r="97">
      <c r="A97" s="21" t="n">
        <v>98</v>
      </c>
      <c r="B97" s="21" t="inlineStr">
        <is>
          <t>Tom Jones</t>
        </is>
      </c>
      <c r="C97" s="21" t="n">
        <v>1963</v>
      </c>
      <c r="D97" s="21" t="inlineStr">
        <is>
          <t>UK</t>
        </is>
      </c>
      <c r="E97" s="21" t="n">
        <v>121</v>
      </c>
      <c r="F97" s="21" t="inlineStr">
        <is>
          <t>English</t>
        </is>
      </c>
      <c r="G97" s="21" t="inlineStr">
        <is>
          <t>Unrated</t>
        </is>
      </c>
      <c r="H97" s="22" t="n">
        <v>25529689.5</v>
      </c>
      <c r="I97" s="22" t="n">
        <v>1000000</v>
      </c>
      <c r="J97" s="21">
        <f>IF(OR(H97="",H97=25529689.5),"Yes","No")</f>
        <v/>
      </c>
      <c r="K97" s="21">
        <f>IF(AND(D97="USA",C97&gt;=1980,J97="No"),"Yes","No")</f>
        <v/>
      </c>
      <c r="L97" s="26">
        <f>IF(J97="Yes","",H97-I97)</f>
        <v/>
      </c>
      <c r="M97" s="27">
        <f>IF(OR(J97="Yes",I97=0),"",H97/I97)</f>
        <v/>
      </c>
      <c r="N97" s="21">
        <f>IF(J97="Yes","",IF(H97&gt;=I97,1,0))</f>
        <v/>
      </c>
      <c r="O97" s="21">
        <f>IF(I97&lt;=5000000,"Under $5M",IF(I97&lt;=20000000,"$5M-20M",IF(I97&lt;=50000000,"$20M-50M",IF(I97&lt;=100000000,"$50M-100M","$100M+"))))</f>
        <v/>
      </c>
      <c r="P97" s="21">
        <f>IF(E97&lt;=90,"90 or less",IF(E97&lt;=105,"91-105",IF(E97&lt;=120,"106-120",IF(E97&lt;=140,"121-140","Over 140"))))</f>
        <v/>
      </c>
      <c r="Q97" s="28">
        <f>INT(C97/10)*10</f>
        <v/>
      </c>
    </row>
    <row r="98">
      <c r="A98" s="21" t="n">
        <v>99</v>
      </c>
      <c r="B98" s="21" t="inlineStr">
        <is>
          <t>A Fistful of Dollars</t>
        </is>
      </c>
      <c r="C98" s="21" t="n">
        <v>1964</v>
      </c>
      <c r="D98" s="21" t="inlineStr">
        <is>
          <t>Italy</t>
        </is>
      </c>
      <c r="E98" s="21" t="n">
        <v>99</v>
      </c>
      <c r="F98" s="21" t="inlineStr">
        <is>
          <t>Italian</t>
        </is>
      </c>
      <c r="G98" s="21" t="inlineStr">
        <is>
          <t>R</t>
        </is>
      </c>
      <c r="H98" s="22" t="n">
        <v>3500000</v>
      </c>
      <c r="I98" s="22" t="n">
        <v>200000</v>
      </c>
      <c r="J98" s="21">
        <f>IF(OR(H98="",H98=25529689.5),"Yes","No")</f>
        <v/>
      </c>
      <c r="K98" s="21">
        <f>IF(AND(D98="USA",C98&gt;=1980,J98="No"),"Yes","No")</f>
        <v/>
      </c>
      <c r="L98" s="26">
        <f>IF(J98="Yes","",H98-I98)</f>
        <v/>
      </c>
      <c r="M98" s="27">
        <f>IF(OR(J98="Yes",I98=0),"",H98/I98)</f>
        <v/>
      </c>
      <c r="N98" s="21">
        <f>IF(J98="Yes","",IF(H98&gt;=I98,1,0))</f>
        <v/>
      </c>
      <c r="O98" s="21">
        <f>IF(I98&lt;=5000000,"Under $5M",IF(I98&lt;=20000000,"$5M-20M",IF(I98&lt;=50000000,"$20M-50M",IF(I98&lt;=100000000,"$50M-100M","$100M+"))))</f>
        <v/>
      </c>
      <c r="P98" s="21">
        <f>IF(E98&lt;=90,"90 or less",IF(E98&lt;=105,"91-105",IF(E98&lt;=120,"106-120",IF(E98&lt;=140,"121-140","Over 140"))))</f>
        <v/>
      </c>
      <c r="Q98" s="28">
        <f>INT(C98/10)*10</f>
        <v/>
      </c>
    </row>
    <row r="99">
      <c r="A99" s="21" t="n">
        <v>100</v>
      </c>
      <c r="B99" s="21" t="inlineStr">
        <is>
          <t>A Hard Day's Night</t>
        </is>
      </c>
      <c r="C99" s="21" t="n">
        <v>1964</v>
      </c>
      <c r="D99" s="21" t="inlineStr">
        <is>
          <t>UK</t>
        </is>
      </c>
      <c r="E99" s="21" t="n">
        <v>87</v>
      </c>
      <c r="F99" s="21" t="inlineStr">
        <is>
          <t>English</t>
        </is>
      </c>
      <c r="G99" s="21" t="inlineStr">
        <is>
          <t>Approved</t>
        </is>
      </c>
      <c r="H99" s="22" t="n">
        <v>515005</v>
      </c>
      <c r="I99" s="22" t="n">
        <v>560000</v>
      </c>
      <c r="J99" s="21">
        <f>IF(OR(H99="",H99=25529689.5),"Yes","No")</f>
        <v/>
      </c>
      <c r="K99" s="21">
        <f>IF(AND(D99="USA",C99&gt;=1980,J99="No"),"Yes","No")</f>
        <v/>
      </c>
      <c r="L99" s="26">
        <f>IF(J99="Yes","",H99-I99)</f>
        <v/>
      </c>
      <c r="M99" s="27">
        <f>IF(OR(J99="Yes",I99=0),"",H99/I99)</f>
        <v/>
      </c>
      <c r="N99" s="21">
        <f>IF(J99="Yes","",IF(H99&gt;=I99,1,0))</f>
        <v/>
      </c>
      <c r="O99" s="21">
        <f>IF(I99&lt;=5000000,"Under $5M",IF(I99&lt;=20000000,"$5M-20M",IF(I99&lt;=50000000,"$20M-50M",IF(I99&lt;=100000000,"$50M-100M","$100M+"))))</f>
        <v/>
      </c>
      <c r="P99" s="21">
        <f>IF(E99&lt;=90,"90 or less",IF(E99&lt;=105,"91-105",IF(E99&lt;=120,"106-120",IF(E99&lt;=140,"121-140","Over 140"))))</f>
        <v/>
      </c>
      <c r="Q99" s="28">
        <f>INT(C99/10)*10</f>
        <v/>
      </c>
    </row>
    <row r="100">
      <c r="A100" s="21" t="n">
        <v>101</v>
      </c>
      <c r="B100" s="21" t="inlineStr">
        <is>
          <t>Dr. Strangelove or: How I Learned to Stop Worrying and Love the Bomb</t>
        </is>
      </c>
      <c r="C100" s="21" t="n">
        <v>1964</v>
      </c>
      <c r="D100" s="21" t="inlineStr">
        <is>
          <t>USA</t>
        </is>
      </c>
      <c r="E100" s="21" t="n">
        <v>95</v>
      </c>
      <c r="F100" s="21" t="inlineStr">
        <is>
          <t>English</t>
        </is>
      </c>
      <c r="G100" s="21" t="inlineStr">
        <is>
          <t>PG</t>
        </is>
      </c>
      <c r="H100" s="22" t="n">
        <v>25529689.5</v>
      </c>
      <c r="I100" s="22" t="n">
        <v>1800000</v>
      </c>
      <c r="J100" s="21">
        <f>IF(OR(H100="",H100=25529689.5),"Yes","No")</f>
        <v/>
      </c>
      <c r="K100" s="21">
        <f>IF(AND(D100="USA",C100&gt;=1980,J100="No"),"Yes","No")</f>
        <v/>
      </c>
      <c r="L100" s="26">
        <f>IF(J100="Yes","",H100-I100)</f>
        <v/>
      </c>
      <c r="M100" s="27">
        <f>IF(OR(J100="Yes",I100=0),"",H100/I100)</f>
        <v/>
      </c>
      <c r="N100" s="21">
        <f>IF(J100="Yes","",IF(H100&gt;=I100,1,0))</f>
        <v/>
      </c>
      <c r="O100" s="21">
        <f>IF(I100&lt;=5000000,"Under $5M",IF(I100&lt;=20000000,"$5M-20M",IF(I100&lt;=50000000,"$20M-50M",IF(I100&lt;=100000000,"$50M-100M","$100M+"))))</f>
        <v/>
      </c>
      <c r="P100" s="21">
        <f>IF(E100&lt;=90,"90 or less",IF(E100&lt;=105,"91-105",IF(E100&lt;=120,"106-120",IF(E100&lt;=140,"121-140","Over 140"))))</f>
        <v/>
      </c>
      <c r="Q100" s="28">
        <f>INT(C100/10)*10</f>
        <v/>
      </c>
    </row>
    <row r="101">
      <c r="A101" s="21" t="n">
        <v>102</v>
      </c>
      <c r="B101" s="21" t="inlineStr">
        <is>
          <t>Goldfinger</t>
        </is>
      </c>
      <c r="C101" s="21" t="n">
        <v>1964</v>
      </c>
      <c r="D101" s="21" t="inlineStr">
        <is>
          <t>UK</t>
        </is>
      </c>
      <c r="E101" s="21" t="n">
        <v>110</v>
      </c>
      <c r="F101" s="21" t="inlineStr">
        <is>
          <t>English</t>
        </is>
      </c>
      <c r="G101" s="21" t="inlineStr">
        <is>
          <t>Approved</t>
        </is>
      </c>
      <c r="H101" s="22" t="n">
        <v>51100000</v>
      </c>
      <c r="I101" s="22" t="n">
        <v>3000000</v>
      </c>
      <c r="J101" s="21">
        <f>IF(OR(H101="",H101=25529689.5),"Yes","No")</f>
        <v/>
      </c>
      <c r="K101" s="21">
        <f>IF(AND(D101="USA",C101&gt;=1980,J101="No"),"Yes","No")</f>
        <v/>
      </c>
      <c r="L101" s="26">
        <f>IF(J101="Yes","",H101-I101)</f>
        <v/>
      </c>
      <c r="M101" s="27">
        <f>IF(OR(J101="Yes",I101=0),"",H101/I101)</f>
        <v/>
      </c>
      <c r="N101" s="21">
        <f>IF(J101="Yes","",IF(H101&gt;=I101,1,0))</f>
        <v/>
      </c>
      <c r="O101" s="21">
        <f>IF(I101&lt;=5000000,"Under $5M",IF(I101&lt;=20000000,"$5M-20M",IF(I101&lt;=50000000,"$20M-50M",IF(I101&lt;=100000000,"$50M-100M","$100M+"))))</f>
        <v/>
      </c>
      <c r="P101" s="21">
        <f>IF(E101&lt;=90,"90 or less",IF(E101&lt;=105,"91-105",IF(E101&lt;=120,"106-120",IF(E101&lt;=140,"121-140","Over 140"))))</f>
        <v/>
      </c>
      <c r="Q101" s="28">
        <f>INT(C101/10)*10</f>
        <v/>
      </c>
    </row>
    <row r="102">
      <c r="A102" s="21" t="n">
        <v>103</v>
      </c>
      <c r="B102" s="21" t="inlineStr">
        <is>
          <t>Mary Poppins</t>
        </is>
      </c>
      <c r="C102" s="21" t="n">
        <v>1964</v>
      </c>
      <c r="D102" s="21" t="inlineStr">
        <is>
          <t>USA</t>
        </is>
      </c>
      <c r="E102" s="21" t="n">
        <v>139</v>
      </c>
      <c r="F102" s="21" t="inlineStr">
        <is>
          <t>English</t>
        </is>
      </c>
      <c r="G102" s="21" t="inlineStr">
        <is>
          <t>Approved</t>
        </is>
      </c>
      <c r="H102" s="22" t="n">
        <v>102300000</v>
      </c>
      <c r="I102" s="22" t="n">
        <v>6000000</v>
      </c>
      <c r="J102" s="21">
        <f>IF(OR(H102="",H102=25529689.5),"Yes","No")</f>
        <v/>
      </c>
      <c r="K102" s="21">
        <f>IF(AND(D102="USA",C102&gt;=1980,J102="No"),"Yes","No")</f>
        <v/>
      </c>
      <c r="L102" s="26">
        <f>IF(J102="Yes","",H102-I102)</f>
        <v/>
      </c>
      <c r="M102" s="27">
        <f>IF(OR(J102="Yes",I102=0),"",H102/I102)</f>
        <v/>
      </c>
      <c r="N102" s="21">
        <f>IF(J102="Yes","",IF(H102&gt;=I102,1,0))</f>
        <v/>
      </c>
      <c r="O102" s="21">
        <f>IF(I102&lt;=5000000,"Under $5M",IF(I102&lt;=20000000,"$5M-20M",IF(I102&lt;=50000000,"$20M-50M",IF(I102&lt;=100000000,"$50M-100M","$100M+"))))</f>
        <v/>
      </c>
      <c r="P102" s="21">
        <f>IF(E102&lt;=90,"90 or less",IF(E102&lt;=105,"91-105",IF(E102&lt;=120,"106-120",IF(E102&lt;=140,"121-140","Over 140"))))</f>
        <v/>
      </c>
      <c r="Q102" s="28">
        <f>INT(C102/10)*10</f>
        <v/>
      </c>
    </row>
    <row r="103">
      <c r="A103" s="21" t="n">
        <v>104</v>
      </c>
      <c r="B103" s="21" t="inlineStr">
        <is>
          <t>My Fair Lady</t>
        </is>
      </c>
      <c r="C103" s="21" t="n">
        <v>1964</v>
      </c>
      <c r="D103" s="21" t="inlineStr">
        <is>
          <t>USA</t>
        </is>
      </c>
      <c r="E103" s="21" t="n">
        <v>170</v>
      </c>
      <c r="F103" s="21" t="inlineStr">
        <is>
          <t>English</t>
        </is>
      </c>
      <c r="G103" s="21" t="inlineStr">
        <is>
          <t>Approved</t>
        </is>
      </c>
      <c r="H103" s="22" t="n">
        <v>72000000</v>
      </c>
      <c r="I103" s="22" t="n">
        <v>17000000</v>
      </c>
      <c r="J103" s="21">
        <f>IF(OR(H103="",H103=25529689.5),"Yes","No")</f>
        <v/>
      </c>
      <c r="K103" s="21">
        <f>IF(AND(D103="USA",C103&gt;=1980,J103="No"),"Yes","No")</f>
        <v/>
      </c>
      <c r="L103" s="26">
        <f>IF(J103="Yes","",H103-I103)</f>
        <v/>
      </c>
      <c r="M103" s="27">
        <f>IF(OR(J103="Yes",I103=0),"",H103/I103)</f>
        <v/>
      </c>
      <c r="N103" s="21">
        <f>IF(J103="Yes","",IF(H103&gt;=I103,1,0))</f>
        <v/>
      </c>
      <c r="O103" s="21">
        <f>IF(I103&lt;=5000000,"Under $5M",IF(I103&lt;=20000000,"$5M-20M",IF(I103&lt;=50000000,"$20M-50M",IF(I103&lt;=100000000,"$50M-100M","$100M+"))))</f>
        <v/>
      </c>
      <c r="P103" s="21">
        <f>IF(E103&lt;=90,"90 or less",IF(E103&lt;=105,"91-105",IF(E103&lt;=120,"106-120",IF(E103&lt;=140,"121-140","Over 140"))))</f>
        <v/>
      </c>
      <c r="Q103" s="28">
        <f>INT(C103/10)*10</f>
        <v/>
      </c>
    </row>
    <row r="104">
      <c r="A104" s="21" t="n">
        <v>105</v>
      </c>
      <c r="B104" s="21" t="inlineStr">
        <is>
          <t>Nothing But a Man</t>
        </is>
      </c>
      <c r="C104" s="21" t="n">
        <v>1964</v>
      </c>
      <c r="D104" s="21" t="inlineStr">
        <is>
          <t>USA</t>
        </is>
      </c>
      <c r="E104" s="21" t="n">
        <v>95</v>
      </c>
      <c r="F104" s="21" t="inlineStr">
        <is>
          <t>English</t>
        </is>
      </c>
      <c r="G104" s="21" t="inlineStr">
        <is>
          <t>Not Rated</t>
        </is>
      </c>
      <c r="H104" s="22" t="n">
        <v>12438</v>
      </c>
      <c r="I104" s="22" t="n">
        <v>160000</v>
      </c>
      <c r="J104" s="21">
        <f>IF(OR(H104="",H104=25529689.5),"Yes","No")</f>
        <v/>
      </c>
      <c r="K104" s="21">
        <f>IF(AND(D104="USA",C104&gt;=1980,J104="No"),"Yes","No")</f>
        <v/>
      </c>
      <c r="L104" s="26">
        <f>IF(J104="Yes","",H104-I104)</f>
        <v/>
      </c>
      <c r="M104" s="27">
        <f>IF(OR(J104="Yes",I104=0),"",H104/I104)</f>
        <v/>
      </c>
      <c r="N104" s="21">
        <f>IF(J104="Yes","",IF(H104&gt;=I104,1,0))</f>
        <v/>
      </c>
      <c r="O104" s="21">
        <f>IF(I104&lt;=5000000,"Under $5M",IF(I104&lt;=20000000,"$5M-20M",IF(I104&lt;=50000000,"$20M-50M",IF(I104&lt;=100000000,"$50M-100M","$100M+"))))</f>
        <v/>
      </c>
      <c r="P104" s="21">
        <f>IF(E104&lt;=90,"90 or less",IF(E104&lt;=105,"91-105",IF(E104&lt;=120,"106-120",IF(E104&lt;=140,"121-140","Over 140"))))</f>
        <v/>
      </c>
      <c r="Q104" s="28">
        <f>INT(C104/10)*10</f>
        <v/>
      </c>
    </row>
    <row r="105">
      <c r="A105" s="21" t="n">
        <v>106</v>
      </c>
      <c r="B105" s="21" t="inlineStr">
        <is>
          <t>The Fall of the Roman Empire</t>
        </is>
      </c>
      <c r="C105" s="21" t="n">
        <v>1964</v>
      </c>
      <c r="D105" s="21" t="inlineStr">
        <is>
          <t>USA</t>
        </is>
      </c>
      <c r="E105" s="21" t="n">
        <v>172</v>
      </c>
      <c r="F105" s="21" t="inlineStr">
        <is>
          <t>English</t>
        </is>
      </c>
      <c r="G105" s="21" t="inlineStr">
        <is>
          <t>Approved</t>
        </is>
      </c>
      <c r="H105" s="22" t="n">
        <v>25529689.5</v>
      </c>
      <c r="I105" s="22" t="n">
        <v>19000000</v>
      </c>
      <c r="J105" s="21">
        <f>IF(OR(H105="",H105=25529689.5),"Yes","No")</f>
        <v/>
      </c>
      <c r="K105" s="21">
        <f>IF(AND(D105="USA",C105&gt;=1980,J105="No"),"Yes","No")</f>
        <v/>
      </c>
      <c r="L105" s="26">
        <f>IF(J105="Yes","",H105-I105)</f>
        <v/>
      </c>
      <c r="M105" s="27">
        <f>IF(OR(J105="Yes",I105=0),"",H105/I105)</f>
        <v/>
      </c>
      <c r="N105" s="21">
        <f>IF(J105="Yes","",IF(H105&gt;=I105,1,0))</f>
        <v/>
      </c>
      <c r="O105" s="21">
        <f>IF(I105&lt;=5000000,"Under $5M",IF(I105&lt;=20000000,"$5M-20M",IF(I105&lt;=50000000,"$20M-50M",IF(I105&lt;=100000000,"$50M-100M","$100M+"))))</f>
        <v/>
      </c>
      <c r="P105" s="21">
        <f>IF(E105&lt;=90,"90 or less",IF(E105&lt;=105,"91-105",IF(E105&lt;=120,"106-120",IF(E105&lt;=140,"121-140","Over 140"))))</f>
        <v/>
      </c>
      <c r="Q105" s="28">
        <f>INT(C105/10)*10</f>
        <v/>
      </c>
    </row>
    <row r="106">
      <c r="A106" s="21" t="n">
        <v>107</v>
      </c>
      <c r="B106" s="21" t="inlineStr">
        <is>
          <t>The Train</t>
        </is>
      </c>
      <c r="C106" s="21" t="n">
        <v>1964</v>
      </c>
      <c r="D106" s="21" t="inlineStr">
        <is>
          <t>France</t>
        </is>
      </c>
      <c r="E106" s="21" t="n">
        <v>133</v>
      </c>
      <c r="F106" s="21" t="inlineStr">
        <is>
          <t>English</t>
        </is>
      </c>
      <c r="G106" s="21" t="inlineStr">
        <is>
          <t>Unrated</t>
        </is>
      </c>
      <c r="H106" s="22" t="n">
        <v>25529689.5</v>
      </c>
      <c r="I106" s="22" t="n">
        <v>6700000</v>
      </c>
      <c r="J106" s="21">
        <f>IF(OR(H106="",H106=25529689.5),"Yes","No")</f>
        <v/>
      </c>
      <c r="K106" s="21">
        <f>IF(AND(D106="USA",C106&gt;=1980,J106="No"),"Yes","No")</f>
        <v/>
      </c>
      <c r="L106" s="26">
        <f>IF(J106="Yes","",H106-I106)</f>
        <v/>
      </c>
      <c r="M106" s="27">
        <f>IF(OR(J106="Yes",I106=0),"",H106/I106)</f>
        <v/>
      </c>
      <c r="N106" s="21">
        <f>IF(J106="Yes","",IF(H106&gt;=I106,1,0))</f>
        <v/>
      </c>
      <c r="O106" s="21">
        <f>IF(I106&lt;=5000000,"Under $5M",IF(I106&lt;=20000000,"$5M-20M",IF(I106&lt;=50000000,"$20M-50M",IF(I106&lt;=100000000,"$50M-100M","$100M+"))))</f>
        <v/>
      </c>
      <c r="P106" s="21">
        <f>IF(E106&lt;=90,"90 or less",IF(E106&lt;=105,"91-105",IF(E106&lt;=120,"106-120",IF(E106&lt;=140,"121-140","Over 140"))))</f>
        <v/>
      </c>
      <c r="Q106" s="28">
        <f>INT(C106/10)*10</f>
        <v/>
      </c>
    </row>
    <row r="107">
      <c r="A107" s="21" t="n">
        <v>108</v>
      </c>
      <c r="B107" s="21" t="inlineStr">
        <is>
          <t>Une Femme MariÃ©e</t>
        </is>
      </c>
      <c r="C107" s="21" t="n">
        <v>1964</v>
      </c>
      <c r="D107" s="21" t="inlineStr">
        <is>
          <t>France</t>
        </is>
      </c>
      <c r="E107" s="21" t="n">
        <v>94</v>
      </c>
      <c r="F107" s="21" t="inlineStr">
        <is>
          <t>French</t>
        </is>
      </c>
      <c r="G107" s="21" t="n"/>
      <c r="H107" s="22" t="n">
        <v>25529689.5</v>
      </c>
      <c r="I107" s="22" t="n">
        <v>120000</v>
      </c>
      <c r="J107" s="21">
        <f>IF(OR(H107="",H107=25529689.5),"Yes","No")</f>
        <v/>
      </c>
      <c r="K107" s="21">
        <f>IF(AND(D107="USA",C107&gt;=1980,J107="No"),"Yes","No")</f>
        <v/>
      </c>
      <c r="L107" s="26">
        <f>IF(J107="Yes","",H107-I107)</f>
        <v/>
      </c>
      <c r="M107" s="27">
        <f>IF(OR(J107="Yes",I107=0),"",H107/I107)</f>
        <v/>
      </c>
      <c r="N107" s="21">
        <f>IF(J107="Yes","",IF(H107&gt;=I107,1,0))</f>
        <v/>
      </c>
      <c r="O107" s="21">
        <f>IF(I107&lt;=5000000,"Under $5M",IF(I107&lt;=20000000,"$5M-20M",IF(I107&lt;=50000000,"$20M-50M",IF(I107&lt;=100000000,"$50M-100M","$100M+"))))</f>
        <v/>
      </c>
      <c r="P107" s="21">
        <f>IF(E107&lt;=90,"90 or less",IF(E107&lt;=105,"91-105",IF(E107&lt;=120,"106-120",IF(E107&lt;=140,"121-140","Over 140"))))</f>
        <v/>
      </c>
      <c r="Q107" s="28">
        <f>INT(C107/10)*10</f>
        <v/>
      </c>
    </row>
    <row r="108">
      <c r="A108" s="21" t="n">
        <v>109</v>
      </c>
      <c r="B108" s="21" t="inlineStr">
        <is>
          <t>Doctor Zhivago</t>
        </is>
      </c>
      <c r="C108" s="21" t="n">
        <v>1965</v>
      </c>
      <c r="D108" s="21" t="inlineStr">
        <is>
          <t>USA</t>
        </is>
      </c>
      <c r="E108" s="21" t="n">
        <v>200</v>
      </c>
      <c r="F108" s="21" t="inlineStr">
        <is>
          <t>English</t>
        </is>
      </c>
      <c r="G108" s="21" t="inlineStr">
        <is>
          <t>PG-13</t>
        </is>
      </c>
      <c r="H108" s="22" t="n">
        <v>111722000</v>
      </c>
      <c r="I108" s="22" t="n">
        <v>11000000</v>
      </c>
      <c r="J108" s="21">
        <f>IF(OR(H108="",H108=25529689.5),"Yes","No")</f>
        <v/>
      </c>
      <c r="K108" s="21">
        <f>IF(AND(D108="USA",C108&gt;=1980,J108="No"),"Yes","No")</f>
        <v/>
      </c>
      <c r="L108" s="26">
        <f>IF(J108="Yes","",H108-I108)</f>
        <v/>
      </c>
      <c r="M108" s="27">
        <f>IF(OR(J108="Yes",I108=0),"",H108/I108)</f>
        <v/>
      </c>
      <c r="N108" s="21">
        <f>IF(J108="Yes","",IF(H108&gt;=I108,1,0))</f>
        <v/>
      </c>
      <c r="O108" s="21">
        <f>IF(I108&lt;=5000000,"Under $5M",IF(I108&lt;=20000000,"$5M-20M",IF(I108&lt;=50000000,"$20M-50M",IF(I108&lt;=100000000,"$50M-100M","$100M+"))))</f>
        <v/>
      </c>
      <c r="P108" s="21">
        <f>IF(E108&lt;=90,"90 or less",IF(E108&lt;=105,"91-105",IF(E108&lt;=120,"106-120",IF(E108&lt;=140,"121-140","Over 140"))))</f>
        <v/>
      </c>
      <c r="Q108" s="28">
        <f>INT(C108/10)*10</f>
        <v/>
      </c>
    </row>
    <row r="109">
      <c r="A109" s="21" t="n">
        <v>110</v>
      </c>
      <c r="B109" s="21" t="inlineStr">
        <is>
          <t>Major Dundee</t>
        </is>
      </c>
      <c r="C109" s="21" t="n">
        <v>1965</v>
      </c>
      <c r="D109" s="21" t="inlineStr">
        <is>
          <t>USA</t>
        </is>
      </c>
      <c r="E109" s="21" t="n">
        <v>152</v>
      </c>
      <c r="F109" s="21" t="inlineStr">
        <is>
          <t>English</t>
        </is>
      </c>
      <c r="G109" s="21" t="inlineStr">
        <is>
          <t>Approved</t>
        </is>
      </c>
      <c r="H109" s="22" t="n">
        <v>14873</v>
      </c>
      <c r="I109" s="22" t="n">
        <v>3800000</v>
      </c>
      <c r="J109" s="21">
        <f>IF(OR(H109="",H109=25529689.5),"Yes","No")</f>
        <v/>
      </c>
      <c r="K109" s="21">
        <f>IF(AND(D109="USA",C109&gt;=1980,J109="No"),"Yes","No")</f>
        <v/>
      </c>
      <c r="L109" s="26">
        <f>IF(J109="Yes","",H109-I109)</f>
        <v/>
      </c>
      <c r="M109" s="27">
        <f>IF(OR(J109="Yes",I109=0),"",H109/I109)</f>
        <v/>
      </c>
      <c r="N109" s="21">
        <f>IF(J109="Yes","",IF(H109&gt;=I109,1,0))</f>
        <v/>
      </c>
      <c r="O109" s="21">
        <f>IF(I109&lt;=5000000,"Under $5M",IF(I109&lt;=20000000,"$5M-20M",IF(I109&lt;=50000000,"$20M-50M",IF(I109&lt;=100000000,"$50M-100M","$100M+"))))</f>
        <v/>
      </c>
      <c r="P109" s="21">
        <f>IF(E109&lt;=90,"90 or less",IF(E109&lt;=105,"91-105",IF(E109&lt;=120,"106-120",IF(E109&lt;=140,"121-140","Over 140"))))</f>
        <v/>
      </c>
      <c r="Q109" s="28">
        <f>INT(C109/10)*10</f>
        <v/>
      </c>
    </row>
    <row r="110">
      <c r="A110" s="21" t="n">
        <v>111</v>
      </c>
      <c r="B110" s="21" t="inlineStr">
        <is>
          <t>Pierrot le Fou</t>
        </is>
      </c>
      <c r="C110" s="21" t="n">
        <v>1965</v>
      </c>
      <c r="D110" s="21" t="inlineStr">
        <is>
          <t>France</t>
        </is>
      </c>
      <c r="E110" s="21" t="n">
        <v>110</v>
      </c>
      <c r="F110" s="21" t="inlineStr">
        <is>
          <t>French</t>
        </is>
      </c>
      <c r="G110" s="21" t="inlineStr">
        <is>
          <t>Not Rated</t>
        </is>
      </c>
      <c r="H110" s="22" t="n">
        <v>25529689.5</v>
      </c>
      <c r="I110" s="22" t="n">
        <v>300000</v>
      </c>
      <c r="J110" s="21">
        <f>IF(OR(H110="",H110=25529689.5),"Yes","No")</f>
        <v/>
      </c>
      <c r="K110" s="21">
        <f>IF(AND(D110="USA",C110&gt;=1980,J110="No"),"Yes","No")</f>
        <v/>
      </c>
      <c r="L110" s="26">
        <f>IF(J110="Yes","",H110-I110)</f>
        <v/>
      </c>
      <c r="M110" s="27">
        <f>IF(OR(J110="Yes",I110=0),"",H110/I110)</f>
        <v/>
      </c>
      <c r="N110" s="21">
        <f>IF(J110="Yes","",IF(H110&gt;=I110,1,0))</f>
        <v/>
      </c>
      <c r="O110" s="21">
        <f>IF(I110&lt;=5000000,"Under $5M",IF(I110&lt;=20000000,"$5M-20M",IF(I110&lt;=50000000,"$20M-50M",IF(I110&lt;=100000000,"$50M-100M","$100M+"))))</f>
        <v/>
      </c>
      <c r="P110" s="21">
        <f>IF(E110&lt;=90,"90 or less",IF(E110&lt;=105,"91-105",IF(E110&lt;=120,"106-120",IF(E110&lt;=140,"121-140","Over 140"))))</f>
        <v/>
      </c>
      <c r="Q110" s="28">
        <f>INT(C110/10)*10</f>
        <v/>
      </c>
    </row>
    <row r="111">
      <c r="A111" s="21" t="n">
        <v>112</v>
      </c>
      <c r="B111" s="21" t="inlineStr">
        <is>
          <t>The Greatest Story Ever Told</t>
        </is>
      </c>
      <c r="C111" s="21" t="n">
        <v>1965</v>
      </c>
      <c r="D111" s="21" t="inlineStr">
        <is>
          <t>USA</t>
        </is>
      </c>
      <c r="E111" s="21" t="n">
        <v>225</v>
      </c>
      <c r="F111" s="21" t="inlineStr">
        <is>
          <t>English</t>
        </is>
      </c>
      <c r="G111" s="21" t="inlineStr">
        <is>
          <t>G</t>
        </is>
      </c>
      <c r="H111" s="22" t="n">
        <v>8000000</v>
      </c>
      <c r="I111" s="22" t="n">
        <v>20000000</v>
      </c>
      <c r="J111" s="21">
        <f>IF(OR(H111="",H111=25529689.5),"Yes","No")</f>
        <v/>
      </c>
      <c r="K111" s="21">
        <f>IF(AND(D111="USA",C111&gt;=1980,J111="No"),"Yes","No")</f>
        <v/>
      </c>
      <c r="L111" s="26">
        <f>IF(J111="Yes","",H111-I111)</f>
        <v/>
      </c>
      <c r="M111" s="27">
        <f>IF(OR(J111="Yes",I111=0),"",H111/I111)</f>
        <v/>
      </c>
      <c r="N111" s="21">
        <f>IF(J111="Yes","",IF(H111&gt;=I111,1,0))</f>
        <v/>
      </c>
      <c r="O111" s="21">
        <f>IF(I111&lt;=5000000,"Under $5M",IF(I111&lt;=20000000,"$5M-20M",IF(I111&lt;=50000000,"$20M-50M",IF(I111&lt;=100000000,"$50M-100M","$100M+"))))</f>
        <v/>
      </c>
      <c r="P111" s="21">
        <f>IF(E111&lt;=90,"90 or less",IF(E111&lt;=105,"91-105",IF(E111&lt;=120,"106-120",IF(E111&lt;=140,"121-140","Over 140"))))</f>
        <v/>
      </c>
      <c r="Q111" s="28">
        <f>INT(C111/10)*10</f>
        <v/>
      </c>
    </row>
    <row r="112">
      <c r="A112" s="21" t="n">
        <v>113</v>
      </c>
      <c r="B112" s="21" t="inlineStr">
        <is>
          <t>The Party's Over</t>
        </is>
      </c>
      <c r="C112" s="21" t="n">
        <v>1965</v>
      </c>
      <c r="D112" s="21" t="inlineStr">
        <is>
          <t>UK</t>
        </is>
      </c>
      <c r="E112" s="21" t="n">
        <v>94</v>
      </c>
      <c r="F112" s="21" t="inlineStr">
        <is>
          <t>English</t>
        </is>
      </c>
      <c r="G112" s="21" t="n"/>
      <c r="H112" s="22" t="n">
        <v>25529689.5</v>
      </c>
      <c r="I112" s="22" t="n">
        <v>20000000</v>
      </c>
      <c r="J112" s="21">
        <f>IF(OR(H112="",H112=25529689.5),"Yes","No")</f>
        <v/>
      </c>
      <c r="K112" s="21">
        <f>IF(AND(D112="USA",C112&gt;=1980,J112="No"),"Yes","No")</f>
        <v/>
      </c>
      <c r="L112" s="26">
        <f>IF(J112="Yes","",H112-I112)</f>
        <v/>
      </c>
      <c r="M112" s="27">
        <f>IF(OR(J112="Yes",I112=0),"",H112/I112)</f>
        <v/>
      </c>
      <c r="N112" s="21">
        <f>IF(J112="Yes","",IF(H112&gt;=I112,1,0))</f>
        <v/>
      </c>
      <c r="O112" s="21">
        <f>IF(I112&lt;=5000000,"Under $5M",IF(I112&lt;=20000000,"$5M-20M",IF(I112&lt;=50000000,"$20M-50M",IF(I112&lt;=100000000,"$50M-100M","$100M+"))))</f>
        <v/>
      </c>
      <c r="P112" s="21">
        <f>IF(E112&lt;=90,"90 or less",IF(E112&lt;=105,"91-105",IF(E112&lt;=120,"106-120",IF(E112&lt;=140,"121-140","Over 140"))))</f>
        <v/>
      </c>
      <c r="Q112" s="28">
        <f>INT(C112/10)*10</f>
        <v/>
      </c>
    </row>
    <row r="113">
      <c r="A113" s="21" t="n">
        <v>114</v>
      </c>
      <c r="B113" s="21" t="inlineStr">
        <is>
          <t>The Sound of Music</t>
        </is>
      </c>
      <c r="C113" s="21" t="n">
        <v>1965</v>
      </c>
      <c r="D113" s="21" t="inlineStr">
        <is>
          <t>USA</t>
        </is>
      </c>
      <c r="E113" s="21" t="n">
        <v>174</v>
      </c>
      <c r="F113" s="21" t="inlineStr">
        <is>
          <t>English</t>
        </is>
      </c>
      <c r="G113" s="21" t="inlineStr">
        <is>
          <t>G</t>
        </is>
      </c>
      <c r="H113" s="22" t="n">
        <v>163214286</v>
      </c>
      <c r="I113" s="22" t="n">
        <v>8200000</v>
      </c>
      <c r="J113" s="21">
        <f>IF(OR(H113="",H113=25529689.5),"Yes","No")</f>
        <v/>
      </c>
      <c r="K113" s="21">
        <f>IF(AND(D113="USA",C113&gt;=1980,J113="No"),"Yes","No")</f>
        <v/>
      </c>
      <c r="L113" s="26">
        <f>IF(J113="Yes","",H113-I113)</f>
        <v/>
      </c>
      <c r="M113" s="27">
        <f>IF(OR(J113="Yes",I113=0),"",H113/I113)</f>
        <v/>
      </c>
      <c r="N113" s="21">
        <f>IF(J113="Yes","",IF(H113&gt;=I113,1,0))</f>
        <v/>
      </c>
      <c r="O113" s="21">
        <f>IF(I113&lt;=5000000,"Under $5M",IF(I113&lt;=20000000,"$5M-20M",IF(I113&lt;=50000000,"$20M-50M",IF(I113&lt;=100000000,"$50M-100M","$100M+"))))</f>
        <v/>
      </c>
      <c r="P113" s="21">
        <f>IF(E113&lt;=90,"90 or less",IF(E113&lt;=105,"91-105",IF(E113&lt;=120,"106-120",IF(E113&lt;=140,"121-140","Over 140"))))</f>
        <v/>
      </c>
      <c r="Q113" s="28">
        <f>INT(C113/10)*10</f>
        <v/>
      </c>
    </row>
    <row r="114">
      <c r="A114" s="21" t="n">
        <v>115</v>
      </c>
      <c r="B114" s="21" t="inlineStr">
        <is>
          <t>Thunderball</t>
        </is>
      </c>
      <c r="C114" s="21" t="n">
        <v>1965</v>
      </c>
      <c r="D114" s="21" t="inlineStr">
        <is>
          <t>UK</t>
        </is>
      </c>
      <c r="E114" s="21" t="n">
        <v>130</v>
      </c>
      <c r="F114" s="21" t="inlineStr">
        <is>
          <t>English</t>
        </is>
      </c>
      <c r="G114" s="21" t="inlineStr">
        <is>
          <t>Approved</t>
        </is>
      </c>
      <c r="H114" s="22" t="n">
        <v>63600000</v>
      </c>
      <c r="I114" s="22" t="n">
        <v>9000000</v>
      </c>
      <c r="J114" s="21">
        <f>IF(OR(H114="",H114=25529689.5),"Yes","No")</f>
        <v/>
      </c>
      <c r="K114" s="21">
        <f>IF(AND(D114="USA",C114&gt;=1980,J114="No"),"Yes","No")</f>
        <v/>
      </c>
      <c r="L114" s="26">
        <f>IF(J114="Yes","",H114-I114)</f>
        <v/>
      </c>
      <c r="M114" s="27">
        <f>IF(OR(J114="Yes",I114=0),"",H114/I114)</f>
        <v/>
      </c>
      <c r="N114" s="21">
        <f>IF(J114="Yes","",IF(H114&gt;=I114,1,0))</f>
        <v/>
      </c>
      <c r="O114" s="21">
        <f>IF(I114&lt;=5000000,"Under $5M",IF(I114&lt;=20000000,"$5M-20M",IF(I114&lt;=50000000,"$20M-50M",IF(I114&lt;=100000000,"$50M-100M","$100M+"))))</f>
        <v/>
      </c>
      <c r="P114" s="21">
        <f>IF(E114&lt;=90,"90 or less",IF(E114&lt;=105,"91-105",IF(E114&lt;=120,"106-120",IF(E114&lt;=140,"121-140","Over 140"))))</f>
        <v/>
      </c>
      <c r="Q114" s="28">
        <f>INT(C114/10)*10</f>
        <v/>
      </c>
    </row>
    <row r="115">
      <c r="A115" s="21" t="n">
        <v>116</v>
      </c>
      <c r="B115" s="21" t="inlineStr">
        <is>
          <t>A Funny Thing Happened on the Way to the Forum</t>
        </is>
      </c>
      <c r="C115" s="21" t="n">
        <v>1966</v>
      </c>
      <c r="D115" s="21" t="inlineStr">
        <is>
          <t>USA</t>
        </is>
      </c>
      <c r="E115" s="21" t="n">
        <v>99</v>
      </c>
      <c r="F115" s="21" t="inlineStr">
        <is>
          <t>English</t>
        </is>
      </c>
      <c r="G115" s="21" t="inlineStr">
        <is>
          <t>Approved</t>
        </is>
      </c>
      <c r="H115" s="22" t="n">
        <v>25529689.5</v>
      </c>
      <c r="I115" s="22" t="n">
        <v>2000000</v>
      </c>
      <c r="J115" s="21">
        <f>IF(OR(H115="",H115=25529689.5),"Yes","No")</f>
        <v/>
      </c>
      <c r="K115" s="21">
        <f>IF(AND(D115="USA",C115&gt;=1980,J115="No"),"Yes","No")</f>
        <v/>
      </c>
      <c r="L115" s="26">
        <f>IF(J115="Yes","",H115-I115)</f>
        <v/>
      </c>
      <c r="M115" s="27">
        <f>IF(OR(J115="Yes",I115=0),"",H115/I115)</f>
        <v/>
      </c>
      <c r="N115" s="21">
        <f>IF(J115="Yes","",IF(H115&gt;=I115,1,0))</f>
        <v/>
      </c>
      <c r="O115" s="21">
        <f>IF(I115&lt;=5000000,"Under $5M",IF(I115&lt;=20000000,"$5M-20M",IF(I115&lt;=50000000,"$20M-50M",IF(I115&lt;=100000000,"$50M-100M","$100M+"))))</f>
        <v/>
      </c>
      <c r="P115" s="21">
        <f>IF(E115&lt;=90,"90 or less",IF(E115&lt;=105,"91-105",IF(E115&lt;=120,"106-120",IF(E115&lt;=140,"121-140","Over 140"))))</f>
        <v/>
      </c>
      <c r="Q115" s="28">
        <f>INT(C115/10)*10</f>
        <v/>
      </c>
    </row>
    <row r="116">
      <c r="A116" s="21" t="n">
        <v>117</v>
      </c>
      <c r="B116" s="21" t="inlineStr">
        <is>
          <t>A Man for All Seasons</t>
        </is>
      </c>
      <c r="C116" s="21" t="n">
        <v>1966</v>
      </c>
      <c r="D116" s="21" t="inlineStr">
        <is>
          <t>UK</t>
        </is>
      </c>
      <c r="E116" s="21" t="n">
        <v>120</v>
      </c>
      <c r="F116" s="21" t="inlineStr">
        <is>
          <t>English</t>
        </is>
      </c>
      <c r="G116" s="21" t="inlineStr">
        <is>
          <t>Approved</t>
        </is>
      </c>
      <c r="H116" s="22" t="n">
        <v>25529689.5</v>
      </c>
      <c r="I116" s="22" t="n">
        <v>2000000</v>
      </c>
      <c r="J116" s="21">
        <f>IF(OR(H116="",H116=25529689.5),"Yes","No")</f>
        <v/>
      </c>
      <c r="K116" s="21">
        <f>IF(AND(D116="USA",C116&gt;=1980,J116="No"),"Yes","No")</f>
        <v/>
      </c>
      <c r="L116" s="26">
        <f>IF(J116="Yes","",H116-I116)</f>
        <v/>
      </c>
      <c r="M116" s="27">
        <f>IF(OR(J116="Yes",I116=0),"",H116/I116)</f>
        <v/>
      </c>
      <c r="N116" s="21">
        <f>IF(J116="Yes","",IF(H116&gt;=I116,1,0))</f>
        <v/>
      </c>
      <c r="O116" s="21">
        <f>IF(I116&lt;=5000000,"Under $5M",IF(I116&lt;=20000000,"$5M-20M",IF(I116&lt;=50000000,"$20M-50M",IF(I116&lt;=100000000,"$50M-100M","$100M+"))))</f>
        <v/>
      </c>
      <c r="P116" s="21">
        <f>IF(E116&lt;=90,"90 or less",IF(E116&lt;=105,"91-105",IF(E116&lt;=120,"106-120",IF(E116&lt;=140,"121-140","Over 140"))))</f>
        <v/>
      </c>
      <c r="Q116" s="28">
        <f>INT(C116/10)*10</f>
        <v/>
      </c>
    </row>
    <row r="117">
      <c r="A117" s="21" t="n">
        <v>118</v>
      </c>
      <c r="B117" s="21" t="inlineStr">
        <is>
          <t>Batman: The Movie</t>
        </is>
      </c>
      <c r="C117" s="21" t="n">
        <v>1966</v>
      </c>
      <c r="D117" s="21" t="inlineStr">
        <is>
          <t>USA</t>
        </is>
      </c>
      <c r="E117" s="21" t="n">
        <v>105</v>
      </c>
      <c r="F117" s="21" t="inlineStr">
        <is>
          <t>English</t>
        </is>
      </c>
      <c r="G117" s="21" t="inlineStr">
        <is>
          <t>Approved</t>
        </is>
      </c>
      <c r="H117" s="22" t="n">
        <v>25529689.5</v>
      </c>
      <c r="I117" s="22" t="n">
        <v>1377800</v>
      </c>
      <c r="J117" s="21">
        <f>IF(OR(H117="",H117=25529689.5),"Yes","No")</f>
        <v/>
      </c>
      <c r="K117" s="21">
        <f>IF(AND(D117="USA",C117&gt;=1980,J117="No"),"Yes","No")</f>
        <v/>
      </c>
      <c r="L117" s="26">
        <f>IF(J117="Yes","",H117-I117)</f>
        <v/>
      </c>
      <c r="M117" s="27">
        <f>IF(OR(J117="Yes",I117=0),"",H117/I117)</f>
        <v/>
      </c>
      <c r="N117" s="21">
        <f>IF(J117="Yes","",IF(H117&gt;=I117,1,0))</f>
        <v/>
      </c>
      <c r="O117" s="21">
        <f>IF(I117&lt;=5000000,"Under $5M",IF(I117&lt;=20000000,"$5M-20M",IF(I117&lt;=50000000,"$20M-50M",IF(I117&lt;=100000000,"$50M-100M","$100M+"))))</f>
        <v/>
      </c>
      <c r="P117" s="21">
        <f>IF(E117&lt;=90,"90 or less",IF(E117&lt;=105,"91-105",IF(E117&lt;=120,"106-120",IF(E117&lt;=140,"121-140","Over 140"))))</f>
        <v/>
      </c>
      <c r="Q117" s="28">
        <f>INT(C117/10)*10</f>
        <v/>
      </c>
    </row>
    <row r="118">
      <c r="A118" s="21" t="n">
        <v>119</v>
      </c>
      <c r="B118" s="21" t="inlineStr">
        <is>
          <t>Harper</t>
        </is>
      </c>
      <c r="C118" s="21" t="n">
        <v>1966</v>
      </c>
      <c r="D118" s="21" t="inlineStr">
        <is>
          <t>USA</t>
        </is>
      </c>
      <c r="E118" s="21" t="n">
        <v>121</v>
      </c>
      <c r="F118" s="21" t="inlineStr">
        <is>
          <t>English</t>
        </is>
      </c>
      <c r="G118" s="21" t="inlineStr">
        <is>
          <t>Not Rated</t>
        </is>
      </c>
      <c r="H118" s="22" t="n">
        <v>25529689.5</v>
      </c>
      <c r="I118" s="22" t="n">
        <v>3500000</v>
      </c>
      <c r="J118" s="21">
        <f>IF(OR(H118="",H118=25529689.5),"Yes","No")</f>
        <v/>
      </c>
      <c r="K118" s="21">
        <f>IF(AND(D118="USA",C118&gt;=1980,J118="No"),"Yes","No")</f>
        <v/>
      </c>
      <c r="L118" s="26">
        <f>IF(J118="Yes","",H118-I118)</f>
        <v/>
      </c>
      <c r="M118" s="27">
        <f>IF(OR(J118="Yes",I118=0),"",H118/I118)</f>
        <v/>
      </c>
      <c r="N118" s="21">
        <f>IF(J118="Yes","",IF(H118&gt;=I118,1,0))</f>
        <v/>
      </c>
      <c r="O118" s="21">
        <f>IF(I118&lt;=5000000,"Under $5M",IF(I118&lt;=20000000,"$5M-20M",IF(I118&lt;=50000000,"$20M-50M",IF(I118&lt;=100000000,"$50M-100M","$100M+"))))</f>
        <v/>
      </c>
      <c r="P118" s="21">
        <f>IF(E118&lt;=90,"90 or less",IF(E118&lt;=105,"91-105",IF(E118&lt;=120,"106-120",IF(E118&lt;=140,"121-140","Over 140"))))</f>
        <v/>
      </c>
      <c r="Q118" s="28">
        <f>INT(C118/10)*10</f>
        <v/>
      </c>
    </row>
    <row r="119">
      <c r="A119" s="21" t="n">
        <v>120</v>
      </c>
      <c r="B119" s="21" t="inlineStr">
        <is>
          <t>The Good, the Bad and the Ugly</t>
        </is>
      </c>
      <c r="C119" s="21" t="n">
        <v>1966</v>
      </c>
      <c r="D119" s="21" t="inlineStr">
        <is>
          <t>Italy</t>
        </is>
      </c>
      <c r="E119" s="21" t="n">
        <v>142</v>
      </c>
      <c r="F119" s="21" t="inlineStr">
        <is>
          <t>Italian</t>
        </is>
      </c>
      <c r="G119" s="21" t="inlineStr">
        <is>
          <t>Approved</t>
        </is>
      </c>
      <c r="H119" s="22" t="n">
        <v>6100000</v>
      </c>
      <c r="I119" s="22" t="n">
        <v>1200000</v>
      </c>
      <c r="J119" s="21">
        <f>IF(OR(H119="",H119=25529689.5),"Yes","No")</f>
        <v/>
      </c>
      <c r="K119" s="21">
        <f>IF(AND(D119="USA",C119&gt;=1980,J119="No"),"Yes","No")</f>
        <v/>
      </c>
      <c r="L119" s="26">
        <f>IF(J119="Yes","",H119-I119)</f>
        <v/>
      </c>
      <c r="M119" s="27">
        <f>IF(OR(J119="Yes",I119=0),"",H119/I119)</f>
        <v/>
      </c>
      <c r="N119" s="21">
        <f>IF(J119="Yes","",IF(H119&gt;=I119,1,0))</f>
        <v/>
      </c>
      <c r="O119" s="21">
        <f>IF(I119&lt;=5000000,"Under $5M",IF(I119&lt;=20000000,"$5M-20M",IF(I119&lt;=50000000,"$20M-50M",IF(I119&lt;=100000000,"$50M-100M","$100M+"))))</f>
        <v/>
      </c>
      <c r="P119" s="21">
        <f>IF(E119&lt;=90,"90 or less",IF(E119&lt;=105,"91-105",IF(E119&lt;=120,"106-120",IF(E119&lt;=140,"121-140","Over 140"))))</f>
        <v/>
      </c>
      <c r="Q119" s="28">
        <f>INT(C119/10)*10</f>
        <v/>
      </c>
    </row>
    <row r="120">
      <c r="A120" s="21" t="n">
        <v>121</v>
      </c>
      <c r="B120" s="21" t="inlineStr">
        <is>
          <t>Torn Curtain</t>
        </is>
      </c>
      <c r="C120" s="21" t="n">
        <v>1966</v>
      </c>
      <c r="D120" s="21" t="inlineStr">
        <is>
          <t>USA</t>
        </is>
      </c>
      <c r="E120" s="21" t="n">
        <v>128</v>
      </c>
      <c r="F120" s="21" t="inlineStr">
        <is>
          <t>English</t>
        </is>
      </c>
      <c r="G120" s="21" t="inlineStr">
        <is>
          <t>Approved</t>
        </is>
      </c>
      <c r="H120" s="22" t="n">
        <v>25529689.5</v>
      </c>
      <c r="I120" s="22" t="n">
        <v>6000000</v>
      </c>
      <c r="J120" s="21">
        <f>IF(OR(H120="",H120=25529689.5),"Yes","No")</f>
        <v/>
      </c>
      <c r="K120" s="21">
        <f>IF(AND(D120="USA",C120&gt;=1980,J120="No"),"Yes","No")</f>
        <v/>
      </c>
      <c r="L120" s="26">
        <f>IF(J120="Yes","",H120-I120)</f>
        <v/>
      </c>
      <c r="M120" s="27">
        <f>IF(OR(J120="Yes",I120=0),"",H120/I120)</f>
        <v/>
      </c>
      <c r="N120" s="21">
        <f>IF(J120="Yes","",IF(H120&gt;=I120,1,0))</f>
        <v/>
      </c>
      <c r="O120" s="21">
        <f>IF(I120&lt;=5000000,"Under $5M",IF(I120&lt;=20000000,"$5M-20M",IF(I120&lt;=50000000,"$20M-50M",IF(I120&lt;=100000000,"$50M-100M","$100M+"))))</f>
        <v/>
      </c>
      <c r="P120" s="21">
        <f>IF(E120&lt;=90,"90 or less",IF(E120&lt;=105,"91-105",IF(E120&lt;=120,"106-120",IF(E120&lt;=140,"121-140","Over 140"))))</f>
        <v/>
      </c>
      <c r="Q120" s="28">
        <f>INT(C120/10)*10</f>
        <v/>
      </c>
    </row>
    <row r="121">
      <c r="A121" s="21" t="n">
        <v>122</v>
      </c>
      <c r="B121" s="21" t="inlineStr">
        <is>
          <t>In Cold Blood</t>
        </is>
      </c>
      <c r="C121" s="21" t="n">
        <v>1967</v>
      </c>
      <c r="D121" s="21" t="inlineStr">
        <is>
          <t>USA</t>
        </is>
      </c>
      <c r="E121" s="21" t="n">
        <v>134</v>
      </c>
      <c r="F121" s="21" t="inlineStr">
        <is>
          <t>English</t>
        </is>
      </c>
      <c r="G121" s="21" t="inlineStr">
        <is>
          <t>Approved</t>
        </is>
      </c>
      <c r="H121" s="22" t="n">
        <v>25529689.5</v>
      </c>
      <c r="I121" s="22" t="n">
        <v>3500000</v>
      </c>
      <c r="J121" s="21">
        <f>IF(OR(H121="",H121=25529689.5),"Yes","No")</f>
        <v/>
      </c>
      <c r="K121" s="21">
        <f>IF(AND(D121="USA",C121&gt;=1980,J121="No"),"Yes","No")</f>
        <v/>
      </c>
      <c r="L121" s="26">
        <f>IF(J121="Yes","",H121-I121)</f>
        <v/>
      </c>
      <c r="M121" s="27">
        <f>IF(OR(J121="Yes",I121=0),"",H121/I121)</f>
        <v/>
      </c>
      <c r="N121" s="21">
        <f>IF(J121="Yes","",IF(H121&gt;=I121,1,0))</f>
        <v/>
      </c>
      <c r="O121" s="21">
        <f>IF(I121&lt;=5000000,"Under $5M",IF(I121&lt;=20000000,"$5M-20M",IF(I121&lt;=50000000,"$20M-50M",IF(I121&lt;=100000000,"$50M-100M","$100M+"))))</f>
        <v/>
      </c>
      <c r="P121" s="21">
        <f>IF(E121&lt;=90,"90 or less",IF(E121&lt;=105,"91-105",IF(E121&lt;=120,"106-120",IF(E121&lt;=140,"121-140","Over 140"))))</f>
        <v/>
      </c>
      <c r="Q121" s="28">
        <f>INT(C121/10)*10</f>
        <v/>
      </c>
    </row>
    <row r="122">
      <c r="A122" s="21" t="n">
        <v>123</v>
      </c>
      <c r="B122" s="21" t="inlineStr">
        <is>
          <t>Point Blank</t>
        </is>
      </c>
      <c r="C122" s="21" t="n">
        <v>1967</v>
      </c>
      <c r="D122" s="21" t="inlineStr">
        <is>
          <t>USA</t>
        </is>
      </c>
      <c r="E122" s="21" t="n">
        <v>92</v>
      </c>
      <c r="F122" s="21" t="inlineStr">
        <is>
          <t>English</t>
        </is>
      </c>
      <c r="G122" s="21" t="inlineStr">
        <is>
          <t>Approved</t>
        </is>
      </c>
      <c r="H122" s="22" t="n">
        <v>25529689.5</v>
      </c>
      <c r="I122" s="22" t="n">
        <v>3000000</v>
      </c>
      <c r="J122" s="21">
        <f>IF(OR(H122="",H122=25529689.5),"Yes","No")</f>
        <v/>
      </c>
      <c r="K122" s="21">
        <f>IF(AND(D122="USA",C122&gt;=1980,J122="No"),"Yes","No")</f>
        <v/>
      </c>
      <c r="L122" s="26">
        <f>IF(J122="Yes","",H122-I122)</f>
        <v/>
      </c>
      <c r="M122" s="27">
        <f>IF(OR(J122="Yes",I122=0),"",H122/I122)</f>
        <v/>
      </c>
      <c r="N122" s="21">
        <f>IF(J122="Yes","",IF(H122&gt;=I122,1,0))</f>
        <v/>
      </c>
      <c r="O122" s="21">
        <f>IF(I122&lt;=5000000,"Under $5M",IF(I122&lt;=20000000,"$5M-20M",IF(I122&lt;=50000000,"$20M-50M",IF(I122&lt;=100000000,"$50M-100M","$100M+"))))</f>
        <v/>
      </c>
      <c r="P122" s="21">
        <f>IF(E122&lt;=90,"90 or less",IF(E122&lt;=105,"91-105",IF(E122&lt;=120,"106-120",IF(E122&lt;=140,"121-140","Over 140"))))</f>
        <v/>
      </c>
      <c r="Q122" s="28">
        <f>INT(C122/10)*10</f>
        <v/>
      </c>
    </row>
    <row r="123">
      <c r="A123" s="21" t="n">
        <v>124</v>
      </c>
      <c r="B123" s="21" t="inlineStr">
        <is>
          <t>The Torture Chamber of Dr. Sadism</t>
        </is>
      </c>
      <c r="C123" s="21" t="n">
        <v>1967</v>
      </c>
      <c r="D123" s="21" t="inlineStr">
        <is>
          <t>West Germany</t>
        </is>
      </c>
      <c r="E123" s="21" t="n">
        <v>80</v>
      </c>
      <c r="F123" s="21" t="inlineStr">
        <is>
          <t>German</t>
        </is>
      </c>
      <c r="G123" s="21" t="inlineStr">
        <is>
          <t>M</t>
        </is>
      </c>
      <c r="H123" s="22" t="n">
        <v>25529689.5</v>
      </c>
      <c r="I123" s="22" t="n">
        <v>20000000</v>
      </c>
      <c r="J123" s="21">
        <f>IF(OR(H123="",H123=25529689.5),"Yes","No")</f>
        <v/>
      </c>
      <c r="K123" s="21">
        <f>IF(AND(D123="USA",C123&gt;=1980,J123="No"),"Yes","No")</f>
        <v/>
      </c>
      <c r="L123" s="26">
        <f>IF(J123="Yes","",H123-I123)</f>
        <v/>
      </c>
      <c r="M123" s="27">
        <f>IF(OR(J123="Yes",I123=0),"",H123/I123)</f>
        <v/>
      </c>
      <c r="N123" s="21">
        <f>IF(J123="Yes","",IF(H123&gt;=I123,1,0))</f>
        <v/>
      </c>
      <c r="O123" s="21">
        <f>IF(I123&lt;=5000000,"Under $5M",IF(I123&lt;=20000000,"$5M-20M",IF(I123&lt;=50000000,"$20M-50M",IF(I123&lt;=100000000,"$50M-100M","$100M+"))))</f>
        <v/>
      </c>
      <c r="P123" s="21">
        <f>IF(E123&lt;=90,"90 or less",IF(E123&lt;=105,"91-105",IF(E123&lt;=120,"106-120",IF(E123&lt;=140,"121-140","Over 140"))))</f>
        <v/>
      </c>
      <c r="Q123" s="28">
        <f>INT(C123/10)*10</f>
        <v/>
      </c>
    </row>
    <row r="124">
      <c r="A124" s="21" t="n">
        <v>125</v>
      </c>
      <c r="B124" s="21" t="inlineStr">
        <is>
          <t>You Only Live Twice</t>
        </is>
      </c>
      <c r="C124" s="21" t="n">
        <v>1967</v>
      </c>
      <c r="D124" s="21" t="inlineStr">
        <is>
          <t>UK</t>
        </is>
      </c>
      <c r="E124" s="21" t="n">
        <v>117</v>
      </c>
      <c r="F124" s="21" t="inlineStr">
        <is>
          <t>English</t>
        </is>
      </c>
      <c r="G124" s="21" t="inlineStr">
        <is>
          <t>Approved</t>
        </is>
      </c>
      <c r="H124" s="22" t="n">
        <v>43100000</v>
      </c>
      <c r="I124" s="22" t="n">
        <v>9500000</v>
      </c>
      <c r="J124" s="21">
        <f>IF(OR(H124="",H124=25529689.5),"Yes","No")</f>
        <v/>
      </c>
      <c r="K124" s="21">
        <f>IF(AND(D124="USA",C124&gt;=1980,J124="No"),"Yes","No")</f>
        <v/>
      </c>
      <c r="L124" s="26">
        <f>IF(J124="Yes","",H124-I124)</f>
        <v/>
      </c>
      <c r="M124" s="27">
        <f>IF(OR(J124="Yes",I124=0),"",H124/I124)</f>
        <v/>
      </c>
      <c r="N124" s="21">
        <f>IF(J124="Yes","",IF(H124&gt;=I124,1,0))</f>
        <v/>
      </c>
      <c r="O124" s="21">
        <f>IF(I124&lt;=5000000,"Under $5M",IF(I124&lt;=20000000,"$5M-20M",IF(I124&lt;=50000000,"$20M-50M",IF(I124&lt;=100000000,"$50M-100M","$100M+"))))</f>
        <v/>
      </c>
      <c r="P124" s="21">
        <f>IF(E124&lt;=90,"90 or less",IF(E124&lt;=105,"91-105",IF(E124&lt;=120,"106-120",IF(E124&lt;=140,"121-140","Over 140"))))</f>
        <v/>
      </c>
      <c r="Q124" s="28">
        <f>INT(C124/10)*10</f>
        <v/>
      </c>
    </row>
    <row r="125">
      <c r="A125" s="21" t="n">
        <v>126</v>
      </c>
      <c r="B125" s="21" t="inlineStr">
        <is>
          <t>2001: A Space Odyssey</t>
        </is>
      </c>
      <c r="C125" s="21" t="n">
        <v>1968</v>
      </c>
      <c r="D125" s="21" t="inlineStr">
        <is>
          <t>UK</t>
        </is>
      </c>
      <c r="E125" s="21" t="n">
        <v>161</v>
      </c>
      <c r="F125" s="21" t="inlineStr">
        <is>
          <t>English</t>
        </is>
      </c>
      <c r="G125" s="21" t="inlineStr">
        <is>
          <t>G</t>
        </is>
      </c>
      <c r="H125" s="22" t="n">
        <v>56715371</v>
      </c>
      <c r="I125" s="22" t="n">
        <v>12000000</v>
      </c>
      <c r="J125" s="21">
        <f>IF(OR(H125="",H125=25529689.5),"Yes","No")</f>
        <v/>
      </c>
      <c r="K125" s="21">
        <f>IF(AND(D125="USA",C125&gt;=1980,J125="No"),"Yes","No")</f>
        <v/>
      </c>
      <c r="L125" s="26">
        <f>IF(J125="Yes","",H125-I125)</f>
        <v/>
      </c>
      <c r="M125" s="27">
        <f>IF(OR(J125="Yes",I125=0),"",H125/I125)</f>
        <v/>
      </c>
      <c r="N125" s="21">
        <f>IF(J125="Yes","",IF(H125&gt;=I125,1,0))</f>
        <v/>
      </c>
      <c r="O125" s="21">
        <f>IF(I125&lt;=5000000,"Under $5M",IF(I125&lt;=20000000,"$5M-20M",IF(I125&lt;=50000000,"$20M-50M",IF(I125&lt;=100000000,"$50M-100M","$100M+"))))</f>
        <v/>
      </c>
      <c r="P125" s="21">
        <f>IF(E125&lt;=90,"90 or less",IF(E125&lt;=105,"91-105",IF(E125&lt;=120,"106-120",IF(E125&lt;=140,"121-140","Over 140"))))</f>
        <v/>
      </c>
      <c r="Q125" s="28">
        <f>INT(C125/10)*10</f>
        <v/>
      </c>
    </row>
    <row r="126">
      <c r="A126" s="21" t="n">
        <v>127</v>
      </c>
      <c r="B126" s="21" t="inlineStr">
        <is>
          <t>Barbarella</t>
        </is>
      </c>
      <c r="C126" s="21" t="n">
        <v>1968</v>
      </c>
      <c r="D126" s="21" t="inlineStr">
        <is>
          <t>France</t>
        </is>
      </c>
      <c r="E126" s="21" t="n">
        <v>98</v>
      </c>
      <c r="F126" s="21" t="inlineStr">
        <is>
          <t>English</t>
        </is>
      </c>
      <c r="G126" s="21" t="inlineStr">
        <is>
          <t>PG</t>
        </is>
      </c>
      <c r="H126" s="22" t="n">
        <v>25529689.5</v>
      </c>
      <c r="I126" s="22" t="n">
        <v>9000000</v>
      </c>
      <c r="J126" s="21">
        <f>IF(OR(H126="",H126=25529689.5),"Yes","No")</f>
        <v/>
      </c>
      <c r="K126" s="21">
        <f>IF(AND(D126="USA",C126&gt;=1980,J126="No"),"Yes","No")</f>
        <v/>
      </c>
      <c r="L126" s="26">
        <f>IF(J126="Yes","",H126-I126)</f>
        <v/>
      </c>
      <c r="M126" s="27">
        <f>IF(OR(J126="Yes",I126=0),"",H126/I126)</f>
        <v/>
      </c>
      <c r="N126" s="21">
        <f>IF(J126="Yes","",IF(H126&gt;=I126,1,0))</f>
        <v/>
      </c>
      <c r="O126" s="21">
        <f>IF(I126&lt;=5000000,"Under $5M",IF(I126&lt;=20000000,"$5M-20M",IF(I126&lt;=50000000,"$20M-50M",IF(I126&lt;=100000000,"$50M-100M","$100M+"))))</f>
        <v/>
      </c>
      <c r="P126" s="21">
        <f>IF(E126&lt;=90,"90 or less",IF(E126&lt;=105,"91-105",IF(E126&lt;=120,"106-120",IF(E126&lt;=140,"121-140","Over 140"))))</f>
        <v/>
      </c>
      <c r="Q126" s="28">
        <f>INT(C126/10)*10</f>
        <v/>
      </c>
    </row>
    <row r="127">
      <c r="A127" s="21" t="n">
        <v>128</v>
      </c>
      <c r="B127" s="21" t="inlineStr">
        <is>
          <t>Charly</t>
        </is>
      </c>
      <c r="C127" s="21" t="n">
        <v>1968</v>
      </c>
      <c r="D127" s="21" t="inlineStr">
        <is>
          <t>USA</t>
        </is>
      </c>
      <c r="E127" s="21" t="n">
        <v>103</v>
      </c>
      <c r="F127" s="21" t="inlineStr">
        <is>
          <t>English</t>
        </is>
      </c>
      <c r="G127" s="21" t="inlineStr">
        <is>
          <t>PG</t>
        </is>
      </c>
      <c r="H127" s="22" t="n">
        <v>25529689.5</v>
      </c>
      <c r="I127" s="22" t="n">
        <v>20000000</v>
      </c>
      <c r="J127" s="21">
        <f>IF(OR(H127="",H127=25529689.5),"Yes","No")</f>
        <v/>
      </c>
      <c r="K127" s="21">
        <f>IF(AND(D127="USA",C127&gt;=1980,J127="No"),"Yes","No")</f>
        <v/>
      </c>
      <c r="L127" s="26">
        <f>IF(J127="Yes","",H127-I127)</f>
        <v/>
      </c>
      <c r="M127" s="27">
        <f>IF(OR(J127="Yes",I127=0),"",H127/I127)</f>
        <v/>
      </c>
      <c r="N127" s="21">
        <f>IF(J127="Yes","",IF(H127&gt;=I127,1,0))</f>
        <v/>
      </c>
      <c r="O127" s="21">
        <f>IF(I127&lt;=5000000,"Under $5M",IF(I127&lt;=20000000,"$5M-20M",IF(I127&lt;=50000000,"$20M-50M",IF(I127&lt;=100000000,"$50M-100M","$100M+"))))</f>
        <v/>
      </c>
      <c r="P127" s="21">
        <f>IF(E127&lt;=90,"90 or less",IF(E127&lt;=105,"91-105",IF(E127&lt;=120,"106-120",IF(E127&lt;=140,"121-140","Over 140"))))</f>
        <v/>
      </c>
      <c r="Q127" s="28">
        <f>INT(C127/10)*10</f>
        <v/>
      </c>
    </row>
    <row r="128">
      <c r="A128" s="21" t="n">
        <v>129</v>
      </c>
      <c r="B128" s="21" t="inlineStr">
        <is>
          <t>Hang 'Em High</t>
        </is>
      </c>
      <c r="C128" s="21" t="n">
        <v>1968</v>
      </c>
      <c r="D128" s="21" t="inlineStr">
        <is>
          <t>USA</t>
        </is>
      </c>
      <c r="E128" s="21" t="n">
        <v>114</v>
      </c>
      <c r="F128" s="21" t="inlineStr">
        <is>
          <t>English</t>
        </is>
      </c>
      <c r="G128" s="21" t="inlineStr">
        <is>
          <t>M</t>
        </is>
      </c>
      <c r="H128" s="22" t="n">
        <v>25529689.5</v>
      </c>
      <c r="I128" s="22" t="n">
        <v>1800000</v>
      </c>
      <c r="J128" s="21">
        <f>IF(OR(H128="",H128=25529689.5),"Yes","No")</f>
        <v/>
      </c>
      <c r="K128" s="21">
        <f>IF(AND(D128="USA",C128&gt;=1980,J128="No"),"Yes","No")</f>
        <v/>
      </c>
      <c r="L128" s="26">
        <f>IF(J128="Yes","",H128-I128)</f>
        <v/>
      </c>
      <c r="M128" s="27">
        <f>IF(OR(J128="Yes",I128=0),"",H128/I128)</f>
        <v/>
      </c>
      <c r="N128" s="21">
        <f>IF(J128="Yes","",IF(H128&gt;=I128,1,0))</f>
        <v/>
      </c>
      <c r="O128" s="21">
        <f>IF(I128&lt;=5000000,"Under $5M",IF(I128&lt;=20000000,"$5M-20M",IF(I128&lt;=50000000,"$20M-50M",IF(I128&lt;=100000000,"$50M-100M","$100M+"))))</f>
        <v/>
      </c>
      <c r="P128" s="21">
        <f>IF(E128&lt;=90,"90 or less",IF(E128&lt;=105,"91-105",IF(E128&lt;=120,"106-120",IF(E128&lt;=140,"121-140","Over 140"))))</f>
        <v/>
      </c>
      <c r="Q128" s="28">
        <f>INT(C128/10)*10</f>
        <v/>
      </c>
    </row>
    <row r="129">
      <c r="A129" s="21" t="n">
        <v>130</v>
      </c>
      <c r="B129" s="21" t="inlineStr">
        <is>
          <t>Night of the Living Dead</t>
        </is>
      </c>
      <c r="C129" s="21" t="n">
        <v>1968</v>
      </c>
      <c r="D129" s="21" t="inlineStr">
        <is>
          <t>USA</t>
        </is>
      </c>
      <c r="E129" s="21" t="n">
        <v>96</v>
      </c>
      <c r="F129" s="21" t="inlineStr">
        <is>
          <t>English</t>
        </is>
      </c>
      <c r="G129" s="21" t="inlineStr">
        <is>
          <t>Unrated</t>
        </is>
      </c>
      <c r="H129" s="22" t="n">
        <v>25529689.5</v>
      </c>
      <c r="I129" s="22" t="n">
        <v>114000</v>
      </c>
      <c r="J129" s="21">
        <f>IF(OR(H129="",H129=25529689.5),"Yes","No")</f>
        <v/>
      </c>
      <c r="K129" s="21">
        <f>IF(AND(D129="USA",C129&gt;=1980,J129="No"),"Yes","No")</f>
        <v/>
      </c>
      <c r="L129" s="26">
        <f>IF(J129="Yes","",H129-I129)</f>
        <v/>
      </c>
      <c r="M129" s="27">
        <f>IF(OR(J129="Yes",I129=0),"",H129/I129)</f>
        <v/>
      </c>
      <c r="N129" s="21">
        <f>IF(J129="Yes","",IF(H129&gt;=I129,1,0))</f>
        <v/>
      </c>
      <c r="O129" s="21">
        <f>IF(I129&lt;=5000000,"Under $5M",IF(I129&lt;=20000000,"$5M-20M",IF(I129&lt;=50000000,"$20M-50M",IF(I129&lt;=100000000,"$50M-100M","$100M+"))))</f>
        <v/>
      </c>
      <c r="P129" s="21">
        <f>IF(E129&lt;=90,"90 or less",IF(E129&lt;=105,"91-105",IF(E129&lt;=120,"106-120",IF(E129&lt;=140,"121-140","Over 140"))))</f>
        <v/>
      </c>
      <c r="Q129" s="28">
        <f>INT(C129/10)*10</f>
        <v/>
      </c>
    </row>
    <row r="130">
      <c r="A130" s="21" t="n">
        <v>132</v>
      </c>
      <c r="B130" s="21" t="inlineStr">
        <is>
          <t>Oliver!</t>
        </is>
      </c>
      <c r="C130" s="21" t="n">
        <v>1968</v>
      </c>
      <c r="D130" s="21" t="inlineStr">
        <is>
          <t>UK</t>
        </is>
      </c>
      <c r="E130" s="21" t="n">
        <v>153</v>
      </c>
      <c r="F130" s="21" t="inlineStr">
        <is>
          <t>English</t>
        </is>
      </c>
      <c r="G130" s="21" t="inlineStr">
        <is>
          <t>G</t>
        </is>
      </c>
      <c r="H130" s="22" t="n">
        <v>16800000</v>
      </c>
      <c r="I130" s="22" t="n">
        <v>10000000</v>
      </c>
      <c r="J130" s="21">
        <f>IF(OR(H130="",H130=25529689.5),"Yes","No")</f>
        <v/>
      </c>
      <c r="K130" s="21">
        <f>IF(AND(D130="USA",C130&gt;=1980,J130="No"),"Yes","No")</f>
        <v/>
      </c>
      <c r="L130" s="26">
        <f>IF(J130="Yes","",H130-I130)</f>
        <v/>
      </c>
      <c r="M130" s="27">
        <f>IF(OR(J130="Yes",I130=0),"",H130/I130)</f>
        <v/>
      </c>
      <c r="N130" s="21">
        <f>IF(J130="Yes","",IF(H130&gt;=I130,1,0))</f>
        <v/>
      </c>
      <c r="O130" s="21">
        <f>IF(I130&lt;=5000000,"Under $5M",IF(I130&lt;=20000000,"$5M-20M",IF(I130&lt;=50000000,"$20M-50M",IF(I130&lt;=100000000,"$50M-100M","$100M+"))))</f>
        <v/>
      </c>
      <c r="P130" s="21">
        <f>IF(E130&lt;=90,"90 or less",IF(E130&lt;=105,"91-105",IF(E130&lt;=120,"106-120",IF(E130&lt;=140,"121-140","Over 140"))))</f>
        <v/>
      </c>
      <c r="Q130" s="28">
        <f>INT(C130/10)*10</f>
        <v/>
      </c>
    </row>
    <row r="131">
      <c r="A131" s="21" t="n">
        <v>133</v>
      </c>
      <c r="B131" s="21" t="inlineStr">
        <is>
          <t>Once Upon a Time in the West</t>
        </is>
      </c>
      <c r="C131" s="21" t="n">
        <v>1968</v>
      </c>
      <c r="D131" s="21" t="inlineStr">
        <is>
          <t>Italy</t>
        </is>
      </c>
      <c r="E131" s="21" t="n">
        <v>145</v>
      </c>
      <c r="F131" s="21" t="inlineStr">
        <is>
          <t>English</t>
        </is>
      </c>
      <c r="G131" s="21" t="inlineStr">
        <is>
          <t>PG-13</t>
        </is>
      </c>
      <c r="H131" s="22" t="n">
        <v>25529689.5</v>
      </c>
      <c r="I131" s="22" t="n">
        <v>5000000</v>
      </c>
      <c r="J131" s="21">
        <f>IF(OR(H131="",H131=25529689.5),"Yes","No")</f>
        <v/>
      </c>
      <c r="K131" s="21">
        <f>IF(AND(D131="USA",C131&gt;=1980,J131="No"),"Yes","No")</f>
        <v/>
      </c>
      <c r="L131" s="26">
        <f>IF(J131="Yes","",H131-I131)</f>
        <v/>
      </c>
      <c r="M131" s="27">
        <f>IF(OR(J131="Yes",I131=0),"",H131/I131)</f>
        <v/>
      </c>
      <c r="N131" s="21">
        <f>IF(J131="Yes","",IF(H131&gt;=I131,1,0))</f>
        <v/>
      </c>
      <c r="O131" s="21">
        <f>IF(I131&lt;=5000000,"Under $5M",IF(I131&lt;=20000000,"$5M-20M",IF(I131&lt;=50000000,"$20M-50M",IF(I131&lt;=100000000,"$50M-100M","$100M+"))))</f>
        <v/>
      </c>
      <c r="P131" s="21">
        <f>IF(E131&lt;=90,"90 or less",IF(E131&lt;=105,"91-105",IF(E131&lt;=120,"106-120",IF(E131&lt;=140,"121-140","Over 140"))))</f>
        <v/>
      </c>
      <c r="Q131" s="28">
        <f>INT(C131/10)*10</f>
        <v/>
      </c>
    </row>
    <row r="132">
      <c r="A132" s="21" t="n">
        <v>134</v>
      </c>
      <c r="B132" s="21" t="inlineStr">
        <is>
          <t>Rosemary's Baby</t>
        </is>
      </c>
      <c r="C132" s="21" t="n">
        <v>1968</v>
      </c>
      <c r="D132" s="21" t="inlineStr">
        <is>
          <t>USA</t>
        </is>
      </c>
      <c r="E132" s="21" t="n">
        <v>136</v>
      </c>
      <c r="F132" s="21" t="inlineStr">
        <is>
          <t>English</t>
        </is>
      </c>
      <c r="G132" s="21" t="inlineStr">
        <is>
          <t>R</t>
        </is>
      </c>
      <c r="H132" s="22" t="n">
        <v>25529689.5</v>
      </c>
      <c r="I132" s="22" t="n">
        <v>2300000</v>
      </c>
      <c r="J132" s="21">
        <f>IF(OR(H132="",H132=25529689.5),"Yes","No")</f>
        <v/>
      </c>
      <c r="K132" s="21">
        <f>IF(AND(D132="USA",C132&gt;=1980,J132="No"),"Yes","No")</f>
        <v/>
      </c>
      <c r="L132" s="26">
        <f>IF(J132="Yes","",H132-I132)</f>
        <v/>
      </c>
      <c r="M132" s="27">
        <f>IF(OR(J132="Yes",I132=0),"",H132/I132)</f>
        <v/>
      </c>
      <c r="N132" s="21">
        <f>IF(J132="Yes","",IF(H132&gt;=I132,1,0))</f>
        <v/>
      </c>
      <c r="O132" s="21">
        <f>IF(I132&lt;=5000000,"Under $5M",IF(I132&lt;=20000000,"$5M-20M",IF(I132&lt;=50000000,"$20M-50M",IF(I132&lt;=100000000,"$50M-100M","$100M+"))))</f>
        <v/>
      </c>
      <c r="P132" s="21">
        <f>IF(E132&lt;=90,"90 or less",IF(E132&lt;=105,"91-105",IF(E132&lt;=120,"106-120",IF(E132&lt;=140,"121-140","Over 140"))))</f>
        <v/>
      </c>
      <c r="Q132" s="28">
        <f>INT(C132/10)*10</f>
        <v/>
      </c>
    </row>
    <row r="133">
      <c r="A133" s="21" t="n">
        <v>135</v>
      </c>
      <c r="B133" s="21" t="inlineStr">
        <is>
          <t>Shalako</t>
        </is>
      </c>
      <c r="C133" s="21" t="n">
        <v>1968</v>
      </c>
      <c r="D133" s="21" t="inlineStr">
        <is>
          <t>UK</t>
        </is>
      </c>
      <c r="E133" s="21" t="n">
        <v>113</v>
      </c>
      <c r="F133" s="21" t="inlineStr">
        <is>
          <t>English</t>
        </is>
      </c>
      <c r="G133" s="21" t="inlineStr">
        <is>
          <t>PG</t>
        </is>
      </c>
      <c r="H133" s="22" t="n">
        <v>25529689.5</v>
      </c>
      <c r="I133" s="22" t="n">
        <v>1455000</v>
      </c>
      <c r="J133" s="21">
        <f>IF(OR(H133="",H133=25529689.5),"Yes","No")</f>
        <v/>
      </c>
      <c r="K133" s="21">
        <f>IF(AND(D133="USA",C133&gt;=1980,J133="No"),"Yes","No")</f>
        <v/>
      </c>
      <c r="L133" s="26">
        <f>IF(J133="Yes","",H133-I133)</f>
        <v/>
      </c>
      <c r="M133" s="27">
        <f>IF(OR(J133="Yes",I133=0),"",H133/I133)</f>
        <v/>
      </c>
      <c r="N133" s="21">
        <f>IF(J133="Yes","",IF(H133&gt;=I133,1,0))</f>
        <v/>
      </c>
      <c r="O133" s="21">
        <f>IF(I133&lt;=5000000,"Under $5M",IF(I133&lt;=20000000,"$5M-20M",IF(I133&lt;=50000000,"$20M-50M",IF(I133&lt;=100000000,"$50M-100M","$100M+"))))</f>
        <v/>
      </c>
      <c r="P133" s="21">
        <f>IF(E133&lt;=90,"90 or less",IF(E133&lt;=105,"91-105",IF(E133&lt;=120,"106-120",IF(E133&lt;=140,"121-140","Over 140"))))</f>
        <v/>
      </c>
      <c r="Q133" s="28">
        <f>INT(C133/10)*10</f>
        <v/>
      </c>
    </row>
    <row r="134">
      <c r="A134" s="21" t="n">
        <v>136</v>
      </c>
      <c r="B134" s="21" t="inlineStr">
        <is>
          <t>Yours, Mine and Ours</t>
        </is>
      </c>
      <c r="C134" s="21" t="n">
        <v>1968</v>
      </c>
      <c r="D134" s="21" t="inlineStr">
        <is>
          <t>USA</t>
        </is>
      </c>
      <c r="E134" s="21" t="n">
        <v>111</v>
      </c>
      <c r="F134" s="21" t="inlineStr">
        <is>
          <t>English</t>
        </is>
      </c>
      <c r="G134" s="21" t="inlineStr">
        <is>
          <t>Unrated</t>
        </is>
      </c>
      <c r="H134" s="22" t="n">
        <v>25529689.5</v>
      </c>
      <c r="I134" s="22" t="n">
        <v>2500000</v>
      </c>
      <c r="J134" s="21">
        <f>IF(OR(H134="",H134=25529689.5),"Yes","No")</f>
        <v/>
      </c>
      <c r="K134" s="21">
        <f>IF(AND(D134="USA",C134&gt;=1980,J134="No"),"Yes","No")</f>
        <v/>
      </c>
      <c r="L134" s="26">
        <f>IF(J134="Yes","",H134-I134)</f>
        <v/>
      </c>
      <c r="M134" s="27">
        <f>IF(OR(J134="Yes",I134=0),"",H134/I134)</f>
        <v/>
      </c>
      <c r="N134" s="21">
        <f>IF(J134="Yes","",IF(H134&gt;=I134,1,0))</f>
        <v/>
      </c>
      <c r="O134" s="21">
        <f>IF(I134&lt;=5000000,"Under $5M",IF(I134&lt;=20000000,"$5M-20M",IF(I134&lt;=50000000,"$20M-50M",IF(I134&lt;=100000000,"$50M-100M","$100M+"))))</f>
        <v/>
      </c>
      <c r="P134" s="21">
        <f>IF(E134&lt;=90,"90 or less",IF(E134&lt;=105,"91-105",IF(E134&lt;=120,"106-120",IF(E134&lt;=140,"121-140","Over 140"))))</f>
        <v/>
      </c>
      <c r="Q134" s="28">
        <f>INT(C134/10)*10</f>
        <v/>
      </c>
    </row>
    <row r="135">
      <c r="A135" s="21" t="n">
        <v>137</v>
      </c>
      <c r="B135" s="21" t="inlineStr">
        <is>
          <t>Butch Cassidy and the Sundance Kid</t>
        </is>
      </c>
      <c r="C135" s="21" t="n">
        <v>1969</v>
      </c>
      <c r="D135" s="21" t="inlineStr">
        <is>
          <t>USA</t>
        </is>
      </c>
      <c r="E135" s="21" t="n">
        <v>110</v>
      </c>
      <c r="F135" s="21" t="inlineStr">
        <is>
          <t>English</t>
        </is>
      </c>
      <c r="G135" s="21" t="inlineStr">
        <is>
          <t>M</t>
        </is>
      </c>
      <c r="H135" s="22" t="n">
        <v>102308900</v>
      </c>
      <c r="I135" s="22" t="n">
        <v>6000000</v>
      </c>
      <c r="J135" s="21">
        <f>IF(OR(H135="",H135=25529689.5),"Yes","No")</f>
        <v/>
      </c>
      <c r="K135" s="21">
        <f>IF(AND(D135="USA",C135&gt;=1980,J135="No"),"Yes","No")</f>
        <v/>
      </c>
      <c r="L135" s="26">
        <f>IF(J135="Yes","",H135-I135)</f>
        <v/>
      </c>
      <c r="M135" s="27">
        <f>IF(OR(J135="Yes",I135=0),"",H135/I135)</f>
        <v/>
      </c>
      <c r="N135" s="21">
        <f>IF(J135="Yes","",IF(H135&gt;=I135,1,0))</f>
        <v/>
      </c>
      <c r="O135" s="21">
        <f>IF(I135&lt;=5000000,"Under $5M",IF(I135&lt;=20000000,"$5M-20M",IF(I135&lt;=50000000,"$20M-50M",IF(I135&lt;=100000000,"$50M-100M","$100M+"))))</f>
        <v/>
      </c>
      <c r="P135" s="21">
        <f>IF(E135&lt;=90,"90 or less",IF(E135&lt;=105,"91-105",IF(E135&lt;=120,"106-120",IF(E135&lt;=140,"121-140","Over 140"))))</f>
        <v/>
      </c>
      <c r="Q135" s="28">
        <f>INT(C135/10)*10</f>
        <v/>
      </c>
    </row>
    <row r="136">
      <c r="A136" s="21" t="n">
        <v>138</v>
      </c>
      <c r="B136" s="21" t="inlineStr">
        <is>
          <t>Machine Gun McCain</t>
        </is>
      </c>
      <c r="C136" s="21" t="n">
        <v>1969</v>
      </c>
      <c r="D136" s="21" t="inlineStr">
        <is>
          <t>Italy</t>
        </is>
      </c>
      <c r="E136" s="21" t="n">
        <v>96</v>
      </c>
      <c r="F136" s="21" t="inlineStr">
        <is>
          <t>English</t>
        </is>
      </c>
      <c r="G136" s="21" t="inlineStr">
        <is>
          <t>GP</t>
        </is>
      </c>
      <c r="H136" s="22" t="n">
        <v>25529689.5</v>
      </c>
      <c r="I136" s="22" t="n">
        <v>20000000</v>
      </c>
      <c r="J136" s="21">
        <f>IF(OR(H136="",H136=25529689.5),"Yes","No")</f>
        <v/>
      </c>
      <c r="K136" s="21">
        <f>IF(AND(D136="USA",C136&gt;=1980,J136="No"),"Yes","No")</f>
        <v/>
      </c>
      <c r="L136" s="26">
        <f>IF(J136="Yes","",H136-I136)</f>
        <v/>
      </c>
      <c r="M136" s="27">
        <f>IF(OR(J136="Yes",I136=0),"",H136/I136)</f>
        <v/>
      </c>
      <c r="N136" s="21">
        <f>IF(J136="Yes","",IF(H136&gt;=I136,1,0))</f>
        <v/>
      </c>
      <c r="O136" s="21">
        <f>IF(I136&lt;=5000000,"Under $5M",IF(I136&lt;=20000000,"$5M-20M",IF(I136&lt;=50000000,"$20M-50M",IF(I136&lt;=100000000,"$50M-100M","$100M+"))))</f>
        <v/>
      </c>
      <c r="P136" s="21">
        <f>IF(E136&lt;=90,"90 or less",IF(E136&lt;=105,"91-105",IF(E136&lt;=120,"106-120",IF(E136&lt;=140,"121-140","Over 140"))))</f>
        <v/>
      </c>
      <c r="Q136" s="28">
        <f>INT(C136/10)*10</f>
        <v/>
      </c>
    </row>
    <row r="137">
      <c r="A137" s="21" t="n">
        <v>139</v>
      </c>
      <c r="B137" s="21" t="inlineStr">
        <is>
          <t>Midnight Cowboy</t>
        </is>
      </c>
      <c r="C137" s="21" t="n">
        <v>1969</v>
      </c>
      <c r="D137" s="21" t="inlineStr">
        <is>
          <t>USA</t>
        </is>
      </c>
      <c r="E137" s="21" t="n">
        <v>113</v>
      </c>
      <c r="F137" s="21" t="inlineStr">
        <is>
          <t>English</t>
        </is>
      </c>
      <c r="G137" s="21" t="inlineStr">
        <is>
          <t>X</t>
        </is>
      </c>
      <c r="H137" s="22" t="n">
        <v>25529689.5</v>
      </c>
      <c r="I137" s="22" t="n">
        <v>3600000</v>
      </c>
      <c r="J137" s="21">
        <f>IF(OR(H137="",H137=25529689.5),"Yes","No")</f>
        <v/>
      </c>
      <c r="K137" s="21">
        <f>IF(AND(D137="USA",C137&gt;=1980,J137="No"),"Yes","No")</f>
        <v/>
      </c>
      <c r="L137" s="26">
        <f>IF(J137="Yes","",H137-I137)</f>
        <v/>
      </c>
      <c r="M137" s="27">
        <f>IF(OR(J137="Yes",I137=0),"",H137/I137)</f>
        <v/>
      </c>
      <c r="N137" s="21">
        <f>IF(J137="Yes","",IF(H137&gt;=I137,1,0))</f>
        <v/>
      </c>
      <c r="O137" s="21">
        <f>IF(I137&lt;=5000000,"Under $5M",IF(I137&lt;=20000000,"$5M-20M",IF(I137&lt;=50000000,"$20M-50M",IF(I137&lt;=100000000,"$50M-100M","$100M+"))))</f>
        <v/>
      </c>
      <c r="P137" s="21">
        <f>IF(E137&lt;=90,"90 or less",IF(E137&lt;=105,"91-105",IF(E137&lt;=120,"106-120",IF(E137&lt;=140,"121-140","Over 140"))))</f>
        <v/>
      </c>
      <c r="Q137" s="28">
        <f>INT(C137/10)*10</f>
        <v/>
      </c>
    </row>
    <row r="138">
      <c r="A138" s="21" t="n">
        <v>140</v>
      </c>
      <c r="B138" s="21" t="inlineStr">
        <is>
          <t>Mississippi Mermaid</t>
        </is>
      </c>
      <c r="C138" s="21" t="n">
        <v>1969</v>
      </c>
      <c r="D138" s="21" t="inlineStr">
        <is>
          <t>France</t>
        </is>
      </c>
      <c r="E138" s="21" t="n">
        <v>123</v>
      </c>
      <c r="F138" s="21" t="inlineStr">
        <is>
          <t>French</t>
        </is>
      </c>
      <c r="G138" s="21" t="inlineStr">
        <is>
          <t>R</t>
        </is>
      </c>
      <c r="H138" s="22" t="n">
        <v>26893</v>
      </c>
      <c r="I138" s="22" t="n">
        <v>1600000</v>
      </c>
      <c r="J138" s="21">
        <f>IF(OR(H138="",H138=25529689.5),"Yes","No")</f>
        <v/>
      </c>
      <c r="K138" s="21">
        <f>IF(AND(D138="USA",C138&gt;=1980,J138="No"),"Yes","No")</f>
        <v/>
      </c>
      <c r="L138" s="26">
        <f>IF(J138="Yes","",H138-I138)</f>
        <v/>
      </c>
      <c r="M138" s="27">
        <f>IF(OR(J138="Yes",I138=0),"",H138/I138)</f>
        <v/>
      </c>
      <c r="N138" s="21">
        <f>IF(J138="Yes","",IF(H138&gt;=I138,1,0))</f>
        <v/>
      </c>
      <c r="O138" s="21">
        <f>IF(I138&lt;=5000000,"Under $5M",IF(I138&lt;=20000000,"$5M-20M",IF(I138&lt;=50000000,"$20M-50M",IF(I138&lt;=100000000,"$50M-100M","$100M+"))))</f>
        <v/>
      </c>
      <c r="P138" s="21">
        <f>IF(E138&lt;=90,"90 or less",IF(E138&lt;=105,"91-105",IF(E138&lt;=120,"106-120",IF(E138&lt;=140,"121-140","Over 140"))))</f>
        <v/>
      </c>
      <c r="Q138" s="28">
        <f>INT(C138/10)*10</f>
        <v/>
      </c>
    </row>
    <row r="139">
      <c r="A139" s="21" t="n">
        <v>141</v>
      </c>
      <c r="B139" s="21" t="inlineStr">
        <is>
          <t>On Her Majesty's Secret Service</t>
        </is>
      </c>
      <c r="C139" s="21" t="n">
        <v>1969</v>
      </c>
      <c r="D139" s="21" t="inlineStr">
        <is>
          <t>UK</t>
        </is>
      </c>
      <c r="E139" s="21" t="n">
        <v>142</v>
      </c>
      <c r="F139" s="21" t="inlineStr">
        <is>
          <t>English</t>
        </is>
      </c>
      <c r="G139" s="21" t="inlineStr">
        <is>
          <t>M</t>
        </is>
      </c>
      <c r="H139" s="22" t="n">
        <v>22800000</v>
      </c>
      <c r="I139" s="22" t="n">
        <v>7000000</v>
      </c>
      <c r="J139" s="21">
        <f>IF(OR(H139="",H139=25529689.5),"Yes","No")</f>
        <v/>
      </c>
      <c r="K139" s="21">
        <f>IF(AND(D139="USA",C139&gt;=1980,J139="No"),"Yes","No")</f>
        <v/>
      </c>
      <c r="L139" s="26">
        <f>IF(J139="Yes","",H139-I139)</f>
        <v/>
      </c>
      <c r="M139" s="27">
        <f>IF(OR(J139="Yes",I139=0),"",H139/I139)</f>
        <v/>
      </c>
      <c r="N139" s="21">
        <f>IF(J139="Yes","",IF(H139&gt;=I139,1,0))</f>
        <v/>
      </c>
      <c r="O139" s="21">
        <f>IF(I139&lt;=5000000,"Under $5M",IF(I139&lt;=20000000,"$5M-20M",IF(I139&lt;=50000000,"$20M-50M",IF(I139&lt;=100000000,"$50M-100M","$100M+"))))</f>
        <v/>
      </c>
      <c r="P139" s="21">
        <f>IF(E139&lt;=90,"90 or less",IF(E139&lt;=105,"91-105",IF(E139&lt;=120,"106-120",IF(E139&lt;=140,"121-140","Over 140"))))</f>
        <v/>
      </c>
      <c r="Q139" s="28">
        <f>INT(C139/10)*10</f>
        <v/>
      </c>
    </row>
    <row r="140">
      <c r="A140" s="21" t="n">
        <v>142</v>
      </c>
      <c r="B140" s="21" t="inlineStr">
        <is>
          <t>Paint Your Wagon</t>
        </is>
      </c>
      <c r="C140" s="21" t="n">
        <v>1969</v>
      </c>
      <c r="D140" s="21" t="inlineStr">
        <is>
          <t>USA</t>
        </is>
      </c>
      <c r="E140" s="21" t="n">
        <v>158</v>
      </c>
      <c r="F140" s="21" t="inlineStr">
        <is>
          <t>English</t>
        </is>
      </c>
      <c r="G140" s="21" t="inlineStr">
        <is>
          <t>PG-13</t>
        </is>
      </c>
      <c r="H140" s="22" t="n">
        <v>25529689.5</v>
      </c>
      <c r="I140" s="22" t="n">
        <v>20000000</v>
      </c>
      <c r="J140" s="21">
        <f>IF(OR(H140="",H140=25529689.5),"Yes","No")</f>
        <v/>
      </c>
      <c r="K140" s="21">
        <f>IF(AND(D140="USA",C140&gt;=1980,J140="No"),"Yes","No")</f>
        <v/>
      </c>
      <c r="L140" s="26">
        <f>IF(J140="Yes","",H140-I140)</f>
        <v/>
      </c>
      <c r="M140" s="27">
        <f>IF(OR(J140="Yes",I140=0),"",H140/I140)</f>
        <v/>
      </c>
      <c r="N140" s="21">
        <f>IF(J140="Yes","",IF(H140&gt;=I140,1,0))</f>
        <v/>
      </c>
      <c r="O140" s="21">
        <f>IF(I140&lt;=5000000,"Under $5M",IF(I140&lt;=20000000,"$5M-20M",IF(I140&lt;=50000000,"$20M-50M",IF(I140&lt;=100000000,"$50M-100M","$100M+"))))</f>
        <v/>
      </c>
      <c r="P140" s="21">
        <f>IF(E140&lt;=90,"90 or less",IF(E140&lt;=105,"91-105",IF(E140&lt;=120,"106-120",IF(E140&lt;=140,"121-140","Over 140"))))</f>
        <v/>
      </c>
      <c r="Q140" s="28">
        <f>INT(C140/10)*10</f>
        <v/>
      </c>
    </row>
    <row r="141">
      <c r="A141" s="21" t="n">
        <v>143</v>
      </c>
      <c r="B141" s="21" t="inlineStr">
        <is>
          <t>Sweet Charity</t>
        </is>
      </c>
      <c r="C141" s="21" t="n">
        <v>1969</v>
      </c>
      <c r="D141" s="21" t="inlineStr">
        <is>
          <t>USA</t>
        </is>
      </c>
      <c r="E141" s="21" t="n">
        <v>154</v>
      </c>
      <c r="F141" s="21" t="inlineStr">
        <is>
          <t>English</t>
        </is>
      </c>
      <c r="G141" s="21" t="inlineStr">
        <is>
          <t>G</t>
        </is>
      </c>
      <c r="H141" s="22" t="n">
        <v>25529689.5</v>
      </c>
      <c r="I141" s="22" t="n">
        <v>20000000</v>
      </c>
      <c r="J141" s="21">
        <f>IF(OR(H141="",H141=25529689.5),"Yes","No")</f>
        <v/>
      </c>
      <c r="K141" s="21">
        <f>IF(AND(D141="USA",C141&gt;=1980,J141="No"),"Yes","No")</f>
        <v/>
      </c>
      <c r="L141" s="26">
        <f>IF(J141="Yes","",H141-I141)</f>
        <v/>
      </c>
      <c r="M141" s="27">
        <f>IF(OR(J141="Yes",I141=0),"",H141/I141)</f>
        <v/>
      </c>
      <c r="N141" s="21">
        <f>IF(J141="Yes","",IF(H141&gt;=I141,1,0))</f>
        <v/>
      </c>
      <c r="O141" s="21">
        <f>IF(I141&lt;=5000000,"Under $5M",IF(I141&lt;=20000000,"$5M-20M",IF(I141&lt;=50000000,"$20M-50M",IF(I141&lt;=100000000,"$50M-100M","$100M+"))))</f>
        <v/>
      </c>
      <c r="P141" s="21">
        <f>IF(E141&lt;=90,"90 or less",IF(E141&lt;=105,"91-105",IF(E141&lt;=120,"106-120",IF(E141&lt;=140,"121-140","Over 140"))))</f>
        <v/>
      </c>
      <c r="Q141" s="28">
        <f>INT(C141/10)*10</f>
        <v/>
      </c>
    </row>
    <row r="142">
      <c r="A142" s="21" t="n">
        <v>144</v>
      </c>
      <c r="B142" s="21" t="inlineStr">
        <is>
          <t>The Stewardesses</t>
        </is>
      </c>
      <c r="C142" s="21" t="n">
        <v>1969</v>
      </c>
      <c r="D142" s="21" t="inlineStr">
        <is>
          <t>USA</t>
        </is>
      </c>
      <c r="E142" s="21" t="n">
        <v>93</v>
      </c>
      <c r="F142" s="21" t="inlineStr">
        <is>
          <t>English</t>
        </is>
      </c>
      <c r="G142" s="21" t="inlineStr">
        <is>
          <t>X</t>
        </is>
      </c>
      <c r="H142" s="22" t="n">
        <v>25529689.5</v>
      </c>
      <c r="I142" s="22" t="n">
        <v>100000</v>
      </c>
      <c r="J142" s="21">
        <f>IF(OR(H142="",H142=25529689.5),"Yes","No")</f>
        <v/>
      </c>
      <c r="K142" s="21">
        <f>IF(AND(D142="USA",C142&gt;=1980,J142="No"),"Yes","No")</f>
        <v/>
      </c>
      <c r="L142" s="26">
        <f>IF(J142="Yes","",H142-I142)</f>
        <v/>
      </c>
      <c r="M142" s="27">
        <f>IF(OR(J142="Yes",I142=0),"",H142/I142)</f>
        <v/>
      </c>
      <c r="N142" s="21">
        <f>IF(J142="Yes","",IF(H142&gt;=I142,1,0))</f>
        <v/>
      </c>
      <c r="O142" s="21">
        <f>IF(I142&lt;=5000000,"Under $5M",IF(I142&lt;=20000000,"$5M-20M",IF(I142&lt;=50000000,"$20M-50M",IF(I142&lt;=100000000,"$50M-100M","$100M+"))))</f>
        <v/>
      </c>
      <c r="P142" s="21">
        <f>IF(E142&lt;=90,"90 or less",IF(E142&lt;=105,"91-105",IF(E142&lt;=120,"106-120",IF(E142&lt;=140,"121-140","Over 140"))))</f>
        <v/>
      </c>
      <c r="Q142" s="28">
        <f>INT(C142/10)*10</f>
        <v/>
      </c>
    </row>
    <row r="143">
      <c r="A143" s="21" t="n">
        <v>145</v>
      </c>
      <c r="B143" s="21" t="inlineStr">
        <is>
          <t>The Wild Bunch</t>
        </is>
      </c>
      <c r="C143" s="21" t="n">
        <v>1969</v>
      </c>
      <c r="D143" s="21" t="inlineStr">
        <is>
          <t>USA</t>
        </is>
      </c>
      <c r="E143" s="21" t="n">
        <v>144</v>
      </c>
      <c r="F143" s="21" t="inlineStr">
        <is>
          <t>English</t>
        </is>
      </c>
      <c r="G143" s="21" t="inlineStr">
        <is>
          <t>R</t>
        </is>
      </c>
      <c r="H143" s="22" t="n">
        <v>25529689.5</v>
      </c>
      <c r="I143" s="22" t="n">
        <v>6244087</v>
      </c>
      <c r="J143" s="21">
        <f>IF(OR(H143="",H143=25529689.5),"Yes","No")</f>
        <v/>
      </c>
      <c r="K143" s="21">
        <f>IF(AND(D143="USA",C143&gt;=1980,J143="No"),"Yes","No")</f>
        <v/>
      </c>
      <c r="L143" s="26">
        <f>IF(J143="Yes","",H143-I143)</f>
        <v/>
      </c>
      <c r="M143" s="27">
        <f>IF(OR(J143="Yes",I143=0),"",H143/I143)</f>
        <v/>
      </c>
      <c r="N143" s="21">
        <f>IF(J143="Yes","",IF(H143&gt;=I143,1,0))</f>
        <v/>
      </c>
      <c r="O143" s="21">
        <f>IF(I143&lt;=5000000,"Under $5M",IF(I143&lt;=20000000,"$5M-20M",IF(I143&lt;=50000000,"$20M-50M",IF(I143&lt;=100000000,"$50M-100M","$100M+"))))</f>
        <v/>
      </c>
      <c r="P143" s="21">
        <f>IF(E143&lt;=90,"90 or less",IF(E143&lt;=105,"91-105",IF(E143&lt;=120,"106-120",IF(E143&lt;=140,"121-140","Over 140"))))</f>
        <v/>
      </c>
      <c r="Q143" s="28">
        <f>INT(C143/10)*10</f>
        <v/>
      </c>
    </row>
    <row r="144">
      <c r="A144" s="21" t="n">
        <v>146</v>
      </c>
      <c r="B144" s="21" t="inlineStr">
        <is>
          <t>Topaz</t>
        </is>
      </c>
      <c r="C144" s="21" t="n">
        <v>1969</v>
      </c>
      <c r="D144" s="21" t="inlineStr">
        <is>
          <t>USA</t>
        </is>
      </c>
      <c r="E144" s="21" t="n">
        <v>127</v>
      </c>
      <c r="F144" s="21" t="inlineStr">
        <is>
          <t>English</t>
        </is>
      </c>
      <c r="G144" s="21" t="inlineStr">
        <is>
          <t>M</t>
        </is>
      </c>
      <c r="H144" s="22" t="n">
        <v>25529689.5</v>
      </c>
      <c r="I144" s="22" t="n">
        <v>4000000</v>
      </c>
      <c r="J144" s="21">
        <f>IF(OR(H144="",H144=25529689.5),"Yes","No")</f>
        <v/>
      </c>
      <c r="K144" s="21">
        <f>IF(AND(D144="USA",C144&gt;=1980,J144="No"),"Yes","No")</f>
        <v/>
      </c>
      <c r="L144" s="26">
        <f>IF(J144="Yes","",H144-I144)</f>
        <v/>
      </c>
      <c r="M144" s="27">
        <f>IF(OR(J144="Yes",I144=0),"",H144/I144)</f>
        <v/>
      </c>
      <c r="N144" s="21">
        <f>IF(J144="Yes","",IF(H144&gt;=I144,1,0))</f>
        <v/>
      </c>
      <c r="O144" s="21">
        <f>IF(I144&lt;=5000000,"Under $5M",IF(I144&lt;=20000000,"$5M-20M",IF(I144&lt;=50000000,"$20M-50M",IF(I144&lt;=100000000,"$50M-100M","$100M+"))))</f>
        <v/>
      </c>
      <c r="P144" s="21">
        <f>IF(E144&lt;=90,"90 or less",IF(E144&lt;=105,"91-105",IF(E144&lt;=120,"106-120",IF(E144&lt;=140,"121-140","Over 140"))))</f>
        <v/>
      </c>
      <c r="Q144" s="28">
        <f>INT(C144/10)*10</f>
        <v/>
      </c>
    </row>
    <row r="145">
      <c r="A145" s="21" t="n">
        <v>147</v>
      </c>
      <c r="B145" s="21" t="inlineStr">
        <is>
          <t>Beneath the Planet of the Apes</t>
        </is>
      </c>
      <c r="C145" s="21" t="n">
        <v>1970</v>
      </c>
      <c r="D145" s="21" t="inlineStr">
        <is>
          <t>USA</t>
        </is>
      </c>
      <c r="E145" s="21" t="n">
        <v>95</v>
      </c>
      <c r="F145" s="21" t="inlineStr">
        <is>
          <t>English</t>
        </is>
      </c>
      <c r="G145" s="21" t="inlineStr">
        <is>
          <t>G</t>
        </is>
      </c>
      <c r="H145" s="22" t="n">
        <v>25529689.5</v>
      </c>
      <c r="I145" s="22" t="n">
        <v>3000000</v>
      </c>
      <c r="J145" s="21">
        <f>IF(OR(H145="",H145=25529689.5),"Yes","No")</f>
        <v/>
      </c>
      <c r="K145" s="21">
        <f>IF(AND(D145="USA",C145&gt;=1980,J145="No"),"Yes","No")</f>
        <v/>
      </c>
      <c r="L145" s="26">
        <f>IF(J145="Yes","",H145-I145)</f>
        <v/>
      </c>
      <c r="M145" s="27">
        <f>IF(OR(J145="Yes",I145=0),"",H145/I145)</f>
        <v/>
      </c>
      <c r="N145" s="21">
        <f>IF(J145="Yes","",IF(H145&gt;=I145,1,0))</f>
        <v/>
      </c>
      <c r="O145" s="21">
        <f>IF(I145&lt;=5000000,"Under $5M",IF(I145&lt;=20000000,"$5M-20M",IF(I145&lt;=50000000,"$20M-50M",IF(I145&lt;=100000000,"$50M-100M","$100M+"))))</f>
        <v/>
      </c>
      <c r="P145" s="21">
        <f>IF(E145&lt;=90,"90 or less",IF(E145&lt;=105,"91-105",IF(E145&lt;=120,"106-120",IF(E145&lt;=140,"121-140","Over 140"))))</f>
        <v/>
      </c>
      <c r="Q145" s="28">
        <f>INT(C145/10)*10</f>
        <v/>
      </c>
    </row>
    <row r="146">
      <c r="A146" s="21" t="n">
        <v>148</v>
      </c>
      <c r="B146" s="21" t="inlineStr">
        <is>
          <t>Beyond the Valley of the Dolls</t>
        </is>
      </c>
      <c r="C146" s="21" t="n">
        <v>1970</v>
      </c>
      <c r="D146" s="21" t="inlineStr">
        <is>
          <t>USA</t>
        </is>
      </c>
      <c r="E146" s="21" t="n">
        <v>109</v>
      </c>
      <c r="F146" s="21" t="inlineStr">
        <is>
          <t>English</t>
        </is>
      </c>
      <c r="G146" s="21" t="inlineStr">
        <is>
          <t>X</t>
        </is>
      </c>
      <c r="H146" s="22" t="n">
        <v>9000000</v>
      </c>
      <c r="I146" s="22" t="n">
        <v>900000</v>
      </c>
      <c r="J146" s="21">
        <f>IF(OR(H146="",H146=25529689.5),"Yes","No")</f>
        <v/>
      </c>
      <c r="K146" s="21">
        <f>IF(AND(D146="USA",C146&gt;=1980,J146="No"),"Yes","No")</f>
        <v/>
      </c>
      <c r="L146" s="26">
        <f>IF(J146="Yes","",H146-I146)</f>
        <v/>
      </c>
      <c r="M146" s="27">
        <f>IF(OR(J146="Yes",I146=0),"",H146/I146)</f>
        <v/>
      </c>
      <c r="N146" s="21">
        <f>IF(J146="Yes","",IF(H146&gt;=I146,1,0))</f>
        <v/>
      </c>
      <c r="O146" s="21">
        <f>IF(I146&lt;=5000000,"Under $5M",IF(I146&lt;=20000000,"$5M-20M",IF(I146&lt;=50000000,"$20M-50M",IF(I146&lt;=100000000,"$50M-100M","$100M+"))))</f>
        <v/>
      </c>
      <c r="P146" s="21">
        <f>IF(E146&lt;=90,"90 or less",IF(E146&lt;=105,"91-105",IF(E146&lt;=120,"106-120",IF(E146&lt;=140,"121-140","Over 140"))))</f>
        <v/>
      </c>
      <c r="Q146" s="28">
        <f>INT(C146/10)*10</f>
        <v/>
      </c>
    </row>
    <row r="147">
      <c r="A147" s="21" t="n">
        <v>149</v>
      </c>
      <c r="B147" s="21" t="inlineStr">
        <is>
          <t>Catch-22</t>
        </is>
      </c>
      <c r="C147" s="21" t="n">
        <v>1970</v>
      </c>
      <c r="D147" s="21" t="inlineStr">
        <is>
          <t>USA</t>
        </is>
      </c>
      <c r="E147" s="21" t="n">
        <v>122</v>
      </c>
      <c r="F147" s="21" t="inlineStr">
        <is>
          <t>English</t>
        </is>
      </c>
      <c r="G147" s="21" t="inlineStr">
        <is>
          <t>R</t>
        </is>
      </c>
      <c r="H147" s="22" t="n">
        <v>25529689.5</v>
      </c>
      <c r="I147" s="22" t="n">
        <v>18000000</v>
      </c>
      <c r="J147" s="21">
        <f>IF(OR(H147="",H147=25529689.5),"Yes","No")</f>
        <v/>
      </c>
      <c r="K147" s="21">
        <f>IF(AND(D147="USA",C147&gt;=1980,J147="No"),"Yes","No")</f>
        <v/>
      </c>
      <c r="L147" s="26">
        <f>IF(J147="Yes","",H147-I147)</f>
        <v/>
      </c>
      <c r="M147" s="27">
        <f>IF(OR(J147="Yes",I147=0),"",H147/I147)</f>
        <v/>
      </c>
      <c r="N147" s="21">
        <f>IF(J147="Yes","",IF(H147&gt;=I147,1,0))</f>
        <v/>
      </c>
      <c r="O147" s="21">
        <f>IF(I147&lt;=5000000,"Under $5M",IF(I147&lt;=20000000,"$5M-20M",IF(I147&lt;=50000000,"$20M-50M",IF(I147&lt;=100000000,"$50M-100M","$100M+"))))</f>
        <v/>
      </c>
      <c r="P147" s="21">
        <f>IF(E147&lt;=90,"90 or less",IF(E147&lt;=105,"91-105",IF(E147&lt;=120,"106-120",IF(E147&lt;=140,"121-140","Over 140"))))</f>
        <v/>
      </c>
      <c r="Q147" s="28">
        <f>INT(C147/10)*10</f>
        <v/>
      </c>
    </row>
    <row r="148">
      <c r="A148" s="21" t="n">
        <v>150</v>
      </c>
      <c r="B148" s="21" t="inlineStr">
        <is>
          <t>Cotton Comes to Harlem</t>
        </is>
      </c>
      <c r="C148" s="21" t="n">
        <v>1970</v>
      </c>
      <c r="D148" s="21" t="inlineStr">
        <is>
          <t>USA</t>
        </is>
      </c>
      <c r="E148" s="21" t="n">
        <v>97</v>
      </c>
      <c r="F148" s="21" t="inlineStr">
        <is>
          <t>English</t>
        </is>
      </c>
      <c r="G148" s="21" t="inlineStr">
        <is>
          <t>R</t>
        </is>
      </c>
      <c r="H148" s="22" t="n">
        <v>25529689.5</v>
      </c>
      <c r="I148" s="22" t="n">
        <v>1200000</v>
      </c>
      <c r="J148" s="21">
        <f>IF(OR(H148="",H148=25529689.5),"Yes","No")</f>
        <v/>
      </c>
      <c r="K148" s="21">
        <f>IF(AND(D148="USA",C148&gt;=1980,J148="No"),"Yes","No")</f>
        <v/>
      </c>
      <c r="L148" s="26">
        <f>IF(J148="Yes","",H148-I148)</f>
        <v/>
      </c>
      <c r="M148" s="27">
        <f>IF(OR(J148="Yes",I148=0),"",H148/I148)</f>
        <v/>
      </c>
      <c r="N148" s="21">
        <f>IF(J148="Yes","",IF(H148&gt;=I148,1,0))</f>
        <v/>
      </c>
      <c r="O148" s="21">
        <f>IF(I148&lt;=5000000,"Under $5M",IF(I148&lt;=20000000,"$5M-20M",IF(I148&lt;=50000000,"$20M-50M",IF(I148&lt;=100000000,"$50M-100M","$100M+"))))</f>
        <v/>
      </c>
      <c r="P148" s="21">
        <f>IF(E148&lt;=90,"90 or less",IF(E148&lt;=105,"91-105",IF(E148&lt;=120,"106-120",IF(E148&lt;=140,"121-140","Over 140"))))</f>
        <v/>
      </c>
      <c r="Q148" s="28">
        <f>INT(C148/10)*10</f>
        <v/>
      </c>
    </row>
    <row r="149">
      <c r="A149" s="21" t="n">
        <v>151</v>
      </c>
      <c r="B149" s="21" t="inlineStr">
        <is>
          <t>Darling Lili</t>
        </is>
      </c>
      <c r="C149" s="21" t="n">
        <v>1970</v>
      </c>
      <c r="D149" s="21" t="inlineStr">
        <is>
          <t>USA</t>
        </is>
      </c>
      <c r="E149" s="21" t="n">
        <v>143</v>
      </c>
      <c r="F149" s="21" t="inlineStr">
        <is>
          <t>English</t>
        </is>
      </c>
      <c r="G149" s="21" t="inlineStr">
        <is>
          <t>G</t>
        </is>
      </c>
      <c r="H149" s="22" t="n">
        <v>5000000</v>
      </c>
      <c r="I149" s="22" t="n">
        <v>25000000</v>
      </c>
      <c r="J149" s="21">
        <f>IF(OR(H149="",H149=25529689.5),"Yes","No")</f>
        <v/>
      </c>
      <c r="K149" s="21">
        <f>IF(AND(D149="USA",C149&gt;=1980,J149="No"),"Yes","No")</f>
        <v/>
      </c>
      <c r="L149" s="26">
        <f>IF(J149="Yes","",H149-I149)</f>
        <v/>
      </c>
      <c r="M149" s="27">
        <f>IF(OR(J149="Yes",I149=0),"",H149/I149)</f>
        <v/>
      </c>
      <c r="N149" s="21">
        <f>IF(J149="Yes","",IF(H149&gt;=I149,1,0))</f>
        <v/>
      </c>
      <c r="O149" s="21">
        <f>IF(I149&lt;=5000000,"Under $5M",IF(I149&lt;=20000000,"$5M-20M",IF(I149&lt;=50000000,"$20M-50M",IF(I149&lt;=100000000,"$50M-100M","$100M+"))))</f>
        <v/>
      </c>
      <c r="P149" s="21">
        <f>IF(E149&lt;=90,"90 or less",IF(E149&lt;=105,"91-105",IF(E149&lt;=120,"106-120",IF(E149&lt;=140,"121-140","Over 140"))))</f>
        <v/>
      </c>
      <c r="Q149" s="28">
        <f>INT(C149/10)*10</f>
        <v/>
      </c>
    </row>
    <row r="150">
      <c r="A150" s="21" t="n">
        <v>152</v>
      </c>
      <c r="B150" s="21" t="inlineStr">
        <is>
          <t>Patton</t>
        </is>
      </c>
      <c r="C150" s="21" t="n">
        <v>1970</v>
      </c>
      <c r="D150" s="21" t="inlineStr">
        <is>
          <t>USA</t>
        </is>
      </c>
      <c r="E150" s="21" t="n">
        <v>172</v>
      </c>
      <c r="F150" s="21" t="inlineStr">
        <is>
          <t>English</t>
        </is>
      </c>
      <c r="G150" s="21" t="inlineStr">
        <is>
          <t>GP</t>
        </is>
      </c>
      <c r="H150" s="22" t="n">
        <v>25529689.5</v>
      </c>
      <c r="I150" s="22" t="n">
        <v>12000000</v>
      </c>
      <c r="J150" s="21">
        <f>IF(OR(H150="",H150=25529689.5),"Yes","No")</f>
        <v/>
      </c>
      <c r="K150" s="21">
        <f>IF(AND(D150="USA",C150&gt;=1980,J150="No"),"Yes","No")</f>
        <v/>
      </c>
      <c r="L150" s="26">
        <f>IF(J150="Yes","",H150-I150)</f>
        <v/>
      </c>
      <c r="M150" s="27">
        <f>IF(OR(J150="Yes",I150=0),"",H150/I150)</f>
        <v/>
      </c>
      <c r="N150" s="21">
        <f>IF(J150="Yes","",IF(H150&gt;=I150,1,0))</f>
        <v/>
      </c>
      <c r="O150" s="21">
        <f>IF(I150&lt;=5000000,"Under $5M",IF(I150&lt;=20000000,"$5M-20M",IF(I150&lt;=50000000,"$20M-50M",IF(I150&lt;=100000000,"$50M-100M","$100M+"))))</f>
        <v/>
      </c>
      <c r="P150" s="21">
        <f>IF(E150&lt;=90,"90 or less",IF(E150&lt;=105,"91-105",IF(E150&lt;=120,"106-120",IF(E150&lt;=140,"121-140","Over 140"))))</f>
        <v/>
      </c>
      <c r="Q150" s="28">
        <f>INT(C150/10)*10</f>
        <v/>
      </c>
    </row>
    <row r="151">
      <c r="A151" s="21" t="n">
        <v>153</v>
      </c>
      <c r="B151" s="21" t="inlineStr">
        <is>
          <t>The Ballad of Cable Hogue</t>
        </is>
      </c>
      <c r="C151" s="21" t="n">
        <v>1970</v>
      </c>
      <c r="D151" s="21" t="inlineStr">
        <is>
          <t>USA</t>
        </is>
      </c>
      <c r="E151" s="21" t="n">
        <v>121</v>
      </c>
      <c r="F151" s="21" t="inlineStr">
        <is>
          <t>English</t>
        </is>
      </c>
      <c r="G151" s="21" t="inlineStr">
        <is>
          <t>R</t>
        </is>
      </c>
      <c r="H151" s="22" t="n">
        <v>25529689.5</v>
      </c>
      <c r="I151" s="22" t="n">
        <v>3716946</v>
      </c>
      <c r="J151" s="21">
        <f>IF(OR(H151="",H151=25529689.5),"Yes","No")</f>
        <v/>
      </c>
      <c r="K151" s="21">
        <f>IF(AND(D151="USA",C151&gt;=1980,J151="No"),"Yes","No")</f>
        <v/>
      </c>
      <c r="L151" s="26">
        <f>IF(J151="Yes","",H151-I151)</f>
        <v/>
      </c>
      <c r="M151" s="27">
        <f>IF(OR(J151="Yes",I151=0),"",H151/I151)</f>
        <v/>
      </c>
      <c r="N151" s="21">
        <f>IF(J151="Yes","",IF(H151&gt;=I151,1,0))</f>
        <v/>
      </c>
      <c r="O151" s="21">
        <f>IF(I151&lt;=5000000,"Under $5M",IF(I151&lt;=20000000,"$5M-20M",IF(I151&lt;=50000000,"$20M-50M",IF(I151&lt;=100000000,"$50M-100M","$100M+"))))</f>
        <v/>
      </c>
      <c r="P151" s="21">
        <f>IF(E151&lt;=90,"90 or less",IF(E151&lt;=105,"91-105",IF(E151&lt;=120,"106-120",IF(E151&lt;=140,"121-140","Over 140"))))</f>
        <v/>
      </c>
      <c r="Q151" s="28">
        <f>INT(C151/10)*10</f>
        <v/>
      </c>
    </row>
    <row r="152">
      <c r="A152" s="21" t="n">
        <v>154</v>
      </c>
      <c r="B152" s="21" t="inlineStr">
        <is>
          <t>The Conformist</t>
        </is>
      </c>
      <c r="C152" s="21" t="n">
        <v>1970</v>
      </c>
      <c r="D152" s="21" t="inlineStr">
        <is>
          <t>Italy</t>
        </is>
      </c>
      <c r="E152" s="21" t="n">
        <v>106</v>
      </c>
      <c r="F152" s="21" t="inlineStr">
        <is>
          <t>Italian</t>
        </is>
      </c>
      <c r="G152" s="21" t="inlineStr">
        <is>
          <t>R</t>
        </is>
      </c>
      <c r="H152" s="22" t="n">
        <v>25529689.5</v>
      </c>
      <c r="I152" s="22" t="n">
        <v>750000</v>
      </c>
      <c r="J152" s="21">
        <f>IF(OR(H152="",H152=25529689.5),"Yes","No")</f>
        <v/>
      </c>
      <c r="K152" s="21">
        <f>IF(AND(D152="USA",C152&gt;=1980,J152="No"),"Yes","No")</f>
        <v/>
      </c>
      <c r="L152" s="26">
        <f>IF(J152="Yes","",H152-I152)</f>
        <v/>
      </c>
      <c r="M152" s="27">
        <f>IF(OR(J152="Yes",I152=0),"",H152/I152)</f>
        <v/>
      </c>
      <c r="N152" s="21">
        <f>IF(J152="Yes","",IF(H152&gt;=I152,1,0))</f>
        <v/>
      </c>
      <c r="O152" s="21">
        <f>IF(I152&lt;=5000000,"Under $5M",IF(I152&lt;=20000000,"$5M-20M",IF(I152&lt;=50000000,"$20M-50M",IF(I152&lt;=100000000,"$50M-100M","$100M+"))))</f>
        <v/>
      </c>
      <c r="P152" s="21">
        <f>IF(E152&lt;=90,"90 or less",IF(E152&lt;=105,"91-105",IF(E152&lt;=120,"106-120",IF(E152&lt;=140,"121-140","Over 140"))))</f>
        <v/>
      </c>
      <c r="Q152" s="28">
        <f>INT(C152/10)*10</f>
        <v/>
      </c>
    </row>
    <row r="153">
      <c r="A153" s="21" t="n">
        <v>155</v>
      </c>
      <c r="B153" s="21" t="inlineStr">
        <is>
          <t>The Molly Maguires</t>
        </is>
      </c>
      <c r="C153" s="21" t="n">
        <v>1970</v>
      </c>
      <c r="D153" s="21" t="inlineStr">
        <is>
          <t>USA</t>
        </is>
      </c>
      <c r="E153" s="21" t="n">
        <v>124</v>
      </c>
      <c r="F153" s="21" t="inlineStr">
        <is>
          <t>English</t>
        </is>
      </c>
      <c r="G153" s="21" t="inlineStr">
        <is>
          <t>PG</t>
        </is>
      </c>
      <c r="H153" s="22" t="n">
        <v>25529689.5</v>
      </c>
      <c r="I153" s="22" t="n">
        <v>11000000</v>
      </c>
      <c r="J153" s="21">
        <f>IF(OR(H153="",H153=25529689.5),"Yes","No")</f>
        <v/>
      </c>
      <c r="K153" s="21">
        <f>IF(AND(D153="USA",C153&gt;=1980,J153="No"),"Yes","No")</f>
        <v/>
      </c>
      <c r="L153" s="26">
        <f>IF(J153="Yes","",H153-I153)</f>
        <v/>
      </c>
      <c r="M153" s="27">
        <f>IF(OR(J153="Yes",I153=0),"",H153/I153)</f>
        <v/>
      </c>
      <c r="N153" s="21">
        <f>IF(J153="Yes","",IF(H153&gt;=I153,1,0))</f>
        <v/>
      </c>
      <c r="O153" s="21">
        <f>IF(I153&lt;=5000000,"Under $5M",IF(I153&lt;=20000000,"$5M-20M",IF(I153&lt;=50000000,"$20M-50M",IF(I153&lt;=100000000,"$50M-100M","$100M+"))))</f>
        <v/>
      </c>
      <c r="P153" s="21">
        <f>IF(E153&lt;=90,"90 or less",IF(E153&lt;=105,"91-105",IF(E153&lt;=120,"106-120",IF(E153&lt;=140,"121-140","Over 140"))))</f>
        <v/>
      </c>
      <c r="Q153" s="28">
        <f>INT(C153/10)*10</f>
        <v/>
      </c>
    </row>
    <row r="154">
      <c r="A154" s="21" t="n">
        <v>156</v>
      </c>
      <c r="B154" s="21" t="inlineStr">
        <is>
          <t>Tora! Tora! Tora!</t>
        </is>
      </c>
      <c r="C154" s="21" t="n">
        <v>1970</v>
      </c>
      <c r="D154" s="21" t="inlineStr">
        <is>
          <t>Japan</t>
        </is>
      </c>
      <c r="E154" s="21" t="n">
        <v>160</v>
      </c>
      <c r="F154" s="21" t="inlineStr">
        <is>
          <t>English</t>
        </is>
      </c>
      <c r="G154" s="21" t="inlineStr">
        <is>
          <t>G</t>
        </is>
      </c>
      <c r="H154" s="22" t="n">
        <v>14500000</v>
      </c>
      <c r="I154" s="22" t="n">
        <v>25000000</v>
      </c>
      <c r="J154" s="21">
        <f>IF(OR(H154="",H154=25529689.5),"Yes","No")</f>
        <v/>
      </c>
      <c r="K154" s="21">
        <f>IF(AND(D154="USA",C154&gt;=1980,J154="No"),"Yes","No")</f>
        <v/>
      </c>
      <c r="L154" s="26">
        <f>IF(J154="Yes","",H154-I154)</f>
        <v/>
      </c>
      <c r="M154" s="27">
        <f>IF(OR(J154="Yes",I154=0),"",H154/I154)</f>
        <v/>
      </c>
      <c r="N154" s="21">
        <f>IF(J154="Yes","",IF(H154&gt;=I154,1,0))</f>
        <v/>
      </c>
      <c r="O154" s="21">
        <f>IF(I154&lt;=5000000,"Under $5M",IF(I154&lt;=20000000,"$5M-20M",IF(I154&lt;=50000000,"$20M-50M",IF(I154&lt;=100000000,"$50M-100M","$100M+"))))</f>
        <v/>
      </c>
      <c r="P154" s="21">
        <f>IF(E154&lt;=90,"90 or less",IF(E154&lt;=105,"91-105",IF(E154&lt;=120,"106-120",IF(E154&lt;=140,"121-140","Over 140"))))</f>
        <v/>
      </c>
      <c r="Q154" s="28">
        <f>INT(C154/10)*10</f>
        <v/>
      </c>
    </row>
    <row r="155">
      <c r="A155" s="21" t="n">
        <v>157</v>
      </c>
      <c r="B155" s="21" t="inlineStr">
        <is>
          <t>Waterloo</t>
        </is>
      </c>
      <c r="C155" s="21" t="n">
        <v>1970</v>
      </c>
      <c r="D155" s="21" t="inlineStr">
        <is>
          <t>Italy</t>
        </is>
      </c>
      <c r="E155" s="21" t="n">
        <v>134</v>
      </c>
      <c r="F155" s="21" t="inlineStr">
        <is>
          <t>English</t>
        </is>
      </c>
      <c r="G155" s="21" t="inlineStr">
        <is>
          <t>G</t>
        </is>
      </c>
      <c r="H155" s="22" t="n">
        <v>25529689.5</v>
      </c>
      <c r="I155" s="22" t="n">
        <v>25000000</v>
      </c>
      <c r="J155" s="21">
        <f>IF(OR(H155="",H155=25529689.5),"Yes","No")</f>
        <v/>
      </c>
      <c r="K155" s="21">
        <f>IF(AND(D155="USA",C155&gt;=1980,J155="No"),"Yes","No")</f>
        <v/>
      </c>
      <c r="L155" s="26">
        <f>IF(J155="Yes","",H155-I155)</f>
        <v/>
      </c>
      <c r="M155" s="27">
        <f>IF(OR(J155="Yes",I155=0),"",H155/I155)</f>
        <v/>
      </c>
      <c r="N155" s="21">
        <f>IF(J155="Yes","",IF(H155&gt;=I155,1,0))</f>
        <v/>
      </c>
      <c r="O155" s="21">
        <f>IF(I155&lt;=5000000,"Under $5M",IF(I155&lt;=20000000,"$5M-20M",IF(I155&lt;=50000000,"$20M-50M",IF(I155&lt;=100000000,"$50M-100M","$100M+"))))</f>
        <v/>
      </c>
      <c r="P155" s="21">
        <f>IF(E155&lt;=90,"90 or less",IF(E155&lt;=105,"91-105",IF(E155&lt;=120,"106-120",IF(E155&lt;=140,"121-140","Over 140"))))</f>
        <v/>
      </c>
      <c r="Q155" s="28">
        <f>INT(C155/10)*10</f>
        <v/>
      </c>
    </row>
    <row r="156">
      <c r="A156" s="21" t="n">
        <v>158</v>
      </c>
      <c r="B156" s="21" t="inlineStr">
        <is>
          <t>Woodstock</t>
        </is>
      </c>
      <c r="C156" s="21" t="n">
        <v>1970</v>
      </c>
      <c r="D156" s="21" t="inlineStr">
        <is>
          <t>USA</t>
        </is>
      </c>
      <c r="E156" s="21" t="n">
        <v>215</v>
      </c>
      <c r="F156" s="21" t="inlineStr">
        <is>
          <t>English</t>
        </is>
      </c>
      <c r="G156" s="21" t="inlineStr">
        <is>
          <t>R</t>
        </is>
      </c>
      <c r="H156" s="22" t="n">
        <v>13300000</v>
      </c>
      <c r="I156" s="22" t="n">
        <v>600000</v>
      </c>
      <c r="J156" s="21">
        <f>IF(OR(H156="",H156=25529689.5),"Yes","No")</f>
        <v/>
      </c>
      <c r="K156" s="21">
        <f>IF(AND(D156="USA",C156&gt;=1980,J156="No"),"Yes","No")</f>
        <v/>
      </c>
      <c r="L156" s="26">
        <f>IF(J156="Yes","",H156-I156)</f>
        <v/>
      </c>
      <c r="M156" s="27">
        <f>IF(OR(J156="Yes",I156=0),"",H156/I156)</f>
        <v/>
      </c>
      <c r="N156" s="21">
        <f>IF(J156="Yes","",IF(H156&gt;=I156,1,0))</f>
        <v/>
      </c>
      <c r="O156" s="21">
        <f>IF(I156&lt;=5000000,"Under $5M",IF(I156&lt;=20000000,"$5M-20M",IF(I156&lt;=50000000,"$20M-50M",IF(I156&lt;=100000000,"$50M-100M","$100M+"))))</f>
        <v/>
      </c>
      <c r="P156" s="21">
        <f>IF(E156&lt;=90,"90 or less",IF(E156&lt;=105,"91-105",IF(E156&lt;=120,"106-120",IF(E156&lt;=140,"121-140","Over 140"))))</f>
        <v/>
      </c>
      <c r="Q156" s="28">
        <f>INT(C156/10)*10</f>
        <v/>
      </c>
    </row>
    <row r="157">
      <c r="A157" s="21" t="n">
        <v>159</v>
      </c>
      <c r="B157" s="21" t="inlineStr">
        <is>
          <t>Bananas</t>
        </is>
      </c>
      <c r="C157" s="21" t="n">
        <v>1971</v>
      </c>
      <c r="D157" s="21" t="inlineStr">
        <is>
          <t>USA</t>
        </is>
      </c>
      <c r="E157" s="21" t="n">
        <v>82</v>
      </c>
      <c r="F157" s="21" t="inlineStr">
        <is>
          <t>English</t>
        </is>
      </c>
      <c r="G157" s="21" t="inlineStr">
        <is>
          <t>GP</t>
        </is>
      </c>
      <c r="H157" s="22" t="n">
        <v>25529689.5</v>
      </c>
      <c r="I157" s="22" t="n">
        <v>2000000</v>
      </c>
      <c r="J157" s="21">
        <f>IF(OR(H157="",H157=25529689.5),"Yes","No")</f>
        <v/>
      </c>
      <c r="K157" s="21">
        <f>IF(AND(D157="USA",C157&gt;=1980,J157="No"),"Yes","No")</f>
        <v/>
      </c>
      <c r="L157" s="26">
        <f>IF(J157="Yes","",H157-I157)</f>
        <v/>
      </c>
      <c r="M157" s="27">
        <f>IF(OR(J157="Yes",I157=0),"",H157/I157)</f>
        <v/>
      </c>
      <c r="N157" s="21">
        <f>IF(J157="Yes","",IF(H157&gt;=I157,1,0))</f>
        <v/>
      </c>
      <c r="O157" s="21">
        <f>IF(I157&lt;=5000000,"Under $5M",IF(I157&lt;=20000000,"$5M-20M",IF(I157&lt;=50000000,"$20M-50M",IF(I157&lt;=100000000,"$50M-100M","$100M+"))))</f>
        <v/>
      </c>
      <c r="P157" s="21">
        <f>IF(E157&lt;=90,"90 or less",IF(E157&lt;=105,"91-105",IF(E157&lt;=120,"106-120",IF(E157&lt;=140,"121-140","Over 140"))))</f>
        <v/>
      </c>
      <c r="Q157" s="28">
        <f>INT(C157/10)*10</f>
        <v/>
      </c>
    </row>
    <row r="158">
      <c r="A158" s="21" t="n">
        <v>160</v>
      </c>
      <c r="B158" s="21" t="inlineStr">
        <is>
          <t>Diamonds Are Forever</t>
        </is>
      </c>
      <c r="C158" s="21" t="n">
        <v>1971</v>
      </c>
      <c r="D158" s="21" t="inlineStr">
        <is>
          <t>UK</t>
        </is>
      </c>
      <c r="E158" s="21" t="n">
        <v>120</v>
      </c>
      <c r="F158" s="21" t="inlineStr">
        <is>
          <t>English</t>
        </is>
      </c>
      <c r="G158" s="21" t="inlineStr">
        <is>
          <t>GP</t>
        </is>
      </c>
      <c r="H158" s="22" t="n">
        <v>43800000</v>
      </c>
      <c r="I158" s="22" t="n">
        <v>7200000</v>
      </c>
      <c r="J158" s="21">
        <f>IF(OR(H158="",H158=25529689.5),"Yes","No")</f>
        <v/>
      </c>
      <c r="K158" s="21">
        <f>IF(AND(D158="USA",C158&gt;=1980,J158="No"),"Yes","No")</f>
        <v/>
      </c>
      <c r="L158" s="26">
        <f>IF(J158="Yes","",H158-I158)</f>
        <v/>
      </c>
      <c r="M158" s="27">
        <f>IF(OR(J158="Yes",I158=0),"",H158/I158)</f>
        <v/>
      </c>
      <c r="N158" s="21">
        <f>IF(J158="Yes","",IF(H158&gt;=I158,1,0))</f>
        <v/>
      </c>
      <c r="O158" s="21">
        <f>IF(I158&lt;=5000000,"Under $5M",IF(I158&lt;=20000000,"$5M-20M",IF(I158&lt;=50000000,"$20M-50M",IF(I158&lt;=100000000,"$50M-100M","$100M+"))))</f>
        <v/>
      </c>
      <c r="P158" s="21">
        <f>IF(E158&lt;=90,"90 or less",IF(E158&lt;=105,"91-105",IF(E158&lt;=120,"106-120",IF(E158&lt;=140,"121-140","Over 140"))))</f>
        <v/>
      </c>
      <c r="Q158" s="28">
        <f>INT(C158/10)*10</f>
        <v/>
      </c>
    </row>
    <row r="159">
      <c r="A159" s="21" t="n">
        <v>161</v>
      </c>
      <c r="B159" s="21" t="inlineStr">
        <is>
          <t>Escape from the Planet of the Apes</t>
        </is>
      </c>
      <c r="C159" s="21" t="n">
        <v>1971</v>
      </c>
      <c r="D159" s="21" t="inlineStr">
        <is>
          <t>USA</t>
        </is>
      </c>
      <c r="E159" s="21" t="n">
        <v>98</v>
      </c>
      <c r="F159" s="21" t="inlineStr">
        <is>
          <t>English</t>
        </is>
      </c>
      <c r="G159" s="21" t="inlineStr">
        <is>
          <t>G</t>
        </is>
      </c>
      <c r="H159" s="22" t="n">
        <v>25529689.5</v>
      </c>
      <c r="I159" s="22" t="n">
        <v>2500000</v>
      </c>
      <c r="J159" s="21">
        <f>IF(OR(H159="",H159=25529689.5),"Yes","No")</f>
        <v/>
      </c>
      <c r="K159" s="21">
        <f>IF(AND(D159="USA",C159&gt;=1980,J159="No"),"Yes","No")</f>
        <v/>
      </c>
      <c r="L159" s="26">
        <f>IF(J159="Yes","",H159-I159)</f>
        <v/>
      </c>
      <c r="M159" s="27">
        <f>IF(OR(J159="Yes",I159=0),"",H159/I159)</f>
        <v/>
      </c>
      <c r="N159" s="21">
        <f>IF(J159="Yes","",IF(H159&gt;=I159,1,0))</f>
        <v/>
      </c>
      <c r="O159" s="21">
        <f>IF(I159&lt;=5000000,"Under $5M",IF(I159&lt;=20000000,"$5M-20M",IF(I159&lt;=50000000,"$20M-50M",IF(I159&lt;=100000000,"$50M-100M","$100M+"))))</f>
        <v/>
      </c>
      <c r="P159" s="21">
        <f>IF(E159&lt;=90,"90 or less",IF(E159&lt;=105,"91-105",IF(E159&lt;=120,"106-120",IF(E159&lt;=140,"121-140","Over 140"))))</f>
        <v/>
      </c>
      <c r="Q159" s="28">
        <f>INT(C159/10)*10</f>
        <v/>
      </c>
    </row>
    <row r="160">
      <c r="A160" s="21" t="n">
        <v>162</v>
      </c>
      <c r="B160" s="21" t="inlineStr">
        <is>
          <t>Fiddler on the Roof</t>
        </is>
      </c>
      <c r="C160" s="21" t="n">
        <v>1971</v>
      </c>
      <c r="D160" s="21" t="inlineStr">
        <is>
          <t>USA</t>
        </is>
      </c>
      <c r="E160" s="21" t="n">
        <v>181</v>
      </c>
      <c r="F160" s="21" t="inlineStr">
        <is>
          <t>English</t>
        </is>
      </c>
      <c r="G160" s="21" t="inlineStr">
        <is>
          <t>G</t>
        </is>
      </c>
      <c r="H160" s="22" t="n">
        <v>50000000</v>
      </c>
      <c r="I160" s="22" t="n">
        <v>9000000</v>
      </c>
      <c r="J160" s="21">
        <f>IF(OR(H160="",H160=25529689.5),"Yes","No")</f>
        <v/>
      </c>
      <c r="K160" s="21">
        <f>IF(AND(D160="USA",C160&gt;=1980,J160="No"),"Yes","No")</f>
        <v/>
      </c>
      <c r="L160" s="26">
        <f>IF(J160="Yes","",H160-I160)</f>
        <v/>
      </c>
      <c r="M160" s="27">
        <f>IF(OR(J160="Yes",I160=0),"",H160/I160)</f>
        <v/>
      </c>
      <c r="N160" s="21">
        <f>IF(J160="Yes","",IF(H160&gt;=I160,1,0))</f>
        <v/>
      </c>
      <c r="O160" s="21">
        <f>IF(I160&lt;=5000000,"Under $5M",IF(I160&lt;=20000000,"$5M-20M",IF(I160&lt;=50000000,"$20M-50M",IF(I160&lt;=100000000,"$50M-100M","$100M+"))))</f>
        <v/>
      </c>
      <c r="P160" s="21">
        <f>IF(E160&lt;=90,"90 or less",IF(E160&lt;=105,"91-105",IF(E160&lt;=120,"106-120",IF(E160&lt;=140,"121-140","Over 140"))))</f>
        <v/>
      </c>
      <c r="Q160" s="28">
        <f>INT(C160/10)*10</f>
        <v/>
      </c>
    </row>
    <row r="161">
      <c r="A161" s="21" t="n">
        <v>163</v>
      </c>
      <c r="B161" s="21" t="inlineStr">
        <is>
          <t>Pink Narcissus</t>
        </is>
      </c>
      <c r="C161" s="21" t="n">
        <v>1971</v>
      </c>
      <c r="D161" s="21" t="inlineStr">
        <is>
          <t>USA</t>
        </is>
      </c>
      <c r="E161" s="21" t="n">
        <v>65</v>
      </c>
      <c r="F161" s="21" t="inlineStr">
        <is>
          <t>English</t>
        </is>
      </c>
      <c r="G161" s="21" t="inlineStr">
        <is>
          <t>Not Rated</t>
        </is>
      </c>
      <c r="H161" s="22" t="n">
        <v>8231</v>
      </c>
      <c r="I161" s="22" t="n">
        <v>27000</v>
      </c>
      <c r="J161" s="21">
        <f>IF(OR(H161="",H161=25529689.5),"Yes","No")</f>
        <v/>
      </c>
      <c r="K161" s="21">
        <f>IF(AND(D161="USA",C161&gt;=1980,J161="No"),"Yes","No")</f>
        <v/>
      </c>
      <c r="L161" s="26">
        <f>IF(J161="Yes","",H161-I161)</f>
        <v/>
      </c>
      <c r="M161" s="27">
        <f>IF(OR(J161="Yes",I161=0),"",H161/I161)</f>
        <v/>
      </c>
      <c r="N161" s="21">
        <f>IF(J161="Yes","",IF(H161&gt;=I161,1,0))</f>
        <v/>
      </c>
      <c r="O161" s="21">
        <f>IF(I161&lt;=5000000,"Under $5M",IF(I161&lt;=20000000,"$5M-20M",IF(I161&lt;=50000000,"$20M-50M",IF(I161&lt;=100000000,"$50M-100M","$100M+"))))</f>
        <v/>
      </c>
      <c r="P161" s="21">
        <f>IF(E161&lt;=90,"90 or less",IF(E161&lt;=105,"91-105",IF(E161&lt;=120,"106-120",IF(E161&lt;=140,"121-140","Over 140"))))</f>
        <v/>
      </c>
      <c r="Q161" s="28">
        <f>INT(C161/10)*10</f>
        <v/>
      </c>
    </row>
    <row r="162">
      <c r="A162" s="21" t="n">
        <v>164</v>
      </c>
      <c r="B162" s="21" t="inlineStr">
        <is>
          <t>Sweet Sweetback's Baadasssss Song</t>
        </is>
      </c>
      <c r="C162" s="21" t="n">
        <v>1971</v>
      </c>
      <c r="D162" s="21" t="inlineStr">
        <is>
          <t>USA</t>
        </is>
      </c>
      <c r="E162" s="21" t="n">
        <v>97</v>
      </c>
      <c r="F162" s="21" t="inlineStr">
        <is>
          <t>English</t>
        </is>
      </c>
      <c r="G162" s="21" t="inlineStr">
        <is>
          <t>R</t>
        </is>
      </c>
      <c r="H162" s="22" t="n">
        <v>15180000</v>
      </c>
      <c r="I162" s="22" t="n">
        <v>500000</v>
      </c>
      <c r="J162" s="21">
        <f>IF(OR(H162="",H162=25529689.5),"Yes","No")</f>
        <v/>
      </c>
      <c r="K162" s="21">
        <f>IF(AND(D162="USA",C162&gt;=1980,J162="No"),"Yes","No")</f>
        <v/>
      </c>
      <c r="L162" s="26">
        <f>IF(J162="Yes","",H162-I162)</f>
        <v/>
      </c>
      <c r="M162" s="27">
        <f>IF(OR(J162="Yes",I162=0),"",H162/I162)</f>
        <v/>
      </c>
      <c r="N162" s="21">
        <f>IF(J162="Yes","",IF(H162&gt;=I162,1,0))</f>
        <v/>
      </c>
      <c r="O162" s="21">
        <f>IF(I162&lt;=5000000,"Under $5M",IF(I162&lt;=20000000,"$5M-20M",IF(I162&lt;=50000000,"$20M-50M",IF(I162&lt;=100000000,"$50M-100M","$100M+"))))</f>
        <v/>
      </c>
      <c r="P162" s="21">
        <f>IF(E162&lt;=90,"90 or less",IF(E162&lt;=105,"91-105",IF(E162&lt;=120,"106-120",IF(E162&lt;=140,"121-140","Over 140"))))</f>
        <v/>
      </c>
      <c r="Q162" s="28">
        <f>INT(C162/10)*10</f>
        <v/>
      </c>
    </row>
    <row r="163">
      <c r="A163" s="21" t="n">
        <v>165</v>
      </c>
      <c r="B163" s="21" t="inlineStr">
        <is>
          <t>The Andromeda Strain</t>
        </is>
      </c>
      <c r="C163" s="21" t="n">
        <v>1971</v>
      </c>
      <c r="D163" s="21" t="inlineStr">
        <is>
          <t>USA</t>
        </is>
      </c>
      <c r="E163" s="21" t="n">
        <v>115</v>
      </c>
      <c r="F163" s="21" t="inlineStr">
        <is>
          <t>English</t>
        </is>
      </c>
      <c r="G163" s="21" t="inlineStr">
        <is>
          <t>G</t>
        </is>
      </c>
      <c r="H163" s="22" t="n">
        <v>25529689.5</v>
      </c>
      <c r="I163" s="22" t="n">
        <v>6500000</v>
      </c>
      <c r="J163" s="21">
        <f>IF(OR(H163="",H163=25529689.5),"Yes","No")</f>
        <v/>
      </c>
      <c r="K163" s="21">
        <f>IF(AND(D163="USA",C163&gt;=1980,J163="No"),"Yes","No")</f>
        <v/>
      </c>
      <c r="L163" s="26">
        <f>IF(J163="Yes","",H163-I163)</f>
        <v/>
      </c>
      <c r="M163" s="27">
        <f>IF(OR(J163="Yes",I163=0),"",H163/I163)</f>
        <v/>
      </c>
      <c r="N163" s="21">
        <f>IF(J163="Yes","",IF(H163&gt;=I163,1,0))</f>
        <v/>
      </c>
      <c r="O163" s="21">
        <f>IF(I163&lt;=5000000,"Under $5M",IF(I163&lt;=20000000,"$5M-20M",IF(I163&lt;=50000000,"$20M-50M",IF(I163&lt;=100000000,"$50M-100M","$100M+"))))</f>
        <v/>
      </c>
      <c r="P163" s="21">
        <f>IF(E163&lt;=90,"90 or less",IF(E163&lt;=105,"91-105",IF(E163&lt;=120,"106-120",IF(E163&lt;=140,"121-140","Over 140"))))</f>
        <v/>
      </c>
      <c r="Q163" s="28">
        <f>INT(C163/10)*10</f>
        <v/>
      </c>
    </row>
    <row r="164">
      <c r="A164" s="21" t="n">
        <v>166</v>
      </c>
      <c r="B164" s="21" t="inlineStr">
        <is>
          <t>The French Connection</t>
        </is>
      </c>
      <c r="C164" s="21" t="n">
        <v>1971</v>
      </c>
      <c r="D164" s="21" t="inlineStr">
        <is>
          <t>USA</t>
        </is>
      </c>
      <c r="E164" s="21" t="n">
        <v>104</v>
      </c>
      <c r="F164" s="21" t="inlineStr">
        <is>
          <t>English</t>
        </is>
      </c>
      <c r="G164" s="21" t="inlineStr">
        <is>
          <t>R</t>
        </is>
      </c>
      <c r="H164" s="22" t="n">
        <v>25529689.5</v>
      </c>
      <c r="I164" s="22" t="n">
        <v>1800000</v>
      </c>
      <c r="J164" s="21">
        <f>IF(OR(H164="",H164=25529689.5),"Yes","No")</f>
        <v/>
      </c>
      <c r="K164" s="21">
        <f>IF(AND(D164="USA",C164&gt;=1980,J164="No"),"Yes","No")</f>
        <v/>
      </c>
      <c r="L164" s="26">
        <f>IF(J164="Yes","",H164-I164)</f>
        <v/>
      </c>
      <c r="M164" s="27">
        <f>IF(OR(J164="Yes",I164=0),"",H164/I164)</f>
        <v/>
      </c>
      <c r="N164" s="21">
        <f>IF(J164="Yes","",IF(H164&gt;=I164,1,0))</f>
        <v/>
      </c>
      <c r="O164" s="21">
        <f>IF(I164&lt;=5000000,"Under $5M",IF(I164&lt;=20000000,"$5M-20M",IF(I164&lt;=50000000,"$20M-50M",IF(I164&lt;=100000000,"$50M-100M","$100M+"))))</f>
        <v/>
      </c>
      <c r="P164" s="21">
        <f>IF(E164&lt;=90,"90 or less",IF(E164&lt;=105,"91-105",IF(E164&lt;=120,"106-120",IF(E164&lt;=140,"121-140","Over 140"))))</f>
        <v/>
      </c>
      <c r="Q164" s="28">
        <f>INT(C164/10)*10</f>
        <v/>
      </c>
    </row>
    <row r="165">
      <c r="A165" s="21" t="n">
        <v>168</v>
      </c>
      <c r="B165" s="21" t="inlineStr">
        <is>
          <t>The Night Visitor</t>
        </is>
      </c>
      <c r="C165" s="21" t="n">
        <v>1971</v>
      </c>
      <c r="D165" s="21" t="inlineStr">
        <is>
          <t>USA</t>
        </is>
      </c>
      <c r="E165" s="21" t="n">
        <v>106</v>
      </c>
      <c r="F165" s="21" t="inlineStr">
        <is>
          <t>English</t>
        </is>
      </c>
      <c r="G165" s="21" t="inlineStr">
        <is>
          <t>GP</t>
        </is>
      </c>
      <c r="H165" s="22" t="n">
        <v>25529689.5</v>
      </c>
      <c r="I165" s="22" t="n">
        <v>20000000</v>
      </c>
      <c r="J165" s="21">
        <f>IF(OR(H165="",H165=25529689.5),"Yes","No")</f>
        <v/>
      </c>
      <c r="K165" s="21">
        <f>IF(AND(D165="USA",C165&gt;=1980,J165="No"),"Yes","No")</f>
        <v/>
      </c>
      <c r="L165" s="26">
        <f>IF(J165="Yes","",H165-I165)</f>
        <v/>
      </c>
      <c r="M165" s="27">
        <f>IF(OR(J165="Yes",I165=0),"",H165/I165)</f>
        <v/>
      </c>
      <c r="N165" s="21">
        <f>IF(J165="Yes","",IF(H165&gt;=I165,1,0))</f>
        <v/>
      </c>
      <c r="O165" s="21">
        <f>IF(I165&lt;=5000000,"Under $5M",IF(I165&lt;=20000000,"$5M-20M",IF(I165&lt;=50000000,"$20M-50M",IF(I165&lt;=100000000,"$50M-100M","$100M+"))))</f>
        <v/>
      </c>
      <c r="P165" s="21">
        <f>IF(E165&lt;=90,"90 or less",IF(E165&lt;=105,"91-105",IF(E165&lt;=120,"106-120",IF(E165&lt;=140,"121-140","Over 140"))))</f>
        <v/>
      </c>
      <c r="Q165" s="28">
        <f>INT(C165/10)*10</f>
        <v/>
      </c>
    </row>
    <row r="166">
      <c r="A166" s="21" t="n">
        <v>169</v>
      </c>
      <c r="B166" s="21" t="inlineStr">
        <is>
          <t>Willy Wonka &amp; the Chocolate Factory</t>
        </is>
      </c>
      <c r="C166" s="21" t="n">
        <v>1971</v>
      </c>
      <c r="D166" s="21" t="inlineStr">
        <is>
          <t>USA</t>
        </is>
      </c>
      <c r="E166" s="21" t="n">
        <v>89</v>
      </c>
      <c r="F166" s="21" t="inlineStr">
        <is>
          <t>English</t>
        </is>
      </c>
      <c r="G166" s="21" t="inlineStr">
        <is>
          <t>G</t>
        </is>
      </c>
      <c r="H166" s="22" t="n">
        <v>25529689.5</v>
      </c>
      <c r="I166" s="22" t="n">
        <v>3000000</v>
      </c>
      <c r="J166" s="21">
        <f>IF(OR(H166="",H166=25529689.5),"Yes","No")</f>
        <v/>
      </c>
      <c r="K166" s="21">
        <f>IF(AND(D166="USA",C166&gt;=1980,J166="No"),"Yes","No")</f>
        <v/>
      </c>
      <c r="L166" s="26">
        <f>IF(J166="Yes","",H166-I166)</f>
        <v/>
      </c>
      <c r="M166" s="27">
        <f>IF(OR(J166="Yes",I166=0),"",H166/I166)</f>
        <v/>
      </c>
      <c r="N166" s="21">
        <f>IF(J166="Yes","",IF(H166&gt;=I166,1,0))</f>
        <v/>
      </c>
      <c r="O166" s="21">
        <f>IF(I166&lt;=5000000,"Under $5M",IF(I166&lt;=20000000,"$5M-20M",IF(I166&lt;=50000000,"$20M-50M",IF(I166&lt;=100000000,"$50M-100M","$100M+"))))</f>
        <v/>
      </c>
      <c r="P166" s="21">
        <f>IF(E166&lt;=90,"90 or less",IF(E166&lt;=105,"91-105",IF(E166&lt;=120,"106-120",IF(E166&lt;=140,"121-140","Over 140"))))</f>
        <v/>
      </c>
      <c r="Q166" s="28">
        <f>INT(C166/10)*10</f>
        <v/>
      </c>
    </row>
    <row r="167">
      <c r="A167" s="21" t="n">
        <v>170</v>
      </c>
      <c r="B167" s="21" t="inlineStr">
        <is>
          <t>1776</t>
        </is>
      </c>
      <c r="C167" s="21" t="n">
        <v>1972</v>
      </c>
      <c r="D167" s="21" t="inlineStr">
        <is>
          <t>USA</t>
        </is>
      </c>
      <c r="E167" s="21" t="n">
        <v>168</v>
      </c>
      <c r="F167" s="21" t="inlineStr">
        <is>
          <t>English</t>
        </is>
      </c>
      <c r="G167" s="21" t="inlineStr">
        <is>
          <t>PG</t>
        </is>
      </c>
      <c r="H167" s="22" t="n">
        <v>25529689.5</v>
      </c>
      <c r="I167" s="22" t="n">
        <v>4000000</v>
      </c>
      <c r="J167" s="21">
        <f>IF(OR(H167="",H167=25529689.5),"Yes","No")</f>
        <v/>
      </c>
      <c r="K167" s="21">
        <f>IF(AND(D167="USA",C167&gt;=1980,J167="No"),"Yes","No")</f>
        <v/>
      </c>
      <c r="L167" s="26">
        <f>IF(J167="Yes","",H167-I167)</f>
        <v/>
      </c>
      <c r="M167" s="27">
        <f>IF(OR(J167="Yes",I167=0),"",H167/I167)</f>
        <v/>
      </c>
      <c r="N167" s="21">
        <f>IF(J167="Yes","",IF(H167&gt;=I167,1,0))</f>
        <v/>
      </c>
      <c r="O167" s="21">
        <f>IF(I167&lt;=5000000,"Under $5M",IF(I167&lt;=20000000,"$5M-20M",IF(I167&lt;=50000000,"$20M-50M",IF(I167&lt;=100000000,"$50M-100M","$100M+"))))</f>
        <v/>
      </c>
      <c r="P167" s="21">
        <f>IF(E167&lt;=90,"90 or less",IF(E167&lt;=105,"91-105",IF(E167&lt;=120,"106-120",IF(E167&lt;=140,"121-140","Over 140"))))</f>
        <v/>
      </c>
      <c r="Q167" s="28">
        <f>INT(C167/10)*10</f>
        <v/>
      </c>
    </row>
    <row r="168">
      <c r="A168" s="21" t="n">
        <v>171</v>
      </c>
      <c r="B168" s="21" t="inlineStr">
        <is>
          <t>Conquest of the Planet of the Apes</t>
        </is>
      </c>
      <c r="C168" s="21" t="n">
        <v>1972</v>
      </c>
      <c r="D168" s="21" t="inlineStr">
        <is>
          <t>USA</t>
        </is>
      </c>
      <c r="E168" s="21" t="n">
        <v>88</v>
      </c>
      <c r="F168" s="21" t="inlineStr">
        <is>
          <t>English</t>
        </is>
      </c>
      <c r="G168" s="21" t="inlineStr">
        <is>
          <t>PG</t>
        </is>
      </c>
      <c r="H168" s="22" t="n">
        <v>25529689.5</v>
      </c>
      <c r="I168" s="22" t="n">
        <v>1700000</v>
      </c>
      <c r="J168" s="21">
        <f>IF(OR(H168="",H168=25529689.5),"Yes","No")</f>
        <v/>
      </c>
      <c r="K168" s="21">
        <f>IF(AND(D168="USA",C168&gt;=1980,J168="No"),"Yes","No")</f>
        <v/>
      </c>
      <c r="L168" s="26">
        <f>IF(J168="Yes","",H168-I168)</f>
        <v/>
      </c>
      <c r="M168" s="27">
        <f>IF(OR(J168="Yes",I168=0),"",H168/I168)</f>
        <v/>
      </c>
      <c r="N168" s="21">
        <f>IF(J168="Yes","",IF(H168&gt;=I168,1,0))</f>
        <v/>
      </c>
      <c r="O168" s="21">
        <f>IF(I168&lt;=5000000,"Under $5M",IF(I168&lt;=20000000,"$5M-20M",IF(I168&lt;=50000000,"$20M-50M",IF(I168&lt;=100000000,"$50M-100M","$100M+"))))</f>
        <v/>
      </c>
      <c r="P168" s="21">
        <f>IF(E168&lt;=90,"90 or less",IF(E168&lt;=105,"91-105",IF(E168&lt;=120,"106-120",IF(E168&lt;=140,"121-140","Over 140"))))</f>
        <v/>
      </c>
      <c r="Q168" s="28">
        <f>INT(C168/10)*10</f>
        <v/>
      </c>
    </row>
    <row r="169">
      <c r="A169" s="21" t="n">
        <v>172</v>
      </c>
      <c r="B169" s="21" t="inlineStr">
        <is>
          <t>Cries &amp; Whispers</t>
        </is>
      </c>
      <c r="C169" s="21" t="n">
        <v>1972</v>
      </c>
      <c r="D169" s="21" t="inlineStr">
        <is>
          <t>Sweden</t>
        </is>
      </c>
      <c r="E169" s="21" t="n">
        <v>91</v>
      </c>
      <c r="F169" s="21" t="inlineStr">
        <is>
          <t>Swedish</t>
        </is>
      </c>
      <c r="G169" s="21" t="inlineStr">
        <is>
          <t>R</t>
        </is>
      </c>
      <c r="H169" s="22" t="n">
        <v>25529689.5</v>
      </c>
      <c r="I169" s="22" t="n">
        <v>400000</v>
      </c>
      <c r="J169" s="21">
        <f>IF(OR(H169="",H169=25529689.5),"Yes","No")</f>
        <v/>
      </c>
      <c r="K169" s="21">
        <f>IF(AND(D169="USA",C169&gt;=1980,J169="No"),"Yes","No")</f>
        <v/>
      </c>
      <c r="L169" s="26">
        <f>IF(J169="Yes","",H169-I169)</f>
        <v/>
      </c>
      <c r="M169" s="27">
        <f>IF(OR(J169="Yes",I169=0),"",H169/I169)</f>
        <v/>
      </c>
      <c r="N169" s="21">
        <f>IF(J169="Yes","",IF(H169&gt;=I169,1,0))</f>
        <v/>
      </c>
      <c r="O169" s="21">
        <f>IF(I169&lt;=5000000,"Under $5M",IF(I169&lt;=20000000,"$5M-20M",IF(I169&lt;=50000000,"$20M-50M",IF(I169&lt;=100000000,"$50M-100M","$100M+"))))</f>
        <v/>
      </c>
      <c r="P169" s="21">
        <f>IF(E169&lt;=90,"90 or less",IF(E169&lt;=105,"91-105",IF(E169&lt;=120,"106-120",IF(E169&lt;=140,"121-140","Over 140"))))</f>
        <v/>
      </c>
      <c r="Q169" s="28">
        <f>INT(C169/10)*10</f>
        <v/>
      </c>
    </row>
    <row r="170">
      <c r="A170" s="21" t="n">
        <v>173</v>
      </c>
      <c r="B170" s="21" t="inlineStr">
        <is>
          <t>Everything You Always Wanted to Know About Sex * But Were Afraid to Ask</t>
        </is>
      </c>
      <c r="C170" s="21" t="n">
        <v>1972</v>
      </c>
      <c r="D170" s="21" t="inlineStr">
        <is>
          <t>USA</t>
        </is>
      </c>
      <c r="E170" s="21" t="n">
        <v>88</v>
      </c>
      <c r="F170" s="21" t="inlineStr">
        <is>
          <t>English</t>
        </is>
      </c>
      <c r="G170" s="21" t="inlineStr">
        <is>
          <t>R</t>
        </is>
      </c>
      <c r="H170" s="22" t="n">
        <v>25529689.5</v>
      </c>
      <c r="I170" s="22" t="n">
        <v>2000000</v>
      </c>
      <c r="J170" s="21">
        <f>IF(OR(H170="",H170=25529689.5),"Yes","No")</f>
        <v/>
      </c>
      <c r="K170" s="21">
        <f>IF(AND(D170="USA",C170&gt;=1980,J170="No"),"Yes","No")</f>
        <v/>
      </c>
      <c r="L170" s="26">
        <f>IF(J170="Yes","",H170-I170)</f>
        <v/>
      </c>
      <c r="M170" s="27">
        <f>IF(OR(J170="Yes",I170=0),"",H170/I170)</f>
        <v/>
      </c>
      <c r="N170" s="21">
        <f>IF(J170="Yes","",IF(H170&gt;=I170,1,0))</f>
        <v/>
      </c>
      <c r="O170" s="21">
        <f>IF(I170&lt;=5000000,"Under $5M",IF(I170&lt;=20000000,"$5M-20M",IF(I170&lt;=50000000,"$20M-50M",IF(I170&lt;=100000000,"$50M-100M","$100M+"))))</f>
        <v/>
      </c>
      <c r="P170" s="21">
        <f>IF(E170&lt;=90,"90 or less",IF(E170&lt;=105,"91-105",IF(E170&lt;=120,"106-120",IF(E170&lt;=140,"121-140","Over 140"))))</f>
        <v/>
      </c>
      <c r="Q170" s="28">
        <f>INT(C170/10)*10</f>
        <v/>
      </c>
    </row>
    <row r="171">
      <c r="A171" s="21" t="n">
        <v>174</v>
      </c>
      <c r="B171" s="21" t="inlineStr">
        <is>
          <t>Frenzy</t>
        </is>
      </c>
      <c r="C171" s="21" t="n">
        <v>1972</v>
      </c>
      <c r="D171" s="21" t="inlineStr">
        <is>
          <t>UK</t>
        </is>
      </c>
      <c r="E171" s="21" t="n">
        <v>116</v>
      </c>
      <c r="F171" s="21" t="inlineStr">
        <is>
          <t>English</t>
        </is>
      </c>
      <c r="G171" s="21" t="inlineStr">
        <is>
          <t>R</t>
        </is>
      </c>
      <c r="H171" s="22" t="n">
        <v>25529689.5</v>
      </c>
      <c r="I171" s="22" t="n">
        <v>2000000</v>
      </c>
      <c r="J171" s="21">
        <f>IF(OR(H171="",H171=25529689.5),"Yes","No")</f>
        <v/>
      </c>
      <c r="K171" s="21">
        <f>IF(AND(D171="USA",C171&gt;=1980,J171="No"),"Yes","No")</f>
        <v/>
      </c>
      <c r="L171" s="26">
        <f>IF(J171="Yes","",H171-I171)</f>
        <v/>
      </c>
      <c r="M171" s="27">
        <f>IF(OR(J171="Yes",I171=0),"",H171/I171)</f>
        <v/>
      </c>
      <c r="N171" s="21">
        <f>IF(J171="Yes","",IF(H171&gt;=I171,1,0))</f>
        <v/>
      </c>
      <c r="O171" s="21">
        <f>IF(I171&lt;=5000000,"Under $5M",IF(I171&lt;=20000000,"$5M-20M",IF(I171&lt;=50000000,"$20M-50M",IF(I171&lt;=100000000,"$50M-100M","$100M+"))))</f>
        <v/>
      </c>
      <c r="P171" s="21">
        <f>IF(E171&lt;=90,"90 or less",IF(E171&lt;=105,"91-105",IF(E171&lt;=120,"106-120",IF(E171&lt;=140,"121-140","Over 140"))))</f>
        <v/>
      </c>
      <c r="Q171" s="28">
        <f>INT(C171/10)*10</f>
        <v/>
      </c>
    </row>
    <row r="172">
      <c r="A172" s="21" t="n">
        <v>175</v>
      </c>
      <c r="B172" s="21" t="inlineStr">
        <is>
          <t>Pink Flamingos</t>
        </is>
      </c>
      <c r="C172" s="21" t="n">
        <v>1972</v>
      </c>
      <c r="D172" s="21" t="inlineStr">
        <is>
          <t>USA</t>
        </is>
      </c>
      <c r="E172" s="21" t="n">
        <v>108</v>
      </c>
      <c r="F172" s="21" t="inlineStr">
        <is>
          <t>English</t>
        </is>
      </c>
      <c r="G172" s="21" t="inlineStr">
        <is>
          <t>NC-17</t>
        </is>
      </c>
      <c r="H172" s="22" t="n">
        <v>180483</v>
      </c>
      <c r="I172" s="22" t="n">
        <v>10000</v>
      </c>
      <c r="J172" s="21">
        <f>IF(OR(H172="",H172=25529689.5),"Yes","No")</f>
        <v/>
      </c>
      <c r="K172" s="21">
        <f>IF(AND(D172="USA",C172&gt;=1980,J172="No"),"Yes","No")</f>
        <v/>
      </c>
      <c r="L172" s="26">
        <f>IF(J172="Yes","",H172-I172)</f>
        <v/>
      </c>
      <c r="M172" s="27">
        <f>IF(OR(J172="Yes",I172=0),"",H172/I172)</f>
        <v/>
      </c>
      <c r="N172" s="21">
        <f>IF(J172="Yes","",IF(H172&gt;=I172,1,0))</f>
        <v/>
      </c>
      <c r="O172" s="21">
        <f>IF(I172&lt;=5000000,"Under $5M",IF(I172&lt;=20000000,"$5M-20M",IF(I172&lt;=50000000,"$20M-50M",IF(I172&lt;=100000000,"$50M-100M","$100M+"))))</f>
        <v/>
      </c>
      <c r="P172" s="21">
        <f>IF(E172&lt;=90,"90 or less",IF(E172&lt;=105,"91-105",IF(E172&lt;=120,"106-120",IF(E172&lt;=140,"121-140","Over 140"))))</f>
        <v/>
      </c>
      <c r="Q172" s="28">
        <f>INT(C172/10)*10</f>
        <v/>
      </c>
    </row>
    <row r="173">
      <c r="A173" s="21" t="n">
        <v>176</v>
      </c>
      <c r="B173" s="21" t="inlineStr">
        <is>
          <t>Silent Running</t>
        </is>
      </c>
      <c r="C173" s="21" t="n">
        <v>1972</v>
      </c>
      <c r="D173" s="21" t="inlineStr">
        <is>
          <t>USA</t>
        </is>
      </c>
      <c r="E173" s="21" t="n">
        <v>89</v>
      </c>
      <c r="F173" s="21" t="inlineStr">
        <is>
          <t>English</t>
        </is>
      </c>
      <c r="G173" s="21" t="inlineStr">
        <is>
          <t>GP</t>
        </is>
      </c>
      <c r="H173" s="22" t="n">
        <v>25529689.5</v>
      </c>
      <c r="I173" s="22" t="n">
        <v>1000000</v>
      </c>
      <c r="J173" s="21">
        <f>IF(OR(H173="",H173=25529689.5),"Yes","No")</f>
        <v/>
      </c>
      <c r="K173" s="21">
        <f>IF(AND(D173="USA",C173&gt;=1980,J173="No"),"Yes","No")</f>
        <v/>
      </c>
      <c r="L173" s="26">
        <f>IF(J173="Yes","",H173-I173)</f>
        <v/>
      </c>
      <c r="M173" s="27">
        <f>IF(OR(J173="Yes",I173=0),"",H173/I173)</f>
        <v/>
      </c>
      <c r="N173" s="21">
        <f>IF(J173="Yes","",IF(H173&gt;=I173,1,0))</f>
        <v/>
      </c>
      <c r="O173" s="21">
        <f>IF(I173&lt;=5000000,"Under $5M",IF(I173&lt;=20000000,"$5M-20M",IF(I173&lt;=50000000,"$20M-50M",IF(I173&lt;=100000000,"$50M-100M","$100M+"))))</f>
        <v/>
      </c>
      <c r="P173" s="21">
        <f>IF(E173&lt;=90,"90 or less",IF(E173&lt;=105,"91-105",IF(E173&lt;=120,"106-120",IF(E173&lt;=140,"121-140","Over 140"))))</f>
        <v/>
      </c>
      <c r="Q173" s="28">
        <f>INT(C173/10)*10</f>
        <v/>
      </c>
    </row>
    <row r="174">
      <c r="A174" s="21" t="n">
        <v>177</v>
      </c>
      <c r="B174" s="21" t="inlineStr">
        <is>
          <t>Solaris</t>
        </is>
      </c>
      <c r="C174" s="21" t="n">
        <v>1972</v>
      </c>
      <c r="D174" s="21" t="inlineStr">
        <is>
          <t>Soviet Union</t>
        </is>
      </c>
      <c r="E174" s="21" t="n">
        <v>115</v>
      </c>
      <c r="F174" s="21" t="inlineStr">
        <is>
          <t>Russian</t>
        </is>
      </c>
      <c r="G174" s="21" t="inlineStr">
        <is>
          <t>PG</t>
        </is>
      </c>
      <c r="H174" s="22" t="n">
        <v>25529689.5</v>
      </c>
      <c r="I174" s="22" t="n">
        <v>1000000</v>
      </c>
      <c r="J174" s="21">
        <f>IF(OR(H174="",H174=25529689.5),"Yes","No")</f>
        <v/>
      </c>
      <c r="K174" s="21">
        <f>IF(AND(D174="USA",C174&gt;=1980,J174="No"),"Yes","No")</f>
        <v/>
      </c>
      <c r="L174" s="26">
        <f>IF(J174="Yes","",H174-I174)</f>
        <v/>
      </c>
      <c r="M174" s="27">
        <f>IF(OR(J174="Yes",I174=0),"",H174/I174)</f>
        <v/>
      </c>
      <c r="N174" s="21">
        <f>IF(J174="Yes","",IF(H174&gt;=I174,1,0))</f>
        <v/>
      </c>
      <c r="O174" s="21">
        <f>IF(I174&lt;=5000000,"Under $5M",IF(I174&lt;=20000000,"$5M-20M",IF(I174&lt;=50000000,"$20M-50M",IF(I174&lt;=100000000,"$50M-100M","$100M+"))))</f>
        <v/>
      </c>
      <c r="P174" s="21">
        <f>IF(E174&lt;=90,"90 or less",IF(E174&lt;=105,"91-105",IF(E174&lt;=120,"106-120",IF(E174&lt;=140,"121-140","Over 140"))))</f>
        <v/>
      </c>
      <c r="Q174" s="28">
        <f>INT(C174/10)*10</f>
        <v/>
      </c>
    </row>
    <row r="175">
      <c r="A175" s="21" t="n">
        <v>178</v>
      </c>
      <c r="B175" s="21" t="inlineStr">
        <is>
          <t>The Godfather</t>
        </is>
      </c>
      <c r="C175" s="21" t="n">
        <v>1972</v>
      </c>
      <c r="D175" s="21" t="inlineStr">
        <is>
          <t>USA</t>
        </is>
      </c>
      <c r="E175" s="21" t="n">
        <v>175</v>
      </c>
      <c r="F175" s="21" t="inlineStr">
        <is>
          <t>English</t>
        </is>
      </c>
      <c r="G175" s="21" t="inlineStr">
        <is>
          <t>R</t>
        </is>
      </c>
      <c r="H175" s="22" t="n">
        <v>134821952</v>
      </c>
      <c r="I175" s="22" t="n">
        <v>6000000</v>
      </c>
      <c r="J175" s="21">
        <f>IF(OR(H175="",H175=25529689.5),"Yes","No")</f>
        <v/>
      </c>
      <c r="K175" s="21">
        <f>IF(AND(D175="USA",C175&gt;=1980,J175="No"),"Yes","No")</f>
        <v/>
      </c>
      <c r="L175" s="26">
        <f>IF(J175="Yes","",H175-I175)</f>
        <v/>
      </c>
      <c r="M175" s="27">
        <f>IF(OR(J175="Yes",I175=0),"",H175/I175)</f>
        <v/>
      </c>
      <c r="N175" s="21">
        <f>IF(J175="Yes","",IF(H175&gt;=I175,1,0))</f>
        <v/>
      </c>
      <c r="O175" s="21">
        <f>IF(I175&lt;=5000000,"Under $5M",IF(I175&lt;=20000000,"$5M-20M",IF(I175&lt;=50000000,"$20M-50M",IF(I175&lt;=100000000,"$50M-100M","$100M+"))))</f>
        <v/>
      </c>
      <c r="P175" s="21">
        <f>IF(E175&lt;=90,"90 or less",IF(E175&lt;=105,"91-105",IF(E175&lt;=120,"106-120",IF(E175&lt;=140,"121-140","Over 140"))))</f>
        <v/>
      </c>
      <c r="Q175" s="28">
        <f>INT(C175/10)*10</f>
        <v/>
      </c>
    </row>
    <row r="176">
      <c r="A176" s="21" t="n">
        <v>179</v>
      </c>
      <c r="B176" s="21" t="inlineStr">
        <is>
          <t>American Graffiti</t>
        </is>
      </c>
      <c r="C176" s="21" t="n">
        <v>1973</v>
      </c>
      <c r="D176" s="21" t="inlineStr">
        <is>
          <t>USA</t>
        </is>
      </c>
      <c r="E176" s="21" t="n">
        <v>112</v>
      </c>
      <c r="F176" s="21" t="inlineStr">
        <is>
          <t>English</t>
        </is>
      </c>
      <c r="G176" s="21" t="inlineStr">
        <is>
          <t>PG</t>
        </is>
      </c>
      <c r="H176" s="22" t="n">
        <v>115000000</v>
      </c>
      <c r="I176" s="22" t="n">
        <v>777000</v>
      </c>
      <c r="J176" s="21">
        <f>IF(OR(H176="",H176=25529689.5),"Yes","No")</f>
        <v/>
      </c>
      <c r="K176" s="21">
        <f>IF(AND(D176="USA",C176&gt;=1980,J176="No"),"Yes","No")</f>
        <v/>
      </c>
      <c r="L176" s="26">
        <f>IF(J176="Yes","",H176-I176)</f>
        <v/>
      </c>
      <c r="M176" s="27">
        <f>IF(OR(J176="Yes",I176=0),"",H176/I176)</f>
        <v/>
      </c>
      <c r="N176" s="21">
        <f>IF(J176="Yes","",IF(H176&gt;=I176,1,0))</f>
        <v/>
      </c>
      <c r="O176" s="21">
        <f>IF(I176&lt;=5000000,"Under $5M",IF(I176&lt;=20000000,"$5M-20M",IF(I176&lt;=50000000,"$20M-50M",IF(I176&lt;=100000000,"$50M-100M","$100M+"))))</f>
        <v/>
      </c>
      <c r="P176" s="21">
        <f>IF(E176&lt;=90,"90 or less",IF(E176&lt;=105,"91-105",IF(E176&lt;=120,"106-120",IF(E176&lt;=140,"121-140","Over 140"))))</f>
        <v/>
      </c>
      <c r="Q176" s="28">
        <f>INT(C176/10)*10</f>
        <v/>
      </c>
    </row>
    <row r="177">
      <c r="A177" s="21" t="n">
        <v>180</v>
      </c>
      <c r="B177" s="21" t="inlineStr">
        <is>
          <t>Battle for the Planet of the Apes</t>
        </is>
      </c>
      <c r="C177" s="21" t="n">
        <v>1973</v>
      </c>
      <c r="D177" s="21" t="inlineStr">
        <is>
          <t>USA</t>
        </is>
      </c>
      <c r="E177" s="21" t="n">
        <v>96</v>
      </c>
      <c r="F177" s="21" t="inlineStr">
        <is>
          <t>English</t>
        </is>
      </c>
      <c r="G177" s="21" t="inlineStr">
        <is>
          <t>G</t>
        </is>
      </c>
      <c r="H177" s="22" t="n">
        <v>25529689.5</v>
      </c>
      <c r="I177" s="22" t="n">
        <v>1800000</v>
      </c>
      <c r="J177" s="21">
        <f>IF(OR(H177="",H177=25529689.5),"Yes","No")</f>
        <v/>
      </c>
      <c r="K177" s="21">
        <f>IF(AND(D177="USA",C177&gt;=1980,J177="No"),"Yes","No")</f>
        <v/>
      </c>
      <c r="L177" s="26">
        <f>IF(J177="Yes","",H177-I177)</f>
        <v/>
      </c>
      <c r="M177" s="27">
        <f>IF(OR(J177="Yes",I177=0),"",H177/I177)</f>
        <v/>
      </c>
      <c r="N177" s="21">
        <f>IF(J177="Yes","",IF(H177&gt;=I177,1,0))</f>
        <v/>
      </c>
      <c r="O177" s="21">
        <f>IF(I177&lt;=5000000,"Under $5M",IF(I177&lt;=20000000,"$5M-20M",IF(I177&lt;=50000000,"$20M-50M",IF(I177&lt;=100000000,"$50M-100M","$100M+"))))</f>
        <v/>
      </c>
      <c r="P177" s="21">
        <f>IF(E177&lt;=90,"90 or less",IF(E177&lt;=105,"91-105",IF(E177&lt;=120,"106-120",IF(E177&lt;=140,"121-140","Over 140"))))</f>
        <v/>
      </c>
      <c r="Q177" s="28">
        <f>INT(C177/10)*10</f>
        <v/>
      </c>
    </row>
    <row r="178">
      <c r="A178" s="21" t="n">
        <v>181</v>
      </c>
      <c r="B178" s="21" t="inlineStr">
        <is>
          <t>High Plains Drifter</t>
        </is>
      </c>
      <c r="C178" s="21" t="n">
        <v>1973</v>
      </c>
      <c r="D178" s="21" t="inlineStr">
        <is>
          <t>USA</t>
        </is>
      </c>
      <c r="E178" s="21" t="n">
        <v>105</v>
      </c>
      <c r="F178" s="21" t="inlineStr">
        <is>
          <t>English</t>
        </is>
      </c>
      <c r="G178" s="21" t="inlineStr">
        <is>
          <t>R</t>
        </is>
      </c>
      <c r="H178" s="22" t="n">
        <v>25529689.5</v>
      </c>
      <c r="I178" s="22" t="n">
        <v>5500000</v>
      </c>
      <c r="J178" s="21">
        <f>IF(OR(H178="",H178=25529689.5),"Yes","No")</f>
        <v/>
      </c>
      <c r="K178" s="21">
        <f>IF(AND(D178="USA",C178&gt;=1980,J178="No"),"Yes","No")</f>
        <v/>
      </c>
      <c r="L178" s="26">
        <f>IF(J178="Yes","",H178-I178)</f>
        <v/>
      </c>
      <c r="M178" s="27">
        <f>IF(OR(J178="Yes",I178=0),"",H178/I178)</f>
        <v/>
      </c>
      <c r="N178" s="21">
        <f>IF(J178="Yes","",IF(H178&gt;=I178,1,0))</f>
        <v/>
      </c>
      <c r="O178" s="21">
        <f>IF(I178&lt;=5000000,"Under $5M",IF(I178&lt;=20000000,"$5M-20M",IF(I178&lt;=50000000,"$20M-50M",IF(I178&lt;=100000000,"$50M-100M","$100M+"))))</f>
        <v/>
      </c>
      <c r="P178" s="21">
        <f>IF(E178&lt;=90,"90 or less",IF(E178&lt;=105,"91-105",IF(E178&lt;=120,"106-120",IF(E178&lt;=140,"121-140","Over 140"))))</f>
        <v/>
      </c>
      <c r="Q178" s="28">
        <f>INT(C178/10)*10</f>
        <v/>
      </c>
    </row>
    <row r="179">
      <c r="A179" s="21" t="n">
        <v>182</v>
      </c>
      <c r="B179" s="21" t="inlineStr">
        <is>
          <t>Live and Let Die</t>
        </is>
      </c>
      <c r="C179" s="21" t="n">
        <v>1973</v>
      </c>
      <c r="D179" s="21" t="inlineStr">
        <is>
          <t>UK</t>
        </is>
      </c>
      <c r="E179" s="21" t="n">
        <v>121</v>
      </c>
      <c r="F179" s="21" t="inlineStr">
        <is>
          <t>English</t>
        </is>
      </c>
      <c r="G179" s="21" t="inlineStr">
        <is>
          <t>PG</t>
        </is>
      </c>
      <c r="H179" s="22" t="n">
        <v>35400000</v>
      </c>
      <c r="I179" s="22" t="n">
        <v>7000000</v>
      </c>
      <c r="J179" s="21">
        <f>IF(OR(H179="",H179=25529689.5),"Yes","No")</f>
        <v/>
      </c>
      <c r="K179" s="21">
        <f>IF(AND(D179="USA",C179&gt;=1980,J179="No"),"Yes","No")</f>
        <v/>
      </c>
      <c r="L179" s="26">
        <f>IF(J179="Yes","",H179-I179)</f>
        <v/>
      </c>
      <c r="M179" s="27">
        <f>IF(OR(J179="Yes",I179=0),"",H179/I179)</f>
        <v/>
      </c>
      <c r="N179" s="21">
        <f>IF(J179="Yes","",IF(H179&gt;=I179,1,0))</f>
        <v/>
      </c>
      <c r="O179" s="21">
        <f>IF(I179&lt;=5000000,"Under $5M",IF(I179&lt;=20000000,"$5M-20M",IF(I179&lt;=50000000,"$20M-50M",IF(I179&lt;=100000000,"$50M-100M","$100M+"))))</f>
        <v/>
      </c>
      <c r="P179" s="21">
        <f>IF(E179&lt;=90,"90 or less",IF(E179&lt;=105,"91-105",IF(E179&lt;=120,"106-120",IF(E179&lt;=140,"121-140","Over 140"))))</f>
        <v/>
      </c>
      <c r="Q179" s="28">
        <f>INT(C179/10)*10</f>
        <v/>
      </c>
    </row>
    <row r="180">
      <c r="A180" s="21" t="n">
        <v>183</v>
      </c>
      <c r="B180" s="21" t="inlineStr">
        <is>
          <t>Mean Streets</t>
        </is>
      </c>
      <c r="C180" s="21" t="n">
        <v>1973</v>
      </c>
      <c r="D180" s="21" t="inlineStr">
        <is>
          <t>USA</t>
        </is>
      </c>
      <c r="E180" s="21" t="n">
        <v>112</v>
      </c>
      <c r="F180" s="21" t="inlineStr">
        <is>
          <t>English</t>
        </is>
      </c>
      <c r="G180" s="21" t="inlineStr">
        <is>
          <t>R</t>
        </is>
      </c>
      <c r="H180" s="22" t="n">
        <v>32645</v>
      </c>
      <c r="I180" s="22" t="n">
        <v>500000</v>
      </c>
      <c r="J180" s="21">
        <f>IF(OR(H180="",H180=25529689.5),"Yes","No")</f>
        <v/>
      </c>
      <c r="K180" s="21">
        <f>IF(AND(D180="USA",C180&gt;=1980,J180="No"),"Yes","No")</f>
        <v/>
      </c>
      <c r="L180" s="26">
        <f>IF(J180="Yes","",H180-I180)</f>
        <v/>
      </c>
      <c r="M180" s="27">
        <f>IF(OR(J180="Yes",I180=0),"",H180/I180)</f>
        <v/>
      </c>
      <c r="N180" s="21">
        <f>IF(J180="Yes","",IF(H180&gt;=I180,1,0))</f>
        <v/>
      </c>
      <c r="O180" s="21">
        <f>IF(I180&lt;=5000000,"Under $5M",IF(I180&lt;=20000000,"$5M-20M",IF(I180&lt;=50000000,"$20M-50M",IF(I180&lt;=100000000,"$50M-100M","$100M+"))))</f>
        <v/>
      </c>
      <c r="P180" s="21">
        <f>IF(E180&lt;=90,"90 or less",IF(E180&lt;=105,"91-105",IF(E180&lt;=120,"106-120",IF(E180&lt;=140,"121-140","Over 140"))))</f>
        <v/>
      </c>
      <c r="Q180" s="28">
        <f>INT(C180/10)*10</f>
        <v/>
      </c>
    </row>
    <row r="181">
      <c r="A181" s="21" t="n">
        <v>184</v>
      </c>
      <c r="B181" s="21" t="inlineStr">
        <is>
          <t>Pat Garrett &amp; Billy the Kid</t>
        </is>
      </c>
      <c r="C181" s="21" t="n">
        <v>1973</v>
      </c>
      <c r="D181" s="21" t="inlineStr">
        <is>
          <t>USA</t>
        </is>
      </c>
      <c r="E181" s="21" t="n">
        <v>106</v>
      </c>
      <c r="F181" s="21" t="inlineStr">
        <is>
          <t>English</t>
        </is>
      </c>
      <c r="G181" s="21" t="inlineStr">
        <is>
          <t>R</t>
        </is>
      </c>
      <c r="H181" s="22" t="n">
        <v>25529689.5</v>
      </c>
      <c r="I181" s="22" t="n">
        <v>4638783</v>
      </c>
      <c r="J181" s="21">
        <f>IF(OR(H181="",H181=25529689.5),"Yes","No")</f>
        <v/>
      </c>
      <c r="K181" s="21">
        <f>IF(AND(D181="USA",C181&gt;=1980,J181="No"),"Yes","No")</f>
        <v/>
      </c>
      <c r="L181" s="26">
        <f>IF(J181="Yes","",H181-I181)</f>
        <v/>
      </c>
      <c r="M181" s="27">
        <f>IF(OR(J181="Yes",I181=0),"",H181/I181)</f>
        <v/>
      </c>
      <c r="N181" s="21">
        <f>IF(J181="Yes","",IF(H181&gt;=I181,1,0))</f>
        <v/>
      </c>
      <c r="O181" s="21">
        <f>IF(I181&lt;=5000000,"Under $5M",IF(I181&lt;=20000000,"$5M-20M",IF(I181&lt;=50000000,"$20M-50M",IF(I181&lt;=100000000,"$50M-100M","$100M+"))))</f>
        <v/>
      </c>
      <c r="P181" s="21">
        <f>IF(E181&lt;=90,"90 or less",IF(E181&lt;=105,"91-105",IF(E181&lt;=120,"106-120",IF(E181&lt;=140,"121-140","Over 140"))))</f>
        <v/>
      </c>
      <c r="Q181" s="28">
        <f>INT(C181/10)*10</f>
        <v/>
      </c>
    </row>
    <row r="182">
      <c r="A182" s="21" t="n">
        <v>185</v>
      </c>
      <c r="B182" s="21" t="inlineStr">
        <is>
          <t>Sleeper</t>
        </is>
      </c>
      <c r="C182" s="21" t="n">
        <v>1973</v>
      </c>
      <c r="D182" s="21" t="inlineStr">
        <is>
          <t>USA</t>
        </is>
      </c>
      <c r="E182" s="21" t="n">
        <v>89</v>
      </c>
      <c r="F182" s="21" t="inlineStr">
        <is>
          <t>English</t>
        </is>
      </c>
      <c r="G182" s="21" t="inlineStr">
        <is>
          <t>PG</t>
        </is>
      </c>
      <c r="H182" s="22" t="n">
        <v>25529689.5</v>
      </c>
      <c r="I182" s="22" t="n">
        <v>2000000</v>
      </c>
      <c r="J182" s="21">
        <f>IF(OR(H182="",H182=25529689.5),"Yes","No")</f>
        <v/>
      </c>
      <c r="K182" s="21">
        <f>IF(AND(D182="USA",C182&gt;=1980,J182="No"),"Yes","No")</f>
        <v/>
      </c>
      <c r="L182" s="26">
        <f>IF(J182="Yes","",H182-I182)</f>
        <v/>
      </c>
      <c r="M182" s="27">
        <f>IF(OR(J182="Yes",I182=0),"",H182/I182)</f>
        <v/>
      </c>
      <c r="N182" s="21">
        <f>IF(J182="Yes","",IF(H182&gt;=I182,1,0))</f>
        <v/>
      </c>
      <c r="O182" s="21">
        <f>IF(I182&lt;=5000000,"Under $5M",IF(I182&lt;=20000000,"$5M-20M",IF(I182&lt;=50000000,"$20M-50M",IF(I182&lt;=100000000,"$50M-100M","$100M+"))))</f>
        <v/>
      </c>
      <c r="P182" s="21">
        <f>IF(E182&lt;=90,"90 or less",IF(E182&lt;=105,"91-105",IF(E182&lt;=120,"106-120",IF(E182&lt;=140,"121-140","Over 140"))))</f>
        <v/>
      </c>
      <c r="Q182" s="28">
        <f>INT(C182/10)*10</f>
        <v/>
      </c>
    </row>
    <row r="183">
      <c r="A183" s="21" t="n">
        <v>186</v>
      </c>
      <c r="B183" s="21" t="inlineStr">
        <is>
          <t>The Exorcist</t>
        </is>
      </c>
      <c r="C183" s="21" t="n">
        <v>1973</v>
      </c>
      <c r="D183" s="21" t="inlineStr">
        <is>
          <t>USA</t>
        </is>
      </c>
      <c r="E183" s="21" t="n">
        <v>132</v>
      </c>
      <c r="F183" s="21" t="inlineStr">
        <is>
          <t>English</t>
        </is>
      </c>
      <c r="G183" s="21" t="inlineStr">
        <is>
          <t>R</t>
        </is>
      </c>
      <c r="H183" s="22" t="n">
        <v>204565000</v>
      </c>
      <c r="I183" s="22" t="n">
        <v>8000000</v>
      </c>
      <c r="J183" s="21">
        <f>IF(OR(H183="",H183=25529689.5),"Yes","No")</f>
        <v/>
      </c>
      <c r="K183" s="21">
        <f>IF(AND(D183="USA",C183&gt;=1980,J183="No"),"Yes","No")</f>
        <v/>
      </c>
      <c r="L183" s="26">
        <f>IF(J183="Yes","",H183-I183)</f>
        <v/>
      </c>
      <c r="M183" s="27">
        <f>IF(OR(J183="Yes",I183=0),"",H183/I183)</f>
        <v/>
      </c>
      <c r="N183" s="21">
        <f>IF(J183="Yes","",IF(H183&gt;=I183,1,0))</f>
        <v/>
      </c>
      <c r="O183" s="21">
        <f>IF(I183&lt;=5000000,"Under $5M",IF(I183&lt;=20000000,"$5M-20M",IF(I183&lt;=50000000,"$20M-50M",IF(I183&lt;=100000000,"$50M-100M","$100M+"))))</f>
        <v/>
      </c>
      <c r="P183" s="21">
        <f>IF(E183&lt;=90,"90 or less",IF(E183&lt;=105,"91-105",IF(E183&lt;=120,"106-120",IF(E183&lt;=140,"121-140","Over 140"))))</f>
        <v/>
      </c>
      <c r="Q183" s="28">
        <f>INT(C183/10)*10</f>
        <v/>
      </c>
    </row>
    <row r="184">
      <c r="A184" s="21" t="n">
        <v>187</v>
      </c>
      <c r="B184" s="21" t="inlineStr">
        <is>
          <t>The Sting</t>
        </is>
      </c>
      <c r="C184" s="21" t="n">
        <v>1973</v>
      </c>
      <c r="D184" s="21" t="inlineStr">
        <is>
          <t>USA</t>
        </is>
      </c>
      <c r="E184" s="21" t="n">
        <v>129</v>
      </c>
      <c r="F184" s="21" t="inlineStr">
        <is>
          <t>English</t>
        </is>
      </c>
      <c r="G184" s="21" t="inlineStr">
        <is>
          <t>PG</t>
        </is>
      </c>
      <c r="H184" s="22" t="n">
        <v>159600000</v>
      </c>
      <c r="I184" s="22" t="n">
        <v>5500000</v>
      </c>
      <c r="J184" s="21">
        <f>IF(OR(H184="",H184=25529689.5),"Yes","No")</f>
        <v/>
      </c>
      <c r="K184" s="21">
        <f>IF(AND(D184="USA",C184&gt;=1980,J184="No"),"Yes","No")</f>
        <v/>
      </c>
      <c r="L184" s="26">
        <f>IF(J184="Yes","",H184-I184)</f>
        <v/>
      </c>
      <c r="M184" s="27">
        <f>IF(OR(J184="Yes",I184=0),"",H184/I184)</f>
        <v/>
      </c>
      <c r="N184" s="21">
        <f>IF(J184="Yes","",IF(H184&gt;=I184,1,0))</f>
        <v/>
      </c>
      <c r="O184" s="21">
        <f>IF(I184&lt;=5000000,"Under $5M",IF(I184&lt;=20000000,"$5M-20M",IF(I184&lt;=50000000,"$20M-50M",IF(I184&lt;=100000000,"$50M-100M","$100M+"))))</f>
        <v/>
      </c>
      <c r="P184" s="21">
        <f>IF(E184&lt;=90,"90 or less",IF(E184&lt;=105,"91-105",IF(E184&lt;=120,"106-120",IF(E184&lt;=140,"121-140","Over 140"))))</f>
        <v/>
      </c>
      <c r="Q184" s="28">
        <f>INT(C184/10)*10</f>
        <v/>
      </c>
    </row>
    <row r="185">
      <c r="A185" s="21" t="n">
        <v>188</v>
      </c>
      <c r="B185" s="21" t="inlineStr">
        <is>
          <t>Benji</t>
        </is>
      </c>
      <c r="C185" s="21" t="n">
        <v>1974</v>
      </c>
      <c r="D185" s="21" t="inlineStr">
        <is>
          <t>USA</t>
        </is>
      </c>
      <c r="E185" s="21" t="n">
        <v>86</v>
      </c>
      <c r="F185" s="21" t="inlineStr">
        <is>
          <t>English</t>
        </is>
      </c>
      <c r="G185" s="21" t="inlineStr">
        <is>
          <t>G</t>
        </is>
      </c>
      <c r="H185" s="22" t="n">
        <v>39552600</v>
      </c>
      <c r="I185" s="22" t="n">
        <v>500000</v>
      </c>
      <c r="J185" s="21">
        <f>IF(OR(H185="",H185=25529689.5),"Yes","No")</f>
        <v/>
      </c>
      <c r="K185" s="21">
        <f>IF(AND(D185="USA",C185&gt;=1980,J185="No"),"Yes","No")</f>
        <v/>
      </c>
      <c r="L185" s="26">
        <f>IF(J185="Yes","",H185-I185)</f>
        <v/>
      </c>
      <c r="M185" s="27">
        <f>IF(OR(J185="Yes",I185=0),"",H185/I185)</f>
        <v/>
      </c>
      <c r="N185" s="21">
        <f>IF(J185="Yes","",IF(H185&gt;=I185,1,0))</f>
        <v/>
      </c>
      <c r="O185" s="21">
        <f>IF(I185&lt;=5000000,"Under $5M",IF(I185&lt;=20000000,"$5M-20M",IF(I185&lt;=50000000,"$20M-50M",IF(I185&lt;=100000000,"$50M-100M","$100M+"))))</f>
        <v/>
      </c>
      <c r="P185" s="21">
        <f>IF(E185&lt;=90,"90 or less",IF(E185&lt;=105,"91-105",IF(E185&lt;=120,"106-120",IF(E185&lt;=140,"121-140","Over 140"))))</f>
        <v/>
      </c>
      <c r="Q185" s="28">
        <f>INT(C185/10)*10</f>
        <v/>
      </c>
    </row>
    <row r="186">
      <c r="A186" s="21" t="n">
        <v>189</v>
      </c>
      <c r="B186" s="21" t="inlineStr">
        <is>
          <t>Blazing Saddles</t>
        </is>
      </c>
      <c r="C186" s="21" t="n">
        <v>1974</v>
      </c>
      <c r="D186" s="21" t="inlineStr">
        <is>
          <t>USA</t>
        </is>
      </c>
      <c r="E186" s="21" t="n">
        <v>93</v>
      </c>
      <c r="F186" s="21" t="inlineStr">
        <is>
          <t>English</t>
        </is>
      </c>
      <c r="G186" s="21" t="inlineStr">
        <is>
          <t>R</t>
        </is>
      </c>
      <c r="H186" s="22" t="n">
        <v>119500000</v>
      </c>
      <c r="I186" s="22" t="n">
        <v>2600000</v>
      </c>
      <c r="J186" s="21">
        <f>IF(OR(H186="",H186=25529689.5),"Yes","No")</f>
        <v/>
      </c>
      <c r="K186" s="21">
        <f>IF(AND(D186="USA",C186&gt;=1980,J186="No"),"Yes","No")</f>
        <v/>
      </c>
      <c r="L186" s="26">
        <f>IF(J186="Yes","",H186-I186)</f>
        <v/>
      </c>
      <c r="M186" s="27">
        <f>IF(OR(J186="Yes",I186=0),"",H186/I186)</f>
        <v/>
      </c>
      <c r="N186" s="21">
        <f>IF(J186="Yes","",IF(H186&gt;=I186,1,0))</f>
        <v/>
      </c>
      <c r="O186" s="21">
        <f>IF(I186&lt;=5000000,"Under $5M",IF(I186&lt;=20000000,"$5M-20M",IF(I186&lt;=50000000,"$20M-50M",IF(I186&lt;=100000000,"$50M-100M","$100M+"))))</f>
        <v/>
      </c>
      <c r="P186" s="21">
        <f>IF(E186&lt;=90,"90 or less",IF(E186&lt;=105,"91-105",IF(E186&lt;=120,"106-120",IF(E186&lt;=140,"121-140","Over 140"))))</f>
        <v/>
      </c>
      <c r="Q186" s="28">
        <f>INT(C186/10)*10</f>
        <v/>
      </c>
    </row>
    <row r="187">
      <c r="A187" s="21" t="n">
        <v>190</v>
      </c>
      <c r="B187" s="21" t="inlineStr">
        <is>
          <t>The Conversation</t>
        </is>
      </c>
      <c r="C187" s="21" t="n">
        <v>1974</v>
      </c>
      <c r="D187" s="21" t="inlineStr">
        <is>
          <t>USA</t>
        </is>
      </c>
      <c r="E187" s="21" t="n">
        <v>113</v>
      </c>
      <c r="F187" s="21" t="inlineStr">
        <is>
          <t>English</t>
        </is>
      </c>
      <c r="G187" s="21" t="inlineStr">
        <is>
          <t>PG</t>
        </is>
      </c>
      <c r="H187" s="22" t="n">
        <v>25529689.5</v>
      </c>
      <c r="I187" s="22" t="n">
        <v>1600000</v>
      </c>
      <c r="J187" s="21">
        <f>IF(OR(H187="",H187=25529689.5),"Yes","No")</f>
        <v/>
      </c>
      <c r="K187" s="21">
        <f>IF(AND(D187="USA",C187&gt;=1980,J187="No"),"Yes","No")</f>
        <v/>
      </c>
      <c r="L187" s="26">
        <f>IF(J187="Yes","",H187-I187)</f>
        <v/>
      </c>
      <c r="M187" s="27">
        <f>IF(OR(J187="Yes",I187=0),"",H187/I187)</f>
        <v/>
      </c>
      <c r="N187" s="21">
        <f>IF(J187="Yes","",IF(H187&gt;=I187,1,0))</f>
        <v/>
      </c>
      <c r="O187" s="21">
        <f>IF(I187&lt;=5000000,"Under $5M",IF(I187&lt;=20000000,"$5M-20M",IF(I187&lt;=50000000,"$20M-50M",IF(I187&lt;=100000000,"$50M-100M","$100M+"))))</f>
        <v/>
      </c>
      <c r="P187" s="21">
        <f>IF(E187&lt;=90,"90 or less",IF(E187&lt;=105,"91-105",IF(E187&lt;=120,"106-120",IF(E187&lt;=140,"121-140","Over 140"))))</f>
        <v/>
      </c>
      <c r="Q187" s="28">
        <f>INT(C187/10)*10</f>
        <v/>
      </c>
    </row>
    <row r="188">
      <c r="A188" s="21" t="n">
        <v>191</v>
      </c>
      <c r="B188" s="21" t="inlineStr">
        <is>
          <t>The Front Page</t>
        </is>
      </c>
      <c r="C188" s="21" t="n">
        <v>1974</v>
      </c>
      <c r="D188" s="21" t="inlineStr">
        <is>
          <t>USA</t>
        </is>
      </c>
      <c r="E188" s="21" t="n">
        <v>105</v>
      </c>
      <c r="F188" s="21" t="inlineStr">
        <is>
          <t>English</t>
        </is>
      </c>
      <c r="G188" s="21" t="inlineStr">
        <is>
          <t>PG</t>
        </is>
      </c>
      <c r="H188" s="22" t="n">
        <v>25529689.5</v>
      </c>
      <c r="I188" s="22" t="n">
        <v>4000000</v>
      </c>
      <c r="J188" s="21">
        <f>IF(OR(H188="",H188=25529689.5),"Yes","No")</f>
        <v/>
      </c>
      <c r="K188" s="21">
        <f>IF(AND(D188="USA",C188&gt;=1980,J188="No"),"Yes","No")</f>
        <v/>
      </c>
      <c r="L188" s="26">
        <f>IF(J188="Yes","",H188-I188)</f>
        <v/>
      </c>
      <c r="M188" s="27">
        <f>IF(OR(J188="Yes",I188=0),"",H188/I188)</f>
        <v/>
      </c>
      <c r="N188" s="21">
        <f>IF(J188="Yes","",IF(H188&gt;=I188,1,0))</f>
        <v/>
      </c>
      <c r="O188" s="21">
        <f>IF(I188&lt;=5000000,"Under $5M",IF(I188&lt;=20000000,"$5M-20M",IF(I188&lt;=50000000,"$20M-50M",IF(I188&lt;=100000000,"$50M-100M","$100M+"))))</f>
        <v/>
      </c>
      <c r="P188" s="21">
        <f>IF(E188&lt;=90,"90 or less",IF(E188&lt;=105,"91-105",IF(E188&lt;=120,"106-120",IF(E188&lt;=140,"121-140","Over 140"))))</f>
        <v/>
      </c>
      <c r="Q188" s="28">
        <f>INT(C188/10)*10</f>
        <v/>
      </c>
    </row>
    <row r="189">
      <c r="A189" s="21" t="n">
        <v>192</v>
      </c>
      <c r="B189" s="21" t="inlineStr">
        <is>
          <t>The Godfather: Part II</t>
        </is>
      </c>
      <c r="C189" s="21" t="n">
        <v>1974</v>
      </c>
      <c r="D189" s="21" t="inlineStr">
        <is>
          <t>USA</t>
        </is>
      </c>
      <c r="E189" s="21" t="n">
        <v>220</v>
      </c>
      <c r="F189" s="21" t="inlineStr">
        <is>
          <t>English</t>
        </is>
      </c>
      <c r="G189" s="21" t="inlineStr">
        <is>
          <t>R</t>
        </is>
      </c>
      <c r="H189" s="22" t="n">
        <v>57300000</v>
      </c>
      <c r="I189" s="22" t="n">
        <v>13000000</v>
      </c>
      <c r="J189" s="21">
        <f>IF(OR(H189="",H189=25529689.5),"Yes","No")</f>
        <v/>
      </c>
      <c r="K189" s="21">
        <f>IF(AND(D189="USA",C189&gt;=1980,J189="No"),"Yes","No")</f>
        <v/>
      </c>
      <c r="L189" s="26">
        <f>IF(J189="Yes","",H189-I189)</f>
        <v/>
      </c>
      <c r="M189" s="27">
        <f>IF(OR(J189="Yes",I189=0),"",H189/I189)</f>
        <v/>
      </c>
      <c r="N189" s="21">
        <f>IF(J189="Yes","",IF(H189&gt;=I189,1,0))</f>
        <v/>
      </c>
      <c r="O189" s="21">
        <f>IF(I189&lt;=5000000,"Under $5M",IF(I189&lt;=20000000,"$5M-20M",IF(I189&lt;=50000000,"$20M-50M",IF(I189&lt;=100000000,"$50M-100M","$100M+"))))</f>
        <v/>
      </c>
      <c r="P189" s="21">
        <f>IF(E189&lt;=90,"90 or less",IF(E189&lt;=105,"91-105",IF(E189&lt;=120,"106-120",IF(E189&lt;=140,"121-140","Over 140"))))</f>
        <v/>
      </c>
      <c r="Q189" s="28">
        <f>INT(C189/10)*10</f>
        <v/>
      </c>
    </row>
    <row r="190">
      <c r="A190" s="21" t="n">
        <v>193</v>
      </c>
      <c r="B190" s="21" t="inlineStr">
        <is>
          <t>The Man with the Golden Gun</t>
        </is>
      </c>
      <c r="C190" s="21" t="n">
        <v>1974</v>
      </c>
      <c r="D190" s="21" t="inlineStr">
        <is>
          <t>UK</t>
        </is>
      </c>
      <c r="E190" s="21" t="n">
        <v>125</v>
      </c>
      <c r="F190" s="21" t="inlineStr">
        <is>
          <t>English</t>
        </is>
      </c>
      <c r="G190" s="21" t="inlineStr">
        <is>
          <t>PG</t>
        </is>
      </c>
      <c r="H190" s="22" t="n">
        <v>21000000</v>
      </c>
      <c r="I190" s="22" t="n">
        <v>13000000</v>
      </c>
      <c r="J190" s="21">
        <f>IF(OR(H190="",H190=25529689.5),"Yes","No")</f>
        <v/>
      </c>
      <c r="K190" s="21">
        <f>IF(AND(D190="USA",C190&gt;=1980,J190="No"),"Yes","No")</f>
        <v/>
      </c>
      <c r="L190" s="26">
        <f>IF(J190="Yes","",H190-I190)</f>
        <v/>
      </c>
      <c r="M190" s="27">
        <f>IF(OR(J190="Yes",I190=0),"",H190/I190)</f>
        <v/>
      </c>
      <c r="N190" s="21">
        <f>IF(J190="Yes","",IF(H190&gt;=I190,1,0))</f>
        <v/>
      </c>
      <c r="O190" s="21">
        <f>IF(I190&lt;=5000000,"Under $5M",IF(I190&lt;=20000000,"$5M-20M",IF(I190&lt;=50000000,"$20M-50M",IF(I190&lt;=100000000,"$50M-100M","$100M+"))))</f>
        <v/>
      </c>
      <c r="P190" s="21">
        <f>IF(E190&lt;=90,"90 or less",IF(E190&lt;=105,"91-105",IF(E190&lt;=120,"106-120",IF(E190&lt;=140,"121-140","Over 140"))))</f>
        <v/>
      </c>
      <c r="Q190" s="28">
        <f>INT(C190/10)*10</f>
        <v/>
      </c>
    </row>
    <row r="191">
      <c r="A191" s="21" t="n">
        <v>194</v>
      </c>
      <c r="B191" s="21" t="inlineStr">
        <is>
          <t>The Texas Chain Saw Massacre</t>
        </is>
      </c>
      <c r="C191" s="21" t="n">
        <v>1974</v>
      </c>
      <c r="D191" s="21" t="inlineStr">
        <is>
          <t>USA</t>
        </is>
      </c>
      <c r="E191" s="21" t="n">
        <v>88</v>
      </c>
      <c r="F191" s="21" t="inlineStr">
        <is>
          <t>English</t>
        </is>
      </c>
      <c r="G191" s="21" t="inlineStr">
        <is>
          <t>R</t>
        </is>
      </c>
      <c r="H191" s="22" t="n">
        <v>30859000</v>
      </c>
      <c r="I191" s="22" t="n">
        <v>83532</v>
      </c>
      <c r="J191" s="21">
        <f>IF(OR(H191="",H191=25529689.5),"Yes","No")</f>
        <v/>
      </c>
      <c r="K191" s="21">
        <f>IF(AND(D191="USA",C191&gt;=1980,J191="No"),"Yes","No")</f>
        <v/>
      </c>
      <c r="L191" s="26">
        <f>IF(J191="Yes","",H191-I191)</f>
        <v/>
      </c>
      <c r="M191" s="27">
        <f>IF(OR(J191="Yes",I191=0),"",H191/I191)</f>
        <v/>
      </c>
      <c r="N191" s="21">
        <f>IF(J191="Yes","",IF(H191&gt;=I191,1,0))</f>
        <v/>
      </c>
      <c r="O191" s="21">
        <f>IF(I191&lt;=5000000,"Under $5M",IF(I191&lt;=20000000,"$5M-20M",IF(I191&lt;=50000000,"$20M-50M",IF(I191&lt;=100000000,"$50M-100M","$100M+"))))</f>
        <v/>
      </c>
      <c r="P191" s="21">
        <f>IF(E191&lt;=90,"90 or less",IF(E191&lt;=105,"91-105",IF(E191&lt;=120,"106-120",IF(E191&lt;=140,"121-140","Over 140"))))</f>
        <v/>
      </c>
      <c r="Q191" s="28">
        <f>INT(C191/10)*10</f>
        <v/>
      </c>
    </row>
    <row r="192">
      <c r="A192" s="21" t="n">
        <v>196</v>
      </c>
      <c r="B192" s="21" t="inlineStr">
        <is>
          <t>Young Frankenstein</t>
        </is>
      </c>
      <c r="C192" s="21" t="n">
        <v>1974</v>
      </c>
      <c r="D192" s="21" t="inlineStr">
        <is>
          <t>USA</t>
        </is>
      </c>
      <c r="E192" s="21" t="n">
        <v>106</v>
      </c>
      <c r="F192" s="21" t="inlineStr">
        <is>
          <t>English</t>
        </is>
      </c>
      <c r="G192" s="21" t="inlineStr">
        <is>
          <t>PG</t>
        </is>
      </c>
      <c r="H192" s="22" t="n">
        <v>86300000</v>
      </c>
      <c r="I192" s="22" t="n">
        <v>2800000</v>
      </c>
      <c r="J192" s="21">
        <f>IF(OR(H192="",H192=25529689.5),"Yes","No")</f>
        <v/>
      </c>
      <c r="K192" s="21">
        <f>IF(AND(D192="USA",C192&gt;=1980,J192="No"),"Yes","No")</f>
        <v/>
      </c>
      <c r="L192" s="26">
        <f>IF(J192="Yes","",H192-I192)</f>
        <v/>
      </c>
      <c r="M192" s="27">
        <f>IF(OR(J192="Yes",I192=0),"",H192/I192)</f>
        <v/>
      </c>
      <c r="N192" s="21">
        <f>IF(J192="Yes","",IF(H192&gt;=I192,1,0))</f>
        <v/>
      </c>
      <c r="O192" s="21">
        <f>IF(I192&lt;=5000000,"Under $5M",IF(I192&lt;=20000000,"$5M-20M",IF(I192&lt;=50000000,"$20M-50M",IF(I192&lt;=100000000,"$50M-100M","$100M+"))))</f>
        <v/>
      </c>
      <c r="P192" s="21">
        <f>IF(E192&lt;=90,"90 or less",IF(E192&lt;=105,"91-105",IF(E192&lt;=120,"106-120",IF(E192&lt;=140,"121-140","Over 140"))))</f>
        <v/>
      </c>
      <c r="Q192" s="28">
        <f>INT(C192/10)*10</f>
        <v/>
      </c>
    </row>
    <row r="193">
      <c r="A193" s="21" t="n">
        <v>197</v>
      </c>
      <c r="B193" s="21" t="inlineStr">
        <is>
          <t>Barry Lyndon</t>
        </is>
      </c>
      <c r="C193" s="21" t="n">
        <v>1975</v>
      </c>
      <c r="D193" s="21" t="inlineStr">
        <is>
          <t>UK</t>
        </is>
      </c>
      <c r="E193" s="21" t="n">
        <v>184</v>
      </c>
      <c r="F193" s="21" t="inlineStr">
        <is>
          <t>English</t>
        </is>
      </c>
      <c r="G193" s="21" t="inlineStr">
        <is>
          <t>PG</t>
        </is>
      </c>
      <c r="H193" s="22" t="n">
        <v>25529689.5</v>
      </c>
      <c r="I193" s="22" t="n">
        <v>11000000</v>
      </c>
      <c r="J193" s="21">
        <f>IF(OR(H193="",H193=25529689.5),"Yes","No")</f>
        <v/>
      </c>
      <c r="K193" s="21">
        <f>IF(AND(D193="USA",C193&gt;=1980,J193="No"),"Yes","No")</f>
        <v/>
      </c>
      <c r="L193" s="26">
        <f>IF(J193="Yes","",H193-I193)</f>
        <v/>
      </c>
      <c r="M193" s="27">
        <f>IF(OR(J193="Yes",I193=0),"",H193/I193)</f>
        <v/>
      </c>
      <c r="N193" s="21">
        <f>IF(J193="Yes","",IF(H193&gt;=I193,1,0))</f>
        <v/>
      </c>
      <c r="O193" s="21">
        <f>IF(I193&lt;=5000000,"Under $5M",IF(I193&lt;=20000000,"$5M-20M",IF(I193&lt;=50000000,"$20M-50M",IF(I193&lt;=100000000,"$50M-100M","$100M+"))))</f>
        <v/>
      </c>
      <c r="P193" s="21">
        <f>IF(E193&lt;=90,"90 or less",IF(E193&lt;=105,"91-105",IF(E193&lt;=120,"106-120",IF(E193&lt;=140,"121-140","Over 140"))))</f>
        <v/>
      </c>
      <c r="Q193" s="28">
        <f>INT(C193/10)*10</f>
        <v/>
      </c>
    </row>
    <row r="194">
      <c r="A194" s="21" t="n">
        <v>198</v>
      </c>
      <c r="B194" s="21" t="inlineStr">
        <is>
          <t>Death Race 2000</t>
        </is>
      </c>
      <c r="C194" s="21" t="n">
        <v>1975</v>
      </c>
      <c r="D194" s="21" t="inlineStr">
        <is>
          <t>USA</t>
        </is>
      </c>
      <c r="E194" s="21" t="n">
        <v>80</v>
      </c>
      <c r="F194" s="21" t="inlineStr">
        <is>
          <t>English</t>
        </is>
      </c>
      <c r="G194" s="21" t="inlineStr">
        <is>
          <t>R</t>
        </is>
      </c>
      <c r="H194" s="22" t="n">
        <v>25529689.5</v>
      </c>
      <c r="I194" s="22" t="n">
        <v>300000</v>
      </c>
      <c r="J194" s="21">
        <f>IF(OR(H194="",H194=25529689.5),"Yes","No")</f>
        <v/>
      </c>
      <c r="K194" s="21">
        <f>IF(AND(D194="USA",C194&gt;=1980,J194="No"),"Yes","No")</f>
        <v/>
      </c>
      <c r="L194" s="26">
        <f>IF(J194="Yes","",H194-I194)</f>
        <v/>
      </c>
      <c r="M194" s="27">
        <f>IF(OR(J194="Yes",I194=0),"",H194/I194)</f>
        <v/>
      </c>
      <c r="N194" s="21">
        <f>IF(J194="Yes","",IF(H194&gt;=I194,1,0))</f>
        <v/>
      </c>
      <c r="O194" s="21">
        <f>IF(I194&lt;=5000000,"Under $5M",IF(I194&lt;=20000000,"$5M-20M",IF(I194&lt;=50000000,"$20M-50M",IF(I194&lt;=100000000,"$50M-100M","$100M+"))))</f>
        <v/>
      </c>
      <c r="P194" s="21">
        <f>IF(E194&lt;=90,"90 or less",IF(E194&lt;=105,"91-105",IF(E194&lt;=120,"106-120",IF(E194&lt;=140,"121-140","Over 140"))))</f>
        <v/>
      </c>
      <c r="Q194" s="28">
        <f>INT(C194/10)*10</f>
        <v/>
      </c>
    </row>
    <row r="195">
      <c r="A195" s="21" t="n">
        <v>199</v>
      </c>
      <c r="B195" s="21" t="inlineStr">
        <is>
          <t>Jaws</t>
        </is>
      </c>
      <c r="C195" s="21" t="n">
        <v>1975</v>
      </c>
      <c r="D195" s="21" t="inlineStr">
        <is>
          <t>USA</t>
        </is>
      </c>
      <c r="E195" s="21" t="n">
        <v>130</v>
      </c>
      <c r="F195" s="21" t="inlineStr">
        <is>
          <t>English</t>
        </is>
      </c>
      <c r="G195" s="21" t="inlineStr">
        <is>
          <t>PG</t>
        </is>
      </c>
      <c r="H195" s="22" t="n">
        <v>260000000</v>
      </c>
      <c r="I195" s="22" t="n">
        <v>8000000</v>
      </c>
      <c r="J195" s="21">
        <f>IF(OR(H195="",H195=25529689.5),"Yes","No")</f>
        <v/>
      </c>
      <c r="K195" s="21">
        <f>IF(AND(D195="USA",C195&gt;=1980,J195="No"),"Yes","No")</f>
        <v/>
      </c>
      <c r="L195" s="26">
        <f>IF(J195="Yes","",H195-I195)</f>
        <v/>
      </c>
      <c r="M195" s="27">
        <f>IF(OR(J195="Yes",I195=0),"",H195/I195)</f>
        <v/>
      </c>
      <c r="N195" s="21">
        <f>IF(J195="Yes","",IF(H195&gt;=I195,1,0))</f>
        <v/>
      </c>
      <c r="O195" s="21">
        <f>IF(I195&lt;=5000000,"Under $5M",IF(I195&lt;=20000000,"$5M-20M",IF(I195&lt;=50000000,"$20M-50M",IF(I195&lt;=100000000,"$50M-100M","$100M+"))))</f>
        <v/>
      </c>
      <c r="P195" s="21">
        <f>IF(E195&lt;=90,"90 or less",IF(E195&lt;=105,"91-105",IF(E195&lt;=120,"106-120",IF(E195&lt;=140,"121-140","Over 140"))))</f>
        <v/>
      </c>
      <c r="Q195" s="28">
        <f>INT(C195/10)*10</f>
        <v/>
      </c>
    </row>
    <row r="196">
      <c r="A196" s="21" t="n">
        <v>200</v>
      </c>
      <c r="B196" s="21" t="inlineStr">
        <is>
          <t>Monty Python and the Holy Grail</t>
        </is>
      </c>
      <c r="C196" s="21" t="n">
        <v>1975</v>
      </c>
      <c r="D196" s="21" t="inlineStr">
        <is>
          <t>UK</t>
        </is>
      </c>
      <c r="E196" s="21" t="n">
        <v>91</v>
      </c>
      <c r="F196" s="21" t="inlineStr">
        <is>
          <t>English</t>
        </is>
      </c>
      <c r="G196" s="21" t="inlineStr">
        <is>
          <t>PG</t>
        </is>
      </c>
      <c r="H196" s="22" t="n">
        <v>1229197</v>
      </c>
      <c r="I196" s="22" t="n">
        <v>229575</v>
      </c>
      <c r="J196" s="21">
        <f>IF(OR(H196="",H196=25529689.5),"Yes","No")</f>
        <v/>
      </c>
      <c r="K196" s="21">
        <f>IF(AND(D196="USA",C196&gt;=1980,J196="No"),"Yes","No")</f>
        <v/>
      </c>
      <c r="L196" s="26">
        <f>IF(J196="Yes","",H196-I196)</f>
        <v/>
      </c>
      <c r="M196" s="27">
        <f>IF(OR(J196="Yes",I196=0),"",H196/I196)</f>
        <v/>
      </c>
      <c r="N196" s="21">
        <f>IF(J196="Yes","",IF(H196&gt;=I196,1,0))</f>
        <v/>
      </c>
      <c r="O196" s="21">
        <f>IF(I196&lt;=5000000,"Under $5M",IF(I196&lt;=20000000,"$5M-20M",IF(I196&lt;=50000000,"$20M-50M",IF(I196&lt;=100000000,"$50M-100M","$100M+"))))</f>
        <v/>
      </c>
      <c r="P196" s="21">
        <f>IF(E196&lt;=90,"90 or less",IF(E196&lt;=105,"91-105",IF(E196&lt;=120,"106-120",IF(E196&lt;=140,"121-140","Over 140"))))</f>
        <v/>
      </c>
      <c r="Q196" s="28">
        <f>INT(C196/10)*10</f>
        <v/>
      </c>
    </row>
    <row r="197">
      <c r="A197" s="21" t="n">
        <v>201</v>
      </c>
      <c r="B197" s="21" t="inlineStr">
        <is>
          <t>One Flew Over the Cuckoo's Nest</t>
        </is>
      </c>
      <c r="C197" s="21" t="n">
        <v>1975</v>
      </c>
      <c r="D197" s="21" t="inlineStr">
        <is>
          <t>USA</t>
        </is>
      </c>
      <c r="E197" s="21" t="n">
        <v>133</v>
      </c>
      <c r="F197" s="21" t="inlineStr">
        <is>
          <t>English</t>
        </is>
      </c>
      <c r="G197" s="21" t="inlineStr">
        <is>
          <t>R</t>
        </is>
      </c>
      <c r="H197" s="22" t="n">
        <v>112000000</v>
      </c>
      <c r="I197" s="22" t="n">
        <v>4400000</v>
      </c>
      <c r="J197" s="21">
        <f>IF(OR(H197="",H197=25529689.5),"Yes","No")</f>
        <v/>
      </c>
      <c r="K197" s="21">
        <f>IF(AND(D197="USA",C197&gt;=1980,J197="No"),"Yes","No")</f>
        <v/>
      </c>
      <c r="L197" s="26">
        <f>IF(J197="Yes","",H197-I197)</f>
        <v/>
      </c>
      <c r="M197" s="27">
        <f>IF(OR(J197="Yes",I197=0),"",H197/I197)</f>
        <v/>
      </c>
      <c r="N197" s="21">
        <f>IF(J197="Yes","",IF(H197&gt;=I197,1,0))</f>
        <v/>
      </c>
      <c r="O197" s="21">
        <f>IF(I197&lt;=5000000,"Under $5M",IF(I197&lt;=20000000,"$5M-20M",IF(I197&lt;=50000000,"$20M-50M",IF(I197&lt;=100000000,"$50M-100M","$100M+"))))</f>
        <v/>
      </c>
      <c r="P197" s="21">
        <f>IF(E197&lt;=90,"90 or less",IF(E197&lt;=105,"91-105",IF(E197&lt;=120,"106-120",IF(E197&lt;=140,"121-140","Over 140"))))</f>
        <v/>
      </c>
      <c r="Q197" s="28">
        <f>INT(C197/10)*10</f>
        <v/>
      </c>
    </row>
    <row r="198">
      <c r="A198" s="21" t="n">
        <v>202</v>
      </c>
      <c r="B198" s="21" t="inlineStr">
        <is>
          <t>The Return of the Pink Panther</t>
        </is>
      </c>
      <c r="C198" s="21" t="n">
        <v>1975</v>
      </c>
      <c r="D198" s="21" t="inlineStr">
        <is>
          <t>UK</t>
        </is>
      </c>
      <c r="E198" s="21" t="n">
        <v>113</v>
      </c>
      <c r="F198" s="21" t="inlineStr">
        <is>
          <t>English</t>
        </is>
      </c>
      <c r="G198" s="21" t="inlineStr">
        <is>
          <t>G</t>
        </is>
      </c>
      <c r="H198" s="22" t="n">
        <v>25529689.5</v>
      </c>
      <c r="I198" s="22" t="n">
        <v>5000000</v>
      </c>
      <c r="J198" s="21">
        <f>IF(OR(H198="",H198=25529689.5),"Yes","No")</f>
        <v/>
      </c>
      <c r="K198" s="21">
        <f>IF(AND(D198="USA",C198&gt;=1980,J198="No"),"Yes","No")</f>
        <v/>
      </c>
      <c r="L198" s="26">
        <f>IF(J198="Yes","",H198-I198)</f>
        <v/>
      </c>
      <c r="M198" s="27">
        <f>IF(OR(J198="Yes",I198=0),"",H198/I198)</f>
        <v/>
      </c>
      <c r="N198" s="21">
        <f>IF(J198="Yes","",IF(H198&gt;=I198,1,0))</f>
        <v/>
      </c>
      <c r="O198" s="21">
        <f>IF(I198&lt;=5000000,"Under $5M",IF(I198&lt;=20000000,"$5M-20M",IF(I198&lt;=50000000,"$20M-50M",IF(I198&lt;=100000000,"$50M-100M","$100M+"))))</f>
        <v/>
      </c>
      <c r="P198" s="21">
        <f>IF(E198&lt;=90,"90 or less",IF(E198&lt;=105,"91-105",IF(E198&lt;=120,"106-120",IF(E198&lt;=140,"121-140","Over 140"))))</f>
        <v/>
      </c>
      <c r="Q198" s="28">
        <f>INT(C198/10)*10</f>
        <v/>
      </c>
    </row>
    <row r="199">
      <c r="A199" s="21" t="n">
        <v>203</v>
      </c>
      <c r="B199" s="21" t="inlineStr">
        <is>
          <t>Family Plot</t>
        </is>
      </c>
      <c r="C199" s="21" t="n">
        <v>1976</v>
      </c>
      <c r="D199" s="21" t="inlineStr">
        <is>
          <t>USA</t>
        </is>
      </c>
      <c r="E199" s="21" t="n">
        <v>120</v>
      </c>
      <c r="F199" s="21" t="inlineStr">
        <is>
          <t>English</t>
        </is>
      </c>
      <c r="G199" s="21" t="inlineStr">
        <is>
          <t>PG</t>
        </is>
      </c>
      <c r="H199" s="22" t="n">
        <v>25529689.5</v>
      </c>
      <c r="I199" s="22" t="n">
        <v>4490375</v>
      </c>
      <c r="J199" s="21">
        <f>IF(OR(H199="",H199=25529689.5),"Yes","No")</f>
        <v/>
      </c>
      <c r="K199" s="21">
        <f>IF(AND(D199="USA",C199&gt;=1980,J199="No"),"Yes","No")</f>
        <v/>
      </c>
      <c r="L199" s="26">
        <f>IF(J199="Yes","",H199-I199)</f>
        <v/>
      </c>
      <c r="M199" s="27">
        <f>IF(OR(J199="Yes",I199=0),"",H199/I199)</f>
        <v/>
      </c>
      <c r="N199" s="21">
        <f>IF(J199="Yes","",IF(H199&gt;=I199,1,0))</f>
        <v/>
      </c>
      <c r="O199" s="21">
        <f>IF(I199&lt;=5000000,"Under $5M",IF(I199&lt;=20000000,"$5M-20M",IF(I199&lt;=50000000,"$20M-50M",IF(I199&lt;=100000000,"$50M-100M","$100M+"))))</f>
        <v/>
      </c>
      <c r="P199" s="21">
        <f>IF(E199&lt;=90,"90 or less",IF(E199&lt;=105,"91-105",IF(E199&lt;=120,"106-120",IF(E199&lt;=140,"121-140","Over 140"))))</f>
        <v/>
      </c>
      <c r="Q199" s="28">
        <f>INT(C199/10)*10</f>
        <v/>
      </c>
    </row>
    <row r="200">
      <c r="A200" s="21" t="n">
        <v>204</v>
      </c>
      <c r="B200" s="21" t="inlineStr">
        <is>
          <t>Logan's Run</t>
        </is>
      </c>
      <c r="C200" s="21" t="n">
        <v>1976</v>
      </c>
      <c r="D200" s="21" t="inlineStr">
        <is>
          <t>USA</t>
        </is>
      </c>
      <c r="E200" s="21" t="n">
        <v>119</v>
      </c>
      <c r="F200" s="21" t="inlineStr">
        <is>
          <t>English</t>
        </is>
      </c>
      <c r="G200" s="21" t="inlineStr">
        <is>
          <t>PG</t>
        </is>
      </c>
      <c r="H200" s="22" t="n">
        <v>25000000</v>
      </c>
      <c r="I200" s="22" t="n">
        <v>9000000</v>
      </c>
      <c r="J200" s="21">
        <f>IF(OR(H200="",H200=25529689.5),"Yes","No")</f>
        <v/>
      </c>
      <c r="K200" s="21">
        <f>IF(AND(D200="USA",C200&gt;=1980,J200="No"),"Yes","No")</f>
        <v/>
      </c>
      <c r="L200" s="26">
        <f>IF(J200="Yes","",H200-I200)</f>
        <v/>
      </c>
      <c r="M200" s="27">
        <f>IF(OR(J200="Yes",I200=0),"",H200/I200)</f>
        <v/>
      </c>
      <c r="N200" s="21">
        <f>IF(J200="Yes","",IF(H200&gt;=I200,1,0))</f>
        <v/>
      </c>
      <c r="O200" s="21">
        <f>IF(I200&lt;=5000000,"Under $5M",IF(I200&lt;=20000000,"$5M-20M",IF(I200&lt;=50000000,"$20M-50M",IF(I200&lt;=100000000,"$50M-100M","$100M+"))))</f>
        <v/>
      </c>
      <c r="P200" s="21">
        <f>IF(E200&lt;=90,"90 or less",IF(E200&lt;=105,"91-105",IF(E200&lt;=120,"106-120",IF(E200&lt;=140,"121-140","Over 140"))))</f>
        <v/>
      </c>
      <c r="Q200" s="28">
        <f>INT(C200/10)*10</f>
        <v/>
      </c>
    </row>
    <row r="201">
      <c r="A201" s="21" t="n">
        <v>205</v>
      </c>
      <c r="B201" s="21" t="inlineStr">
        <is>
          <t>Network</t>
        </is>
      </c>
      <c r="C201" s="21" t="n">
        <v>1976</v>
      </c>
      <c r="D201" s="21" t="inlineStr">
        <is>
          <t>USA</t>
        </is>
      </c>
      <c r="E201" s="21" t="n">
        <v>121</v>
      </c>
      <c r="F201" s="21" t="inlineStr">
        <is>
          <t>English</t>
        </is>
      </c>
      <c r="G201" s="21" t="inlineStr">
        <is>
          <t>R</t>
        </is>
      </c>
      <c r="H201" s="22" t="n">
        <v>25529689.5</v>
      </c>
      <c r="I201" s="22" t="n">
        <v>3800000</v>
      </c>
      <c r="J201" s="21">
        <f>IF(OR(H201="",H201=25529689.5),"Yes","No")</f>
        <v/>
      </c>
      <c r="K201" s="21">
        <f>IF(AND(D201="USA",C201&gt;=1980,J201="No"),"Yes","No")</f>
        <v/>
      </c>
      <c r="L201" s="26">
        <f>IF(J201="Yes","",H201-I201)</f>
        <v/>
      </c>
      <c r="M201" s="27">
        <f>IF(OR(J201="Yes",I201=0),"",H201/I201)</f>
        <v/>
      </c>
      <c r="N201" s="21">
        <f>IF(J201="Yes","",IF(H201&gt;=I201,1,0))</f>
        <v/>
      </c>
      <c r="O201" s="21">
        <f>IF(I201&lt;=5000000,"Under $5M",IF(I201&lt;=20000000,"$5M-20M",IF(I201&lt;=50000000,"$20M-50M",IF(I201&lt;=100000000,"$50M-100M","$100M+"))))</f>
        <v/>
      </c>
      <c r="P201" s="21">
        <f>IF(E201&lt;=90,"90 or less",IF(E201&lt;=105,"91-105",IF(E201&lt;=120,"106-120",IF(E201&lt;=140,"121-140","Over 140"))))</f>
        <v/>
      </c>
      <c r="Q201" s="28">
        <f>INT(C201/10)*10</f>
        <v/>
      </c>
    </row>
    <row r="202">
      <c r="A202" s="21" t="n">
        <v>206</v>
      </c>
      <c r="B202" s="21" t="inlineStr">
        <is>
          <t>Robin and Marian</t>
        </is>
      </c>
      <c r="C202" s="21" t="n">
        <v>1976</v>
      </c>
      <c r="D202" s="21" t="inlineStr">
        <is>
          <t>USA</t>
        </is>
      </c>
      <c r="E202" s="21" t="n">
        <v>106</v>
      </c>
      <c r="F202" s="21" t="inlineStr">
        <is>
          <t>English</t>
        </is>
      </c>
      <c r="G202" s="21" t="inlineStr">
        <is>
          <t>PG</t>
        </is>
      </c>
      <c r="H202" s="22" t="n">
        <v>25529689.5</v>
      </c>
      <c r="I202" s="22" t="n">
        <v>5000000</v>
      </c>
      <c r="J202" s="21">
        <f>IF(OR(H202="",H202=25529689.5),"Yes","No")</f>
        <v/>
      </c>
      <c r="K202" s="21">
        <f>IF(AND(D202="USA",C202&gt;=1980,J202="No"),"Yes","No")</f>
        <v/>
      </c>
      <c r="L202" s="26">
        <f>IF(J202="Yes","",H202-I202)</f>
        <v/>
      </c>
      <c r="M202" s="27">
        <f>IF(OR(J202="Yes",I202=0),"",H202/I202)</f>
        <v/>
      </c>
      <c r="N202" s="21">
        <f>IF(J202="Yes","",IF(H202&gt;=I202,1,0))</f>
        <v/>
      </c>
      <c r="O202" s="21">
        <f>IF(I202&lt;=5000000,"Under $5M",IF(I202&lt;=20000000,"$5M-20M",IF(I202&lt;=50000000,"$20M-50M",IF(I202&lt;=100000000,"$50M-100M","$100M+"))))</f>
        <v/>
      </c>
      <c r="P202" s="21">
        <f>IF(E202&lt;=90,"90 or less",IF(E202&lt;=105,"91-105",IF(E202&lt;=120,"106-120",IF(E202&lt;=140,"121-140","Over 140"))))</f>
        <v/>
      </c>
      <c r="Q202" s="28">
        <f>INT(C202/10)*10</f>
        <v/>
      </c>
    </row>
    <row r="203">
      <c r="A203" s="21" t="n">
        <v>207</v>
      </c>
      <c r="B203" s="21" t="inlineStr">
        <is>
          <t>Rocky</t>
        </is>
      </c>
      <c r="C203" s="21" t="n">
        <v>1976</v>
      </c>
      <c r="D203" s="21" t="inlineStr">
        <is>
          <t>USA</t>
        </is>
      </c>
      <c r="E203" s="21" t="n">
        <v>145</v>
      </c>
      <c r="F203" s="21" t="inlineStr">
        <is>
          <t>English</t>
        </is>
      </c>
      <c r="G203" s="21" t="inlineStr">
        <is>
          <t>PG</t>
        </is>
      </c>
      <c r="H203" s="22" t="n">
        <v>117235247</v>
      </c>
      <c r="I203" s="22" t="n">
        <v>960000</v>
      </c>
      <c r="J203" s="21">
        <f>IF(OR(H203="",H203=25529689.5),"Yes","No")</f>
        <v/>
      </c>
      <c r="K203" s="21">
        <f>IF(AND(D203="USA",C203&gt;=1980,J203="No"),"Yes","No")</f>
        <v/>
      </c>
      <c r="L203" s="26">
        <f>IF(J203="Yes","",H203-I203)</f>
        <v/>
      </c>
      <c r="M203" s="27">
        <f>IF(OR(J203="Yes",I203=0),"",H203/I203)</f>
        <v/>
      </c>
      <c r="N203" s="21">
        <f>IF(J203="Yes","",IF(H203&gt;=I203,1,0))</f>
        <v/>
      </c>
      <c r="O203" s="21">
        <f>IF(I203&lt;=5000000,"Under $5M",IF(I203&lt;=20000000,"$5M-20M",IF(I203&lt;=50000000,"$20M-50M",IF(I203&lt;=100000000,"$50M-100M","$100M+"))))</f>
        <v/>
      </c>
      <c r="P203" s="21">
        <f>IF(E203&lt;=90,"90 or less",IF(E203&lt;=105,"91-105",IF(E203&lt;=120,"106-120",IF(E203&lt;=140,"121-140","Over 140"))))</f>
        <v/>
      </c>
      <c r="Q203" s="28">
        <f>INT(C203/10)*10</f>
        <v/>
      </c>
    </row>
    <row r="204">
      <c r="A204" s="21" t="n">
        <v>208</v>
      </c>
      <c r="B204" s="21" t="inlineStr">
        <is>
          <t>Silent Movie</t>
        </is>
      </c>
      <c r="C204" s="21" t="n">
        <v>1976</v>
      </c>
      <c r="D204" s="21" t="inlineStr">
        <is>
          <t>USA</t>
        </is>
      </c>
      <c r="E204" s="21" t="n">
        <v>87</v>
      </c>
      <c r="F204" s="21" t="n"/>
      <c r="G204" s="21" t="inlineStr">
        <is>
          <t>PG</t>
        </is>
      </c>
      <c r="H204" s="22" t="n">
        <v>25529689.5</v>
      </c>
      <c r="I204" s="22" t="n">
        <v>4400000</v>
      </c>
      <c r="J204" s="21">
        <f>IF(OR(H204="",H204=25529689.5),"Yes","No")</f>
        <v/>
      </c>
      <c r="K204" s="21">
        <f>IF(AND(D204="USA",C204&gt;=1980,J204="No"),"Yes","No")</f>
        <v/>
      </c>
      <c r="L204" s="26">
        <f>IF(J204="Yes","",H204-I204)</f>
        <v/>
      </c>
      <c r="M204" s="27">
        <f>IF(OR(J204="Yes",I204=0),"",H204/I204)</f>
        <v/>
      </c>
      <c r="N204" s="21">
        <f>IF(J204="Yes","",IF(H204&gt;=I204,1,0))</f>
        <v/>
      </c>
      <c r="O204" s="21">
        <f>IF(I204&lt;=5000000,"Under $5M",IF(I204&lt;=20000000,"$5M-20M",IF(I204&lt;=50000000,"$20M-50M",IF(I204&lt;=100000000,"$50M-100M","$100M+"))))</f>
        <v/>
      </c>
      <c r="P204" s="21">
        <f>IF(E204&lt;=90,"90 or less",IF(E204&lt;=105,"91-105",IF(E204&lt;=120,"106-120",IF(E204&lt;=140,"121-140","Over 140"))))</f>
        <v/>
      </c>
      <c r="Q204" s="28">
        <f>INT(C204/10)*10</f>
        <v/>
      </c>
    </row>
    <row r="205">
      <c r="A205" s="21" t="n">
        <v>209</v>
      </c>
      <c r="B205" s="21" t="inlineStr">
        <is>
          <t>Taxi Driver</t>
        </is>
      </c>
      <c r="C205" s="21" t="n">
        <v>1976</v>
      </c>
      <c r="D205" s="21" t="inlineStr">
        <is>
          <t>USA</t>
        </is>
      </c>
      <c r="E205" s="21" t="n">
        <v>110</v>
      </c>
      <c r="F205" s="21" t="inlineStr">
        <is>
          <t>English</t>
        </is>
      </c>
      <c r="G205" s="21" t="inlineStr">
        <is>
          <t>R</t>
        </is>
      </c>
      <c r="H205" s="22" t="n">
        <v>25529689.5</v>
      </c>
      <c r="I205" s="22" t="n">
        <v>1300000</v>
      </c>
      <c r="J205" s="21">
        <f>IF(OR(H205="",H205=25529689.5),"Yes","No")</f>
        <v/>
      </c>
      <c r="K205" s="21">
        <f>IF(AND(D205="USA",C205&gt;=1980,J205="No"),"Yes","No")</f>
        <v/>
      </c>
      <c r="L205" s="26">
        <f>IF(J205="Yes","",H205-I205)</f>
        <v/>
      </c>
      <c r="M205" s="27">
        <f>IF(OR(J205="Yes",I205=0),"",H205/I205)</f>
        <v/>
      </c>
      <c r="N205" s="21">
        <f>IF(J205="Yes","",IF(H205&gt;=I205,1,0))</f>
        <v/>
      </c>
      <c r="O205" s="21">
        <f>IF(I205&lt;=5000000,"Under $5M",IF(I205&lt;=20000000,"$5M-20M",IF(I205&lt;=50000000,"$20M-50M",IF(I205&lt;=100000000,"$50M-100M","$100M+"))))</f>
        <v/>
      </c>
      <c r="P205" s="21">
        <f>IF(E205&lt;=90,"90 or less",IF(E205&lt;=105,"91-105",IF(E205&lt;=120,"106-120",IF(E205&lt;=140,"121-140","Over 140"))))</f>
        <v/>
      </c>
      <c r="Q205" s="28">
        <f>INT(C205/10)*10</f>
        <v/>
      </c>
    </row>
    <row r="206">
      <c r="A206" s="21" t="n">
        <v>210</v>
      </c>
      <c r="B206" s="21" t="inlineStr">
        <is>
          <t>The Bad News Bears</t>
        </is>
      </c>
      <c r="C206" s="21" t="n">
        <v>1976</v>
      </c>
      <c r="D206" s="21" t="inlineStr">
        <is>
          <t>USA</t>
        </is>
      </c>
      <c r="E206" s="21" t="n">
        <v>102</v>
      </c>
      <c r="F206" s="21" t="inlineStr">
        <is>
          <t>English</t>
        </is>
      </c>
      <c r="G206" s="21" t="inlineStr">
        <is>
          <t>PG</t>
        </is>
      </c>
      <c r="H206" s="22" t="n">
        <v>25529689.5</v>
      </c>
      <c r="I206" s="22" t="n">
        <v>20000000</v>
      </c>
      <c r="J206" s="21">
        <f>IF(OR(H206="",H206=25529689.5),"Yes","No")</f>
        <v/>
      </c>
      <c r="K206" s="21">
        <f>IF(AND(D206="USA",C206&gt;=1980,J206="No"),"Yes","No")</f>
        <v/>
      </c>
      <c r="L206" s="26">
        <f>IF(J206="Yes","",H206-I206)</f>
        <v/>
      </c>
      <c r="M206" s="27">
        <f>IF(OR(J206="Yes",I206=0),"",H206/I206)</f>
        <v/>
      </c>
      <c r="N206" s="21">
        <f>IF(J206="Yes","",IF(H206&gt;=I206,1,0))</f>
        <v/>
      </c>
      <c r="O206" s="21">
        <f>IF(I206&lt;=5000000,"Under $5M",IF(I206&lt;=20000000,"$5M-20M",IF(I206&lt;=50000000,"$20M-50M",IF(I206&lt;=100000000,"$50M-100M","$100M+"))))</f>
        <v/>
      </c>
      <c r="P206" s="21">
        <f>IF(E206&lt;=90,"90 or less",IF(E206&lt;=105,"91-105",IF(E206&lt;=120,"106-120",IF(E206&lt;=140,"121-140","Over 140"))))</f>
        <v/>
      </c>
      <c r="Q206" s="28">
        <f>INT(C206/10)*10</f>
        <v/>
      </c>
    </row>
    <row r="207">
      <c r="A207" s="21" t="n">
        <v>211</v>
      </c>
      <c r="B207" s="21" t="inlineStr">
        <is>
          <t>The Omen</t>
        </is>
      </c>
      <c r="C207" s="21" t="n">
        <v>1976</v>
      </c>
      <c r="D207" s="21" t="inlineStr">
        <is>
          <t>UK</t>
        </is>
      </c>
      <c r="E207" s="21" t="n">
        <v>107</v>
      </c>
      <c r="F207" s="21" t="inlineStr">
        <is>
          <t>English</t>
        </is>
      </c>
      <c r="G207" s="21" t="inlineStr">
        <is>
          <t>R</t>
        </is>
      </c>
      <c r="H207" s="22" t="n">
        <v>25529689.5</v>
      </c>
      <c r="I207" s="22" t="n">
        <v>2800000</v>
      </c>
      <c r="J207" s="21">
        <f>IF(OR(H207="",H207=25529689.5),"Yes","No")</f>
        <v/>
      </c>
      <c r="K207" s="21">
        <f>IF(AND(D207="USA",C207&gt;=1980,J207="No"),"Yes","No")</f>
        <v/>
      </c>
      <c r="L207" s="26">
        <f>IF(J207="Yes","",H207-I207)</f>
        <v/>
      </c>
      <c r="M207" s="27">
        <f>IF(OR(J207="Yes",I207=0),"",H207/I207)</f>
        <v/>
      </c>
      <c r="N207" s="21">
        <f>IF(J207="Yes","",IF(H207&gt;=I207,1,0))</f>
        <v/>
      </c>
      <c r="O207" s="21">
        <f>IF(I207&lt;=5000000,"Under $5M",IF(I207&lt;=20000000,"$5M-20M",IF(I207&lt;=50000000,"$20M-50M",IF(I207&lt;=100000000,"$50M-100M","$100M+"))))</f>
        <v/>
      </c>
      <c r="P207" s="21">
        <f>IF(E207&lt;=90,"90 or less",IF(E207&lt;=105,"91-105",IF(E207&lt;=120,"106-120",IF(E207&lt;=140,"121-140","Over 140"))))</f>
        <v/>
      </c>
      <c r="Q207" s="28">
        <f>INT(C207/10)*10</f>
        <v/>
      </c>
    </row>
    <row r="208">
      <c r="A208" s="21" t="n">
        <v>213</v>
      </c>
      <c r="B208" s="21" t="inlineStr">
        <is>
          <t>A Bridge Too Far</t>
        </is>
      </c>
      <c r="C208" s="21" t="n">
        <v>1977</v>
      </c>
      <c r="D208" s="21" t="inlineStr">
        <is>
          <t>USA</t>
        </is>
      </c>
      <c r="E208" s="21" t="n">
        <v>175</v>
      </c>
      <c r="F208" s="21" t="inlineStr">
        <is>
          <t>English</t>
        </is>
      </c>
      <c r="G208" s="21" t="inlineStr">
        <is>
          <t>PG</t>
        </is>
      </c>
      <c r="H208" s="22" t="n">
        <v>50800000</v>
      </c>
      <c r="I208" s="22" t="n">
        <v>26000000</v>
      </c>
      <c r="J208" s="21">
        <f>IF(OR(H208="",H208=25529689.5),"Yes","No")</f>
        <v/>
      </c>
      <c r="K208" s="21">
        <f>IF(AND(D208="USA",C208&gt;=1980,J208="No"),"Yes","No")</f>
        <v/>
      </c>
      <c r="L208" s="26">
        <f>IF(J208="Yes","",H208-I208)</f>
        <v/>
      </c>
      <c r="M208" s="27">
        <f>IF(OR(J208="Yes",I208=0),"",H208/I208)</f>
        <v/>
      </c>
      <c r="N208" s="21">
        <f>IF(J208="Yes","",IF(H208&gt;=I208,1,0))</f>
        <v/>
      </c>
      <c r="O208" s="21">
        <f>IF(I208&lt;=5000000,"Under $5M",IF(I208&lt;=20000000,"$5M-20M",IF(I208&lt;=50000000,"$20M-50M",IF(I208&lt;=100000000,"$50M-100M","$100M+"))))</f>
        <v/>
      </c>
      <c r="P208" s="21">
        <f>IF(E208&lt;=90,"90 or less",IF(E208&lt;=105,"91-105",IF(E208&lt;=120,"106-120",IF(E208&lt;=140,"121-140","Over 140"))))</f>
        <v/>
      </c>
      <c r="Q208" s="28">
        <f>INT(C208/10)*10</f>
        <v/>
      </c>
    </row>
    <row r="209">
      <c r="A209" s="21" t="n">
        <v>214</v>
      </c>
      <c r="B209" s="21" t="inlineStr">
        <is>
          <t>Annie Hall</t>
        </is>
      </c>
      <c r="C209" s="21" t="n">
        <v>1977</v>
      </c>
      <c r="D209" s="21" t="inlineStr">
        <is>
          <t>USA</t>
        </is>
      </c>
      <c r="E209" s="21" t="n">
        <v>93</v>
      </c>
      <c r="F209" s="21" t="inlineStr">
        <is>
          <t>English</t>
        </is>
      </c>
      <c r="G209" s="21" t="inlineStr">
        <is>
          <t>PG</t>
        </is>
      </c>
      <c r="H209" s="22" t="n">
        <v>39200000</v>
      </c>
      <c r="I209" s="22" t="n">
        <v>4000000</v>
      </c>
      <c r="J209" s="21">
        <f>IF(OR(H209="",H209=25529689.5),"Yes","No")</f>
        <v/>
      </c>
      <c r="K209" s="21">
        <f>IF(AND(D209="USA",C209&gt;=1980,J209="No"),"Yes","No")</f>
        <v/>
      </c>
      <c r="L209" s="26">
        <f>IF(J209="Yes","",H209-I209)</f>
        <v/>
      </c>
      <c r="M209" s="27">
        <f>IF(OR(J209="Yes",I209=0),"",H209/I209)</f>
        <v/>
      </c>
      <c r="N209" s="21">
        <f>IF(J209="Yes","",IF(H209&gt;=I209,1,0))</f>
        <v/>
      </c>
      <c r="O209" s="21">
        <f>IF(I209&lt;=5000000,"Under $5M",IF(I209&lt;=20000000,"$5M-20M",IF(I209&lt;=50000000,"$20M-50M",IF(I209&lt;=100000000,"$50M-100M","$100M+"))))</f>
        <v/>
      </c>
      <c r="P209" s="21">
        <f>IF(E209&lt;=90,"90 or less",IF(E209&lt;=105,"91-105",IF(E209&lt;=120,"106-120",IF(E209&lt;=140,"121-140","Over 140"))))</f>
        <v/>
      </c>
      <c r="Q209" s="28">
        <f>INT(C209/10)*10</f>
        <v/>
      </c>
    </row>
    <row r="210">
      <c r="A210" s="21" t="n">
        <v>215</v>
      </c>
      <c r="B210" s="21" t="inlineStr">
        <is>
          <t>Capricorn One</t>
        </is>
      </c>
      <c r="C210" s="21" t="n">
        <v>1977</v>
      </c>
      <c r="D210" s="21" t="inlineStr">
        <is>
          <t>USA</t>
        </is>
      </c>
      <c r="E210" s="21" t="n">
        <v>130</v>
      </c>
      <c r="F210" s="21" t="inlineStr">
        <is>
          <t>English</t>
        </is>
      </c>
      <c r="G210" s="21" t="inlineStr">
        <is>
          <t>PG</t>
        </is>
      </c>
      <c r="H210" s="22" t="n">
        <v>25529689.5</v>
      </c>
      <c r="I210" s="22" t="n">
        <v>5000000</v>
      </c>
      <c r="J210" s="21">
        <f>IF(OR(H210="",H210=25529689.5),"Yes","No")</f>
        <v/>
      </c>
      <c r="K210" s="21">
        <f>IF(AND(D210="USA",C210&gt;=1980,J210="No"),"Yes","No")</f>
        <v/>
      </c>
      <c r="L210" s="26">
        <f>IF(J210="Yes","",H210-I210)</f>
        <v/>
      </c>
      <c r="M210" s="27">
        <f>IF(OR(J210="Yes",I210=0),"",H210/I210)</f>
        <v/>
      </c>
      <c r="N210" s="21">
        <f>IF(J210="Yes","",IF(H210&gt;=I210,1,0))</f>
        <v/>
      </c>
      <c r="O210" s="21">
        <f>IF(I210&lt;=5000000,"Under $5M",IF(I210&lt;=20000000,"$5M-20M",IF(I210&lt;=50000000,"$20M-50M",IF(I210&lt;=100000000,"$50M-100M","$100M+"))))</f>
        <v/>
      </c>
      <c r="P210" s="21">
        <f>IF(E210&lt;=90,"90 or less",IF(E210&lt;=105,"91-105",IF(E210&lt;=120,"106-120",IF(E210&lt;=140,"121-140","Over 140"))))</f>
        <v/>
      </c>
      <c r="Q210" s="28">
        <f>INT(C210/10)*10</f>
        <v/>
      </c>
    </row>
    <row r="211">
      <c r="A211" s="21" t="n">
        <v>216</v>
      </c>
      <c r="B211" s="21" t="inlineStr">
        <is>
          <t>Close Encounters of the Third Kind</t>
        </is>
      </c>
      <c r="C211" s="21" t="n">
        <v>1977</v>
      </c>
      <c r="D211" s="21" t="inlineStr">
        <is>
          <t>USA</t>
        </is>
      </c>
      <c r="E211" s="21" t="n">
        <v>135</v>
      </c>
      <c r="F211" s="21" t="inlineStr">
        <is>
          <t>English</t>
        </is>
      </c>
      <c r="G211" s="21" t="inlineStr">
        <is>
          <t>PG</t>
        </is>
      </c>
      <c r="H211" s="22" t="n">
        <v>128300000</v>
      </c>
      <c r="I211" s="22" t="n">
        <v>19400870</v>
      </c>
      <c r="J211" s="21">
        <f>IF(OR(H211="",H211=25529689.5),"Yes","No")</f>
        <v/>
      </c>
      <c r="K211" s="21">
        <f>IF(AND(D211="USA",C211&gt;=1980,J211="No"),"Yes","No")</f>
        <v/>
      </c>
      <c r="L211" s="26">
        <f>IF(J211="Yes","",H211-I211)</f>
        <v/>
      </c>
      <c r="M211" s="27">
        <f>IF(OR(J211="Yes",I211=0),"",H211/I211)</f>
        <v/>
      </c>
      <c r="N211" s="21">
        <f>IF(J211="Yes","",IF(H211&gt;=I211,1,0))</f>
        <v/>
      </c>
      <c r="O211" s="21">
        <f>IF(I211&lt;=5000000,"Under $5M",IF(I211&lt;=20000000,"$5M-20M",IF(I211&lt;=50000000,"$20M-50M",IF(I211&lt;=100000000,"$50M-100M","$100M+"))))</f>
        <v/>
      </c>
      <c r="P211" s="21">
        <f>IF(E211&lt;=90,"90 or less",IF(E211&lt;=105,"91-105",IF(E211&lt;=120,"106-120",IF(E211&lt;=140,"121-140","Over 140"))))</f>
        <v/>
      </c>
      <c r="Q211" s="28">
        <f>INT(C211/10)*10</f>
        <v/>
      </c>
    </row>
    <row r="212">
      <c r="A212" s="21" t="n">
        <v>217</v>
      </c>
      <c r="B212" s="21" t="inlineStr">
        <is>
          <t>Damnation Alley</t>
        </is>
      </c>
      <c r="C212" s="21" t="n">
        <v>1977</v>
      </c>
      <c r="D212" s="21" t="inlineStr">
        <is>
          <t>USA</t>
        </is>
      </c>
      <c r="E212" s="21" t="n">
        <v>91</v>
      </c>
      <c r="F212" s="21" t="inlineStr">
        <is>
          <t>English</t>
        </is>
      </c>
      <c r="G212" s="21" t="inlineStr">
        <is>
          <t>PG</t>
        </is>
      </c>
      <c r="H212" s="22" t="n">
        <v>25529689.5</v>
      </c>
      <c r="I212" s="22" t="n">
        <v>17000000</v>
      </c>
      <c r="J212" s="21">
        <f>IF(OR(H212="",H212=25529689.5),"Yes","No")</f>
        <v/>
      </c>
      <c r="K212" s="21">
        <f>IF(AND(D212="USA",C212&gt;=1980,J212="No"),"Yes","No")</f>
        <v/>
      </c>
      <c r="L212" s="26">
        <f>IF(J212="Yes","",H212-I212)</f>
        <v/>
      </c>
      <c r="M212" s="27">
        <f>IF(OR(J212="Yes",I212=0),"",H212/I212)</f>
        <v/>
      </c>
      <c r="N212" s="21">
        <f>IF(J212="Yes","",IF(H212&gt;=I212,1,0))</f>
        <v/>
      </c>
      <c r="O212" s="21">
        <f>IF(I212&lt;=5000000,"Under $5M",IF(I212&lt;=20000000,"$5M-20M",IF(I212&lt;=50000000,"$20M-50M",IF(I212&lt;=100000000,"$50M-100M","$100M+"))))</f>
        <v/>
      </c>
      <c r="P212" s="21">
        <f>IF(E212&lt;=90,"90 or less",IF(E212&lt;=105,"91-105",IF(E212&lt;=120,"106-120",IF(E212&lt;=140,"121-140","Over 140"))))</f>
        <v/>
      </c>
      <c r="Q212" s="28">
        <f>INT(C212/10)*10</f>
        <v/>
      </c>
    </row>
    <row r="213">
      <c r="A213" s="21" t="n">
        <v>218</v>
      </c>
      <c r="B213" s="21" t="inlineStr">
        <is>
          <t>Eraserhead</t>
        </is>
      </c>
      <c r="C213" s="21" t="n">
        <v>1977</v>
      </c>
      <c r="D213" s="21" t="inlineStr">
        <is>
          <t>USA</t>
        </is>
      </c>
      <c r="E213" s="21" t="n">
        <v>89</v>
      </c>
      <c r="F213" s="21" t="inlineStr">
        <is>
          <t>English</t>
        </is>
      </c>
      <c r="G213" s="21" t="inlineStr">
        <is>
          <t>Unrated</t>
        </is>
      </c>
      <c r="H213" s="22" t="n">
        <v>25529689.5</v>
      </c>
      <c r="I213" s="22" t="n">
        <v>20000</v>
      </c>
      <c r="J213" s="21">
        <f>IF(OR(H213="",H213=25529689.5),"Yes","No")</f>
        <v/>
      </c>
      <c r="K213" s="21">
        <f>IF(AND(D213="USA",C213&gt;=1980,J213="No"),"Yes","No")</f>
        <v/>
      </c>
      <c r="L213" s="26">
        <f>IF(J213="Yes","",H213-I213)</f>
        <v/>
      </c>
      <c r="M213" s="27">
        <f>IF(OR(J213="Yes",I213=0),"",H213/I213)</f>
        <v/>
      </c>
      <c r="N213" s="21">
        <f>IF(J213="Yes","",IF(H213&gt;=I213,1,0))</f>
        <v/>
      </c>
      <c r="O213" s="21">
        <f>IF(I213&lt;=5000000,"Under $5M",IF(I213&lt;=20000000,"$5M-20M",IF(I213&lt;=50000000,"$20M-50M",IF(I213&lt;=100000000,"$50M-100M","$100M+"))))</f>
        <v/>
      </c>
      <c r="P213" s="21">
        <f>IF(E213&lt;=90,"90 or less",IF(E213&lt;=105,"91-105",IF(E213&lt;=120,"106-120",IF(E213&lt;=140,"121-140","Over 140"))))</f>
        <v/>
      </c>
      <c r="Q213" s="28">
        <f>INT(C213/10)*10</f>
        <v/>
      </c>
    </row>
    <row r="214">
      <c r="A214" s="21" t="n">
        <v>219</v>
      </c>
      <c r="B214" s="21" t="inlineStr">
        <is>
          <t>Exorcist II: The Heretic</t>
        </is>
      </c>
      <c r="C214" s="21" t="n">
        <v>1977</v>
      </c>
      <c r="D214" s="21" t="inlineStr">
        <is>
          <t>USA</t>
        </is>
      </c>
      <c r="E214" s="21" t="n">
        <v>118</v>
      </c>
      <c r="F214" s="21" t="inlineStr">
        <is>
          <t>English</t>
        </is>
      </c>
      <c r="G214" s="21" t="inlineStr">
        <is>
          <t>R</t>
        </is>
      </c>
      <c r="H214" s="22" t="n">
        <v>25529689.5</v>
      </c>
      <c r="I214" s="22" t="n">
        <v>14000000</v>
      </c>
      <c r="J214" s="21">
        <f>IF(OR(H214="",H214=25529689.5),"Yes","No")</f>
        <v/>
      </c>
      <c r="K214" s="21">
        <f>IF(AND(D214="USA",C214&gt;=1980,J214="No"),"Yes","No")</f>
        <v/>
      </c>
      <c r="L214" s="26">
        <f>IF(J214="Yes","",H214-I214)</f>
        <v/>
      </c>
      <c r="M214" s="27">
        <f>IF(OR(J214="Yes",I214=0),"",H214/I214)</f>
        <v/>
      </c>
      <c r="N214" s="21">
        <f>IF(J214="Yes","",IF(H214&gt;=I214,1,0))</f>
        <v/>
      </c>
      <c r="O214" s="21">
        <f>IF(I214&lt;=5000000,"Under $5M",IF(I214&lt;=20000000,"$5M-20M",IF(I214&lt;=50000000,"$20M-50M",IF(I214&lt;=100000000,"$50M-100M","$100M+"))))</f>
        <v/>
      </c>
      <c r="P214" s="21">
        <f>IF(E214&lt;=90,"90 or less",IF(E214&lt;=105,"91-105",IF(E214&lt;=120,"106-120",IF(E214&lt;=140,"121-140","Over 140"))))</f>
        <v/>
      </c>
      <c r="Q214" s="28">
        <f>INT(C214/10)*10</f>
        <v/>
      </c>
    </row>
    <row r="215">
      <c r="A215" s="21" t="n">
        <v>220</v>
      </c>
      <c r="B215" s="21" t="inlineStr">
        <is>
          <t>High Anxiety</t>
        </is>
      </c>
      <c r="C215" s="21" t="n">
        <v>1977</v>
      </c>
      <c r="D215" s="21" t="inlineStr">
        <is>
          <t>USA</t>
        </is>
      </c>
      <c r="E215" s="21" t="n">
        <v>94</v>
      </c>
      <c r="F215" s="21" t="inlineStr">
        <is>
          <t>English</t>
        </is>
      </c>
      <c r="G215" s="21" t="inlineStr">
        <is>
          <t>PG</t>
        </is>
      </c>
      <c r="H215" s="22" t="n">
        <v>25529689.5</v>
      </c>
      <c r="I215" s="22" t="n">
        <v>3400000</v>
      </c>
      <c r="J215" s="21">
        <f>IF(OR(H215="",H215=25529689.5),"Yes","No")</f>
        <v/>
      </c>
      <c r="K215" s="21">
        <f>IF(AND(D215="USA",C215&gt;=1980,J215="No"),"Yes","No")</f>
        <v/>
      </c>
      <c r="L215" s="26">
        <f>IF(J215="Yes","",H215-I215)</f>
        <v/>
      </c>
      <c r="M215" s="27">
        <f>IF(OR(J215="Yes",I215=0),"",H215/I215)</f>
        <v/>
      </c>
      <c r="N215" s="21">
        <f>IF(J215="Yes","",IF(H215&gt;=I215,1,0))</f>
        <v/>
      </c>
      <c r="O215" s="21">
        <f>IF(I215&lt;=5000000,"Under $5M",IF(I215&lt;=20000000,"$5M-20M",IF(I215&lt;=50000000,"$20M-50M",IF(I215&lt;=100000000,"$50M-100M","$100M+"))))</f>
        <v/>
      </c>
      <c r="P215" s="21">
        <f>IF(E215&lt;=90,"90 or less",IF(E215&lt;=105,"91-105",IF(E215&lt;=120,"106-120",IF(E215&lt;=140,"121-140","Over 140"))))</f>
        <v/>
      </c>
      <c r="Q215" s="28">
        <f>INT(C215/10)*10</f>
        <v/>
      </c>
    </row>
    <row r="216">
      <c r="A216" s="21" t="n">
        <v>221</v>
      </c>
      <c r="B216" s="21" t="inlineStr">
        <is>
          <t>Julia</t>
        </is>
      </c>
      <c r="C216" s="21" t="n">
        <v>1977</v>
      </c>
      <c r="D216" s="21" t="inlineStr">
        <is>
          <t>USA</t>
        </is>
      </c>
      <c r="E216" s="21" t="n">
        <v>117</v>
      </c>
      <c r="F216" s="21" t="inlineStr">
        <is>
          <t>English</t>
        </is>
      </c>
      <c r="G216" s="21" t="inlineStr">
        <is>
          <t>PG</t>
        </is>
      </c>
      <c r="H216" s="22" t="n">
        <v>25529689.5</v>
      </c>
      <c r="I216" s="22" t="n">
        <v>7840000</v>
      </c>
      <c r="J216" s="21">
        <f>IF(OR(H216="",H216=25529689.5),"Yes","No")</f>
        <v/>
      </c>
      <c r="K216" s="21">
        <f>IF(AND(D216="USA",C216&gt;=1980,J216="No"),"Yes","No")</f>
        <v/>
      </c>
      <c r="L216" s="26">
        <f>IF(J216="Yes","",H216-I216)</f>
        <v/>
      </c>
      <c r="M216" s="27">
        <f>IF(OR(J216="Yes",I216=0),"",H216/I216)</f>
        <v/>
      </c>
      <c r="N216" s="21">
        <f>IF(J216="Yes","",IF(H216&gt;=I216,1,0))</f>
        <v/>
      </c>
      <c r="O216" s="21">
        <f>IF(I216&lt;=5000000,"Under $5M",IF(I216&lt;=20000000,"$5M-20M",IF(I216&lt;=50000000,"$20M-50M",IF(I216&lt;=100000000,"$50M-100M","$100M+"))))</f>
        <v/>
      </c>
      <c r="P216" s="21">
        <f>IF(E216&lt;=90,"90 or less",IF(E216&lt;=105,"91-105",IF(E216&lt;=120,"106-120",IF(E216&lt;=140,"121-140","Over 140"))))</f>
        <v/>
      </c>
      <c r="Q216" s="28">
        <f>INT(C216/10)*10</f>
        <v/>
      </c>
    </row>
    <row r="217">
      <c r="A217" s="21" t="n">
        <v>222</v>
      </c>
      <c r="B217" s="21" t="inlineStr">
        <is>
          <t>Kingdom of the Spiders</t>
        </is>
      </c>
      <c r="C217" s="21" t="n">
        <v>1977</v>
      </c>
      <c r="D217" s="21" t="inlineStr">
        <is>
          <t>USA</t>
        </is>
      </c>
      <c r="E217" s="21" t="n">
        <v>97</v>
      </c>
      <c r="F217" s="21" t="inlineStr">
        <is>
          <t>English</t>
        </is>
      </c>
      <c r="G217" s="21" t="inlineStr">
        <is>
          <t>PG</t>
        </is>
      </c>
      <c r="H217" s="22" t="n">
        <v>17000000</v>
      </c>
      <c r="I217" s="22" t="n">
        <v>500000</v>
      </c>
      <c r="J217" s="21">
        <f>IF(OR(H217="",H217=25529689.5),"Yes","No")</f>
        <v/>
      </c>
      <c r="K217" s="21">
        <f>IF(AND(D217="USA",C217&gt;=1980,J217="No"),"Yes","No")</f>
        <v/>
      </c>
      <c r="L217" s="26">
        <f>IF(J217="Yes","",H217-I217)</f>
        <v/>
      </c>
      <c r="M217" s="27">
        <f>IF(OR(J217="Yes",I217=0),"",H217/I217)</f>
        <v/>
      </c>
      <c r="N217" s="21">
        <f>IF(J217="Yes","",IF(H217&gt;=I217,1,0))</f>
        <v/>
      </c>
      <c r="O217" s="21">
        <f>IF(I217&lt;=5000000,"Under $5M",IF(I217&lt;=20000000,"$5M-20M",IF(I217&lt;=50000000,"$20M-50M",IF(I217&lt;=100000000,"$50M-100M","$100M+"))))</f>
        <v/>
      </c>
      <c r="P217" s="21">
        <f>IF(E217&lt;=90,"90 or less",IF(E217&lt;=105,"91-105",IF(E217&lt;=120,"106-120",IF(E217&lt;=140,"121-140","Over 140"))))</f>
        <v/>
      </c>
      <c r="Q217" s="28">
        <f>INT(C217/10)*10</f>
        <v/>
      </c>
    </row>
    <row r="218">
      <c r="A218" s="21" t="n">
        <v>223</v>
      </c>
      <c r="B218" s="21" t="inlineStr">
        <is>
          <t>March or Die</t>
        </is>
      </c>
      <c r="C218" s="21" t="n">
        <v>1977</v>
      </c>
      <c r="D218" s="21" t="inlineStr">
        <is>
          <t>UK</t>
        </is>
      </c>
      <c r="E218" s="21" t="n">
        <v>107</v>
      </c>
      <c r="F218" s="21" t="inlineStr">
        <is>
          <t>English</t>
        </is>
      </c>
      <c r="G218" s="21" t="inlineStr">
        <is>
          <t>PG</t>
        </is>
      </c>
      <c r="H218" s="22" t="n">
        <v>1000000</v>
      </c>
      <c r="I218" s="22" t="n">
        <v>9000000</v>
      </c>
      <c r="J218" s="21">
        <f>IF(OR(H218="",H218=25529689.5),"Yes","No")</f>
        <v/>
      </c>
      <c r="K218" s="21">
        <f>IF(AND(D218="USA",C218&gt;=1980,J218="No"),"Yes","No")</f>
        <v/>
      </c>
      <c r="L218" s="26">
        <f>IF(J218="Yes","",H218-I218)</f>
        <v/>
      </c>
      <c r="M218" s="27">
        <f>IF(OR(J218="Yes",I218=0),"",H218/I218)</f>
        <v/>
      </c>
      <c r="N218" s="21">
        <f>IF(J218="Yes","",IF(H218&gt;=I218,1,0))</f>
        <v/>
      </c>
      <c r="O218" s="21">
        <f>IF(I218&lt;=5000000,"Under $5M",IF(I218&lt;=20000000,"$5M-20M",IF(I218&lt;=50000000,"$20M-50M",IF(I218&lt;=100000000,"$50M-100M","$100M+"))))</f>
        <v/>
      </c>
      <c r="P218" s="21">
        <f>IF(E218&lt;=90,"90 or less",IF(E218&lt;=105,"91-105",IF(E218&lt;=120,"106-120",IF(E218&lt;=140,"121-140","Over 140"))))</f>
        <v/>
      </c>
      <c r="Q218" s="28">
        <f>INT(C218/10)*10</f>
        <v/>
      </c>
    </row>
    <row r="219">
      <c r="A219" s="21" t="n">
        <v>224</v>
      </c>
      <c r="B219" s="21" t="inlineStr">
        <is>
          <t>New York, New York</t>
        </is>
      </c>
      <c r="C219" s="21" t="n">
        <v>1977</v>
      </c>
      <c r="D219" s="21" t="inlineStr">
        <is>
          <t>USA</t>
        </is>
      </c>
      <c r="E219" s="21" t="n">
        <v>136</v>
      </c>
      <c r="F219" s="21" t="inlineStr">
        <is>
          <t>English</t>
        </is>
      </c>
      <c r="G219" s="21" t="inlineStr">
        <is>
          <t>PG</t>
        </is>
      </c>
      <c r="H219" s="22" t="n">
        <v>25529689.5</v>
      </c>
      <c r="I219" s="22" t="n">
        <v>14000000</v>
      </c>
      <c r="J219" s="21">
        <f>IF(OR(H219="",H219=25529689.5),"Yes","No")</f>
        <v/>
      </c>
      <c r="K219" s="21">
        <f>IF(AND(D219="USA",C219&gt;=1980,J219="No"),"Yes","No")</f>
        <v/>
      </c>
      <c r="L219" s="26">
        <f>IF(J219="Yes","",H219-I219)</f>
        <v/>
      </c>
      <c r="M219" s="27">
        <f>IF(OR(J219="Yes",I219=0),"",H219/I219)</f>
        <v/>
      </c>
      <c r="N219" s="21">
        <f>IF(J219="Yes","",IF(H219&gt;=I219,1,0))</f>
        <v/>
      </c>
      <c r="O219" s="21">
        <f>IF(I219&lt;=5000000,"Under $5M",IF(I219&lt;=20000000,"$5M-20M",IF(I219&lt;=50000000,"$20M-50M",IF(I219&lt;=100000000,"$50M-100M","$100M+"))))</f>
        <v/>
      </c>
      <c r="P219" s="21">
        <f>IF(E219&lt;=90,"90 or less",IF(E219&lt;=105,"91-105",IF(E219&lt;=120,"106-120",IF(E219&lt;=140,"121-140","Over 140"))))</f>
        <v/>
      </c>
      <c r="Q219" s="28">
        <f>INT(C219/10)*10</f>
        <v/>
      </c>
    </row>
    <row r="220">
      <c r="A220" s="21" t="n">
        <v>225</v>
      </c>
      <c r="B220" s="21" t="inlineStr">
        <is>
          <t>Sorcerer</t>
        </is>
      </c>
      <c r="C220" s="21" t="n">
        <v>1977</v>
      </c>
      <c r="D220" s="21" t="inlineStr">
        <is>
          <t>USA</t>
        </is>
      </c>
      <c r="E220" s="21" t="n">
        <v>92</v>
      </c>
      <c r="F220" s="21" t="inlineStr">
        <is>
          <t>English</t>
        </is>
      </c>
      <c r="G220" s="21" t="inlineStr">
        <is>
          <t>PG</t>
        </is>
      </c>
      <c r="H220" s="22" t="n">
        <v>25529689.5</v>
      </c>
      <c r="I220" s="22" t="n">
        <v>12000000</v>
      </c>
      <c r="J220" s="21">
        <f>IF(OR(H220="",H220=25529689.5),"Yes","No")</f>
        <v/>
      </c>
      <c r="K220" s="21">
        <f>IF(AND(D220="USA",C220&gt;=1980,J220="No"),"Yes","No")</f>
        <v/>
      </c>
      <c r="L220" s="26">
        <f>IF(J220="Yes","",H220-I220)</f>
        <v/>
      </c>
      <c r="M220" s="27">
        <f>IF(OR(J220="Yes",I220=0),"",H220/I220)</f>
        <v/>
      </c>
      <c r="N220" s="21">
        <f>IF(J220="Yes","",IF(H220&gt;=I220,1,0))</f>
        <v/>
      </c>
      <c r="O220" s="21">
        <f>IF(I220&lt;=5000000,"Under $5M",IF(I220&lt;=20000000,"$5M-20M",IF(I220&lt;=50000000,"$20M-50M",IF(I220&lt;=100000000,"$50M-100M","$100M+"))))</f>
        <v/>
      </c>
      <c r="P220" s="21">
        <f>IF(E220&lt;=90,"90 or less",IF(E220&lt;=105,"91-105",IF(E220&lt;=120,"106-120",IF(E220&lt;=140,"121-140","Over 140"))))</f>
        <v/>
      </c>
      <c r="Q220" s="28">
        <f>INT(C220/10)*10</f>
        <v/>
      </c>
    </row>
    <row r="221">
      <c r="A221" s="21" t="n">
        <v>226</v>
      </c>
      <c r="B221" s="21" t="inlineStr">
        <is>
          <t>Star Wars: Episode IV - A New Hope</t>
        </is>
      </c>
      <c r="C221" s="21" t="n">
        <v>1977</v>
      </c>
      <c r="D221" s="21" t="inlineStr">
        <is>
          <t>USA</t>
        </is>
      </c>
      <c r="E221" s="21" t="n">
        <v>125</v>
      </c>
      <c r="F221" s="21" t="inlineStr">
        <is>
          <t>English</t>
        </is>
      </c>
      <c r="G221" s="21" t="inlineStr">
        <is>
          <t>PG</t>
        </is>
      </c>
      <c r="H221" s="22" t="n">
        <v>460935665</v>
      </c>
      <c r="I221" s="22" t="n">
        <v>11000000</v>
      </c>
      <c r="J221" s="21">
        <f>IF(OR(H221="",H221=25529689.5),"Yes","No")</f>
        <v/>
      </c>
      <c r="K221" s="21">
        <f>IF(AND(D221="USA",C221&gt;=1980,J221="No"),"Yes","No")</f>
        <v/>
      </c>
      <c r="L221" s="26">
        <f>IF(J221="Yes","",H221-I221)</f>
        <v/>
      </c>
      <c r="M221" s="27">
        <f>IF(OR(J221="Yes",I221=0),"",H221/I221)</f>
        <v/>
      </c>
      <c r="N221" s="21">
        <f>IF(J221="Yes","",IF(H221&gt;=I221,1,0))</f>
        <v/>
      </c>
      <c r="O221" s="21">
        <f>IF(I221&lt;=5000000,"Under $5M",IF(I221&lt;=20000000,"$5M-20M",IF(I221&lt;=50000000,"$20M-50M",IF(I221&lt;=100000000,"$50M-100M","$100M+"))))</f>
        <v/>
      </c>
      <c r="P221" s="21">
        <f>IF(E221&lt;=90,"90 or less",IF(E221&lt;=105,"91-105",IF(E221&lt;=120,"106-120",IF(E221&lt;=140,"121-140","Over 140"))))</f>
        <v/>
      </c>
      <c r="Q221" s="28">
        <f>INT(C221/10)*10</f>
        <v/>
      </c>
    </row>
    <row r="222">
      <c r="A222" s="21" t="n">
        <v>227</v>
      </c>
      <c r="B222" s="21" t="inlineStr">
        <is>
          <t>The Kentucky Fried Movie</t>
        </is>
      </c>
      <c r="C222" s="21" t="n">
        <v>1977</v>
      </c>
      <c r="D222" s="21" t="inlineStr">
        <is>
          <t>USA</t>
        </is>
      </c>
      <c r="E222" s="21" t="n">
        <v>83</v>
      </c>
      <c r="F222" s="21" t="inlineStr">
        <is>
          <t>English</t>
        </is>
      </c>
      <c r="G222" s="21" t="inlineStr">
        <is>
          <t>R</t>
        </is>
      </c>
      <c r="H222" s="22" t="n">
        <v>25529689.5</v>
      </c>
      <c r="I222" s="22" t="n">
        <v>650000</v>
      </c>
      <c r="J222" s="21">
        <f>IF(OR(H222="",H222=25529689.5),"Yes","No")</f>
        <v/>
      </c>
      <c r="K222" s="21">
        <f>IF(AND(D222="USA",C222&gt;=1980,J222="No"),"Yes","No")</f>
        <v/>
      </c>
      <c r="L222" s="26">
        <f>IF(J222="Yes","",H222-I222)</f>
        <v/>
      </c>
      <c r="M222" s="27">
        <f>IF(OR(J222="Yes",I222=0),"",H222/I222)</f>
        <v/>
      </c>
      <c r="N222" s="21">
        <f>IF(J222="Yes","",IF(H222&gt;=I222,1,0))</f>
        <v/>
      </c>
      <c r="O222" s="21">
        <f>IF(I222&lt;=5000000,"Under $5M",IF(I222&lt;=20000000,"$5M-20M",IF(I222&lt;=50000000,"$20M-50M",IF(I222&lt;=100000000,"$50M-100M","$100M+"))))</f>
        <v/>
      </c>
      <c r="P222" s="21">
        <f>IF(E222&lt;=90,"90 or less",IF(E222&lt;=105,"91-105",IF(E222&lt;=120,"106-120",IF(E222&lt;=140,"121-140","Over 140"))))</f>
        <v/>
      </c>
      <c r="Q222" s="28">
        <f>INT(C222/10)*10</f>
        <v/>
      </c>
    </row>
    <row r="223">
      <c r="A223" s="21" t="n">
        <v>228</v>
      </c>
      <c r="B223" s="21" t="inlineStr">
        <is>
          <t>The Spy Who Loved Me</t>
        </is>
      </c>
      <c r="C223" s="21" t="n">
        <v>1977</v>
      </c>
      <c r="D223" s="21" t="inlineStr">
        <is>
          <t>UK</t>
        </is>
      </c>
      <c r="E223" s="21" t="n">
        <v>123</v>
      </c>
      <c r="F223" s="21" t="inlineStr">
        <is>
          <t>English</t>
        </is>
      </c>
      <c r="G223" s="21" t="inlineStr">
        <is>
          <t>PG</t>
        </is>
      </c>
      <c r="H223" s="22" t="n">
        <v>46800000</v>
      </c>
      <c r="I223" s="22" t="n">
        <v>14000000</v>
      </c>
      <c r="J223" s="21">
        <f>IF(OR(H223="",H223=25529689.5),"Yes","No")</f>
        <v/>
      </c>
      <c r="K223" s="21">
        <f>IF(AND(D223="USA",C223&gt;=1980,J223="No"),"Yes","No")</f>
        <v/>
      </c>
      <c r="L223" s="26">
        <f>IF(J223="Yes","",H223-I223)</f>
        <v/>
      </c>
      <c r="M223" s="27">
        <f>IF(OR(J223="Yes",I223=0),"",H223/I223)</f>
        <v/>
      </c>
      <c r="N223" s="21">
        <f>IF(J223="Yes","",IF(H223&gt;=I223,1,0))</f>
        <v/>
      </c>
      <c r="O223" s="21">
        <f>IF(I223&lt;=5000000,"Under $5M",IF(I223&lt;=20000000,"$5M-20M",IF(I223&lt;=50000000,"$20M-50M",IF(I223&lt;=100000000,"$50M-100M","$100M+"))))</f>
        <v/>
      </c>
      <c r="P223" s="21">
        <f>IF(E223&lt;=90,"90 or less",IF(E223&lt;=105,"91-105",IF(E223&lt;=120,"106-120",IF(E223&lt;=140,"121-140","Over 140"))))</f>
        <v/>
      </c>
      <c r="Q223" s="28">
        <f>INT(C223/10)*10</f>
        <v/>
      </c>
    </row>
    <row r="224">
      <c r="A224" s="21" t="n">
        <v>229</v>
      </c>
      <c r="B224" s="21" t="inlineStr">
        <is>
          <t>Alien Zone</t>
        </is>
      </c>
      <c r="C224" s="21" t="n">
        <v>1978</v>
      </c>
      <c r="D224" s="21" t="inlineStr">
        <is>
          <t>USA</t>
        </is>
      </c>
      <c r="E224" s="21" t="n">
        <v>79</v>
      </c>
      <c r="F224" s="21" t="inlineStr">
        <is>
          <t>English</t>
        </is>
      </c>
      <c r="G224" s="21" t="inlineStr">
        <is>
          <t>PG</t>
        </is>
      </c>
      <c r="H224" s="22" t="n">
        <v>25529689.5</v>
      </c>
      <c r="I224" s="22" t="n">
        <v>350000</v>
      </c>
      <c r="J224" s="21">
        <f>IF(OR(H224="",H224=25529689.5),"Yes","No")</f>
        <v/>
      </c>
      <c r="K224" s="21">
        <f>IF(AND(D224="USA",C224&gt;=1980,J224="No"),"Yes","No")</f>
        <v/>
      </c>
      <c r="L224" s="26">
        <f>IF(J224="Yes","",H224-I224)</f>
        <v/>
      </c>
      <c r="M224" s="27">
        <f>IF(OR(J224="Yes",I224=0),"",H224/I224)</f>
        <v/>
      </c>
      <c r="N224" s="21">
        <f>IF(J224="Yes","",IF(H224&gt;=I224,1,0))</f>
        <v/>
      </c>
      <c r="O224" s="21">
        <f>IF(I224&lt;=5000000,"Under $5M",IF(I224&lt;=20000000,"$5M-20M",IF(I224&lt;=50000000,"$20M-50M",IF(I224&lt;=100000000,"$50M-100M","$100M+"))))</f>
        <v/>
      </c>
      <c r="P224" s="21">
        <f>IF(E224&lt;=90,"90 or less",IF(E224&lt;=105,"91-105",IF(E224&lt;=120,"106-120",IF(E224&lt;=140,"121-140","Over 140"))))</f>
        <v/>
      </c>
      <c r="Q224" s="28">
        <f>INT(C224/10)*10</f>
        <v/>
      </c>
    </row>
    <row r="225">
      <c r="A225" s="21" t="n">
        <v>230</v>
      </c>
      <c r="B225" s="21" t="inlineStr">
        <is>
          <t>Animal House</t>
        </is>
      </c>
      <c r="C225" s="21" t="n">
        <v>1978</v>
      </c>
      <c r="D225" s="21" t="inlineStr">
        <is>
          <t>USA</t>
        </is>
      </c>
      <c r="E225" s="21" t="n">
        <v>109</v>
      </c>
      <c r="F225" s="21" t="inlineStr">
        <is>
          <t>English</t>
        </is>
      </c>
      <c r="G225" s="21" t="inlineStr">
        <is>
          <t>R</t>
        </is>
      </c>
      <c r="H225" s="22" t="n">
        <v>141600000</v>
      </c>
      <c r="I225" s="22" t="n">
        <v>3000000</v>
      </c>
      <c r="J225" s="21">
        <f>IF(OR(H225="",H225=25529689.5),"Yes","No")</f>
        <v/>
      </c>
      <c r="K225" s="21">
        <f>IF(AND(D225="USA",C225&gt;=1980,J225="No"),"Yes","No")</f>
        <v/>
      </c>
      <c r="L225" s="26">
        <f>IF(J225="Yes","",H225-I225)</f>
        <v/>
      </c>
      <c r="M225" s="27">
        <f>IF(OR(J225="Yes",I225=0),"",H225/I225)</f>
        <v/>
      </c>
      <c r="N225" s="21">
        <f>IF(J225="Yes","",IF(H225&gt;=I225,1,0))</f>
        <v/>
      </c>
      <c r="O225" s="21">
        <f>IF(I225&lt;=5000000,"Under $5M",IF(I225&lt;=20000000,"$5M-20M",IF(I225&lt;=50000000,"$20M-50M",IF(I225&lt;=100000000,"$50M-100M","$100M+"))))</f>
        <v/>
      </c>
      <c r="P225" s="21">
        <f>IF(E225&lt;=90,"90 or less",IF(E225&lt;=105,"91-105",IF(E225&lt;=120,"106-120",IF(E225&lt;=140,"121-140","Over 140"))))</f>
        <v/>
      </c>
      <c r="Q225" s="28">
        <f>INT(C225/10)*10</f>
        <v/>
      </c>
    </row>
    <row r="226">
      <c r="A226" s="21" t="n">
        <v>231</v>
      </c>
      <c r="B226" s="21" t="inlineStr">
        <is>
          <t>Caravans</t>
        </is>
      </c>
      <c r="C226" s="21" t="n">
        <v>1978</v>
      </c>
      <c r="D226" s="21" t="inlineStr">
        <is>
          <t>Iran</t>
        </is>
      </c>
      <c r="E226" s="21" t="n">
        <v>127</v>
      </c>
      <c r="F226" s="21" t="inlineStr">
        <is>
          <t>English</t>
        </is>
      </c>
      <c r="G226" s="21" t="inlineStr">
        <is>
          <t>PG</t>
        </is>
      </c>
      <c r="H226" s="22" t="n">
        <v>1000000</v>
      </c>
      <c r="I226" s="22" t="n">
        <v>14000000</v>
      </c>
      <c r="J226" s="21">
        <f>IF(OR(H226="",H226=25529689.5),"Yes","No")</f>
        <v/>
      </c>
      <c r="K226" s="21">
        <f>IF(AND(D226="USA",C226&gt;=1980,J226="No"),"Yes","No")</f>
        <v/>
      </c>
      <c r="L226" s="26">
        <f>IF(J226="Yes","",H226-I226)</f>
        <v/>
      </c>
      <c r="M226" s="27">
        <f>IF(OR(J226="Yes",I226=0),"",H226/I226)</f>
        <v/>
      </c>
      <c r="N226" s="21">
        <f>IF(J226="Yes","",IF(H226&gt;=I226,1,0))</f>
        <v/>
      </c>
      <c r="O226" s="21">
        <f>IF(I226&lt;=5000000,"Under $5M",IF(I226&lt;=20000000,"$5M-20M",IF(I226&lt;=50000000,"$20M-50M",IF(I226&lt;=100000000,"$50M-100M","$100M+"))))</f>
        <v/>
      </c>
      <c r="P226" s="21">
        <f>IF(E226&lt;=90,"90 or less",IF(E226&lt;=105,"91-105",IF(E226&lt;=120,"106-120",IF(E226&lt;=140,"121-140","Over 140"))))</f>
        <v/>
      </c>
      <c r="Q226" s="28">
        <f>INT(C226/10)*10</f>
        <v/>
      </c>
    </row>
    <row r="227">
      <c r="A227" s="21" t="n">
        <v>232</v>
      </c>
      <c r="B227" s="21" t="inlineStr">
        <is>
          <t>Days of Heaven</t>
        </is>
      </c>
      <c r="C227" s="21" t="n">
        <v>1978</v>
      </c>
      <c r="D227" s="21" t="inlineStr">
        <is>
          <t>USA</t>
        </is>
      </c>
      <c r="E227" s="21" t="n">
        <v>94</v>
      </c>
      <c r="F227" s="21" t="inlineStr">
        <is>
          <t>English</t>
        </is>
      </c>
      <c r="G227" s="21" t="inlineStr">
        <is>
          <t>PG</t>
        </is>
      </c>
      <c r="H227" s="22" t="n">
        <v>25529689.5</v>
      </c>
      <c r="I227" s="22" t="n">
        <v>3000000</v>
      </c>
      <c r="J227" s="21">
        <f>IF(OR(H227="",H227=25529689.5),"Yes","No")</f>
        <v/>
      </c>
      <c r="K227" s="21">
        <f>IF(AND(D227="USA",C227&gt;=1980,J227="No"),"Yes","No")</f>
        <v/>
      </c>
      <c r="L227" s="26">
        <f>IF(J227="Yes","",H227-I227)</f>
        <v/>
      </c>
      <c r="M227" s="27">
        <f>IF(OR(J227="Yes",I227=0),"",H227/I227)</f>
        <v/>
      </c>
      <c r="N227" s="21">
        <f>IF(J227="Yes","",IF(H227&gt;=I227,1,0))</f>
        <v/>
      </c>
      <c r="O227" s="21">
        <f>IF(I227&lt;=5000000,"Under $5M",IF(I227&lt;=20000000,"$5M-20M",IF(I227&lt;=50000000,"$20M-50M",IF(I227&lt;=100000000,"$50M-100M","$100M+"))))</f>
        <v/>
      </c>
      <c r="P227" s="21">
        <f>IF(E227&lt;=90,"90 or less",IF(E227&lt;=105,"91-105",IF(E227&lt;=120,"106-120",IF(E227&lt;=140,"121-140","Over 140"))))</f>
        <v/>
      </c>
      <c r="Q227" s="28">
        <f>INT(C227/10)*10</f>
        <v/>
      </c>
    </row>
    <row r="228">
      <c r="A228" s="21" t="n">
        <v>233</v>
      </c>
      <c r="B228" s="21" t="inlineStr">
        <is>
          <t>F.I.S.T.</t>
        </is>
      </c>
      <c r="C228" s="21" t="n">
        <v>1978</v>
      </c>
      <c r="D228" s="21" t="inlineStr">
        <is>
          <t>USA</t>
        </is>
      </c>
      <c r="E228" s="21" t="n">
        <v>145</v>
      </c>
      <c r="F228" s="21" t="inlineStr">
        <is>
          <t>English</t>
        </is>
      </c>
      <c r="G228" s="21" t="inlineStr">
        <is>
          <t>PG</t>
        </is>
      </c>
      <c r="H228" s="22" t="n">
        <v>25529689.5</v>
      </c>
      <c r="I228" s="22" t="n">
        <v>11000000</v>
      </c>
      <c r="J228" s="21">
        <f>IF(OR(H228="",H228=25529689.5),"Yes","No")</f>
        <v/>
      </c>
      <c r="K228" s="21">
        <f>IF(AND(D228="USA",C228&gt;=1980,J228="No"),"Yes","No")</f>
        <v/>
      </c>
      <c r="L228" s="26">
        <f>IF(J228="Yes","",H228-I228)</f>
        <v/>
      </c>
      <c r="M228" s="27">
        <f>IF(OR(J228="Yes",I228=0),"",H228/I228)</f>
        <v/>
      </c>
      <c r="N228" s="21">
        <f>IF(J228="Yes","",IF(H228&gt;=I228,1,0))</f>
        <v/>
      </c>
      <c r="O228" s="21">
        <f>IF(I228&lt;=5000000,"Under $5M",IF(I228&lt;=20000000,"$5M-20M",IF(I228&lt;=50000000,"$20M-50M",IF(I228&lt;=100000000,"$50M-100M","$100M+"))))</f>
        <v/>
      </c>
      <c r="P228" s="21">
        <f>IF(E228&lt;=90,"90 or less",IF(E228&lt;=105,"91-105",IF(E228&lt;=120,"106-120",IF(E228&lt;=140,"121-140","Over 140"))))</f>
        <v/>
      </c>
      <c r="Q228" s="28">
        <f>INT(C228/10)*10</f>
        <v/>
      </c>
    </row>
    <row r="229">
      <c r="A229" s="21" t="n">
        <v>234</v>
      </c>
      <c r="B229" s="21" t="inlineStr">
        <is>
          <t>Force 10 from Navarone</t>
        </is>
      </c>
      <c r="C229" s="21" t="n">
        <v>1978</v>
      </c>
      <c r="D229" s="21" t="inlineStr">
        <is>
          <t>UK</t>
        </is>
      </c>
      <c r="E229" s="21" t="n">
        <v>126</v>
      </c>
      <c r="F229" s="21" t="inlineStr">
        <is>
          <t>English</t>
        </is>
      </c>
      <c r="G229" s="21" t="inlineStr">
        <is>
          <t>PG</t>
        </is>
      </c>
      <c r="H229" s="22" t="n">
        <v>25529689.5</v>
      </c>
      <c r="I229" s="22" t="n">
        <v>5000000</v>
      </c>
      <c r="J229" s="21">
        <f>IF(OR(H229="",H229=25529689.5),"Yes","No")</f>
        <v/>
      </c>
      <c r="K229" s="21">
        <f>IF(AND(D229="USA",C229&gt;=1980,J229="No"),"Yes","No")</f>
        <v/>
      </c>
      <c r="L229" s="26">
        <f>IF(J229="Yes","",H229-I229)</f>
        <v/>
      </c>
      <c r="M229" s="27">
        <f>IF(OR(J229="Yes",I229=0),"",H229/I229)</f>
        <v/>
      </c>
      <c r="N229" s="21">
        <f>IF(J229="Yes","",IF(H229&gt;=I229,1,0))</f>
        <v/>
      </c>
      <c r="O229" s="21">
        <f>IF(I229&lt;=5000000,"Under $5M",IF(I229&lt;=20000000,"$5M-20M",IF(I229&lt;=50000000,"$20M-50M",IF(I229&lt;=100000000,"$50M-100M","$100M+"))))</f>
        <v/>
      </c>
      <c r="P229" s="21">
        <f>IF(E229&lt;=90,"90 or less",IF(E229&lt;=105,"91-105",IF(E229&lt;=120,"106-120",IF(E229&lt;=140,"121-140","Over 140"))))</f>
        <v/>
      </c>
      <c r="Q229" s="28">
        <f>INT(C229/10)*10</f>
        <v/>
      </c>
    </row>
    <row r="230">
      <c r="A230" s="21" t="n">
        <v>235</v>
      </c>
      <c r="B230" s="21" t="inlineStr">
        <is>
          <t>Grease</t>
        </is>
      </c>
      <c r="C230" s="21" t="n">
        <v>1978</v>
      </c>
      <c r="D230" s="21" t="inlineStr">
        <is>
          <t>USA</t>
        </is>
      </c>
      <c r="E230" s="21" t="n">
        <v>110</v>
      </c>
      <c r="F230" s="21" t="inlineStr">
        <is>
          <t>English</t>
        </is>
      </c>
      <c r="G230" s="21" t="inlineStr">
        <is>
          <t>PG-13</t>
        </is>
      </c>
      <c r="H230" s="22" t="n">
        <v>181360000</v>
      </c>
      <c r="I230" s="22" t="n">
        <v>6000000</v>
      </c>
      <c r="J230" s="21">
        <f>IF(OR(H230="",H230=25529689.5),"Yes","No")</f>
        <v/>
      </c>
      <c r="K230" s="21">
        <f>IF(AND(D230="USA",C230&gt;=1980,J230="No"),"Yes","No")</f>
        <v/>
      </c>
      <c r="L230" s="26">
        <f>IF(J230="Yes","",H230-I230)</f>
        <v/>
      </c>
      <c r="M230" s="27">
        <f>IF(OR(J230="Yes",I230=0),"",H230/I230)</f>
        <v/>
      </c>
      <c r="N230" s="21">
        <f>IF(J230="Yes","",IF(H230&gt;=I230,1,0))</f>
        <v/>
      </c>
      <c r="O230" s="21">
        <f>IF(I230&lt;=5000000,"Under $5M",IF(I230&lt;=20000000,"$5M-20M",IF(I230&lt;=50000000,"$20M-50M",IF(I230&lt;=100000000,"$50M-100M","$100M+"))))</f>
        <v/>
      </c>
      <c r="P230" s="21">
        <f>IF(E230&lt;=90,"90 or less",IF(E230&lt;=105,"91-105",IF(E230&lt;=120,"106-120",IF(E230&lt;=140,"121-140","Over 140"))))</f>
        <v/>
      </c>
      <c r="Q230" s="28">
        <f>INT(C230/10)*10</f>
        <v/>
      </c>
    </row>
    <row r="231">
      <c r="A231" s="21" t="n">
        <v>236</v>
      </c>
      <c r="B231" s="21" t="inlineStr">
        <is>
          <t>Halloween</t>
        </is>
      </c>
      <c r="C231" s="21" t="n">
        <v>1978</v>
      </c>
      <c r="D231" s="21" t="inlineStr">
        <is>
          <t>USA</t>
        </is>
      </c>
      <c r="E231" s="21" t="n">
        <v>101</v>
      </c>
      <c r="F231" s="21" t="inlineStr">
        <is>
          <t>English</t>
        </is>
      </c>
      <c r="G231" s="21" t="inlineStr">
        <is>
          <t>R</t>
        </is>
      </c>
      <c r="H231" s="22" t="n">
        <v>47000000</v>
      </c>
      <c r="I231" s="22" t="n">
        <v>300000</v>
      </c>
      <c r="J231" s="21">
        <f>IF(OR(H231="",H231=25529689.5),"Yes","No")</f>
        <v/>
      </c>
      <c r="K231" s="21">
        <f>IF(AND(D231="USA",C231&gt;=1980,J231="No"),"Yes","No")</f>
        <v/>
      </c>
      <c r="L231" s="26">
        <f>IF(J231="Yes","",H231-I231)</f>
        <v/>
      </c>
      <c r="M231" s="27">
        <f>IF(OR(J231="Yes",I231=0),"",H231/I231)</f>
        <v/>
      </c>
      <c r="N231" s="21">
        <f>IF(J231="Yes","",IF(H231&gt;=I231,1,0))</f>
        <v/>
      </c>
      <c r="O231" s="21">
        <f>IF(I231&lt;=5000000,"Under $5M",IF(I231&lt;=20000000,"$5M-20M",IF(I231&lt;=50000000,"$20M-50M",IF(I231&lt;=100000000,"$50M-100M","$100M+"))))</f>
        <v/>
      </c>
      <c r="P231" s="21">
        <f>IF(E231&lt;=90,"90 or less",IF(E231&lt;=105,"91-105",IF(E231&lt;=120,"106-120",IF(E231&lt;=140,"121-140","Over 140"))))</f>
        <v/>
      </c>
      <c r="Q231" s="28">
        <f>INT(C231/10)*10</f>
        <v/>
      </c>
    </row>
    <row r="232">
      <c r="A232" s="21" t="n">
        <v>239</v>
      </c>
      <c r="B232" s="21" t="inlineStr">
        <is>
          <t>Jaws 2</t>
        </is>
      </c>
      <c r="C232" s="21" t="n">
        <v>1978</v>
      </c>
      <c r="D232" s="21" t="inlineStr">
        <is>
          <t>USA</t>
        </is>
      </c>
      <c r="E232" s="21" t="n">
        <v>131</v>
      </c>
      <c r="F232" s="21" t="inlineStr">
        <is>
          <t>English</t>
        </is>
      </c>
      <c r="G232" s="21" t="inlineStr">
        <is>
          <t>PG</t>
        </is>
      </c>
      <c r="H232" s="22" t="n">
        <v>102922376</v>
      </c>
      <c r="I232" s="22" t="n">
        <v>20000000</v>
      </c>
      <c r="J232" s="21">
        <f>IF(OR(H232="",H232=25529689.5),"Yes","No")</f>
        <v/>
      </c>
      <c r="K232" s="21">
        <f>IF(AND(D232="USA",C232&gt;=1980,J232="No"),"Yes","No")</f>
        <v/>
      </c>
      <c r="L232" s="26">
        <f>IF(J232="Yes","",H232-I232)</f>
        <v/>
      </c>
      <c r="M232" s="27">
        <f>IF(OR(J232="Yes",I232=0),"",H232/I232)</f>
        <v/>
      </c>
      <c r="N232" s="21">
        <f>IF(J232="Yes","",IF(H232&gt;=I232,1,0))</f>
        <v/>
      </c>
      <c r="O232" s="21">
        <f>IF(I232&lt;=5000000,"Under $5M",IF(I232&lt;=20000000,"$5M-20M",IF(I232&lt;=50000000,"$20M-50M",IF(I232&lt;=100000000,"$50M-100M","$100M+"))))</f>
        <v/>
      </c>
      <c r="P232" s="21">
        <f>IF(E232&lt;=90,"90 or less",IF(E232&lt;=105,"91-105",IF(E232&lt;=120,"106-120",IF(E232&lt;=140,"121-140","Over 140"))))</f>
        <v/>
      </c>
      <c r="Q232" s="28">
        <f>INT(C232/10)*10</f>
        <v/>
      </c>
    </row>
    <row r="233">
      <c r="A233" s="21" t="n">
        <v>240</v>
      </c>
      <c r="B233" s="21" t="inlineStr">
        <is>
          <t>Superman</t>
        </is>
      </c>
      <c r="C233" s="21" t="n">
        <v>1978</v>
      </c>
      <c r="D233" s="21" t="inlineStr">
        <is>
          <t>USA</t>
        </is>
      </c>
      <c r="E233" s="21" t="n">
        <v>188</v>
      </c>
      <c r="F233" s="21" t="inlineStr">
        <is>
          <t>English</t>
        </is>
      </c>
      <c r="G233" s="21" t="inlineStr">
        <is>
          <t>PG</t>
        </is>
      </c>
      <c r="H233" s="22" t="n">
        <v>134218018</v>
      </c>
      <c r="I233" s="22" t="n">
        <v>55000000</v>
      </c>
      <c r="J233" s="21">
        <f>IF(OR(H233="",H233=25529689.5),"Yes","No")</f>
        <v/>
      </c>
      <c r="K233" s="21">
        <f>IF(AND(D233="USA",C233&gt;=1980,J233="No"),"Yes","No")</f>
        <v/>
      </c>
      <c r="L233" s="26">
        <f>IF(J233="Yes","",H233-I233)</f>
        <v/>
      </c>
      <c r="M233" s="27">
        <f>IF(OR(J233="Yes",I233=0),"",H233/I233)</f>
        <v/>
      </c>
      <c r="N233" s="21">
        <f>IF(J233="Yes","",IF(H233&gt;=I233,1,0))</f>
        <v/>
      </c>
      <c r="O233" s="21">
        <f>IF(I233&lt;=5000000,"Under $5M",IF(I233&lt;=20000000,"$5M-20M",IF(I233&lt;=50000000,"$20M-50M",IF(I233&lt;=100000000,"$50M-100M","$100M+"))))</f>
        <v/>
      </c>
      <c r="P233" s="21">
        <f>IF(E233&lt;=90,"90 or less",IF(E233&lt;=105,"91-105",IF(E233&lt;=120,"106-120",IF(E233&lt;=140,"121-140","Over 140"))))</f>
        <v/>
      </c>
      <c r="Q233" s="28">
        <f>INT(C233/10)*10</f>
        <v/>
      </c>
    </row>
    <row r="234">
      <c r="A234" s="21" t="n">
        <v>241</v>
      </c>
      <c r="B234" s="21" t="inlineStr">
        <is>
          <t>The Boys from Brazil</t>
        </is>
      </c>
      <c r="C234" s="21" t="n">
        <v>1978</v>
      </c>
      <c r="D234" s="21" t="inlineStr">
        <is>
          <t>UK</t>
        </is>
      </c>
      <c r="E234" s="21" t="n">
        <v>125</v>
      </c>
      <c r="F234" s="21" t="inlineStr">
        <is>
          <t>English</t>
        </is>
      </c>
      <c r="G234" s="21" t="inlineStr">
        <is>
          <t>R</t>
        </is>
      </c>
      <c r="H234" s="22" t="n">
        <v>25529689.5</v>
      </c>
      <c r="I234" s="22" t="n">
        <v>12000000</v>
      </c>
      <c r="J234" s="21">
        <f>IF(OR(H234="",H234=25529689.5),"Yes","No")</f>
        <v/>
      </c>
      <c r="K234" s="21">
        <f>IF(AND(D234="USA",C234&gt;=1980,J234="No"),"Yes","No")</f>
        <v/>
      </c>
      <c r="L234" s="26">
        <f>IF(J234="Yes","",H234-I234)</f>
        <v/>
      </c>
      <c r="M234" s="27">
        <f>IF(OR(J234="Yes",I234=0),"",H234/I234)</f>
        <v/>
      </c>
      <c r="N234" s="21">
        <f>IF(J234="Yes","",IF(H234&gt;=I234,1,0))</f>
        <v/>
      </c>
      <c r="O234" s="21">
        <f>IF(I234&lt;=5000000,"Under $5M",IF(I234&lt;=20000000,"$5M-20M",IF(I234&lt;=50000000,"$20M-50M",IF(I234&lt;=100000000,"$50M-100M","$100M+"))))</f>
        <v/>
      </c>
      <c r="P234" s="21">
        <f>IF(E234&lt;=90,"90 or less",IF(E234&lt;=105,"91-105",IF(E234&lt;=120,"106-120",IF(E234&lt;=140,"121-140","Over 140"))))</f>
        <v/>
      </c>
      <c r="Q234" s="28">
        <f>INT(C234/10)*10</f>
        <v/>
      </c>
    </row>
    <row r="235">
      <c r="A235" s="21" t="n">
        <v>242</v>
      </c>
      <c r="B235" s="21" t="inlineStr">
        <is>
          <t>The Deer Hunter</t>
        </is>
      </c>
      <c r="C235" s="21" t="n">
        <v>1978</v>
      </c>
      <c r="D235" s="21" t="inlineStr">
        <is>
          <t>UK</t>
        </is>
      </c>
      <c r="E235" s="21" t="n">
        <v>183</v>
      </c>
      <c r="F235" s="21" t="inlineStr">
        <is>
          <t>English</t>
        </is>
      </c>
      <c r="G235" s="21" t="inlineStr">
        <is>
          <t>R</t>
        </is>
      </c>
      <c r="H235" s="22" t="n">
        <v>25529689.5</v>
      </c>
      <c r="I235" s="22" t="n">
        <v>15000000</v>
      </c>
      <c r="J235" s="21">
        <f>IF(OR(H235="",H235=25529689.5),"Yes","No")</f>
        <v/>
      </c>
      <c r="K235" s="21">
        <f>IF(AND(D235="USA",C235&gt;=1980,J235="No"),"Yes","No")</f>
        <v/>
      </c>
      <c r="L235" s="26">
        <f>IF(J235="Yes","",H235-I235)</f>
        <v/>
      </c>
      <c r="M235" s="27">
        <f>IF(OR(J235="Yes",I235=0),"",H235/I235)</f>
        <v/>
      </c>
      <c r="N235" s="21">
        <f>IF(J235="Yes","",IF(H235&gt;=I235,1,0))</f>
        <v/>
      </c>
      <c r="O235" s="21">
        <f>IF(I235&lt;=5000000,"Under $5M",IF(I235&lt;=20000000,"$5M-20M",IF(I235&lt;=50000000,"$20M-50M",IF(I235&lt;=100000000,"$50M-100M","$100M+"))))</f>
        <v/>
      </c>
      <c r="P235" s="21">
        <f>IF(E235&lt;=90,"90 or less",IF(E235&lt;=105,"91-105",IF(E235&lt;=120,"106-120",IF(E235&lt;=140,"121-140","Over 140"))))</f>
        <v/>
      </c>
      <c r="Q235" s="28">
        <f>INT(C235/10)*10</f>
        <v/>
      </c>
    </row>
    <row r="236">
      <c r="A236" s="21" t="n">
        <v>243</v>
      </c>
      <c r="B236" s="21" t="inlineStr">
        <is>
          <t>The Last Waltz</t>
        </is>
      </c>
      <c r="C236" s="21" t="n">
        <v>1978</v>
      </c>
      <c r="D236" s="21" t="inlineStr">
        <is>
          <t>USA</t>
        </is>
      </c>
      <c r="E236" s="21" t="n">
        <v>117</v>
      </c>
      <c r="F236" s="21" t="inlineStr">
        <is>
          <t>English</t>
        </is>
      </c>
      <c r="G236" s="21" t="inlineStr">
        <is>
          <t>PG</t>
        </is>
      </c>
      <c r="H236" s="22" t="n">
        <v>321952</v>
      </c>
      <c r="I236" s="22" t="n">
        <v>20000000</v>
      </c>
      <c r="J236" s="21">
        <f>IF(OR(H236="",H236=25529689.5),"Yes","No")</f>
        <v/>
      </c>
      <c r="K236" s="21">
        <f>IF(AND(D236="USA",C236&gt;=1980,J236="No"),"Yes","No")</f>
        <v/>
      </c>
      <c r="L236" s="26">
        <f>IF(J236="Yes","",H236-I236)</f>
        <v/>
      </c>
      <c r="M236" s="27">
        <f>IF(OR(J236="Yes",I236=0),"",H236/I236)</f>
        <v/>
      </c>
      <c r="N236" s="21">
        <f>IF(J236="Yes","",IF(H236&gt;=I236,1,0))</f>
        <v/>
      </c>
      <c r="O236" s="21">
        <f>IF(I236&lt;=5000000,"Under $5M",IF(I236&lt;=20000000,"$5M-20M",IF(I236&lt;=50000000,"$20M-50M",IF(I236&lt;=100000000,"$50M-100M","$100M+"))))</f>
        <v/>
      </c>
      <c r="P236" s="21">
        <f>IF(E236&lt;=90,"90 or less",IF(E236&lt;=105,"91-105",IF(E236&lt;=120,"106-120",IF(E236&lt;=140,"121-140","Over 140"))))</f>
        <v/>
      </c>
      <c r="Q236" s="28">
        <f>INT(C236/10)*10</f>
        <v/>
      </c>
    </row>
    <row r="237">
      <c r="A237" s="21" t="n">
        <v>244</v>
      </c>
      <c r="B237" s="21" t="inlineStr">
        <is>
          <t>The Wiz</t>
        </is>
      </c>
      <c r="C237" s="21" t="n">
        <v>1978</v>
      </c>
      <c r="D237" s="21" t="inlineStr">
        <is>
          <t>USA</t>
        </is>
      </c>
      <c r="E237" s="21" t="n">
        <v>118</v>
      </c>
      <c r="F237" s="21" t="inlineStr">
        <is>
          <t>English</t>
        </is>
      </c>
      <c r="G237" s="21" t="inlineStr">
        <is>
          <t>G</t>
        </is>
      </c>
      <c r="H237" s="22" t="n">
        <v>13000000</v>
      </c>
      <c r="I237" s="22" t="n">
        <v>24000000</v>
      </c>
      <c r="J237" s="21">
        <f>IF(OR(H237="",H237=25529689.5),"Yes","No")</f>
        <v/>
      </c>
      <c r="K237" s="21">
        <f>IF(AND(D237="USA",C237&gt;=1980,J237="No"),"Yes","No")</f>
        <v/>
      </c>
      <c r="L237" s="26">
        <f>IF(J237="Yes","",H237-I237)</f>
        <v/>
      </c>
      <c r="M237" s="27">
        <f>IF(OR(J237="Yes",I237=0),"",H237/I237)</f>
        <v/>
      </c>
      <c r="N237" s="21">
        <f>IF(J237="Yes","",IF(H237&gt;=I237,1,0))</f>
        <v/>
      </c>
      <c r="O237" s="21">
        <f>IF(I237&lt;=5000000,"Under $5M",IF(I237&lt;=20000000,"$5M-20M",IF(I237&lt;=50000000,"$20M-50M",IF(I237&lt;=100000000,"$50M-100M","$100M+"))))</f>
        <v/>
      </c>
      <c r="P237" s="21">
        <f>IF(E237&lt;=90,"90 or less",IF(E237&lt;=105,"91-105",IF(E237&lt;=120,"106-120",IF(E237&lt;=140,"121-140","Over 140"))))</f>
        <v/>
      </c>
      <c r="Q237" s="28">
        <f>INT(C237/10)*10</f>
        <v/>
      </c>
    </row>
    <row r="238">
      <c r="A238" s="21" t="n">
        <v>245</v>
      </c>
      <c r="B238" s="21" t="inlineStr">
        <is>
          <t>1941</t>
        </is>
      </c>
      <c r="C238" s="21" t="n">
        <v>1979</v>
      </c>
      <c r="D238" s="21" t="inlineStr">
        <is>
          <t>USA</t>
        </is>
      </c>
      <c r="E238" s="21" t="n">
        <v>142</v>
      </c>
      <c r="F238" s="21" t="inlineStr">
        <is>
          <t>English</t>
        </is>
      </c>
      <c r="G238" s="21" t="inlineStr">
        <is>
          <t>PG</t>
        </is>
      </c>
      <c r="H238" s="22" t="n">
        <v>25529689.5</v>
      </c>
      <c r="I238" s="22" t="n">
        <v>35000000</v>
      </c>
      <c r="J238" s="21">
        <f>IF(OR(H238="",H238=25529689.5),"Yes","No")</f>
        <v/>
      </c>
      <c r="K238" s="21">
        <f>IF(AND(D238="USA",C238&gt;=1980,J238="No"),"Yes","No")</f>
        <v/>
      </c>
      <c r="L238" s="26">
        <f>IF(J238="Yes","",H238-I238)</f>
        <v/>
      </c>
      <c r="M238" s="27">
        <f>IF(OR(J238="Yes",I238=0),"",H238/I238)</f>
        <v/>
      </c>
      <c r="N238" s="21">
        <f>IF(J238="Yes","",IF(H238&gt;=I238,1,0))</f>
        <v/>
      </c>
      <c r="O238" s="21">
        <f>IF(I238&lt;=5000000,"Under $5M",IF(I238&lt;=20000000,"$5M-20M",IF(I238&lt;=50000000,"$20M-50M",IF(I238&lt;=100000000,"$50M-100M","$100M+"))))</f>
        <v/>
      </c>
      <c r="P238" s="21">
        <f>IF(E238&lt;=90,"90 or less",IF(E238&lt;=105,"91-105",IF(E238&lt;=120,"106-120",IF(E238&lt;=140,"121-140","Over 140"))))</f>
        <v/>
      </c>
      <c r="Q238" s="28">
        <f>INT(C238/10)*10</f>
        <v/>
      </c>
    </row>
    <row r="239">
      <c r="A239" s="21" t="n">
        <v>246</v>
      </c>
      <c r="B239" s="21" t="inlineStr">
        <is>
          <t>Alien</t>
        </is>
      </c>
      <c r="C239" s="21" t="n">
        <v>1979</v>
      </c>
      <c r="D239" s="21" t="inlineStr">
        <is>
          <t>UK</t>
        </is>
      </c>
      <c r="E239" s="21" t="n">
        <v>116</v>
      </c>
      <c r="F239" s="21" t="inlineStr">
        <is>
          <t>English</t>
        </is>
      </c>
      <c r="G239" s="21" t="inlineStr">
        <is>
          <t>R</t>
        </is>
      </c>
      <c r="H239" s="22" t="n">
        <v>78900000</v>
      </c>
      <c r="I239" s="22" t="n">
        <v>11000000</v>
      </c>
      <c r="J239" s="21">
        <f>IF(OR(H239="",H239=25529689.5),"Yes","No")</f>
        <v/>
      </c>
      <c r="K239" s="21">
        <f>IF(AND(D239="USA",C239&gt;=1980,J239="No"),"Yes","No")</f>
        <v/>
      </c>
      <c r="L239" s="26">
        <f>IF(J239="Yes","",H239-I239)</f>
        <v/>
      </c>
      <c r="M239" s="27">
        <f>IF(OR(J239="Yes",I239=0),"",H239/I239)</f>
        <v/>
      </c>
      <c r="N239" s="21">
        <f>IF(J239="Yes","",IF(H239&gt;=I239,1,0))</f>
        <v/>
      </c>
      <c r="O239" s="21">
        <f>IF(I239&lt;=5000000,"Under $5M",IF(I239&lt;=20000000,"$5M-20M",IF(I239&lt;=50000000,"$20M-50M",IF(I239&lt;=100000000,"$50M-100M","$100M+"))))</f>
        <v/>
      </c>
      <c r="P239" s="21">
        <f>IF(E239&lt;=90,"90 or less",IF(E239&lt;=105,"91-105",IF(E239&lt;=120,"106-120",IF(E239&lt;=140,"121-140","Over 140"))))</f>
        <v/>
      </c>
      <c r="Q239" s="28">
        <f>INT(C239/10)*10</f>
        <v/>
      </c>
    </row>
    <row r="240">
      <c r="A240" s="21" t="n">
        <v>247</v>
      </c>
      <c r="B240" s="21" t="inlineStr">
        <is>
          <t>All That Jazz</t>
        </is>
      </c>
      <c r="C240" s="21" t="n">
        <v>1979</v>
      </c>
      <c r="D240" s="21" t="inlineStr">
        <is>
          <t>USA</t>
        </is>
      </c>
      <c r="E240" s="21" t="n">
        <v>123</v>
      </c>
      <c r="F240" s="21" t="inlineStr">
        <is>
          <t>English</t>
        </is>
      </c>
      <c r="G240" s="21" t="inlineStr">
        <is>
          <t>R</t>
        </is>
      </c>
      <c r="H240" s="22" t="n">
        <v>25529689.5</v>
      </c>
      <c r="I240" s="22" t="n">
        <v>20000000</v>
      </c>
      <c r="J240" s="21">
        <f>IF(OR(H240="",H240=25529689.5),"Yes","No")</f>
        <v/>
      </c>
      <c r="K240" s="21">
        <f>IF(AND(D240="USA",C240&gt;=1980,J240="No"),"Yes","No")</f>
        <v/>
      </c>
      <c r="L240" s="26">
        <f>IF(J240="Yes","",H240-I240)</f>
        <v/>
      </c>
      <c r="M240" s="27">
        <f>IF(OR(J240="Yes",I240=0),"",H240/I240)</f>
        <v/>
      </c>
      <c r="N240" s="21">
        <f>IF(J240="Yes","",IF(H240&gt;=I240,1,0))</f>
        <v/>
      </c>
      <c r="O240" s="21">
        <f>IF(I240&lt;=5000000,"Under $5M",IF(I240&lt;=20000000,"$5M-20M",IF(I240&lt;=50000000,"$20M-50M",IF(I240&lt;=100000000,"$50M-100M","$100M+"))))</f>
        <v/>
      </c>
      <c r="P240" s="21">
        <f>IF(E240&lt;=90,"90 or less",IF(E240&lt;=105,"91-105",IF(E240&lt;=120,"106-120",IF(E240&lt;=140,"121-140","Over 140"))))</f>
        <v/>
      </c>
      <c r="Q240" s="28">
        <f>INT(C240/10)*10</f>
        <v/>
      </c>
    </row>
    <row r="241">
      <c r="A241" s="21" t="n">
        <v>248</v>
      </c>
      <c r="B241" s="21" t="inlineStr">
        <is>
          <t>Apocalypse Now</t>
        </is>
      </c>
      <c r="C241" s="21" t="n">
        <v>1979</v>
      </c>
      <c r="D241" s="21" t="inlineStr">
        <is>
          <t>USA</t>
        </is>
      </c>
      <c r="E241" s="21" t="n">
        <v>289</v>
      </c>
      <c r="F241" s="21" t="inlineStr">
        <is>
          <t>English</t>
        </is>
      </c>
      <c r="G241" s="21" t="inlineStr">
        <is>
          <t>R</t>
        </is>
      </c>
      <c r="H241" s="22" t="n">
        <v>78800000</v>
      </c>
      <c r="I241" s="22" t="n">
        <v>31500000</v>
      </c>
      <c r="J241" s="21">
        <f>IF(OR(H241="",H241=25529689.5),"Yes","No")</f>
        <v/>
      </c>
      <c r="K241" s="21">
        <f>IF(AND(D241="USA",C241&gt;=1980,J241="No"),"Yes","No")</f>
        <v/>
      </c>
      <c r="L241" s="26">
        <f>IF(J241="Yes","",H241-I241)</f>
        <v/>
      </c>
      <c r="M241" s="27">
        <f>IF(OR(J241="Yes",I241=0),"",H241/I241)</f>
        <v/>
      </c>
      <c r="N241" s="21">
        <f>IF(J241="Yes","",IF(H241&gt;=I241,1,0))</f>
        <v/>
      </c>
      <c r="O241" s="21">
        <f>IF(I241&lt;=5000000,"Under $5M",IF(I241&lt;=20000000,"$5M-20M",IF(I241&lt;=50000000,"$20M-50M",IF(I241&lt;=100000000,"$50M-100M","$100M+"))))</f>
        <v/>
      </c>
      <c r="P241" s="21">
        <f>IF(E241&lt;=90,"90 or less",IF(E241&lt;=105,"91-105",IF(E241&lt;=120,"106-120",IF(E241&lt;=140,"121-140","Over 140"))))</f>
        <v/>
      </c>
      <c r="Q241" s="28">
        <f>INT(C241/10)*10</f>
        <v/>
      </c>
    </row>
    <row r="242">
      <c r="A242" s="21" t="n">
        <v>249</v>
      </c>
      <c r="B242" s="21" t="inlineStr">
        <is>
          <t>Escape from Alcatraz</t>
        </is>
      </c>
      <c r="C242" s="21" t="n">
        <v>1979</v>
      </c>
      <c r="D242" s="21" t="inlineStr">
        <is>
          <t>USA</t>
        </is>
      </c>
      <c r="E242" s="21" t="n">
        <v>112</v>
      </c>
      <c r="F242" s="21" t="inlineStr">
        <is>
          <t>English</t>
        </is>
      </c>
      <c r="G242" s="21" t="inlineStr">
        <is>
          <t>PG</t>
        </is>
      </c>
      <c r="H242" s="22" t="n">
        <v>36500000</v>
      </c>
      <c r="I242" s="22" t="n">
        <v>8000000</v>
      </c>
      <c r="J242" s="21">
        <f>IF(OR(H242="",H242=25529689.5),"Yes","No")</f>
        <v/>
      </c>
      <c r="K242" s="21">
        <f>IF(AND(D242="USA",C242&gt;=1980,J242="No"),"Yes","No")</f>
        <v/>
      </c>
      <c r="L242" s="26">
        <f>IF(J242="Yes","",H242-I242)</f>
        <v/>
      </c>
      <c r="M242" s="27">
        <f>IF(OR(J242="Yes",I242=0),"",H242/I242)</f>
        <v/>
      </c>
      <c r="N242" s="21">
        <f>IF(J242="Yes","",IF(H242&gt;=I242,1,0))</f>
        <v/>
      </c>
      <c r="O242" s="21">
        <f>IF(I242&lt;=5000000,"Under $5M",IF(I242&lt;=20000000,"$5M-20M",IF(I242&lt;=50000000,"$20M-50M",IF(I242&lt;=100000000,"$50M-100M","$100M+"))))</f>
        <v/>
      </c>
      <c r="P242" s="21">
        <f>IF(E242&lt;=90,"90 or less",IF(E242&lt;=105,"91-105",IF(E242&lt;=120,"106-120",IF(E242&lt;=140,"121-140","Over 140"))))</f>
        <v/>
      </c>
      <c r="Q242" s="28">
        <f>INT(C242/10)*10</f>
        <v/>
      </c>
    </row>
    <row r="243">
      <c r="A243" s="21" t="n">
        <v>250</v>
      </c>
      <c r="B243" s="21" t="inlineStr">
        <is>
          <t>Mad Max</t>
        </is>
      </c>
      <c r="C243" s="21" t="n">
        <v>1979</v>
      </c>
      <c r="D243" s="21" t="inlineStr">
        <is>
          <t>Australia</t>
        </is>
      </c>
      <c r="E243" s="21" t="n">
        <v>93</v>
      </c>
      <c r="F243" s="21" t="inlineStr">
        <is>
          <t>English</t>
        </is>
      </c>
      <c r="G243" s="21" t="inlineStr">
        <is>
          <t>R</t>
        </is>
      </c>
      <c r="H243" s="22" t="n">
        <v>25529689.5</v>
      </c>
      <c r="I243" s="22" t="n">
        <v>200000</v>
      </c>
      <c r="J243" s="21">
        <f>IF(OR(H243="",H243=25529689.5),"Yes","No")</f>
        <v/>
      </c>
      <c r="K243" s="21">
        <f>IF(AND(D243="USA",C243&gt;=1980,J243="No"),"Yes","No")</f>
        <v/>
      </c>
      <c r="L243" s="26">
        <f>IF(J243="Yes","",H243-I243)</f>
        <v/>
      </c>
      <c r="M243" s="27">
        <f>IF(OR(J243="Yes",I243=0),"",H243/I243)</f>
        <v/>
      </c>
      <c r="N243" s="21">
        <f>IF(J243="Yes","",IF(H243&gt;=I243,1,0))</f>
        <v/>
      </c>
      <c r="O243" s="21">
        <f>IF(I243&lt;=5000000,"Under $5M",IF(I243&lt;=20000000,"$5M-20M",IF(I243&lt;=50000000,"$20M-50M",IF(I243&lt;=100000000,"$50M-100M","$100M+"))))</f>
        <v/>
      </c>
      <c r="P243" s="21">
        <f>IF(E243&lt;=90,"90 or less",IF(E243&lt;=105,"91-105",IF(E243&lt;=120,"106-120",IF(E243&lt;=140,"121-140","Over 140"))))</f>
        <v/>
      </c>
      <c r="Q243" s="28">
        <f>INT(C243/10)*10</f>
        <v/>
      </c>
    </row>
    <row r="244">
      <c r="A244" s="21" t="n">
        <v>251</v>
      </c>
      <c r="B244" s="21" t="inlineStr">
        <is>
          <t>Meteor</t>
        </is>
      </c>
      <c r="C244" s="21" t="n">
        <v>1979</v>
      </c>
      <c r="D244" s="21" t="inlineStr">
        <is>
          <t>USA</t>
        </is>
      </c>
      <c r="E244" s="21" t="n">
        <v>108</v>
      </c>
      <c r="F244" s="21" t="inlineStr">
        <is>
          <t>English</t>
        </is>
      </c>
      <c r="G244" s="21" t="inlineStr">
        <is>
          <t>PG</t>
        </is>
      </c>
      <c r="H244" s="22" t="n">
        <v>25529689.5</v>
      </c>
      <c r="I244" s="22" t="n">
        <v>16000000</v>
      </c>
      <c r="J244" s="21">
        <f>IF(OR(H244="",H244=25529689.5),"Yes","No")</f>
        <v/>
      </c>
      <c r="K244" s="21">
        <f>IF(AND(D244="USA",C244&gt;=1980,J244="No"),"Yes","No")</f>
        <v/>
      </c>
      <c r="L244" s="26">
        <f>IF(J244="Yes","",H244-I244)</f>
        <v/>
      </c>
      <c r="M244" s="27">
        <f>IF(OR(J244="Yes",I244=0),"",H244/I244)</f>
        <v/>
      </c>
      <c r="N244" s="21">
        <f>IF(J244="Yes","",IF(H244&gt;=I244,1,0))</f>
        <v/>
      </c>
      <c r="O244" s="21">
        <f>IF(I244&lt;=5000000,"Under $5M",IF(I244&lt;=20000000,"$5M-20M",IF(I244&lt;=50000000,"$20M-50M",IF(I244&lt;=100000000,"$50M-100M","$100M+"))))</f>
        <v/>
      </c>
      <c r="P244" s="21">
        <f>IF(E244&lt;=90,"90 or less",IF(E244&lt;=105,"91-105",IF(E244&lt;=120,"106-120",IF(E244&lt;=140,"121-140","Over 140"))))</f>
        <v/>
      </c>
      <c r="Q244" s="28">
        <f>INT(C244/10)*10</f>
        <v/>
      </c>
    </row>
    <row r="245">
      <c r="A245" s="21" t="n">
        <v>252</v>
      </c>
      <c r="B245" s="21" t="inlineStr">
        <is>
          <t>Moonraker</t>
        </is>
      </c>
      <c r="C245" s="21" t="n">
        <v>1979</v>
      </c>
      <c r="D245" s="21" t="inlineStr">
        <is>
          <t>UK</t>
        </is>
      </c>
      <c r="E245" s="21" t="n">
        <v>126</v>
      </c>
      <c r="F245" s="21" t="inlineStr">
        <is>
          <t>English</t>
        </is>
      </c>
      <c r="G245" s="21" t="inlineStr">
        <is>
          <t>PG</t>
        </is>
      </c>
      <c r="H245" s="22" t="n">
        <v>62700000</v>
      </c>
      <c r="I245" s="22" t="n">
        <v>34000000</v>
      </c>
      <c r="J245" s="21">
        <f>IF(OR(H245="",H245=25529689.5),"Yes","No")</f>
        <v/>
      </c>
      <c r="K245" s="21">
        <f>IF(AND(D245="USA",C245&gt;=1980,J245="No"),"Yes","No")</f>
        <v/>
      </c>
      <c r="L245" s="26">
        <f>IF(J245="Yes","",H245-I245)</f>
        <v/>
      </c>
      <c r="M245" s="27">
        <f>IF(OR(J245="Yes",I245=0),"",H245/I245)</f>
        <v/>
      </c>
      <c r="N245" s="21">
        <f>IF(J245="Yes","",IF(H245&gt;=I245,1,0))</f>
        <v/>
      </c>
      <c r="O245" s="21">
        <f>IF(I245&lt;=5000000,"Under $5M",IF(I245&lt;=20000000,"$5M-20M",IF(I245&lt;=50000000,"$20M-50M",IF(I245&lt;=100000000,"$50M-100M","$100M+"))))</f>
        <v/>
      </c>
      <c r="P245" s="21">
        <f>IF(E245&lt;=90,"90 or less",IF(E245&lt;=105,"91-105",IF(E245&lt;=120,"106-120",IF(E245&lt;=140,"121-140","Over 140"))))</f>
        <v/>
      </c>
      <c r="Q245" s="28">
        <f>INT(C245/10)*10</f>
        <v/>
      </c>
    </row>
    <row r="246">
      <c r="A246" s="21" t="n">
        <v>253</v>
      </c>
      <c r="B246" s="21" t="inlineStr">
        <is>
          <t>Penitentiary</t>
        </is>
      </c>
      <c r="C246" s="21" t="n">
        <v>1979</v>
      </c>
      <c r="D246" s="21" t="inlineStr">
        <is>
          <t>USA</t>
        </is>
      </c>
      <c r="E246" s="21" t="n">
        <v>99</v>
      </c>
      <c r="F246" s="21" t="inlineStr">
        <is>
          <t>English</t>
        </is>
      </c>
      <c r="G246" s="21" t="inlineStr">
        <is>
          <t>R</t>
        </is>
      </c>
      <c r="H246" s="22" t="n">
        <v>25529689.5</v>
      </c>
      <c r="I246" s="22" t="n">
        <v>100000</v>
      </c>
      <c r="J246" s="21">
        <f>IF(OR(H246="",H246=25529689.5),"Yes","No")</f>
        <v/>
      </c>
      <c r="K246" s="21">
        <f>IF(AND(D246="USA",C246&gt;=1980,J246="No"),"Yes","No")</f>
        <v/>
      </c>
      <c r="L246" s="26">
        <f>IF(J246="Yes","",H246-I246)</f>
        <v/>
      </c>
      <c r="M246" s="27">
        <f>IF(OR(J246="Yes",I246=0),"",H246/I246)</f>
        <v/>
      </c>
      <c r="N246" s="21">
        <f>IF(J246="Yes","",IF(H246&gt;=I246,1,0))</f>
        <v/>
      </c>
      <c r="O246" s="21">
        <f>IF(I246&lt;=5000000,"Under $5M",IF(I246&lt;=20000000,"$5M-20M",IF(I246&lt;=50000000,"$20M-50M",IF(I246&lt;=100000000,"$50M-100M","$100M+"))))</f>
        <v/>
      </c>
      <c r="P246" s="21">
        <f>IF(E246&lt;=90,"90 or less",IF(E246&lt;=105,"91-105",IF(E246&lt;=120,"106-120",IF(E246&lt;=140,"121-140","Over 140"))))</f>
        <v/>
      </c>
      <c r="Q246" s="28">
        <f>INT(C246/10)*10</f>
        <v/>
      </c>
    </row>
    <row r="247">
      <c r="A247" s="21" t="n">
        <v>254</v>
      </c>
      <c r="B247" s="21" t="inlineStr">
        <is>
          <t>Prophecy</t>
        </is>
      </c>
      <c r="C247" s="21" t="n">
        <v>1979</v>
      </c>
      <c r="D247" s="21" t="inlineStr">
        <is>
          <t>USA</t>
        </is>
      </c>
      <c r="E247" s="21" t="n">
        <v>102</v>
      </c>
      <c r="F247" s="21" t="inlineStr">
        <is>
          <t>English</t>
        </is>
      </c>
      <c r="G247" s="21" t="inlineStr">
        <is>
          <t>PG</t>
        </is>
      </c>
      <c r="H247" s="22" t="n">
        <v>25529689.5</v>
      </c>
      <c r="I247" s="22" t="n">
        <v>12000000</v>
      </c>
      <c r="J247" s="21">
        <f>IF(OR(H247="",H247=25529689.5),"Yes","No")</f>
        <v/>
      </c>
      <c r="K247" s="21">
        <f>IF(AND(D247="USA",C247&gt;=1980,J247="No"),"Yes","No")</f>
        <v/>
      </c>
      <c r="L247" s="26">
        <f>IF(J247="Yes","",H247-I247)</f>
        <v/>
      </c>
      <c r="M247" s="27">
        <f>IF(OR(J247="Yes",I247=0),"",H247/I247)</f>
        <v/>
      </c>
      <c r="N247" s="21">
        <f>IF(J247="Yes","",IF(H247&gt;=I247,1,0))</f>
        <v/>
      </c>
      <c r="O247" s="21">
        <f>IF(I247&lt;=5000000,"Under $5M",IF(I247&lt;=20000000,"$5M-20M",IF(I247&lt;=50000000,"$20M-50M",IF(I247&lt;=100000000,"$50M-100M","$100M+"))))</f>
        <v/>
      </c>
      <c r="P247" s="21">
        <f>IF(E247&lt;=90,"90 or less",IF(E247&lt;=105,"91-105",IF(E247&lt;=120,"106-120",IF(E247&lt;=140,"121-140","Over 140"))))</f>
        <v/>
      </c>
      <c r="Q247" s="28">
        <f>INT(C247/10)*10</f>
        <v/>
      </c>
    </row>
    <row r="248">
      <c r="A248" s="21" t="n">
        <v>255</v>
      </c>
      <c r="B248" s="21" t="inlineStr">
        <is>
          <t>Star Trek: The Motion Picture</t>
        </is>
      </c>
      <c r="C248" s="21" t="n">
        <v>1979</v>
      </c>
      <c r="D248" s="21" t="inlineStr">
        <is>
          <t>USA</t>
        </is>
      </c>
      <c r="E248" s="21" t="n">
        <v>143</v>
      </c>
      <c r="F248" s="21" t="inlineStr">
        <is>
          <t>English</t>
        </is>
      </c>
      <c r="G248" s="21" t="inlineStr">
        <is>
          <t>PG</t>
        </is>
      </c>
      <c r="H248" s="22" t="n">
        <v>82300000</v>
      </c>
      <c r="I248" s="22" t="n">
        <v>35000000</v>
      </c>
      <c r="J248" s="21">
        <f>IF(OR(H248="",H248=25529689.5),"Yes","No")</f>
        <v/>
      </c>
      <c r="K248" s="21">
        <f>IF(AND(D248="USA",C248&gt;=1980,J248="No"),"Yes","No")</f>
        <v/>
      </c>
      <c r="L248" s="26">
        <f>IF(J248="Yes","",H248-I248)</f>
        <v/>
      </c>
      <c r="M248" s="27">
        <f>IF(OR(J248="Yes",I248=0),"",H248/I248)</f>
        <v/>
      </c>
      <c r="N248" s="21">
        <f>IF(J248="Yes","",IF(H248&gt;=I248,1,0))</f>
        <v/>
      </c>
      <c r="O248" s="21">
        <f>IF(I248&lt;=5000000,"Under $5M",IF(I248&lt;=20000000,"$5M-20M",IF(I248&lt;=50000000,"$20M-50M",IF(I248&lt;=100000000,"$50M-100M","$100M+"))))</f>
        <v/>
      </c>
      <c r="P248" s="21">
        <f>IF(E248&lt;=90,"90 or less",IF(E248&lt;=105,"91-105",IF(E248&lt;=120,"106-120",IF(E248&lt;=140,"121-140","Over 140"))))</f>
        <v/>
      </c>
      <c r="Q248" s="28">
        <f>INT(C248/10)*10</f>
        <v/>
      </c>
    </row>
    <row r="249">
      <c r="A249" s="21" t="n">
        <v>256</v>
      </c>
      <c r="B249" s="21" t="inlineStr">
        <is>
          <t>The Black Hole</t>
        </is>
      </c>
      <c r="C249" s="21" t="n">
        <v>1979</v>
      </c>
      <c r="D249" s="21" t="inlineStr">
        <is>
          <t>USA</t>
        </is>
      </c>
      <c r="E249" s="21" t="n">
        <v>98</v>
      </c>
      <c r="F249" s="21" t="inlineStr">
        <is>
          <t>English</t>
        </is>
      </c>
      <c r="G249" s="21" t="inlineStr">
        <is>
          <t>PG</t>
        </is>
      </c>
      <c r="H249" s="22" t="n">
        <v>25529689.5</v>
      </c>
      <c r="I249" s="22" t="n">
        <v>20000000</v>
      </c>
      <c r="J249" s="21">
        <f>IF(OR(H249="",H249=25529689.5),"Yes","No")</f>
        <v/>
      </c>
      <c r="K249" s="21">
        <f>IF(AND(D249="USA",C249&gt;=1980,J249="No"),"Yes","No")</f>
        <v/>
      </c>
      <c r="L249" s="26">
        <f>IF(J249="Yes","",H249-I249)</f>
        <v/>
      </c>
      <c r="M249" s="27">
        <f>IF(OR(J249="Yes",I249=0),"",H249/I249)</f>
        <v/>
      </c>
      <c r="N249" s="21">
        <f>IF(J249="Yes","",IF(H249&gt;=I249,1,0))</f>
        <v/>
      </c>
      <c r="O249" s="21">
        <f>IF(I249&lt;=5000000,"Under $5M",IF(I249&lt;=20000000,"$5M-20M",IF(I249&lt;=50000000,"$20M-50M",IF(I249&lt;=100000000,"$50M-100M","$100M+"))))</f>
        <v/>
      </c>
      <c r="P249" s="21">
        <f>IF(E249&lt;=90,"90 or less",IF(E249&lt;=105,"91-105",IF(E249&lt;=120,"106-120",IF(E249&lt;=140,"121-140","Over 140"))))</f>
        <v/>
      </c>
      <c r="Q249" s="28">
        <f>INT(C249/10)*10</f>
        <v/>
      </c>
    </row>
    <row r="250">
      <c r="A250" s="21" t="n">
        <v>257</v>
      </c>
      <c r="B250" s="21" t="inlineStr">
        <is>
          <t>The Black Stallion</t>
        </is>
      </c>
      <c r="C250" s="21" t="n">
        <v>1979</v>
      </c>
      <c r="D250" s="21" t="inlineStr">
        <is>
          <t>USA</t>
        </is>
      </c>
      <c r="E250" s="21" t="n">
        <v>118</v>
      </c>
      <c r="F250" s="21" t="inlineStr">
        <is>
          <t>English</t>
        </is>
      </c>
      <c r="G250" s="21" t="inlineStr">
        <is>
          <t>G</t>
        </is>
      </c>
      <c r="H250" s="22" t="n">
        <v>25529689.5</v>
      </c>
      <c r="I250" s="22" t="n">
        <v>2700000</v>
      </c>
      <c r="J250" s="21">
        <f>IF(OR(H250="",H250=25529689.5),"Yes","No")</f>
        <v/>
      </c>
      <c r="K250" s="21">
        <f>IF(AND(D250="USA",C250&gt;=1980,J250="No"),"Yes","No")</f>
        <v/>
      </c>
      <c r="L250" s="26">
        <f>IF(J250="Yes","",H250-I250)</f>
        <v/>
      </c>
      <c r="M250" s="27">
        <f>IF(OR(J250="Yes",I250=0),"",H250/I250)</f>
        <v/>
      </c>
      <c r="N250" s="21">
        <f>IF(J250="Yes","",IF(H250&gt;=I250,1,0))</f>
        <v/>
      </c>
      <c r="O250" s="21">
        <f>IF(I250&lt;=5000000,"Under $5M",IF(I250&lt;=20000000,"$5M-20M",IF(I250&lt;=50000000,"$20M-50M",IF(I250&lt;=100000000,"$50M-100M","$100M+"))))</f>
        <v/>
      </c>
      <c r="P250" s="21">
        <f>IF(E250&lt;=90,"90 or less",IF(E250&lt;=105,"91-105",IF(E250&lt;=120,"106-120",IF(E250&lt;=140,"121-140","Over 140"))))</f>
        <v/>
      </c>
      <c r="Q250" s="28">
        <f>INT(C250/10)*10</f>
        <v/>
      </c>
    </row>
    <row r="251">
      <c r="A251" s="21" t="n">
        <v>258</v>
      </c>
      <c r="B251" s="21" t="inlineStr">
        <is>
          <t>The Great Train Robbery</t>
        </is>
      </c>
      <c r="C251" s="21" t="n">
        <v>1979</v>
      </c>
      <c r="D251" s="21" t="inlineStr">
        <is>
          <t>UK</t>
        </is>
      </c>
      <c r="E251" s="21" t="n">
        <v>110</v>
      </c>
      <c r="F251" s="21" t="inlineStr">
        <is>
          <t>English</t>
        </is>
      </c>
      <c r="G251" s="21" t="inlineStr">
        <is>
          <t>PG</t>
        </is>
      </c>
      <c r="H251" s="22" t="n">
        <v>25529689.5</v>
      </c>
      <c r="I251" s="22" t="n">
        <v>6000000</v>
      </c>
      <c r="J251" s="21">
        <f>IF(OR(H251="",H251=25529689.5),"Yes","No")</f>
        <v/>
      </c>
      <c r="K251" s="21">
        <f>IF(AND(D251="USA",C251&gt;=1980,J251="No"),"Yes","No")</f>
        <v/>
      </c>
      <c r="L251" s="26">
        <f>IF(J251="Yes","",H251-I251)</f>
        <v/>
      </c>
      <c r="M251" s="27">
        <f>IF(OR(J251="Yes",I251=0),"",H251/I251)</f>
        <v/>
      </c>
      <c r="N251" s="21">
        <f>IF(J251="Yes","",IF(H251&gt;=I251,1,0))</f>
        <v/>
      </c>
      <c r="O251" s="21">
        <f>IF(I251&lt;=5000000,"Under $5M",IF(I251&lt;=20000000,"$5M-20M",IF(I251&lt;=50000000,"$20M-50M",IF(I251&lt;=100000000,"$50M-100M","$100M+"))))</f>
        <v/>
      </c>
      <c r="P251" s="21">
        <f>IF(E251&lt;=90,"90 or less",IF(E251&lt;=105,"91-105",IF(E251&lt;=120,"106-120",IF(E251&lt;=140,"121-140","Over 140"))))</f>
        <v/>
      </c>
      <c r="Q251" s="28">
        <f>INT(C251/10)*10</f>
        <v/>
      </c>
    </row>
    <row r="252">
      <c r="A252" s="21" t="n">
        <v>259</v>
      </c>
      <c r="B252" s="21" t="inlineStr">
        <is>
          <t>The Muppet Movie</t>
        </is>
      </c>
      <c r="C252" s="21" t="n">
        <v>1979</v>
      </c>
      <c r="D252" s="21" t="inlineStr">
        <is>
          <t>UK</t>
        </is>
      </c>
      <c r="E252" s="21" t="n">
        <v>95</v>
      </c>
      <c r="F252" s="21" t="inlineStr">
        <is>
          <t>English</t>
        </is>
      </c>
      <c r="G252" s="21" t="inlineStr">
        <is>
          <t>G</t>
        </is>
      </c>
      <c r="H252" s="22" t="n">
        <v>76657000</v>
      </c>
      <c r="I252" s="22" t="n">
        <v>20000000</v>
      </c>
      <c r="J252" s="21">
        <f>IF(OR(H252="",H252=25529689.5),"Yes","No")</f>
        <v/>
      </c>
      <c r="K252" s="21">
        <f>IF(AND(D252="USA",C252&gt;=1980,J252="No"),"Yes","No")</f>
        <v/>
      </c>
      <c r="L252" s="26">
        <f>IF(J252="Yes","",H252-I252)</f>
        <v/>
      </c>
      <c r="M252" s="27">
        <f>IF(OR(J252="Yes",I252=0),"",H252/I252)</f>
        <v/>
      </c>
      <c r="N252" s="21">
        <f>IF(J252="Yes","",IF(H252&gt;=I252,1,0))</f>
        <v/>
      </c>
      <c r="O252" s="21">
        <f>IF(I252&lt;=5000000,"Under $5M",IF(I252&lt;=20000000,"$5M-20M",IF(I252&lt;=50000000,"$20M-50M",IF(I252&lt;=100000000,"$50M-100M","$100M+"))))</f>
        <v/>
      </c>
      <c r="P252" s="21">
        <f>IF(E252&lt;=90,"90 or less",IF(E252&lt;=105,"91-105",IF(E252&lt;=120,"106-120",IF(E252&lt;=140,"121-140","Over 140"))))</f>
        <v/>
      </c>
      <c r="Q252" s="28">
        <f>INT(C252/10)*10</f>
        <v/>
      </c>
    </row>
    <row r="253">
      <c r="A253" s="21" t="n">
        <v>260</v>
      </c>
      <c r="B253" s="21" t="inlineStr">
        <is>
          <t>The Rose</t>
        </is>
      </c>
      <c r="C253" s="21" t="n">
        <v>1979</v>
      </c>
      <c r="D253" s="21" t="inlineStr">
        <is>
          <t>USA</t>
        </is>
      </c>
      <c r="E253" s="21" t="n">
        <v>125</v>
      </c>
      <c r="F253" s="21" t="inlineStr">
        <is>
          <t>English</t>
        </is>
      </c>
      <c r="G253" s="21" t="inlineStr">
        <is>
          <t>R</t>
        </is>
      </c>
      <c r="H253" s="22" t="n">
        <v>29200000</v>
      </c>
      <c r="I253" s="22" t="n">
        <v>8500000</v>
      </c>
      <c r="J253" s="21">
        <f>IF(OR(H253="",H253=25529689.5),"Yes","No")</f>
        <v/>
      </c>
      <c r="K253" s="21">
        <f>IF(AND(D253="USA",C253&gt;=1980,J253="No"),"Yes","No")</f>
        <v/>
      </c>
      <c r="L253" s="26">
        <f>IF(J253="Yes","",H253-I253)</f>
        <v/>
      </c>
      <c r="M253" s="27">
        <f>IF(OR(J253="Yes",I253=0),"",H253/I253)</f>
        <v/>
      </c>
      <c r="N253" s="21">
        <f>IF(J253="Yes","",IF(H253&gt;=I253,1,0))</f>
        <v/>
      </c>
      <c r="O253" s="21">
        <f>IF(I253&lt;=5000000,"Under $5M",IF(I253&lt;=20000000,"$5M-20M",IF(I253&lt;=50000000,"$20M-50M",IF(I253&lt;=100000000,"$50M-100M","$100M+"))))</f>
        <v/>
      </c>
      <c r="P253" s="21">
        <f>IF(E253&lt;=90,"90 or less",IF(E253&lt;=105,"91-105",IF(E253&lt;=120,"106-120",IF(E253&lt;=140,"121-140","Over 140"))))</f>
        <v/>
      </c>
      <c r="Q253" s="28">
        <f>INT(C253/10)*10</f>
        <v/>
      </c>
    </row>
    <row r="254">
      <c r="A254" s="21" t="n">
        <v>261</v>
      </c>
      <c r="B254" s="21" t="inlineStr">
        <is>
          <t>Airplane!</t>
        </is>
      </c>
      <c r="C254" s="21" t="n">
        <v>1980</v>
      </c>
      <c r="D254" s="21" t="inlineStr">
        <is>
          <t>USA</t>
        </is>
      </c>
      <c r="E254" s="21" t="n">
        <v>88</v>
      </c>
      <c r="F254" s="21" t="inlineStr">
        <is>
          <t>English</t>
        </is>
      </c>
      <c r="G254" s="21" t="inlineStr">
        <is>
          <t>PG</t>
        </is>
      </c>
      <c r="H254" s="22" t="n">
        <v>83400000</v>
      </c>
      <c r="I254" s="22" t="n">
        <v>3500000</v>
      </c>
      <c r="J254" s="21">
        <f>IF(OR(H254="",H254=25529689.5),"Yes","No")</f>
        <v/>
      </c>
      <c r="K254" s="21">
        <f>IF(AND(D254="USA",C254&gt;=1980,J254="No"),"Yes","No")</f>
        <v/>
      </c>
      <c r="L254" s="26">
        <f>IF(J254="Yes","",H254-I254)</f>
        <v/>
      </c>
      <c r="M254" s="27">
        <f>IF(OR(J254="Yes",I254=0),"",H254/I254)</f>
        <v/>
      </c>
      <c r="N254" s="21">
        <f>IF(J254="Yes","",IF(H254&gt;=I254,1,0))</f>
        <v/>
      </c>
      <c r="O254" s="21">
        <f>IF(I254&lt;=5000000,"Under $5M",IF(I254&lt;=20000000,"$5M-20M",IF(I254&lt;=50000000,"$20M-50M",IF(I254&lt;=100000000,"$50M-100M","$100M+"))))</f>
        <v/>
      </c>
      <c r="P254" s="21">
        <f>IF(E254&lt;=90,"90 or less",IF(E254&lt;=105,"91-105",IF(E254&lt;=120,"106-120",IF(E254&lt;=140,"121-140","Over 140"))))</f>
        <v/>
      </c>
      <c r="Q254" s="28">
        <f>INT(C254/10)*10</f>
        <v/>
      </c>
    </row>
    <row r="255">
      <c r="A255" s="21" t="n">
        <v>262</v>
      </c>
      <c r="B255" s="21" t="inlineStr">
        <is>
          <t>Caddyshack</t>
        </is>
      </c>
      <c r="C255" s="21" t="n">
        <v>1980</v>
      </c>
      <c r="D255" s="21" t="inlineStr">
        <is>
          <t>USA</t>
        </is>
      </c>
      <c r="E255" s="21" t="n">
        <v>98</v>
      </c>
      <c r="F255" s="21" t="inlineStr">
        <is>
          <t>English</t>
        </is>
      </c>
      <c r="G255" s="21" t="inlineStr">
        <is>
          <t>R</t>
        </is>
      </c>
      <c r="H255" s="22" t="n">
        <v>39800000</v>
      </c>
      <c r="I255" s="22" t="n">
        <v>6000000</v>
      </c>
      <c r="J255" s="21">
        <f>IF(OR(H255="",H255=25529689.5),"Yes","No")</f>
        <v/>
      </c>
      <c r="K255" s="21">
        <f>IF(AND(D255="USA",C255&gt;=1980,J255="No"),"Yes","No")</f>
        <v/>
      </c>
      <c r="L255" s="26">
        <f>IF(J255="Yes","",H255-I255)</f>
        <v/>
      </c>
      <c r="M255" s="27">
        <f>IF(OR(J255="Yes",I255=0),"",H255/I255)</f>
        <v/>
      </c>
      <c r="N255" s="21">
        <f>IF(J255="Yes","",IF(H255&gt;=I255,1,0))</f>
        <v/>
      </c>
      <c r="O255" s="21">
        <f>IF(I255&lt;=5000000,"Under $5M",IF(I255&lt;=20000000,"$5M-20M",IF(I255&lt;=50000000,"$20M-50M",IF(I255&lt;=100000000,"$50M-100M","$100M+"))))</f>
        <v/>
      </c>
      <c r="P255" s="21">
        <f>IF(E255&lt;=90,"90 or less",IF(E255&lt;=105,"91-105",IF(E255&lt;=120,"106-120",IF(E255&lt;=140,"121-140","Over 140"))))</f>
        <v/>
      </c>
      <c r="Q255" s="28">
        <f>INT(C255/10)*10</f>
        <v/>
      </c>
    </row>
    <row r="256">
      <c r="A256" s="21" t="n">
        <v>263</v>
      </c>
      <c r="B256" s="21" t="inlineStr">
        <is>
          <t>Can't Stop the Music</t>
        </is>
      </c>
      <c r="C256" s="21" t="n">
        <v>1980</v>
      </c>
      <c r="D256" s="21" t="inlineStr">
        <is>
          <t>USA</t>
        </is>
      </c>
      <c r="E256" s="21" t="n">
        <v>124</v>
      </c>
      <c r="F256" s="21" t="inlineStr">
        <is>
          <t>English</t>
        </is>
      </c>
      <c r="G256" s="21" t="inlineStr">
        <is>
          <t>PG</t>
        </is>
      </c>
      <c r="H256" s="22" t="n">
        <v>2000000</v>
      </c>
      <c r="I256" s="22" t="n">
        <v>20000000</v>
      </c>
      <c r="J256" s="21">
        <f>IF(OR(H256="",H256=25529689.5),"Yes","No")</f>
        <v/>
      </c>
      <c r="K256" s="21">
        <f>IF(AND(D256="USA",C256&gt;=1980,J256="No"),"Yes","No")</f>
        <v/>
      </c>
      <c r="L256" s="26">
        <f>IF(J256="Yes","",H256-I256)</f>
        <v/>
      </c>
      <c r="M256" s="27">
        <f>IF(OR(J256="Yes",I256=0),"",H256/I256)</f>
        <v/>
      </c>
      <c r="N256" s="21">
        <f>IF(J256="Yes","",IF(H256&gt;=I256,1,0))</f>
        <v/>
      </c>
      <c r="O256" s="21">
        <f>IF(I256&lt;=5000000,"Under $5M",IF(I256&lt;=20000000,"$5M-20M",IF(I256&lt;=50000000,"$20M-50M",IF(I256&lt;=100000000,"$50M-100M","$100M+"))))</f>
        <v/>
      </c>
      <c r="P256" s="21">
        <f>IF(E256&lt;=90,"90 or less",IF(E256&lt;=105,"91-105",IF(E256&lt;=120,"106-120",IF(E256&lt;=140,"121-140","Over 140"))))</f>
        <v/>
      </c>
      <c r="Q256" s="28">
        <f>INT(C256/10)*10</f>
        <v/>
      </c>
    </row>
    <row r="257">
      <c r="A257" s="21" t="n">
        <v>264</v>
      </c>
      <c r="B257" s="21" t="inlineStr">
        <is>
          <t>Coal Miner's Daughter</t>
        </is>
      </c>
      <c r="C257" s="21" t="n">
        <v>1980</v>
      </c>
      <c r="D257" s="21" t="inlineStr">
        <is>
          <t>USA</t>
        </is>
      </c>
      <c r="E257" s="21" t="n">
        <v>124</v>
      </c>
      <c r="F257" s="21" t="inlineStr">
        <is>
          <t>English</t>
        </is>
      </c>
      <c r="G257" s="21" t="inlineStr">
        <is>
          <t>PG</t>
        </is>
      </c>
      <c r="H257" s="22" t="n">
        <v>79900000</v>
      </c>
      <c r="I257" s="22" t="n">
        <v>20000000</v>
      </c>
      <c r="J257" s="21">
        <f>IF(OR(H257="",H257=25529689.5),"Yes","No")</f>
        <v/>
      </c>
      <c r="K257" s="21">
        <f>IF(AND(D257="USA",C257&gt;=1980,J257="No"),"Yes","No")</f>
        <v/>
      </c>
      <c r="L257" s="26">
        <f>IF(J257="Yes","",H257-I257)</f>
        <v/>
      </c>
      <c r="M257" s="27">
        <f>IF(OR(J257="Yes",I257=0),"",H257/I257)</f>
        <v/>
      </c>
      <c r="N257" s="21">
        <f>IF(J257="Yes","",IF(H257&gt;=I257,1,0))</f>
        <v/>
      </c>
      <c r="O257" s="21">
        <f>IF(I257&lt;=5000000,"Under $5M",IF(I257&lt;=20000000,"$5M-20M",IF(I257&lt;=50000000,"$20M-50M",IF(I257&lt;=100000000,"$50M-100M","$100M+"))))</f>
        <v/>
      </c>
      <c r="P257" s="21">
        <f>IF(E257&lt;=90,"90 or less",IF(E257&lt;=105,"91-105",IF(E257&lt;=120,"106-120",IF(E257&lt;=140,"121-140","Over 140"))))</f>
        <v/>
      </c>
      <c r="Q257" s="28">
        <f>INT(C257/10)*10</f>
        <v/>
      </c>
    </row>
    <row r="258">
      <c r="A258" s="21" t="n">
        <v>265</v>
      </c>
      <c r="B258" s="21" t="inlineStr">
        <is>
          <t>Dressed to Kill</t>
        </is>
      </c>
      <c r="C258" s="21" t="n">
        <v>1980</v>
      </c>
      <c r="D258" s="21" t="inlineStr">
        <is>
          <t>USA</t>
        </is>
      </c>
      <c r="E258" s="21" t="n">
        <v>104</v>
      </c>
      <c r="F258" s="21" t="inlineStr">
        <is>
          <t>English</t>
        </is>
      </c>
      <c r="G258" s="21" t="inlineStr">
        <is>
          <t>X</t>
        </is>
      </c>
      <c r="H258" s="22" t="n">
        <v>31899000</v>
      </c>
      <c r="I258" s="22" t="n">
        <v>6500000</v>
      </c>
      <c r="J258" s="21">
        <f>IF(OR(H258="",H258=25529689.5),"Yes","No")</f>
        <v/>
      </c>
      <c r="K258" s="21">
        <f>IF(AND(D258="USA",C258&gt;=1980,J258="No"),"Yes","No")</f>
        <v/>
      </c>
      <c r="L258" s="26">
        <f>IF(J258="Yes","",H258-I258)</f>
        <v/>
      </c>
      <c r="M258" s="27">
        <f>IF(OR(J258="Yes",I258=0),"",H258/I258)</f>
        <v/>
      </c>
      <c r="N258" s="21">
        <f>IF(J258="Yes","",IF(H258&gt;=I258,1,0))</f>
        <v/>
      </c>
      <c r="O258" s="21">
        <f>IF(I258&lt;=5000000,"Under $5M",IF(I258&lt;=20000000,"$5M-20M",IF(I258&lt;=50000000,"$20M-50M",IF(I258&lt;=100000000,"$50M-100M","$100M+"))))</f>
        <v/>
      </c>
      <c r="P258" s="21">
        <f>IF(E258&lt;=90,"90 or less",IF(E258&lt;=105,"91-105",IF(E258&lt;=120,"106-120",IF(E258&lt;=140,"121-140","Over 140"))))</f>
        <v/>
      </c>
      <c r="Q258" s="28">
        <f>INT(C258/10)*10</f>
        <v/>
      </c>
    </row>
    <row r="259">
      <c r="A259" s="21" t="n">
        <v>266</v>
      </c>
      <c r="B259" s="21" t="inlineStr">
        <is>
          <t>Flash Gordon</t>
        </is>
      </c>
      <c r="C259" s="21" t="n">
        <v>1980</v>
      </c>
      <c r="D259" s="21" t="inlineStr">
        <is>
          <t>UK</t>
        </is>
      </c>
      <c r="E259" s="21" t="n">
        <v>111</v>
      </c>
      <c r="F259" s="21" t="inlineStr">
        <is>
          <t>English</t>
        </is>
      </c>
      <c r="G259" s="21" t="inlineStr">
        <is>
          <t>PG</t>
        </is>
      </c>
      <c r="H259" s="22" t="n">
        <v>25529689.5</v>
      </c>
      <c r="I259" s="22" t="n">
        <v>20000000</v>
      </c>
      <c r="J259" s="21">
        <f>IF(OR(H259="",H259=25529689.5),"Yes","No")</f>
        <v/>
      </c>
      <c r="K259" s="21">
        <f>IF(AND(D259="USA",C259&gt;=1980,J259="No"),"Yes","No")</f>
        <v/>
      </c>
      <c r="L259" s="26">
        <f>IF(J259="Yes","",H259-I259)</f>
        <v/>
      </c>
      <c r="M259" s="27">
        <f>IF(OR(J259="Yes",I259=0),"",H259/I259)</f>
        <v/>
      </c>
      <c r="N259" s="21">
        <f>IF(J259="Yes","",IF(H259&gt;=I259,1,0))</f>
        <v/>
      </c>
      <c r="O259" s="21">
        <f>IF(I259&lt;=5000000,"Under $5M",IF(I259&lt;=20000000,"$5M-20M",IF(I259&lt;=50000000,"$20M-50M",IF(I259&lt;=100000000,"$50M-100M","$100M+"))))</f>
        <v/>
      </c>
      <c r="P259" s="21">
        <f>IF(E259&lt;=90,"90 or less",IF(E259&lt;=105,"91-105",IF(E259&lt;=120,"106-120",IF(E259&lt;=140,"121-140","Over 140"))))</f>
        <v/>
      </c>
      <c r="Q259" s="28">
        <f>INT(C259/10)*10</f>
        <v/>
      </c>
    </row>
    <row r="260">
      <c r="A260" s="21" t="n">
        <v>267</v>
      </c>
      <c r="B260" s="21" t="inlineStr">
        <is>
          <t>Galaxina</t>
        </is>
      </c>
      <c r="C260" s="21" t="n">
        <v>1980</v>
      </c>
      <c r="D260" s="21" t="inlineStr">
        <is>
          <t>USA</t>
        </is>
      </c>
      <c r="E260" s="21" t="n">
        <v>95</v>
      </c>
      <c r="F260" s="21" t="inlineStr">
        <is>
          <t>English</t>
        </is>
      </c>
      <c r="G260" s="21" t="inlineStr">
        <is>
          <t>R</t>
        </is>
      </c>
      <c r="H260" s="22" t="n">
        <v>25529689.5</v>
      </c>
      <c r="I260" s="22" t="n">
        <v>20000000</v>
      </c>
      <c r="J260" s="21">
        <f>IF(OR(H260="",H260=25529689.5),"Yes","No")</f>
        <v/>
      </c>
      <c r="K260" s="21">
        <f>IF(AND(D260="USA",C260&gt;=1980,J260="No"),"Yes","No")</f>
        <v/>
      </c>
      <c r="L260" s="26">
        <f>IF(J260="Yes","",H260-I260)</f>
        <v/>
      </c>
      <c r="M260" s="27">
        <f>IF(OR(J260="Yes",I260=0),"",H260/I260)</f>
        <v/>
      </c>
      <c r="N260" s="21">
        <f>IF(J260="Yes","",IF(H260&gt;=I260,1,0))</f>
        <v/>
      </c>
      <c r="O260" s="21">
        <f>IF(I260&lt;=5000000,"Under $5M",IF(I260&lt;=20000000,"$5M-20M",IF(I260&lt;=50000000,"$20M-50M",IF(I260&lt;=100000000,"$50M-100M","$100M+"))))</f>
        <v/>
      </c>
      <c r="P260" s="21">
        <f>IF(E260&lt;=90,"90 or less",IF(E260&lt;=105,"91-105",IF(E260&lt;=120,"106-120",IF(E260&lt;=140,"121-140","Over 140"))))</f>
        <v/>
      </c>
      <c r="Q260" s="28">
        <f>INT(C260/10)*10</f>
        <v/>
      </c>
    </row>
    <row r="261">
      <c r="A261" s="21" t="n">
        <v>268</v>
      </c>
      <c r="B261" s="21" t="inlineStr">
        <is>
          <t>Heaven's Gate</t>
        </is>
      </c>
      <c r="C261" s="21" t="n">
        <v>1980</v>
      </c>
      <c r="D261" s="21" t="inlineStr">
        <is>
          <t>USA</t>
        </is>
      </c>
      <c r="E261" s="21" t="n">
        <v>325</v>
      </c>
      <c r="F261" s="21" t="inlineStr">
        <is>
          <t>English</t>
        </is>
      </c>
      <c r="G261" s="21" t="inlineStr">
        <is>
          <t>R</t>
        </is>
      </c>
      <c r="H261" s="22" t="n">
        <v>1500000</v>
      </c>
      <c r="I261" s="22" t="n">
        <v>44000000</v>
      </c>
      <c r="J261" s="21">
        <f>IF(OR(H261="",H261=25529689.5),"Yes","No")</f>
        <v/>
      </c>
      <c r="K261" s="21">
        <f>IF(AND(D261="USA",C261&gt;=1980,J261="No"),"Yes","No")</f>
        <v/>
      </c>
      <c r="L261" s="26">
        <f>IF(J261="Yes","",H261-I261)</f>
        <v/>
      </c>
      <c r="M261" s="27">
        <f>IF(OR(J261="Yes",I261=0),"",H261/I261)</f>
        <v/>
      </c>
      <c r="N261" s="21">
        <f>IF(J261="Yes","",IF(H261&gt;=I261,1,0))</f>
        <v/>
      </c>
      <c r="O261" s="21">
        <f>IF(I261&lt;=5000000,"Under $5M",IF(I261&lt;=20000000,"$5M-20M",IF(I261&lt;=50000000,"$20M-50M",IF(I261&lt;=100000000,"$50M-100M","$100M+"))))</f>
        <v/>
      </c>
      <c r="P261" s="21">
        <f>IF(E261&lt;=90,"90 or less",IF(E261&lt;=105,"91-105",IF(E261&lt;=120,"106-120",IF(E261&lt;=140,"121-140","Over 140"))))</f>
        <v/>
      </c>
      <c r="Q261" s="28">
        <f>INT(C261/10)*10</f>
        <v/>
      </c>
    </row>
    <row r="262">
      <c r="A262" s="21" t="n">
        <v>269</v>
      </c>
      <c r="B262" s="21" t="inlineStr">
        <is>
          <t>Lion of the Desert</t>
        </is>
      </c>
      <c r="C262" s="21" t="n">
        <v>1980</v>
      </c>
      <c r="D262" s="21" t="inlineStr">
        <is>
          <t>Libya</t>
        </is>
      </c>
      <c r="E262" s="21" t="n">
        <v>156</v>
      </c>
      <c r="F262" s="21" t="inlineStr">
        <is>
          <t>English</t>
        </is>
      </c>
      <c r="G262" s="21" t="inlineStr">
        <is>
          <t>PG</t>
        </is>
      </c>
      <c r="H262" s="22" t="n">
        <v>25529689.5</v>
      </c>
      <c r="I262" s="22" t="n">
        <v>35000000</v>
      </c>
      <c r="J262" s="21">
        <f>IF(OR(H262="",H262=25529689.5),"Yes","No")</f>
        <v/>
      </c>
      <c r="K262" s="21">
        <f>IF(AND(D262="USA",C262&gt;=1980,J262="No"),"Yes","No")</f>
        <v/>
      </c>
      <c r="L262" s="26">
        <f>IF(J262="Yes","",H262-I262)</f>
        <v/>
      </c>
      <c r="M262" s="27">
        <f>IF(OR(J262="Yes",I262=0),"",H262/I262)</f>
        <v/>
      </c>
      <c r="N262" s="21">
        <f>IF(J262="Yes","",IF(H262&gt;=I262,1,0))</f>
        <v/>
      </c>
      <c r="O262" s="21">
        <f>IF(I262&lt;=5000000,"Under $5M",IF(I262&lt;=20000000,"$5M-20M",IF(I262&lt;=50000000,"$20M-50M",IF(I262&lt;=100000000,"$50M-100M","$100M+"))))</f>
        <v/>
      </c>
      <c r="P262" s="21">
        <f>IF(E262&lt;=90,"90 or less",IF(E262&lt;=105,"91-105",IF(E262&lt;=120,"106-120",IF(E262&lt;=140,"121-140","Over 140"))))</f>
        <v/>
      </c>
      <c r="Q262" s="28">
        <f>INT(C262/10)*10</f>
        <v/>
      </c>
    </row>
    <row r="263">
      <c r="A263" s="21" t="n">
        <v>270</v>
      </c>
      <c r="B263" s="21" t="inlineStr">
        <is>
          <t>Ordinary People</t>
        </is>
      </c>
      <c r="C263" s="21" t="n">
        <v>1980</v>
      </c>
      <c r="D263" s="21" t="inlineStr">
        <is>
          <t>USA</t>
        </is>
      </c>
      <c r="E263" s="21" t="n">
        <v>124</v>
      </c>
      <c r="F263" s="21" t="inlineStr">
        <is>
          <t>English</t>
        </is>
      </c>
      <c r="G263" s="21" t="inlineStr">
        <is>
          <t>R</t>
        </is>
      </c>
      <c r="H263" s="22" t="n">
        <v>54800000</v>
      </c>
      <c r="I263" s="22" t="n">
        <v>6000000</v>
      </c>
      <c r="J263" s="21">
        <f>IF(OR(H263="",H263=25529689.5),"Yes","No")</f>
        <v/>
      </c>
      <c r="K263" s="21">
        <f>IF(AND(D263="USA",C263&gt;=1980,J263="No"),"Yes","No")</f>
        <v/>
      </c>
      <c r="L263" s="26">
        <f>IF(J263="Yes","",H263-I263)</f>
        <v/>
      </c>
      <c r="M263" s="27">
        <f>IF(OR(J263="Yes",I263=0),"",H263/I263)</f>
        <v/>
      </c>
      <c r="N263" s="21">
        <f>IF(J263="Yes","",IF(H263&gt;=I263,1,0))</f>
        <v/>
      </c>
      <c r="O263" s="21">
        <f>IF(I263&lt;=5000000,"Under $5M",IF(I263&lt;=20000000,"$5M-20M",IF(I263&lt;=50000000,"$20M-50M",IF(I263&lt;=100000000,"$50M-100M","$100M+"))))</f>
        <v/>
      </c>
      <c r="P263" s="21">
        <f>IF(E263&lt;=90,"90 or less",IF(E263&lt;=105,"91-105",IF(E263&lt;=120,"106-120",IF(E263&lt;=140,"121-140","Over 140"))))</f>
        <v/>
      </c>
      <c r="Q263" s="28">
        <f>INT(C263/10)*10</f>
        <v/>
      </c>
    </row>
    <row r="264">
      <c r="A264" s="21" t="n">
        <v>271</v>
      </c>
      <c r="B264" s="21" t="inlineStr">
        <is>
          <t>Out of the Blue</t>
        </is>
      </c>
      <c r="C264" s="21" t="n">
        <v>1980</v>
      </c>
      <c r="D264" s="21" t="inlineStr">
        <is>
          <t>Canada</t>
        </is>
      </c>
      <c r="E264" s="21" t="n">
        <v>94</v>
      </c>
      <c r="F264" s="21" t="inlineStr">
        <is>
          <t>English</t>
        </is>
      </c>
      <c r="G264" s="21" t="inlineStr">
        <is>
          <t>R</t>
        </is>
      </c>
      <c r="H264" s="22" t="n">
        <v>25529689.5</v>
      </c>
      <c r="I264" s="22" t="n">
        <v>2200000</v>
      </c>
      <c r="J264" s="21">
        <f>IF(OR(H264="",H264=25529689.5),"Yes","No")</f>
        <v/>
      </c>
      <c r="K264" s="21">
        <f>IF(AND(D264="USA",C264&gt;=1980,J264="No"),"Yes","No")</f>
        <v/>
      </c>
      <c r="L264" s="26">
        <f>IF(J264="Yes","",H264-I264)</f>
        <v/>
      </c>
      <c r="M264" s="27">
        <f>IF(OR(J264="Yes",I264=0),"",H264/I264)</f>
        <v/>
      </c>
      <c r="N264" s="21">
        <f>IF(J264="Yes","",IF(H264&gt;=I264,1,0))</f>
        <v/>
      </c>
      <c r="O264" s="21">
        <f>IF(I264&lt;=5000000,"Under $5M",IF(I264&lt;=20000000,"$5M-20M",IF(I264&lt;=50000000,"$20M-50M",IF(I264&lt;=100000000,"$50M-100M","$100M+"))))</f>
        <v/>
      </c>
      <c r="P264" s="21">
        <f>IF(E264&lt;=90,"90 or less",IF(E264&lt;=105,"91-105",IF(E264&lt;=120,"106-120",IF(E264&lt;=140,"121-140","Over 140"))))</f>
        <v/>
      </c>
      <c r="Q264" s="28">
        <f>INT(C264/10)*10</f>
        <v/>
      </c>
    </row>
    <row r="265">
      <c r="A265" s="21" t="n">
        <v>272</v>
      </c>
      <c r="B265" s="21" t="inlineStr">
        <is>
          <t>Private Benjamin</t>
        </is>
      </c>
      <c r="C265" s="21" t="n">
        <v>1980</v>
      </c>
      <c r="D265" s="21" t="inlineStr">
        <is>
          <t>USA</t>
        </is>
      </c>
      <c r="E265" s="21" t="n">
        <v>109</v>
      </c>
      <c r="F265" s="21" t="inlineStr">
        <is>
          <t>English</t>
        </is>
      </c>
      <c r="G265" s="21" t="inlineStr">
        <is>
          <t>R</t>
        </is>
      </c>
      <c r="H265" s="22" t="n">
        <v>69800000</v>
      </c>
      <c r="I265" s="22" t="n">
        <v>10000000</v>
      </c>
      <c r="J265" s="21">
        <f>IF(OR(H265="",H265=25529689.5),"Yes","No")</f>
        <v/>
      </c>
      <c r="K265" s="21">
        <f>IF(AND(D265="USA",C265&gt;=1980,J265="No"),"Yes","No")</f>
        <v/>
      </c>
      <c r="L265" s="26">
        <f>IF(J265="Yes","",H265-I265)</f>
        <v/>
      </c>
      <c r="M265" s="27">
        <f>IF(OR(J265="Yes",I265=0),"",H265/I265)</f>
        <v/>
      </c>
      <c r="N265" s="21">
        <f>IF(J265="Yes","",IF(H265&gt;=I265,1,0))</f>
        <v/>
      </c>
      <c r="O265" s="21">
        <f>IF(I265&lt;=5000000,"Under $5M",IF(I265&lt;=20000000,"$5M-20M",IF(I265&lt;=50000000,"$20M-50M",IF(I265&lt;=100000000,"$50M-100M","$100M+"))))</f>
        <v/>
      </c>
      <c r="P265" s="21">
        <f>IF(E265&lt;=90,"90 or less",IF(E265&lt;=105,"91-105",IF(E265&lt;=120,"106-120",IF(E265&lt;=140,"121-140","Over 140"))))</f>
        <v/>
      </c>
      <c r="Q265" s="28">
        <f>INT(C265/10)*10</f>
        <v/>
      </c>
    </row>
    <row r="266">
      <c r="A266" s="21" t="n">
        <v>273</v>
      </c>
      <c r="B266" s="21" t="inlineStr">
        <is>
          <t>Raging Bull</t>
        </is>
      </c>
      <c r="C266" s="21" t="n">
        <v>1980</v>
      </c>
      <c r="D266" s="21" t="inlineStr">
        <is>
          <t>USA</t>
        </is>
      </c>
      <c r="E266" s="21" t="n">
        <v>121</v>
      </c>
      <c r="F266" s="21" t="inlineStr">
        <is>
          <t>English</t>
        </is>
      </c>
      <c r="G266" s="21" t="inlineStr">
        <is>
          <t>R</t>
        </is>
      </c>
      <c r="H266" s="22" t="n">
        <v>45250</v>
      </c>
      <c r="I266" s="22" t="n">
        <v>18000000</v>
      </c>
      <c r="J266" s="21">
        <f>IF(OR(H266="",H266=25529689.5),"Yes","No")</f>
        <v/>
      </c>
      <c r="K266" s="21">
        <f>IF(AND(D266="USA",C266&gt;=1980,J266="No"),"Yes","No")</f>
        <v/>
      </c>
      <c r="L266" s="26">
        <f>IF(J266="Yes","",H266-I266)</f>
        <v/>
      </c>
      <c r="M266" s="27">
        <f>IF(OR(J266="Yes",I266=0),"",H266/I266)</f>
        <v/>
      </c>
      <c r="N266" s="21">
        <f>IF(J266="Yes","",IF(H266&gt;=I266,1,0))</f>
        <v/>
      </c>
      <c r="O266" s="21">
        <f>IF(I266&lt;=5000000,"Under $5M",IF(I266&lt;=20000000,"$5M-20M",IF(I266&lt;=50000000,"$20M-50M",IF(I266&lt;=100000000,"$50M-100M","$100M+"))))</f>
        <v/>
      </c>
      <c r="P266" s="21">
        <f>IF(E266&lt;=90,"90 or less",IF(E266&lt;=105,"91-105",IF(E266&lt;=120,"106-120",IF(E266&lt;=140,"121-140","Over 140"))))</f>
        <v/>
      </c>
      <c r="Q266" s="28">
        <f>INT(C266/10)*10</f>
        <v/>
      </c>
    </row>
    <row r="267">
      <c r="A267" s="21" t="n">
        <v>274</v>
      </c>
      <c r="B267" s="21" t="inlineStr">
        <is>
          <t>Raise the Titanic</t>
        </is>
      </c>
      <c r="C267" s="21" t="n">
        <v>1980</v>
      </c>
      <c r="D267" s="21" t="inlineStr">
        <is>
          <t>UK</t>
        </is>
      </c>
      <c r="E267" s="21" t="n">
        <v>119</v>
      </c>
      <c r="F267" s="21" t="inlineStr">
        <is>
          <t>English</t>
        </is>
      </c>
      <c r="G267" s="21" t="inlineStr">
        <is>
          <t>PG</t>
        </is>
      </c>
      <c r="H267" s="22" t="n">
        <v>7000000</v>
      </c>
      <c r="I267" s="22" t="n">
        <v>36000000</v>
      </c>
      <c r="J267" s="21">
        <f>IF(OR(H267="",H267=25529689.5),"Yes","No")</f>
        <v/>
      </c>
      <c r="K267" s="21">
        <f>IF(AND(D267="USA",C267&gt;=1980,J267="No"),"Yes","No")</f>
        <v/>
      </c>
      <c r="L267" s="26">
        <f>IF(J267="Yes","",H267-I267)</f>
        <v/>
      </c>
      <c r="M267" s="27">
        <f>IF(OR(J267="Yes",I267=0),"",H267/I267)</f>
        <v/>
      </c>
      <c r="N267" s="21">
        <f>IF(J267="Yes","",IF(H267&gt;=I267,1,0))</f>
        <v/>
      </c>
      <c r="O267" s="21">
        <f>IF(I267&lt;=5000000,"Under $5M",IF(I267&lt;=20000000,"$5M-20M",IF(I267&lt;=50000000,"$20M-50M",IF(I267&lt;=100000000,"$50M-100M","$100M+"))))</f>
        <v/>
      </c>
      <c r="P267" s="21">
        <f>IF(E267&lt;=90,"90 or less",IF(E267&lt;=105,"91-105",IF(E267&lt;=120,"106-120",IF(E267&lt;=140,"121-140","Over 140"))))</f>
        <v/>
      </c>
      <c r="Q267" s="28">
        <f>INT(C267/10)*10</f>
        <v/>
      </c>
    </row>
    <row r="268">
      <c r="A268" s="21" t="n">
        <v>275</v>
      </c>
      <c r="B268" s="21" t="inlineStr">
        <is>
          <t>Somewhere in Time</t>
        </is>
      </c>
      <c r="C268" s="21" t="n">
        <v>1980</v>
      </c>
      <c r="D268" s="21" t="inlineStr">
        <is>
          <t>USA</t>
        </is>
      </c>
      <c r="E268" s="21" t="n">
        <v>103</v>
      </c>
      <c r="F268" s="21" t="inlineStr">
        <is>
          <t>English</t>
        </is>
      </c>
      <c r="G268" s="21" t="inlineStr">
        <is>
          <t>PG</t>
        </is>
      </c>
      <c r="H268" s="22" t="n">
        <v>25529689.5</v>
      </c>
      <c r="I268" s="22" t="n">
        <v>5100000</v>
      </c>
      <c r="J268" s="21">
        <f>IF(OR(H268="",H268=25529689.5),"Yes","No")</f>
        <v/>
      </c>
      <c r="K268" s="21">
        <f>IF(AND(D268="USA",C268&gt;=1980,J268="No"),"Yes","No")</f>
        <v/>
      </c>
      <c r="L268" s="26">
        <f>IF(J268="Yes","",H268-I268)</f>
        <v/>
      </c>
      <c r="M268" s="27">
        <f>IF(OR(J268="Yes",I268=0),"",H268/I268)</f>
        <v/>
      </c>
      <c r="N268" s="21">
        <f>IF(J268="Yes","",IF(H268&gt;=I268,1,0))</f>
        <v/>
      </c>
      <c r="O268" s="21">
        <f>IF(I268&lt;=5000000,"Under $5M",IF(I268&lt;=20000000,"$5M-20M",IF(I268&lt;=50000000,"$20M-50M",IF(I268&lt;=100000000,"$50M-100M","$100M+"))))</f>
        <v/>
      </c>
      <c r="P268" s="21">
        <f>IF(E268&lt;=90,"90 or less",IF(E268&lt;=105,"91-105",IF(E268&lt;=120,"106-120",IF(E268&lt;=140,"121-140","Over 140"))))</f>
        <v/>
      </c>
      <c r="Q268" s="28">
        <f>INT(C268/10)*10</f>
        <v/>
      </c>
    </row>
    <row r="269">
      <c r="A269" s="21" t="n">
        <v>276</v>
      </c>
      <c r="B269" s="21" t="inlineStr">
        <is>
          <t>Star Wars: Episode V - The Empire Strikes Back</t>
        </is>
      </c>
      <c r="C269" s="21" t="n">
        <v>1980</v>
      </c>
      <c r="D269" s="21" t="inlineStr">
        <is>
          <t>USA</t>
        </is>
      </c>
      <c r="E269" s="21" t="n">
        <v>127</v>
      </c>
      <c r="F269" s="21" t="inlineStr">
        <is>
          <t>English</t>
        </is>
      </c>
      <c r="G269" s="21" t="inlineStr">
        <is>
          <t>PG</t>
        </is>
      </c>
      <c r="H269" s="22" t="n">
        <v>290158751</v>
      </c>
      <c r="I269" s="22" t="n">
        <v>18000000</v>
      </c>
      <c r="J269" s="21">
        <f>IF(OR(H269="",H269=25529689.5),"Yes","No")</f>
        <v/>
      </c>
      <c r="K269" s="21">
        <f>IF(AND(D269="USA",C269&gt;=1980,J269="No"),"Yes","No")</f>
        <v/>
      </c>
      <c r="L269" s="26">
        <f>IF(J269="Yes","",H269-I269)</f>
        <v/>
      </c>
      <c r="M269" s="27">
        <f>IF(OR(J269="Yes",I269=0),"",H269/I269)</f>
        <v/>
      </c>
      <c r="N269" s="21">
        <f>IF(J269="Yes","",IF(H269&gt;=I269,1,0))</f>
        <v/>
      </c>
      <c r="O269" s="21">
        <f>IF(I269&lt;=5000000,"Under $5M",IF(I269&lt;=20000000,"$5M-20M",IF(I269&lt;=50000000,"$20M-50M",IF(I269&lt;=100000000,"$50M-100M","$100M+"))))</f>
        <v/>
      </c>
      <c r="P269" s="21">
        <f>IF(E269&lt;=90,"90 or less",IF(E269&lt;=105,"91-105",IF(E269&lt;=120,"106-120",IF(E269&lt;=140,"121-140","Over 140"))))</f>
        <v/>
      </c>
      <c r="Q269" s="28">
        <f>INT(C269/10)*10</f>
        <v/>
      </c>
    </row>
    <row r="270">
      <c r="A270" s="21" t="n">
        <v>277</v>
      </c>
      <c r="B270" s="21" t="inlineStr">
        <is>
          <t>Superman II</t>
        </is>
      </c>
      <c r="C270" s="21" t="n">
        <v>1980</v>
      </c>
      <c r="D270" s="21" t="inlineStr">
        <is>
          <t>USA</t>
        </is>
      </c>
      <c r="E270" s="21" t="n">
        <v>116</v>
      </c>
      <c r="F270" s="21" t="inlineStr">
        <is>
          <t>English</t>
        </is>
      </c>
      <c r="G270" s="21" t="inlineStr">
        <is>
          <t>PG</t>
        </is>
      </c>
      <c r="H270" s="22" t="n">
        <v>108200000</v>
      </c>
      <c r="I270" s="22" t="n">
        <v>54000000</v>
      </c>
      <c r="J270" s="21">
        <f>IF(OR(H270="",H270=25529689.5),"Yes","No")</f>
        <v/>
      </c>
      <c r="K270" s="21">
        <f>IF(AND(D270="USA",C270&gt;=1980,J270="No"),"Yes","No")</f>
        <v/>
      </c>
      <c r="L270" s="26">
        <f>IF(J270="Yes","",H270-I270)</f>
        <v/>
      </c>
      <c r="M270" s="27">
        <f>IF(OR(J270="Yes",I270=0),"",H270/I270)</f>
        <v/>
      </c>
      <c r="N270" s="21">
        <f>IF(J270="Yes","",IF(H270&gt;=I270,1,0))</f>
        <v/>
      </c>
      <c r="O270" s="21">
        <f>IF(I270&lt;=5000000,"Under $5M",IF(I270&lt;=20000000,"$5M-20M",IF(I270&lt;=50000000,"$20M-50M",IF(I270&lt;=100000000,"$50M-100M","$100M+"))))</f>
        <v/>
      </c>
      <c r="P270" s="21">
        <f>IF(E270&lt;=90,"90 or less",IF(E270&lt;=105,"91-105",IF(E270&lt;=120,"106-120",IF(E270&lt;=140,"121-140","Over 140"))))</f>
        <v/>
      </c>
      <c r="Q270" s="28">
        <f>INT(C270/10)*10</f>
        <v/>
      </c>
    </row>
    <row r="271">
      <c r="A271" s="21" t="n">
        <v>278</v>
      </c>
      <c r="B271" s="21" t="inlineStr">
        <is>
          <t>The Blue Lagoon</t>
        </is>
      </c>
      <c r="C271" s="21" t="n">
        <v>1980</v>
      </c>
      <c r="D271" s="21" t="inlineStr">
        <is>
          <t>USA</t>
        </is>
      </c>
      <c r="E271" s="21" t="n">
        <v>104</v>
      </c>
      <c r="F271" s="21" t="inlineStr">
        <is>
          <t>English</t>
        </is>
      </c>
      <c r="G271" s="21" t="inlineStr">
        <is>
          <t>R</t>
        </is>
      </c>
      <c r="H271" s="22" t="n">
        <v>25529689.5</v>
      </c>
      <c r="I271" s="22" t="n">
        <v>4500000</v>
      </c>
      <c r="J271" s="21">
        <f>IF(OR(H271="",H271=25529689.5),"Yes","No")</f>
        <v/>
      </c>
      <c r="K271" s="21">
        <f>IF(AND(D271="USA",C271&gt;=1980,J271="No"),"Yes","No")</f>
        <v/>
      </c>
      <c r="L271" s="26">
        <f>IF(J271="Yes","",H271-I271)</f>
        <v/>
      </c>
      <c r="M271" s="27">
        <f>IF(OR(J271="Yes",I271=0),"",H271/I271)</f>
        <v/>
      </c>
      <c r="N271" s="21">
        <f>IF(J271="Yes","",IF(H271&gt;=I271,1,0))</f>
        <v/>
      </c>
      <c r="O271" s="21">
        <f>IF(I271&lt;=5000000,"Under $5M",IF(I271&lt;=20000000,"$5M-20M",IF(I271&lt;=50000000,"$20M-50M",IF(I271&lt;=100000000,"$50M-100M","$100M+"))))</f>
        <v/>
      </c>
      <c r="P271" s="21">
        <f>IF(E271&lt;=90,"90 or less",IF(E271&lt;=105,"91-105",IF(E271&lt;=120,"106-120",IF(E271&lt;=140,"121-140","Over 140"))))</f>
        <v/>
      </c>
      <c r="Q271" s="28">
        <f>INT(C271/10)*10</f>
        <v/>
      </c>
    </row>
    <row r="272">
      <c r="A272" s="21" t="n">
        <v>279</v>
      </c>
      <c r="B272" s="21" t="inlineStr">
        <is>
          <t>The Blues Brothers</t>
        </is>
      </c>
      <c r="C272" s="21" t="n">
        <v>1980</v>
      </c>
      <c r="D272" s="21" t="inlineStr">
        <is>
          <t>USA</t>
        </is>
      </c>
      <c r="E272" s="21" t="n">
        <v>148</v>
      </c>
      <c r="F272" s="21" t="inlineStr">
        <is>
          <t>English</t>
        </is>
      </c>
      <c r="G272" s="21" t="inlineStr">
        <is>
          <t>R</t>
        </is>
      </c>
      <c r="H272" s="22" t="n">
        <v>54200000</v>
      </c>
      <c r="I272" s="22" t="n">
        <v>27000000</v>
      </c>
      <c r="J272" s="21">
        <f>IF(OR(H272="",H272=25529689.5),"Yes","No")</f>
        <v/>
      </c>
      <c r="K272" s="21">
        <f>IF(AND(D272="USA",C272&gt;=1980,J272="No"),"Yes","No")</f>
        <v/>
      </c>
      <c r="L272" s="26">
        <f>IF(J272="Yes","",H272-I272)</f>
        <v/>
      </c>
      <c r="M272" s="27">
        <f>IF(OR(J272="Yes",I272=0),"",H272/I272)</f>
        <v/>
      </c>
      <c r="N272" s="21">
        <f>IF(J272="Yes","",IF(H272&gt;=I272,1,0))</f>
        <v/>
      </c>
      <c r="O272" s="21">
        <f>IF(I272&lt;=5000000,"Under $5M",IF(I272&lt;=20000000,"$5M-20M",IF(I272&lt;=50000000,"$20M-50M",IF(I272&lt;=100000000,"$50M-100M","$100M+"))))</f>
        <v/>
      </c>
      <c r="P272" s="21">
        <f>IF(E272&lt;=90,"90 or less",IF(E272&lt;=105,"91-105",IF(E272&lt;=120,"106-120",IF(E272&lt;=140,"121-140","Over 140"))))</f>
        <v/>
      </c>
      <c r="Q272" s="28">
        <f>INT(C272/10)*10</f>
        <v/>
      </c>
    </row>
    <row r="273">
      <c r="A273" s="21" t="n">
        <v>280</v>
      </c>
      <c r="B273" s="21" t="inlineStr">
        <is>
          <t>The Elephant Man</t>
        </is>
      </c>
      <c r="C273" s="21" t="n">
        <v>1980</v>
      </c>
      <c r="D273" s="21" t="inlineStr">
        <is>
          <t>USA</t>
        </is>
      </c>
      <c r="E273" s="21" t="n">
        <v>124</v>
      </c>
      <c r="F273" s="21" t="inlineStr">
        <is>
          <t>English</t>
        </is>
      </c>
      <c r="G273" s="21" t="inlineStr">
        <is>
          <t>PG</t>
        </is>
      </c>
      <c r="H273" s="22" t="n">
        <v>25529689.5</v>
      </c>
      <c r="I273" s="22" t="n">
        <v>5000000</v>
      </c>
      <c r="J273" s="21">
        <f>IF(OR(H273="",H273=25529689.5),"Yes","No")</f>
        <v/>
      </c>
      <c r="K273" s="21">
        <f>IF(AND(D273="USA",C273&gt;=1980,J273="No"),"Yes","No")</f>
        <v/>
      </c>
      <c r="L273" s="26">
        <f>IF(J273="Yes","",H273-I273)</f>
        <v/>
      </c>
      <c r="M273" s="27">
        <f>IF(OR(J273="Yes",I273=0),"",H273/I273)</f>
        <v/>
      </c>
      <c r="N273" s="21">
        <f>IF(J273="Yes","",IF(H273&gt;=I273,1,0))</f>
        <v/>
      </c>
      <c r="O273" s="21">
        <f>IF(I273&lt;=5000000,"Under $5M",IF(I273&lt;=20000000,"$5M-20M",IF(I273&lt;=50000000,"$20M-50M",IF(I273&lt;=100000000,"$50M-100M","$100M+"))))</f>
        <v/>
      </c>
      <c r="P273" s="21">
        <f>IF(E273&lt;=90,"90 or less",IF(E273&lt;=105,"91-105",IF(E273&lt;=120,"106-120",IF(E273&lt;=140,"121-140","Over 140"))))</f>
        <v/>
      </c>
      <c r="Q273" s="28">
        <f>INT(C273/10)*10</f>
        <v/>
      </c>
    </row>
    <row r="274">
      <c r="A274" s="21" t="n">
        <v>281</v>
      </c>
      <c r="B274" s="21" t="inlineStr">
        <is>
          <t>The Fog</t>
        </is>
      </c>
      <c r="C274" s="21" t="n">
        <v>1980</v>
      </c>
      <c r="D274" s="21" t="inlineStr">
        <is>
          <t>USA</t>
        </is>
      </c>
      <c r="E274" s="21" t="n">
        <v>89</v>
      </c>
      <c r="F274" s="21" t="inlineStr">
        <is>
          <t>English</t>
        </is>
      </c>
      <c r="G274" s="21" t="inlineStr">
        <is>
          <t>R</t>
        </is>
      </c>
      <c r="H274" s="22" t="n">
        <v>21378000</v>
      </c>
      <c r="I274" s="22" t="n">
        <v>1000000</v>
      </c>
      <c r="J274" s="21">
        <f>IF(OR(H274="",H274=25529689.5),"Yes","No")</f>
        <v/>
      </c>
      <c r="K274" s="21">
        <f>IF(AND(D274="USA",C274&gt;=1980,J274="No"),"Yes","No")</f>
        <v/>
      </c>
      <c r="L274" s="26">
        <f>IF(J274="Yes","",H274-I274)</f>
        <v/>
      </c>
      <c r="M274" s="27">
        <f>IF(OR(J274="Yes",I274=0),"",H274/I274)</f>
        <v/>
      </c>
      <c r="N274" s="21">
        <f>IF(J274="Yes","",IF(H274&gt;=I274,1,0))</f>
        <v/>
      </c>
      <c r="O274" s="21">
        <f>IF(I274&lt;=5000000,"Under $5M",IF(I274&lt;=20000000,"$5M-20M",IF(I274&lt;=50000000,"$20M-50M",IF(I274&lt;=100000000,"$50M-100M","$100M+"))))</f>
        <v/>
      </c>
      <c r="P274" s="21">
        <f>IF(E274&lt;=90,"90 or less",IF(E274&lt;=105,"91-105",IF(E274&lt;=120,"106-120",IF(E274&lt;=140,"121-140","Over 140"))))</f>
        <v/>
      </c>
      <c r="Q274" s="28">
        <f>INT(C274/10)*10</f>
        <v/>
      </c>
    </row>
    <row r="275">
      <c r="A275" s="21" t="n">
        <v>283</v>
      </c>
      <c r="B275" s="21" t="inlineStr">
        <is>
          <t>The Long Riders</t>
        </is>
      </c>
      <c r="C275" s="21" t="n">
        <v>1980</v>
      </c>
      <c r="D275" s="21" t="inlineStr">
        <is>
          <t>USA</t>
        </is>
      </c>
      <c r="E275" s="21" t="n">
        <v>100</v>
      </c>
      <c r="F275" s="21" t="inlineStr">
        <is>
          <t>English</t>
        </is>
      </c>
      <c r="G275" s="21" t="inlineStr">
        <is>
          <t>R</t>
        </is>
      </c>
      <c r="H275" s="22" t="n">
        <v>25529689.5</v>
      </c>
      <c r="I275" s="22" t="n">
        <v>10000000</v>
      </c>
      <c r="J275" s="21">
        <f>IF(OR(H275="",H275=25529689.5),"Yes","No")</f>
        <v/>
      </c>
      <c r="K275" s="21">
        <f>IF(AND(D275="USA",C275&gt;=1980,J275="No"),"Yes","No")</f>
        <v/>
      </c>
      <c r="L275" s="26">
        <f>IF(J275="Yes","",H275-I275)</f>
        <v/>
      </c>
      <c r="M275" s="27">
        <f>IF(OR(J275="Yes",I275=0),"",H275/I275)</f>
        <v/>
      </c>
      <c r="N275" s="21">
        <f>IF(J275="Yes","",IF(H275&gt;=I275,1,0))</f>
        <v/>
      </c>
      <c r="O275" s="21">
        <f>IF(I275&lt;=5000000,"Under $5M",IF(I275&lt;=20000000,"$5M-20M",IF(I275&lt;=50000000,"$20M-50M",IF(I275&lt;=100000000,"$50M-100M","$100M+"))))</f>
        <v/>
      </c>
      <c r="P275" s="21">
        <f>IF(E275&lt;=90,"90 or less",IF(E275&lt;=105,"91-105",IF(E275&lt;=120,"106-120",IF(E275&lt;=140,"121-140","Over 140"))))</f>
        <v/>
      </c>
      <c r="Q275" s="28">
        <f>INT(C275/10)*10</f>
        <v/>
      </c>
    </row>
    <row r="276">
      <c r="A276" s="21" t="n">
        <v>284</v>
      </c>
      <c r="B276" s="21" t="inlineStr">
        <is>
          <t>The Shining</t>
        </is>
      </c>
      <c r="C276" s="21" t="n">
        <v>1980</v>
      </c>
      <c r="D276" s="21" t="inlineStr">
        <is>
          <t>USA</t>
        </is>
      </c>
      <c r="E276" s="21" t="n">
        <v>146</v>
      </c>
      <c r="F276" s="21" t="inlineStr">
        <is>
          <t>English</t>
        </is>
      </c>
      <c r="G276" s="21" t="inlineStr">
        <is>
          <t>R</t>
        </is>
      </c>
      <c r="H276" s="22" t="n">
        <v>25529689.5</v>
      </c>
      <c r="I276" s="22" t="n">
        <v>19000000</v>
      </c>
      <c r="J276" s="21">
        <f>IF(OR(H276="",H276=25529689.5),"Yes","No")</f>
        <v/>
      </c>
      <c r="K276" s="21">
        <f>IF(AND(D276="USA",C276&gt;=1980,J276="No"),"Yes","No")</f>
        <v/>
      </c>
      <c r="L276" s="26">
        <f>IF(J276="Yes","",H276-I276)</f>
        <v/>
      </c>
      <c r="M276" s="27">
        <f>IF(OR(J276="Yes",I276=0),"",H276/I276)</f>
        <v/>
      </c>
      <c r="N276" s="21">
        <f>IF(J276="Yes","",IF(H276&gt;=I276,1,0))</f>
        <v/>
      </c>
      <c r="O276" s="21">
        <f>IF(I276&lt;=5000000,"Under $5M",IF(I276&lt;=20000000,"$5M-20M",IF(I276&lt;=50000000,"$20M-50M",IF(I276&lt;=100000000,"$50M-100M","$100M+"))))</f>
        <v/>
      </c>
      <c r="P276" s="21">
        <f>IF(E276&lt;=90,"90 or less",IF(E276&lt;=105,"91-105",IF(E276&lt;=120,"106-120",IF(E276&lt;=140,"121-140","Over 140"))))</f>
        <v/>
      </c>
      <c r="Q276" s="28">
        <f>INT(C276/10)*10</f>
        <v/>
      </c>
    </row>
    <row r="277">
      <c r="A277" s="21" t="n">
        <v>285</v>
      </c>
      <c r="B277" s="21" t="inlineStr">
        <is>
          <t>Blow Out</t>
        </is>
      </c>
      <c r="C277" s="21" t="n">
        <v>1981</v>
      </c>
      <c r="D277" s="21" t="inlineStr">
        <is>
          <t>USA</t>
        </is>
      </c>
      <c r="E277" s="21" t="n">
        <v>107</v>
      </c>
      <c r="F277" s="21" t="inlineStr">
        <is>
          <t>English</t>
        </is>
      </c>
      <c r="G277" s="21" t="inlineStr">
        <is>
          <t>R</t>
        </is>
      </c>
      <c r="H277" s="22" t="n">
        <v>25529689.5</v>
      </c>
      <c r="I277" s="22" t="n">
        <v>18000000</v>
      </c>
      <c r="J277" s="21">
        <f>IF(OR(H277="",H277=25529689.5),"Yes","No")</f>
        <v/>
      </c>
      <c r="K277" s="21">
        <f>IF(AND(D277="USA",C277&gt;=1980,J277="No"),"Yes","No")</f>
        <v/>
      </c>
      <c r="L277" s="26">
        <f>IF(J277="Yes","",H277-I277)</f>
        <v/>
      </c>
      <c r="M277" s="27">
        <f>IF(OR(J277="Yes",I277=0),"",H277/I277)</f>
        <v/>
      </c>
      <c r="N277" s="21">
        <f>IF(J277="Yes","",IF(H277&gt;=I277,1,0))</f>
        <v/>
      </c>
      <c r="O277" s="21">
        <f>IF(I277&lt;=5000000,"Under $5M",IF(I277&lt;=20000000,"$5M-20M",IF(I277&lt;=50000000,"$20M-50M",IF(I277&lt;=100000000,"$50M-100M","$100M+"))))</f>
        <v/>
      </c>
      <c r="P277" s="21">
        <f>IF(E277&lt;=90,"90 or less",IF(E277&lt;=105,"91-105",IF(E277&lt;=120,"106-120",IF(E277&lt;=140,"121-140","Over 140"))))</f>
        <v/>
      </c>
      <c r="Q277" s="28">
        <f>INT(C277/10)*10</f>
        <v/>
      </c>
    </row>
    <row r="278">
      <c r="A278" s="21" t="n">
        <v>286</v>
      </c>
      <c r="B278" s="21" t="inlineStr">
        <is>
          <t>Chariots of Fire</t>
        </is>
      </c>
      <c r="C278" s="21" t="n">
        <v>1981</v>
      </c>
      <c r="D278" s="21" t="inlineStr">
        <is>
          <t>UK</t>
        </is>
      </c>
      <c r="E278" s="21" t="n">
        <v>125</v>
      </c>
      <c r="F278" s="21" t="inlineStr">
        <is>
          <t>English</t>
        </is>
      </c>
      <c r="G278" s="21" t="inlineStr">
        <is>
          <t>PG</t>
        </is>
      </c>
      <c r="H278" s="22" t="n">
        <v>58800000</v>
      </c>
      <c r="I278" s="22" t="n">
        <v>5500000</v>
      </c>
      <c r="J278" s="21">
        <f>IF(OR(H278="",H278=25529689.5),"Yes","No")</f>
        <v/>
      </c>
      <c r="K278" s="21">
        <f>IF(AND(D278="USA",C278&gt;=1980,J278="No"),"Yes","No")</f>
        <v/>
      </c>
      <c r="L278" s="26">
        <f>IF(J278="Yes","",H278-I278)</f>
        <v/>
      </c>
      <c r="M278" s="27">
        <f>IF(OR(J278="Yes",I278=0),"",H278/I278)</f>
        <v/>
      </c>
      <c r="N278" s="21">
        <f>IF(J278="Yes","",IF(H278&gt;=I278,1,0))</f>
        <v/>
      </c>
      <c r="O278" s="21">
        <f>IF(I278&lt;=5000000,"Under $5M",IF(I278&lt;=20000000,"$5M-20M",IF(I278&lt;=50000000,"$20M-50M",IF(I278&lt;=100000000,"$50M-100M","$100M+"))))</f>
        <v/>
      </c>
      <c r="P278" s="21">
        <f>IF(E278&lt;=90,"90 or less",IF(E278&lt;=105,"91-105",IF(E278&lt;=120,"106-120",IF(E278&lt;=140,"121-140","Over 140"))))</f>
        <v/>
      </c>
      <c r="Q278" s="28">
        <f>INT(C278/10)*10</f>
        <v/>
      </c>
    </row>
    <row r="279">
      <c r="A279" s="21" t="n">
        <v>287</v>
      </c>
      <c r="B279" s="21" t="inlineStr">
        <is>
          <t>Das Boot</t>
        </is>
      </c>
      <c r="C279" s="21" t="n">
        <v>1981</v>
      </c>
      <c r="D279" s="21" t="inlineStr">
        <is>
          <t>West Germany</t>
        </is>
      </c>
      <c r="E279" s="21" t="n">
        <v>293</v>
      </c>
      <c r="F279" s="21" t="inlineStr">
        <is>
          <t>German</t>
        </is>
      </c>
      <c r="G279" s="21" t="inlineStr">
        <is>
          <t>R</t>
        </is>
      </c>
      <c r="H279" s="22" t="n">
        <v>11433134</v>
      </c>
      <c r="I279" s="22" t="n">
        <v>14000000</v>
      </c>
      <c r="J279" s="21">
        <f>IF(OR(H279="",H279=25529689.5),"Yes","No")</f>
        <v/>
      </c>
      <c r="K279" s="21">
        <f>IF(AND(D279="USA",C279&gt;=1980,J279="No"),"Yes","No")</f>
        <v/>
      </c>
      <c r="L279" s="26">
        <f>IF(J279="Yes","",H279-I279)</f>
        <v/>
      </c>
      <c r="M279" s="27">
        <f>IF(OR(J279="Yes",I279=0),"",H279/I279)</f>
        <v/>
      </c>
      <c r="N279" s="21">
        <f>IF(J279="Yes","",IF(H279&gt;=I279,1,0))</f>
        <v/>
      </c>
      <c r="O279" s="21">
        <f>IF(I279&lt;=5000000,"Under $5M",IF(I279&lt;=20000000,"$5M-20M",IF(I279&lt;=50000000,"$20M-50M",IF(I279&lt;=100000000,"$50M-100M","$100M+"))))</f>
        <v/>
      </c>
      <c r="P279" s="21">
        <f>IF(E279&lt;=90,"90 or less",IF(E279&lt;=105,"91-105",IF(E279&lt;=120,"106-120",IF(E279&lt;=140,"121-140","Over 140"))))</f>
        <v/>
      </c>
      <c r="Q279" s="28">
        <f>INT(C279/10)*10</f>
        <v/>
      </c>
    </row>
    <row r="280">
      <c r="A280" s="21" t="n">
        <v>288</v>
      </c>
      <c r="B280" s="21" t="inlineStr">
        <is>
          <t>Dragonslayer</t>
        </is>
      </c>
      <c r="C280" s="21" t="n">
        <v>1981</v>
      </c>
      <c r="D280" s="21" t="inlineStr">
        <is>
          <t>USA</t>
        </is>
      </c>
      <c r="E280" s="21" t="n">
        <v>108</v>
      </c>
      <c r="F280" s="21" t="inlineStr">
        <is>
          <t>English</t>
        </is>
      </c>
      <c r="G280" s="21" t="inlineStr">
        <is>
          <t>PG</t>
        </is>
      </c>
      <c r="H280" s="22" t="n">
        <v>6000000</v>
      </c>
      <c r="I280" s="22" t="n">
        <v>18000000</v>
      </c>
      <c r="J280" s="21">
        <f>IF(OR(H280="",H280=25529689.5),"Yes","No")</f>
        <v/>
      </c>
      <c r="K280" s="21">
        <f>IF(AND(D280="USA",C280&gt;=1980,J280="No"),"Yes","No")</f>
        <v/>
      </c>
      <c r="L280" s="26">
        <f>IF(J280="Yes","",H280-I280)</f>
        <v/>
      </c>
      <c r="M280" s="27">
        <f>IF(OR(J280="Yes",I280=0),"",H280/I280)</f>
        <v/>
      </c>
      <c r="N280" s="21">
        <f>IF(J280="Yes","",IF(H280&gt;=I280,1,0))</f>
        <v/>
      </c>
      <c r="O280" s="21">
        <f>IF(I280&lt;=5000000,"Under $5M",IF(I280&lt;=20000000,"$5M-20M",IF(I280&lt;=50000000,"$20M-50M",IF(I280&lt;=100000000,"$50M-100M","$100M+"))))</f>
        <v/>
      </c>
      <c r="P280" s="21">
        <f>IF(E280&lt;=90,"90 or less",IF(E280&lt;=105,"91-105",IF(E280&lt;=120,"106-120",IF(E280&lt;=140,"121-140","Over 140"))))</f>
        <v/>
      </c>
      <c r="Q280" s="28">
        <f>INT(C280/10)*10</f>
        <v/>
      </c>
    </row>
    <row r="281">
      <c r="A281" s="21" t="n">
        <v>289</v>
      </c>
      <c r="B281" s="21" t="inlineStr">
        <is>
          <t>Escape from New York</t>
        </is>
      </c>
      <c r="C281" s="21" t="n">
        <v>1981</v>
      </c>
      <c r="D281" s="21" t="inlineStr">
        <is>
          <t>UK</t>
        </is>
      </c>
      <c r="E281" s="21" t="n">
        <v>106</v>
      </c>
      <c r="F281" s="21" t="inlineStr">
        <is>
          <t>English</t>
        </is>
      </c>
      <c r="G281" s="21" t="inlineStr">
        <is>
          <t>R</t>
        </is>
      </c>
      <c r="H281" s="22" t="n">
        <v>25244700</v>
      </c>
      <c r="I281" s="22" t="n">
        <v>6000000</v>
      </c>
      <c r="J281" s="21">
        <f>IF(OR(H281="",H281=25529689.5),"Yes","No")</f>
        <v/>
      </c>
      <c r="K281" s="21">
        <f>IF(AND(D281="USA",C281&gt;=1980,J281="No"),"Yes","No")</f>
        <v/>
      </c>
      <c r="L281" s="26">
        <f>IF(J281="Yes","",H281-I281)</f>
        <v/>
      </c>
      <c r="M281" s="27">
        <f>IF(OR(J281="Yes",I281=0),"",H281/I281)</f>
        <v/>
      </c>
      <c r="N281" s="21">
        <f>IF(J281="Yes","",IF(H281&gt;=I281,1,0))</f>
        <v/>
      </c>
      <c r="O281" s="21">
        <f>IF(I281&lt;=5000000,"Under $5M",IF(I281&lt;=20000000,"$5M-20M",IF(I281&lt;=50000000,"$20M-50M",IF(I281&lt;=100000000,"$50M-100M","$100M+"))))</f>
        <v/>
      </c>
      <c r="P281" s="21">
        <f>IF(E281&lt;=90,"90 or less",IF(E281&lt;=105,"91-105",IF(E281&lt;=120,"106-120",IF(E281&lt;=140,"121-140","Over 140"))))</f>
        <v/>
      </c>
      <c r="Q281" s="28">
        <f>INT(C281/10)*10</f>
        <v/>
      </c>
    </row>
    <row r="282">
      <c r="A282" s="21" t="n">
        <v>290</v>
      </c>
      <c r="B282" s="21" t="inlineStr">
        <is>
          <t>For Your Eyes Only</t>
        </is>
      </c>
      <c r="C282" s="21" t="n">
        <v>1981</v>
      </c>
      <c r="D282" s="21" t="inlineStr">
        <is>
          <t>UK</t>
        </is>
      </c>
      <c r="E282" s="21" t="n">
        <v>127</v>
      </c>
      <c r="F282" s="21" t="inlineStr">
        <is>
          <t>English</t>
        </is>
      </c>
      <c r="G282" s="21" t="inlineStr">
        <is>
          <t>PG</t>
        </is>
      </c>
      <c r="H282" s="22" t="n">
        <v>62300000</v>
      </c>
      <c r="I282" s="22" t="n">
        <v>28000000</v>
      </c>
      <c r="J282" s="21">
        <f>IF(OR(H282="",H282=25529689.5),"Yes","No")</f>
        <v/>
      </c>
      <c r="K282" s="21">
        <f>IF(AND(D282="USA",C282&gt;=1980,J282="No"),"Yes","No")</f>
        <v/>
      </c>
      <c r="L282" s="26">
        <f>IF(J282="Yes","",H282-I282)</f>
        <v/>
      </c>
      <c r="M282" s="27">
        <f>IF(OR(J282="Yes",I282=0),"",H282/I282)</f>
        <v/>
      </c>
      <c r="N282" s="21">
        <f>IF(J282="Yes","",IF(H282&gt;=I282,1,0))</f>
        <v/>
      </c>
      <c r="O282" s="21">
        <f>IF(I282&lt;=5000000,"Under $5M",IF(I282&lt;=20000000,"$5M-20M",IF(I282&lt;=50000000,"$20M-50M",IF(I282&lt;=100000000,"$50M-100M","$100M+"))))</f>
        <v/>
      </c>
      <c r="P282" s="21">
        <f>IF(E282&lt;=90,"90 or less",IF(E282&lt;=105,"91-105",IF(E282&lt;=120,"106-120",IF(E282&lt;=140,"121-140","Over 140"))))</f>
        <v/>
      </c>
      <c r="Q282" s="28">
        <f>INT(C282/10)*10</f>
        <v/>
      </c>
    </row>
    <row r="283">
      <c r="A283" s="21" t="n">
        <v>291</v>
      </c>
      <c r="B283" s="21" t="inlineStr">
        <is>
          <t>Friday the 13th Part 2</t>
        </is>
      </c>
      <c r="C283" s="21" t="n">
        <v>1981</v>
      </c>
      <c r="D283" s="21" t="inlineStr">
        <is>
          <t>USA</t>
        </is>
      </c>
      <c r="E283" s="21" t="n">
        <v>87</v>
      </c>
      <c r="F283" s="21" t="inlineStr">
        <is>
          <t>English</t>
        </is>
      </c>
      <c r="G283" s="21" t="inlineStr">
        <is>
          <t>R</t>
        </is>
      </c>
      <c r="H283" s="22" t="n">
        <v>19100000</v>
      </c>
      <c r="I283" s="22" t="n">
        <v>1250000</v>
      </c>
      <c r="J283" s="21">
        <f>IF(OR(H283="",H283=25529689.5),"Yes","No")</f>
        <v/>
      </c>
      <c r="K283" s="21">
        <f>IF(AND(D283="USA",C283&gt;=1980,J283="No"),"Yes","No")</f>
        <v/>
      </c>
      <c r="L283" s="26">
        <f>IF(J283="Yes","",H283-I283)</f>
        <v/>
      </c>
      <c r="M283" s="27">
        <f>IF(OR(J283="Yes",I283=0),"",H283/I283)</f>
        <v/>
      </c>
      <c r="N283" s="21">
        <f>IF(J283="Yes","",IF(H283&gt;=I283,1,0))</f>
        <v/>
      </c>
      <c r="O283" s="21">
        <f>IF(I283&lt;=5000000,"Under $5M",IF(I283&lt;=20000000,"$5M-20M",IF(I283&lt;=50000000,"$20M-50M",IF(I283&lt;=100000000,"$50M-100M","$100M+"))))</f>
        <v/>
      </c>
      <c r="P283" s="21">
        <f>IF(E283&lt;=90,"90 or less",IF(E283&lt;=105,"91-105",IF(E283&lt;=120,"106-120",IF(E283&lt;=140,"121-140","Over 140"))))</f>
        <v/>
      </c>
      <c r="Q283" s="28">
        <f>INT(C283/10)*10</f>
        <v/>
      </c>
    </row>
    <row r="284">
      <c r="A284" s="21" t="n">
        <v>292</v>
      </c>
      <c r="B284" s="21" t="inlineStr">
        <is>
          <t>Graduation Day</t>
        </is>
      </c>
      <c r="C284" s="21" t="n">
        <v>1981</v>
      </c>
      <c r="D284" s="21" t="inlineStr">
        <is>
          <t>USA</t>
        </is>
      </c>
      <c r="E284" s="21" t="n">
        <v>96</v>
      </c>
      <c r="F284" s="21" t="inlineStr">
        <is>
          <t>English</t>
        </is>
      </c>
      <c r="G284" s="21" t="inlineStr">
        <is>
          <t>R</t>
        </is>
      </c>
      <c r="H284" s="22" t="n">
        <v>25529689.5</v>
      </c>
      <c r="I284" s="22" t="n">
        <v>250000</v>
      </c>
      <c r="J284" s="21">
        <f>IF(OR(H284="",H284=25529689.5),"Yes","No")</f>
        <v/>
      </c>
      <c r="K284" s="21">
        <f>IF(AND(D284="USA",C284&gt;=1980,J284="No"),"Yes","No")</f>
        <v/>
      </c>
      <c r="L284" s="26">
        <f>IF(J284="Yes","",H284-I284)</f>
        <v/>
      </c>
      <c r="M284" s="27">
        <f>IF(OR(J284="Yes",I284=0),"",H284/I284)</f>
        <v/>
      </c>
      <c r="N284" s="21">
        <f>IF(J284="Yes","",IF(H284&gt;=I284,1,0))</f>
        <v/>
      </c>
      <c r="O284" s="21">
        <f>IF(I284&lt;=5000000,"Under $5M",IF(I284&lt;=20000000,"$5M-20M",IF(I284&lt;=50000000,"$20M-50M",IF(I284&lt;=100000000,"$50M-100M","$100M+"))))</f>
        <v/>
      </c>
      <c r="P284" s="21">
        <f>IF(E284&lt;=90,"90 or less",IF(E284&lt;=105,"91-105",IF(E284&lt;=120,"106-120",IF(E284&lt;=140,"121-140","Over 140"))))</f>
        <v/>
      </c>
      <c r="Q284" s="28">
        <f>INT(C284/10)*10</f>
        <v/>
      </c>
    </row>
    <row r="285">
      <c r="A285" s="21" t="n">
        <v>293</v>
      </c>
      <c r="B285" s="21" t="inlineStr">
        <is>
          <t>Heartbeeps</t>
        </is>
      </c>
      <c r="C285" s="21" t="n">
        <v>1981</v>
      </c>
      <c r="D285" s="21" t="inlineStr">
        <is>
          <t>USA</t>
        </is>
      </c>
      <c r="E285" s="21" t="n">
        <v>78</v>
      </c>
      <c r="F285" s="21" t="inlineStr">
        <is>
          <t>English</t>
        </is>
      </c>
      <c r="G285" s="21" t="inlineStr">
        <is>
          <t>PG</t>
        </is>
      </c>
      <c r="H285" s="22" t="n">
        <v>25529689.5</v>
      </c>
      <c r="I285" s="22" t="n">
        <v>10000000</v>
      </c>
      <c r="J285" s="21">
        <f>IF(OR(H285="",H285=25529689.5),"Yes","No")</f>
        <v/>
      </c>
      <c r="K285" s="21">
        <f>IF(AND(D285="USA",C285&gt;=1980,J285="No"),"Yes","No")</f>
        <v/>
      </c>
      <c r="L285" s="26">
        <f>IF(J285="Yes","",H285-I285)</f>
        <v/>
      </c>
      <c r="M285" s="27">
        <f>IF(OR(J285="Yes",I285=0),"",H285/I285)</f>
        <v/>
      </c>
      <c r="N285" s="21">
        <f>IF(J285="Yes","",IF(H285&gt;=I285,1,0))</f>
        <v/>
      </c>
      <c r="O285" s="21">
        <f>IF(I285&lt;=5000000,"Under $5M",IF(I285&lt;=20000000,"$5M-20M",IF(I285&lt;=50000000,"$20M-50M",IF(I285&lt;=100000000,"$50M-100M","$100M+"))))</f>
        <v/>
      </c>
      <c r="P285" s="21">
        <f>IF(E285&lt;=90,"90 or less",IF(E285&lt;=105,"91-105",IF(E285&lt;=120,"106-120",IF(E285&lt;=140,"121-140","Over 140"))))</f>
        <v/>
      </c>
      <c r="Q285" s="28">
        <f>INT(C285/10)*10</f>
        <v/>
      </c>
    </row>
    <row r="286">
      <c r="A286" s="21" t="n">
        <v>294</v>
      </c>
      <c r="B286" s="21" t="inlineStr">
        <is>
          <t>Heavy Metal</t>
        </is>
      </c>
      <c r="C286" s="21" t="n">
        <v>1981</v>
      </c>
      <c r="D286" s="21" t="inlineStr">
        <is>
          <t>Canada</t>
        </is>
      </c>
      <c r="E286" s="21" t="n">
        <v>90</v>
      </c>
      <c r="F286" s="21" t="inlineStr">
        <is>
          <t>English</t>
        </is>
      </c>
      <c r="G286" s="21" t="inlineStr">
        <is>
          <t>R</t>
        </is>
      </c>
      <c r="H286" s="22" t="n">
        <v>25529689.5</v>
      </c>
      <c r="I286" s="22" t="n">
        <v>9300000</v>
      </c>
      <c r="J286" s="21">
        <f>IF(OR(H286="",H286=25529689.5),"Yes","No")</f>
        <v/>
      </c>
      <c r="K286" s="21">
        <f>IF(AND(D286="USA",C286&gt;=1980,J286="No"),"Yes","No")</f>
        <v/>
      </c>
      <c r="L286" s="26">
        <f>IF(J286="Yes","",H286-I286)</f>
        <v/>
      </c>
      <c r="M286" s="27">
        <f>IF(OR(J286="Yes",I286=0),"",H286/I286)</f>
        <v/>
      </c>
      <c r="N286" s="21">
        <f>IF(J286="Yes","",IF(H286&gt;=I286,1,0))</f>
        <v/>
      </c>
      <c r="O286" s="21">
        <f>IF(I286&lt;=5000000,"Under $5M",IF(I286&lt;=20000000,"$5M-20M",IF(I286&lt;=50000000,"$20M-50M",IF(I286&lt;=100000000,"$50M-100M","$100M+"))))</f>
        <v/>
      </c>
      <c r="P286" s="21">
        <f>IF(E286&lt;=90,"90 or less",IF(E286&lt;=105,"91-105",IF(E286&lt;=120,"106-120",IF(E286&lt;=140,"121-140","Over 140"))))</f>
        <v/>
      </c>
      <c r="Q286" s="28">
        <f>INT(C286/10)*10</f>
        <v/>
      </c>
    </row>
    <row r="287">
      <c r="A287" s="21" t="n">
        <v>295</v>
      </c>
      <c r="B287" s="21" t="inlineStr">
        <is>
          <t>History of the World: Part I</t>
        </is>
      </c>
      <c r="C287" s="21" t="n">
        <v>1981</v>
      </c>
      <c r="D287" s="21" t="inlineStr">
        <is>
          <t>USA</t>
        </is>
      </c>
      <c r="E287" s="21" t="n">
        <v>92</v>
      </c>
      <c r="F287" s="21" t="inlineStr">
        <is>
          <t>English</t>
        </is>
      </c>
      <c r="G287" s="21" t="inlineStr">
        <is>
          <t>R</t>
        </is>
      </c>
      <c r="H287" s="22" t="n">
        <v>25529689.5</v>
      </c>
      <c r="I287" s="22" t="n">
        <v>11000000</v>
      </c>
      <c r="J287" s="21">
        <f>IF(OR(H287="",H287=25529689.5),"Yes","No")</f>
        <v/>
      </c>
      <c r="K287" s="21">
        <f>IF(AND(D287="USA",C287&gt;=1980,J287="No"),"Yes","No")</f>
        <v/>
      </c>
      <c r="L287" s="26">
        <f>IF(J287="Yes","",H287-I287)</f>
        <v/>
      </c>
      <c r="M287" s="27">
        <f>IF(OR(J287="Yes",I287=0),"",H287/I287)</f>
        <v/>
      </c>
      <c r="N287" s="21">
        <f>IF(J287="Yes","",IF(H287&gt;=I287,1,0))</f>
        <v/>
      </c>
      <c r="O287" s="21">
        <f>IF(I287&lt;=5000000,"Under $5M",IF(I287&lt;=20000000,"$5M-20M",IF(I287&lt;=50000000,"$20M-50M",IF(I287&lt;=100000000,"$50M-100M","$100M+"))))</f>
        <v/>
      </c>
      <c r="P287" s="21">
        <f>IF(E287&lt;=90,"90 or less",IF(E287&lt;=105,"91-105",IF(E287&lt;=120,"106-120",IF(E287&lt;=140,"121-140","Over 140"))))</f>
        <v/>
      </c>
      <c r="Q287" s="28">
        <f>INT(C287/10)*10</f>
        <v/>
      </c>
    </row>
    <row r="288">
      <c r="A288" s="21" t="n">
        <v>297</v>
      </c>
      <c r="B288" s="21" t="inlineStr">
        <is>
          <t>Inchon</t>
        </is>
      </c>
      <c r="C288" s="21" t="n">
        <v>1981</v>
      </c>
      <c r="D288" s="21" t="inlineStr">
        <is>
          <t>South Korea</t>
        </is>
      </c>
      <c r="E288" s="21" t="n">
        <v>140</v>
      </c>
      <c r="F288" s="21" t="inlineStr">
        <is>
          <t>English</t>
        </is>
      </c>
      <c r="G288" s="21" t="inlineStr">
        <is>
          <t>PG</t>
        </is>
      </c>
      <c r="H288" s="22" t="n">
        <v>25529689.5</v>
      </c>
      <c r="I288" s="22" t="n">
        <v>48000000</v>
      </c>
      <c r="J288" s="21">
        <f>IF(OR(H288="",H288=25529689.5),"Yes","No")</f>
        <v/>
      </c>
      <c r="K288" s="21">
        <f>IF(AND(D288="USA",C288&gt;=1980,J288="No"),"Yes","No")</f>
        <v/>
      </c>
      <c r="L288" s="26">
        <f>IF(J288="Yes","",H288-I288)</f>
        <v/>
      </c>
      <c r="M288" s="27">
        <f>IF(OR(J288="Yes",I288=0),"",H288/I288)</f>
        <v/>
      </c>
      <c r="N288" s="21">
        <f>IF(J288="Yes","",IF(H288&gt;=I288,1,0))</f>
        <v/>
      </c>
      <c r="O288" s="21">
        <f>IF(I288&lt;=5000000,"Under $5M",IF(I288&lt;=20000000,"$5M-20M",IF(I288&lt;=50000000,"$20M-50M",IF(I288&lt;=100000000,"$50M-100M","$100M+"))))</f>
        <v/>
      </c>
      <c r="P288" s="21">
        <f>IF(E288&lt;=90,"90 or less",IF(E288&lt;=105,"91-105",IF(E288&lt;=120,"106-120",IF(E288&lt;=140,"121-140","Over 140"))))</f>
        <v/>
      </c>
      <c r="Q288" s="28">
        <f>INT(C288/10)*10</f>
        <v/>
      </c>
    </row>
    <row r="289">
      <c r="A289" s="21" t="n">
        <v>298</v>
      </c>
      <c r="B289" s="21" t="inlineStr">
        <is>
          <t>Mad Max 2: The Road Warrior</t>
        </is>
      </c>
      <c r="C289" s="21" t="n">
        <v>1981</v>
      </c>
      <c r="D289" s="21" t="inlineStr">
        <is>
          <t>Australia</t>
        </is>
      </c>
      <c r="E289" s="21" t="n">
        <v>87</v>
      </c>
      <c r="F289" s="21" t="inlineStr">
        <is>
          <t>English</t>
        </is>
      </c>
      <c r="G289" s="21" t="inlineStr">
        <is>
          <t>R</t>
        </is>
      </c>
      <c r="H289" s="22" t="n">
        <v>9003011</v>
      </c>
      <c r="I289" s="22" t="n">
        <v>2000000</v>
      </c>
      <c r="J289" s="21">
        <f>IF(OR(H289="",H289=25529689.5),"Yes","No")</f>
        <v/>
      </c>
      <c r="K289" s="21">
        <f>IF(AND(D289="USA",C289&gt;=1980,J289="No"),"Yes","No")</f>
        <v/>
      </c>
      <c r="L289" s="26">
        <f>IF(J289="Yes","",H289-I289)</f>
        <v/>
      </c>
      <c r="M289" s="27">
        <f>IF(OR(J289="Yes",I289=0),"",H289/I289)</f>
        <v/>
      </c>
      <c r="N289" s="21">
        <f>IF(J289="Yes","",IF(H289&gt;=I289,1,0))</f>
        <v/>
      </c>
      <c r="O289" s="21">
        <f>IF(I289&lt;=5000000,"Under $5M",IF(I289&lt;=20000000,"$5M-20M",IF(I289&lt;=50000000,"$20M-50M",IF(I289&lt;=100000000,"$50M-100M","$100M+"))))</f>
        <v/>
      </c>
      <c r="P289" s="21">
        <f>IF(E289&lt;=90,"90 or less",IF(E289&lt;=105,"91-105",IF(E289&lt;=120,"106-120",IF(E289&lt;=140,"121-140","Over 140"))))</f>
        <v/>
      </c>
      <c r="Q289" s="28">
        <f>INT(C289/10)*10</f>
        <v/>
      </c>
    </row>
    <row r="290">
      <c r="A290" s="21" t="n">
        <v>299</v>
      </c>
      <c r="B290" s="21" t="inlineStr">
        <is>
          <t>Modern Problems</t>
        </is>
      </c>
      <c r="C290" s="21" t="n">
        <v>1981</v>
      </c>
      <c r="D290" s="21" t="inlineStr">
        <is>
          <t>USA</t>
        </is>
      </c>
      <c r="E290" s="21" t="n">
        <v>93</v>
      </c>
      <c r="F290" s="21" t="inlineStr">
        <is>
          <t>English</t>
        </is>
      </c>
      <c r="G290" s="21" t="inlineStr">
        <is>
          <t>PG</t>
        </is>
      </c>
      <c r="H290" s="22" t="n">
        <v>25529689.5</v>
      </c>
      <c r="I290" s="22" t="n">
        <v>8000000</v>
      </c>
      <c r="J290" s="21">
        <f>IF(OR(H290="",H290=25529689.5),"Yes","No")</f>
        <v/>
      </c>
      <c r="K290" s="21">
        <f>IF(AND(D290="USA",C290&gt;=1980,J290="No"),"Yes","No")</f>
        <v/>
      </c>
      <c r="L290" s="26">
        <f>IF(J290="Yes","",H290-I290)</f>
        <v/>
      </c>
      <c r="M290" s="27">
        <f>IF(OR(J290="Yes",I290=0),"",H290/I290)</f>
        <v/>
      </c>
      <c r="N290" s="21">
        <f>IF(J290="Yes","",IF(H290&gt;=I290,1,0))</f>
        <v/>
      </c>
      <c r="O290" s="21">
        <f>IF(I290&lt;=5000000,"Under $5M",IF(I290&lt;=20000000,"$5M-20M",IF(I290&lt;=50000000,"$20M-50M",IF(I290&lt;=100000000,"$50M-100M","$100M+"))))</f>
        <v/>
      </c>
      <c r="P290" s="21">
        <f>IF(E290&lt;=90,"90 or less",IF(E290&lt;=105,"91-105",IF(E290&lt;=120,"106-120",IF(E290&lt;=140,"121-140","Over 140"))))</f>
        <v/>
      </c>
      <c r="Q290" s="28">
        <f>INT(C290/10)*10</f>
        <v/>
      </c>
    </row>
    <row r="291">
      <c r="A291" s="21" t="n">
        <v>300</v>
      </c>
      <c r="B291" s="21" t="inlineStr">
        <is>
          <t>Mommie Dearest</t>
        </is>
      </c>
      <c r="C291" s="21" t="n">
        <v>1981</v>
      </c>
      <c r="D291" s="21" t="inlineStr">
        <is>
          <t>USA</t>
        </is>
      </c>
      <c r="E291" s="21" t="n">
        <v>129</v>
      </c>
      <c r="F291" s="21" t="inlineStr">
        <is>
          <t>English</t>
        </is>
      </c>
      <c r="G291" s="21" t="inlineStr">
        <is>
          <t>R</t>
        </is>
      </c>
      <c r="H291" s="22" t="n">
        <v>25529689.5</v>
      </c>
      <c r="I291" s="22" t="n">
        <v>5000000</v>
      </c>
      <c r="J291" s="21">
        <f>IF(OR(H291="",H291=25529689.5),"Yes","No")</f>
        <v/>
      </c>
      <c r="K291" s="21">
        <f>IF(AND(D291="USA",C291&gt;=1980,J291="No"),"Yes","No")</f>
        <v/>
      </c>
      <c r="L291" s="26">
        <f>IF(J291="Yes","",H291-I291)</f>
        <v/>
      </c>
      <c r="M291" s="27">
        <f>IF(OR(J291="Yes",I291=0),"",H291/I291)</f>
        <v/>
      </c>
      <c r="N291" s="21">
        <f>IF(J291="Yes","",IF(H291&gt;=I291,1,0))</f>
        <v/>
      </c>
      <c r="O291" s="21">
        <f>IF(I291&lt;=5000000,"Under $5M",IF(I291&lt;=20000000,"$5M-20M",IF(I291&lt;=50000000,"$20M-50M",IF(I291&lt;=100000000,"$50M-100M","$100M+"))))</f>
        <v/>
      </c>
      <c r="P291" s="21">
        <f>IF(E291&lt;=90,"90 or less",IF(E291&lt;=105,"91-105",IF(E291&lt;=120,"106-120",IF(E291&lt;=140,"121-140","Over 140"))))</f>
        <v/>
      </c>
      <c r="Q291" s="28">
        <f>INT(C291/10)*10</f>
        <v/>
      </c>
    </row>
    <row r="292">
      <c r="A292" s="21" t="n">
        <v>301</v>
      </c>
      <c r="B292" s="21" t="inlineStr">
        <is>
          <t>Nighthawks</t>
        </is>
      </c>
      <c r="C292" s="21" t="n">
        <v>1981</v>
      </c>
      <c r="D292" s="21" t="inlineStr">
        <is>
          <t>USA</t>
        </is>
      </c>
      <c r="E292" s="21" t="n">
        <v>99</v>
      </c>
      <c r="F292" s="21" t="inlineStr">
        <is>
          <t>English</t>
        </is>
      </c>
      <c r="G292" s="21" t="inlineStr">
        <is>
          <t>R</t>
        </is>
      </c>
      <c r="H292" s="22" t="n">
        <v>25529689.5</v>
      </c>
      <c r="I292" s="22" t="n">
        <v>5000000</v>
      </c>
      <c r="J292" s="21">
        <f>IF(OR(H292="",H292=25529689.5),"Yes","No")</f>
        <v/>
      </c>
      <c r="K292" s="21">
        <f>IF(AND(D292="USA",C292&gt;=1980,J292="No"),"Yes","No")</f>
        <v/>
      </c>
      <c r="L292" s="26">
        <f>IF(J292="Yes","",H292-I292)</f>
        <v/>
      </c>
      <c r="M292" s="27">
        <f>IF(OR(J292="Yes",I292=0),"",H292/I292)</f>
        <v/>
      </c>
      <c r="N292" s="21">
        <f>IF(J292="Yes","",IF(H292&gt;=I292,1,0))</f>
        <v/>
      </c>
      <c r="O292" s="21">
        <f>IF(I292&lt;=5000000,"Under $5M",IF(I292&lt;=20000000,"$5M-20M",IF(I292&lt;=50000000,"$20M-50M",IF(I292&lt;=100000000,"$50M-100M","$100M+"))))</f>
        <v/>
      </c>
      <c r="P292" s="21">
        <f>IF(E292&lt;=90,"90 or less",IF(E292&lt;=105,"91-105",IF(E292&lt;=120,"106-120",IF(E292&lt;=140,"121-140","Over 140"))))</f>
        <v/>
      </c>
      <c r="Q292" s="28">
        <f>INT(C292/10)*10</f>
        <v/>
      </c>
    </row>
    <row r="293">
      <c r="A293" s="21" t="n">
        <v>302</v>
      </c>
      <c r="B293" s="21" t="inlineStr">
        <is>
          <t>Porky's</t>
        </is>
      </c>
      <c r="C293" s="21" t="n">
        <v>1981</v>
      </c>
      <c r="D293" s="21" t="inlineStr">
        <is>
          <t>Canada</t>
        </is>
      </c>
      <c r="E293" s="21" t="n">
        <v>94</v>
      </c>
      <c r="F293" s="21" t="inlineStr">
        <is>
          <t>English</t>
        </is>
      </c>
      <c r="G293" s="21" t="inlineStr">
        <is>
          <t>R</t>
        </is>
      </c>
      <c r="H293" s="22" t="n">
        <v>105500000</v>
      </c>
      <c r="I293" s="22" t="n">
        <v>4000000</v>
      </c>
      <c r="J293" s="21">
        <f>IF(OR(H293="",H293=25529689.5),"Yes","No")</f>
        <v/>
      </c>
      <c r="K293" s="21">
        <f>IF(AND(D293="USA",C293&gt;=1980,J293="No"),"Yes","No")</f>
        <v/>
      </c>
      <c r="L293" s="26">
        <f>IF(J293="Yes","",H293-I293)</f>
        <v/>
      </c>
      <c r="M293" s="27">
        <f>IF(OR(J293="Yes",I293=0),"",H293/I293)</f>
        <v/>
      </c>
      <c r="N293" s="21">
        <f>IF(J293="Yes","",IF(H293&gt;=I293,1,0))</f>
        <v/>
      </c>
      <c r="O293" s="21">
        <f>IF(I293&lt;=5000000,"Under $5M",IF(I293&lt;=20000000,"$5M-20M",IF(I293&lt;=50000000,"$20M-50M",IF(I293&lt;=100000000,"$50M-100M","$100M+"))))</f>
        <v/>
      </c>
      <c r="P293" s="21">
        <f>IF(E293&lt;=90,"90 or less",IF(E293&lt;=105,"91-105",IF(E293&lt;=120,"106-120",IF(E293&lt;=140,"121-140","Over 140"))))</f>
        <v/>
      </c>
      <c r="Q293" s="28">
        <f>INT(C293/10)*10</f>
        <v/>
      </c>
    </row>
    <row r="294">
      <c r="A294" s="21" t="n">
        <v>303</v>
      </c>
      <c r="B294" s="21" t="inlineStr">
        <is>
          <t>Quest for Fire</t>
        </is>
      </c>
      <c r="C294" s="21" t="n">
        <v>1981</v>
      </c>
      <c r="D294" s="21" t="inlineStr">
        <is>
          <t>Canada</t>
        </is>
      </c>
      <c r="E294" s="21" t="n">
        <v>100</v>
      </c>
      <c r="F294" s="21" t="n"/>
      <c r="G294" s="21" t="inlineStr">
        <is>
          <t>R</t>
        </is>
      </c>
      <c r="H294" s="22" t="n">
        <v>25529689.5</v>
      </c>
      <c r="I294" s="22" t="n">
        <v>12500000</v>
      </c>
      <c r="J294" s="21">
        <f>IF(OR(H294="",H294=25529689.5),"Yes","No")</f>
        <v/>
      </c>
      <c r="K294" s="21">
        <f>IF(AND(D294="USA",C294&gt;=1980,J294="No"),"Yes","No")</f>
        <v/>
      </c>
      <c r="L294" s="26">
        <f>IF(J294="Yes","",H294-I294)</f>
        <v/>
      </c>
      <c r="M294" s="27">
        <f>IF(OR(J294="Yes",I294=0),"",H294/I294)</f>
        <v/>
      </c>
      <c r="N294" s="21">
        <f>IF(J294="Yes","",IF(H294&gt;=I294,1,0))</f>
        <v/>
      </c>
      <c r="O294" s="21">
        <f>IF(I294&lt;=5000000,"Under $5M",IF(I294&lt;=20000000,"$5M-20M",IF(I294&lt;=50000000,"$20M-50M",IF(I294&lt;=100000000,"$50M-100M","$100M+"))))</f>
        <v/>
      </c>
      <c r="P294" s="21">
        <f>IF(E294&lt;=90,"90 or less",IF(E294&lt;=105,"91-105",IF(E294&lt;=120,"106-120",IF(E294&lt;=140,"121-140","Over 140"))))</f>
        <v/>
      </c>
      <c r="Q294" s="28">
        <f>INT(C294/10)*10</f>
        <v/>
      </c>
    </row>
    <row r="295">
      <c r="A295" s="21" t="n">
        <v>304</v>
      </c>
      <c r="B295" s="21" t="inlineStr">
        <is>
          <t>Raiders of the Lost Ark</t>
        </is>
      </c>
      <c r="C295" s="21" t="n">
        <v>1981</v>
      </c>
      <c r="D295" s="21" t="inlineStr">
        <is>
          <t>USA</t>
        </is>
      </c>
      <c r="E295" s="21" t="n">
        <v>115</v>
      </c>
      <c r="F295" s="21" t="inlineStr">
        <is>
          <t>English</t>
        </is>
      </c>
      <c r="G295" s="21" t="inlineStr">
        <is>
          <t>PG</t>
        </is>
      </c>
      <c r="H295" s="22" t="n">
        <v>242374454</v>
      </c>
      <c r="I295" s="22" t="n">
        <v>18000000</v>
      </c>
      <c r="J295" s="21">
        <f>IF(OR(H295="",H295=25529689.5),"Yes","No")</f>
        <v/>
      </c>
      <c r="K295" s="21">
        <f>IF(AND(D295="USA",C295&gt;=1980,J295="No"),"Yes","No")</f>
        <v/>
      </c>
      <c r="L295" s="26">
        <f>IF(J295="Yes","",H295-I295)</f>
        <v/>
      </c>
      <c r="M295" s="27">
        <f>IF(OR(J295="Yes",I295=0),"",H295/I295)</f>
        <v/>
      </c>
      <c r="N295" s="21">
        <f>IF(J295="Yes","",IF(H295&gt;=I295,1,0))</f>
        <v/>
      </c>
      <c r="O295" s="21">
        <f>IF(I295&lt;=5000000,"Under $5M",IF(I295&lt;=20000000,"$5M-20M",IF(I295&lt;=50000000,"$20M-50M",IF(I295&lt;=100000000,"$50M-100M","$100M+"))))</f>
        <v/>
      </c>
      <c r="P295" s="21">
        <f>IF(E295&lt;=90,"90 or less",IF(E295&lt;=105,"91-105",IF(E295&lt;=120,"106-120",IF(E295&lt;=140,"121-140","Over 140"))))</f>
        <v/>
      </c>
      <c r="Q295" s="28">
        <f>INT(C295/10)*10</f>
        <v/>
      </c>
    </row>
    <row r="296">
      <c r="A296" s="21" t="n">
        <v>305</v>
      </c>
      <c r="B296" s="21" t="inlineStr">
        <is>
          <t>Reds</t>
        </is>
      </c>
      <c r="C296" s="21" t="n">
        <v>1981</v>
      </c>
      <c r="D296" s="21" t="inlineStr">
        <is>
          <t>USA</t>
        </is>
      </c>
      <c r="E296" s="21" t="n">
        <v>195</v>
      </c>
      <c r="F296" s="21" t="inlineStr">
        <is>
          <t>English</t>
        </is>
      </c>
      <c r="G296" s="21" t="inlineStr">
        <is>
          <t>PG</t>
        </is>
      </c>
      <c r="H296" s="22" t="n">
        <v>25529689.5</v>
      </c>
      <c r="I296" s="22" t="n">
        <v>35000000</v>
      </c>
      <c r="J296" s="21">
        <f>IF(OR(H296="",H296=25529689.5),"Yes","No")</f>
        <v/>
      </c>
      <c r="K296" s="21">
        <f>IF(AND(D296="USA",C296&gt;=1980,J296="No"),"Yes","No")</f>
        <v/>
      </c>
      <c r="L296" s="26">
        <f>IF(J296="Yes","",H296-I296)</f>
        <v/>
      </c>
      <c r="M296" s="27">
        <f>IF(OR(J296="Yes",I296=0),"",H296/I296)</f>
        <v/>
      </c>
      <c r="N296" s="21">
        <f>IF(J296="Yes","",IF(H296&gt;=I296,1,0))</f>
        <v/>
      </c>
      <c r="O296" s="21">
        <f>IF(I296&lt;=5000000,"Under $5M",IF(I296&lt;=20000000,"$5M-20M",IF(I296&lt;=50000000,"$20M-50M",IF(I296&lt;=100000000,"$50M-100M","$100M+"))))</f>
        <v/>
      </c>
      <c r="P296" s="21">
        <f>IF(E296&lt;=90,"90 or less",IF(E296&lt;=105,"91-105",IF(E296&lt;=120,"106-120",IF(E296&lt;=140,"121-140","Over 140"))))</f>
        <v/>
      </c>
      <c r="Q296" s="28">
        <f>INT(C296/10)*10</f>
        <v/>
      </c>
    </row>
    <row r="297">
      <c r="A297" s="21" t="n">
        <v>306</v>
      </c>
      <c r="B297" s="21" t="inlineStr">
        <is>
          <t>Roar</t>
        </is>
      </c>
      <c r="C297" s="21" t="n">
        <v>1981</v>
      </c>
      <c r="D297" s="21" t="inlineStr">
        <is>
          <t>USA</t>
        </is>
      </c>
      <c r="E297" s="21" t="n">
        <v>102</v>
      </c>
      <c r="F297" s="21" t="inlineStr">
        <is>
          <t>English</t>
        </is>
      </c>
      <c r="G297" s="21" t="inlineStr">
        <is>
          <t>PG</t>
        </is>
      </c>
      <c r="H297" s="22" t="n">
        <v>2000000</v>
      </c>
      <c r="I297" s="22" t="n">
        <v>17000000</v>
      </c>
      <c r="J297" s="21">
        <f>IF(OR(H297="",H297=25529689.5),"Yes","No")</f>
        <v/>
      </c>
      <c r="K297" s="21">
        <f>IF(AND(D297="USA",C297&gt;=1980,J297="No"),"Yes","No")</f>
        <v/>
      </c>
      <c r="L297" s="26">
        <f>IF(J297="Yes","",H297-I297)</f>
        <v/>
      </c>
      <c r="M297" s="27">
        <f>IF(OR(J297="Yes",I297=0),"",H297/I297)</f>
        <v/>
      </c>
      <c r="N297" s="21">
        <f>IF(J297="Yes","",IF(H297&gt;=I297,1,0))</f>
        <v/>
      </c>
      <c r="O297" s="21">
        <f>IF(I297&lt;=5000000,"Under $5M",IF(I297&lt;=20000000,"$5M-20M",IF(I297&lt;=50000000,"$20M-50M",IF(I297&lt;=100000000,"$50M-100M","$100M+"))))</f>
        <v/>
      </c>
      <c r="P297" s="21">
        <f>IF(E297&lt;=90,"90 or less",IF(E297&lt;=105,"91-105",IF(E297&lt;=120,"106-120",IF(E297&lt;=140,"121-140","Over 140"))))</f>
        <v/>
      </c>
      <c r="Q297" s="28">
        <f>INT(C297/10)*10</f>
        <v/>
      </c>
    </row>
    <row r="298">
      <c r="A298" s="21" t="n">
        <v>307</v>
      </c>
      <c r="B298" s="21" t="inlineStr">
        <is>
          <t>Sphinx</t>
        </is>
      </c>
      <c r="C298" s="21" t="n">
        <v>1981</v>
      </c>
      <c r="D298" s="21" t="inlineStr">
        <is>
          <t>USA</t>
        </is>
      </c>
      <c r="E298" s="21" t="n">
        <v>118</v>
      </c>
      <c r="F298" s="21" t="inlineStr">
        <is>
          <t>English</t>
        </is>
      </c>
      <c r="G298" s="21" t="inlineStr">
        <is>
          <t>PG</t>
        </is>
      </c>
      <c r="H298" s="22" t="n">
        <v>800000</v>
      </c>
      <c r="I298" s="22" t="n">
        <v>14000000</v>
      </c>
      <c r="J298" s="21">
        <f>IF(OR(H298="",H298=25529689.5),"Yes","No")</f>
        <v/>
      </c>
      <c r="K298" s="21">
        <f>IF(AND(D298="USA",C298&gt;=1980,J298="No"),"Yes","No")</f>
        <v/>
      </c>
      <c r="L298" s="26">
        <f>IF(J298="Yes","",H298-I298)</f>
        <v/>
      </c>
      <c r="M298" s="27">
        <f>IF(OR(J298="Yes",I298=0),"",H298/I298)</f>
        <v/>
      </c>
      <c r="N298" s="21">
        <f>IF(J298="Yes","",IF(H298&gt;=I298,1,0))</f>
        <v/>
      </c>
      <c r="O298" s="21">
        <f>IF(I298&lt;=5000000,"Under $5M",IF(I298&lt;=20000000,"$5M-20M",IF(I298&lt;=50000000,"$20M-50M",IF(I298&lt;=100000000,"$50M-100M","$100M+"))))</f>
        <v/>
      </c>
      <c r="P298" s="21">
        <f>IF(E298&lt;=90,"90 or less",IF(E298&lt;=105,"91-105",IF(E298&lt;=120,"106-120",IF(E298&lt;=140,"121-140","Over 140"))))</f>
        <v/>
      </c>
      <c r="Q298" s="28">
        <f>INT(C298/10)*10</f>
        <v/>
      </c>
    </row>
    <row r="299">
      <c r="A299" s="21" t="n">
        <v>308</v>
      </c>
      <c r="B299" s="21" t="inlineStr">
        <is>
          <t>Stripes</t>
        </is>
      </c>
      <c r="C299" s="21" t="n">
        <v>1981</v>
      </c>
      <c r="D299" s="21" t="inlineStr">
        <is>
          <t>USA</t>
        </is>
      </c>
      <c r="E299" s="21" t="n">
        <v>117</v>
      </c>
      <c r="F299" s="21" t="inlineStr">
        <is>
          <t>English</t>
        </is>
      </c>
      <c r="G299" s="21" t="inlineStr">
        <is>
          <t>R</t>
        </is>
      </c>
      <c r="H299" s="22" t="n">
        <v>85300000</v>
      </c>
      <c r="I299" s="22" t="n">
        <v>10000000</v>
      </c>
      <c r="J299" s="21">
        <f>IF(OR(H299="",H299=25529689.5),"Yes","No")</f>
        <v/>
      </c>
      <c r="K299" s="21">
        <f>IF(AND(D299="USA",C299&gt;=1980,J299="No"),"Yes","No")</f>
        <v/>
      </c>
      <c r="L299" s="26">
        <f>IF(J299="Yes","",H299-I299)</f>
        <v/>
      </c>
      <c r="M299" s="27">
        <f>IF(OR(J299="Yes",I299=0),"",H299/I299)</f>
        <v/>
      </c>
      <c r="N299" s="21">
        <f>IF(J299="Yes","",IF(H299&gt;=I299,1,0))</f>
        <v/>
      </c>
      <c r="O299" s="21">
        <f>IF(I299&lt;=5000000,"Under $5M",IF(I299&lt;=20000000,"$5M-20M",IF(I299&lt;=50000000,"$20M-50M",IF(I299&lt;=100000000,"$50M-100M","$100M+"))))</f>
        <v/>
      </c>
      <c r="P299" s="21">
        <f>IF(E299&lt;=90,"90 or less",IF(E299&lt;=105,"91-105",IF(E299&lt;=120,"106-120",IF(E299&lt;=140,"121-140","Over 140"))))</f>
        <v/>
      </c>
      <c r="Q299" s="28">
        <f>INT(C299/10)*10</f>
        <v/>
      </c>
    </row>
    <row r="300">
      <c r="A300" s="21" t="n">
        <v>309</v>
      </c>
      <c r="B300" s="21" t="inlineStr">
        <is>
          <t>The Beyond</t>
        </is>
      </c>
      <c r="C300" s="21" t="n">
        <v>1981</v>
      </c>
      <c r="D300" s="21" t="inlineStr">
        <is>
          <t>Italy</t>
        </is>
      </c>
      <c r="E300" s="21" t="n">
        <v>82</v>
      </c>
      <c r="F300" s="21" t="inlineStr">
        <is>
          <t>Italian</t>
        </is>
      </c>
      <c r="G300" s="21" t="inlineStr">
        <is>
          <t>X</t>
        </is>
      </c>
      <c r="H300" s="22" t="n">
        <v>126387</v>
      </c>
      <c r="I300" s="22" t="n">
        <v>400000</v>
      </c>
      <c r="J300" s="21">
        <f>IF(OR(H300="",H300=25529689.5),"Yes","No")</f>
        <v/>
      </c>
      <c r="K300" s="21">
        <f>IF(AND(D300="USA",C300&gt;=1980,J300="No"),"Yes","No")</f>
        <v/>
      </c>
      <c r="L300" s="26">
        <f>IF(J300="Yes","",H300-I300)</f>
        <v/>
      </c>
      <c r="M300" s="27">
        <f>IF(OR(J300="Yes",I300=0),"",H300/I300)</f>
        <v/>
      </c>
      <c r="N300" s="21">
        <f>IF(J300="Yes","",IF(H300&gt;=I300,1,0))</f>
        <v/>
      </c>
      <c r="O300" s="21">
        <f>IF(I300&lt;=5000000,"Under $5M",IF(I300&lt;=20000000,"$5M-20M",IF(I300&lt;=50000000,"$20M-50M",IF(I300&lt;=100000000,"$50M-100M","$100M+"))))</f>
        <v/>
      </c>
      <c r="P300" s="21">
        <f>IF(E300&lt;=90,"90 or less",IF(E300&lt;=105,"91-105",IF(E300&lt;=120,"106-120",IF(E300&lt;=140,"121-140","Over 140"))))</f>
        <v/>
      </c>
      <c r="Q300" s="28">
        <f>INT(C300/10)*10</f>
        <v/>
      </c>
    </row>
    <row r="301">
      <c r="A301" s="21" t="n">
        <v>310</v>
      </c>
      <c r="B301" s="21" t="inlineStr">
        <is>
          <t>The Evil Dead</t>
        </is>
      </c>
      <c r="C301" s="21" t="n">
        <v>1981</v>
      </c>
      <c r="D301" s="21" t="inlineStr">
        <is>
          <t>USA</t>
        </is>
      </c>
      <c r="E301" s="21" t="n">
        <v>96</v>
      </c>
      <c r="F301" s="21" t="inlineStr">
        <is>
          <t>English</t>
        </is>
      </c>
      <c r="G301" s="21" t="inlineStr">
        <is>
          <t>NC-17</t>
        </is>
      </c>
      <c r="H301" s="22" t="n">
        <v>25529689.5</v>
      </c>
      <c r="I301" s="22" t="n">
        <v>375000</v>
      </c>
      <c r="J301" s="21">
        <f>IF(OR(H301="",H301=25529689.5),"Yes","No")</f>
        <v/>
      </c>
      <c r="K301" s="21">
        <f>IF(AND(D301="USA",C301&gt;=1980,J301="No"),"Yes","No")</f>
        <v/>
      </c>
      <c r="L301" s="26">
        <f>IF(J301="Yes","",H301-I301)</f>
        <v/>
      </c>
      <c r="M301" s="27">
        <f>IF(OR(J301="Yes",I301=0),"",H301/I301)</f>
        <v/>
      </c>
      <c r="N301" s="21">
        <f>IF(J301="Yes","",IF(H301&gt;=I301,1,0))</f>
        <v/>
      </c>
      <c r="O301" s="21">
        <f>IF(I301&lt;=5000000,"Under $5M",IF(I301&lt;=20000000,"$5M-20M",IF(I301&lt;=50000000,"$20M-50M",IF(I301&lt;=100000000,"$50M-100M","$100M+"))))</f>
        <v/>
      </c>
      <c r="P301" s="21">
        <f>IF(E301&lt;=90,"90 or less",IF(E301&lt;=105,"91-105",IF(E301&lt;=120,"106-120",IF(E301&lt;=140,"121-140","Over 140"))))</f>
        <v/>
      </c>
      <c r="Q301" s="28">
        <f>INT(C301/10)*10</f>
        <v/>
      </c>
    </row>
    <row r="302">
      <c r="A302" s="21" t="n">
        <v>311</v>
      </c>
      <c r="B302" s="21" t="inlineStr">
        <is>
          <t>The Four Seasons</t>
        </is>
      </c>
      <c r="C302" s="21" t="n">
        <v>1981</v>
      </c>
      <c r="D302" s="21" t="inlineStr">
        <is>
          <t>USA</t>
        </is>
      </c>
      <c r="E302" s="21" t="n">
        <v>107</v>
      </c>
      <c r="F302" s="21" t="inlineStr">
        <is>
          <t>English</t>
        </is>
      </c>
      <c r="G302" s="21" t="inlineStr">
        <is>
          <t>PG</t>
        </is>
      </c>
      <c r="H302" s="22" t="n">
        <v>25529689.5</v>
      </c>
      <c r="I302" s="22" t="n">
        <v>20000000</v>
      </c>
      <c r="J302" s="21">
        <f>IF(OR(H302="",H302=25529689.5),"Yes","No")</f>
        <v/>
      </c>
      <c r="K302" s="21">
        <f>IF(AND(D302="USA",C302&gt;=1980,J302="No"),"Yes","No")</f>
        <v/>
      </c>
      <c r="L302" s="26">
        <f>IF(J302="Yes","",H302-I302)</f>
        <v/>
      </c>
      <c r="M302" s="27">
        <f>IF(OR(J302="Yes",I302=0),"",H302/I302)</f>
        <v/>
      </c>
      <c r="N302" s="21">
        <f>IF(J302="Yes","",IF(H302&gt;=I302,1,0))</f>
        <v/>
      </c>
      <c r="O302" s="21">
        <f>IF(I302&lt;=5000000,"Under $5M",IF(I302&lt;=20000000,"$5M-20M",IF(I302&lt;=50000000,"$20M-50M",IF(I302&lt;=100000000,"$50M-100M","$100M+"))))</f>
        <v/>
      </c>
      <c r="P302" s="21">
        <f>IF(E302&lt;=90,"90 or less",IF(E302&lt;=105,"91-105",IF(E302&lt;=120,"106-120",IF(E302&lt;=140,"121-140","Over 140"))))</f>
        <v/>
      </c>
      <c r="Q302" s="28">
        <f>INT(C302/10)*10</f>
        <v/>
      </c>
    </row>
    <row r="303">
      <c r="A303" s="21" t="n">
        <v>312</v>
      </c>
      <c r="B303" s="21" t="inlineStr">
        <is>
          <t>The Howling</t>
        </is>
      </c>
      <c r="C303" s="21" t="n">
        <v>1981</v>
      </c>
      <c r="D303" s="21" t="inlineStr">
        <is>
          <t>USA</t>
        </is>
      </c>
      <c r="E303" s="21" t="n">
        <v>91</v>
      </c>
      <c r="F303" s="21" t="inlineStr">
        <is>
          <t>English</t>
        </is>
      </c>
      <c r="G303" s="21" t="inlineStr">
        <is>
          <t>R</t>
        </is>
      </c>
      <c r="H303" s="22" t="n">
        <v>17986000</v>
      </c>
      <c r="I303" s="22" t="n">
        <v>1000000</v>
      </c>
      <c r="J303" s="21">
        <f>IF(OR(H303="",H303=25529689.5),"Yes","No")</f>
        <v/>
      </c>
      <c r="K303" s="21">
        <f>IF(AND(D303="USA",C303&gt;=1980,J303="No"),"Yes","No")</f>
        <v/>
      </c>
      <c r="L303" s="26">
        <f>IF(J303="Yes","",H303-I303)</f>
        <v/>
      </c>
      <c r="M303" s="27">
        <f>IF(OR(J303="Yes",I303=0),"",H303/I303)</f>
        <v/>
      </c>
      <c r="N303" s="21">
        <f>IF(J303="Yes","",IF(H303&gt;=I303,1,0))</f>
        <v/>
      </c>
      <c r="O303" s="21">
        <f>IF(I303&lt;=5000000,"Under $5M",IF(I303&lt;=20000000,"$5M-20M",IF(I303&lt;=50000000,"$20M-50M",IF(I303&lt;=100000000,"$50M-100M","$100M+"))))</f>
        <v/>
      </c>
      <c r="P303" s="21">
        <f>IF(E303&lt;=90,"90 or less",IF(E303&lt;=105,"91-105",IF(E303&lt;=120,"106-120",IF(E303&lt;=140,"121-140","Over 140"))))</f>
        <v/>
      </c>
      <c r="Q303" s="28">
        <f>INT(C303/10)*10</f>
        <v/>
      </c>
    </row>
    <row r="304">
      <c r="A304" s="21" t="n">
        <v>313</v>
      </c>
      <c r="B304" s="21" t="inlineStr">
        <is>
          <t>The Legend of the Lone Ranger</t>
        </is>
      </c>
      <c r="C304" s="21" t="n">
        <v>1981</v>
      </c>
      <c r="D304" s="21" t="inlineStr">
        <is>
          <t>USA</t>
        </is>
      </c>
      <c r="E304" s="21" t="n">
        <v>98</v>
      </c>
      <c r="F304" s="21" t="inlineStr">
        <is>
          <t>English</t>
        </is>
      </c>
      <c r="G304" s="21" t="inlineStr">
        <is>
          <t>PG</t>
        </is>
      </c>
      <c r="H304" s="22" t="n">
        <v>8000000</v>
      </c>
      <c r="I304" s="22" t="n">
        <v>18000000</v>
      </c>
      <c r="J304" s="21">
        <f>IF(OR(H304="",H304=25529689.5),"Yes","No")</f>
        <v/>
      </c>
      <c r="K304" s="21">
        <f>IF(AND(D304="USA",C304&gt;=1980,J304="No"),"Yes","No")</f>
        <v/>
      </c>
      <c r="L304" s="26">
        <f>IF(J304="Yes","",H304-I304)</f>
        <v/>
      </c>
      <c r="M304" s="27">
        <f>IF(OR(J304="Yes",I304=0),"",H304/I304)</f>
        <v/>
      </c>
      <c r="N304" s="21">
        <f>IF(J304="Yes","",IF(H304&gt;=I304,1,0))</f>
        <v/>
      </c>
      <c r="O304" s="21">
        <f>IF(I304&lt;=5000000,"Under $5M",IF(I304&lt;=20000000,"$5M-20M",IF(I304&lt;=50000000,"$20M-50M",IF(I304&lt;=100000000,"$50M-100M","$100M+"))))</f>
        <v/>
      </c>
      <c r="P304" s="21">
        <f>IF(E304&lt;=90,"90 or less",IF(E304&lt;=105,"91-105",IF(E304&lt;=120,"106-120",IF(E304&lt;=140,"121-140","Over 140"))))</f>
        <v/>
      </c>
      <c r="Q304" s="28">
        <f>INT(C304/10)*10</f>
        <v/>
      </c>
    </row>
    <row r="305">
      <c r="A305" s="21" t="n">
        <v>314</v>
      </c>
      <c r="B305" s="21" t="inlineStr">
        <is>
          <t>The Postman Always Rings Twice</t>
        </is>
      </c>
      <c r="C305" s="21" t="n">
        <v>1981</v>
      </c>
      <c r="D305" s="21" t="inlineStr">
        <is>
          <t>USA</t>
        </is>
      </c>
      <c r="E305" s="21" t="n">
        <v>122</v>
      </c>
      <c r="F305" s="21" t="inlineStr">
        <is>
          <t>English</t>
        </is>
      </c>
      <c r="G305" s="21" t="inlineStr">
        <is>
          <t>R</t>
        </is>
      </c>
      <c r="H305" s="22" t="n">
        <v>25529689.5</v>
      </c>
      <c r="I305" s="22" t="n">
        <v>12000000</v>
      </c>
      <c r="J305" s="21">
        <f>IF(OR(H305="",H305=25529689.5),"Yes","No")</f>
        <v/>
      </c>
      <c r="K305" s="21">
        <f>IF(AND(D305="USA",C305&gt;=1980,J305="No"),"Yes","No")</f>
        <v/>
      </c>
      <c r="L305" s="26">
        <f>IF(J305="Yes","",H305-I305)</f>
        <v/>
      </c>
      <c r="M305" s="27">
        <f>IF(OR(J305="Yes",I305=0),"",H305/I305)</f>
        <v/>
      </c>
      <c r="N305" s="21">
        <f>IF(J305="Yes","",IF(H305&gt;=I305,1,0))</f>
        <v/>
      </c>
      <c r="O305" s="21">
        <f>IF(I305&lt;=5000000,"Under $5M",IF(I305&lt;=20000000,"$5M-20M",IF(I305&lt;=50000000,"$20M-50M",IF(I305&lt;=100000000,"$50M-100M","$100M+"))))</f>
        <v/>
      </c>
      <c r="P305" s="21">
        <f>IF(E305&lt;=90,"90 or less",IF(E305&lt;=105,"91-105",IF(E305&lt;=120,"106-120",IF(E305&lt;=140,"121-140","Over 140"))))</f>
        <v/>
      </c>
      <c r="Q305" s="28">
        <f>INT(C305/10)*10</f>
        <v/>
      </c>
    </row>
    <row r="306">
      <c r="A306" s="21" t="n">
        <v>315</v>
      </c>
      <c r="B306" s="21" t="inlineStr">
        <is>
          <t>The Pursuit of D.B. Cooper</t>
        </is>
      </c>
      <c r="C306" s="21" t="n">
        <v>1981</v>
      </c>
      <c r="D306" s="21" t="inlineStr">
        <is>
          <t>USA</t>
        </is>
      </c>
      <c r="E306" s="21" t="n">
        <v>100</v>
      </c>
      <c r="F306" s="21" t="inlineStr">
        <is>
          <t>English</t>
        </is>
      </c>
      <c r="G306" s="21" t="inlineStr">
        <is>
          <t>PG</t>
        </is>
      </c>
      <c r="H306" s="22" t="n">
        <v>25529689.5</v>
      </c>
      <c r="I306" s="22" t="n">
        <v>12000000</v>
      </c>
      <c r="J306" s="21">
        <f>IF(OR(H306="",H306=25529689.5),"Yes","No")</f>
        <v/>
      </c>
      <c r="K306" s="21">
        <f>IF(AND(D306="USA",C306&gt;=1980,J306="No"),"Yes","No")</f>
        <v/>
      </c>
      <c r="L306" s="26">
        <f>IF(J306="Yes","",H306-I306)</f>
        <v/>
      </c>
      <c r="M306" s="27">
        <f>IF(OR(J306="Yes",I306=0),"",H306/I306)</f>
        <v/>
      </c>
      <c r="N306" s="21">
        <f>IF(J306="Yes","",IF(H306&gt;=I306,1,0))</f>
        <v/>
      </c>
      <c r="O306" s="21">
        <f>IF(I306&lt;=5000000,"Under $5M",IF(I306&lt;=20000000,"$5M-20M",IF(I306&lt;=50000000,"$20M-50M",IF(I306&lt;=100000000,"$50M-100M","$100M+"))))</f>
        <v/>
      </c>
      <c r="P306" s="21">
        <f>IF(E306&lt;=90,"90 or less",IF(E306&lt;=105,"91-105",IF(E306&lt;=120,"106-120",IF(E306&lt;=140,"121-140","Over 140"))))</f>
        <v/>
      </c>
      <c r="Q306" s="28">
        <f>INT(C306/10)*10</f>
        <v/>
      </c>
    </row>
    <row r="307">
      <c r="A307" s="21" t="n">
        <v>316</v>
      </c>
      <c r="B307" s="21" t="inlineStr">
        <is>
          <t>Time Bandits</t>
        </is>
      </c>
      <c r="C307" s="21" t="n">
        <v>1981</v>
      </c>
      <c r="D307" s="21" t="inlineStr">
        <is>
          <t>UK</t>
        </is>
      </c>
      <c r="E307" s="21" t="n">
        <v>103</v>
      </c>
      <c r="F307" s="21" t="inlineStr">
        <is>
          <t>English</t>
        </is>
      </c>
      <c r="G307" s="21" t="inlineStr">
        <is>
          <t>PG</t>
        </is>
      </c>
      <c r="H307" s="22" t="n">
        <v>42365600</v>
      </c>
      <c r="I307" s="22" t="n">
        <v>5000000</v>
      </c>
      <c r="J307" s="21">
        <f>IF(OR(H307="",H307=25529689.5),"Yes","No")</f>
        <v/>
      </c>
      <c r="K307" s="21">
        <f>IF(AND(D307="USA",C307&gt;=1980,J307="No"),"Yes","No")</f>
        <v/>
      </c>
      <c r="L307" s="26">
        <f>IF(J307="Yes","",H307-I307)</f>
        <v/>
      </c>
      <c r="M307" s="27">
        <f>IF(OR(J307="Yes",I307=0),"",H307/I307)</f>
        <v/>
      </c>
      <c r="N307" s="21">
        <f>IF(J307="Yes","",IF(H307&gt;=I307,1,0))</f>
        <v/>
      </c>
      <c r="O307" s="21">
        <f>IF(I307&lt;=5000000,"Under $5M",IF(I307&lt;=20000000,"$5M-20M",IF(I307&lt;=50000000,"$20M-50M",IF(I307&lt;=100000000,"$50M-100M","$100M+"))))</f>
        <v/>
      </c>
      <c r="P307" s="21">
        <f>IF(E307&lt;=90,"90 or less",IF(E307&lt;=105,"91-105",IF(E307&lt;=120,"106-120",IF(E307&lt;=140,"121-140","Over 140"))))</f>
        <v/>
      </c>
      <c r="Q307" s="28">
        <f>INT(C307/10)*10</f>
        <v/>
      </c>
    </row>
    <row r="308">
      <c r="A308" s="21" t="n">
        <v>317</v>
      </c>
      <c r="B308" s="21" t="inlineStr">
        <is>
          <t>Under the Rainbow</t>
        </is>
      </c>
      <c r="C308" s="21" t="n">
        <v>1981</v>
      </c>
      <c r="D308" s="21" t="inlineStr">
        <is>
          <t>USA</t>
        </is>
      </c>
      <c r="E308" s="21" t="n">
        <v>98</v>
      </c>
      <c r="F308" s="21" t="inlineStr">
        <is>
          <t>English</t>
        </is>
      </c>
      <c r="G308" s="21" t="inlineStr">
        <is>
          <t>PG</t>
        </is>
      </c>
      <c r="H308" s="22" t="n">
        <v>8500000</v>
      </c>
      <c r="I308" s="22" t="n">
        <v>20000000</v>
      </c>
      <c r="J308" s="21">
        <f>IF(OR(H308="",H308=25529689.5),"Yes","No")</f>
        <v/>
      </c>
      <c r="K308" s="21">
        <f>IF(AND(D308="USA",C308&gt;=1980,J308="No"),"Yes","No")</f>
        <v/>
      </c>
      <c r="L308" s="26">
        <f>IF(J308="Yes","",H308-I308)</f>
        <v/>
      </c>
      <c r="M308" s="27">
        <f>IF(OR(J308="Yes",I308=0),"",H308/I308)</f>
        <v/>
      </c>
      <c r="N308" s="21">
        <f>IF(J308="Yes","",IF(H308&gt;=I308,1,0))</f>
        <v/>
      </c>
      <c r="O308" s="21">
        <f>IF(I308&lt;=5000000,"Under $5M",IF(I308&lt;=20000000,"$5M-20M",IF(I308&lt;=50000000,"$20M-50M",IF(I308&lt;=100000000,"$50M-100M","$100M+"))))</f>
        <v/>
      </c>
      <c r="P308" s="21">
        <f>IF(E308&lt;=90,"90 or less",IF(E308&lt;=105,"91-105",IF(E308&lt;=120,"106-120",IF(E308&lt;=140,"121-140","Over 140"))))</f>
        <v/>
      </c>
      <c r="Q308" s="28">
        <f>INT(C308/10)*10</f>
        <v/>
      </c>
    </row>
    <row r="309">
      <c r="A309" s="21" t="n">
        <v>318</v>
      </c>
      <c r="B309" s="21" t="inlineStr">
        <is>
          <t>Blade Runner</t>
        </is>
      </c>
      <c r="C309" s="21" t="n">
        <v>1982</v>
      </c>
      <c r="D309" s="21" t="inlineStr">
        <is>
          <t>USA</t>
        </is>
      </c>
      <c r="E309" s="21" t="n">
        <v>117</v>
      </c>
      <c r="F309" s="21" t="inlineStr">
        <is>
          <t>English</t>
        </is>
      </c>
      <c r="G309" s="21" t="inlineStr">
        <is>
          <t>R</t>
        </is>
      </c>
      <c r="H309" s="22" t="n">
        <v>27000000</v>
      </c>
      <c r="I309" s="22" t="n">
        <v>28000000</v>
      </c>
      <c r="J309" s="21">
        <f>IF(OR(H309="",H309=25529689.5),"Yes","No")</f>
        <v/>
      </c>
      <c r="K309" s="21">
        <f>IF(AND(D309="USA",C309&gt;=1980,J309="No"),"Yes","No")</f>
        <v/>
      </c>
      <c r="L309" s="26">
        <f>IF(J309="Yes","",H309-I309)</f>
        <v/>
      </c>
      <c r="M309" s="27">
        <f>IF(OR(J309="Yes",I309=0),"",H309/I309)</f>
        <v/>
      </c>
      <c r="N309" s="21">
        <f>IF(J309="Yes","",IF(H309&gt;=I309,1,0))</f>
        <v/>
      </c>
      <c r="O309" s="21">
        <f>IF(I309&lt;=5000000,"Under $5M",IF(I309&lt;=20000000,"$5M-20M",IF(I309&lt;=50000000,"$20M-50M",IF(I309&lt;=100000000,"$50M-100M","$100M+"))))</f>
        <v/>
      </c>
      <c r="P309" s="21">
        <f>IF(E309&lt;=90,"90 or less",IF(E309&lt;=105,"91-105",IF(E309&lt;=120,"106-120",IF(E309&lt;=140,"121-140","Over 140"))))</f>
        <v/>
      </c>
      <c r="Q309" s="28">
        <f>INT(C309/10)*10</f>
        <v/>
      </c>
    </row>
    <row r="310">
      <c r="A310" s="21" t="n">
        <v>319</v>
      </c>
      <c r="B310" s="21" t="inlineStr">
        <is>
          <t>Butterfly</t>
        </is>
      </c>
      <c r="C310" s="21" t="n">
        <v>1982</v>
      </c>
      <c r="D310" s="21" t="inlineStr">
        <is>
          <t>USA</t>
        </is>
      </c>
      <c r="E310" s="21" t="n">
        <v>108</v>
      </c>
      <c r="F310" s="21" t="inlineStr">
        <is>
          <t>English</t>
        </is>
      </c>
      <c r="G310" s="21" t="inlineStr">
        <is>
          <t>R</t>
        </is>
      </c>
      <c r="H310" s="22" t="n">
        <v>25529689.5</v>
      </c>
      <c r="I310" s="22" t="n">
        <v>20000000</v>
      </c>
      <c r="J310" s="21">
        <f>IF(OR(H310="",H310=25529689.5),"Yes","No")</f>
        <v/>
      </c>
      <c r="K310" s="21">
        <f>IF(AND(D310="USA",C310&gt;=1980,J310="No"),"Yes","No")</f>
        <v/>
      </c>
      <c r="L310" s="26">
        <f>IF(J310="Yes","",H310-I310)</f>
        <v/>
      </c>
      <c r="M310" s="27">
        <f>IF(OR(J310="Yes",I310=0),"",H310/I310)</f>
        <v/>
      </c>
      <c r="N310" s="21">
        <f>IF(J310="Yes","",IF(H310&gt;=I310,1,0))</f>
        <v/>
      </c>
      <c r="O310" s="21">
        <f>IF(I310&lt;=5000000,"Under $5M",IF(I310&lt;=20000000,"$5M-20M",IF(I310&lt;=50000000,"$20M-50M",IF(I310&lt;=100000000,"$50M-100M","$100M+"))))</f>
        <v/>
      </c>
      <c r="P310" s="21">
        <f>IF(E310&lt;=90,"90 or less",IF(E310&lt;=105,"91-105",IF(E310&lt;=120,"106-120",IF(E310&lt;=140,"121-140","Over 140"))))</f>
        <v/>
      </c>
      <c r="Q310" s="28">
        <f>INT(C310/10)*10</f>
        <v/>
      </c>
    </row>
    <row r="311">
      <c r="A311" s="21" t="n">
        <v>320</v>
      </c>
      <c r="B311" s="21" t="inlineStr">
        <is>
          <t>Cat People</t>
        </is>
      </c>
      <c r="C311" s="21" t="n">
        <v>1982</v>
      </c>
      <c r="D311" s="21" t="inlineStr">
        <is>
          <t>USA</t>
        </is>
      </c>
      <c r="E311" s="21" t="n">
        <v>93</v>
      </c>
      <c r="F311" s="21" t="inlineStr">
        <is>
          <t>English</t>
        </is>
      </c>
      <c r="G311" s="21" t="inlineStr">
        <is>
          <t>R</t>
        </is>
      </c>
      <c r="H311" s="22" t="n">
        <v>25529689.5</v>
      </c>
      <c r="I311" s="22" t="n">
        <v>18000000</v>
      </c>
      <c r="J311" s="21">
        <f>IF(OR(H311="",H311=25529689.5),"Yes","No")</f>
        <v/>
      </c>
      <c r="K311" s="21">
        <f>IF(AND(D311="USA",C311&gt;=1980,J311="No"),"Yes","No")</f>
        <v/>
      </c>
      <c r="L311" s="26">
        <f>IF(J311="Yes","",H311-I311)</f>
        <v/>
      </c>
      <c r="M311" s="27">
        <f>IF(OR(J311="Yes",I311=0),"",H311/I311)</f>
        <v/>
      </c>
      <c r="N311" s="21">
        <f>IF(J311="Yes","",IF(H311&gt;=I311,1,0))</f>
        <v/>
      </c>
      <c r="O311" s="21">
        <f>IF(I311&lt;=5000000,"Under $5M",IF(I311&lt;=20000000,"$5M-20M",IF(I311&lt;=50000000,"$20M-50M",IF(I311&lt;=100000000,"$50M-100M","$100M+"))))</f>
        <v/>
      </c>
      <c r="P311" s="21">
        <f>IF(E311&lt;=90,"90 or less",IF(E311&lt;=105,"91-105",IF(E311&lt;=120,"106-120",IF(E311&lt;=140,"121-140","Over 140"))))</f>
        <v/>
      </c>
      <c r="Q311" s="28">
        <f>INT(C311/10)*10</f>
        <v/>
      </c>
    </row>
    <row r="312">
      <c r="A312" s="21" t="n">
        <v>322</v>
      </c>
      <c r="B312" s="21" t="inlineStr">
        <is>
          <t>Class of 1984</t>
        </is>
      </c>
      <c r="C312" s="21" t="n">
        <v>1982</v>
      </c>
      <c r="D312" s="21" t="inlineStr">
        <is>
          <t>Canada</t>
        </is>
      </c>
      <c r="E312" s="21" t="n">
        <v>98</v>
      </c>
      <c r="F312" s="21" t="inlineStr">
        <is>
          <t>English</t>
        </is>
      </c>
      <c r="G312" s="21" t="inlineStr">
        <is>
          <t>R</t>
        </is>
      </c>
      <c r="H312" s="22" t="n">
        <v>25529689.5</v>
      </c>
      <c r="I312" s="22" t="n">
        <v>4300000</v>
      </c>
      <c r="J312" s="21">
        <f>IF(OR(H312="",H312=25529689.5),"Yes","No")</f>
        <v/>
      </c>
      <c r="K312" s="21">
        <f>IF(AND(D312="USA",C312&gt;=1980,J312="No"),"Yes","No")</f>
        <v/>
      </c>
      <c r="L312" s="26">
        <f>IF(J312="Yes","",H312-I312)</f>
        <v/>
      </c>
      <c r="M312" s="27">
        <f>IF(OR(J312="Yes",I312=0),"",H312/I312)</f>
        <v/>
      </c>
      <c r="N312" s="21">
        <f>IF(J312="Yes","",IF(H312&gt;=I312,1,0))</f>
        <v/>
      </c>
      <c r="O312" s="21">
        <f>IF(I312&lt;=5000000,"Under $5M",IF(I312&lt;=20000000,"$5M-20M",IF(I312&lt;=50000000,"$20M-50M",IF(I312&lt;=100000000,"$50M-100M","$100M+"))))</f>
        <v/>
      </c>
      <c r="P312" s="21">
        <f>IF(E312&lt;=90,"90 or less",IF(E312&lt;=105,"91-105",IF(E312&lt;=120,"106-120",IF(E312&lt;=140,"121-140","Over 140"))))</f>
        <v/>
      </c>
      <c r="Q312" s="28">
        <f>INT(C312/10)*10</f>
        <v/>
      </c>
    </row>
    <row r="313">
      <c r="A313" s="21" t="n">
        <v>323</v>
      </c>
      <c r="B313" s="21" t="inlineStr">
        <is>
          <t>Conan the Barbarian</t>
        </is>
      </c>
      <c r="C313" s="21" t="n">
        <v>1982</v>
      </c>
      <c r="D313" s="21" t="inlineStr">
        <is>
          <t>USA</t>
        </is>
      </c>
      <c r="E313" s="21" t="n">
        <v>129</v>
      </c>
      <c r="F313" s="21" t="inlineStr">
        <is>
          <t>English</t>
        </is>
      </c>
      <c r="G313" s="21" t="inlineStr">
        <is>
          <t>R</t>
        </is>
      </c>
      <c r="H313" s="22" t="n">
        <v>37567440</v>
      </c>
      <c r="I313" s="22" t="n">
        <v>20000000</v>
      </c>
      <c r="J313" s="21">
        <f>IF(OR(H313="",H313=25529689.5),"Yes","No")</f>
        <v/>
      </c>
      <c r="K313" s="21">
        <f>IF(AND(D313="USA",C313&gt;=1980,J313="No"),"Yes","No")</f>
        <v/>
      </c>
      <c r="L313" s="26">
        <f>IF(J313="Yes","",H313-I313)</f>
        <v/>
      </c>
      <c r="M313" s="27">
        <f>IF(OR(J313="Yes",I313=0),"",H313/I313)</f>
        <v/>
      </c>
      <c r="N313" s="21">
        <f>IF(J313="Yes","",IF(H313&gt;=I313,1,0))</f>
        <v/>
      </c>
      <c r="O313" s="21">
        <f>IF(I313&lt;=5000000,"Under $5M",IF(I313&lt;=20000000,"$5M-20M",IF(I313&lt;=50000000,"$20M-50M",IF(I313&lt;=100000000,"$50M-100M","$100M+"))))</f>
        <v/>
      </c>
      <c r="P313" s="21">
        <f>IF(E313&lt;=90,"90 or less",IF(E313&lt;=105,"91-105",IF(E313&lt;=120,"106-120",IF(E313&lt;=140,"121-140","Over 140"))))</f>
        <v/>
      </c>
      <c r="Q313" s="28">
        <f>INT(C313/10)*10</f>
        <v/>
      </c>
    </row>
    <row r="314">
      <c r="A314" s="21" t="n">
        <v>325</v>
      </c>
      <c r="B314" s="21" t="inlineStr">
        <is>
          <t>Creepshow</t>
        </is>
      </c>
      <c r="C314" s="21" t="n">
        <v>1982</v>
      </c>
      <c r="D314" s="21" t="inlineStr">
        <is>
          <t>USA</t>
        </is>
      </c>
      <c r="E314" s="21" t="n">
        <v>130</v>
      </c>
      <c r="F314" s="21" t="inlineStr">
        <is>
          <t>English</t>
        </is>
      </c>
      <c r="G314" s="21" t="inlineStr">
        <is>
          <t>R</t>
        </is>
      </c>
      <c r="H314" s="22" t="n">
        <v>25529689.5</v>
      </c>
      <c r="I314" s="22" t="n">
        <v>8000000</v>
      </c>
      <c r="J314" s="21">
        <f>IF(OR(H314="",H314=25529689.5),"Yes","No")</f>
        <v/>
      </c>
      <c r="K314" s="21">
        <f>IF(AND(D314="USA",C314&gt;=1980,J314="No"),"Yes","No")</f>
        <v/>
      </c>
      <c r="L314" s="26">
        <f>IF(J314="Yes","",H314-I314)</f>
        <v/>
      </c>
      <c r="M314" s="27">
        <f>IF(OR(J314="Yes",I314=0),"",H314/I314)</f>
        <v/>
      </c>
      <c r="N314" s="21">
        <f>IF(J314="Yes","",IF(H314&gt;=I314,1,0))</f>
        <v/>
      </c>
      <c r="O314" s="21">
        <f>IF(I314&lt;=5000000,"Under $5M",IF(I314&lt;=20000000,"$5M-20M",IF(I314&lt;=50000000,"$20M-50M",IF(I314&lt;=100000000,"$50M-100M","$100M+"))))</f>
        <v/>
      </c>
      <c r="P314" s="21">
        <f>IF(E314&lt;=90,"90 or less",IF(E314&lt;=105,"91-105",IF(E314&lt;=120,"106-120",IF(E314&lt;=140,"121-140","Over 140"))))</f>
        <v/>
      </c>
      <c r="Q314" s="28">
        <f>INT(C314/10)*10</f>
        <v/>
      </c>
    </row>
    <row r="315">
      <c r="A315" s="21" t="n">
        <v>327</v>
      </c>
      <c r="B315" s="21" t="inlineStr">
        <is>
          <t>Diner</t>
        </is>
      </c>
      <c r="C315" s="21" t="n">
        <v>1982</v>
      </c>
      <c r="D315" s="21" t="inlineStr">
        <is>
          <t>USA</t>
        </is>
      </c>
      <c r="E315" s="21" t="n">
        <v>110</v>
      </c>
      <c r="F315" s="21" t="inlineStr">
        <is>
          <t>English</t>
        </is>
      </c>
      <c r="G315" s="21" t="inlineStr">
        <is>
          <t>R</t>
        </is>
      </c>
      <c r="H315" s="22" t="n">
        <v>14100000</v>
      </c>
      <c r="I315" s="22" t="n">
        <v>5000000</v>
      </c>
      <c r="J315" s="21">
        <f>IF(OR(H315="",H315=25529689.5),"Yes","No")</f>
        <v/>
      </c>
      <c r="K315" s="21">
        <f>IF(AND(D315="USA",C315&gt;=1980,J315="No"),"Yes","No")</f>
        <v/>
      </c>
      <c r="L315" s="26">
        <f>IF(J315="Yes","",H315-I315)</f>
        <v/>
      </c>
      <c r="M315" s="27">
        <f>IF(OR(J315="Yes",I315=0),"",H315/I315)</f>
        <v/>
      </c>
      <c r="N315" s="21">
        <f>IF(J315="Yes","",IF(H315&gt;=I315,1,0))</f>
        <v/>
      </c>
      <c r="O315" s="21">
        <f>IF(I315&lt;=5000000,"Under $5M",IF(I315&lt;=20000000,"$5M-20M",IF(I315&lt;=50000000,"$20M-50M",IF(I315&lt;=100000000,"$50M-100M","$100M+"))))</f>
        <v/>
      </c>
      <c r="P315" s="21">
        <f>IF(E315&lt;=90,"90 or less",IF(E315&lt;=105,"91-105",IF(E315&lt;=120,"106-120",IF(E315&lt;=140,"121-140","Over 140"))))</f>
        <v/>
      </c>
      <c r="Q315" s="28">
        <f>INT(C315/10)*10</f>
        <v/>
      </c>
    </row>
    <row r="316">
      <c r="A316" s="21" t="n">
        <v>328</v>
      </c>
      <c r="B316" s="21" t="inlineStr">
        <is>
          <t>E.T. the Extra-Terrestrial</t>
        </is>
      </c>
      <c r="C316" s="21" t="n">
        <v>1982</v>
      </c>
      <c r="D316" s="21" t="inlineStr">
        <is>
          <t>USA</t>
        </is>
      </c>
      <c r="E316" s="21" t="n">
        <v>120</v>
      </c>
      <c r="F316" s="21" t="inlineStr">
        <is>
          <t>English</t>
        </is>
      </c>
      <c r="G316" s="21" t="inlineStr">
        <is>
          <t>PG</t>
        </is>
      </c>
      <c r="H316" s="22" t="n">
        <v>434949459</v>
      </c>
      <c r="I316" s="22" t="n">
        <v>10500000</v>
      </c>
      <c r="J316" s="21">
        <f>IF(OR(H316="",H316=25529689.5),"Yes","No")</f>
        <v/>
      </c>
      <c r="K316" s="21">
        <f>IF(AND(D316="USA",C316&gt;=1980,J316="No"),"Yes","No")</f>
        <v/>
      </c>
      <c r="L316" s="26">
        <f>IF(J316="Yes","",H316-I316)</f>
        <v/>
      </c>
      <c r="M316" s="27">
        <f>IF(OR(J316="Yes",I316=0),"",H316/I316)</f>
        <v/>
      </c>
      <c r="N316" s="21">
        <f>IF(J316="Yes","",IF(H316&gt;=I316,1,0))</f>
        <v/>
      </c>
      <c r="O316" s="21">
        <f>IF(I316&lt;=5000000,"Under $5M",IF(I316&lt;=20000000,"$5M-20M",IF(I316&lt;=50000000,"$20M-50M",IF(I316&lt;=100000000,"$50M-100M","$100M+"))))</f>
        <v/>
      </c>
      <c r="P316" s="21">
        <f>IF(E316&lt;=90,"90 or less",IF(E316&lt;=105,"91-105",IF(E316&lt;=120,"106-120",IF(E316&lt;=140,"121-140","Over 140"))))</f>
        <v/>
      </c>
      <c r="Q316" s="28">
        <f>INT(C316/10)*10</f>
        <v/>
      </c>
    </row>
    <row r="317">
      <c r="A317" s="21" t="n">
        <v>329</v>
      </c>
      <c r="B317" s="21" t="inlineStr">
        <is>
          <t>Fast Times at Ridgemont High</t>
        </is>
      </c>
      <c r="C317" s="21" t="n">
        <v>1982</v>
      </c>
      <c r="D317" s="21" t="inlineStr">
        <is>
          <t>USA</t>
        </is>
      </c>
      <c r="E317" s="21" t="n">
        <v>90</v>
      </c>
      <c r="F317" s="21" t="inlineStr">
        <is>
          <t>English</t>
        </is>
      </c>
      <c r="G317" s="21" t="inlineStr">
        <is>
          <t>X</t>
        </is>
      </c>
      <c r="H317" s="22" t="n">
        <v>25529689.5</v>
      </c>
      <c r="I317" s="22" t="n">
        <v>4500000</v>
      </c>
      <c r="J317" s="21">
        <f>IF(OR(H317="",H317=25529689.5),"Yes","No")</f>
        <v/>
      </c>
      <c r="K317" s="21">
        <f>IF(AND(D317="USA",C317&gt;=1980,J317="No"),"Yes","No")</f>
        <v/>
      </c>
      <c r="L317" s="26">
        <f>IF(J317="Yes","",H317-I317)</f>
        <v/>
      </c>
      <c r="M317" s="27">
        <f>IF(OR(J317="Yes",I317=0),"",H317/I317)</f>
        <v/>
      </c>
      <c r="N317" s="21">
        <f>IF(J317="Yes","",IF(H317&gt;=I317,1,0))</f>
        <v/>
      </c>
      <c r="O317" s="21">
        <f>IF(I317&lt;=5000000,"Under $5M",IF(I317&lt;=20000000,"$5M-20M",IF(I317&lt;=50000000,"$20M-50M",IF(I317&lt;=100000000,"$50M-100M","$100M+"))))</f>
        <v/>
      </c>
      <c r="P317" s="21">
        <f>IF(E317&lt;=90,"90 or less",IF(E317&lt;=105,"91-105",IF(E317&lt;=120,"106-120",IF(E317&lt;=140,"121-140","Over 140"))))</f>
        <v/>
      </c>
      <c r="Q317" s="28">
        <f>INT(C317/10)*10</f>
        <v/>
      </c>
    </row>
    <row r="318">
      <c r="A318" s="21" t="n">
        <v>330</v>
      </c>
      <c r="B318" s="21" t="inlineStr">
        <is>
          <t>Firefox</t>
        </is>
      </c>
      <c r="C318" s="21" t="n">
        <v>1982</v>
      </c>
      <c r="D318" s="21" t="inlineStr">
        <is>
          <t>USA</t>
        </is>
      </c>
      <c r="E318" s="21" t="n">
        <v>136</v>
      </c>
      <c r="F318" s="21" t="inlineStr">
        <is>
          <t>English</t>
        </is>
      </c>
      <c r="G318" s="21" t="inlineStr">
        <is>
          <t>PG</t>
        </is>
      </c>
      <c r="H318" s="22" t="n">
        <v>46700000</v>
      </c>
      <c r="I318" s="22" t="n">
        <v>21000000</v>
      </c>
      <c r="J318" s="21">
        <f>IF(OR(H318="",H318=25529689.5),"Yes","No")</f>
        <v/>
      </c>
      <c r="K318" s="21">
        <f>IF(AND(D318="USA",C318&gt;=1980,J318="No"),"Yes","No")</f>
        <v/>
      </c>
      <c r="L318" s="26">
        <f>IF(J318="Yes","",H318-I318)</f>
        <v/>
      </c>
      <c r="M318" s="27">
        <f>IF(OR(J318="Yes",I318=0),"",H318/I318)</f>
        <v/>
      </c>
      <c r="N318" s="21">
        <f>IF(J318="Yes","",IF(H318&gt;=I318,1,0))</f>
        <v/>
      </c>
      <c r="O318" s="21">
        <f>IF(I318&lt;=5000000,"Under $5M",IF(I318&lt;=20000000,"$5M-20M",IF(I318&lt;=50000000,"$20M-50M",IF(I318&lt;=100000000,"$50M-100M","$100M+"))))</f>
        <v/>
      </c>
      <c r="P318" s="21">
        <f>IF(E318&lt;=90,"90 or less",IF(E318&lt;=105,"91-105",IF(E318&lt;=120,"106-120",IF(E318&lt;=140,"121-140","Over 140"))))</f>
        <v/>
      </c>
      <c r="Q318" s="28">
        <f>INT(C318/10)*10</f>
        <v/>
      </c>
    </row>
    <row r="319">
      <c r="A319" s="21" t="n">
        <v>331</v>
      </c>
      <c r="B319" s="21" t="inlineStr">
        <is>
          <t>First Blood</t>
        </is>
      </c>
      <c r="C319" s="21" t="n">
        <v>1982</v>
      </c>
      <c r="D319" s="21" t="inlineStr">
        <is>
          <t>USA</t>
        </is>
      </c>
      <c r="E319" s="21" t="n">
        <v>93</v>
      </c>
      <c r="F319" s="21" t="inlineStr">
        <is>
          <t>English</t>
        </is>
      </c>
      <c r="G319" s="21" t="inlineStr">
        <is>
          <t>R</t>
        </is>
      </c>
      <c r="H319" s="22" t="n">
        <v>25529689.5</v>
      </c>
      <c r="I319" s="22" t="n">
        <v>14000000</v>
      </c>
      <c r="J319" s="21">
        <f>IF(OR(H319="",H319=25529689.5),"Yes","No")</f>
        <v/>
      </c>
      <c r="K319" s="21">
        <f>IF(AND(D319="USA",C319&gt;=1980,J319="No"),"Yes","No")</f>
        <v/>
      </c>
      <c r="L319" s="26">
        <f>IF(J319="Yes","",H319-I319)</f>
        <v/>
      </c>
      <c r="M319" s="27">
        <f>IF(OR(J319="Yes",I319=0),"",H319/I319)</f>
        <v/>
      </c>
      <c r="N319" s="21">
        <f>IF(J319="Yes","",IF(H319&gt;=I319,1,0))</f>
        <v/>
      </c>
      <c r="O319" s="21">
        <f>IF(I319&lt;=5000000,"Under $5M",IF(I319&lt;=20000000,"$5M-20M",IF(I319&lt;=50000000,"$20M-50M",IF(I319&lt;=100000000,"$50M-100M","$100M+"))))</f>
        <v/>
      </c>
      <c r="P319" s="21">
        <f>IF(E319&lt;=90,"90 or less",IF(E319&lt;=105,"91-105",IF(E319&lt;=120,"106-120",IF(E319&lt;=140,"121-140","Over 140"))))</f>
        <v/>
      </c>
      <c r="Q319" s="28">
        <f>INT(C319/10)*10</f>
        <v/>
      </c>
    </row>
    <row r="320">
      <c r="A320" s="21" t="n">
        <v>333</v>
      </c>
      <c r="B320" s="21" t="inlineStr">
        <is>
          <t>Friday the 13th Part III</t>
        </is>
      </c>
      <c r="C320" s="21" t="n">
        <v>1982</v>
      </c>
      <c r="D320" s="21" t="inlineStr">
        <is>
          <t>USA</t>
        </is>
      </c>
      <c r="E320" s="21" t="n">
        <v>91</v>
      </c>
      <c r="F320" s="21" t="inlineStr">
        <is>
          <t>English</t>
        </is>
      </c>
      <c r="G320" s="21" t="inlineStr">
        <is>
          <t>R</t>
        </is>
      </c>
      <c r="H320" s="22" t="n">
        <v>36200000</v>
      </c>
      <c r="I320" s="22" t="n">
        <v>4000000</v>
      </c>
      <c r="J320" s="21">
        <f>IF(OR(H320="",H320=25529689.5),"Yes","No")</f>
        <v/>
      </c>
      <c r="K320" s="21">
        <f>IF(AND(D320="USA",C320&gt;=1980,J320="No"),"Yes","No")</f>
        <v/>
      </c>
      <c r="L320" s="26">
        <f>IF(J320="Yes","",H320-I320)</f>
        <v/>
      </c>
      <c r="M320" s="27">
        <f>IF(OR(J320="Yes",I320=0),"",H320/I320)</f>
        <v/>
      </c>
      <c r="N320" s="21">
        <f>IF(J320="Yes","",IF(H320&gt;=I320,1,0))</f>
        <v/>
      </c>
      <c r="O320" s="21">
        <f>IF(I320&lt;=5000000,"Under $5M",IF(I320&lt;=20000000,"$5M-20M",IF(I320&lt;=50000000,"$20M-50M",IF(I320&lt;=100000000,"$50M-100M","$100M+"))))</f>
        <v/>
      </c>
      <c r="P320" s="21">
        <f>IF(E320&lt;=90,"90 or less",IF(E320&lt;=105,"91-105",IF(E320&lt;=120,"106-120",IF(E320&lt;=140,"121-140","Over 140"))))</f>
        <v/>
      </c>
      <c r="Q320" s="28">
        <f>INT(C320/10)*10</f>
        <v/>
      </c>
    </row>
    <row r="321">
      <c r="A321" s="21" t="n">
        <v>334</v>
      </c>
      <c r="B321" s="21" t="inlineStr">
        <is>
          <t>Gandhi</t>
        </is>
      </c>
      <c r="C321" s="21" t="n">
        <v>1982</v>
      </c>
      <c r="D321" s="21" t="inlineStr">
        <is>
          <t>UK</t>
        </is>
      </c>
      <c r="E321" s="21" t="n">
        <v>240</v>
      </c>
      <c r="F321" s="21" t="inlineStr">
        <is>
          <t>English</t>
        </is>
      </c>
      <c r="G321" s="21" t="inlineStr">
        <is>
          <t>PG</t>
        </is>
      </c>
      <c r="H321" s="22" t="n">
        <v>25529689.5</v>
      </c>
      <c r="I321" s="22" t="n">
        <v>22000000</v>
      </c>
      <c r="J321" s="21">
        <f>IF(OR(H321="",H321=25529689.5),"Yes","No")</f>
        <v/>
      </c>
      <c r="K321" s="21">
        <f>IF(AND(D321="USA",C321&gt;=1980,J321="No"),"Yes","No")</f>
        <v/>
      </c>
      <c r="L321" s="26">
        <f>IF(J321="Yes","",H321-I321)</f>
        <v/>
      </c>
      <c r="M321" s="27">
        <f>IF(OR(J321="Yes",I321=0),"",H321/I321)</f>
        <v/>
      </c>
      <c r="N321" s="21">
        <f>IF(J321="Yes","",IF(H321&gt;=I321,1,0))</f>
        <v/>
      </c>
      <c r="O321" s="21">
        <f>IF(I321&lt;=5000000,"Under $5M",IF(I321&lt;=20000000,"$5M-20M",IF(I321&lt;=50000000,"$20M-50M",IF(I321&lt;=100000000,"$50M-100M","$100M+"))))</f>
        <v/>
      </c>
      <c r="P321" s="21">
        <f>IF(E321&lt;=90,"90 or less",IF(E321&lt;=105,"91-105",IF(E321&lt;=120,"106-120",IF(E321&lt;=140,"121-140","Over 140"))))</f>
        <v/>
      </c>
      <c r="Q321" s="28">
        <f>INT(C321/10)*10</f>
        <v/>
      </c>
    </row>
    <row r="322">
      <c r="A322" s="21" t="n">
        <v>335</v>
      </c>
      <c r="B322" s="21" t="inlineStr">
        <is>
          <t>Halloween III: Season of the Witch</t>
        </is>
      </c>
      <c r="C322" s="21" t="n">
        <v>1982</v>
      </c>
      <c r="D322" s="21" t="inlineStr">
        <is>
          <t>USA</t>
        </is>
      </c>
      <c r="E322" s="21" t="n">
        <v>98</v>
      </c>
      <c r="F322" s="21" t="inlineStr">
        <is>
          <t>English</t>
        </is>
      </c>
      <c r="G322" s="21" t="inlineStr">
        <is>
          <t>R</t>
        </is>
      </c>
      <c r="H322" s="22" t="n">
        <v>14400000</v>
      </c>
      <c r="I322" s="22" t="n">
        <v>2500000</v>
      </c>
      <c r="J322" s="21">
        <f>IF(OR(H322="",H322=25529689.5),"Yes","No")</f>
        <v/>
      </c>
      <c r="K322" s="21">
        <f>IF(AND(D322="USA",C322&gt;=1980,J322="No"),"Yes","No")</f>
        <v/>
      </c>
      <c r="L322" s="26">
        <f>IF(J322="Yes","",H322-I322)</f>
        <v/>
      </c>
      <c r="M322" s="27">
        <f>IF(OR(J322="Yes",I322=0),"",H322/I322)</f>
        <v/>
      </c>
      <c r="N322" s="21">
        <f>IF(J322="Yes","",IF(H322&gt;=I322,1,0))</f>
        <v/>
      </c>
      <c r="O322" s="21">
        <f>IF(I322&lt;=5000000,"Under $5M",IF(I322&lt;=20000000,"$5M-20M",IF(I322&lt;=50000000,"$20M-50M",IF(I322&lt;=100000000,"$50M-100M","$100M+"))))</f>
        <v/>
      </c>
      <c r="P322" s="21">
        <f>IF(E322&lt;=90,"90 or less",IF(E322&lt;=105,"91-105",IF(E322&lt;=120,"106-120",IF(E322&lt;=140,"121-140","Over 140"))))</f>
        <v/>
      </c>
      <c r="Q322" s="28">
        <f>INT(C322/10)*10</f>
        <v/>
      </c>
    </row>
    <row r="323">
      <c r="A323" s="21" t="n">
        <v>336</v>
      </c>
      <c r="B323" s="21" t="inlineStr">
        <is>
          <t>Jekyll and Hyde... Together Again</t>
        </is>
      </c>
      <c r="C323" s="21" t="n">
        <v>1982</v>
      </c>
      <c r="D323" s="21" t="inlineStr">
        <is>
          <t>USA</t>
        </is>
      </c>
      <c r="E323" s="21" t="n">
        <v>87</v>
      </c>
      <c r="F323" s="21" t="inlineStr">
        <is>
          <t>English</t>
        </is>
      </c>
      <c r="G323" s="21" t="inlineStr">
        <is>
          <t>R</t>
        </is>
      </c>
      <c r="H323" s="22" t="n">
        <v>25529689.5</v>
      </c>
      <c r="I323" s="22" t="n">
        <v>5000000</v>
      </c>
      <c r="J323" s="21">
        <f>IF(OR(H323="",H323=25529689.5),"Yes","No")</f>
        <v/>
      </c>
      <c r="K323" s="21">
        <f>IF(AND(D323="USA",C323&gt;=1980,J323="No"),"Yes","No")</f>
        <v/>
      </c>
      <c r="L323" s="26">
        <f>IF(J323="Yes","",H323-I323)</f>
        <v/>
      </c>
      <c r="M323" s="27">
        <f>IF(OR(J323="Yes",I323=0),"",H323/I323)</f>
        <v/>
      </c>
      <c r="N323" s="21">
        <f>IF(J323="Yes","",IF(H323&gt;=I323,1,0))</f>
        <v/>
      </c>
      <c r="O323" s="21">
        <f>IF(I323&lt;=5000000,"Under $5M",IF(I323&lt;=20000000,"$5M-20M",IF(I323&lt;=50000000,"$20M-50M",IF(I323&lt;=100000000,"$50M-100M","$100M+"))))</f>
        <v/>
      </c>
      <c r="P323" s="21">
        <f>IF(E323&lt;=90,"90 or less",IF(E323&lt;=105,"91-105",IF(E323&lt;=120,"106-120",IF(E323&lt;=140,"121-140","Over 140"))))</f>
        <v/>
      </c>
      <c r="Q323" s="28">
        <f>INT(C323/10)*10</f>
        <v/>
      </c>
    </row>
    <row r="324">
      <c r="A324" s="21" t="n">
        <v>337</v>
      </c>
      <c r="B324" s="21" t="inlineStr">
        <is>
          <t>Megaforce</t>
        </is>
      </c>
      <c r="C324" s="21" t="n">
        <v>1982</v>
      </c>
      <c r="D324" s="21" t="inlineStr">
        <is>
          <t>USA</t>
        </is>
      </c>
      <c r="E324" s="21" t="n">
        <v>99</v>
      </c>
      <c r="F324" s="21" t="inlineStr">
        <is>
          <t>English</t>
        </is>
      </c>
      <c r="G324" s="21" t="inlineStr">
        <is>
          <t>PG</t>
        </is>
      </c>
      <c r="H324" s="22" t="n">
        <v>5333658</v>
      </c>
      <c r="I324" s="22" t="n">
        <v>20000000</v>
      </c>
      <c r="J324" s="21">
        <f>IF(OR(H324="",H324=25529689.5),"Yes","No")</f>
        <v/>
      </c>
      <c r="K324" s="21">
        <f>IF(AND(D324="USA",C324&gt;=1980,J324="No"),"Yes","No")</f>
        <v/>
      </c>
      <c r="L324" s="26">
        <f>IF(J324="Yes","",H324-I324)</f>
        <v/>
      </c>
      <c r="M324" s="27">
        <f>IF(OR(J324="Yes",I324=0),"",H324/I324)</f>
        <v/>
      </c>
      <c r="N324" s="21">
        <f>IF(J324="Yes","",IF(H324&gt;=I324,1,0))</f>
        <v/>
      </c>
      <c r="O324" s="21">
        <f>IF(I324&lt;=5000000,"Under $5M",IF(I324&lt;=20000000,"$5M-20M",IF(I324&lt;=50000000,"$20M-50M",IF(I324&lt;=100000000,"$50M-100M","$100M+"))))</f>
        <v/>
      </c>
      <c r="P324" s="21">
        <f>IF(E324&lt;=90,"90 or less",IF(E324&lt;=105,"91-105",IF(E324&lt;=120,"106-120",IF(E324&lt;=140,"121-140","Over 140"))))</f>
        <v/>
      </c>
      <c r="Q324" s="28">
        <f>INT(C324/10)*10</f>
        <v/>
      </c>
    </row>
    <row r="325">
      <c r="A325" s="21" t="n">
        <v>338</v>
      </c>
      <c r="B325" s="21" t="inlineStr">
        <is>
          <t>Poltergeist</t>
        </is>
      </c>
      <c r="C325" s="21" t="n">
        <v>1982</v>
      </c>
      <c r="D325" s="21" t="inlineStr">
        <is>
          <t>USA</t>
        </is>
      </c>
      <c r="E325" s="21" t="n">
        <v>120</v>
      </c>
      <c r="F325" s="21" t="inlineStr">
        <is>
          <t>English</t>
        </is>
      </c>
      <c r="G325" s="21" t="inlineStr">
        <is>
          <t>PG</t>
        </is>
      </c>
      <c r="H325" s="22" t="n">
        <v>76600000</v>
      </c>
      <c r="I325" s="22" t="n">
        <v>10700000</v>
      </c>
      <c r="J325" s="21">
        <f>IF(OR(H325="",H325=25529689.5),"Yes","No")</f>
        <v/>
      </c>
      <c r="K325" s="21">
        <f>IF(AND(D325="USA",C325&gt;=1980,J325="No"),"Yes","No")</f>
        <v/>
      </c>
      <c r="L325" s="26">
        <f>IF(J325="Yes","",H325-I325)</f>
        <v/>
      </c>
      <c r="M325" s="27">
        <f>IF(OR(J325="Yes",I325=0),"",H325/I325)</f>
        <v/>
      </c>
      <c r="N325" s="21">
        <f>IF(J325="Yes","",IF(H325&gt;=I325,1,0))</f>
        <v/>
      </c>
      <c r="O325" s="21">
        <f>IF(I325&lt;=5000000,"Under $5M",IF(I325&lt;=20000000,"$5M-20M",IF(I325&lt;=50000000,"$20M-50M",IF(I325&lt;=100000000,"$50M-100M","$100M+"))))</f>
        <v/>
      </c>
      <c r="P325" s="21">
        <f>IF(E325&lt;=90,"90 or less",IF(E325&lt;=105,"91-105",IF(E325&lt;=120,"106-120",IF(E325&lt;=140,"121-140","Over 140"))))</f>
        <v/>
      </c>
      <c r="Q325" s="28">
        <f>INT(C325/10)*10</f>
        <v/>
      </c>
    </row>
    <row r="326">
      <c r="A326" s="21" t="n">
        <v>340</v>
      </c>
      <c r="B326" s="21" t="inlineStr">
        <is>
          <t>Star Trek II: The Wrath of Khan</t>
        </is>
      </c>
      <c r="C326" s="21" t="n">
        <v>1982</v>
      </c>
      <c r="D326" s="21" t="inlineStr">
        <is>
          <t>USA</t>
        </is>
      </c>
      <c r="E326" s="21" t="n">
        <v>116</v>
      </c>
      <c r="F326" s="21" t="inlineStr">
        <is>
          <t>English</t>
        </is>
      </c>
      <c r="G326" s="21" t="inlineStr">
        <is>
          <t>PG</t>
        </is>
      </c>
      <c r="H326" s="22" t="n">
        <v>78900000</v>
      </c>
      <c r="I326" s="22" t="n">
        <v>11000000</v>
      </c>
      <c r="J326" s="21">
        <f>IF(OR(H326="",H326=25529689.5),"Yes","No")</f>
        <v/>
      </c>
      <c r="K326" s="21">
        <f>IF(AND(D326="USA",C326&gt;=1980,J326="No"),"Yes","No")</f>
        <v/>
      </c>
      <c r="L326" s="26">
        <f>IF(J326="Yes","",H326-I326)</f>
        <v/>
      </c>
      <c r="M326" s="27">
        <f>IF(OR(J326="Yes",I326=0),"",H326/I326)</f>
        <v/>
      </c>
      <c r="N326" s="21">
        <f>IF(J326="Yes","",IF(H326&gt;=I326,1,0))</f>
        <v/>
      </c>
      <c r="O326" s="21">
        <f>IF(I326&lt;=5000000,"Under $5M",IF(I326&lt;=20000000,"$5M-20M",IF(I326&lt;=50000000,"$20M-50M",IF(I326&lt;=100000000,"$50M-100M","$100M+"))))</f>
        <v/>
      </c>
      <c r="P326" s="21">
        <f>IF(E326&lt;=90,"90 or less",IF(E326&lt;=105,"91-105",IF(E326&lt;=120,"106-120",IF(E326&lt;=140,"121-140","Over 140"))))</f>
        <v/>
      </c>
      <c r="Q326" s="28">
        <f>INT(C326/10)*10</f>
        <v/>
      </c>
    </row>
    <row r="327">
      <c r="A327" s="21" t="n">
        <v>341</v>
      </c>
      <c r="B327" s="21" t="inlineStr">
        <is>
          <t>The Ballad of Gregorio Cortez</t>
        </is>
      </c>
      <c r="C327" s="21" t="n">
        <v>1982</v>
      </c>
      <c r="D327" s="21" t="inlineStr">
        <is>
          <t>USA</t>
        </is>
      </c>
      <c r="E327" s="21" t="n">
        <v>105</v>
      </c>
      <c r="F327" s="21" t="inlineStr">
        <is>
          <t>English</t>
        </is>
      </c>
      <c r="G327" s="21" t="n"/>
      <c r="H327" s="22" t="n">
        <v>25529689.5</v>
      </c>
      <c r="I327" s="22" t="n">
        <v>1250000</v>
      </c>
      <c r="J327" s="21">
        <f>IF(OR(H327="",H327=25529689.5),"Yes","No")</f>
        <v/>
      </c>
      <c r="K327" s="21">
        <f>IF(AND(D327="USA",C327&gt;=1980,J327="No"),"Yes","No")</f>
        <v/>
      </c>
      <c r="L327" s="26">
        <f>IF(J327="Yes","",H327-I327)</f>
        <v/>
      </c>
      <c r="M327" s="27">
        <f>IF(OR(J327="Yes",I327=0),"",H327/I327)</f>
        <v/>
      </c>
      <c r="N327" s="21">
        <f>IF(J327="Yes","",IF(H327&gt;=I327,1,0))</f>
        <v/>
      </c>
      <c r="O327" s="21">
        <f>IF(I327&lt;=5000000,"Under $5M",IF(I327&lt;=20000000,"$5M-20M",IF(I327&lt;=50000000,"$20M-50M",IF(I327&lt;=100000000,"$50M-100M","$100M+"))))</f>
        <v/>
      </c>
      <c r="P327" s="21">
        <f>IF(E327&lt;=90,"90 or less",IF(E327&lt;=105,"91-105",IF(E327&lt;=120,"106-120",IF(E327&lt;=140,"121-140","Over 140"))))</f>
        <v/>
      </c>
      <c r="Q327" s="28">
        <f>INT(C327/10)*10</f>
        <v/>
      </c>
    </row>
    <row r="328">
      <c r="A328" s="21" t="n">
        <v>342</v>
      </c>
      <c r="B328" s="21" t="inlineStr">
        <is>
          <t>The Beastmaster</t>
        </is>
      </c>
      <c r="C328" s="21" t="n">
        <v>1982</v>
      </c>
      <c r="D328" s="21" t="inlineStr">
        <is>
          <t>USA</t>
        </is>
      </c>
      <c r="E328" s="21" t="n">
        <v>90</v>
      </c>
      <c r="F328" s="21" t="inlineStr">
        <is>
          <t>English</t>
        </is>
      </c>
      <c r="G328" s="21" t="inlineStr">
        <is>
          <t>PG</t>
        </is>
      </c>
      <c r="H328" s="22" t="n">
        <v>25529689.5</v>
      </c>
      <c r="I328" s="22" t="n">
        <v>8000000</v>
      </c>
      <c r="J328" s="21">
        <f>IF(OR(H328="",H328=25529689.5),"Yes","No")</f>
        <v/>
      </c>
      <c r="K328" s="21">
        <f>IF(AND(D328="USA",C328&gt;=1980,J328="No"),"Yes","No")</f>
        <v/>
      </c>
      <c r="L328" s="26">
        <f>IF(J328="Yes","",H328-I328)</f>
        <v/>
      </c>
      <c r="M328" s="27">
        <f>IF(OR(J328="Yes",I328=0),"",H328/I328)</f>
        <v/>
      </c>
      <c r="N328" s="21">
        <f>IF(J328="Yes","",IF(H328&gt;=I328,1,0))</f>
        <v/>
      </c>
      <c r="O328" s="21">
        <f>IF(I328&lt;=5000000,"Under $5M",IF(I328&lt;=20000000,"$5M-20M",IF(I328&lt;=50000000,"$20M-50M",IF(I328&lt;=100000000,"$50M-100M","$100M+"))))</f>
        <v/>
      </c>
      <c r="P328" s="21">
        <f>IF(E328&lt;=90,"90 or less",IF(E328&lt;=105,"91-105",IF(E328&lt;=120,"106-120",IF(E328&lt;=140,"121-140","Over 140"))))</f>
        <v/>
      </c>
      <c r="Q328" s="28">
        <f>INT(C328/10)*10</f>
        <v/>
      </c>
    </row>
    <row r="329">
      <c r="A329" s="21" t="n">
        <v>343</v>
      </c>
      <c r="B329" s="21" t="inlineStr">
        <is>
          <t>The Best Little Whorehouse in Texas</t>
        </is>
      </c>
      <c r="C329" s="21" t="n">
        <v>1982</v>
      </c>
      <c r="D329" s="21" t="inlineStr">
        <is>
          <t>USA</t>
        </is>
      </c>
      <c r="E329" s="21" t="n">
        <v>114</v>
      </c>
      <c r="F329" s="21" t="inlineStr">
        <is>
          <t>English</t>
        </is>
      </c>
      <c r="G329" s="21" t="inlineStr">
        <is>
          <t>R</t>
        </is>
      </c>
      <c r="H329" s="22" t="n">
        <v>69700000</v>
      </c>
      <c r="I329" s="22" t="n">
        <v>35000000</v>
      </c>
      <c r="J329" s="21">
        <f>IF(OR(H329="",H329=25529689.5),"Yes","No")</f>
        <v/>
      </c>
      <c r="K329" s="21">
        <f>IF(AND(D329="USA",C329&gt;=1980,J329="No"),"Yes","No")</f>
        <v/>
      </c>
      <c r="L329" s="26">
        <f>IF(J329="Yes","",H329-I329)</f>
        <v/>
      </c>
      <c r="M329" s="27">
        <f>IF(OR(J329="Yes",I329=0),"",H329/I329)</f>
        <v/>
      </c>
      <c r="N329" s="21">
        <f>IF(J329="Yes","",IF(H329&gt;=I329,1,0))</f>
        <v/>
      </c>
      <c r="O329" s="21">
        <f>IF(I329&lt;=5000000,"Under $5M",IF(I329&lt;=20000000,"$5M-20M",IF(I329&lt;=50000000,"$20M-50M",IF(I329&lt;=100000000,"$50M-100M","$100M+"))))</f>
        <v/>
      </c>
      <c r="P329" s="21">
        <f>IF(E329&lt;=90,"90 or less",IF(E329&lt;=105,"91-105",IF(E329&lt;=120,"106-120",IF(E329&lt;=140,"121-140","Over 140"))))</f>
        <v/>
      </c>
      <c r="Q329" s="28">
        <f>INT(C329/10)*10</f>
        <v/>
      </c>
    </row>
    <row r="330">
      <c r="A330" s="21" t="n">
        <v>344</v>
      </c>
      <c r="B330" s="21" t="inlineStr">
        <is>
          <t>The Man from Snowy River</t>
        </is>
      </c>
      <c r="C330" s="21" t="n">
        <v>1982</v>
      </c>
      <c r="D330" s="21" t="inlineStr">
        <is>
          <t>Australia</t>
        </is>
      </c>
      <c r="E330" s="21" t="n">
        <v>102</v>
      </c>
      <c r="F330" s="21" t="inlineStr">
        <is>
          <t>English</t>
        </is>
      </c>
      <c r="G330" s="21" t="inlineStr">
        <is>
          <t>PG</t>
        </is>
      </c>
      <c r="H330" s="22" t="n">
        <v>25529689.5</v>
      </c>
      <c r="I330" s="22" t="n">
        <v>3500000</v>
      </c>
      <c r="J330" s="21">
        <f>IF(OR(H330="",H330=25529689.5),"Yes","No")</f>
        <v/>
      </c>
      <c r="K330" s="21">
        <f>IF(AND(D330="USA",C330&gt;=1980,J330="No"),"Yes","No")</f>
        <v/>
      </c>
      <c r="L330" s="26">
        <f>IF(J330="Yes","",H330-I330)</f>
        <v/>
      </c>
      <c r="M330" s="27">
        <f>IF(OR(J330="Yes",I330=0),"",H330/I330)</f>
        <v/>
      </c>
      <c r="N330" s="21">
        <f>IF(J330="Yes","",IF(H330&gt;=I330,1,0))</f>
        <v/>
      </c>
      <c r="O330" s="21">
        <f>IF(I330&lt;=5000000,"Under $5M",IF(I330&lt;=20000000,"$5M-20M",IF(I330&lt;=50000000,"$20M-50M",IF(I330&lt;=100000000,"$50M-100M","$100M+"))))</f>
        <v/>
      </c>
      <c r="P330" s="21">
        <f>IF(E330&lt;=90,"90 or less",IF(E330&lt;=105,"91-105",IF(E330&lt;=120,"106-120",IF(E330&lt;=140,"121-140","Over 140"))))</f>
        <v/>
      </c>
      <c r="Q330" s="28">
        <f>INT(C330/10)*10</f>
        <v/>
      </c>
    </row>
    <row r="331">
      <c r="A331" s="21" t="n">
        <v>345</v>
      </c>
      <c r="B331" s="21" t="inlineStr">
        <is>
          <t>The Thing</t>
        </is>
      </c>
      <c r="C331" s="21" t="n">
        <v>1982</v>
      </c>
      <c r="D331" s="21" t="inlineStr">
        <is>
          <t>USA</t>
        </is>
      </c>
      <c r="E331" s="21" t="n">
        <v>109</v>
      </c>
      <c r="F331" s="21" t="inlineStr">
        <is>
          <t>English</t>
        </is>
      </c>
      <c r="G331" s="21" t="inlineStr">
        <is>
          <t>R</t>
        </is>
      </c>
      <c r="H331" s="22" t="n">
        <v>13782838</v>
      </c>
      <c r="I331" s="22" t="n">
        <v>15000000</v>
      </c>
      <c r="J331" s="21">
        <f>IF(OR(H331="",H331=25529689.5),"Yes","No")</f>
        <v/>
      </c>
      <c r="K331" s="21">
        <f>IF(AND(D331="USA",C331&gt;=1980,J331="No"),"Yes","No")</f>
        <v/>
      </c>
      <c r="L331" s="26">
        <f>IF(J331="Yes","",H331-I331)</f>
        <v/>
      </c>
      <c r="M331" s="27">
        <f>IF(OR(J331="Yes",I331=0),"",H331/I331)</f>
        <v/>
      </c>
      <c r="N331" s="21">
        <f>IF(J331="Yes","",IF(H331&gt;=I331,1,0))</f>
        <v/>
      </c>
      <c r="O331" s="21">
        <f>IF(I331&lt;=5000000,"Under $5M",IF(I331&lt;=20000000,"$5M-20M",IF(I331&lt;=50000000,"$20M-50M",IF(I331&lt;=100000000,"$50M-100M","$100M+"))))</f>
        <v/>
      </c>
      <c r="P331" s="21">
        <f>IF(E331&lt;=90,"90 or less",IF(E331&lt;=105,"91-105",IF(E331&lt;=120,"106-120",IF(E331&lt;=140,"121-140","Over 140"))))</f>
        <v/>
      </c>
      <c r="Q331" s="28">
        <f>INT(C331/10)*10</f>
        <v/>
      </c>
    </row>
    <row r="332">
      <c r="A332" s="21" t="n">
        <v>346</v>
      </c>
      <c r="B332" s="21" t="inlineStr">
        <is>
          <t>The Verdict</t>
        </is>
      </c>
      <c r="C332" s="21" t="n">
        <v>1982</v>
      </c>
      <c r="D332" s="21" t="inlineStr">
        <is>
          <t>USA</t>
        </is>
      </c>
      <c r="E332" s="21" t="n">
        <v>129</v>
      </c>
      <c r="F332" s="21" t="inlineStr">
        <is>
          <t>English</t>
        </is>
      </c>
      <c r="G332" s="21" t="inlineStr">
        <is>
          <t>R</t>
        </is>
      </c>
      <c r="H332" s="22" t="n">
        <v>54000000</v>
      </c>
      <c r="I332" s="22" t="n">
        <v>16000000</v>
      </c>
      <c r="J332" s="21">
        <f>IF(OR(H332="",H332=25529689.5),"Yes","No")</f>
        <v/>
      </c>
      <c r="K332" s="21">
        <f>IF(AND(D332="USA",C332&gt;=1980,J332="No"),"Yes","No")</f>
        <v/>
      </c>
      <c r="L332" s="26">
        <f>IF(J332="Yes","",H332-I332)</f>
        <v/>
      </c>
      <c r="M332" s="27">
        <f>IF(OR(J332="Yes",I332=0),"",H332/I332)</f>
        <v/>
      </c>
      <c r="N332" s="21">
        <f>IF(J332="Yes","",IF(H332&gt;=I332,1,0))</f>
        <v/>
      </c>
      <c r="O332" s="21">
        <f>IF(I332&lt;=5000000,"Under $5M",IF(I332&lt;=20000000,"$5M-20M",IF(I332&lt;=50000000,"$20M-50M",IF(I332&lt;=100000000,"$50M-100M","$100M+"))))</f>
        <v/>
      </c>
      <c r="P332" s="21">
        <f>IF(E332&lt;=90,"90 or less",IF(E332&lt;=105,"91-105",IF(E332&lt;=120,"106-120",IF(E332&lt;=140,"121-140","Over 140"))))</f>
        <v/>
      </c>
      <c r="Q332" s="28">
        <f>INT(C332/10)*10</f>
        <v/>
      </c>
    </row>
    <row r="333">
      <c r="A333" s="21" t="n">
        <v>347</v>
      </c>
      <c r="B333" s="21" t="inlineStr">
        <is>
          <t>Tootsie</t>
        </is>
      </c>
      <c r="C333" s="21" t="n">
        <v>1982</v>
      </c>
      <c r="D333" s="21" t="inlineStr">
        <is>
          <t>USA</t>
        </is>
      </c>
      <c r="E333" s="21" t="n">
        <v>116</v>
      </c>
      <c r="F333" s="21" t="inlineStr">
        <is>
          <t>English</t>
        </is>
      </c>
      <c r="G333" s="21" t="inlineStr">
        <is>
          <t>PG</t>
        </is>
      </c>
      <c r="H333" s="22" t="n">
        <v>177200000</v>
      </c>
      <c r="I333" s="22" t="n">
        <v>22000000</v>
      </c>
      <c r="J333" s="21">
        <f>IF(OR(H333="",H333=25529689.5),"Yes","No")</f>
        <v/>
      </c>
      <c r="K333" s="21">
        <f>IF(AND(D333="USA",C333&gt;=1980,J333="No"),"Yes","No")</f>
        <v/>
      </c>
      <c r="L333" s="26">
        <f>IF(J333="Yes","",H333-I333)</f>
        <v/>
      </c>
      <c r="M333" s="27">
        <f>IF(OR(J333="Yes",I333=0),"",H333/I333)</f>
        <v/>
      </c>
      <c r="N333" s="21">
        <f>IF(J333="Yes","",IF(H333&gt;=I333,1,0))</f>
        <v/>
      </c>
      <c r="O333" s="21">
        <f>IF(I333&lt;=5000000,"Under $5M",IF(I333&lt;=20000000,"$5M-20M",IF(I333&lt;=50000000,"$20M-50M",IF(I333&lt;=100000000,"$50M-100M","$100M+"))))</f>
        <v/>
      </c>
      <c r="P333" s="21">
        <f>IF(E333&lt;=90,"90 or less",IF(E333&lt;=105,"91-105",IF(E333&lt;=120,"106-120",IF(E333&lt;=140,"121-140","Over 140"))))</f>
        <v/>
      </c>
      <c r="Q333" s="28">
        <f>INT(C333/10)*10</f>
        <v/>
      </c>
    </row>
    <row r="334">
      <c r="A334" s="21" t="n">
        <v>348</v>
      </c>
      <c r="B334" s="21" t="inlineStr">
        <is>
          <t>A Christmas Story</t>
        </is>
      </c>
      <c r="C334" s="21" t="n">
        <v>1983</v>
      </c>
      <c r="D334" s="21" t="inlineStr">
        <is>
          <t>USA</t>
        </is>
      </c>
      <c r="E334" s="21" t="n">
        <v>94</v>
      </c>
      <c r="F334" s="21" t="inlineStr">
        <is>
          <t>English</t>
        </is>
      </c>
      <c r="G334" s="21" t="inlineStr">
        <is>
          <t>PG</t>
        </is>
      </c>
      <c r="H334" s="22" t="n">
        <v>25529689.5</v>
      </c>
      <c r="I334" s="22" t="n">
        <v>4000000</v>
      </c>
      <c r="J334" s="21">
        <f>IF(OR(H334="",H334=25529689.5),"Yes","No")</f>
        <v/>
      </c>
      <c r="K334" s="21">
        <f>IF(AND(D334="USA",C334&gt;=1980,J334="No"),"Yes","No")</f>
        <v/>
      </c>
      <c r="L334" s="26">
        <f>IF(J334="Yes","",H334-I334)</f>
        <v/>
      </c>
      <c r="M334" s="27">
        <f>IF(OR(J334="Yes",I334=0),"",H334/I334)</f>
        <v/>
      </c>
      <c r="N334" s="21">
        <f>IF(J334="Yes","",IF(H334&gt;=I334,1,0))</f>
        <v/>
      </c>
      <c r="O334" s="21">
        <f>IF(I334&lt;=5000000,"Under $5M",IF(I334&lt;=20000000,"$5M-20M",IF(I334&lt;=50000000,"$20M-50M",IF(I334&lt;=100000000,"$50M-100M","$100M+"))))</f>
        <v/>
      </c>
      <c r="P334" s="21">
        <f>IF(E334&lt;=90,"90 or less",IF(E334&lt;=105,"91-105",IF(E334&lt;=120,"106-120",IF(E334&lt;=140,"121-140","Over 140"))))</f>
        <v/>
      </c>
      <c r="Q334" s="28">
        <f>INT(C334/10)*10</f>
        <v/>
      </c>
    </row>
    <row r="335">
      <c r="A335" s="21" t="n">
        <v>349</v>
      </c>
      <c r="B335" s="21" t="inlineStr">
        <is>
          <t>Flashdance</t>
        </is>
      </c>
      <c r="C335" s="21" t="n">
        <v>1983</v>
      </c>
      <c r="D335" s="21" t="inlineStr">
        <is>
          <t>USA</t>
        </is>
      </c>
      <c r="E335" s="21" t="n">
        <v>95</v>
      </c>
      <c r="F335" s="21" t="inlineStr">
        <is>
          <t>English</t>
        </is>
      </c>
      <c r="G335" s="21" t="inlineStr">
        <is>
          <t>R</t>
        </is>
      </c>
      <c r="H335" s="22" t="n">
        <v>94900000</v>
      </c>
      <c r="I335" s="22" t="n">
        <v>4000000</v>
      </c>
      <c r="J335" s="21">
        <f>IF(OR(H335="",H335=25529689.5),"Yes","No")</f>
        <v/>
      </c>
      <c r="K335" s="21">
        <f>IF(AND(D335="USA",C335&gt;=1980,J335="No"),"Yes","No")</f>
        <v/>
      </c>
      <c r="L335" s="26">
        <f>IF(J335="Yes","",H335-I335)</f>
        <v/>
      </c>
      <c r="M335" s="27">
        <f>IF(OR(J335="Yes",I335=0),"",H335/I335)</f>
        <v/>
      </c>
      <c r="N335" s="21">
        <f>IF(J335="Yes","",IF(H335&gt;=I335,1,0))</f>
        <v/>
      </c>
      <c r="O335" s="21">
        <f>IF(I335&lt;=5000000,"Under $5M",IF(I335&lt;=20000000,"$5M-20M",IF(I335&lt;=50000000,"$20M-50M",IF(I335&lt;=100000000,"$50M-100M","$100M+"))))</f>
        <v/>
      </c>
      <c r="P335" s="21">
        <f>IF(E335&lt;=90,"90 or less",IF(E335&lt;=105,"91-105",IF(E335&lt;=120,"106-120",IF(E335&lt;=140,"121-140","Over 140"))))</f>
        <v/>
      </c>
      <c r="Q335" s="28">
        <f>INT(C335/10)*10</f>
        <v/>
      </c>
    </row>
    <row r="336">
      <c r="A336" s="21" t="n">
        <v>350</v>
      </c>
      <c r="B336" s="21" t="inlineStr">
        <is>
          <t>Gabriela</t>
        </is>
      </c>
      <c r="C336" s="21" t="n">
        <v>1983</v>
      </c>
      <c r="D336" s="21" t="inlineStr">
        <is>
          <t>Brazil</t>
        </is>
      </c>
      <c r="E336" s="21" t="n">
        <v>99</v>
      </c>
      <c r="F336" s="21" t="inlineStr">
        <is>
          <t>Portuguese</t>
        </is>
      </c>
      <c r="G336" s="21" t="inlineStr">
        <is>
          <t>R</t>
        </is>
      </c>
      <c r="H336" s="22" t="n">
        <v>25529689.5</v>
      </c>
      <c r="I336" s="22" t="n">
        <v>20000000</v>
      </c>
      <c r="J336" s="21">
        <f>IF(OR(H336="",H336=25529689.5),"Yes","No")</f>
        <v/>
      </c>
      <c r="K336" s="21">
        <f>IF(AND(D336="USA",C336&gt;=1980,J336="No"),"Yes","No")</f>
        <v/>
      </c>
      <c r="L336" s="26">
        <f>IF(J336="Yes","",H336-I336)</f>
        <v/>
      </c>
      <c r="M336" s="27">
        <f>IF(OR(J336="Yes",I336=0),"",H336/I336)</f>
        <v/>
      </c>
      <c r="N336" s="21">
        <f>IF(J336="Yes","",IF(H336&gt;=I336,1,0))</f>
        <v/>
      </c>
      <c r="O336" s="21">
        <f>IF(I336&lt;=5000000,"Under $5M",IF(I336&lt;=20000000,"$5M-20M",IF(I336&lt;=50000000,"$20M-50M",IF(I336&lt;=100000000,"$50M-100M","$100M+"))))</f>
        <v/>
      </c>
      <c r="P336" s="21">
        <f>IF(E336&lt;=90,"90 or less",IF(E336&lt;=105,"91-105",IF(E336&lt;=120,"106-120",IF(E336&lt;=140,"121-140","Over 140"))))</f>
        <v/>
      </c>
      <c r="Q336" s="28">
        <f>INT(C336/10)*10</f>
        <v/>
      </c>
    </row>
    <row r="337">
      <c r="A337" s="21" t="n">
        <v>351</v>
      </c>
      <c r="B337" s="21" t="inlineStr">
        <is>
          <t>Krull</t>
        </is>
      </c>
      <c r="C337" s="21" t="n">
        <v>1983</v>
      </c>
      <c r="D337" s="21" t="inlineStr">
        <is>
          <t>UK</t>
        </is>
      </c>
      <c r="E337" s="21" t="n">
        <v>116</v>
      </c>
      <c r="F337" s="21" t="inlineStr">
        <is>
          <t>English</t>
        </is>
      </c>
      <c r="G337" s="21" t="inlineStr">
        <is>
          <t>PG</t>
        </is>
      </c>
      <c r="H337" s="22" t="n">
        <v>25529689.5</v>
      </c>
      <c r="I337" s="22" t="n">
        <v>27000000</v>
      </c>
      <c r="J337" s="21">
        <f>IF(OR(H337="",H337=25529689.5),"Yes","No")</f>
        <v/>
      </c>
      <c r="K337" s="21">
        <f>IF(AND(D337="USA",C337&gt;=1980,J337="No"),"Yes","No")</f>
        <v/>
      </c>
      <c r="L337" s="26">
        <f>IF(J337="Yes","",H337-I337)</f>
        <v/>
      </c>
      <c r="M337" s="27">
        <f>IF(OR(J337="Yes",I337=0),"",H337/I337)</f>
        <v/>
      </c>
      <c r="N337" s="21">
        <f>IF(J337="Yes","",IF(H337&gt;=I337,1,0))</f>
        <v/>
      </c>
      <c r="O337" s="21">
        <f>IF(I337&lt;=5000000,"Under $5M",IF(I337&lt;=20000000,"$5M-20M",IF(I337&lt;=50000000,"$20M-50M",IF(I337&lt;=100000000,"$50M-100M","$100M+"))))</f>
        <v/>
      </c>
      <c r="P337" s="21">
        <f>IF(E337&lt;=90,"90 or less",IF(E337&lt;=105,"91-105",IF(E337&lt;=120,"106-120",IF(E337&lt;=140,"121-140","Over 140"))))</f>
        <v/>
      </c>
      <c r="Q337" s="28">
        <f>INT(C337/10)*10</f>
        <v/>
      </c>
    </row>
    <row r="338">
      <c r="A338" s="21" t="n">
        <v>352</v>
      </c>
      <c r="B338" s="21" t="inlineStr">
        <is>
          <t>Lone Wolf McQuade</t>
        </is>
      </c>
      <c r="C338" s="21" t="n">
        <v>1983</v>
      </c>
      <c r="D338" s="21" t="inlineStr">
        <is>
          <t>USA</t>
        </is>
      </c>
      <c r="E338" s="21" t="n">
        <v>107</v>
      </c>
      <c r="F338" s="21" t="inlineStr">
        <is>
          <t>English</t>
        </is>
      </c>
      <c r="G338" s="21" t="inlineStr">
        <is>
          <t>PG</t>
        </is>
      </c>
      <c r="H338" s="22" t="n">
        <v>12200000</v>
      </c>
      <c r="I338" s="22" t="n">
        <v>5000000</v>
      </c>
      <c r="J338" s="21">
        <f>IF(OR(H338="",H338=25529689.5),"Yes","No")</f>
        <v/>
      </c>
      <c r="K338" s="21">
        <f>IF(AND(D338="USA",C338&gt;=1980,J338="No"),"Yes","No")</f>
        <v/>
      </c>
      <c r="L338" s="26">
        <f>IF(J338="Yes","",H338-I338)</f>
        <v/>
      </c>
      <c r="M338" s="27">
        <f>IF(OR(J338="Yes",I338=0),"",H338/I338)</f>
        <v/>
      </c>
      <c r="N338" s="21">
        <f>IF(J338="Yes","",IF(H338&gt;=I338,1,0))</f>
        <v/>
      </c>
      <c r="O338" s="21">
        <f>IF(I338&lt;=5000000,"Under $5M",IF(I338&lt;=20000000,"$5M-20M",IF(I338&lt;=50000000,"$20M-50M",IF(I338&lt;=100000000,"$50M-100M","$100M+"))))</f>
        <v/>
      </c>
      <c r="P338" s="21">
        <f>IF(E338&lt;=90,"90 or less",IF(E338&lt;=105,"91-105",IF(E338&lt;=120,"106-120",IF(E338&lt;=140,"121-140","Over 140"))))</f>
        <v/>
      </c>
      <c r="Q338" s="28">
        <f>INT(C338/10)*10</f>
        <v/>
      </c>
    </row>
    <row r="339">
      <c r="A339" s="21" t="n">
        <v>353</v>
      </c>
      <c r="B339" s="21" t="inlineStr">
        <is>
          <t>Losin' It</t>
        </is>
      </c>
      <c r="C339" s="21" t="n">
        <v>1983</v>
      </c>
      <c r="D339" s="21" t="inlineStr">
        <is>
          <t>Canada</t>
        </is>
      </c>
      <c r="E339" s="21" t="n">
        <v>100</v>
      </c>
      <c r="F339" s="21" t="inlineStr">
        <is>
          <t>English</t>
        </is>
      </c>
      <c r="G339" s="21" t="inlineStr">
        <is>
          <t>R</t>
        </is>
      </c>
      <c r="H339" s="22" t="n">
        <v>25529689.5</v>
      </c>
      <c r="I339" s="22" t="n">
        <v>7000000</v>
      </c>
      <c r="J339" s="21">
        <f>IF(OR(H339="",H339=25529689.5),"Yes","No")</f>
        <v/>
      </c>
      <c r="K339" s="21">
        <f>IF(AND(D339="USA",C339&gt;=1980,J339="No"),"Yes","No")</f>
        <v/>
      </c>
      <c r="L339" s="26">
        <f>IF(J339="Yes","",H339-I339)</f>
        <v/>
      </c>
      <c r="M339" s="27">
        <f>IF(OR(J339="Yes",I339=0),"",H339/I339)</f>
        <v/>
      </c>
      <c r="N339" s="21">
        <f>IF(J339="Yes","",IF(H339&gt;=I339,1,0))</f>
        <v/>
      </c>
      <c r="O339" s="21">
        <f>IF(I339&lt;=5000000,"Under $5M",IF(I339&lt;=20000000,"$5M-20M",IF(I339&lt;=50000000,"$20M-50M",IF(I339&lt;=100000000,"$50M-100M","$100M+"))))</f>
        <v/>
      </c>
      <c r="P339" s="21">
        <f>IF(E339&lt;=90,"90 or less",IF(E339&lt;=105,"91-105",IF(E339&lt;=120,"106-120",IF(E339&lt;=140,"121-140","Over 140"))))</f>
        <v/>
      </c>
      <c r="Q339" s="28">
        <f>INT(C339/10)*10</f>
        <v/>
      </c>
    </row>
    <row r="340">
      <c r="A340" s="21" t="n">
        <v>354</v>
      </c>
      <c r="B340" s="21" t="inlineStr">
        <is>
          <t>Love Letters</t>
        </is>
      </c>
      <c r="C340" s="21" t="n">
        <v>1983</v>
      </c>
      <c r="D340" s="21" t="inlineStr">
        <is>
          <t>USA</t>
        </is>
      </c>
      <c r="E340" s="21" t="n">
        <v>88</v>
      </c>
      <c r="F340" s="21" t="inlineStr">
        <is>
          <t>English</t>
        </is>
      </c>
      <c r="G340" s="21" t="inlineStr">
        <is>
          <t>R</t>
        </is>
      </c>
      <c r="H340" s="22" t="n">
        <v>25529689.5</v>
      </c>
      <c r="I340" s="22" t="n">
        <v>550000</v>
      </c>
      <c r="J340" s="21">
        <f>IF(OR(H340="",H340=25529689.5),"Yes","No")</f>
        <v/>
      </c>
      <c r="K340" s="21">
        <f>IF(AND(D340="USA",C340&gt;=1980,J340="No"),"Yes","No")</f>
        <v/>
      </c>
      <c r="L340" s="26">
        <f>IF(J340="Yes","",H340-I340)</f>
        <v/>
      </c>
      <c r="M340" s="27">
        <f>IF(OR(J340="Yes",I340=0),"",H340/I340)</f>
        <v/>
      </c>
      <c r="N340" s="21">
        <f>IF(J340="Yes","",IF(H340&gt;=I340,1,0))</f>
        <v/>
      </c>
      <c r="O340" s="21">
        <f>IF(I340&lt;=5000000,"Under $5M",IF(I340&lt;=20000000,"$5M-20M",IF(I340&lt;=50000000,"$20M-50M",IF(I340&lt;=100000000,"$50M-100M","$100M+"))))</f>
        <v/>
      </c>
      <c r="P340" s="21">
        <f>IF(E340&lt;=90,"90 or less",IF(E340&lt;=105,"91-105",IF(E340&lt;=120,"106-120",IF(E340&lt;=140,"121-140","Over 140"))))</f>
        <v/>
      </c>
      <c r="Q340" s="28">
        <f>INT(C340/10)*10</f>
        <v/>
      </c>
    </row>
    <row r="341">
      <c r="A341" s="21" t="n">
        <v>355</v>
      </c>
      <c r="B341" s="21" t="inlineStr">
        <is>
          <t>National Lampoon's Vacation</t>
        </is>
      </c>
      <c r="C341" s="21" t="n">
        <v>1983</v>
      </c>
      <c r="D341" s="21" t="inlineStr">
        <is>
          <t>USA</t>
        </is>
      </c>
      <c r="E341" s="21" t="n">
        <v>98</v>
      </c>
      <c r="F341" s="21" t="inlineStr">
        <is>
          <t>English</t>
        </is>
      </c>
      <c r="G341" s="21" t="inlineStr">
        <is>
          <t>R</t>
        </is>
      </c>
      <c r="H341" s="22" t="n">
        <v>61400000</v>
      </c>
      <c r="I341" s="22" t="n">
        <v>15000000</v>
      </c>
      <c r="J341" s="21">
        <f>IF(OR(H341="",H341=25529689.5),"Yes","No")</f>
        <v/>
      </c>
      <c r="K341" s="21">
        <f>IF(AND(D341="USA",C341&gt;=1980,J341="No"),"Yes","No")</f>
        <v/>
      </c>
      <c r="L341" s="26">
        <f>IF(J341="Yes","",H341-I341)</f>
        <v/>
      </c>
      <c r="M341" s="27">
        <f>IF(OR(J341="Yes",I341=0),"",H341/I341)</f>
        <v/>
      </c>
      <c r="N341" s="21">
        <f>IF(J341="Yes","",IF(H341&gt;=I341,1,0))</f>
        <v/>
      </c>
      <c r="O341" s="21">
        <f>IF(I341&lt;=5000000,"Under $5M",IF(I341&lt;=20000000,"$5M-20M",IF(I341&lt;=50000000,"$20M-50M",IF(I341&lt;=100000000,"$50M-100M","$100M+"))))</f>
        <v/>
      </c>
      <c r="P341" s="21">
        <f>IF(E341&lt;=90,"90 or less",IF(E341&lt;=105,"91-105",IF(E341&lt;=120,"106-120",IF(E341&lt;=140,"121-140","Over 140"))))</f>
        <v/>
      </c>
      <c r="Q341" s="28">
        <f>INT(C341/10)*10</f>
        <v/>
      </c>
    </row>
    <row r="342">
      <c r="A342" s="21" t="n">
        <v>356</v>
      </c>
      <c r="B342" s="21" t="inlineStr">
        <is>
          <t>Never Say Never Again</t>
        </is>
      </c>
      <c r="C342" s="21" t="n">
        <v>1983</v>
      </c>
      <c r="D342" s="21" t="inlineStr">
        <is>
          <t>UK</t>
        </is>
      </c>
      <c r="E342" s="21" t="n">
        <v>121</v>
      </c>
      <c r="F342" s="21" t="inlineStr">
        <is>
          <t>English</t>
        </is>
      </c>
      <c r="G342" s="21" t="inlineStr">
        <is>
          <t>PG</t>
        </is>
      </c>
      <c r="H342" s="22" t="n">
        <v>55500000</v>
      </c>
      <c r="I342" s="22" t="n">
        <v>36000000</v>
      </c>
      <c r="J342" s="21">
        <f>IF(OR(H342="",H342=25529689.5),"Yes","No")</f>
        <v/>
      </c>
      <c r="K342" s="21">
        <f>IF(AND(D342="USA",C342&gt;=1980,J342="No"),"Yes","No")</f>
        <v/>
      </c>
      <c r="L342" s="26">
        <f>IF(J342="Yes","",H342-I342)</f>
        <v/>
      </c>
      <c r="M342" s="27">
        <f>IF(OR(J342="Yes",I342=0),"",H342/I342)</f>
        <v/>
      </c>
      <c r="N342" s="21">
        <f>IF(J342="Yes","",IF(H342&gt;=I342,1,0))</f>
        <v/>
      </c>
      <c r="O342" s="21">
        <f>IF(I342&lt;=5000000,"Under $5M",IF(I342&lt;=20000000,"$5M-20M",IF(I342&lt;=50000000,"$20M-50M",IF(I342&lt;=100000000,"$50M-100M","$100M+"))))</f>
        <v/>
      </c>
      <c r="P342" s="21">
        <f>IF(E342&lt;=90,"90 or less",IF(E342&lt;=105,"91-105",IF(E342&lt;=120,"106-120",IF(E342&lt;=140,"121-140","Over 140"))))</f>
        <v/>
      </c>
      <c r="Q342" s="28">
        <f>INT(C342/10)*10</f>
        <v/>
      </c>
    </row>
    <row r="343">
      <c r="A343" s="21" t="n">
        <v>357</v>
      </c>
      <c r="B343" s="21" t="inlineStr">
        <is>
          <t>Octopussy</t>
        </is>
      </c>
      <c r="C343" s="21" t="n">
        <v>1983</v>
      </c>
      <c r="D343" s="21" t="inlineStr">
        <is>
          <t>UK</t>
        </is>
      </c>
      <c r="E343" s="21" t="n">
        <v>131</v>
      </c>
      <c r="F343" s="21" t="inlineStr">
        <is>
          <t>English</t>
        </is>
      </c>
      <c r="G343" s="21" t="inlineStr">
        <is>
          <t>PG</t>
        </is>
      </c>
      <c r="H343" s="22" t="n">
        <v>67900000</v>
      </c>
      <c r="I343" s="22" t="n">
        <v>27500000</v>
      </c>
      <c r="J343" s="21">
        <f>IF(OR(H343="",H343=25529689.5),"Yes","No")</f>
        <v/>
      </c>
      <c r="K343" s="21">
        <f>IF(AND(D343="USA",C343&gt;=1980,J343="No"),"Yes","No")</f>
        <v/>
      </c>
      <c r="L343" s="26">
        <f>IF(J343="Yes","",H343-I343)</f>
        <v/>
      </c>
      <c r="M343" s="27">
        <f>IF(OR(J343="Yes",I343=0),"",H343/I343)</f>
        <v/>
      </c>
      <c r="N343" s="21">
        <f>IF(J343="Yes","",IF(H343&gt;=I343,1,0))</f>
        <v/>
      </c>
      <c r="O343" s="21">
        <f>IF(I343&lt;=5000000,"Under $5M",IF(I343&lt;=20000000,"$5M-20M",IF(I343&lt;=50000000,"$20M-50M",IF(I343&lt;=100000000,"$50M-100M","$100M+"))))</f>
        <v/>
      </c>
      <c r="P343" s="21">
        <f>IF(E343&lt;=90,"90 or less",IF(E343&lt;=105,"91-105",IF(E343&lt;=120,"106-120",IF(E343&lt;=140,"121-140","Over 140"))))</f>
        <v/>
      </c>
      <c r="Q343" s="28">
        <f>INT(C343/10)*10</f>
        <v/>
      </c>
    </row>
    <row r="344">
      <c r="A344" s="21" t="n">
        <v>358</v>
      </c>
      <c r="B344" s="21" t="inlineStr">
        <is>
          <t>Scarface</t>
        </is>
      </c>
      <c r="C344" s="21" t="n">
        <v>1983</v>
      </c>
      <c r="D344" s="21" t="inlineStr">
        <is>
          <t>USA</t>
        </is>
      </c>
      <c r="E344" s="21" t="n">
        <v>142</v>
      </c>
      <c r="F344" s="21" t="inlineStr">
        <is>
          <t>English</t>
        </is>
      </c>
      <c r="G344" s="21" t="inlineStr">
        <is>
          <t>R</t>
        </is>
      </c>
      <c r="H344" s="22" t="n">
        <v>44700000</v>
      </c>
      <c r="I344" s="22" t="n">
        <v>25000000</v>
      </c>
      <c r="J344" s="21">
        <f>IF(OR(H344="",H344=25529689.5),"Yes","No")</f>
        <v/>
      </c>
      <c r="K344" s="21">
        <f>IF(AND(D344="USA",C344&gt;=1980,J344="No"),"Yes","No")</f>
        <v/>
      </c>
      <c r="L344" s="26">
        <f>IF(J344="Yes","",H344-I344)</f>
        <v/>
      </c>
      <c r="M344" s="27">
        <f>IF(OR(J344="Yes",I344=0),"",H344/I344)</f>
        <v/>
      </c>
      <c r="N344" s="21">
        <f>IF(J344="Yes","",IF(H344&gt;=I344,1,0))</f>
        <v/>
      </c>
      <c r="O344" s="21">
        <f>IF(I344&lt;=5000000,"Under $5M",IF(I344&lt;=20000000,"$5M-20M",IF(I344&lt;=50000000,"$20M-50M",IF(I344&lt;=100000000,"$50M-100M","$100M+"))))</f>
        <v/>
      </c>
      <c r="P344" s="21">
        <f>IF(E344&lt;=90,"90 or less",IF(E344&lt;=105,"91-105",IF(E344&lt;=120,"106-120",IF(E344&lt;=140,"121-140","Over 140"))))</f>
        <v/>
      </c>
      <c r="Q344" s="28">
        <f>INT(C344/10)*10</f>
        <v/>
      </c>
    </row>
    <row r="345">
      <c r="A345" s="21" t="n">
        <v>359</v>
      </c>
      <c r="B345" s="21" t="inlineStr">
        <is>
          <t>Star Wars: Episode VI - Return of the Jedi</t>
        </is>
      </c>
      <c r="C345" s="21" t="n">
        <v>1983</v>
      </c>
      <c r="D345" s="21" t="inlineStr">
        <is>
          <t>USA</t>
        </is>
      </c>
      <c r="E345" s="21" t="n">
        <v>134</v>
      </c>
      <c r="F345" s="21" t="inlineStr">
        <is>
          <t>English</t>
        </is>
      </c>
      <c r="G345" s="21" t="inlineStr">
        <is>
          <t>PG</t>
        </is>
      </c>
      <c r="H345" s="22" t="n">
        <v>309125409</v>
      </c>
      <c r="I345" s="22" t="n">
        <v>32500000</v>
      </c>
      <c r="J345" s="21">
        <f>IF(OR(H345="",H345=25529689.5),"Yes","No")</f>
        <v/>
      </c>
      <c r="K345" s="21">
        <f>IF(AND(D345="USA",C345&gt;=1980,J345="No"),"Yes","No")</f>
        <v/>
      </c>
      <c r="L345" s="26">
        <f>IF(J345="Yes","",H345-I345)</f>
        <v/>
      </c>
      <c r="M345" s="27">
        <f>IF(OR(J345="Yes",I345=0),"",H345/I345)</f>
        <v/>
      </c>
      <c r="N345" s="21">
        <f>IF(J345="Yes","",IF(H345&gt;=I345,1,0))</f>
        <v/>
      </c>
      <c r="O345" s="21">
        <f>IF(I345&lt;=5000000,"Under $5M",IF(I345&lt;=20000000,"$5M-20M",IF(I345&lt;=50000000,"$20M-50M",IF(I345&lt;=100000000,"$50M-100M","$100M+"))))</f>
        <v/>
      </c>
      <c r="P345" s="21">
        <f>IF(E345&lt;=90,"90 or less",IF(E345&lt;=105,"91-105",IF(E345&lt;=120,"106-120",IF(E345&lt;=140,"121-140","Over 140"))))</f>
        <v/>
      </c>
      <c r="Q345" s="28">
        <f>INT(C345/10)*10</f>
        <v/>
      </c>
    </row>
    <row r="346">
      <c r="A346" s="21" t="n">
        <v>360</v>
      </c>
      <c r="B346" s="21" t="inlineStr">
        <is>
          <t>Superman III</t>
        </is>
      </c>
      <c r="C346" s="21" t="n">
        <v>1983</v>
      </c>
      <c r="D346" s="21" t="inlineStr">
        <is>
          <t>UK</t>
        </is>
      </c>
      <c r="E346" s="21" t="n">
        <v>125</v>
      </c>
      <c r="F346" s="21" t="inlineStr">
        <is>
          <t>English</t>
        </is>
      </c>
      <c r="G346" s="21" t="inlineStr">
        <is>
          <t>PG</t>
        </is>
      </c>
      <c r="H346" s="22" t="n">
        <v>60000000</v>
      </c>
      <c r="I346" s="22" t="n">
        <v>39000000</v>
      </c>
      <c r="J346" s="21">
        <f>IF(OR(H346="",H346=25529689.5),"Yes","No")</f>
        <v/>
      </c>
      <c r="K346" s="21">
        <f>IF(AND(D346="USA",C346&gt;=1980,J346="No"),"Yes","No")</f>
        <v/>
      </c>
      <c r="L346" s="26">
        <f>IF(J346="Yes","",H346-I346)</f>
        <v/>
      </c>
      <c r="M346" s="27">
        <f>IF(OR(J346="Yes",I346=0),"",H346/I346)</f>
        <v/>
      </c>
      <c r="N346" s="21">
        <f>IF(J346="Yes","",IF(H346&gt;=I346,1,0))</f>
        <v/>
      </c>
      <c r="O346" s="21">
        <f>IF(I346&lt;=5000000,"Under $5M",IF(I346&lt;=20000000,"$5M-20M",IF(I346&lt;=50000000,"$20M-50M",IF(I346&lt;=100000000,"$50M-100M","$100M+"))))</f>
        <v/>
      </c>
      <c r="P346" s="21">
        <f>IF(E346&lt;=90,"90 or less",IF(E346&lt;=105,"91-105",IF(E346&lt;=120,"106-120",IF(E346&lt;=140,"121-140","Over 140"))))</f>
        <v/>
      </c>
      <c r="Q346" s="28">
        <f>INT(C346/10)*10</f>
        <v/>
      </c>
    </row>
    <row r="347">
      <c r="A347" s="21" t="n">
        <v>361</v>
      </c>
      <c r="B347" s="21" t="inlineStr">
        <is>
          <t>The Dead Zone</t>
        </is>
      </c>
      <c r="C347" s="21" t="n">
        <v>1983</v>
      </c>
      <c r="D347" s="21" t="inlineStr">
        <is>
          <t>USA</t>
        </is>
      </c>
      <c r="E347" s="21" t="n">
        <v>103</v>
      </c>
      <c r="F347" s="21" t="inlineStr">
        <is>
          <t>English</t>
        </is>
      </c>
      <c r="G347" s="21" t="inlineStr">
        <is>
          <t>R</t>
        </is>
      </c>
      <c r="H347" s="22" t="n">
        <v>25529689.5</v>
      </c>
      <c r="I347" s="22" t="n">
        <v>10000000</v>
      </c>
      <c r="J347" s="21">
        <f>IF(OR(H347="",H347=25529689.5),"Yes","No")</f>
        <v/>
      </c>
      <c r="K347" s="21">
        <f>IF(AND(D347="USA",C347&gt;=1980,J347="No"),"Yes","No")</f>
        <v/>
      </c>
      <c r="L347" s="26">
        <f>IF(J347="Yes","",H347-I347)</f>
        <v/>
      </c>
      <c r="M347" s="27">
        <f>IF(OR(J347="Yes",I347=0),"",H347/I347)</f>
        <v/>
      </c>
      <c r="N347" s="21">
        <f>IF(J347="Yes","",IF(H347&gt;=I347,1,0))</f>
        <v/>
      </c>
      <c r="O347" s="21">
        <f>IF(I347&lt;=5000000,"Under $5M",IF(I347&lt;=20000000,"$5M-20M",IF(I347&lt;=50000000,"$20M-50M",IF(I347&lt;=100000000,"$50M-100M","$100M+"))))</f>
        <v/>
      </c>
      <c r="P347" s="21">
        <f>IF(E347&lt;=90,"90 or less",IF(E347&lt;=105,"91-105",IF(E347&lt;=120,"106-120",IF(E347&lt;=140,"121-140","Over 140"))))</f>
        <v/>
      </c>
      <c r="Q347" s="28">
        <f>INT(C347/10)*10</f>
        <v/>
      </c>
    </row>
    <row r="348">
      <c r="A348" s="21" t="n">
        <v>362</v>
      </c>
      <c r="B348" s="21" t="inlineStr">
        <is>
          <t>The Outsiders</t>
        </is>
      </c>
      <c r="C348" s="21" t="n">
        <v>1983</v>
      </c>
      <c r="D348" s="21" t="inlineStr">
        <is>
          <t>USA</t>
        </is>
      </c>
      <c r="E348" s="21" t="n">
        <v>114</v>
      </c>
      <c r="F348" s="21" t="inlineStr">
        <is>
          <t>English</t>
        </is>
      </c>
      <c r="G348" s="21" t="inlineStr">
        <is>
          <t>PG-13</t>
        </is>
      </c>
      <c r="H348" s="22" t="n">
        <v>25600000</v>
      </c>
      <c r="I348" s="22" t="n">
        <v>10000000</v>
      </c>
      <c r="J348" s="21">
        <f>IF(OR(H348="",H348=25529689.5),"Yes","No")</f>
        <v/>
      </c>
      <c r="K348" s="21">
        <f>IF(AND(D348="USA",C348&gt;=1980,J348="No"),"Yes","No")</f>
        <v/>
      </c>
      <c r="L348" s="26">
        <f>IF(J348="Yes","",H348-I348)</f>
        <v/>
      </c>
      <c r="M348" s="27">
        <f>IF(OR(J348="Yes",I348=0),"",H348/I348)</f>
        <v/>
      </c>
      <c r="N348" s="21">
        <f>IF(J348="Yes","",IF(H348&gt;=I348,1,0))</f>
        <v/>
      </c>
      <c r="O348" s="21">
        <f>IF(I348&lt;=5000000,"Under $5M",IF(I348&lt;=20000000,"$5M-20M",IF(I348&lt;=50000000,"$20M-50M",IF(I348&lt;=100000000,"$50M-100M","$100M+"))))</f>
        <v/>
      </c>
      <c r="P348" s="21">
        <f>IF(E348&lt;=90,"90 or less",IF(E348&lt;=105,"91-105",IF(E348&lt;=120,"106-120",IF(E348&lt;=140,"121-140","Over 140"))))</f>
        <v/>
      </c>
      <c r="Q348" s="28">
        <f>INT(C348/10)*10</f>
        <v/>
      </c>
    </row>
    <row r="349">
      <c r="A349" s="21" t="n">
        <v>363</v>
      </c>
      <c r="B349" s="21" t="inlineStr">
        <is>
          <t>The Right Stuff</t>
        </is>
      </c>
      <c r="C349" s="21" t="n">
        <v>1983</v>
      </c>
      <c r="D349" s="21" t="inlineStr">
        <is>
          <t>USA</t>
        </is>
      </c>
      <c r="E349" s="21" t="n">
        <v>193</v>
      </c>
      <c r="F349" s="21" t="inlineStr">
        <is>
          <t>English</t>
        </is>
      </c>
      <c r="G349" s="21" t="inlineStr">
        <is>
          <t>PG</t>
        </is>
      </c>
      <c r="H349" s="22" t="n">
        <v>21500000</v>
      </c>
      <c r="I349" s="22" t="n">
        <v>27000000</v>
      </c>
      <c r="J349" s="21">
        <f>IF(OR(H349="",H349=25529689.5),"Yes","No")</f>
        <v/>
      </c>
      <c r="K349" s="21">
        <f>IF(AND(D349="USA",C349&gt;=1980,J349="No"),"Yes","No")</f>
        <v/>
      </c>
      <c r="L349" s="26">
        <f>IF(J349="Yes","",H349-I349)</f>
        <v/>
      </c>
      <c r="M349" s="27">
        <f>IF(OR(J349="Yes",I349=0),"",H349/I349)</f>
        <v/>
      </c>
      <c r="N349" s="21">
        <f>IF(J349="Yes","",IF(H349&gt;=I349,1,0))</f>
        <v/>
      </c>
      <c r="O349" s="21">
        <f>IF(I349&lt;=5000000,"Under $5M",IF(I349&lt;=20000000,"$5M-20M",IF(I349&lt;=50000000,"$20M-50M",IF(I349&lt;=100000000,"$50M-100M","$100M+"))))</f>
        <v/>
      </c>
      <c r="P349" s="21">
        <f>IF(E349&lt;=90,"90 or less",IF(E349&lt;=105,"91-105",IF(E349&lt;=120,"106-120",IF(E349&lt;=140,"121-140","Over 140"))))</f>
        <v/>
      </c>
      <c r="Q349" s="28">
        <f>INT(C349/10)*10</f>
        <v/>
      </c>
    </row>
    <row r="350">
      <c r="A350" s="21" t="n">
        <v>364</v>
      </c>
      <c r="B350" s="21" t="inlineStr">
        <is>
          <t>The Wicked Lady</t>
        </is>
      </c>
      <c r="C350" s="21" t="n">
        <v>1983</v>
      </c>
      <c r="D350" s="21" t="inlineStr">
        <is>
          <t>UK</t>
        </is>
      </c>
      <c r="E350" s="21" t="n">
        <v>98</v>
      </c>
      <c r="F350" s="21" t="inlineStr">
        <is>
          <t>English</t>
        </is>
      </c>
      <c r="G350" s="21" t="inlineStr">
        <is>
          <t>R</t>
        </is>
      </c>
      <c r="H350" s="22" t="n">
        <v>25529689.5</v>
      </c>
      <c r="I350" s="22" t="n">
        <v>8000000</v>
      </c>
      <c r="J350" s="21">
        <f>IF(OR(H350="",H350=25529689.5),"Yes","No")</f>
        <v/>
      </c>
      <c r="K350" s="21">
        <f>IF(AND(D350="USA",C350&gt;=1980,J350="No"),"Yes","No")</f>
        <v/>
      </c>
      <c r="L350" s="26">
        <f>IF(J350="Yes","",H350-I350)</f>
        <v/>
      </c>
      <c r="M350" s="27">
        <f>IF(OR(J350="Yes",I350=0),"",H350/I350)</f>
        <v/>
      </c>
      <c r="N350" s="21">
        <f>IF(J350="Yes","",IF(H350&gt;=I350,1,0))</f>
        <v/>
      </c>
      <c r="O350" s="21">
        <f>IF(I350&lt;=5000000,"Under $5M",IF(I350&lt;=20000000,"$5M-20M",IF(I350&lt;=50000000,"$20M-50M",IF(I350&lt;=100000000,"$50M-100M","$100M+"))))</f>
        <v/>
      </c>
      <c r="P350" s="21">
        <f>IF(E350&lt;=90,"90 or less",IF(E350&lt;=105,"91-105",IF(E350&lt;=120,"106-120",IF(E350&lt;=140,"121-140","Over 140"))))</f>
        <v/>
      </c>
      <c r="Q350" s="28">
        <f>INT(C350/10)*10</f>
        <v/>
      </c>
    </row>
    <row r="351">
      <c r="A351" s="21" t="n">
        <v>365</v>
      </c>
      <c r="B351" s="21" t="inlineStr">
        <is>
          <t>Trading Places</t>
        </is>
      </c>
      <c r="C351" s="21" t="n">
        <v>1983</v>
      </c>
      <c r="D351" s="21" t="inlineStr">
        <is>
          <t>USA</t>
        </is>
      </c>
      <c r="E351" s="21" t="n">
        <v>116</v>
      </c>
      <c r="F351" s="21" t="inlineStr">
        <is>
          <t>English</t>
        </is>
      </c>
      <c r="G351" s="21" t="inlineStr">
        <is>
          <t>R</t>
        </is>
      </c>
      <c r="H351" s="22" t="n">
        <v>90400000</v>
      </c>
      <c r="I351" s="22" t="n">
        <v>20000000</v>
      </c>
      <c r="J351" s="21">
        <f>IF(OR(H351="",H351=25529689.5),"Yes","No")</f>
        <v/>
      </c>
      <c r="K351" s="21">
        <f>IF(AND(D351="USA",C351&gt;=1980,J351="No"),"Yes","No")</f>
        <v/>
      </c>
      <c r="L351" s="26">
        <f>IF(J351="Yes","",H351-I351)</f>
        <v/>
      </c>
      <c r="M351" s="27">
        <f>IF(OR(J351="Yes",I351=0),"",H351/I351)</f>
        <v/>
      </c>
      <c r="N351" s="21">
        <f>IF(J351="Yes","",IF(H351&gt;=I351,1,0))</f>
        <v/>
      </c>
      <c r="O351" s="21">
        <f>IF(I351&lt;=5000000,"Under $5M",IF(I351&lt;=20000000,"$5M-20M",IF(I351&lt;=50000000,"$20M-50M",IF(I351&lt;=100000000,"$50M-100M","$100M+"))))</f>
        <v/>
      </c>
      <c r="P351" s="21">
        <f>IF(E351&lt;=90,"90 or less",IF(E351&lt;=105,"91-105",IF(E351&lt;=120,"106-120",IF(E351&lt;=140,"121-140","Over 140"))))</f>
        <v/>
      </c>
      <c r="Q351" s="28">
        <f>INT(C351/10)*10</f>
        <v/>
      </c>
    </row>
    <row r="352">
      <c r="A352" s="21" t="n">
        <v>366</v>
      </c>
      <c r="B352" s="21" t="inlineStr">
        <is>
          <t>Twilight Zone: The Movie</t>
        </is>
      </c>
      <c r="C352" s="21" t="n">
        <v>1983</v>
      </c>
      <c r="D352" s="21" t="inlineStr">
        <is>
          <t>USA</t>
        </is>
      </c>
      <c r="E352" s="21" t="n">
        <v>101</v>
      </c>
      <c r="F352" s="21" t="inlineStr">
        <is>
          <t>English</t>
        </is>
      </c>
      <c r="G352" s="21" t="inlineStr">
        <is>
          <t>PG</t>
        </is>
      </c>
      <c r="H352" s="22" t="n">
        <v>29500000</v>
      </c>
      <c r="I352" s="22" t="n">
        <v>10000000</v>
      </c>
      <c r="J352" s="21">
        <f>IF(OR(H352="",H352=25529689.5),"Yes","No")</f>
        <v/>
      </c>
      <c r="K352" s="21">
        <f>IF(AND(D352="USA",C352&gt;=1980,J352="No"),"Yes","No")</f>
        <v/>
      </c>
      <c r="L352" s="26">
        <f>IF(J352="Yes","",H352-I352)</f>
        <v/>
      </c>
      <c r="M352" s="27">
        <f>IF(OR(J352="Yes",I352=0),"",H352/I352)</f>
        <v/>
      </c>
      <c r="N352" s="21">
        <f>IF(J352="Yes","",IF(H352&gt;=I352,1,0))</f>
        <v/>
      </c>
      <c r="O352" s="21">
        <f>IF(I352&lt;=5000000,"Under $5M",IF(I352&lt;=20000000,"$5M-20M",IF(I352&lt;=50000000,"$20M-50M",IF(I352&lt;=100000000,"$50M-100M","$100M+"))))</f>
        <v/>
      </c>
      <c r="P352" s="21">
        <f>IF(E352&lt;=90,"90 or less",IF(E352&lt;=105,"91-105",IF(E352&lt;=120,"106-120",IF(E352&lt;=140,"121-140","Over 140"))))</f>
        <v/>
      </c>
      <c r="Q352" s="28">
        <f>INT(C352/10)*10</f>
        <v/>
      </c>
    </row>
    <row r="353">
      <c r="A353" s="21" t="n">
        <v>367</v>
      </c>
      <c r="B353" s="21" t="inlineStr">
        <is>
          <t>Videodrome</t>
        </is>
      </c>
      <c r="C353" s="21" t="n">
        <v>1983</v>
      </c>
      <c r="D353" s="21" t="inlineStr">
        <is>
          <t>Canada</t>
        </is>
      </c>
      <c r="E353" s="21" t="n">
        <v>89</v>
      </c>
      <c r="F353" s="21" t="inlineStr">
        <is>
          <t>English</t>
        </is>
      </c>
      <c r="G353" s="21" t="inlineStr">
        <is>
          <t>R</t>
        </is>
      </c>
      <c r="H353" s="22" t="n">
        <v>25529689.5</v>
      </c>
      <c r="I353" s="22" t="n">
        <v>5952000</v>
      </c>
      <c r="J353" s="21">
        <f>IF(OR(H353="",H353=25529689.5),"Yes","No")</f>
        <v/>
      </c>
      <c r="K353" s="21">
        <f>IF(AND(D353="USA",C353&gt;=1980,J353="No"),"Yes","No")</f>
        <v/>
      </c>
      <c r="L353" s="26">
        <f>IF(J353="Yes","",H353-I353)</f>
        <v/>
      </c>
      <c r="M353" s="27">
        <f>IF(OR(J353="Yes",I353=0),"",H353/I353)</f>
        <v/>
      </c>
      <c r="N353" s="21">
        <f>IF(J353="Yes","",IF(H353&gt;=I353,1,0))</f>
        <v/>
      </c>
      <c r="O353" s="21">
        <f>IF(I353&lt;=5000000,"Under $5M",IF(I353&lt;=20000000,"$5M-20M",IF(I353&lt;=50000000,"$20M-50M",IF(I353&lt;=100000000,"$50M-100M","$100M+"))))</f>
        <v/>
      </c>
      <c r="P353" s="21">
        <f>IF(E353&lt;=90,"90 or less",IF(E353&lt;=105,"91-105",IF(E353&lt;=120,"106-120",IF(E353&lt;=140,"121-140","Over 140"))))</f>
        <v/>
      </c>
      <c r="Q353" s="28">
        <f>INT(C353/10)*10</f>
        <v/>
      </c>
    </row>
    <row r="354">
      <c r="A354" s="21" t="n">
        <v>368</v>
      </c>
      <c r="B354" s="21" t="inlineStr">
        <is>
          <t>WarGames</t>
        </is>
      </c>
      <c r="C354" s="21" t="n">
        <v>1983</v>
      </c>
      <c r="D354" s="21" t="inlineStr">
        <is>
          <t>USA</t>
        </is>
      </c>
      <c r="E354" s="21" t="n">
        <v>114</v>
      </c>
      <c r="F354" s="21" t="inlineStr">
        <is>
          <t>English</t>
        </is>
      </c>
      <c r="G354" s="21" t="inlineStr">
        <is>
          <t>PG</t>
        </is>
      </c>
      <c r="H354" s="22" t="n">
        <v>79568000</v>
      </c>
      <c r="I354" s="22" t="n">
        <v>12000000</v>
      </c>
      <c r="J354" s="21">
        <f>IF(OR(H354="",H354=25529689.5),"Yes","No")</f>
        <v/>
      </c>
      <c r="K354" s="21">
        <f>IF(AND(D354="USA",C354&gt;=1980,J354="No"),"Yes","No")</f>
        <v/>
      </c>
      <c r="L354" s="26">
        <f>IF(J354="Yes","",H354-I354)</f>
        <v/>
      </c>
      <c r="M354" s="27">
        <f>IF(OR(J354="Yes",I354=0),"",H354/I354)</f>
        <v/>
      </c>
      <c r="N354" s="21">
        <f>IF(J354="Yes","",IF(H354&gt;=I354,1,0))</f>
        <v/>
      </c>
      <c r="O354" s="21">
        <f>IF(I354&lt;=5000000,"Under $5M",IF(I354&lt;=20000000,"$5M-20M",IF(I354&lt;=50000000,"$20M-50M",IF(I354&lt;=100000000,"$50M-100M","$100M+"))))</f>
        <v/>
      </c>
      <c r="P354" s="21">
        <f>IF(E354&lt;=90,"90 or less",IF(E354&lt;=105,"91-105",IF(E354&lt;=120,"106-120",IF(E354&lt;=140,"121-140","Over 140"))))</f>
        <v/>
      </c>
      <c r="Q354" s="28">
        <f>INT(C354/10)*10</f>
        <v/>
      </c>
    </row>
    <row r="355">
      <c r="A355" s="21" t="n">
        <v>369</v>
      </c>
      <c r="B355" s="21" t="inlineStr">
        <is>
          <t>Yentl</t>
        </is>
      </c>
      <c r="C355" s="21" t="n">
        <v>1983</v>
      </c>
      <c r="D355" s="21" t="inlineStr">
        <is>
          <t>UK</t>
        </is>
      </c>
      <c r="E355" s="21" t="n">
        <v>132</v>
      </c>
      <c r="F355" s="21" t="inlineStr">
        <is>
          <t>English</t>
        </is>
      </c>
      <c r="G355" s="21" t="inlineStr">
        <is>
          <t>PG</t>
        </is>
      </c>
      <c r="H355" s="22" t="n">
        <v>30400000</v>
      </c>
      <c r="I355" s="22" t="n">
        <v>12000000</v>
      </c>
      <c r="J355" s="21">
        <f>IF(OR(H355="",H355=25529689.5),"Yes","No")</f>
        <v/>
      </c>
      <c r="K355" s="21">
        <f>IF(AND(D355="USA",C355&gt;=1980,J355="No"),"Yes","No")</f>
        <v/>
      </c>
      <c r="L355" s="26">
        <f>IF(J355="Yes","",H355-I355)</f>
        <v/>
      </c>
      <c r="M355" s="27">
        <f>IF(OR(J355="Yes",I355=0),"",H355/I355)</f>
        <v/>
      </c>
      <c r="N355" s="21">
        <f>IF(J355="Yes","",IF(H355&gt;=I355,1,0))</f>
        <v/>
      </c>
      <c r="O355" s="21">
        <f>IF(I355&lt;=5000000,"Under $5M",IF(I355&lt;=20000000,"$5M-20M",IF(I355&lt;=50000000,"$20M-50M",IF(I355&lt;=100000000,"$50M-100M","$100M+"))))</f>
        <v/>
      </c>
      <c r="P355" s="21">
        <f>IF(E355&lt;=90,"90 or less",IF(E355&lt;=105,"91-105",IF(E355&lt;=120,"106-120",IF(E355&lt;=140,"121-140","Over 140"))))</f>
        <v/>
      </c>
      <c r="Q355" s="28">
        <f>INT(C355/10)*10</f>
        <v/>
      </c>
    </row>
    <row r="356">
      <c r="A356" s="21" t="n">
        <v>370</v>
      </c>
      <c r="B356" s="21" t="inlineStr">
        <is>
          <t>A Nightmare on Elm Street</t>
        </is>
      </c>
      <c r="C356" s="21" t="n">
        <v>1984</v>
      </c>
      <c r="D356" s="21" t="inlineStr">
        <is>
          <t>USA</t>
        </is>
      </c>
      <c r="E356" s="21" t="n">
        <v>101</v>
      </c>
      <c r="F356" s="21" t="inlineStr">
        <is>
          <t>English</t>
        </is>
      </c>
      <c r="G356" s="21" t="inlineStr">
        <is>
          <t>X</t>
        </is>
      </c>
      <c r="H356" s="22" t="n">
        <v>26505000</v>
      </c>
      <c r="I356" s="22" t="n">
        <v>1800000</v>
      </c>
      <c r="J356" s="21">
        <f>IF(OR(H356="",H356=25529689.5),"Yes","No")</f>
        <v/>
      </c>
      <c r="K356" s="21">
        <f>IF(AND(D356="USA",C356&gt;=1980,J356="No"),"Yes","No")</f>
        <v/>
      </c>
      <c r="L356" s="26">
        <f>IF(J356="Yes","",H356-I356)</f>
        <v/>
      </c>
      <c r="M356" s="27">
        <f>IF(OR(J356="Yes",I356=0),"",H356/I356)</f>
        <v/>
      </c>
      <c r="N356" s="21">
        <f>IF(J356="Yes","",IF(H356&gt;=I356,1,0))</f>
        <v/>
      </c>
      <c r="O356" s="21">
        <f>IF(I356&lt;=5000000,"Under $5M",IF(I356&lt;=20000000,"$5M-20M",IF(I356&lt;=50000000,"$20M-50M",IF(I356&lt;=100000000,"$50M-100M","$100M+"))))</f>
        <v/>
      </c>
      <c r="P356" s="21">
        <f>IF(E356&lt;=90,"90 or less",IF(E356&lt;=105,"91-105",IF(E356&lt;=120,"106-120",IF(E356&lt;=140,"121-140","Over 140"))))</f>
        <v/>
      </c>
      <c r="Q356" s="28">
        <f>INT(C356/10)*10</f>
        <v/>
      </c>
    </row>
    <row r="357">
      <c r="A357" s="21" t="n">
        <v>372</v>
      </c>
      <c r="B357" s="21" t="inlineStr">
        <is>
          <t>A Passage to India</t>
        </is>
      </c>
      <c r="C357" s="21" t="n">
        <v>1984</v>
      </c>
      <c r="D357" s="21" t="inlineStr">
        <is>
          <t>UK</t>
        </is>
      </c>
      <c r="E357" s="21" t="n">
        <v>164</v>
      </c>
      <c r="F357" s="21" t="inlineStr">
        <is>
          <t>English</t>
        </is>
      </c>
      <c r="G357" s="21" t="inlineStr">
        <is>
          <t>PG</t>
        </is>
      </c>
      <c r="H357" s="22" t="n">
        <v>26400000</v>
      </c>
      <c r="I357" s="22" t="n">
        <v>16000000</v>
      </c>
      <c r="J357" s="21">
        <f>IF(OR(H357="",H357=25529689.5),"Yes","No")</f>
        <v/>
      </c>
      <c r="K357" s="21">
        <f>IF(AND(D357="USA",C357&gt;=1980,J357="No"),"Yes","No")</f>
        <v/>
      </c>
      <c r="L357" s="26">
        <f>IF(J357="Yes","",H357-I357)</f>
        <v/>
      </c>
      <c r="M357" s="27">
        <f>IF(OR(J357="Yes",I357=0),"",H357/I357)</f>
        <v/>
      </c>
      <c r="N357" s="21">
        <f>IF(J357="Yes","",IF(H357&gt;=I357,1,0))</f>
        <v/>
      </c>
      <c r="O357" s="21">
        <f>IF(I357&lt;=5000000,"Under $5M",IF(I357&lt;=20000000,"$5M-20M",IF(I357&lt;=50000000,"$20M-50M",IF(I357&lt;=100000000,"$50M-100M","$100M+"))))</f>
        <v/>
      </c>
      <c r="P357" s="21">
        <f>IF(E357&lt;=90,"90 or less",IF(E357&lt;=105,"91-105",IF(E357&lt;=120,"106-120",IF(E357&lt;=140,"121-140","Over 140"))))</f>
        <v/>
      </c>
      <c r="Q357" s="28">
        <f>INT(C357/10)*10</f>
        <v/>
      </c>
    </row>
    <row r="358">
      <c r="A358" s="21" t="n">
        <v>373</v>
      </c>
      <c r="B358" s="21" t="inlineStr">
        <is>
          <t>Amadeus</t>
        </is>
      </c>
      <c r="C358" s="21" t="n">
        <v>1984</v>
      </c>
      <c r="D358" s="21" t="inlineStr">
        <is>
          <t>USA</t>
        </is>
      </c>
      <c r="E358" s="21" t="n">
        <v>180</v>
      </c>
      <c r="F358" s="21" t="inlineStr">
        <is>
          <t>English</t>
        </is>
      </c>
      <c r="G358" s="21" t="inlineStr">
        <is>
          <t>R</t>
        </is>
      </c>
      <c r="H358" s="22" t="n">
        <v>51600000</v>
      </c>
      <c r="I358" s="22" t="n">
        <v>18000000</v>
      </c>
      <c r="J358" s="21">
        <f>IF(OR(H358="",H358=25529689.5),"Yes","No")</f>
        <v/>
      </c>
      <c r="K358" s="21">
        <f>IF(AND(D358="USA",C358&gt;=1980,J358="No"),"Yes","No")</f>
        <v/>
      </c>
      <c r="L358" s="26">
        <f>IF(J358="Yes","",H358-I358)</f>
        <v/>
      </c>
      <c r="M358" s="27">
        <f>IF(OR(J358="Yes",I358=0),"",H358/I358)</f>
        <v/>
      </c>
      <c r="N358" s="21">
        <f>IF(J358="Yes","",IF(H358&gt;=I358,1,0))</f>
        <v/>
      </c>
      <c r="O358" s="21">
        <f>IF(I358&lt;=5000000,"Under $5M",IF(I358&lt;=20000000,"$5M-20M",IF(I358&lt;=50000000,"$20M-50M",IF(I358&lt;=100000000,"$50M-100M","$100M+"))))</f>
        <v/>
      </c>
      <c r="P358" s="21">
        <f>IF(E358&lt;=90,"90 or less",IF(E358&lt;=105,"91-105",IF(E358&lt;=120,"106-120",IF(E358&lt;=140,"121-140","Over 140"))))</f>
        <v/>
      </c>
      <c r="Q358" s="28">
        <f>INT(C358/10)*10</f>
        <v/>
      </c>
    </row>
    <row r="359">
      <c r="A359" s="21" t="n">
        <v>374</v>
      </c>
      <c r="B359" s="21" t="inlineStr">
        <is>
          <t>Beverly Hills Cop</t>
        </is>
      </c>
      <c r="C359" s="21" t="n">
        <v>1984</v>
      </c>
      <c r="D359" s="21" t="inlineStr">
        <is>
          <t>USA</t>
        </is>
      </c>
      <c r="E359" s="21" t="n">
        <v>105</v>
      </c>
      <c r="F359" s="21" t="inlineStr">
        <is>
          <t>English</t>
        </is>
      </c>
      <c r="G359" s="21" t="inlineStr">
        <is>
          <t>R</t>
        </is>
      </c>
      <c r="H359" s="22" t="n">
        <v>234760500</v>
      </c>
      <c r="I359" s="22" t="n">
        <v>14000000</v>
      </c>
      <c r="J359" s="21">
        <f>IF(OR(H359="",H359=25529689.5),"Yes","No")</f>
        <v/>
      </c>
      <c r="K359" s="21">
        <f>IF(AND(D359="USA",C359&gt;=1980,J359="No"),"Yes","No")</f>
        <v/>
      </c>
      <c r="L359" s="26">
        <f>IF(J359="Yes","",H359-I359)</f>
        <v/>
      </c>
      <c r="M359" s="27">
        <f>IF(OR(J359="Yes",I359=0),"",H359/I359)</f>
        <v/>
      </c>
      <c r="N359" s="21">
        <f>IF(J359="Yes","",IF(H359&gt;=I359,1,0))</f>
        <v/>
      </c>
      <c r="O359" s="21">
        <f>IF(I359&lt;=5000000,"Under $5M",IF(I359&lt;=20000000,"$5M-20M",IF(I359&lt;=50000000,"$20M-50M",IF(I359&lt;=100000000,"$50M-100M","$100M+"))))</f>
        <v/>
      </c>
      <c r="P359" s="21">
        <f>IF(E359&lt;=90,"90 or less",IF(E359&lt;=105,"91-105",IF(E359&lt;=120,"106-120",IF(E359&lt;=140,"121-140","Over 140"))))</f>
        <v/>
      </c>
      <c r="Q359" s="28">
        <f>INT(C359/10)*10</f>
        <v/>
      </c>
    </row>
    <row r="360">
      <c r="A360" s="21" t="n">
        <v>375</v>
      </c>
      <c r="B360" s="21" t="inlineStr">
        <is>
          <t>Body Double</t>
        </is>
      </c>
      <c r="C360" s="21" t="n">
        <v>1984</v>
      </c>
      <c r="D360" s="21" t="inlineStr">
        <is>
          <t>USA</t>
        </is>
      </c>
      <c r="E360" s="21" t="n">
        <v>114</v>
      </c>
      <c r="F360" s="21" t="inlineStr">
        <is>
          <t>English</t>
        </is>
      </c>
      <c r="G360" s="21" t="inlineStr">
        <is>
          <t>R</t>
        </is>
      </c>
      <c r="H360" s="22" t="n">
        <v>25529689.5</v>
      </c>
      <c r="I360" s="22" t="n">
        <v>10000000</v>
      </c>
      <c r="J360" s="21">
        <f>IF(OR(H360="",H360=25529689.5),"Yes","No")</f>
        <v/>
      </c>
      <c r="K360" s="21">
        <f>IF(AND(D360="USA",C360&gt;=1980,J360="No"),"Yes","No")</f>
        <v/>
      </c>
      <c r="L360" s="26">
        <f>IF(J360="Yes","",H360-I360)</f>
        <v/>
      </c>
      <c r="M360" s="27">
        <f>IF(OR(J360="Yes",I360=0),"",H360/I360)</f>
        <v/>
      </c>
      <c r="N360" s="21">
        <f>IF(J360="Yes","",IF(H360&gt;=I360,1,0))</f>
        <v/>
      </c>
      <c r="O360" s="21">
        <f>IF(I360&lt;=5000000,"Under $5M",IF(I360&lt;=20000000,"$5M-20M",IF(I360&lt;=50000000,"$20M-50M",IF(I360&lt;=100000000,"$50M-100M","$100M+"))))</f>
        <v/>
      </c>
      <c r="P360" s="21">
        <f>IF(E360&lt;=90,"90 or less",IF(E360&lt;=105,"91-105",IF(E360&lt;=120,"106-120",IF(E360&lt;=140,"121-140","Over 140"))))</f>
        <v/>
      </c>
      <c r="Q360" s="28">
        <f>INT(C360/10)*10</f>
        <v/>
      </c>
    </row>
    <row r="361">
      <c r="A361" s="21" t="n">
        <v>376</v>
      </c>
      <c r="B361" s="21" t="inlineStr">
        <is>
          <t>C.H.U.D.</t>
        </is>
      </c>
      <c r="C361" s="21" t="n">
        <v>1984</v>
      </c>
      <c r="D361" s="21" t="inlineStr">
        <is>
          <t>USA</t>
        </is>
      </c>
      <c r="E361" s="21" t="n">
        <v>96</v>
      </c>
      <c r="F361" s="21" t="inlineStr">
        <is>
          <t>English</t>
        </is>
      </c>
      <c r="G361" s="21" t="inlineStr">
        <is>
          <t>R</t>
        </is>
      </c>
      <c r="H361" s="22" t="n">
        <v>25529689.5</v>
      </c>
      <c r="I361" s="22" t="n">
        <v>1250000</v>
      </c>
      <c r="J361" s="21">
        <f>IF(OR(H361="",H361=25529689.5),"Yes","No")</f>
        <v/>
      </c>
      <c r="K361" s="21">
        <f>IF(AND(D361="USA",C361&gt;=1980,J361="No"),"Yes","No")</f>
        <v/>
      </c>
      <c r="L361" s="26">
        <f>IF(J361="Yes","",H361-I361)</f>
        <v/>
      </c>
      <c r="M361" s="27">
        <f>IF(OR(J361="Yes",I361=0),"",H361/I361)</f>
        <v/>
      </c>
      <c r="N361" s="21">
        <f>IF(J361="Yes","",IF(H361&gt;=I361,1,0))</f>
        <v/>
      </c>
      <c r="O361" s="21">
        <f>IF(I361&lt;=5000000,"Under $5M",IF(I361&lt;=20000000,"$5M-20M",IF(I361&lt;=50000000,"$20M-50M",IF(I361&lt;=100000000,"$50M-100M","$100M+"))))</f>
        <v/>
      </c>
      <c r="P361" s="21">
        <f>IF(E361&lt;=90,"90 or less",IF(E361&lt;=105,"91-105",IF(E361&lt;=120,"106-120",IF(E361&lt;=140,"121-140","Over 140"))))</f>
        <v/>
      </c>
      <c r="Q361" s="28">
        <f>INT(C361/10)*10</f>
        <v/>
      </c>
    </row>
    <row r="362">
      <c r="A362" s="21" t="n">
        <v>377</v>
      </c>
      <c r="B362" s="21" t="inlineStr">
        <is>
          <t>Conan the Destroyer</t>
        </is>
      </c>
      <c r="C362" s="21" t="n">
        <v>1984</v>
      </c>
      <c r="D362" s="21" t="inlineStr">
        <is>
          <t>USA</t>
        </is>
      </c>
      <c r="E362" s="21" t="n">
        <v>103</v>
      </c>
      <c r="F362" s="21" t="inlineStr">
        <is>
          <t>English</t>
        </is>
      </c>
      <c r="G362" s="21" t="inlineStr">
        <is>
          <t>PG</t>
        </is>
      </c>
      <c r="H362" s="22" t="n">
        <v>26400000</v>
      </c>
      <c r="I362" s="22" t="n">
        <v>18000000</v>
      </c>
      <c r="J362" s="21">
        <f>IF(OR(H362="",H362=25529689.5),"Yes","No")</f>
        <v/>
      </c>
      <c r="K362" s="21">
        <f>IF(AND(D362="USA",C362&gt;=1980,J362="No"),"Yes","No")</f>
        <v/>
      </c>
      <c r="L362" s="26">
        <f>IF(J362="Yes","",H362-I362)</f>
        <v/>
      </c>
      <c r="M362" s="27">
        <f>IF(OR(J362="Yes",I362=0),"",H362/I362)</f>
        <v/>
      </c>
      <c r="N362" s="21">
        <f>IF(J362="Yes","",IF(H362&gt;=I362,1,0))</f>
        <v/>
      </c>
      <c r="O362" s="21">
        <f>IF(I362&lt;=5000000,"Under $5M",IF(I362&lt;=20000000,"$5M-20M",IF(I362&lt;=50000000,"$20M-50M",IF(I362&lt;=100000000,"$50M-100M","$100M+"))))</f>
        <v/>
      </c>
      <c r="P362" s="21">
        <f>IF(E362&lt;=90,"90 or less",IF(E362&lt;=105,"91-105",IF(E362&lt;=120,"106-120",IF(E362&lt;=140,"121-140","Over 140"))))</f>
        <v/>
      </c>
      <c r="Q362" s="28">
        <f>INT(C362/10)*10</f>
        <v/>
      </c>
    </row>
    <row r="363">
      <c r="A363" s="21" t="n">
        <v>378</v>
      </c>
      <c r="B363" s="21" t="inlineStr">
        <is>
          <t>Dune</t>
        </is>
      </c>
      <c r="C363" s="21" t="n">
        <v>1984</v>
      </c>
      <c r="D363" s="21" t="inlineStr">
        <is>
          <t>USA</t>
        </is>
      </c>
      <c r="E363" s="21" t="n">
        <v>177</v>
      </c>
      <c r="F363" s="21" t="inlineStr">
        <is>
          <t>English</t>
        </is>
      </c>
      <c r="G363" s="21" t="inlineStr">
        <is>
          <t>PG-13</t>
        </is>
      </c>
      <c r="H363" s="22" t="n">
        <v>27400000</v>
      </c>
      <c r="I363" s="22" t="n">
        <v>40000000</v>
      </c>
      <c r="J363" s="21">
        <f>IF(OR(H363="",H363=25529689.5),"Yes","No")</f>
        <v/>
      </c>
      <c r="K363" s="21">
        <f>IF(AND(D363="USA",C363&gt;=1980,J363="No"),"Yes","No")</f>
        <v/>
      </c>
      <c r="L363" s="26">
        <f>IF(J363="Yes","",H363-I363)</f>
        <v/>
      </c>
      <c r="M363" s="27">
        <f>IF(OR(J363="Yes",I363=0),"",H363/I363)</f>
        <v/>
      </c>
      <c r="N363" s="21">
        <f>IF(J363="Yes","",IF(H363&gt;=I363,1,0))</f>
        <v/>
      </c>
      <c r="O363" s="21">
        <f>IF(I363&lt;=5000000,"Under $5M",IF(I363&lt;=20000000,"$5M-20M",IF(I363&lt;=50000000,"$20M-50M",IF(I363&lt;=100000000,"$50M-100M","$100M+"))))</f>
        <v/>
      </c>
      <c r="P363" s="21">
        <f>IF(E363&lt;=90,"90 or less",IF(E363&lt;=105,"91-105",IF(E363&lt;=120,"106-120",IF(E363&lt;=140,"121-140","Over 140"))))</f>
        <v/>
      </c>
      <c r="Q363" s="28">
        <f>INT(C363/10)*10</f>
        <v/>
      </c>
    </row>
    <row r="364">
      <c r="A364" s="21" t="n">
        <v>379</v>
      </c>
      <c r="B364" s="21" t="inlineStr">
        <is>
          <t>Firestarter</t>
        </is>
      </c>
      <c r="C364" s="21" t="n">
        <v>1984</v>
      </c>
      <c r="D364" s="21" t="inlineStr">
        <is>
          <t>USA</t>
        </is>
      </c>
      <c r="E364" s="21" t="n">
        <v>114</v>
      </c>
      <c r="F364" s="21" t="inlineStr">
        <is>
          <t>English</t>
        </is>
      </c>
      <c r="G364" s="21" t="inlineStr">
        <is>
          <t>R</t>
        </is>
      </c>
      <c r="H364" s="22" t="n">
        <v>15100000</v>
      </c>
      <c r="I364" s="22" t="n">
        <v>15000000</v>
      </c>
      <c r="J364" s="21">
        <f>IF(OR(H364="",H364=25529689.5),"Yes","No")</f>
        <v/>
      </c>
      <c r="K364" s="21">
        <f>IF(AND(D364="USA",C364&gt;=1980,J364="No"),"Yes","No")</f>
        <v/>
      </c>
      <c r="L364" s="26">
        <f>IF(J364="Yes","",H364-I364)</f>
        <v/>
      </c>
      <c r="M364" s="27">
        <f>IF(OR(J364="Yes",I364=0),"",H364/I364)</f>
        <v/>
      </c>
      <c r="N364" s="21">
        <f>IF(J364="Yes","",IF(H364&gt;=I364,1,0))</f>
        <v/>
      </c>
      <c r="O364" s="21">
        <f>IF(I364&lt;=5000000,"Under $5M",IF(I364&lt;=20000000,"$5M-20M",IF(I364&lt;=50000000,"$20M-50M",IF(I364&lt;=100000000,"$50M-100M","$100M+"))))</f>
        <v/>
      </c>
      <c r="P364" s="21">
        <f>IF(E364&lt;=90,"90 or less",IF(E364&lt;=105,"91-105",IF(E364&lt;=120,"106-120",IF(E364&lt;=140,"121-140","Over 140"))))</f>
        <v/>
      </c>
      <c r="Q364" s="28">
        <f>INT(C364/10)*10</f>
        <v/>
      </c>
    </row>
    <row r="365">
      <c r="A365" s="21" t="n">
        <v>380</v>
      </c>
      <c r="B365" s="21" t="inlineStr">
        <is>
          <t>Footloose</t>
        </is>
      </c>
      <c r="C365" s="21" t="n">
        <v>1984</v>
      </c>
      <c r="D365" s="21" t="inlineStr">
        <is>
          <t>USA</t>
        </is>
      </c>
      <c r="E365" s="21" t="n">
        <v>107</v>
      </c>
      <c r="F365" s="21" t="inlineStr">
        <is>
          <t>English</t>
        </is>
      </c>
      <c r="G365" s="21" t="inlineStr">
        <is>
          <t>PG</t>
        </is>
      </c>
      <c r="H365" s="22" t="n">
        <v>80000000</v>
      </c>
      <c r="I365" s="22" t="n">
        <v>8200000</v>
      </c>
      <c r="J365" s="21">
        <f>IF(OR(H365="",H365=25529689.5),"Yes","No")</f>
        <v/>
      </c>
      <c r="K365" s="21">
        <f>IF(AND(D365="USA",C365&gt;=1980,J365="No"),"Yes","No")</f>
        <v/>
      </c>
      <c r="L365" s="26">
        <f>IF(J365="Yes","",H365-I365)</f>
        <v/>
      </c>
      <c r="M365" s="27">
        <f>IF(OR(J365="Yes",I365=0),"",H365/I365)</f>
        <v/>
      </c>
      <c r="N365" s="21">
        <f>IF(J365="Yes","",IF(H365&gt;=I365,1,0))</f>
        <v/>
      </c>
      <c r="O365" s="21">
        <f>IF(I365&lt;=5000000,"Under $5M",IF(I365&lt;=20000000,"$5M-20M",IF(I365&lt;=50000000,"$20M-50M",IF(I365&lt;=100000000,"$50M-100M","$100M+"))))</f>
        <v/>
      </c>
      <c r="P365" s="21">
        <f>IF(E365&lt;=90,"90 or less",IF(E365&lt;=105,"91-105",IF(E365&lt;=120,"106-120",IF(E365&lt;=140,"121-140","Over 140"))))</f>
        <v/>
      </c>
      <c r="Q365" s="28">
        <f>INT(C365/10)*10</f>
        <v/>
      </c>
    </row>
    <row r="366">
      <c r="A366" s="21" t="n">
        <v>382</v>
      </c>
      <c r="B366" s="21" t="inlineStr">
        <is>
          <t>Friday the 13th: The Final Chapter</t>
        </is>
      </c>
      <c r="C366" s="21" t="n">
        <v>1984</v>
      </c>
      <c r="D366" s="21" t="inlineStr">
        <is>
          <t>USA</t>
        </is>
      </c>
      <c r="E366" s="21" t="n">
        <v>97</v>
      </c>
      <c r="F366" s="21" t="inlineStr">
        <is>
          <t>English</t>
        </is>
      </c>
      <c r="G366" s="21" t="inlineStr">
        <is>
          <t>R</t>
        </is>
      </c>
      <c r="H366" s="22" t="n">
        <v>32600000</v>
      </c>
      <c r="I366" s="22" t="n">
        <v>1800000</v>
      </c>
      <c r="J366" s="21">
        <f>IF(OR(H366="",H366=25529689.5),"Yes","No")</f>
        <v/>
      </c>
      <c r="K366" s="21">
        <f>IF(AND(D366="USA",C366&gt;=1980,J366="No"),"Yes","No")</f>
        <v/>
      </c>
      <c r="L366" s="26">
        <f>IF(J366="Yes","",H366-I366)</f>
        <v/>
      </c>
      <c r="M366" s="27">
        <f>IF(OR(J366="Yes",I366=0),"",H366/I366)</f>
        <v/>
      </c>
      <c r="N366" s="21">
        <f>IF(J366="Yes","",IF(H366&gt;=I366,1,0))</f>
        <v/>
      </c>
      <c r="O366" s="21">
        <f>IF(I366&lt;=5000000,"Under $5M",IF(I366&lt;=20000000,"$5M-20M",IF(I366&lt;=50000000,"$20M-50M",IF(I366&lt;=100000000,"$50M-100M","$100M+"))))</f>
        <v/>
      </c>
      <c r="P366" s="21">
        <f>IF(E366&lt;=90,"90 or less",IF(E366&lt;=105,"91-105",IF(E366&lt;=120,"106-120",IF(E366&lt;=140,"121-140","Over 140"))))</f>
        <v/>
      </c>
      <c r="Q366" s="28">
        <f>INT(C366/10)*10</f>
        <v/>
      </c>
    </row>
    <row r="367">
      <c r="A367" s="21" t="n">
        <v>383</v>
      </c>
      <c r="B367" s="21" t="inlineStr">
        <is>
          <t>Gremlins</t>
        </is>
      </c>
      <c r="C367" s="21" t="n">
        <v>1984</v>
      </c>
      <c r="D367" s="21" t="inlineStr">
        <is>
          <t>USA</t>
        </is>
      </c>
      <c r="E367" s="21" t="n">
        <v>106</v>
      </c>
      <c r="F367" s="21" t="inlineStr">
        <is>
          <t>English</t>
        </is>
      </c>
      <c r="G367" s="21" t="inlineStr">
        <is>
          <t>PG</t>
        </is>
      </c>
      <c r="H367" s="22" t="n">
        <v>148170000</v>
      </c>
      <c r="I367" s="22" t="n">
        <v>11000000</v>
      </c>
      <c r="J367" s="21">
        <f>IF(OR(H367="",H367=25529689.5),"Yes","No")</f>
        <v/>
      </c>
      <c r="K367" s="21">
        <f>IF(AND(D367="USA",C367&gt;=1980,J367="No"),"Yes","No")</f>
        <v/>
      </c>
      <c r="L367" s="26">
        <f>IF(J367="Yes","",H367-I367)</f>
        <v/>
      </c>
      <c r="M367" s="27">
        <f>IF(OR(J367="Yes",I367=0),"",H367/I367)</f>
        <v/>
      </c>
      <c r="N367" s="21">
        <f>IF(J367="Yes","",IF(H367&gt;=I367,1,0))</f>
        <v/>
      </c>
      <c r="O367" s="21">
        <f>IF(I367&lt;=5000000,"Under $5M",IF(I367&lt;=20000000,"$5M-20M",IF(I367&lt;=50000000,"$20M-50M",IF(I367&lt;=100000000,"$50M-100M","$100M+"))))</f>
        <v/>
      </c>
      <c r="P367" s="21">
        <f>IF(E367&lt;=90,"90 or less",IF(E367&lt;=105,"91-105",IF(E367&lt;=120,"106-120",IF(E367&lt;=140,"121-140","Over 140"))))</f>
        <v/>
      </c>
      <c r="Q367" s="28">
        <f>INT(C367/10)*10</f>
        <v/>
      </c>
    </row>
    <row r="368">
      <c r="A368" s="21" t="n">
        <v>384</v>
      </c>
      <c r="B368" s="21" t="inlineStr">
        <is>
          <t>Indiana Jones and the Temple of Doom</t>
        </is>
      </c>
      <c r="C368" s="21" t="n">
        <v>1984</v>
      </c>
      <c r="D368" s="21" t="inlineStr">
        <is>
          <t>USA</t>
        </is>
      </c>
      <c r="E368" s="21" t="n">
        <v>118</v>
      </c>
      <c r="F368" s="21" t="inlineStr">
        <is>
          <t>English</t>
        </is>
      </c>
      <c r="G368" s="21" t="inlineStr">
        <is>
          <t>PG</t>
        </is>
      </c>
      <c r="H368" s="22" t="n">
        <v>179870271</v>
      </c>
      <c r="I368" s="22" t="n">
        <v>28000000</v>
      </c>
      <c r="J368" s="21">
        <f>IF(OR(H368="",H368=25529689.5),"Yes","No")</f>
        <v/>
      </c>
      <c r="K368" s="21">
        <f>IF(AND(D368="USA",C368&gt;=1980,J368="No"),"Yes","No")</f>
        <v/>
      </c>
      <c r="L368" s="26">
        <f>IF(J368="Yes","",H368-I368)</f>
        <v/>
      </c>
      <c r="M368" s="27">
        <f>IF(OR(J368="Yes",I368=0),"",H368/I368)</f>
        <v/>
      </c>
      <c r="N368" s="21">
        <f>IF(J368="Yes","",IF(H368&gt;=I368,1,0))</f>
        <v/>
      </c>
      <c r="O368" s="21">
        <f>IF(I368&lt;=5000000,"Under $5M",IF(I368&lt;=20000000,"$5M-20M",IF(I368&lt;=50000000,"$20M-50M",IF(I368&lt;=100000000,"$50M-100M","$100M+"))))</f>
        <v/>
      </c>
      <c r="P368" s="21">
        <f>IF(E368&lt;=90,"90 or less",IF(E368&lt;=105,"91-105",IF(E368&lt;=120,"106-120",IF(E368&lt;=140,"121-140","Over 140"))))</f>
        <v/>
      </c>
      <c r="Q368" s="28">
        <f>INT(C368/10)*10</f>
        <v/>
      </c>
    </row>
    <row r="369">
      <c r="A369" s="21" t="n">
        <v>385</v>
      </c>
      <c r="B369" s="21" t="inlineStr">
        <is>
          <t>Once Upon a Time in America</t>
        </is>
      </c>
      <c r="C369" s="21" t="n">
        <v>1984</v>
      </c>
      <c r="D369" s="21" t="inlineStr">
        <is>
          <t>Italy</t>
        </is>
      </c>
      <c r="E369" s="21" t="n">
        <v>251</v>
      </c>
      <c r="F369" s="21" t="inlineStr">
        <is>
          <t>English</t>
        </is>
      </c>
      <c r="G369" s="21" t="inlineStr">
        <is>
          <t>R</t>
        </is>
      </c>
      <c r="H369" s="22" t="n">
        <v>5300000</v>
      </c>
      <c r="I369" s="22" t="n">
        <v>30000000</v>
      </c>
      <c r="J369" s="21">
        <f>IF(OR(H369="",H369=25529689.5),"Yes","No")</f>
        <v/>
      </c>
      <c r="K369" s="21">
        <f>IF(AND(D369="USA",C369&gt;=1980,J369="No"),"Yes","No")</f>
        <v/>
      </c>
      <c r="L369" s="26">
        <f>IF(J369="Yes","",H369-I369)</f>
        <v/>
      </c>
      <c r="M369" s="27">
        <f>IF(OR(J369="Yes",I369=0),"",H369/I369)</f>
        <v/>
      </c>
      <c r="N369" s="21">
        <f>IF(J369="Yes","",IF(H369&gt;=I369,1,0))</f>
        <v/>
      </c>
      <c r="O369" s="21">
        <f>IF(I369&lt;=5000000,"Under $5M",IF(I369&lt;=20000000,"$5M-20M",IF(I369&lt;=50000000,"$20M-50M",IF(I369&lt;=100000000,"$50M-100M","$100M+"))))</f>
        <v/>
      </c>
      <c r="P369" s="21">
        <f>IF(E369&lt;=90,"90 or less",IF(E369&lt;=105,"91-105",IF(E369&lt;=120,"106-120",IF(E369&lt;=140,"121-140","Over 140"))))</f>
        <v/>
      </c>
      <c r="Q369" s="28">
        <f>INT(C369/10)*10</f>
        <v/>
      </c>
    </row>
    <row r="370">
      <c r="A370" s="21" t="n">
        <v>386</v>
      </c>
      <c r="B370" s="21" t="inlineStr">
        <is>
          <t>Police Academy</t>
        </is>
      </c>
      <c r="C370" s="21" t="n">
        <v>1984</v>
      </c>
      <c r="D370" s="21" t="inlineStr">
        <is>
          <t>USA</t>
        </is>
      </c>
      <c r="E370" s="21" t="n">
        <v>96</v>
      </c>
      <c r="F370" s="21" t="inlineStr">
        <is>
          <t>English</t>
        </is>
      </c>
      <c r="G370" s="21" t="inlineStr">
        <is>
          <t>R</t>
        </is>
      </c>
      <c r="H370" s="22" t="n">
        <v>81200000</v>
      </c>
      <c r="I370" s="22" t="n">
        <v>4500000</v>
      </c>
      <c r="J370" s="21">
        <f>IF(OR(H370="",H370=25529689.5),"Yes","No")</f>
        <v/>
      </c>
      <c r="K370" s="21">
        <f>IF(AND(D370="USA",C370&gt;=1980,J370="No"),"Yes","No")</f>
        <v/>
      </c>
      <c r="L370" s="26">
        <f>IF(J370="Yes","",H370-I370)</f>
        <v/>
      </c>
      <c r="M370" s="27">
        <f>IF(OR(J370="Yes",I370=0),"",H370/I370)</f>
        <v/>
      </c>
      <c r="N370" s="21">
        <f>IF(J370="Yes","",IF(H370&gt;=I370,1,0))</f>
        <v/>
      </c>
      <c r="O370" s="21">
        <f>IF(I370&lt;=5000000,"Under $5M",IF(I370&lt;=20000000,"$5M-20M",IF(I370&lt;=50000000,"$20M-50M",IF(I370&lt;=100000000,"$50M-100M","$100M+"))))</f>
        <v/>
      </c>
      <c r="P370" s="21">
        <f>IF(E370&lt;=90,"90 or less",IF(E370&lt;=105,"91-105",IF(E370&lt;=120,"106-120",IF(E370&lt;=140,"121-140","Over 140"))))</f>
        <v/>
      </c>
      <c r="Q370" s="28">
        <f>INT(C370/10)*10</f>
        <v/>
      </c>
    </row>
    <row r="371">
      <c r="A371" s="21" t="n">
        <v>387</v>
      </c>
      <c r="B371" s="21" t="inlineStr">
        <is>
          <t>Red Dawn</t>
        </is>
      </c>
      <c r="C371" s="21" t="n">
        <v>1984</v>
      </c>
      <c r="D371" s="21" t="inlineStr">
        <is>
          <t>USA</t>
        </is>
      </c>
      <c r="E371" s="21" t="n">
        <v>114</v>
      </c>
      <c r="F371" s="21" t="inlineStr">
        <is>
          <t>English</t>
        </is>
      </c>
      <c r="G371" s="21" t="inlineStr">
        <is>
          <t>PG-13</t>
        </is>
      </c>
      <c r="H371" s="22" t="n">
        <v>25529689.5</v>
      </c>
      <c r="I371" s="22" t="n">
        <v>16900000</v>
      </c>
      <c r="J371" s="21">
        <f>IF(OR(H371="",H371=25529689.5),"Yes","No")</f>
        <v/>
      </c>
      <c r="K371" s="21">
        <f>IF(AND(D371="USA",C371&gt;=1980,J371="No"),"Yes","No")</f>
        <v/>
      </c>
      <c r="L371" s="26">
        <f>IF(J371="Yes","",H371-I371)</f>
        <v/>
      </c>
      <c r="M371" s="27">
        <f>IF(OR(J371="Yes",I371=0),"",H371/I371)</f>
        <v/>
      </c>
      <c r="N371" s="21">
        <f>IF(J371="Yes","",IF(H371&gt;=I371,1,0))</f>
        <v/>
      </c>
      <c r="O371" s="21">
        <f>IF(I371&lt;=5000000,"Under $5M",IF(I371&lt;=20000000,"$5M-20M",IF(I371&lt;=50000000,"$20M-50M",IF(I371&lt;=100000000,"$50M-100M","$100M+"))))</f>
        <v/>
      </c>
      <c r="P371" s="21">
        <f>IF(E371&lt;=90,"90 or less",IF(E371&lt;=105,"91-105",IF(E371&lt;=120,"106-120",IF(E371&lt;=140,"121-140","Over 140"))))</f>
        <v/>
      </c>
      <c r="Q371" s="28">
        <f>INT(C371/10)*10</f>
        <v/>
      </c>
    </row>
    <row r="372">
      <c r="A372" s="21" t="n">
        <v>388</v>
      </c>
      <c r="B372" s="21" t="inlineStr">
        <is>
          <t>Repo Man</t>
        </is>
      </c>
      <c r="C372" s="21" t="n">
        <v>1984</v>
      </c>
      <c r="D372" s="21" t="inlineStr">
        <is>
          <t>USA</t>
        </is>
      </c>
      <c r="E372" s="21" t="n">
        <v>92</v>
      </c>
      <c r="F372" s="21" t="inlineStr">
        <is>
          <t>English</t>
        </is>
      </c>
      <c r="G372" s="21" t="inlineStr">
        <is>
          <t>R</t>
        </is>
      </c>
      <c r="H372" s="22" t="n">
        <v>25529689.5</v>
      </c>
      <c r="I372" s="22" t="n">
        <v>1500000</v>
      </c>
      <c r="J372" s="21">
        <f>IF(OR(H372="",H372=25529689.5),"Yes","No")</f>
        <v/>
      </c>
      <c r="K372" s="21">
        <f>IF(AND(D372="USA",C372&gt;=1980,J372="No"),"Yes","No")</f>
        <v/>
      </c>
      <c r="L372" s="26">
        <f>IF(J372="Yes","",H372-I372)</f>
        <v/>
      </c>
      <c r="M372" s="27">
        <f>IF(OR(J372="Yes",I372=0),"",H372/I372)</f>
        <v/>
      </c>
      <c r="N372" s="21">
        <f>IF(J372="Yes","",IF(H372&gt;=I372,1,0))</f>
        <v/>
      </c>
      <c r="O372" s="21">
        <f>IF(I372&lt;=5000000,"Under $5M",IF(I372&lt;=20000000,"$5M-20M",IF(I372&lt;=50000000,"$20M-50M",IF(I372&lt;=100000000,"$50M-100M","$100M+"))))</f>
        <v/>
      </c>
      <c r="P372" s="21">
        <f>IF(E372&lt;=90,"90 or less",IF(E372&lt;=105,"91-105",IF(E372&lt;=120,"106-120",IF(E372&lt;=140,"121-140","Over 140"))))</f>
        <v/>
      </c>
      <c r="Q372" s="28">
        <f>INT(C372/10)*10</f>
        <v/>
      </c>
    </row>
    <row r="373">
      <c r="A373" s="21" t="n">
        <v>389</v>
      </c>
      <c r="B373" s="21" t="inlineStr">
        <is>
          <t>Sheena</t>
        </is>
      </c>
      <c r="C373" s="21" t="n">
        <v>1984</v>
      </c>
      <c r="D373" s="21" t="inlineStr">
        <is>
          <t>UK</t>
        </is>
      </c>
      <c r="E373" s="21" t="n">
        <v>117</v>
      </c>
      <c r="F373" s="21" t="inlineStr">
        <is>
          <t>English</t>
        </is>
      </c>
      <c r="G373" s="21" t="inlineStr">
        <is>
          <t>PG</t>
        </is>
      </c>
      <c r="H373" s="22" t="n">
        <v>25529689.5</v>
      </c>
      <c r="I373" s="22" t="n">
        <v>25000000</v>
      </c>
      <c r="J373" s="21">
        <f>IF(OR(H373="",H373=25529689.5),"Yes","No")</f>
        <v/>
      </c>
      <c r="K373" s="21">
        <f>IF(AND(D373="USA",C373&gt;=1980,J373="No"),"Yes","No")</f>
        <v/>
      </c>
      <c r="L373" s="26">
        <f>IF(J373="Yes","",H373-I373)</f>
        <v/>
      </c>
      <c r="M373" s="27">
        <f>IF(OR(J373="Yes",I373=0),"",H373/I373)</f>
        <v/>
      </c>
      <c r="N373" s="21">
        <f>IF(J373="Yes","",IF(H373&gt;=I373,1,0))</f>
        <v/>
      </c>
      <c r="O373" s="21">
        <f>IF(I373&lt;=5000000,"Under $5M",IF(I373&lt;=20000000,"$5M-20M",IF(I373&lt;=50000000,"$20M-50M",IF(I373&lt;=100000000,"$50M-100M","$100M+"))))</f>
        <v/>
      </c>
      <c r="P373" s="21">
        <f>IF(E373&lt;=90,"90 or less",IF(E373&lt;=105,"91-105",IF(E373&lt;=120,"106-120",IF(E373&lt;=140,"121-140","Over 140"))))</f>
        <v/>
      </c>
      <c r="Q373" s="28">
        <f>INT(C373/10)*10</f>
        <v/>
      </c>
    </row>
    <row r="374">
      <c r="A374" s="21" t="n">
        <v>390</v>
      </c>
      <c r="B374" s="21" t="inlineStr">
        <is>
          <t>Splash</t>
        </is>
      </c>
      <c r="C374" s="21" t="n">
        <v>1984</v>
      </c>
      <c r="D374" s="21" t="inlineStr">
        <is>
          <t>USA</t>
        </is>
      </c>
      <c r="E374" s="21" t="n">
        <v>111</v>
      </c>
      <c r="F374" s="21" t="inlineStr">
        <is>
          <t>English</t>
        </is>
      </c>
      <c r="G374" s="21" t="inlineStr">
        <is>
          <t>PG</t>
        </is>
      </c>
      <c r="H374" s="22" t="n">
        <v>69800000</v>
      </c>
      <c r="I374" s="22" t="n">
        <v>8000000</v>
      </c>
      <c r="J374" s="21">
        <f>IF(OR(H374="",H374=25529689.5),"Yes","No")</f>
        <v/>
      </c>
      <c r="K374" s="21">
        <f>IF(AND(D374="USA",C374&gt;=1980,J374="No"),"Yes","No")</f>
        <v/>
      </c>
      <c r="L374" s="26">
        <f>IF(J374="Yes","",H374-I374)</f>
        <v/>
      </c>
      <c r="M374" s="27">
        <f>IF(OR(J374="Yes",I374=0),"",H374/I374)</f>
        <v/>
      </c>
      <c r="N374" s="21">
        <f>IF(J374="Yes","",IF(H374&gt;=I374,1,0))</f>
        <v/>
      </c>
      <c r="O374" s="21">
        <f>IF(I374&lt;=5000000,"Under $5M",IF(I374&lt;=20000000,"$5M-20M",IF(I374&lt;=50000000,"$20M-50M",IF(I374&lt;=100000000,"$50M-100M","$100M+"))))</f>
        <v/>
      </c>
      <c r="P374" s="21">
        <f>IF(E374&lt;=90,"90 or less",IF(E374&lt;=105,"91-105",IF(E374&lt;=120,"106-120",IF(E374&lt;=140,"121-140","Over 140"))))</f>
        <v/>
      </c>
      <c r="Q374" s="28">
        <f>INT(C374/10)*10</f>
        <v/>
      </c>
    </row>
    <row r="375">
      <c r="A375" s="21" t="n">
        <v>391</v>
      </c>
      <c r="B375" s="21" t="inlineStr">
        <is>
          <t>Star Trek III: The Search for Spock</t>
        </is>
      </c>
      <c r="C375" s="21" t="n">
        <v>1984</v>
      </c>
      <c r="D375" s="21" t="inlineStr">
        <is>
          <t>USA</t>
        </is>
      </c>
      <c r="E375" s="21" t="n">
        <v>105</v>
      </c>
      <c r="F375" s="21" t="inlineStr">
        <is>
          <t>English</t>
        </is>
      </c>
      <c r="G375" s="21" t="inlineStr">
        <is>
          <t>PG</t>
        </is>
      </c>
      <c r="H375" s="22" t="n">
        <v>76400000</v>
      </c>
      <c r="I375" s="22" t="n">
        <v>17000000</v>
      </c>
      <c r="J375" s="21">
        <f>IF(OR(H375="",H375=25529689.5),"Yes","No")</f>
        <v/>
      </c>
      <c r="K375" s="21">
        <f>IF(AND(D375="USA",C375&gt;=1980,J375="No"),"Yes","No")</f>
        <v/>
      </c>
      <c r="L375" s="26">
        <f>IF(J375="Yes","",H375-I375)</f>
        <v/>
      </c>
      <c r="M375" s="27">
        <f>IF(OR(J375="Yes",I375=0),"",H375/I375)</f>
        <v/>
      </c>
      <c r="N375" s="21">
        <f>IF(J375="Yes","",IF(H375&gt;=I375,1,0))</f>
        <v/>
      </c>
      <c r="O375" s="21">
        <f>IF(I375&lt;=5000000,"Under $5M",IF(I375&lt;=20000000,"$5M-20M",IF(I375&lt;=50000000,"$20M-50M",IF(I375&lt;=100000000,"$50M-100M","$100M+"))))</f>
        <v/>
      </c>
      <c r="P375" s="21">
        <f>IF(E375&lt;=90,"90 or less",IF(E375&lt;=105,"91-105",IF(E375&lt;=120,"106-120",IF(E375&lt;=140,"121-140","Over 140"))))</f>
        <v/>
      </c>
      <c r="Q375" s="28">
        <f>INT(C375/10)*10</f>
        <v/>
      </c>
    </row>
    <row r="376">
      <c r="A376" s="21" t="n">
        <v>392</v>
      </c>
      <c r="B376" s="21" t="inlineStr">
        <is>
          <t>The Bounty</t>
        </is>
      </c>
      <c r="C376" s="21" t="n">
        <v>1984</v>
      </c>
      <c r="D376" s="21" t="inlineStr">
        <is>
          <t>UK</t>
        </is>
      </c>
      <c r="E376" s="21" t="n">
        <v>132</v>
      </c>
      <c r="F376" s="21" t="inlineStr">
        <is>
          <t>English</t>
        </is>
      </c>
      <c r="G376" s="21" t="inlineStr">
        <is>
          <t>PG</t>
        </is>
      </c>
      <c r="H376" s="22" t="n">
        <v>8600000</v>
      </c>
      <c r="I376" s="22" t="n">
        <v>25000000</v>
      </c>
      <c r="J376" s="21">
        <f>IF(OR(H376="",H376=25529689.5),"Yes","No")</f>
        <v/>
      </c>
      <c r="K376" s="21">
        <f>IF(AND(D376="USA",C376&gt;=1980,J376="No"),"Yes","No")</f>
        <v/>
      </c>
      <c r="L376" s="26">
        <f>IF(J376="Yes","",H376-I376)</f>
        <v/>
      </c>
      <c r="M376" s="27">
        <f>IF(OR(J376="Yes",I376=0),"",H376/I376)</f>
        <v/>
      </c>
      <c r="N376" s="21">
        <f>IF(J376="Yes","",IF(H376&gt;=I376,1,0))</f>
        <v/>
      </c>
      <c r="O376" s="21">
        <f>IF(I376&lt;=5000000,"Under $5M",IF(I376&lt;=20000000,"$5M-20M",IF(I376&lt;=50000000,"$20M-50M",IF(I376&lt;=100000000,"$50M-100M","$100M+"))))</f>
        <v/>
      </c>
      <c r="P376" s="21">
        <f>IF(E376&lt;=90,"90 or less",IF(E376&lt;=105,"91-105",IF(E376&lt;=120,"106-120",IF(E376&lt;=140,"121-140","Over 140"))))</f>
        <v/>
      </c>
      <c r="Q376" s="28">
        <f>INT(C376/10)*10</f>
        <v/>
      </c>
    </row>
    <row r="377">
      <c r="A377" s="21" t="n">
        <v>393</v>
      </c>
      <c r="B377" s="21" t="inlineStr">
        <is>
          <t>The Cotton Club</t>
        </is>
      </c>
      <c r="C377" s="21" t="n">
        <v>1984</v>
      </c>
      <c r="D377" s="21" t="inlineStr">
        <is>
          <t>USA</t>
        </is>
      </c>
      <c r="E377" s="21" t="n">
        <v>123</v>
      </c>
      <c r="F377" s="21" t="inlineStr">
        <is>
          <t>English</t>
        </is>
      </c>
      <c r="G377" s="21" t="inlineStr">
        <is>
          <t>R</t>
        </is>
      </c>
      <c r="H377" s="22" t="n">
        <v>25900000</v>
      </c>
      <c r="I377" s="22" t="n">
        <v>58000000</v>
      </c>
      <c r="J377" s="21">
        <f>IF(OR(H377="",H377=25529689.5),"Yes","No")</f>
        <v/>
      </c>
      <c r="K377" s="21">
        <f>IF(AND(D377="USA",C377&gt;=1980,J377="No"),"Yes","No")</f>
        <v/>
      </c>
      <c r="L377" s="26">
        <f>IF(J377="Yes","",H377-I377)</f>
        <v/>
      </c>
      <c r="M377" s="27">
        <f>IF(OR(J377="Yes",I377=0),"",H377/I377)</f>
        <v/>
      </c>
      <c r="N377" s="21">
        <f>IF(J377="Yes","",IF(H377&gt;=I377,1,0))</f>
        <v/>
      </c>
      <c r="O377" s="21">
        <f>IF(I377&lt;=5000000,"Under $5M",IF(I377&lt;=20000000,"$5M-20M",IF(I377&lt;=50000000,"$20M-50M",IF(I377&lt;=100000000,"$50M-100M","$100M+"))))</f>
        <v/>
      </c>
      <c r="P377" s="21">
        <f>IF(E377&lt;=90,"90 or less",IF(E377&lt;=105,"91-105",IF(E377&lt;=120,"106-120",IF(E377&lt;=140,"121-140","Over 140"))))</f>
        <v/>
      </c>
      <c r="Q377" s="28">
        <f>INT(C377/10)*10</f>
        <v/>
      </c>
    </row>
    <row r="378">
      <c r="A378" s="21" t="n">
        <v>394</v>
      </c>
      <c r="B378" s="21" t="inlineStr">
        <is>
          <t>The Hotel New Hampshire</t>
        </is>
      </c>
      <c r="C378" s="21" t="n">
        <v>1984</v>
      </c>
      <c r="D378" s="21" t="inlineStr">
        <is>
          <t>UK</t>
        </is>
      </c>
      <c r="E378" s="21" t="n">
        <v>109</v>
      </c>
      <c r="F378" s="21" t="inlineStr">
        <is>
          <t>English</t>
        </is>
      </c>
      <c r="G378" s="21" t="inlineStr">
        <is>
          <t>R</t>
        </is>
      </c>
      <c r="H378" s="22" t="n">
        <v>5100000</v>
      </c>
      <c r="I378" s="22" t="n">
        <v>7500000</v>
      </c>
      <c r="J378" s="21">
        <f>IF(OR(H378="",H378=25529689.5),"Yes","No")</f>
        <v/>
      </c>
      <c r="K378" s="21">
        <f>IF(AND(D378="USA",C378&gt;=1980,J378="No"),"Yes","No")</f>
        <v/>
      </c>
      <c r="L378" s="26">
        <f>IF(J378="Yes","",H378-I378)</f>
        <v/>
      </c>
      <c r="M378" s="27">
        <f>IF(OR(J378="Yes",I378=0),"",H378/I378)</f>
        <v/>
      </c>
      <c r="N378" s="21">
        <f>IF(J378="Yes","",IF(H378&gt;=I378,1,0))</f>
        <v/>
      </c>
      <c r="O378" s="21">
        <f>IF(I378&lt;=5000000,"Under $5M",IF(I378&lt;=20000000,"$5M-20M",IF(I378&lt;=50000000,"$20M-50M",IF(I378&lt;=100000000,"$50M-100M","$100M+"))))</f>
        <v/>
      </c>
      <c r="P378" s="21">
        <f>IF(E378&lt;=90,"90 or less",IF(E378&lt;=105,"91-105",IF(E378&lt;=120,"106-120",IF(E378&lt;=140,"121-140","Over 140"))))</f>
        <v/>
      </c>
      <c r="Q378" s="28">
        <f>INT(C378/10)*10</f>
        <v/>
      </c>
    </row>
    <row r="379">
      <c r="A379" s="21" t="n">
        <v>395</v>
      </c>
      <c r="B379" s="21" t="inlineStr">
        <is>
          <t>The Ice Pirates</t>
        </is>
      </c>
      <c r="C379" s="21" t="n">
        <v>1984</v>
      </c>
      <c r="D379" s="21" t="inlineStr">
        <is>
          <t>USA</t>
        </is>
      </c>
      <c r="E379" s="21" t="n">
        <v>91</v>
      </c>
      <c r="F379" s="21" t="inlineStr">
        <is>
          <t>English</t>
        </is>
      </c>
      <c r="G379" s="21" t="inlineStr">
        <is>
          <t>PG</t>
        </is>
      </c>
      <c r="H379" s="22" t="n">
        <v>25529689.5</v>
      </c>
      <c r="I379" s="22" t="n">
        <v>9000000</v>
      </c>
      <c r="J379" s="21">
        <f>IF(OR(H379="",H379=25529689.5),"Yes","No")</f>
        <v/>
      </c>
      <c r="K379" s="21">
        <f>IF(AND(D379="USA",C379&gt;=1980,J379="No"),"Yes","No")</f>
        <v/>
      </c>
      <c r="L379" s="26">
        <f>IF(J379="Yes","",H379-I379)</f>
        <v/>
      </c>
      <c r="M379" s="27">
        <f>IF(OR(J379="Yes",I379=0),"",H379/I379)</f>
        <v/>
      </c>
      <c r="N379" s="21">
        <f>IF(J379="Yes","",IF(H379&gt;=I379,1,0))</f>
        <v/>
      </c>
      <c r="O379" s="21">
        <f>IF(I379&lt;=5000000,"Under $5M",IF(I379&lt;=20000000,"$5M-20M",IF(I379&lt;=50000000,"$20M-50M",IF(I379&lt;=100000000,"$50M-100M","$100M+"))))</f>
        <v/>
      </c>
      <c r="P379" s="21">
        <f>IF(E379&lt;=90,"90 or less",IF(E379&lt;=105,"91-105",IF(E379&lt;=120,"106-120",IF(E379&lt;=140,"121-140","Over 140"))))</f>
        <v/>
      </c>
      <c r="Q379" s="28">
        <f>INT(C379/10)*10</f>
        <v/>
      </c>
    </row>
    <row r="380">
      <c r="A380" s="21" t="n">
        <v>396</v>
      </c>
      <c r="B380" s="21" t="inlineStr">
        <is>
          <t>The Karate Kid</t>
        </is>
      </c>
      <c r="C380" s="21" t="n">
        <v>1984</v>
      </c>
      <c r="D380" s="21" t="inlineStr">
        <is>
          <t>USA</t>
        </is>
      </c>
      <c r="E380" s="21" t="n">
        <v>126</v>
      </c>
      <c r="F380" s="21" t="inlineStr">
        <is>
          <t>English</t>
        </is>
      </c>
      <c r="G380" s="21" t="inlineStr">
        <is>
          <t>PG</t>
        </is>
      </c>
      <c r="H380" s="22" t="n">
        <v>90800000</v>
      </c>
      <c r="I380" s="22" t="n">
        <v>8000000</v>
      </c>
      <c r="J380" s="21">
        <f>IF(OR(H380="",H380=25529689.5),"Yes","No")</f>
        <v/>
      </c>
      <c r="K380" s="21">
        <f>IF(AND(D380="USA",C380&gt;=1980,J380="No"),"Yes","No")</f>
        <v/>
      </c>
      <c r="L380" s="26">
        <f>IF(J380="Yes","",H380-I380)</f>
        <v/>
      </c>
      <c r="M380" s="27">
        <f>IF(OR(J380="Yes",I380=0),"",H380/I380)</f>
        <v/>
      </c>
      <c r="N380" s="21">
        <f>IF(J380="Yes","",IF(H380&gt;=I380,1,0))</f>
        <v/>
      </c>
      <c r="O380" s="21">
        <f>IF(I380&lt;=5000000,"Under $5M",IF(I380&lt;=20000000,"$5M-20M",IF(I380&lt;=50000000,"$20M-50M",IF(I380&lt;=100000000,"$50M-100M","$100M+"))))</f>
        <v/>
      </c>
      <c r="P380" s="21">
        <f>IF(E380&lt;=90,"90 or less",IF(E380&lt;=105,"91-105",IF(E380&lt;=120,"106-120",IF(E380&lt;=140,"121-140","Over 140"))))</f>
        <v/>
      </c>
      <c r="Q380" s="28">
        <f>INT(C380/10)*10</f>
        <v/>
      </c>
    </row>
    <row r="381">
      <c r="A381" s="21" t="n">
        <v>398</v>
      </c>
      <c r="B381" s="21" t="inlineStr">
        <is>
          <t>The NeverEnding Story</t>
        </is>
      </c>
      <c r="C381" s="21" t="n">
        <v>1984</v>
      </c>
      <c r="D381" s="21" t="inlineStr">
        <is>
          <t>West Germany</t>
        </is>
      </c>
      <c r="E381" s="21" t="n">
        <v>94</v>
      </c>
      <c r="F381" s="21" t="inlineStr">
        <is>
          <t>English</t>
        </is>
      </c>
      <c r="G381" s="21" t="inlineStr">
        <is>
          <t>PG</t>
        </is>
      </c>
      <c r="H381" s="22" t="n">
        <v>25529689.5</v>
      </c>
      <c r="I381" s="22" t="n">
        <v>27000000</v>
      </c>
      <c r="J381" s="21">
        <f>IF(OR(H381="",H381=25529689.5),"Yes","No")</f>
        <v/>
      </c>
      <c r="K381" s="21">
        <f>IF(AND(D381="USA",C381&gt;=1980,J381="No"),"Yes","No")</f>
        <v/>
      </c>
      <c r="L381" s="26">
        <f>IF(J381="Yes","",H381-I381)</f>
        <v/>
      </c>
      <c r="M381" s="27">
        <f>IF(OR(J381="Yes",I381=0),"",H381/I381)</f>
        <v/>
      </c>
      <c r="N381" s="21">
        <f>IF(J381="Yes","",IF(H381&gt;=I381,1,0))</f>
        <v/>
      </c>
      <c r="O381" s="21">
        <f>IF(I381&lt;=5000000,"Under $5M",IF(I381&lt;=20000000,"$5M-20M",IF(I381&lt;=50000000,"$20M-50M",IF(I381&lt;=100000000,"$50M-100M","$100M+"))))</f>
        <v/>
      </c>
      <c r="P381" s="21">
        <f>IF(E381&lt;=90,"90 or less",IF(E381&lt;=105,"91-105",IF(E381&lt;=120,"106-120",IF(E381&lt;=140,"121-140","Over 140"))))</f>
        <v/>
      </c>
      <c r="Q381" s="28">
        <f>INT(C381/10)*10</f>
        <v/>
      </c>
    </row>
    <row r="382">
      <c r="A382" s="21" t="n">
        <v>399</v>
      </c>
      <c r="B382" s="21" t="inlineStr">
        <is>
          <t>The Terminator</t>
        </is>
      </c>
      <c r="C382" s="21" t="n">
        <v>1984</v>
      </c>
      <c r="D382" s="21" t="inlineStr">
        <is>
          <t>UK</t>
        </is>
      </c>
      <c r="E382" s="21" t="n">
        <v>107</v>
      </c>
      <c r="F382" s="21" t="inlineStr">
        <is>
          <t>English</t>
        </is>
      </c>
      <c r="G382" s="21" t="inlineStr">
        <is>
          <t>R</t>
        </is>
      </c>
      <c r="H382" s="22" t="n">
        <v>38400000</v>
      </c>
      <c r="I382" s="22" t="n">
        <v>6500000</v>
      </c>
      <c r="J382" s="21">
        <f>IF(OR(H382="",H382=25529689.5),"Yes","No")</f>
        <v/>
      </c>
      <c r="K382" s="21">
        <f>IF(AND(D382="USA",C382&gt;=1980,J382="No"),"Yes","No")</f>
        <v/>
      </c>
      <c r="L382" s="26">
        <f>IF(J382="Yes","",H382-I382)</f>
        <v/>
      </c>
      <c r="M382" s="27">
        <f>IF(OR(J382="Yes",I382=0),"",H382/I382)</f>
        <v/>
      </c>
      <c r="N382" s="21">
        <f>IF(J382="Yes","",IF(H382&gt;=I382,1,0))</f>
        <v/>
      </c>
      <c r="O382" s="21">
        <f>IF(I382&lt;=5000000,"Under $5M",IF(I382&lt;=20000000,"$5M-20M",IF(I382&lt;=50000000,"$20M-50M",IF(I382&lt;=100000000,"$50M-100M","$100M+"))))</f>
        <v/>
      </c>
      <c r="P382" s="21">
        <f>IF(E382&lt;=90,"90 or less",IF(E382&lt;=105,"91-105",IF(E382&lt;=120,"106-120",IF(E382&lt;=140,"121-140","Over 140"))))</f>
        <v/>
      </c>
      <c r="Q382" s="28">
        <f>INT(C382/10)*10</f>
        <v/>
      </c>
    </row>
    <row r="383">
      <c r="A383" s="21" t="n">
        <v>400</v>
      </c>
      <c r="B383" s="21" t="inlineStr">
        <is>
          <t>The Toxic Avenger</t>
        </is>
      </c>
      <c r="C383" s="21" t="n">
        <v>1984</v>
      </c>
      <c r="D383" s="21" t="inlineStr">
        <is>
          <t>USA</t>
        </is>
      </c>
      <c r="E383" s="21" t="n">
        <v>91</v>
      </c>
      <c r="F383" s="21" t="inlineStr">
        <is>
          <t>English</t>
        </is>
      </c>
      <c r="G383" s="21" t="inlineStr">
        <is>
          <t>Unrated</t>
        </is>
      </c>
      <c r="H383" s="22" t="n">
        <v>25529689.5</v>
      </c>
      <c r="I383" s="22" t="n">
        <v>475000</v>
      </c>
      <c r="J383" s="21">
        <f>IF(OR(H383="",H383=25529689.5),"Yes","No")</f>
        <v/>
      </c>
      <c r="K383" s="21">
        <f>IF(AND(D383="USA",C383&gt;=1980,J383="No"),"Yes","No")</f>
        <v/>
      </c>
      <c r="L383" s="26">
        <f>IF(J383="Yes","",H383-I383)</f>
        <v/>
      </c>
      <c r="M383" s="27">
        <f>IF(OR(J383="Yes",I383=0),"",H383/I383)</f>
        <v/>
      </c>
      <c r="N383" s="21">
        <f>IF(J383="Yes","",IF(H383&gt;=I383,1,0))</f>
        <v/>
      </c>
      <c r="O383" s="21">
        <f>IF(I383&lt;=5000000,"Under $5M",IF(I383&lt;=20000000,"$5M-20M",IF(I383&lt;=50000000,"$20M-50M",IF(I383&lt;=100000000,"$50M-100M","$100M+"))))</f>
        <v/>
      </c>
      <c r="P383" s="21">
        <f>IF(E383&lt;=90,"90 or less",IF(E383&lt;=105,"91-105",IF(E383&lt;=120,"106-120",IF(E383&lt;=140,"121-140","Over 140"))))</f>
        <v/>
      </c>
      <c r="Q383" s="28">
        <f>INT(C383/10)*10</f>
        <v/>
      </c>
    </row>
    <row r="384">
      <c r="A384" s="21" t="n">
        <v>401</v>
      </c>
      <c r="B384" s="21" t="inlineStr">
        <is>
          <t>A Nightmare on Elm Street 2: Freddy's Revenge</t>
        </is>
      </c>
      <c r="C384" s="21" t="n">
        <v>1985</v>
      </c>
      <c r="D384" s="21" t="inlineStr">
        <is>
          <t>USA</t>
        </is>
      </c>
      <c r="E384" s="21" t="n">
        <v>87</v>
      </c>
      <c r="F384" s="21" t="inlineStr">
        <is>
          <t>English</t>
        </is>
      </c>
      <c r="G384" s="21" t="inlineStr">
        <is>
          <t>R</t>
        </is>
      </c>
      <c r="H384" s="22" t="n">
        <v>30000000</v>
      </c>
      <c r="I384" s="22" t="n">
        <v>2200000</v>
      </c>
      <c r="J384" s="21">
        <f>IF(OR(H384="",H384=25529689.5),"Yes","No")</f>
        <v/>
      </c>
      <c r="K384" s="21">
        <f>IF(AND(D384="USA",C384&gt;=1980,J384="No"),"Yes","No")</f>
        <v/>
      </c>
      <c r="L384" s="26">
        <f>IF(J384="Yes","",H384-I384)</f>
        <v/>
      </c>
      <c r="M384" s="27">
        <f>IF(OR(J384="Yes",I384=0),"",H384/I384)</f>
        <v/>
      </c>
      <c r="N384" s="21">
        <f>IF(J384="Yes","",IF(H384&gt;=I384,1,0))</f>
        <v/>
      </c>
      <c r="O384" s="21">
        <f>IF(I384&lt;=5000000,"Under $5M",IF(I384&lt;=20000000,"$5M-20M",IF(I384&lt;=50000000,"$20M-50M",IF(I384&lt;=100000000,"$50M-100M","$100M+"))))</f>
        <v/>
      </c>
      <c r="P384" s="21">
        <f>IF(E384&lt;=90,"90 or less",IF(E384&lt;=105,"91-105",IF(E384&lt;=120,"106-120",IF(E384&lt;=140,"121-140","Over 140"))))</f>
        <v/>
      </c>
      <c r="Q384" s="28">
        <f>INT(C384/10)*10</f>
        <v/>
      </c>
    </row>
    <row r="385">
      <c r="A385" s="21" t="n">
        <v>402</v>
      </c>
      <c r="B385" s="21" t="inlineStr">
        <is>
          <t>A Room with a View</t>
        </is>
      </c>
      <c r="C385" s="21" t="n">
        <v>1985</v>
      </c>
      <c r="D385" s="21" t="inlineStr">
        <is>
          <t>UK</t>
        </is>
      </c>
      <c r="E385" s="21" t="n">
        <v>117</v>
      </c>
      <c r="F385" s="21" t="inlineStr">
        <is>
          <t>English</t>
        </is>
      </c>
      <c r="G385" s="21" t="inlineStr">
        <is>
          <t>Unrated</t>
        </is>
      </c>
      <c r="H385" s="22" t="n">
        <v>20966644</v>
      </c>
      <c r="I385" s="22" t="n">
        <v>3000000</v>
      </c>
      <c r="J385" s="21">
        <f>IF(OR(H385="",H385=25529689.5),"Yes","No")</f>
        <v/>
      </c>
      <c r="K385" s="21">
        <f>IF(AND(D385="USA",C385&gt;=1980,J385="No"),"Yes","No")</f>
        <v/>
      </c>
      <c r="L385" s="26">
        <f>IF(J385="Yes","",H385-I385)</f>
        <v/>
      </c>
      <c r="M385" s="27">
        <f>IF(OR(J385="Yes",I385=0),"",H385/I385)</f>
        <v/>
      </c>
      <c r="N385" s="21">
        <f>IF(J385="Yes","",IF(H385&gt;=I385,1,0))</f>
        <v/>
      </c>
      <c r="O385" s="21">
        <f>IF(I385&lt;=5000000,"Under $5M",IF(I385&lt;=20000000,"$5M-20M",IF(I385&lt;=50000000,"$20M-50M",IF(I385&lt;=100000000,"$50M-100M","$100M+"))))</f>
        <v/>
      </c>
      <c r="P385" s="21">
        <f>IF(E385&lt;=90,"90 or less",IF(E385&lt;=105,"91-105",IF(E385&lt;=120,"106-120",IF(E385&lt;=140,"121-140","Over 140"))))</f>
        <v/>
      </c>
      <c r="Q385" s="28">
        <f>INT(C385/10)*10</f>
        <v/>
      </c>
    </row>
    <row r="386">
      <c r="A386" s="21" t="n">
        <v>403</v>
      </c>
      <c r="B386" s="21" t="inlineStr">
        <is>
          <t>A View to a Kill</t>
        </is>
      </c>
      <c r="C386" s="21" t="n">
        <v>1985</v>
      </c>
      <c r="D386" s="21" t="inlineStr">
        <is>
          <t>UK</t>
        </is>
      </c>
      <c r="E386" s="21" t="n">
        <v>131</v>
      </c>
      <c r="F386" s="21" t="inlineStr">
        <is>
          <t>English</t>
        </is>
      </c>
      <c r="G386" s="21" t="inlineStr">
        <is>
          <t>PG</t>
        </is>
      </c>
      <c r="H386" s="22" t="n">
        <v>50300000</v>
      </c>
      <c r="I386" s="22" t="n">
        <v>30000000</v>
      </c>
      <c r="J386" s="21">
        <f>IF(OR(H386="",H386=25529689.5),"Yes","No")</f>
        <v/>
      </c>
      <c r="K386" s="21">
        <f>IF(AND(D386="USA",C386&gt;=1980,J386="No"),"Yes","No")</f>
        <v/>
      </c>
      <c r="L386" s="26">
        <f>IF(J386="Yes","",H386-I386)</f>
        <v/>
      </c>
      <c r="M386" s="27">
        <f>IF(OR(J386="Yes",I386=0),"",H386/I386)</f>
        <v/>
      </c>
      <c r="N386" s="21">
        <f>IF(J386="Yes","",IF(H386&gt;=I386,1,0))</f>
        <v/>
      </c>
      <c r="O386" s="21">
        <f>IF(I386&lt;=5000000,"Under $5M",IF(I386&lt;=20000000,"$5M-20M",IF(I386&lt;=50000000,"$20M-50M",IF(I386&lt;=100000000,"$50M-100M","$100M+"))))</f>
        <v/>
      </c>
      <c r="P386" s="21">
        <f>IF(E386&lt;=90,"90 or less",IF(E386&lt;=105,"91-105",IF(E386&lt;=120,"106-120",IF(E386&lt;=140,"121-140","Over 140"))))</f>
        <v/>
      </c>
      <c r="Q386" s="28">
        <f>INT(C386/10)*10</f>
        <v/>
      </c>
    </row>
    <row r="387">
      <c r="A387" s="21" t="n">
        <v>404</v>
      </c>
      <c r="B387" s="21" t="inlineStr">
        <is>
          <t>Back to the Future</t>
        </is>
      </c>
      <c r="C387" s="21" t="n">
        <v>1985</v>
      </c>
      <c r="D387" s="21" t="inlineStr">
        <is>
          <t>USA</t>
        </is>
      </c>
      <c r="E387" s="21" t="n">
        <v>116</v>
      </c>
      <c r="F387" s="21" t="inlineStr">
        <is>
          <t>English</t>
        </is>
      </c>
      <c r="G387" s="21" t="inlineStr">
        <is>
          <t>PG</t>
        </is>
      </c>
      <c r="H387" s="22" t="n">
        <v>210609762</v>
      </c>
      <c r="I387" s="22" t="n">
        <v>19000000</v>
      </c>
      <c r="J387" s="21">
        <f>IF(OR(H387="",H387=25529689.5),"Yes","No")</f>
        <v/>
      </c>
      <c r="K387" s="21">
        <f>IF(AND(D387="USA",C387&gt;=1980,J387="No"),"Yes","No")</f>
        <v/>
      </c>
      <c r="L387" s="26">
        <f>IF(J387="Yes","",H387-I387)</f>
        <v/>
      </c>
      <c r="M387" s="27">
        <f>IF(OR(J387="Yes",I387=0),"",H387/I387)</f>
        <v/>
      </c>
      <c r="N387" s="21">
        <f>IF(J387="Yes","",IF(H387&gt;=I387,1,0))</f>
        <v/>
      </c>
      <c r="O387" s="21">
        <f>IF(I387&lt;=5000000,"Under $5M",IF(I387&lt;=20000000,"$5M-20M",IF(I387&lt;=50000000,"$20M-50M",IF(I387&lt;=100000000,"$50M-100M","$100M+"))))</f>
        <v/>
      </c>
      <c r="P387" s="21">
        <f>IF(E387&lt;=90,"90 or less",IF(E387&lt;=105,"91-105",IF(E387&lt;=120,"106-120",IF(E387&lt;=140,"121-140","Over 140"))))</f>
        <v/>
      </c>
      <c r="Q387" s="28">
        <f>INT(C387/10)*10</f>
        <v/>
      </c>
    </row>
    <row r="388">
      <c r="A388" s="21" t="n">
        <v>405</v>
      </c>
      <c r="B388" s="21" t="inlineStr">
        <is>
          <t>Brazil</t>
        </is>
      </c>
      <c r="C388" s="21" t="n">
        <v>1985</v>
      </c>
      <c r="D388" s="21" t="inlineStr">
        <is>
          <t>UK</t>
        </is>
      </c>
      <c r="E388" s="21" t="n">
        <v>142</v>
      </c>
      <c r="F388" s="21" t="inlineStr">
        <is>
          <t>English</t>
        </is>
      </c>
      <c r="G388" s="21" t="inlineStr">
        <is>
          <t>R</t>
        </is>
      </c>
      <c r="H388" s="22" t="n">
        <v>9929000</v>
      </c>
      <c r="I388" s="22" t="n">
        <v>15000000</v>
      </c>
      <c r="J388" s="21">
        <f>IF(OR(H388="",H388=25529689.5),"Yes","No")</f>
        <v/>
      </c>
      <c r="K388" s="21">
        <f>IF(AND(D388="USA",C388&gt;=1980,J388="No"),"Yes","No")</f>
        <v/>
      </c>
      <c r="L388" s="26">
        <f>IF(J388="Yes","",H388-I388)</f>
        <v/>
      </c>
      <c r="M388" s="27">
        <f>IF(OR(J388="Yes",I388=0),"",H388/I388)</f>
        <v/>
      </c>
      <c r="N388" s="21">
        <f>IF(J388="Yes","",IF(H388&gt;=I388,1,0))</f>
        <v/>
      </c>
      <c r="O388" s="21">
        <f>IF(I388&lt;=5000000,"Under $5M",IF(I388&lt;=20000000,"$5M-20M",IF(I388&lt;=50000000,"$20M-50M",IF(I388&lt;=100000000,"$50M-100M","$100M+"))))</f>
        <v/>
      </c>
      <c r="P388" s="21">
        <f>IF(E388&lt;=90,"90 or less",IF(E388&lt;=105,"91-105",IF(E388&lt;=120,"106-120",IF(E388&lt;=140,"121-140","Over 140"))))</f>
        <v/>
      </c>
      <c r="Q388" s="28">
        <f>INT(C388/10)*10</f>
        <v/>
      </c>
    </row>
    <row r="389">
      <c r="A389" s="21" t="n">
        <v>406</v>
      </c>
      <c r="B389" s="21" t="inlineStr">
        <is>
          <t>Commando</t>
        </is>
      </c>
      <c r="C389" s="21" t="n">
        <v>1985</v>
      </c>
      <c r="D389" s="21" t="inlineStr">
        <is>
          <t>USA</t>
        </is>
      </c>
      <c r="E389" s="21" t="n">
        <v>75</v>
      </c>
      <c r="F389" s="21" t="inlineStr">
        <is>
          <t>English</t>
        </is>
      </c>
      <c r="G389" s="21" t="inlineStr">
        <is>
          <t>R</t>
        </is>
      </c>
      <c r="H389" s="22" t="n">
        <v>25529689.5</v>
      </c>
      <c r="I389" s="22" t="n">
        <v>10000000</v>
      </c>
      <c r="J389" s="21">
        <f>IF(OR(H389="",H389=25529689.5),"Yes","No")</f>
        <v/>
      </c>
      <c r="K389" s="21">
        <f>IF(AND(D389="USA",C389&gt;=1980,J389="No"),"Yes","No")</f>
        <v/>
      </c>
      <c r="L389" s="26">
        <f>IF(J389="Yes","",H389-I389)</f>
        <v/>
      </c>
      <c r="M389" s="27">
        <f>IF(OR(J389="Yes",I389=0),"",H389/I389)</f>
        <v/>
      </c>
      <c r="N389" s="21">
        <f>IF(J389="Yes","",IF(H389&gt;=I389,1,0))</f>
        <v/>
      </c>
      <c r="O389" s="21">
        <f>IF(I389&lt;=5000000,"Under $5M",IF(I389&lt;=20000000,"$5M-20M",IF(I389&lt;=50000000,"$20M-50M",IF(I389&lt;=100000000,"$50M-100M","$100M+"))))</f>
        <v/>
      </c>
      <c r="P389" s="21">
        <f>IF(E389&lt;=90,"90 or less",IF(E389&lt;=105,"91-105",IF(E389&lt;=120,"106-120",IF(E389&lt;=140,"121-140","Over 140"))))</f>
        <v/>
      </c>
      <c r="Q389" s="28">
        <f>INT(C389/10)*10</f>
        <v/>
      </c>
    </row>
    <row r="390">
      <c r="A390" s="21" t="n">
        <v>407</v>
      </c>
      <c r="B390" s="21" t="inlineStr">
        <is>
          <t>Day of the Dead</t>
        </is>
      </c>
      <c r="C390" s="21" t="n">
        <v>1985</v>
      </c>
      <c r="D390" s="21" t="inlineStr">
        <is>
          <t>USA</t>
        </is>
      </c>
      <c r="E390" s="21" t="n">
        <v>87</v>
      </c>
      <c r="F390" s="21" t="inlineStr">
        <is>
          <t>English</t>
        </is>
      </c>
      <c r="G390" s="21" t="inlineStr">
        <is>
          <t>Unrated</t>
        </is>
      </c>
      <c r="H390" s="22" t="n">
        <v>25529689.5</v>
      </c>
      <c r="I390" s="22" t="n">
        <v>3500000</v>
      </c>
      <c r="J390" s="21">
        <f>IF(OR(H390="",H390=25529689.5),"Yes","No")</f>
        <v/>
      </c>
      <c r="K390" s="21">
        <f>IF(AND(D390="USA",C390&gt;=1980,J390="No"),"Yes","No")</f>
        <v/>
      </c>
      <c r="L390" s="26">
        <f>IF(J390="Yes","",H390-I390)</f>
        <v/>
      </c>
      <c r="M390" s="27">
        <f>IF(OR(J390="Yes",I390=0),"",H390/I390)</f>
        <v/>
      </c>
      <c r="N390" s="21">
        <f>IF(J390="Yes","",IF(H390&gt;=I390,1,0))</f>
        <v/>
      </c>
      <c r="O390" s="21">
        <f>IF(I390&lt;=5000000,"Under $5M",IF(I390&lt;=20000000,"$5M-20M",IF(I390&lt;=50000000,"$20M-50M",IF(I390&lt;=100000000,"$50M-100M","$100M+"))))</f>
        <v/>
      </c>
      <c r="P390" s="21">
        <f>IF(E390&lt;=90,"90 or less",IF(E390&lt;=105,"91-105",IF(E390&lt;=120,"106-120",IF(E390&lt;=140,"121-140","Over 140"))))</f>
        <v/>
      </c>
      <c r="Q390" s="28">
        <f>INT(C390/10)*10</f>
        <v/>
      </c>
    </row>
    <row r="391">
      <c r="A391" s="21" t="n">
        <v>409</v>
      </c>
      <c r="B391" s="21" t="inlineStr">
        <is>
          <t>Def-Con 4</t>
        </is>
      </c>
      <c r="C391" s="21" t="n">
        <v>1985</v>
      </c>
      <c r="D391" s="21" t="inlineStr">
        <is>
          <t>Canada</t>
        </is>
      </c>
      <c r="E391" s="21" t="n">
        <v>88</v>
      </c>
      <c r="F391" s="21" t="inlineStr">
        <is>
          <t>English</t>
        </is>
      </c>
      <c r="G391" s="21" t="inlineStr">
        <is>
          <t>R</t>
        </is>
      </c>
      <c r="H391" s="22" t="n">
        <v>25529689.5</v>
      </c>
      <c r="I391" s="22" t="n">
        <v>1750000</v>
      </c>
      <c r="J391" s="21">
        <f>IF(OR(H391="",H391=25529689.5),"Yes","No")</f>
        <v/>
      </c>
      <c r="K391" s="21">
        <f>IF(AND(D391="USA",C391&gt;=1980,J391="No"),"Yes","No")</f>
        <v/>
      </c>
      <c r="L391" s="26">
        <f>IF(J391="Yes","",H391-I391)</f>
        <v/>
      </c>
      <c r="M391" s="27">
        <f>IF(OR(J391="Yes",I391=0),"",H391/I391)</f>
        <v/>
      </c>
      <c r="N391" s="21">
        <f>IF(J391="Yes","",IF(H391&gt;=I391,1,0))</f>
        <v/>
      </c>
      <c r="O391" s="21">
        <f>IF(I391&lt;=5000000,"Under $5M",IF(I391&lt;=20000000,"$5M-20M",IF(I391&lt;=50000000,"$20M-50M",IF(I391&lt;=100000000,"$50M-100M","$100M+"))))</f>
        <v/>
      </c>
      <c r="P391" s="21">
        <f>IF(E391&lt;=90,"90 or less",IF(E391&lt;=105,"91-105",IF(E391&lt;=120,"106-120",IF(E391&lt;=140,"121-140","Over 140"))))</f>
        <v/>
      </c>
      <c r="Q391" s="28">
        <f>INT(C391/10)*10</f>
        <v/>
      </c>
    </row>
    <row r="392">
      <c r="A392" s="21" t="n">
        <v>410</v>
      </c>
      <c r="B392" s="21" t="inlineStr">
        <is>
          <t>Friday the 13th: A New Beginning</t>
        </is>
      </c>
      <c r="C392" s="21" t="n">
        <v>1985</v>
      </c>
      <c r="D392" s="21" t="inlineStr">
        <is>
          <t>USA</t>
        </is>
      </c>
      <c r="E392" s="21" t="n">
        <v>92</v>
      </c>
      <c r="F392" s="21" t="inlineStr">
        <is>
          <t>English</t>
        </is>
      </c>
      <c r="G392" s="21" t="inlineStr">
        <is>
          <t>R</t>
        </is>
      </c>
      <c r="H392" s="22" t="n">
        <v>21300000</v>
      </c>
      <c r="I392" s="22" t="n">
        <v>2200000</v>
      </c>
      <c r="J392" s="21">
        <f>IF(OR(H392="",H392=25529689.5),"Yes","No")</f>
        <v/>
      </c>
      <c r="K392" s="21">
        <f>IF(AND(D392="USA",C392&gt;=1980,J392="No"),"Yes","No")</f>
        <v/>
      </c>
      <c r="L392" s="26">
        <f>IF(J392="Yes","",H392-I392)</f>
        <v/>
      </c>
      <c r="M392" s="27">
        <f>IF(OR(J392="Yes",I392=0),"",H392/I392)</f>
        <v/>
      </c>
      <c r="N392" s="21">
        <f>IF(J392="Yes","",IF(H392&gt;=I392,1,0))</f>
        <v/>
      </c>
      <c r="O392" s="21">
        <f>IF(I392&lt;=5000000,"Under $5M",IF(I392&lt;=20000000,"$5M-20M",IF(I392&lt;=50000000,"$20M-50M",IF(I392&lt;=100000000,"$50M-100M","$100M+"))))</f>
        <v/>
      </c>
      <c r="P392" s="21">
        <f>IF(E392&lt;=90,"90 or less",IF(E392&lt;=105,"91-105",IF(E392&lt;=120,"106-120",IF(E392&lt;=140,"121-140","Over 140"))))</f>
        <v/>
      </c>
      <c r="Q392" s="28">
        <f>INT(C392/10)*10</f>
        <v/>
      </c>
    </row>
    <row r="393">
      <c r="A393" s="21" t="n">
        <v>411</v>
      </c>
      <c r="B393" s="21" t="inlineStr">
        <is>
          <t>Invasion U.S.A.</t>
        </is>
      </c>
      <c r="C393" s="21" t="n">
        <v>1985</v>
      </c>
      <c r="D393" s="21" t="inlineStr">
        <is>
          <t>USA</t>
        </is>
      </c>
      <c r="E393" s="21" t="n">
        <v>107</v>
      </c>
      <c r="F393" s="21" t="inlineStr">
        <is>
          <t>English</t>
        </is>
      </c>
      <c r="G393" s="21" t="inlineStr">
        <is>
          <t>R</t>
        </is>
      </c>
      <c r="H393" s="22" t="n">
        <v>25529689.5</v>
      </c>
      <c r="I393" s="22" t="n">
        <v>10000000</v>
      </c>
      <c r="J393" s="21">
        <f>IF(OR(H393="",H393=25529689.5),"Yes","No")</f>
        <v/>
      </c>
      <c r="K393" s="21">
        <f>IF(AND(D393="USA",C393&gt;=1980,J393="No"),"Yes","No")</f>
        <v/>
      </c>
      <c r="L393" s="26">
        <f>IF(J393="Yes","",H393-I393)</f>
        <v/>
      </c>
      <c r="M393" s="27">
        <f>IF(OR(J393="Yes",I393=0),"",H393/I393)</f>
        <v/>
      </c>
      <c r="N393" s="21">
        <f>IF(J393="Yes","",IF(H393&gt;=I393,1,0))</f>
        <v/>
      </c>
      <c r="O393" s="21">
        <f>IF(I393&lt;=5000000,"Under $5M",IF(I393&lt;=20000000,"$5M-20M",IF(I393&lt;=50000000,"$20M-50M",IF(I393&lt;=100000000,"$50M-100M","$100M+"))))</f>
        <v/>
      </c>
      <c r="P393" s="21">
        <f>IF(E393&lt;=90,"90 or less",IF(E393&lt;=105,"91-105",IF(E393&lt;=120,"106-120",IF(E393&lt;=140,"121-140","Over 140"))))</f>
        <v/>
      </c>
      <c r="Q393" s="28">
        <f>INT(C393/10)*10</f>
        <v/>
      </c>
    </row>
    <row r="394">
      <c r="A394" s="21" t="n">
        <v>412</v>
      </c>
      <c r="B394" s="21" t="inlineStr">
        <is>
          <t>Krush Groove</t>
        </is>
      </c>
      <c r="C394" s="21" t="n">
        <v>1985</v>
      </c>
      <c r="D394" s="21" t="inlineStr">
        <is>
          <t>USA</t>
        </is>
      </c>
      <c r="E394" s="21" t="n">
        <v>97</v>
      </c>
      <c r="F394" s="21" t="inlineStr">
        <is>
          <t>English</t>
        </is>
      </c>
      <c r="G394" s="21" t="inlineStr">
        <is>
          <t>R</t>
        </is>
      </c>
      <c r="H394" s="22" t="n">
        <v>25529689.5</v>
      </c>
      <c r="I394" s="22" t="n">
        <v>3000000</v>
      </c>
      <c r="J394" s="21">
        <f>IF(OR(H394="",H394=25529689.5),"Yes","No")</f>
        <v/>
      </c>
      <c r="K394" s="21">
        <f>IF(AND(D394="USA",C394&gt;=1980,J394="No"),"Yes","No")</f>
        <v/>
      </c>
      <c r="L394" s="26">
        <f>IF(J394="Yes","",H394-I394)</f>
        <v/>
      </c>
      <c r="M394" s="27">
        <f>IF(OR(J394="Yes",I394=0),"",H394/I394)</f>
        <v/>
      </c>
      <c r="N394" s="21">
        <f>IF(J394="Yes","",IF(H394&gt;=I394,1,0))</f>
        <v/>
      </c>
      <c r="O394" s="21">
        <f>IF(I394&lt;=5000000,"Under $5M",IF(I394&lt;=20000000,"$5M-20M",IF(I394&lt;=50000000,"$20M-50M",IF(I394&lt;=100000000,"$50M-100M","$100M+"))))</f>
        <v/>
      </c>
      <c r="P394" s="21">
        <f>IF(E394&lt;=90,"90 or less",IF(E394&lt;=105,"91-105",IF(E394&lt;=120,"106-120",IF(E394&lt;=140,"121-140","Over 140"))))</f>
        <v/>
      </c>
      <c r="Q394" s="28">
        <f>INT(C394/10)*10</f>
        <v/>
      </c>
    </row>
    <row r="395">
      <c r="A395" s="21" t="n">
        <v>413</v>
      </c>
      <c r="B395" s="21" t="inlineStr">
        <is>
          <t>Ladyhawke</t>
        </is>
      </c>
      <c r="C395" s="21" t="n">
        <v>1985</v>
      </c>
      <c r="D395" s="21" t="inlineStr">
        <is>
          <t>USA</t>
        </is>
      </c>
      <c r="E395" s="21" t="n">
        <v>121</v>
      </c>
      <c r="F395" s="21" t="inlineStr">
        <is>
          <t>English</t>
        </is>
      </c>
      <c r="G395" s="21" t="inlineStr">
        <is>
          <t>PG-13</t>
        </is>
      </c>
      <c r="H395" s="22" t="n">
        <v>25529689.5</v>
      </c>
      <c r="I395" s="22" t="n">
        <v>20000000</v>
      </c>
      <c r="J395" s="21">
        <f>IF(OR(H395="",H395=25529689.5),"Yes","No")</f>
        <v/>
      </c>
      <c r="K395" s="21">
        <f>IF(AND(D395="USA",C395&gt;=1980,J395="No"),"Yes","No")</f>
        <v/>
      </c>
      <c r="L395" s="26">
        <f>IF(J395="Yes","",H395-I395)</f>
        <v/>
      </c>
      <c r="M395" s="27">
        <f>IF(OR(J395="Yes",I395=0),"",H395/I395)</f>
        <v/>
      </c>
      <c r="N395" s="21">
        <f>IF(J395="Yes","",IF(H395&gt;=I395,1,0))</f>
        <v/>
      </c>
      <c r="O395" s="21">
        <f>IF(I395&lt;=5000000,"Under $5M",IF(I395&lt;=20000000,"$5M-20M",IF(I395&lt;=50000000,"$20M-50M",IF(I395&lt;=100000000,"$50M-100M","$100M+"))))</f>
        <v/>
      </c>
      <c r="P395" s="21">
        <f>IF(E395&lt;=90,"90 or less",IF(E395&lt;=105,"91-105",IF(E395&lt;=120,"106-120",IF(E395&lt;=140,"121-140","Over 140"))))</f>
        <v/>
      </c>
      <c r="Q395" s="28">
        <f>INT(C395/10)*10</f>
        <v/>
      </c>
    </row>
    <row r="396">
      <c r="A396" s="21" t="n">
        <v>414</v>
      </c>
      <c r="B396" s="21" t="inlineStr">
        <is>
          <t>Lifeforce</t>
        </is>
      </c>
      <c r="C396" s="21" t="n">
        <v>1985</v>
      </c>
      <c r="D396" s="21" t="inlineStr">
        <is>
          <t>UK</t>
        </is>
      </c>
      <c r="E396" s="21" t="n">
        <v>101</v>
      </c>
      <c r="F396" s="21" t="inlineStr">
        <is>
          <t>English</t>
        </is>
      </c>
      <c r="G396" s="21" t="inlineStr">
        <is>
          <t>R</t>
        </is>
      </c>
      <c r="H396" s="22" t="n">
        <v>25529689.5</v>
      </c>
      <c r="I396" s="22" t="n">
        <v>25000000</v>
      </c>
      <c r="J396" s="21">
        <f>IF(OR(H396="",H396=25529689.5),"Yes","No")</f>
        <v/>
      </c>
      <c r="K396" s="21">
        <f>IF(AND(D396="USA",C396&gt;=1980,J396="No"),"Yes","No")</f>
        <v/>
      </c>
      <c r="L396" s="26">
        <f>IF(J396="Yes","",H396-I396)</f>
        <v/>
      </c>
      <c r="M396" s="27">
        <f>IF(OR(J396="Yes",I396=0),"",H396/I396)</f>
        <v/>
      </c>
      <c r="N396" s="21">
        <f>IF(J396="Yes","",IF(H396&gt;=I396,1,0))</f>
        <v/>
      </c>
      <c r="O396" s="21">
        <f>IF(I396&lt;=5000000,"Under $5M",IF(I396&lt;=20000000,"$5M-20M",IF(I396&lt;=50000000,"$20M-50M",IF(I396&lt;=100000000,"$50M-100M","$100M+"))))</f>
        <v/>
      </c>
      <c r="P396" s="21">
        <f>IF(E396&lt;=90,"90 or less",IF(E396&lt;=105,"91-105",IF(E396&lt;=120,"106-120",IF(E396&lt;=140,"121-140","Over 140"))))</f>
        <v/>
      </c>
      <c r="Q396" s="28">
        <f>INT(C396/10)*10</f>
        <v/>
      </c>
    </row>
    <row r="397">
      <c r="A397" s="21" t="n">
        <v>415</v>
      </c>
      <c r="B397" s="21" t="inlineStr">
        <is>
          <t>Mad Max Beyond Thunderdome</t>
        </is>
      </c>
      <c r="C397" s="21" t="n">
        <v>1985</v>
      </c>
      <c r="D397" s="21" t="inlineStr">
        <is>
          <t>Australia</t>
        </is>
      </c>
      <c r="E397" s="21" t="n">
        <v>107</v>
      </c>
      <c r="F397" s="21" t="inlineStr">
        <is>
          <t>English</t>
        </is>
      </c>
      <c r="G397" s="21" t="inlineStr">
        <is>
          <t>PG-13</t>
        </is>
      </c>
      <c r="H397" s="22" t="n">
        <v>36200000</v>
      </c>
      <c r="I397" s="22" t="n">
        <v>12305523</v>
      </c>
      <c r="J397" s="21">
        <f>IF(OR(H397="",H397=25529689.5),"Yes","No")</f>
        <v/>
      </c>
      <c r="K397" s="21">
        <f>IF(AND(D397="USA",C397&gt;=1980,J397="No"),"Yes","No")</f>
        <v/>
      </c>
      <c r="L397" s="26">
        <f>IF(J397="Yes","",H397-I397)</f>
        <v/>
      </c>
      <c r="M397" s="27">
        <f>IF(OR(J397="Yes",I397=0),"",H397/I397)</f>
        <v/>
      </c>
      <c r="N397" s="21">
        <f>IF(J397="Yes","",IF(H397&gt;=I397,1,0))</f>
        <v/>
      </c>
      <c r="O397" s="21">
        <f>IF(I397&lt;=5000000,"Under $5M",IF(I397&lt;=20000000,"$5M-20M",IF(I397&lt;=50000000,"$20M-50M",IF(I397&lt;=100000000,"$50M-100M","$100M+"))))</f>
        <v/>
      </c>
      <c r="P397" s="21">
        <f>IF(E397&lt;=90,"90 or less",IF(E397&lt;=105,"91-105",IF(E397&lt;=120,"106-120",IF(E397&lt;=140,"121-140","Over 140"))))</f>
        <v/>
      </c>
      <c r="Q397" s="28">
        <f>INT(C397/10)*10</f>
        <v/>
      </c>
    </row>
    <row r="398">
      <c r="A398" s="21" t="n">
        <v>416</v>
      </c>
      <c r="B398" s="21" t="inlineStr">
        <is>
          <t>My Beautiful Laundrette</t>
        </is>
      </c>
      <c r="C398" s="21" t="n">
        <v>1985</v>
      </c>
      <c r="D398" s="21" t="inlineStr">
        <is>
          <t>UK</t>
        </is>
      </c>
      <c r="E398" s="21" t="n">
        <v>97</v>
      </c>
      <c r="F398" s="21" t="inlineStr">
        <is>
          <t>English</t>
        </is>
      </c>
      <c r="G398" s="21" t="inlineStr">
        <is>
          <t>R</t>
        </is>
      </c>
      <c r="H398" s="22" t="n">
        <v>25529689.5</v>
      </c>
      <c r="I398" s="22" t="n">
        <v>650000</v>
      </c>
      <c r="J398" s="21">
        <f>IF(OR(H398="",H398=25529689.5),"Yes","No")</f>
        <v/>
      </c>
      <c r="K398" s="21">
        <f>IF(AND(D398="USA",C398&gt;=1980,J398="No"),"Yes","No")</f>
        <v/>
      </c>
      <c r="L398" s="26">
        <f>IF(J398="Yes","",H398-I398)</f>
        <v/>
      </c>
      <c r="M398" s="27">
        <f>IF(OR(J398="Yes",I398=0),"",H398/I398)</f>
        <v/>
      </c>
      <c r="N398" s="21">
        <f>IF(J398="Yes","",IF(H398&gt;=I398,1,0))</f>
        <v/>
      </c>
      <c r="O398" s="21">
        <f>IF(I398&lt;=5000000,"Under $5M",IF(I398&lt;=20000000,"$5M-20M",IF(I398&lt;=50000000,"$20M-50M",IF(I398&lt;=100000000,"$50M-100M","$100M+"))))</f>
        <v/>
      </c>
      <c r="P398" s="21">
        <f>IF(E398&lt;=90,"90 or less",IF(E398&lt;=105,"91-105",IF(E398&lt;=120,"106-120",IF(E398&lt;=140,"121-140","Over 140"))))</f>
        <v/>
      </c>
      <c r="Q398" s="28">
        <f>INT(C398/10)*10</f>
        <v/>
      </c>
    </row>
    <row r="399">
      <c r="A399" s="21" t="n">
        <v>417</v>
      </c>
      <c r="B399" s="21" t="inlineStr">
        <is>
          <t>Out of Africa</t>
        </is>
      </c>
      <c r="C399" s="21" t="n">
        <v>1985</v>
      </c>
      <c r="D399" s="21" t="inlineStr">
        <is>
          <t>USA</t>
        </is>
      </c>
      <c r="E399" s="21" t="n">
        <v>161</v>
      </c>
      <c r="F399" s="21" t="inlineStr">
        <is>
          <t>English</t>
        </is>
      </c>
      <c r="G399" s="21" t="inlineStr">
        <is>
          <t>PG</t>
        </is>
      </c>
      <c r="H399" s="22" t="n">
        <v>87100000</v>
      </c>
      <c r="I399" s="22" t="n">
        <v>31000000</v>
      </c>
      <c r="J399" s="21">
        <f>IF(OR(H399="",H399=25529689.5),"Yes","No")</f>
        <v/>
      </c>
      <c r="K399" s="21">
        <f>IF(AND(D399="USA",C399&gt;=1980,J399="No"),"Yes","No")</f>
        <v/>
      </c>
      <c r="L399" s="26">
        <f>IF(J399="Yes","",H399-I399)</f>
        <v/>
      </c>
      <c r="M399" s="27">
        <f>IF(OR(J399="Yes",I399=0),"",H399/I399)</f>
        <v/>
      </c>
      <c r="N399" s="21">
        <f>IF(J399="Yes","",IF(H399&gt;=I399,1,0))</f>
        <v/>
      </c>
      <c r="O399" s="21">
        <f>IF(I399&lt;=5000000,"Under $5M",IF(I399&lt;=20000000,"$5M-20M",IF(I399&lt;=50000000,"$20M-50M",IF(I399&lt;=100000000,"$50M-100M","$100M+"))))</f>
        <v/>
      </c>
      <c r="P399" s="21">
        <f>IF(E399&lt;=90,"90 or less",IF(E399&lt;=105,"91-105",IF(E399&lt;=120,"106-120",IF(E399&lt;=140,"121-140","Over 140"))))</f>
        <v/>
      </c>
      <c r="Q399" s="28">
        <f>INT(C399/10)*10</f>
        <v/>
      </c>
    </row>
    <row r="400">
      <c r="A400" s="21" t="n">
        <v>418</v>
      </c>
      <c r="B400" s="21" t="inlineStr">
        <is>
          <t>Pale Rider</t>
        </is>
      </c>
      <c r="C400" s="21" t="n">
        <v>1985</v>
      </c>
      <c r="D400" s="21" t="inlineStr">
        <is>
          <t>USA</t>
        </is>
      </c>
      <c r="E400" s="21" t="n">
        <v>115</v>
      </c>
      <c r="F400" s="21" t="inlineStr">
        <is>
          <t>English</t>
        </is>
      </c>
      <c r="G400" s="21" t="inlineStr">
        <is>
          <t>R</t>
        </is>
      </c>
      <c r="H400" s="22" t="n">
        <v>41400000</v>
      </c>
      <c r="I400" s="22" t="n">
        <v>6900000</v>
      </c>
      <c r="J400" s="21">
        <f>IF(OR(H400="",H400=25529689.5),"Yes","No")</f>
        <v/>
      </c>
      <c r="K400" s="21">
        <f>IF(AND(D400="USA",C400&gt;=1980,J400="No"),"Yes","No")</f>
        <v/>
      </c>
      <c r="L400" s="26">
        <f>IF(J400="Yes","",H400-I400)</f>
        <v/>
      </c>
      <c r="M400" s="27">
        <f>IF(OR(J400="Yes",I400=0),"",H400/I400)</f>
        <v/>
      </c>
      <c r="N400" s="21">
        <f>IF(J400="Yes","",IF(H400&gt;=I400,1,0))</f>
        <v/>
      </c>
      <c r="O400" s="21">
        <f>IF(I400&lt;=5000000,"Under $5M",IF(I400&lt;=20000000,"$5M-20M",IF(I400&lt;=50000000,"$20M-50M",IF(I400&lt;=100000000,"$50M-100M","$100M+"))))</f>
        <v/>
      </c>
      <c r="P400" s="21">
        <f>IF(E400&lt;=90,"90 or less",IF(E400&lt;=105,"91-105",IF(E400&lt;=120,"106-120",IF(E400&lt;=140,"121-140","Over 140"))))</f>
        <v/>
      </c>
      <c r="Q400" s="28">
        <f>INT(C400/10)*10</f>
        <v/>
      </c>
    </row>
    <row r="401">
      <c r="A401" s="21" t="n">
        <v>419</v>
      </c>
      <c r="B401" s="21" t="inlineStr">
        <is>
          <t>Rambo: First Blood Part II</t>
        </is>
      </c>
      <c r="C401" s="21" t="n">
        <v>1985</v>
      </c>
      <c r="D401" s="21" t="inlineStr">
        <is>
          <t>USA</t>
        </is>
      </c>
      <c r="E401" s="21" t="n">
        <v>96</v>
      </c>
      <c r="F401" s="21" t="inlineStr">
        <is>
          <t>English</t>
        </is>
      </c>
      <c r="G401" s="21" t="inlineStr">
        <is>
          <t>R</t>
        </is>
      </c>
      <c r="H401" s="22" t="n">
        <v>150415432</v>
      </c>
      <c r="I401" s="22" t="n">
        <v>44000000</v>
      </c>
      <c r="J401" s="21">
        <f>IF(OR(H401="",H401=25529689.5),"Yes","No")</f>
        <v/>
      </c>
      <c r="K401" s="21">
        <f>IF(AND(D401="USA",C401&gt;=1980,J401="No"),"Yes","No")</f>
        <v/>
      </c>
      <c r="L401" s="26">
        <f>IF(J401="Yes","",H401-I401)</f>
        <v/>
      </c>
      <c r="M401" s="27">
        <f>IF(OR(J401="Yes",I401=0),"",H401/I401)</f>
        <v/>
      </c>
      <c r="N401" s="21">
        <f>IF(J401="Yes","",IF(H401&gt;=I401,1,0))</f>
        <v/>
      </c>
      <c r="O401" s="21">
        <f>IF(I401&lt;=5000000,"Under $5M",IF(I401&lt;=20000000,"$5M-20M",IF(I401&lt;=50000000,"$20M-50M",IF(I401&lt;=100000000,"$50M-100M","$100M+"))))</f>
        <v/>
      </c>
      <c r="P401" s="21">
        <f>IF(E401&lt;=90,"90 or less",IF(E401&lt;=105,"91-105",IF(E401&lt;=120,"106-120",IF(E401&lt;=140,"121-140","Over 140"))))</f>
        <v/>
      </c>
      <c r="Q401" s="28">
        <f>INT(C401/10)*10</f>
        <v/>
      </c>
    </row>
    <row r="402">
      <c r="A402" s="21" t="n">
        <v>420</v>
      </c>
      <c r="B402" s="21" t="inlineStr">
        <is>
          <t>Red Sonja</t>
        </is>
      </c>
      <c r="C402" s="21" t="n">
        <v>1985</v>
      </c>
      <c r="D402" s="21" t="inlineStr">
        <is>
          <t>Netherlands</t>
        </is>
      </c>
      <c r="E402" s="21" t="n">
        <v>89</v>
      </c>
      <c r="F402" s="21" t="inlineStr">
        <is>
          <t>English</t>
        </is>
      </c>
      <c r="G402" s="21" t="inlineStr">
        <is>
          <t>PG-13</t>
        </is>
      </c>
      <c r="H402" s="22" t="n">
        <v>25529689.5</v>
      </c>
      <c r="I402" s="22" t="n">
        <v>17900000</v>
      </c>
      <c r="J402" s="21">
        <f>IF(OR(H402="",H402=25529689.5),"Yes","No")</f>
        <v/>
      </c>
      <c r="K402" s="21">
        <f>IF(AND(D402="USA",C402&gt;=1980,J402="No"),"Yes","No")</f>
        <v/>
      </c>
      <c r="L402" s="26">
        <f>IF(J402="Yes","",H402-I402)</f>
        <v/>
      </c>
      <c r="M402" s="27">
        <f>IF(OR(J402="Yes",I402=0),"",H402/I402)</f>
        <v/>
      </c>
      <c r="N402" s="21">
        <f>IF(J402="Yes","",IF(H402&gt;=I402,1,0))</f>
        <v/>
      </c>
      <c r="O402" s="21">
        <f>IF(I402&lt;=5000000,"Under $5M",IF(I402&lt;=20000000,"$5M-20M",IF(I402&lt;=50000000,"$20M-50M",IF(I402&lt;=100000000,"$50M-100M","$100M+"))))</f>
        <v/>
      </c>
      <c r="P402" s="21">
        <f>IF(E402&lt;=90,"90 or less",IF(E402&lt;=105,"91-105",IF(E402&lt;=120,"106-120",IF(E402&lt;=140,"121-140","Over 140"))))</f>
        <v/>
      </c>
      <c r="Q402" s="28">
        <f>INT(C402/10)*10</f>
        <v/>
      </c>
    </row>
    <row r="403">
      <c r="A403" s="21" t="n">
        <v>421</v>
      </c>
      <c r="B403" s="21" t="inlineStr">
        <is>
          <t>Return to Oz</t>
        </is>
      </c>
      <c r="C403" s="21" t="n">
        <v>1985</v>
      </c>
      <c r="D403" s="21" t="inlineStr">
        <is>
          <t>UK</t>
        </is>
      </c>
      <c r="E403" s="21" t="n">
        <v>109</v>
      </c>
      <c r="F403" s="21" t="inlineStr">
        <is>
          <t>English</t>
        </is>
      </c>
      <c r="G403" s="21" t="inlineStr">
        <is>
          <t>PG</t>
        </is>
      </c>
      <c r="H403" s="22" t="n">
        <v>25529689.5</v>
      </c>
      <c r="I403" s="22" t="n">
        <v>25000000</v>
      </c>
      <c r="J403" s="21">
        <f>IF(OR(H403="",H403=25529689.5),"Yes","No")</f>
        <v/>
      </c>
      <c r="K403" s="21">
        <f>IF(AND(D403="USA",C403&gt;=1980,J403="No"),"Yes","No")</f>
        <v/>
      </c>
      <c r="L403" s="26">
        <f>IF(J403="Yes","",H403-I403)</f>
        <v/>
      </c>
      <c r="M403" s="27">
        <f>IF(OR(J403="Yes",I403=0),"",H403/I403)</f>
        <v/>
      </c>
      <c r="N403" s="21">
        <f>IF(J403="Yes","",IF(H403&gt;=I403,1,0))</f>
        <v/>
      </c>
      <c r="O403" s="21">
        <f>IF(I403&lt;=5000000,"Under $5M",IF(I403&lt;=20000000,"$5M-20M",IF(I403&lt;=50000000,"$20M-50M",IF(I403&lt;=100000000,"$50M-100M","$100M+"))))</f>
        <v/>
      </c>
      <c r="P403" s="21">
        <f>IF(E403&lt;=90,"90 or less",IF(E403&lt;=105,"91-105",IF(E403&lt;=120,"106-120",IF(E403&lt;=140,"121-140","Over 140"))))</f>
        <v/>
      </c>
      <c r="Q403" s="28">
        <f>INT(C403/10)*10</f>
        <v/>
      </c>
    </row>
    <row r="404">
      <c r="A404" s="21" t="n">
        <v>422</v>
      </c>
      <c r="B404" s="21" t="inlineStr">
        <is>
          <t>Silverado</t>
        </is>
      </c>
      <c r="C404" s="21" t="n">
        <v>1985</v>
      </c>
      <c r="D404" s="21" t="inlineStr">
        <is>
          <t>USA</t>
        </is>
      </c>
      <c r="E404" s="21" t="n">
        <v>133</v>
      </c>
      <c r="F404" s="21" t="inlineStr">
        <is>
          <t>English</t>
        </is>
      </c>
      <c r="G404" s="21" t="inlineStr">
        <is>
          <t>PG-13</t>
        </is>
      </c>
      <c r="H404" s="22" t="n">
        <v>33200000</v>
      </c>
      <c r="I404" s="22" t="n">
        <v>26000000</v>
      </c>
      <c r="J404" s="21">
        <f>IF(OR(H404="",H404=25529689.5),"Yes","No")</f>
        <v/>
      </c>
      <c r="K404" s="21">
        <f>IF(AND(D404="USA",C404&gt;=1980,J404="No"),"Yes","No")</f>
        <v/>
      </c>
      <c r="L404" s="26">
        <f>IF(J404="Yes","",H404-I404)</f>
        <v/>
      </c>
      <c r="M404" s="27">
        <f>IF(OR(J404="Yes",I404=0),"",H404/I404)</f>
        <v/>
      </c>
      <c r="N404" s="21">
        <f>IF(J404="Yes","",IF(H404&gt;=I404,1,0))</f>
        <v/>
      </c>
      <c r="O404" s="21">
        <f>IF(I404&lt;=5000000,"Under $5M",IF(I404&lt;=20000000,"$5M-20M",IF(I404&lt;=50000000,"$20M-50M",IF(I404&lt;=100000000,"$50M-100M","$100M+"))))</f>
        <v/>
      </c>
      <c r="P404" s="21">
        <f>IF(E404&lt;=90,"90 or less",IF(E404&lt;=105,"91-105",IF(E404&lt;=120,"106-120",IF(E404&lt;=140,"121-140","Over 140"))))</f>
        <v/>
      </c>
      <c r="Q404" s="28">
        <f>INT(C404/10)*10</f>
        <v/>
      </c>
    </row>
    <row r="405">
      <c r="A405" s="21" t="n">
        <v>423</v>
      </c>
      <c r="B405" s="21" t="inlineStr">
        <is>
          <t>Subway</t>
        </is>
      </c>
      <c r="C405" s="21" t="n">
        <v>1985</v>
      </c>
      <c r="D405" s="21" t="inlineStr">
        <is>
          <t>France</t>
        </is>
      </c>
      <c r="E405" s="21" t="n">
        <v>98</v>
      </c>
      <c r="F405" s="21" t="inlineStr">
        <is>
          <t>French</t>
        </is>
      </c>
      <c r="G405" s="21" t="inlineStr">
        <is>
          <t>R</t>
        </is>
      </c>
      <c r="H405" s="22" t="n">
        <v>25529689.5</v>
      </c>
      <c r="I405" s="22" t="n">
        <v>17000000</v>
      </c>
      <c r="J405" s="21">
        <f>IF(OR(H405="",H405=25529689.5),"Yes","No")</f>
        <v/>
      </c>
      <c r="K405" s="21">
        <f>IF(AND(D405="USA",C405&gt;=1980,J405="No"),"Yes","No")</f>
        <v/>
      </c>
      <c r="L405" s="26">
        <f>IF(J405="Yes","",H405-I405)</f>
        <v/>
      </c>
      <c r="M405" s="27">
        <f>IF(OR(J405="Yes",I405=0),"",H405/I405)</f>
        <v/>
      </c>
      <c r="N405" s="21">
        <f>IF(J405="Yes","",IF(H405&gt;=I405,1,0))</f>
        <v/>
      </c>
      <c r="O405" s="21">
        <f>IF(I405&lt;=5000000,"Under $5M",IF(I405&lt;=20000000,"$5M-20M",IF(I405&lt;=50000000,"$20M-50M",IF(I405&lt;=100000000,"$50M-100M","$100M+"))))</f>
        <v/>
      </c>
      <c r="P405" s="21">
        <f>IF(E405&lt;=90,"90 or less",IF(E405&lt;=105,"91-105",IF(E405&lt;=120,"106-120",IF(E405&lt;=140,"121-140","Over 140"))))</f>
        <v/>
      </c>
      <c r="Q405" s="28">
        <f>INT(C405/10)*10</f>
        <v/>
      </c>
    </row>
    <row r="406">
      <c r="A406" s="21" t="n">
        <v>424</v>
      </c>
      <c r="B406" s="21" t="inlineStr">
        <is>
          <t>The Color Purple</t>
        </is>
      </c>
      <c r="C406" s="21" t="n">
        <v>1985</v>
      </c>
      <c r="D406" s="21" t="inlineStr">
        <is>
          <t>USA</t>
        </is>
      </c>
      <c r="E406" s="21" t="n">
        <v>154</v>
      </c>
      <c r="F406" s="21" t="inlineStr">
        <is>
          <t>English</t>
        </is>
      </c>
      <c r="G406" s="21" t="inlineStr">
        <is>
          <t>PG-13</t>
        </is>
      </c>
      <c r="H406" s="22" t="n">
        <v>94175854</v>
      </c>
      <c r="I406" s="22" t="n">
        <v>15000000</v>
      </c>
      <c r="J406" s="21">
        <f>IF(OR(H406="",H406=25529689.5),"Yes","No")</f>
        <v/>
      </c>
      <c r="K406" s="21">
        <f>IF(AND(D406="USA",C406&gt;=1980,J406="No"),"Yes","No")</f>
        <v/>
      </c>
      <c r="L406" s="26">
        <f>IF(J406="Yes","",H406-I406)</f>
        <v/>
      </c>
      <c r="M406" s="27">
        <f>IF(OR(J406="Yes",I406=0),"",H406/I406)</f>
        <v/>
      </c>
      <c r="N406" s="21">
        <f>IF(J406="Yes","",IF(H406&gt;=I406,1,0))</f>
        <v/>
      </c>
      <c r="O406" s="21">
        <f>IF(I406&lt;=5000000,"Under $5M",IF(I406&lt;=20000000,"$5M-20M",IF(I406&lt;=50000000,"$20M-50M",IF(I406&lt;=100000000,"$50M-100M","$100M+"))))</f>
        <v/>
      </c>
      <c r="P406" s="21">
        <f>IF(E406&lt;=90,"90 or less",IF(E406&lt;=105,"91-105",IF(E406&lt;=120,"106-120",IF(E406&lt;=140,"121-140","Over 140"))))</f>
        <v/>
      </c>
      <c r="Q406" s="28">
        <f>INT(C406/10)*10</f>
        <v/>
      </c>
    </row>
    <row r="407">
      <c r="A407" s="21" t="n">
        <v>425</v>
      </c>
      <c r="B407" s="21" t="inlineStr">
        <is>
          <t>The Last Dragon</t>
        </is>
      </c>
      <c r="C407" s="21" t="n">
        <v>1985</v>
      </c>
      <c r="D407" s="21" t="inlineStr">
        <is>
          <t>USA</t>
        </is>
      </c>
      <c r="E407" s="21" t="n">
        <v>109</v>
      </c>
      <c r="F407" s="21" t="inlineStr">
        <is>
          <t>English</t>
        </is>
      </c>
      <c r="G407" s="21" t="inlineStr">
        <is>
          <t>PG-13</t>
        </is>
      </c>
      <c r="H407" s="22" t="n">
        <v>33000000</v>
      </c>
      <c r="I407" s="22" t="n">
        <v>10000000</v>
      </c>
      <c r="J407" s="21">
        <f>IF(OR(H407="",H407=25529689.5),"Yes","No")</f>
        <v/>
      </c>
      <c r="K407" s="21">
        <f>IF(AND(D407="USA",C407&gt;=1980,J407="No"),"Yes","No")</f>
        <v/>
      </c>
      <c r="L407" s="26">
        <f>IF(J407="Yes","",H407-I407)</f>
        <v/>
      </c>
      <c r="M407" s="27">
        <f>IF(OR(J407="Yes",I407=0),"",H407/I407)</f>
        <v/>
      </c>
      <c r="N407" s="21">
        <f>IF(J407="Yes","",IF(H407&gt;=I407,1,0))</f>
        <v/>
      </c>
      <c r="O407" s="21">
        <f>IF(I407&lt;=5000000,"Under $5M",IF(I407&lt;=20000000,"$5M-20M",IF(I407&lt;=50000000,"$20M-50M",IF(I407&lt;=100000000,"$50M-100M","$100M+"))))</f>
        <v/>
      </c>
      <c r="P407" s="21">
        <f>IF(E407&lt;=90,"90 or less",IF(E407&lt;=105,"91-105",IF(E407&lt;=120,"106-120",IF(E407&lt;=140,"121-140","Over 140"))))</f>
        <v/>
      </c>
      <c r="Q407" s="28">
        <f>INT(C407/10)*10</f>
        <v/>
      </c>
    </row>
    <row r="408">
      <c r="A408" s="21" t="n">
        <v>426</v>
      </c>
      <c r="B408" s="21" t="inlineStr">
        <is>
          <t>The Return of the Living Dead</t>
        </is>
      </c>
      <c r="C408" s="21" t="n">
        <v>1985</v>
      </c>
      <c r="D408" s="21" t="inlineStr">
        <is>
          <t>USA</t>
        </is>
      </c>
      <c r="E408" s="21" t="n">
        <v>108</v>
      </c>
      <c r="F408" s="21" t="inlineStr">
        <is>
          <t>English</t>
        </is>
      </c>
      <c r="G408" s="21" t="inlineStr">
        <is>
          <t>R</t>
        </is>
      </c>
      <c r="H408" s="22" t="n">
        <v>25529689.5</v>
      </c>
      <c r="I408" s="22" t="n">
        <v>4000000</v>
      </c>
      <c r="J408" s="21">
        <f>IF(OR(H408="",H408=25529689.5),"Yes","No")</f>
        <v/>
      </c>
      <c r="K408" s="21">
        <f>IF(AND(D408="USA",C408&gt;=1980,J408="No"),"Yes","No")</f>
        <v/>
      </c>
      <c r="L408" s="26">
        <f>IF(J408="Yes","",H408-I408)</f>
        <v/>
      </c>
      <c r="M408" s="27">
        <f>IF(OR(J408="Yes",I408=0),"",H408/I408)</f>
        <v/>
      </c>
      <c r="N408" s="21">
        <f>IF(J408="Yes","",IF(H408&gt;=I408,1,0))</f>
        <v/>
      </c>
      <c r="O408" s="21">
        <f>IF(I408&lt;=5000000,"Under $5M",IF(I408&lt;=20000000,"$5M-20M",IF(I408&lt;=50000000,"$20M-50M",IF(I408&lt;=100000000,"$50M-100M","$100M+"))))</f>
        <v/>
      </c>
      <c r="P408" s="21">
        <f>IF(E408&lt;=90,"90 or less",IF(E408&lt;=105,"91-105",IF(E408&lt;=120,"106-120",IF(E408&lt;=140,"121-140","Over 140"))))</f>
        <v/>
      </c>
      <c r="Q408" s="28">
        <f>INT(C408/10)*10</f>
        <v/>
      </c>
    </row>
    <row r="409">
      <c r="A409" s="21" t="n">
        <v>428</v>
      </c>
      <c r="B409" s="21" t="inlineStr">
        <is>
          <t>Witness</t>
        </is>
      </c>
      <c r="C409" s="21" t="n">
        <v>1985</v>
      </c>
      <c r="D409" s="21" t="inlineStr">
        <is>
          <t>USA</t>
        </is>
      </c>
      <c r="E409" s="21" t="n">
        <v>112</v>
      </c>
      <c r="F409" s="21" t="inlineStr">
        <is>
          <t>English</t>
        </is>
      </c>
      <c r="G409" s="21" t="inlineStr">
        <is>
          <t>R</t>
        </is>
      </c>
      <c r="H409" s="22" t="n">
        <v>65500000</v>
      </c>
      <c r="I409" s="22" t="n">
        <v>12000000</v>
      </c>
      <c r="J409" s="21">
        <f>IF(OR(H409="",H409=25529689.5),"Yes","No")</f>
        <v/>
      </c>
      <c r="K409" s="21">
        <f>IF(AND(D409="USA",C409&gt;=1980,J409="No"),"Yes","No")</f>
        <v/>
      </c>
      <c r="L409" s="26">
        <f>IF(J409="Yes","",H409-I409)</f>
        <v/>
      </c>
      <c r="M409" s="27">
        <f>IF(OR(J409="Yes",I409=0),"",H409/I409)</f>
        <v/>
      </c>
      <c r="N409" s="21">
        <f>IF(J409="Yes","",IF(H409&gt;=I409,1,0))</f>
        <v/>
      </c>
      <c r="O409" s="21">
        <f>IF(I409&lt;=5000000,"Under $5M",IF(I409&lt;=20000000,"$5M-20M",IF(I409&lt;=50000000,"$20M-50M",IF(I409&lt;=100000000,"$50M-100M","$100M+"))))</f>
        <v/>
      </c>
      <c r="P409" s="21">
        <f>IF(E409&lt;=90,"90 or less",IF(E409&lt;=105,"91-105",IF(E409&lt;=120,"106-120",IF(E409&lt;=140,"121-140","Over 140"))))</f>
        <v/>
      </c>
      <c r="Q409" s="28">
        <f>INT(C409/10)*10</f>
        <v/>
      </c>
    </row>
    <row r="410">
      <c r="A410" s="21" t="n">
        <v>429</v>
      </c>
      <c r="B410" s="21" t="inlineStr">
        <is>
          <t>Young Sherlock Holmes</t>
        </is>
      </c>
      <c r="C410" s="21" t="n">
        <v>1985</v>
      </c>
      <c r="D410" s="21" t="inlineStr">
        <is>
          <t>USA</t>
        </is>
      </c>
      <c r="E410" s="21" t="n">
        <v>109</v>
      </c>
      <c r="F410" s="21" t="inlineStr">
        <is>
          <t>English</t>
        </is>
      </c>
      <c r="G410" s="21" t="inlineStr">
        <is>
          <t>PG-13</t>
        </is>
      </c>
      <c r="H410" s="22" t="n">
        <v>4250320</v>
      </c>
      <c r="I410" s="22" t="n">
        <v>18000000</v>
      </c>
      <c r="J410" s="21">
        <f>IF(OR(H410="",H410=25529689.5),"Yes","No")</f>
        <v/>
      </c>
      <c r="K410" s="21">
        <f>IF(AND(D410="USA",C410&gt;=1980,J410="No"),"Yes","No")</f>
        <v/>
      </c>
      <c r="L410" s="26">
        <f>IF(J410="Yes","",H410-I410)</f>
        <v/>
      </c>
      <c r="M410" s="27">
        <f>IF(OR(J410="Yes",I410=0),"",H410/I410)</f>
        <v/>
      </c>
      <c r="N410" s="21">
        <f>IF(J410="Yes","",IF(H410&gt;=I410,1,0))</f>
        <v/>
      </c>
      <c r="O410" s="21">
        <f>IF(I410&lt;=5000000,"Under $5M",IF(I410&lt;=20000000,"$5M-20M",IF(I410&lt;=50000000,"$20M-50M",IF(I410&lt;=100000000,"$50M-100M","$100M+"))))</f>
        <v/>
      </c>
      <c r="P410" s="21">
        <f>IF(E410&lt;=90,"90 or less",IF(E410&lt;=105,"91-105",IF(E410&lt;=120,"106-120",IF(E410&lt;=140,"121-140","Over 140"))))</f>
        <v/>
      </c>
      <c r="Q410" s="28">
        <f>INT(C410/10)*10</f>
        <v/>
      </c>
    </row>
    <row r="411">
      <c r="A411" s="21" t="n">
        <v>430</v>
      </c>
      <c r="B411" s="21" t="inlineStr">
        <is>
          <t>9Â½ Weeks</t>
        </is>
      </c>
      <c r="C411" s="21" t="n">
        <v>1986</v>
      </c>
      <c r="D411" s="21" t="inlineStr">
        <is>
          <t>USA</t>
        </is>
      </c>
      <c r="E411" s="21" t="n">
        <v>112</v>
      </c>
      <c r="F411" s="21" t="inlineStr">
        <is>
          <t>English</t>
        </is>
      </c>
      <c r="G411" s="21" t="inlineStr">
        <is>
          <t>R</t>
        </is>
      </c>
      <c r="H411" s="22" t="n">
        <v>6734844</v>
      </c>
      <c r="I411" s="22" t="n">
        <v>17000000</v>
      </c>
      <c r="J411" s="21">
        <f>IF(OR(H411="",H411=25529689.5),"Yes","No")</f>
        <v/>
      </c>
      <c r="K411" s="21">
        <f>IF(AND(D411="USA",C411&gt;=1980,J411="No"),"Yes","No")</f>
        <v/>
      </c>
      <c r="L411" s="26">
        <f>IF(J411="Yes","",H411-I411)</f>
        <v/>
      </c>
      <c r="M411" s="27">
        <f>IF(OR(J411="Yes",I411=0),"",H411/I411)</f>
        <v/>
      </c>
      <c r="N411" s="21">
        <f>IF(J411="Yes","",IF(H411&gt;=I411,1,0))</f>
        <v/>
      </c>
      <c r="O411" s="21">
        <f>IF(I411&lt;=5000000,"Under $5M",IF(I411&lt;=20000000,"$5M-20M",IF(I411&lt;=50000000,"$20M-50M",IF(I411&lt;=100000000,"$50M-100M","$100M+"))))</f>
        <v/>
      </c>
      <c r="P411" s="21">
        <f>IF(E411&lt;=90,"90 or less",IF(E411&lt;=105,"91-105",IF(E411&lt;=120,"106-120",IF(E411&lt;=140,"121-140","Over 140"))))</f>
        <v/>
      </c>
      <c r="Q411" s="28">
        <f>INT(C411/10)*10</f>
        <v/>
      </c>
    </row>
    <row r="412">
      <c r="A412" s="21" t="n">
        <v>431</v>
      </c>
      <c r="B412" s="21" t="inlineStr">
        <is>
          <t>Aliens</t>
        </is>
      </c>
      <c r="C412" s="21" t="n">
        <v>1986</v>
      </c>
      <c r="D412" s="21" t="inlineStr">
        <is>
          <t>USA</t>
        </is>
      </c>
      <c r="E412" s="21" t="n">
        <v>154</v>
      </c>
      <c r="F412" s="21" t="inlineStr">
        <is>
          <t>English</t>
        </is>
      </c>
      <c r="G412" s="21" t="inlineStr">
        <is>
          <t>R</t>
        </is>
      </c>
      <c r="H412" s="22" t="n">
        <v>85200000</v>
      </c>
      <c r="I412" s="22" t="n">
        <v>18500000</v>
      </c>
      <c r="J412" s="21">
        <f>IF(OR(H412="",H412=25529689.5),"Yes","No")</f>
        <v/>
      </c>
      <c r="K412" s="21">
        <f>IF(AND(D412="USA",C412&gt;=1980,J412="No"),"Yes","No")</f>
        <v/>
      </c>
      <c r="L412" s="26">
        <f>IF(J412="Yes","",H412-I412)</f>
        <v/>
      </c>
      <c r="M412" s="27">
        <f>IF(OR(J412="Yes",I412=0),"",H412/I412)</f>
        <v/>
      </c>
      <c r="N412" s="21">
        <f>IF(J412="Yes","",IF(H412&gt;=I412,1,0))</f>
        <v/>
      </c>
      <c r="O412" s="21">
        <f>IF(I412&lt;=5000000,"Under $5M",IF(I412&lt;=20000000,"$5M-20M",IF(I412&lt;=50000000,"$20M-50M",IF(I412&lt;=100000000,"$50M-100M","$100M+"))))</f>
        <v/>
      </c>
      <c r="P412" s="21">
        <f>IF(E412&lt;=90,"90 or less",IF(E412&lt;=105,"91-105",IF(E412&lt;=120,"106-120",IF(E412&lt;=140,"121-140","Over 140"))))</f>
        <v/>
      </c>
      <c r="Q412" s="28">
        <f>INT(C412/10)*10</f>
        <v/>
      </c>
    </row>
    <row r="413">
      <c r="A413" s="21" t="n">
        <v>432</v>
      </c>
      <c r="B413" s="21" t="inlineStr">
        <is>
          <t>April Fool's Day</t>
        </is>
      </c>
      <c r="C413" s="21" t="n">
        <v>1986</v>
      </c>
      <c r="D413" s="21" t="inlineStr">
        <is>
          <t>USA</t>
        </is>
      </c>
      <c r="E413" s="21" t="n">
        <v>89</v>
      </c>
      <c r="F413" s="21" t="inlineStr">
        <is>
          <t>English</t>
        </is>
      </c>
      <c r="G413" s="21" t="inlineStr">
        <is>
          <t>R</t>
        </is>
      </c>
      <c r="H413" s="22" t="n">
        <v>12947763</v>
      </c>
      <c r="I413" s="22" t="n">
        <v>5000000</v>
      </c>
      <c r="J413" s="21">
        <f>IF(OR(H413="",H413=25529689.5),"Yes","No")</f>
        <v/>
      </c>
      <c r="K413" s="21">
        <f>IF(AND(D413="USA",C413&gt;=1980,J413="No"),"Yes","No")</f>
        <v/>
      </c>
      <c r="L413" s="26">
        <f>IF(J413="Yes","",H413-I413)</f>
        <v/>
      </c>
      <c r="M413" s="27">
        <f>IF(OR(J413="Yes",I413=0),"",H413/I413)</f>
        <v/>
      </c>
      <c r="N413" s="21">
        <f>IF(J413="Yes","",IF(H413&gt;=I413,1,0))</f>
        <v/>
      </c>
      <c r="O413" s="21">
        <f>IF(I413&lt;=5000000,"Under $5M",IF(I413&lt;=20000000,"$5M-20M",IF(I413&lt;=50000000,"$20M-50M",IF(I413&lt;=100000000,"$50M-100M","$100M+"))))</f>
        <v/>
      </c>
      <c r="P413" s="21">
        <f>IF(E413&lt;=90,"90 or less",IF(E413&lt;=105,"91-105",IF(E413&lt;=120,"106-120",IF(E413&lt;=140,"121-140","Over 140"))))</f>
        <v/>
      </c>
      <c r="Q413" s="28">
        <f>INT(C413/10)*10</f>
        <v/>
      </c>
    </row>
    <row r="414">
      <c r="A414" s="21" t="n">
        <v>433</v>
      </c>
      <c r="B414" s="21" t="inlineStr">
        <is>
          <t>Big Trouble in Little China</t>
        </is>
      </c>
      <c r="C414" s="21" t="n">
        <v>1986</v>
      </c>
      <c r="D414" s="21" t="inlineStr">
        <is>
          <t>USA</t>
        </is>
      </c>
      <c r="E414" s="21" t="n">
        <v>99</v>
      </c>
      <c r="F414" s="21" t="inlineStr">
        <is>
          <t>English</t>
        </is>
      </c>
      <c r="G414" s="21" t="inlineStr">
        <is>
          <t>PG-13</t>
        </is>
      </c>
      <c r="H414" s="22" t="n">
        <v>11100000</v>
      </c>
      <c r="I414" s="22" t="n">
        <v>25000000</v>
      </c>
      <c r="J414" s="21">
        <f>IF(OR(H414="",H414=25529689.5),"Yes","No")</f>
        <v/>
      </c>
      <c r="K414" s="21">
        <f>IF(AND(D414="USA",C414&gt;=1980,J414="No"),"Yes","No")</f>
        <v/>
      </c>
      <c r="L414" s="26">
        <f>IF(J414="Yes","",H414-I414)</f>
        <v/>
      </c>
      <c r="M414" s="27">
        <f>IF(OR(J414="Yes",I414=0),"",H414/I414)</f>
        <v/>
      </c>
      <c r="N414" s="21">
        <f>IF(J414="Yes","",IF(H414&gt;=I414,1,0))</f>
        <v/>
      </c>
      <c r="O414" s="21">
        <f>IF(I414&lt;=5000000,"Under $5M",IF(I414&lt;=20000000,"$5M-20M",IF(I414&lt;=50000000,"$20M-50M",IF(I414&lt;=100000000,"$50M-100M","$100M+"))))</f>
        <v/>
      </c>
      <c r="P414" s="21">
        <f>IF(E414&lt;=90,"90 or less",IF(E414&lt;=105,"91-105",IF(E414&lt;=120,"106-120",IF(E414&lt;=140,"121-140","Over 140"))))</f>
        <v/>
      </c>
      <c r="Q414" s="28">
        <f>INT(C414/10)*10</f>
        <v/>
      </c>
    </row>
    <row r="415">
      <c r="A415" s="21" t="n">
        <v>434</v>
      </c>
      <c r="B415" s="21" t="inlineStr">
        <is>
          <t>Crocodile Dundee</t>
        </is>
      </c>
      <c r="C415" s="21" t="n">
        <v>1986</v>
      </c>
      <c r="D415" s="21" t="inlineStr">
        <is>
          <t>Australia</t>
        </is>
      </c>
      <c r="E415" s="21" t="n">
        <v>93</v>
      </c>
      <c r="F415" s="21" t="inlineStr">
        <is>
          <t>English</t>
        </is>
      </c>
      <c r="G415" s="21" t="inlineStr">
        <is>
          <t>PG-13</t>
        </is>
      </c>
      <c r="H415" s="22" t="n">
        <v>174635000</v>
      </c>
      <c r="I415" s="22" t="n">
        <v>8800000</v>
      </c>
      <c r="J415" s="21">
        <f>IF(OR(H415="",H415=25529689.5),"Yes","No")</f>
        <v/>
      </c>
      <c r="K415" s="21">
        <f>IF(AND(D415="USA",C415&gt;=1980,J415="No"),"Yes","No")</f>
        <v/>
      </c>
      <c r="L415" s="26">
        <f>IF(J415="Yes","",H415-I415)</f>
        <v/>
      </c>
      <c r="M415" s="27">
        <f>IF(OR(J415="Yes",I415=0),"",H415/I415)</f>
        <v/>
      </c>
      <c r="N415" s="21">
        <f>IF(J415="Yes","",IF(H415&gt;=I415,1,0))</f>
        <v/>
      </c>
      <c r="O415" s="21">
        <f>IF(I415&lt;=5000000,"Under $5M",IF(I415&lt;=20000000,"$5M-20M",IF(I415&lt;=50000000,"$20M-50M",IF(I415&lt;=100000000,"$50M-100M","$100M+"))))</f>
        <v/>
      </c>
      <c r="P415" s="21">
        <f>IF(E415&lt;=90,"90 or less",IF(E415&lt;=105,"91-105",IF(E415&lt;=120,"106-120",IF(E415&lt;=140,"121-140","Over 140"))))</f>
        <v/>
      </c>
      <c r="Q415" s="28">
        <f>INT(C415/10)*10</f>
        <v/>
      </c>
    </row>
    <row r="416">
      <c r="A416" s="21" t="n">
        <v>435</v>
      </c>
      <c r="B416" s="21" t="inlineStr">
        <is>
          <t>Highlander</t>
        </is>
      </c>
      <c r="C416" s="21" t="n">
        <v>1986</v>
      </c>
      <c r="D416" s="21" t="inlineStr">
        <is>
          <t>UK</t>
        </is>
      </c>
      <c r="E416" s="21" t="n">
        <v>110</v>
      </c>
      <c r="F416" s="21" t="inlineStr">
        <is>
          <t>English</t>
        </is>
      </c>
      <c r="G416" s="21" t="inlineStr">
        <is>
          <t>R</t>
        </is>
      </c>
      <c r="H416" s="22" t="n">
        <v>5900000</v>
      </c>
      <c r="I416" s="22" t="n">
        <v>16000000</v>
      </c>
      <c r="J416" s="21">
        <f>IF(OR(H416="",H416=25529689.5),"Yes","No")</f>
        <v/>
      </c>
      <c r="K416" s="21">
        <f>IF(AND(D416="USA",C416&gt;=1980,J416="No"),"Yes","No")</f>
        <v/>
      </c>
      <c r="L416" s="26">
        <f>IF(J416="Yes","",H416-I416)</f>
        <v/>
      </c>
      <c r="M416" s="27">
        <f>IF(OR(J416="Yes",I416=0),"",H416/I416)</f>
        <v/>
      </c>
      <c r="N416" s="21">
        <f>IF(J416="Yes","",IF(H416&gt;=I416,1,0))</f>
        <v/>
      </c>
      <c r="O416" s="21">
        <f>IF(I416&lt;=5000000,"Under $5M",IF(I416&lt;=20000000,"$5M-20M",IF(I416&lt;=50000000,"$20M-50M",IF(I416&lt;=100000000,"$50M-100M","$100M+"))))</f>
        <v/>
      </c>
      <c r="P416" s="21">
        <f>IF(E416&lt;=90,"90 or less",IF(E416&lt;=105,"91-105",IF(E416&lt;=120,"106-120",IF(E416&lt;=140,"121-140","Over 140"))))</f>
        <v/>
      </c>
      <c r="Q416" s="28">
        <f>INT(C416/10)*10</f>
        <v/>
      </c>
    </row>
    <row r="417">
      <c r="A417" s="21" t="n">
        <v>436</v>
      </c>
      <c r="B417" s="21" t="inlineStr">
        <is>
          <t>Howard the Duck</t>
        </is>
      </c>
      <c r="C417" s="21" t="n">
        <v>1986</v>
      </c>
      <c r="D417" s="21" t="inlineStr">
        <is>
          <t>USA</t>
        </is>
      </c>
      <c r="E417" s="21" t="n">
        <v>110</v>
      </c>
      <c r="F417" s="21" t="inlineStr">
        <is>
          <t>English</t>
        </is>
      </c>
      <c r="G417" s="21" t="inlineStr">
        <is>
          <t>PG</t>
        </is>
      </c>
      <c r="H417" s="22" t="n">
        <v>16295774</v>
      </c>
      <c r="I417" s="22" t="n">
        <v>35000000</v>
      </c>
      <c r="J417" s="21">
        <f>IF(OR(H417="",H417=25529689.5),"Yes","No")</f>
        <v/>
      </c>
      <c r="K417" s="21">
        <f>IF(AND(D417="USA",C417&gt;=1980,J417="No"),"Yes","No")</f>
        <v/>
      </c>
      <c r="L417" s="26">
        <f>IF(J417="Yes","",H417-I417)</f>
        <v/>
      </c>
      <c r="M417" s="27">
        <f>IF(OR(J417="Yes",I417=0),"",H417/I417)</f>
        <v/>
      </c>
      <c r="N417" s="21">
        <f>IF(J417="Yes","",IF(H417&gt;=I417,1,0))</f>
        <v/>
      </c>
      <c r="O417" s="21">
        <f>IF(I417&lt;=5000000,"Under $5M",IF(I417&lt;=20000000,"$5M-20M",IF(I417&lt;=50000000,"$20M-50M",IF(I417&lt;=100000000,"$50M-100M","$100M+"))))</f>
        <v/>
      </c>
      <c r="P417" s="21">
        <f>IF(E417&lt;=90,"90 or less",IF(E417&lt;=105,"91-105",IF(E417&lt;=120,"106-120",IF(E417&lt;=140,"121-140","Over 140"))))</f>
        <v/>
      </c>
      <c r="Q417" s="28">
        <f>INT(C417/10)*10</f>
        <v/>
      </c>
    </row>
    <row r="418">
      <c r="A418" s="21" t="n">
        <v>437</v>
      </c>
      <c r="B418" s="21" t="inlineStr">
        <is>
          <t>Invaders from Mars</t>
        </is>
      </c>
      <c r="C418" s="21" t="n">
        <v>1986</v>
      </c>
      <c r="D418" s="21" t="inlineStr">
        <is>
          <t>USA</t>
        </is>
      </c>
      <c r="E418" s="21" t="n">
        <v>100</v>
      </c>
      <c r="F418" s="21" t="inlineStr">
        <is>
          <t>English</t>
        </is>
      </c>
      <c r="G418" s="21" t="inlineStr">
        <is>
          <t>PG</t>
        </is>
      </c>
      <c r="H418" s="22" t="n">
        <v>4884663</v>
      </c>
      <c r="I418" s="22" t="n">
        <v>12000000</v>
      </c>
      <c r="J418" s="21">
        <f>IF(OR(H418="",H418=25529689.5),"Yes","No")</f>
        <v/>
      </c>
      <c r="K418" s="21">
        <f>IF(AND(D418="USA",C418&gt;=1980,J418="No"),"Yes","No")</f>
        <v/>
      </c>
      <c r="L418" s="26">
        <f>IF(J418="Yes","",H418-I418)</f>
        <v/>
      </c>
      <c r="M418" s="27">
        <f>IF(OR(J418="Yes",I418=0),"",H418/I418)</f>
        <v/>
      </c>
      <c r="N418" s="21">
        <f>IF(J418="Yes","",IF(H418&gt;=I418,1,0))</f>
        <v/>
      </c>
      <c r="O418" s="21">
        <f>IF(I418&lt;=5000000,"Under $5M",IF(I418&lt;=20000000,"$5M-20M",IF(I418&lt;=50000000,"$20M-50M",IF(I418&lt;=100000000,"$50M-100M","$100M+"))))</f>
        <v/>
      </c>
      <c r="P418" s="21">
        <f>IF(E418&lt;=90,"90 or less",IF(E418&lt;=105,"91-105",IF(E418&lt;=120,"106-120",IF(E418&lt;=140,"121-140","Over 140"))))</f>
        <v/>
      </c>
      <c r="Q418" s="28">
        <f>INT(C418/10)*10</f>
        <v/>
      </c>
    </row>
    <row r="419">
      <c r="A419" s="21" t="n">
        <v>438</v>
      </c>
      <c r="B419" s="21" t="inlineStr">
        <is>
          <t>Jason Lives: Friday the 13th Part VI</t>
        </is>
      </c>
      <c r="C419" s="21" t="n">
        <v>1986</v>
      </c>
      <c r="D419" s="21" t="inlineStr">
        <is>
          <t>USA</t>
        </is>
      </c>
      <c r="E419" s="21" t="n">
        <v>86</v>
      </c>
      <c r="F419" s="21" t="inlineStr">
        <is>
          <t>English</t>
        </is>
      </c>
      <c r="G419" s="21" t="inlineStr">
        <is>
          <t>R</t>
        </is>
      </c>
      <c r="H419" s="22" t="n">
        <v>19472057</v>
      </c>
      <c r="I419" s="22" t="n">
        <v>3000000</v>
      </c>
      <c r="J419" s="21">
        <f>IF(OR(H419="",H419=25529689.5),"Yes","No")</f>
        <v/>
      </c>
      <c r="K419" s="21">
        <f>IF(AND(D419="USA",C419&gt;=1980,J419="No"),"Yes","No")</f>
        <v/>
      </c>
      <c r="L419" s="26">
        <f>IF(J419="Yes","",H419-I419)</f>
        <v/>
      </c>
      <c r="M419" s="27">
        <f>IF(OR(J419="Yes",I419=0),"",H419/I419)</f>
        <v/>
      </c>
      <c r="N419" s="21">
        <f>IF(J419="Yes","",IF(H419&gt;=I419,1,0))</f>
        <v/>
      </c>
      <c r="O419" s="21">
        <f>IF(I419&lt;=5000000,"Under $5M",IF(I419&lt;=20000000,"$5M-20M",IF(I419&lt;=50000000,"$20M-50M",IF(I419&lt;=100000000,"$50M-100M","$100M+"))))</f>
        <v/>
      </c>
      <c r="P419" s="21">
        <f>IF(E419&lt;=90,"90 or less",IF(E419&lt;=105,"91-105",IF(E419&lt;=120,"106-120",IF(E419&lt;=140,"121-140","Over 140"))))</f>
        <v/>
      </c>
      <c r="Q419" s="28">
        <f>INT(C419/10)*10</f>
        <v/>
      </c>
    </row>
    <row r="420">
      <c r="A420" s="21" t="n">
        <v>439</v>
      </c>
      <c r="B420" s="21" t="inlineStr">
        <is>
          <t>Legal Eagles</t>
        </is>
      </c>
      <c r="C420" s="21" t="n">
        <v>1986</v>
      </c>
      <c r="D420" s="21" t="inlineStr">
        <is>
          <t>USA</t>
        </is>
      </c>
      <c r="E420" s="21" t="n">
        <v>116</v>
      </c>
      <c r="F420" s="21" t="inlineStr">
        <is>
          <t>English</t>
        </is>
      </c>
      <c r="G420" s="21" t="inlineStr">
        <is>
          <t>PG</t>
        </is>
      </c>
      <c r="H420" s="22" t="n">
        <v>49851591</v>
      </c>
      <c r="I420" s="22" t="n">
        <v>40000000</v>
      </c>
      <c r="J420" s="21">
        <f>IF(OR(H420="",H420=25529689.5),"Yes","No")</f>
        <v/>
      </c>
      <c r="K420" s="21">
        <f>IF(AND(D420="USA",C420&gt;=1980,J420="No"),"Yes","No")</f>
        <v/>
      </c>
      <c r="L420" s="26">
        <f>IF(J420="Yes","",H420-I420)</f>
        <v/>
      </c>
      <c r="M420" s="27">
        <f>IF(OR(J420="Yes",I420=0),"",H420/I420)</f>
        <v/>
      </c>
      <c r="N420" s="21">
        <f>IF(J420="Yes","",IF(H420&gt;=I420,1,0))</f>
        <v/>
      </c>
      <c r="O420" s="21">
        <f>IF(I420&lt;=5000000,"Under $5M",IF(I420&lt;=20000000,"$5M-20M",IF(I420&lt;=50000000,"$20M-50M",IF(I420&lt;=100000000,"$50M-100M","$100M+"))))</f>
        <v/>
      </c>
      <c r="P420" s="21">
        <f>IF(E420&lt;=90,"90 or less",IF(E420&lt;=105,"91-105",IF(E420&lt;=120,"106-120",IF(E420&lt;=140,"121-140","Over 140"))))</f>
        <v/>
      </c>
      <c r="Q420" s="28">
        <f>INT(C420/10)*10</f>
        <v/>
      </c>
    </row>
    <row r="421">
      <c r="A421" s="21" t="n">
        <v>440</v>
      </c>
      <c r="B421" s="21" t="inlineStr">
        <is>
          <t>Little Shop of Horrors</t>
        </is>
      </c>
      <c r="C421" s="21" t="n">
        <v>1986</v>
      </c>
      <c r="D421" s="21" t="inlineStr">
        <is>
          <t>USA</t>
        </is>
      </c>
      <c r="E421" s="21" t="n">
        <v>102</v>
      </c>
      <c r="F421" s="21" t="inlineStr">
        <is>
          <t>English</t>
        </is>
      </c>
      <c r="G421" s="21" t="inlineStr">
        <is>
          <t>PG-13</t>
        </is>
      </c>
      <c r="H421" s="22" t="n">
        <v>38747385</v>
      </c>
      <c r="I421" s="22" t="n">
        <v>25000000</v>
      </c>
      <c r="J421" s="21">
        <f>IF(OR(H421="",H421=25529689.5),"Yes","No")</f>
        <v/>
      </c>
      <c r="K421" s="21">
        <f>IF(AND(D421="USA",C421&gt;=1980,J421="No"),"Yes","No")</f>
        <v/>
      </c>
      <c r="L421" s="26">
        <f>IF(J421="Yes","",H421-I421)</f>
        <v/>
      </c>
      <c r="M421" s="27">
        <f>IF(OR(J421="Yes",I421=0),"",H421/I421)</f>
        <v/>
      </c>
      <c r="N421" s="21">
        <f>IF(J421="Yes","",IF(H421&gt;=I421,1,0))</f>
        <v/>
      </c>
      <c r="O421" s="21">
        <f>IF(I421&lt;=5000000,"Under $5M",IF(I421&lt;=20000000,"$5M-20M",IF(I421&lt;=50000000,"$20M-50M",IF(I421&lt;=100000000,"$50M-100M","$100M+"))))</f>
        <v/>
      </c>
      <c r="P421" s="21">
        <f>IF(E421&lt;=90,"90 or less",IF(E421&lt;=105,"91-105",IF(E421&lt;=120,"106-120",IF(E421&lt;=140,"121-140","Over 140"))))</f>
        <v/>
      </c>
      <c r="Q421" s="28">
        <f>INT(C421/10)*10</f>
        <v/>
      </c>
    </row>
    <row r="422">
      <c r="A422" s="21" t="n">
        <v>441</v>
      </c>
      <c r="B422" s="21" t="inlineStr">
        <is>
          <t>Peggy Sue Got Married</t>
        </is>
      </c>
      <c r="C422" s="21" t="n">
        <v>1986</v>
      </c>
      <c r="D422" s="21" t="inlineStr">
        <is>
          <t>USA</t>
        </is>
      </c>
      <c r="E422" s="21" t="n">
        <v>103</v>
      </c>
      <c r="F422" s="21" t="inlineStr">
        <is>
          <t>English</t>
        </is>
      </c>
      <c r="G422" s="21" t="inlineStr">
        <is>
          <t>PG-13</t>
        </is>
      </c>
      <c r="H422" s="22" t="n">
        <v>41382841</v>
      </c>
      <c r="I422" s="22" t="n">
        <v>18000000</v>
      </c>
      <c r="J422" s="21">
        <f>IF(OR(H422="",H422=25529689.5),"Yes","No")</f>
        <v/>
      </c>
      <c r="K422" s="21">
        <f>IF(AND(D422="USA",C422&gt;=1980,J422="No"),"Yes","No")</f>
        <v/>
      </c>
      <c r="L422" s="26">
        <f>IF(J422="Yes","",H422-I422)</f>
        <v/>
      </c>
      <c r="M422" s="27">
        <f>IF(OR(J422="Yes",I422=0),"",H422/I422)</f>
        <v/>
      </c>
      <c r="N422" s="21">
        <f>IF(J422="Yes","",IF(H422&gt;=I422,1,0))</f>
        <v/>
      </c>
      <c r="O422" s="21">
        <f>IF(I422&lt;=5000000,"Under $5M",IF(I422&lt;=20000000,"$5M-20M",IF(I422&lt;=50000000,"$20M-50M",IF(I422&lt;=100000000,"$50M-100M","$100M+"))))</f>
        <v/>
      </c>
      <c r="P422" s="21">
        <f>IF(E422&lt;=90,"90 or less",IF(E422&lt;=105,"91-105",IF(E422&lt;=120,"106-120",IF(E422&lt;=140,"121-140","Over 140"))))</f>
        <v/>
      </c>
      <c r="Q422" s="28">
        <f>INT(C422/10)*10</f>
        <v/>
      </c>
    </row>
    <row r="423">
      <c r="A423" s="21" t="n">
        <v>442</v>
      </c>
      <c r="B423" s="21" t="inlineStr">
        <is>
          <t>Platoon</t>
        </is>
      </c>
      <c r="C423" s="21" t="n">
        <v>1986</v>
      </c>
      <c r="D423" s="21" t="inlineStr">
        <is>
          <t>UK</t>
        </is>
      </c>
      <c r="E423" s="21" t="n">
        <v>120</v>
      </c>
      <c r="F423" s="21" t="inlineStr">
        <is>
          <t>English</t>
        </is>
      </c>
      <c r="G423" s="21" t="inlineStr">
        <is>
          <t>R</t>
        </is>
      </c>
      <c r="H423" s="22" t="n">
        <v>137963328</v>
      </c>
      <c r="I423" s="22" t="n">
        <v>6000000</v>
      </c>
      <c r="J423" s="21">
        <f>IF(OR(H423="",H423=25529689.5),"Yes","No")</f>
        <v/>
      </c>
      <c r="K423" s="21">
        <f>IF(AND(D423="USA",C423&gt;=1980,J423="No"),"Yes","No")</f>
        <v/>
      </c>
      <c r="L423" s="26">
        <f>IF(J423="Yes","",H423-I423)</f>
        <v/>
      </c>
      <c r="M423" s="27">
        <f>IF(OR(J423="Yes",I423=0),"",H423/I423)</f>
        <v/>
      </c>
      <c r="N423" s="21">
        <f>IF(J423="Yes","",IF(H423&gt;=I423,1,0))</f>
        <v/>
      </c>
      <c r="O423" s="21">
        <f>IF(I423&lt;=5000000,"Under $5M",IF(I423&lt;=20000000,"$5M-20M",IF(I423&lt;=50000000,"$20M-50M",IF(I423&lt;=100000000,"$50M-100M","$100M+"))))</f>
        <v/>
      </c>
      <c r="P423" s="21">
        <f>IF(E423&lt;=90,"90 or less",IF(E423&lt;=105,"91-105",IF(E423&lt;=120,"106-120",IF(E423&lt;=140,"121-140","Over 140"))))</f>
        <v/>
      </c>
      <c r="Q423" s="28">
        <f>INT(C423/10)*10</f>
        <v/>
      </c>
    </row>
    <row r="424">
      <c r="A424" s="21" t="n">
        <v>443</v>
      </c>
      <c r="B424" s="21" t="inlineStr">
        <is>
          <t>River's Edge</t>
        </is>
      </c>
      <c r="C424" s="21" t="n">
        <v>1986</v>
      </c>
      <c r="D424" s="21" t="inlineStr">
        <is>
          <t>USA</t>
        </is>
      </c>
      <c r="E424" s="21" t="n">
        <v>99</v>
      </c>
      <c r="F424" s="21" t="inlineStr">
        <is>
          <t>English</t>
        </is>
      </c>
      <c r="G424" s="21" t="inlineStr">
        <is>
          <t>R</t>
        </is>
      </c>
      <c r="H424" s="22" t="n">
        <v>4600000</v>
      </c>
      <c r="I424" s="22" t="n">
        <v>1900000</v>
      </c>
      <c r="J424" s="21">
        <f>IF(OR(H424="",H424=25529689.5),"Yes","No")</f>
        <v/>
      </c>
      <c r="K424" s="21">
        <f>IF(AND(D424="USA",C424&gt;=1980,J424="No"),"Yes","No")</f>
        <v/>
      </c>
      <c r="L424" s="26">
        <f>IF(J424="Yes","",H424-I424)</f>
        <v/>
      </c>
      <c r="M424" s="27">
        <f>IF(OR(J424="Yes",I424=0),"",H424/I424)</f>
        <v/>
      </c>
      <c r="N424" s="21">
        <f>IF(J424="Yes","",IF(H424&gt;=I424,1,0))</f>
        <v/>
      </c>
      <c r="O424" s="21">
        <f>IF(I424&lt;=5000000,"Under $5M",IF(I424&lt;=20000000,"$5M-20M",IF(I424&lt;=50000000,"$20M-50M",IF(I424&lt;=100000000,"$50M-100M","$100M+"))))</f>
        <v/>
      </c>
      <c r="P424" s="21">
        <f>IF(E424&lt;=90,"90 or less",IF(E424&lt;=105,"91-105",IF(E424&lt;=120,"106-120",IF(E424&lt;=140,"121-140","Over 140"))))</f>
        <v/>
      </c>
      <c r="Q424" s="28">
        <f>INT(C424/10)*10</f>
        <v/>
      </c>
    </row>
    <row r="425">
      <c r="A425" s="21" t="n">
        <v>444</v>
      </c>
      <c r="B425" s="21" t="inlineStr">
        <is>
          <t>Salvador</t>
        </is>
      </c>
      <c r="C425" s="21" t="n">
        <v>1986</v>
      </c>
      <c r="D425" s="21" t="inlineStr">
        <is>
          <t>UK</t>
        </is>
      </c>
      <c r="E425" s="21" t="n">
        <v>122</v>
      </c>
      <c r="F425" s="21" t="inlineStr">
        <is>
          <t>English</t>
        </is>
      </c>
      <c r="G425" s="21" t="inlineStr">
        <is>
          <t>R</t>
        </is>
      </c>
      <c r="H425" s="22" t="n">
        <v>25529689.5</v>
      </c>
      <c r="I425" s="22" t="n">
        <v>4500000</v>
      </c>
      <c r="J425" s="21">
        <f>IF(OR(H425="",H425=25529689.5),"Yes","No")</f>
        <v/>
      </c>
      <c r="K425" s="21">
        <f>IF(AND(D425="USA",C425&gt;=1980,J425="No"),"Yes","No")</f>
        <v/>
      </c>
      <c r="L425" s="26">
        <f>IF(J425="Yes","",H425-I425)</f>
        <v/>
      </c>
      <c r="M425" s="27">
        <f>IF(OR(J425="Yes",I425=0),"",H425/I425)</f>
        <v/>
      </c>
      <c r="N425" s="21">
        <f>IF(J425="Yes","",IF(H425&gt;=I425,1,0))</f>
        <v/>
      </c>
      <c r="O425" s="21">
        <f>IF(I425&lt;=5000000,"Under $5M",IF(I425&lt;=20000000,"$5M-20M",IF(I425&lt;=50000000,"$20M-50M",IF(I425&lt;=100000000,"$50M-100M","$100M+"))))</f>
        <v/>
      </c>
      <c r="P425" s="21">
        <f>IF(E425&lt;=90,"90 or less",IF(E425&lt;=105,"91-105",IF(E425&lt;=120,"106-120",IF(E425&lt;=140,"121-140","Over 140"))))</f>
        <v/>
      </c>
      <c r="Q425" s="28">
        <f>INT(C425/10)*10</f>
        <v/>
      </c>
    </row>
    <row r="426">
      <c r="A426" s="21" t="n">
        <v>445</v>
      </c>
      <c r="B426" s="21" t="inlineStr">
        <is>
          <t>Shanghai Surprise</t>
        </is>
      </c>
      <c r="C426" s="21" t="n">
        <v>1986</v>
      </c>
      <c r="D426" s="21" t="inlineStr">
        <is>
          <t>UK</t>
        </is>
      </c>
      <c r="E426" s="21" t="n">
        <v>97</v>
      </c>
      <c r="F426" s="21" t="inlineStr">
        <is>
          <t>English</t>
        </is>
      </c>
      <c r="G426" s="21" t="inlineStr">
        <is>
          <t>PG-13</t>
        </is>
      </c>
      <c r="H426" s="22" t="n">
        <v>2315683</v>
      </c>
      <c r="I426" s="22" t="n">
        <v>17000000</v>
      </c>
      <c r="J426" s="21">
        <f>IF(OR(H426="",H426=25529689.5),"Yes","No")</f>
        <v/>
      </c>
      <c r="K426" s="21">
        <f>IF(AND(D426="USA",C426&gt;=1980,J426="No"),"Yes","No")</f>
        <v/>
      </c>
      <c r="L426" s="26">
        <f>IF(J426="Yes","",H426-I426)</f>
        <v/>
      </c>
      <c r="M426" s="27">
        <f>IF(OR(J426="Yes",I426=0),"",H426/I426)</f>
        <v/>
      </c>
      <c r="N426" s="21">
        <f>IF(J426="Yes","",IF(H426&gt;=I426,1,0))</f>
        <v/>
      </c>
      <c r="O426" s="21">
        <f>IF(I426&lt;=5000000,"Under $5M",IF(I426&lt;=20000000,"$5M-20M",IF(I426&lt;=50000000,"$20M-50M",IF(I426&lt;=100000000,"$50M-100M","$100M+"))))</f>
        <v/>
      </c>
      <c r="P426" s="21">
        <f>IF(E426&lt;=90,"90 or less",IF(E426&lt;=105,"91-105",IF(E426&lt;=120,"106-120",IF(E426&lt;=140,"121-140","Over 140"))))</f>
        <v/>
      </c>
      <c r="Q426" s="28">
        <f>INT(C426/10)*10</f>
        <v/>
      </c>
    </row>
    <row r="427">
      <c r="A427" s="21" t="n">
        <v>446</v>
      </c>
      <c r="B427" s="21" t="inlineStr">
        <is>
          <t>She's Gotta Have It</t>
        </is>
      </c>
      <c r="C427" s="21" t="n">
        <v>1986</v>
      </c>
      <c r="D427" s="21" t="inlineStr">
        <is>
          <t>USA</t>
        </is>
      </c>
      <c r="E427" s="21" t="n">
        <v>88</v>
      </c>
      <c r="F427" s="21" t="inlineStr">
        <is>
          <t>English</t>
        </is>
      </c>
      <c r="G427" s="21" t="inlineStr">
        <is>
          <t>R</t>
        </is>
      </c>
      <c r="H427" s="22" t="n">
        <v>7137502</v>
      </c>
      <c r="I427" s="22" t="n">
        <v>175000</v>
      </c>
      <c r="J427" s="21">
        <f>IF(OR(H427="",H427=25529689.5),"Yes","No")</f>
        <v/>
      </c>
      <c r="K427" s="21">
        <f>IF(AND(D427="USA",C427&gt;=1980,J427="No"),"Yes","No")</f>
        <v/>
      </c>
      <c r="L427" s="26">
        <f>IF(J427="Yes","",H427-I427)</f>
        <v/>
      </c>
      <c r="M427" s="27">
        <f>IF(OR(J427="Yes",I427=0),"",H427/I427)</f>
        <v/>
      </c>
      <c r="N427" s="21">
        <f>IF(J427="Yes","",IF(H427&gt;=I427,1,0))</f>
        <v/>
      </c>
      <c r="O427" s="21">
        <f>IF(I427&lt;=5000000,"Under $5M",IF(I427&lt;=20000000,"$5M-20M",IF(I427&lt;=50000000,"$20M-50M",IF(I427&lt;=100000000,"$50M-100M","$100M+"))))</f>
        <v/>
      </c>
      <c r="P427" s="21">
        <f>IF(E427&lt;=90,"90 or less",IF(E427&lt;=105,"91-105",IF(E427&lt;=120,"106-120",IF(E427&lt;=140,"121-140","Over 140"))))</f>
        <v/>
      </c>
      <c r="Q427" s="28">
        <f>INT(C427/10)*10</f>
        <v/>
      </c>
    </row>
    <row r="428">
      <c r="A428" s="21" t="n">
        <v>447</v>
      </c>
      <c r="B428" s="21" t="inlineStr">
        <is>
          <t>Stand by Me</t>
        </is>
      </c>
      <c r="C428" s="21" t="n">
        <v>1986</v>
      </c>
      <c r="D428" s="21" t="inlineStr">
        <is>
          <t>USA</t>
        </is>
      </c>
      <c r="E428" s="21" t="n">
        <v>89</v>
      </c>
      <c r="F428" s="21" t="inlineStr">
        <is>
          <t>English</t>
        </is>
      </c>
      <c r="G428" s="21" t="inlineStr">
        <is>
          <t>R</t>
        </is>
      </c>
      <c r="H428" s="22" t="n">
        <v>52287414</v>
      </c>
      <c r="I428" s="22" t="n">
        <v>8000000</v>
      </c>
      <c r="J428" s="21">
        <f>IF(OR(H428="",H428=25529689.5),"Yes","No")</f>
        <v/>
      </c>
      <c r="K428" s="21">
        <f>IF(AND(D428="USA",C428&gt;=1980,J428="No"),"Yes","No")</f>
        <v/>
      </c>
      <c r="L428" s="26">
        <f>IF(J428="Yes","",H428-I428)</f>
        <v/>
      </c>
      <c r="M428" s="27">
        <f>IF(OR(J428="Yes",I428=0),"",H428/I428)</f>
        <v/>
      </c>
      <c r="N428" s="21">
        <f>IF(J428="Yes","",IF(H428&gt;=I428,1,0))</f>
        <v/>
      </c>
      <c r="O428" s="21">
        <f>IF(I428&lt;=5000000,"Under $5M",IF(I428&lt;=20000000,"$5M-20M",IF(I428&lt;=50000000,"$20M-50M",IF(I428&lt;=100000000,"$50M-100M","$100M+"))))</f>
        <v/>
      </c>
      <c r="P428" s="21">
        <f>IF(E428&lt;=90,"90 or less",IF(E428&lt;=105,"91-105",IF(E428&lt;=120,"106-120",IF(E428&lt;=140,"121-140","Over 140"))))</f>
        <v/>
      </c>
      <c r="Q428" s="28">
        <f>INT(C428/10)*10</f>
        <v/>
      </c>
    </row>
    <row r="429">
      <c r="A429" s="21" t="n">
        <v>448</v>
      </c>
      <c r="B429" s="21" t="inlineStr">
        <is>
          <t>Star Trek IV: The Voyage Home</t>
        </is>
      </c>
      <c r="C429" s="21" t="n">
        <v>1986</v>
      </c>
      <c r="D429" s="21" t="inlineStr">
        <is>
          <t>USA</t>
        </is>
      </c>
      <c r="E429" s="21" t="n">
        <v>119</v>
      </c>
      <c r="F429" s="21" t="inlineStr">
        <is>
          <t>English</t>
        </is>
      </c>
      <c r="G429" s="21" t="inlineStr">
        <is>
          <t>PG</t>
        </is>
      </c>
      <c r="H429" s="22" t="n">
        <v>109713132</v>
      </c>
      <c r="I429" s="22" t="n">
        <v>25000000</v>
      </c>
      <c r="J429" s="21">
        <f>IF(OR(H429="",H429=25529689.5),"Yes","No")</f>
        <v/>
      </c>
      <c r="K429" s="21">
        <f>IF(AND(D429="USA",C429&gt;=1980,J429="No"),"Yes","No")</f>
        <v/>
      </c>
      <c r="L429" s="26">
        <f>IF(J429="Yes","",H429-I429)</f>
        <v/>
      </c>
      <c r="M429" s="27">
        <f>IF(OR(J429="Yes",I429=0),"",H429/I429)</f>
        <v/>
      </c>
      <c r="N429" s="21">
        <f>IF(J429="Yes","",IF(H429&gt;=I429,1,0))</f>
        <v/>
      </c>
      <c r="O429" s="21">
        <f>IF(I429&lt;=5000000,"Under $5M",IF(I429&lt;=20000000,"$5M-20M",IF(I429&lt;=50000000,"$20M-50M",IF(I429&lt;=100000000,"$50M-100M","$100M+"))))</f>
        <v/>
      </c>
      <c r="P429" s="21">
        <f>IF(E429&lt;=90,"90 or less",IF(E429&lt;=105,"91-105",IF(E429&lt;=120,"106-120",IF(E429&lt;=140,"121-140","Over 140"))))</f>
        <v/>
      </c>
      <c r="Q429" s="28">
        <f>INT(C429/10)*10</f>
        <v/>
      </c>
    </row>
    <row r="430">
      <c r="A430" s="21" t="n">
        <v>449</v>
      </c>
      <c r="B430" s="21" t="inlineStr">
        <is>
          <t>The Clan of the Cave Bear</t>
        </is>
      </c>
      <c r="C430" s="21" t="n">
        <v>1986</v>
      </c>
      <c r="D430" s="21" t="inlineStr">
        <is>
          <t>USA</t>
        </is>
      </c>
      <c r="E430" s="21" t="n">
        <v>98</v>
      </c>
      <c r="F430" s="21" t="inlineStr">
        <is>
          <t>English</t>
        </is>
      </c>
      <c r="G430" s="21" t="inlineStr">
        <is>
          <t>R</t>
        </is>
      </c>
      <c r="H430" s="22" t="n">
        <v>1953732</v>
      </c>
      <c r="I430" s="22" t="n">
        <v>15000000</v>
      </c>
      <c r="J430" s="21">
        <f>IF(OR(H430="",H430=25529689.5),"Yes","No")</f>
        <v/>
      </c>
      <c r="K430" s="21">
        <f>IF(AND(D430="USA",C430&gt;=1980,J430="No"),"Yes","No")</f>
        <v/>
      </c>
      <c r="L430" s="26">
        <f>IF(J430="Yes","",H430-I430)</f>
        <v/>
      </c>
      <c r="M430" s="27">
        <f>IF(OR(J430="Yes",I430=0),"",H430/I430)</f>
        <v/>
      </c>
      <c r="N430" s="21">
        <f>IF(J430="Yes","",IF(H430&gt;=I430,1,0))</f>
        <v/>
      </c>
      <c r="O430" s="21">
        <f>IF(I430&lt;=5000000,"Under $5M",IF(I430&lt;=20000000,"$5M-20M",IF(I430&lt;=50000000,"$20M-50M",IF(I430&lt;=100000000,"$50M-100M","$100M+"))))</f>
        <v/>
      </c>
      <c r="P430" s="21">
        <f>IF(E430&lt;=90,"90 or less",IF(E430&lt;=105,"91-105",IF(E430&lt;=120,"106-120",IF(E430&lt;=140,"121-140","Over 140"))))</f>
        <v/>
      </c>
      <c r="Q430" s="28">
        <f>INT(C430/10)*10</f>
        <v/>
      </c>
    </row>
    <row r="431">
      <c r="A431" s="21" t="n">
        <v>450</v>
      </c>
      <c r="B431" s="21" t="inlineStr">
        <is>
          <t>The Color of Money</t>
        </is>
      </c>
      <c r="C431" s="21" t="n">
        <v>1986</v>
      </c>
      <c r="D431" s="21" t="inlineStr">
        <is>
          <t>USA</t>
        </is>
      </c>
      <c r="E431" s="21" t="n">
        <v>119</v>
      </c>
      <c r="F431" s="21" t="inlineStr">
        <is>
          <t>English</t>
        </is>
      </c>
      <c r="G431" s="21" t="inlineStr">
        <is>
          <t>R</t>
        </is>
      </c>
      <c r="H431" s="22" t="n">
        <v>52293982</v>
      </c>
      <c r="I431" s="22" t="n">
        <v>13800000</v>
      </c>
      <c r="J431" s="21">
        <f>IF(OR(H431="",H431=25529689.5),"Yes","No")</f>
        <v/>
      </c>
      <c r="K431" s="21">
        <f>IF(AND(D431="USA",C431&gt;=1980,J431="No"),"Yes","No")</f>
        <v/>
      </c>
      <c r="L431" s="26">
        <f>IF(J431="Yes","",H431-I431)</f>
        <v/>
      </c>
      <c r="M431" s="27">
        <f>IF(OR(J431="Yes",I431=0),"",H431/I431)</f>
        <v/>
      </c>
      <c r="N431" s="21">
        <f>IF(J431="Yes","",IF(H431&gt;=I431,1,0))</f>
        <v/>
      </c>
      <c r="O431" s="21">
        <f>IF(I431&lt;=5000000,"Under $5M",IF(I431&lt;=20000000,"$5M-20M",IF(I431&lt;=50000000,"$20M-50M",IF(I431&lt;=100000000,"$50M-100M","$100M+"))))</f>
        <v/>
      </c>
      <c r="P431" s="21">
        <f>IF(E431&lt;=90,"90 or less",IF(E431&lt;=105,"91-105",IF(E431&lt;=120,"106-120",IF(E431&lt;=140,"121-140","Over 140"))))</f>
        <v/>
      </c>
      <c r="Q431" s="28">
        <f>INT(C431/10)*10</f>
        <v/>
      </c>
    </row>
    <row r="432">
      <c r="A432" s="21" t="n">
        <v>451</v>
      </c>
      <c r="B432" s="21" t="inlineStr">
        <is>
          <t>The Golden Child</t>
        </is>
      </c>
      <c r="C432" s="21" t="n">
        <v>1986</v>
      </c>
      <c r="D432" s="21" t="inlineStr">
        <is>
          <t>USA</t>
        </is>
      </c>
      <c r="E432" s="21" t="n">
        <v>94</v>
      </c>
      <c r="F432" s="21" t="inlineStr">
        <is>
          <t>English</t>
        </is>
      </c>
      <c r="G432" s="21" t="inlineStr">
        <is>
          <t>PG-13</t>
        </is>
      </c>
      <c r="H432" s="22" t="n">
        <v>79817937</v>
      </c>
      <c r="I432" s="22" t="n">
        <v>25000000</v>
      </c>
      <c r="J432" s="21">
        <f>IF(OR(H432="",H432=25529689.5),"Yes","No")</f>
        <v/>
      </c>
      <c r="K432" s="21">
        <f>IF(AND(D432="USA",C432&gt;=1980,J432="No"),"Yes","No")</f>
        <v/>
      </c>
      <c r="L432" s="26">
        <f>IF(J432="Yes","",H432-I432)</f>
        <v/>
      </c>
      <c r="M432" s="27">
        <f>IF(OR(J432="Yes",I432=0),"",H432/I432)</f>
        <v/>
      </c>
      <c r="N432" s="21">
        <f>IF(J432="Yes","",IF(H432&gt;=I432,1,0))</f>
        <v/>
      </c>
      <c r="O432" s="21">
        <f>IF(I432&lt;=5000000,"Under $5M",IF(I432&lt;=20000000,"$5M-20M",IF(I432&lt;=50000000,"$20M-50M",IF(I432&lt;=100000000,"$50M-100M","$100M+"))))</f>
        <v/>
      </c>
      <c r="P432" s="21">
        <f>IF(E432&lt;=90,"90 or less",IF(E432&lt;=105,"91-105",IF(E432&lt;=120,"106-120",IF(E432&lt;=140,"121-140","Over 140"))))</f>
        <v/>
      </c>
      <c r="Q432" s="28">
        <f>INT(C432/10)*10</f>
        <v/>
      </c>
    </row>
    <row r="433">
      <c r="A433" s="21" t="n">
        <v>452</v>
      </c>
      <c r="B433" s="21" t="inlineStr">
        <is>
          <t>The Texas Chainsaw Massacre 2</t>
        </is>
      </c>
      <c r="C433" s="21" t="n">
        <v>1986</v>
      </c>
      <c r="D433" s="21" t="inlineStr">
        <is>
          <t>USA</t>
        </is>
      </c>
      <c r="E433" s="21" t="n">
        <v>101</v>
      </c>
      <c r="F433" s="21" t="inlineStr">
        <is>
          <t>English</t>
        </is>
      </c>
      <c r="G433" s="21" t="inlineStr">
        <is>
          <t>X</t>
        </is>
      </c>
      <c r="H433" s="22" t="n">
        <v>8025872</v>
      </c>
      <c r="I433" s="22" t="n">
        <v>4700000</v>
      </c>
      <c r="J433" s="21">
        <f>IF(OR(H433="",H433=25529689.5),"Yes","No")</f>
        <v/>
      </c>
      <c r="K433" s="21">
        <f>IF(AND(D433="USA",C433&gt;=1980,J433="No"),"Yes","No")</f>
        <v/>
      </c>
      <c r="L433" s="26">
        <f>IF(J433="Yes","",H433-I433)</f>
        <v/>
      </c>
      <c r="M433" s="27">
        <f>IF(OR(J433="Yes",I433=0),"",H433/I433)</f>
        <v/>
      </c>
      <c r="N433" s="21">
        <f>IF(J433="Yes","",IF(H433&gt;=I433,1,0))</f>
        <v/>
      </c>
      <c r="O433" s="21">
        <f>IF(I433&lt;=5000000,"Under $5M",IF(I433&lt;=20000000,"$5M-20M",IF(I433&lt;=50000000,"$20M-50M",IF(I433&lt;=100000000,"$50M-100M","$100M+"))))</f>
        <v/>
      </c>
      <c r="P433" s="21">
        <f>IF(E433&lt;=90,"90 or less",IF(E433&lt;=105,"91-105",IF(E433&lt;=120,"106-120",IF(E433&lt;=140,"121-140","Over 140"))))</f>
        <v/>
      </c>
      <c r="Q433" s="28">
        <f>INT(C433/10)*10</f>
        <v/>
      </c>
    </row>
    <row r="434">
      <c r="A434" s="21" t="n">
        <v>453</v>
      </c>
      <c r="B434" s="21" t="inlineStr">
        <is>
          <t>The Wraith</t>
        </is>
      </c>
      <c r="C434" s="21" t="n">
        <v>1986</v>
      </c>
      <c r="D434" s="21" t="inlineStr">
        <is>
          <t>USA</t>
        </is>
      </c>
      <c r="E434" s="21" t="n">
        <v>93</v>
      </c>
      <c r="F434" s="21" t="inlineStr">
        <is>
          <t>English</t>
        </is>
      </c>
      <c r="G434" s="21" t="inlineStr">
        <is>
          <t>R</t>
        </is>
      </c>
      <c r="H434" s="22" t="n">
        <v>3500000</v>
      </c>
      <c r="I434" s="22" t="n">
        <v>2700000</v>
      </c>
      <c r="J434" s="21">
        <f>IF(OR(H434="",H434=25529689.5),"Yes","No")</f>
        <v/>
      </c>
      <c r="K434" s="21">
        <f>IF(AND(D434="USA",C434&gt;=1980,J434="No"),"Yes","No")</f>
        <v/>
      </c>
      <c r="L434" s="26">
        <f>IF(J434="Yes","",H434-I434)</f>
        <v/>
      </c>
      <c r="M434" s="27">
        <f>IF(OR(J434="Yes",I434=0),"",H434/I434)</f>
        <v/>
      </c>
      <c r="N434" s="21">
        <f>IF(J434="Yes","",IF(H434&gt;=I434,1,0))</f>
        <v/>
      </c>
      <c r="O434" s="21">
        <f>IF(I434&lt;=5000000,"Under $5M",IF(I434&lt;=20000000,"$5M-20M",IF(I434&lt;=50000000,"$20M-50M",IF(I434&lt;=100000000,"$50M-100M","$100M+"))))</f>
        <v/>
      </c>
      <c r="P434" s="21">
        <f>IF(E434&lt;=90,"90 or less",IF(E434&lt;=105,"91-105",IF(E434&lt;=120,"106-120",IF(E434&lt;=140,"121-140","Over 140"))))</f>
        <v/>
      </c>
      <c r="Q434" s="28">
        <f>INT(C434/10)*10</f>
        <v/>
      </c>
    </row>
    <row r="435">
      <c r="A435" s="21" t="n">
        <v>454</v>
      </c>
      <c r="B435" s="21" t="inlineStr">
        <is>
          <t>Top Gun</t>
        </is>
      </c>
      <c r="C435" s="21" t="n">
        <v>1986</v>
      </c>
      <c r="D435" s="21" t="inlineStr">
        <is>
          <t>USA</t>
        </is>
      </c>
      <c r="E435" s="21" t="n">
        <v>110</v>
      </c>
      <c r="F435" s="21" t="inlineStr">
        <is>
          <t>English</t>
        </is>
      </c>
      <c r="G435" s="21" t="inlineStr">
        <is>
          <t>PG</t>
        </is>
      </c>
      <c r="H435" s="22" t="n">
        <v>176781728</v>
      </c>
      <c r="I435" s="22" t="n">
        <v>15000000</v>
      </c>
      <c r="J435" s="21">
        <f>IF(OR(H435="",H435=25529689.5),"Yes","No")</f>
        <v/>
      </c>
      <c r="K435" s="21">
        <f>IF(AND(D435="USA",C435&gt;=1980,J435="No"),"Yes","No")</f>
        <v/>
      </c>
      <c r="L435" s="26">
        <f>IF(J435="Yes","",H435-I435)</f>
        <v/>
      </c>
      <c r="M435" s="27">
        <f>IF(OR(J435="Yes",I435=0),"",H435/I435)</f>
        <v/>
      </c>
      <c r="N435" s="21">
        <f>IF(J435="Yes","",IF(H435&gt;=I435,1,0))</f>
        <v/>
      </c>
      <c r="O435" s="21">
        <f>IF(I435&lt;=5000000,"Under $5M",IF(I435&lt;=20000000,"$5M-20M",IF(I435&lt;=50000000,"$20M-50M",IF(I435&lt;=100000000,"$50M-100M","$100M+"))))</f>
        <v/>
      </c>
      <c r="P435" s="21">
        <f>IF(E435&lt;=90,"90 or less",IF(E435&lt;=105,"91-105",IF(E435&lt;=120,"106-120",IF(E435&lt;=140,"121-140","Over 140"))))</f>
        <v/>
      </c>
      <c r="Q435" s="28">
        <f>INT(C435/10)*10</f>
        <v/>
      </c>
    </row>
    <row r="436">
      <c r="A436" s="21" t="n">
        <v>455</v>
      </c>
      <c r="B436" s="21" t="inlineStr">
        <is>
          <t>Witchboard</t>
        </is>
      </c>
      <c r="C436" s="21" t="n">
        <v>1986</v>
      </c>
      <c r="D436" s="21" t="inlineStr">
        <is>
          <t>UK</t>
        </is>
      </c>
      <c r="E436" s="21" t="n">
        <v>98</v>
      </c>
      <c r="F436" s="21" t="inlineStr">
        <is>
          <t>English</t>
        </is>
      </c>
      <c r="G436" s="21" t="inlineStr">
        <is>
          <t>R</t>
        </is>
      </c>
      <c r="H436" s="22" t="n">
        <v>7369373</v>
      </c>
      <c r="I436" s="22" t="n">
        <v>2000000</v>
      </c>
      <c r="J436" s="21">
        <f>IF(OR(H436="",H436=25529689.5),"Yes","No")</f>
        <v/>
      </c>
      <c r="K436" s="21">
        <f>IF(AND(D436="USA",C436&gt;=1980,J436="No"),"Yes","No")</f>
        <v/>
      </c>
      <c r="L436" s="26">
        <f>IF(J436="Yes","",H436-I436)</f>
        <v/>
      </c>
      <c r="M436" s="27">
        <f>IF(OR(J436="Yes",I436=0),"",H436/I436)</f>
        <v/>
      </c>
      <c r="N436" s="21">
        <f>IF(J436="Yes","",IF(H436&gt;=I436,1,0))</f>
        <v/>
      </c>
      <c r="O436" s="21">
        <f>IF(I436&lt;=5000000,"Under $5M",IF(I436&lt;=20000000,"$5M-20M",IF(I436&lt;=50000000,"$20M-50M",IF(I436&lt;=100000000,"$50M-100M","$100M+"))))</f>
        <v/>
      </c>
      <c r="P436" s="21">
        <f>IF(E436&lt;=90,"90 or less",IF(E436&lt;=105,"91-105",IF(E436&lt;=120,"106-120",IF(E436&lt;=140,"121-140","Over 140"))))</f>
        <v/>
      </c>
      <c r="Q436" s="28">
        <f>INT(C436/10)*10</f>
        <v/>
      </c>
    </row>
    <row r="437">
      <c r="A437" s="21" t="n">
        <v>456</v>
      </c>
      <c r="B437" s="21" t="inlineStr">
        <is>
          <t>3 Men and a Baby</t>
        </is>
      </c>
      <c r="C437" s="21" t="n">
        <v>1987</v>
      </c>
      <c r="D437" s="21" t="inlineStr">
        <is>
          <t>USA</t>
        </is>
      </c>
      <c r="E437" s="21" t="n">
        <v>102</v>
      </c>
      <c r="F437" s="21" t="inlineStr">
        <is>
          <t>English</t>
        </is>
      </c>
      <c r="G437" s="21" t="inlineStr">
        <is>
          <t>PG</t>
        </is>
      </c>
      <c r="H437" s="22" t="n">
        <v>167780960</v>
      </c>
      <c r="I437" s="22" t="n">
        <v>11000000</v>
      </c>
      <c r="J437" s="21">
        <f>IF(OR(H437="",H437=25529689.5),"Yes","No")</f>
        <v/>
      </c>
      <c r="K437" s="21">
        <f>IF(AND(D437="USA",C437&gt;=1980,J437="No"),"Yes","No")</f>
        <v/>
      </c>
      <c r="L437" s="26">
        <f>IF(J437="Yes","",H437-I437)</f>
        <v/>
      </c>
      <c r="M437" s="27">
        <f>IF(OR(J437="Yes",I437=0),"",H437/I437)</f>
        <v/>
      </c>
      <c r="N437" s="21">
        <f>IF(J437="Yes","",IF(H437&gt;=I437,1,0))</f>
        <v/>
      </c>
      <c r="O437" s="21">
        <f>IF(I437&lt;=5000000,"Under $5M",IF(I437&lt;=20000000,"$5M-20M",IF(I437&lt;=50000000,"$20M-50M",IF(I437&lt;=100000000,"$50M-100M","$100M+"))))</f>
        <v/>
      </c>
      <c r="P437" s="21">
        <f>IF(E437&lt;=90,"90 or less",IF(E437&lt;=105,"91-105",IF(E437&lt;=120,"106-120",IF(E437&lt;=140,"121-140","Over 140"))))</f>
        <v/>
      </c>
      <c r="Q437" s="28">
        <f>INT(C437/10)*10</f>
        <v/>
      </c>
    </row>
    <row r="438">
      <c r="A438" s="21" t="n">
        <v>457</v>
      </c>
      <c r="B438" s="21" t="inlineStr">
        <is>
          <t>A Nightmare on Elm Street 3: Dream Warriors</t>
        </is>
      </c>
      <c r="C438" s="21" t="n">
        <v>1987</v>
      </c>
      <c r="D438" s="21" t="inlineStr">
        <is>
          <t>USA</t>
        </is>
      </c>
      <c r="E438" s="21" t="n">
        <v>88</v>
      </c>
      <c r="F438" s="21" t="inlineStr">
        <is>
          <t>English</t>
        </is>
      </c>
      <c r="G438" s="21" t="inlineStr">
        <is>
          <t>X</t>
        </is>
      </c>
      <c r="H438" s="22" t="n">
        <v>44793200</v>
      </c>
      <c r="I438" s="22" t="n">
        <v>4500000</v>
      </c>
      <c r="J438" s="21">
        <f>IF(OR(H438="",H438=25529689.5),"Yes","No")</f>
        <v/>
      </c>
      <c r="K438" s="21">
        <f>IF(AND(D438="USA",C438&gt;=1980,J438="No"),"Yes","No")</f>
        <v/>
      </c>
      <c r="L438" s="26">
        <f>IF(J438="Yes","",H438-I438)</f>
        <v/>
      </c>
      <c r="M438" s="27">
        <f>IF(OR(J438="Yes",I438=0),"",H438/I438)</f>
        <v/>
      </c>
      <c r="N438" s="21">
        <f>IF(J438="Yes","",IF(H438&gt;=I438,1,0))</f>
        <v/>
      </c>
      <c r="O438" s="21">
        <f>IF(I438&lt;=5000000,"Under $5M",IF(I438&lt;=20000000,"$5M-20M",IF(I438&lt;=50000000,"$20M-50M",IF(I438&lt;=100000000,"$50M-100M","$100M+"))))</f>
        <v/>
      </c>
      <c r="P438" s="21">
        <f>IF(E438&lt;=90,"90 or less",IF(E438&lt;=105,"91-105",IF(E438&lt;=120,"106-120",IF(E438&lt;=140,"121-140","Over 140"))))</f>
        <v/>
      </c>
      <c r="Q438" s="28">
        <f>INT(C438/10)*10</f>
        <v/>
      </c>
    </row>
    <row r="439">
      <c r="A439" s="21" t="n">
        <v>458</v>
      </c>
      <c r="B439" s="21" t="inlineStr">
        <is>
          <t>American Ninja 2: The Confrontation</t>
        </is>
      </c>
      <c r="C439" s="21" t="n">
        <v>1987</v>
      </c>
      <c r="D439" s="21" t="inlineStr">
        <is>
          <t>USA</t>
        </is>
      </c>
      <c r="E439" s="21" t="n">
        <v>90</v>
      </c>
      <c r="F439" s="21" t="inlineStr">
        <is>
          <t>English</t>
        </is>
      </c>
      <c r="G439" s="21" t="inlineStr">
        <is>
          <t>R</t>
        </is>
      </c>
      <c r="H439" s="22" t="n">
        <v>4000000</v>
      </c>
      <c r="I439" s="22" t="n">
        <v>350000</v>
      </c>
      <c r="J439" s="21">
        <f>IF(OR(H439="",H439=25529689.5),"Yes","No")</f>
        <v/>
      </c>
      <c r="K439" s="21">
        <f>IF(AND(D439="USA",C439&gt;=1980,J439="No"),"Yes","No")</f>
        <v/>
      </c>
      <c r="L439" s="26">
        <f>IF(J439="Yes","",H439-I439)</f>
        <v/>
      </c>
      <c r="M439" s="27">
        <f>IF(OR(J439="Yes",I439=0),"",H439/I439)</f>
        <v/>
      </c>
      <c r="N439" s="21">
        <f>IF(J439="Yes","",IF(H439&gt;=I439,1,0))</f>
        <v/>
      </c>
      <c r="O439" s="21">
        <f>IF(I439&lt;=5000000,"Under $5M",IF(I439&lt;=20000000,"$5M-20M",IF(I439&lt;=50000000,"$20M-50M",IF(I439&lt;=100000000,"$50M-100M","$100M+"))))</f>
        <v/>
      </c>
      <c r="P439" s="21">
        <f>IF(E439&lt;=90,"90 or less",IF(E439&lt;=105,"91-105",IF(E439&lt;=120,"106-120",IF(E439&lt;=140,"121-140","Over 140"))))</f>
        <v/>
      </c>
      <c r="Q439" s="28">
        <f>INT(C439/10)*10</f>
        <v/>
      </c>
    </row>
    <row r="440">
      <c r="A440" s="21" t="n">
        <v>459</v>
      </c>
      <c r="B440" s="21" t="inlineStr">
        <is>
          <t>Beverly Hills Cop II</t>
        </is>
      </c>
      <c r="C440" s="21" t="n">
        <v>1987</v>
      </c>
      <c r="D440" s="21" t="inlineStr">
        <is>
          <t>USA</t>
        </is>
      </c>
      <c r="E440" s="21" t="n">
        <v>100</v>
      </c>
      <c r="F440" s="21" t="inlineStr">
        <is>
          <t>English</t>
        </is>
      </c>
      <c r="G440" s="21" t="inlineStr">
        <is>
          <t>R</t>
        </is>
      </c>
      <c r="H440" s="22" t="n">
        <v>153665036</v>
      </c>
      <c r="I440" s="22" t="n">
        <v>28000000</v>
      </c>
      <c r="J440" s="21">
        <f>IF(OR(H440="",H440=25529689.5),"Yes","No")</f>
        <v/>
      </c>
      <c r="K440" s="21">
        <f>IF(AND(D440="USA",C440&gt;=1980,J440="No"),"Yes","No")</f>
        <v/>
      </c>
      <c r="L440" s="26">
        <f>IF(J440="Yes","",H440-I440)</f>
        <v/>
      </c>
      <c r="M440" s="27">
        <f>IF(OR(J440="Yes",I440=0),"",H440/I440)</f>
        <v/>
      </c>
      <c r="N440" s="21">
        <f>IF(J440="Yes","",IF(H440&gt;=I440,1,0))</f>
        <v/>
      </c>
      <c r="O440" s="21">
        <f>IF(I440&lt;=5000000,"Under $5M",IF(I440&lt;=20000000,"$5M-20M",IF(I440&lt;=50000000,"$20M-50M",IF(I440&lt;=100000000,"$50M-100M","$100M+"))))</f>
        <v/>
      </c>
      <c r="P440" s="21">
        <f>IF(E440&lt;=90,"90 or less",IF(E440&lt;=105,"91-105",IF(E440&lt;=120,"106-120",IF(E440&lt;=140,"121-140","Over 140"))))</f>
        <v/>
      </c>
      <c r="Q440" s="28">
        <f>INT(C440/10)*10</f>
        <v/>
      </c>
    </row>
    <row r="441">
      <c r="A441" s="21" t="n">
        <v>460</v>
      </c>
      <c r="B441" s="21" t="inlineStr">
        <is>
          <t>Creepshow 2</t>
        </is>
      </c>
      <c r="C441" s="21" t="n">
        <v>1987</v>
      </c>
      <c r="D441" s="21" t="inlineStr">
        <is>
          <t>USA</t>
        </is>
      </c>
      <c r="E441" s="21" t="n">
        <v>85</v>
      </c>
      <c r="F441" s="21" t="inlineStr">
        <is>
          <t>English</t>
        </is>
      </c>
      <c r="G441" s="21" t="inlineStr">
        <is>
          <t>R</t>
        </is>
      </c>
      <c r="H441" s="22" t="n">
        <v>14000000</v>
      </c>
      <c r="I441" s="22" t="n">
        <v>3500000</v>
      </c>
      <c r="J441" s="21">
        <f>IF(OR(H441="",H441=25529689.5),"Yes","No")</f>
        <v/>
      </c>
      <c r="K441" s="21">
        <f>IF(AND(D441="USA",C441&gt;=1980,J441="No"),"Yes","No")</f>
        <v/>
      </c>
      <c r="L441" s="26">
        <f>IF(J441="Yes","",H441-I441)</f>
        <v/>
      </c>
      <c r="M441" s="27">
        <f>IF(OR(J441="Yes",I441=0),"",H441/I441)</f>
        <v/>
      </c>
      <c r="N441" s="21">
        <f>IF(J441="Yes","",IF(H441&gt;=I441,1,0))</f>
        <v/>
      </c>
      <c r="O441" s="21">
        <f>IF(I441&lt;=5000000,"Under $5M",IF(I441&lt;=20000000,"$5M-20M",IF(I441&lt;=50000000,"$20M-50M",IF(I441&lt;=100000000,"$50M-100M","$100M+"))))</f>
        <v/>
      </c>
      <c r="P441" s="21">
        <f>IF(E441&lt;=90,"90 or less",IF(E441&lt;=105,"91-105",IF(E441&lt;=120,"106-120",IF(E441&lt;=140,"121-140","Over 140"))))</f>
        <v/>
      </c>
      <c r="Q441" s="28">
        <f>INT(C441/10)*10</f>
        <v/>
      </c>
    </row>
    <row r="442">
      <c r="A442" s="21" t="n">
        <v>461</v>
      </c>
      <c r="B442" s="21" t="inlineStr">
        <is>
          <t>Cry Freedom</t>
        </is>
      </c>
      <c r="C442" s="21" t="n">
        <v>1987</v>
      </c>
      <c r="D442" s="21" t="inlineStr">
        <is>
          <t>UK</t>
        </is>
      </c>
      <c r="E442" s="21" t="n">
        <v>147</v>
      </c>
      <c r="F442" s="21" t="inlineStr">
        <is>
          <t>English</t>
        </is>
      </c>
      <c r="G442" s="21" t="inlineStr">
        <is>
          <t>PG</t>
        </is>
      </c>
      <c r="H442" s="22" t="n">
        <v>5899797</v>
      </c>
      <c r="I442" s="22" t="n">
        <v>29000000</v>
      </c>
      <c r="J442" s="21">
        <f>IF(OR(H442="",H442=25529689.5),"Yes","No")</f>
        <v/>
      </c>
      <c r="K442" s="21">
        <f>IF(AND(D442="USA",C442&gt;=1980,J442="No"),"Yes","No")</f>
        <v/>
      </c>
      <c r="L442" s="26">
        <f>IF(J442="Yes","",H442-I442)</f>
        <v/>
      </c>
      <c r="M442" s="27">
        <f>IF(OR(J442="Yes",I442=0),"",H442/I442)</f>
        <v/>
      </c>
      <c r="N442" s="21">
        <f>IF(J442="Yes","",IF(H442&gt;=I442,1,0))</f>
        <v/>
      </c>
      <c r="O442" s="21">
        <f>IF(I442&lt;=5000000,"Under $5M",IF(I442&lt;=20000000,"$5M-20M",IF(I442&lt;=50000000,"$20M-50M",IF(I442&lt;=100000000,"$50M-100M","$100M+"))))</f>
        <v/>
      </c>
      <c r="P442" s="21">
        <f>IF(E442&lt;=90,"90 or less",IF(E442&lt;=105,"91-105",IF(E442&lt;=120,"106-120",IF(E442&lt;=140,"121-140","Over 140"))))</f>
        <v/>
      </c>
      <c r="Q442" s="28">
        <f>INT(C442/10)*10</f>
        <v/>
      </c>
    </row>
    <row r="443">
      <c r="A443" s="21" t="n">
        <v>462</v>
      </c>
      <c r="B443" s="21" t="inlineStr">
        <is>
          <t>Evil Dead II</t>
        </is>
      </c>
      <c r="C443" s="21" t="n">
        <v>1987</v>
      </c>
      <c r="D443" s="21" t="inlineStr">
        <is>
          <t>USA</t>
        </is>
      </c>
      <c r="E443" s="21" t="n">
        <v>37</v>
      </c>
      <c r="F443" s="21" t="inlineStr">
        <is>
          <t>English</t>
        </is>
      </c>
      <c r="G443" s="21" t="inlineStr">
        <is>
          <t>X</t>
        </is>
      </c>
      <c r="H443" s="22" t="n">
        <v>5923044</v>
      </c>
      <c r="I443" s="22" t="n">
        <v>3600000</v>
      </c>
      <c r="J443" s="21">
        <f>IF(OR(H443="",H443=25529689.5),"Yes","No")</f>
        <v/>
      </c>
      <c r="K443" s="21">
        <f>IF(AND(D443="USA",C443&gt;=1980,J443="No"),"Yes","No")</f>
        <v/>
      </c>
      <c r="L443" s="26">
        <f>IF(J443="Yes","",H443-I443)</f>
        <v/>
      </c>
      <c r="M443" s="27">
        <f>IF(OR(J443="Yes",I443=0),"",H443/I443)</f>
        <v/>
      </c>
      <c r="N443" s="21">
        <f>IF(J443="Yes","",IF(H443&gt;=I443,1,0))</f>
        <v/>
      </c>
      <c r="O443" s="21">
        <f>IF(I443&lt;=5000000,"Under $5M",IF(I443&lt;=20000000,"$5M-20M",IF(I443&lt;=50000000,"$20M-50M",IF(I443&lt;=100000000,"$50M-100M","$100M+"))))</f>
        <v/>
      </c>
      <c r="P443" s="21">
        <f>IF(E443&lt;=90,"90 or less",IF(E443&lt;=105,"91-105",IF(E443&lt;=120,"106-120",IF(E443&lt;=140,"121-140","Over 140"))))</f>
        <v/>
      </c>
      <c r="Q443" s="28">
        <f>INT(C443/10)*10</f>
        <v/>
      </c>
    </row>
    <row r="444">
      <c r="A444" s="21" t="n">
        <v>463</v>
      </c>
      <c r="B444" s="21" t="inlineStr">
        <is>
          <t>Fatal Attraction</t>
        </is>
      </c>
      <c r="C444" s="21" t="n">
        <v>1987</v>
      </c>
      <c r="D444" s="21" t="inlineStr">
        <is>
          <t>USA</t>
        </is>
      </c>
      <c r="E444" s="21" t="n">
        <v>119</v>
      </c>
      <c r="F444" s="21" t="inlineStr">
        <is>
          <t>English</t>
        </is>
      </c>
      <c r="G444" s="21" t="inlineStr">
        <is>
          <t>R</t>
        </is>
      </c>
      <c r="H444" s="22" t="n">
        <v>156645693</v>
      </c>
      <c r="I444" s="22" t="n">
        <v>14000000</v>
      </c>
      <c r="J444" s="21">
        <f>IF(OR(H444="",H444=25529689.5),"Yes","No")</f>
        <v/>
      </c>
      <c r="K444" s="21">
        <f>IF(AND(D444="USA",C444&gt;=1980,J444="No"),"Yes","No")</f>
        <v/>
      </c>
      <c r="L444" s="26">
        <f>IF(J444="Yes","",H444-I444)</f>
        <v/>
      </c>
      <c r="M444" s="27">
        <f>IF(OR(J444="Yes",I444=0),"",H444/I444)</f>
        <v/>
      </c>
      <c r="N444" s="21">
        <f>IF(J444="Yes","",IF(H444&gt;=I444,1,0))</f>
        <v/>
      </c>
      <c r="O444" s="21">
        <f>IF(I444&lt;=5000000,"Under $5M",IF(I444&lt;=20000000,"$5M-20M",IF(I444&lt;=50000000,"$20M-50M",IF(I444&lt;=100000000,"$50M-100M","$100M+"))))</f>
        <v/>
      </c>
      <c r="P444" s="21">
        <f>IF(E444&lt;=90,"90 or less",IF(E444&lt;=105,"91-105",IF(E444&lt;=120,"106-120",IF(E444&lt;=140,"121-140","Over 140"))))</f>
        <v/>
      </c>
      <c r="Q444" s="28">
        <f>INT(C444/10)*10</f>
        <v/>
      </c>
    </row>
    <row r="445">
      <c r="A445" s="21" t="n">
        <v>464</v>
      </c>
      <c r="B445" s="21" t="inlineStr">
        <is>
          <t>From a Whisper to a Scream</t>
        </is>
      </c>
      <c r="C445" s="21" t="n">
        <v>1987</v>
      </c>
      <c r="D445" s="21" t="inlineStr">
        <is>
          <t>USA</t>
        </is>
      </c>
      <c r="E445" s="21" t="n">
        <v>92</v>
      </c>
      <c r="F445" s="21" t="inlineStr">
        <is>
          <t>English</t>
        </is>
      </c>
      <c r="G445" s="21" t="inlineStr">
        <is>
          <t>R</t>
        </is>
      </c>
      <c r="H445" s="22" t="n">
        <v>1400000</v>
      </c>
      <c r="I445" s="22" t="n">
        <v>1100000</v>
      </c>
      <c r="J445" s="21">
        <f>IF(OR(H445="",H445=25529689.5),"Yes","No")</f>
        <v/>
      </c>
      <c r="K445" s="21">
        <f>IF(AND(D445="USA",C445&gt;=1980,J445="No"),"Yes","No")</f>
        <v/>
      </c>
      <c r="L445" s="26">
        <f>IF(J445="Yes","",H445-I445)</f>
        <v/>
      </c>
      <c r="M445" s="27">
        <f>IF(OR(J445="Yes",I445=0),"",H445/I445)</f>
        <v/>
      </c>
      <c r="N445" s="21">
        <f>IF(J445="Yes","",IF(H445&gt;=I445,1,0))</f>
        <v/>
      </c>
      <c r="O445" s="21">
        <f>IF(I445&lt;=5000000,"Under $5M",IF(I445&lt;=20000000,"$5M-20M",IF(I445&lt;=50000000,"$20M-50M",IF(I445&lt;=100000000,"$50M-100M","$100M+"))))</f>
        <v/>
      </c>
      <c r="P445" s="21">
        <f>IF(E445&lt;=90,"90 or less",IF(E445&lt;=105,"91-105",IF(E445&lt;=120,"106-120",IF(E445&lt;=140,"121-140","Over 140"))))</f>
        <v/>
      </c>
      <c r="Q445" s="28">
        <f>INT(C445/10)*10</f>
        <v/>
      </c>
    </row>
    <row r="446">
      <c r="A446" s="21" t="n">
        <v>465</v>
      </c>
      <c r="B446" s="21" t="inlineStr">
        <is>
          <t>Good Morning, Vietnam</t>
        </is>
      </c>
      <c r="C446" s="21" t="n">
        <v>1987</v>
      </c>
      <c r="D446" s="21" t="inlineStr">
        <is>
          <t>USA</t>
        </is>
      </c>
      <c r="E446" s="21" t="n">
        <v>121</v>
      </c>
      <c r="F446" s="21" t="inlineStr">
        <is>
          <t>English</t>
        </is>
      </c>
      <c r="G446" s="21" t="inlineStr">
        <is>
          <t>R</t>
        </is>
      </c>
      <c r="H446" s="22" t="n">
        <v>123922370</v>
      </c>
      <c r="I446" s="22" t="n">
        <v>13000000</v>
      </c>
      <c r="J446" s="21">
        <f>IF(OR(H446="",H446=25529689.5),"Yes","No")</f>
        <v/>
      </c>
      <c r="K446" s="21">
        <f>IF(AND(D446="USA",C446&gt;=1980,J446="No"),"Yes","No")</f>
        <v/>
      </c>
      <c r="L446" s="26">
        <f>IF(J446="Yes","",H446-I446)</f>
        <v/>
      </c>
      <c r="M446" s="27">
        <f>IF(OR(J446="Yes",I446=0),"",H446/I446)</f>
        <v/>
      </c>
      <c r="N446" s="21">
        <f>IF(J446="Yes","",IF(H446&gt;=I446,1,0))</f>
        <v/>
      </c>
      <c r="O446" s="21">
        <f>IF(I446&lt;=5000000,"Under $5M",IF(I446&lt;=20000000,"$5M-20M",IF(I446&lt;=50000000,"$20M-50M",IF(I446&lt;=100000000,"$50M-100M","$100M+"))))</f>
        <v/>
      </c>
      <c r="P446" s="21">
        <f>IF(E446&lt;=90,"90 or less",IF(E446&lt;=105,"91-105",IF(E446&lt;=120,"106-120",IF(E446&lt;=140,"121-140","Over 140"))))</f>
        <v/>
      </c>
      <c r="Q446" s="28">
        <f>INT(C446/10)*10</f>
        <v/>
      </c>
    </row>
    <row r="447">
      <c r="A447" s="21" t="n">
        <v>466</v>
      </c>
      <c r="B447" s="21" t="inlineStr">
        <is>
          <t>Hellraiser</t>
        </is>
      </c>
      <c r="C447" s="21" t="n">
        <v>1987</v>
      </c>
      <c r="D447" s="21" t="inlineStr">
        <is>
          <t>UK</t>
        </is>
      </c>
      <c r="E447" s="21" t="n">
        <v>86</v>
      </c>
      <c r="F447" s="21" t="inlineStr">
        <is>
          <t>English</t>
        </is>
      </c>
      <c r="G447" s="21" t="inlineStr">
        <is>
          <t>R</t>
        </is>
      </c>
      <c r="H447" s="22" t="n">
        <v>14564027</v>
      </c>
      <c r="I447" s="22" t="n">
        <v>1000000</v>
      </c>
      <c r="J447" s="21">
        <f>IF(OR(H447="",H447=25529689.5),"Yes","No")</f>
        <v/>
      </c>
      <c r="K447" s="21">
        <f>IF(AND(D447="USA",C447&gt;=1980,J447="No"),"Yes","No")</f>
        <v/>
      </c>
      <c r="L447" s="26">
        <f>IF(J447="Yes","",H447-I447)</f>
        <v/>
      </c>
      <c r="M447" s="27">
        <f>IF(OR(J447="Yes",I447=0),"",H447/I447)</f>
        <v/>
      </c>
      <c r="N447" s="21">
        <f>IF(J447="Yes","",IF(H447&gt;=I447,1,0))</f>
        <v/>
      </c>
      <c r="O447" s="21">
        <f>IF(I447&lt;=5000000,"Under $5M",IF(I447&lt;=20000000,"$5M-20M",IF(I447&lt;=50000000,"$20M-50M",IF(I447&lt;=100000000,"$50M-100M","$100M+"))))</f>
        <v/>
      </c>
      <c r="P447" s="21">
        <f>IF(E447&lt;=90,"90 or less",IF(E447&lt;=105,"91-105",IF(E447&lt;=120,"106-120",IF(E447&lt;=140,"121-140","Over 140"))))</f>
        <v/>
      </c>
      <c r="Q447" s="28">
        <f>INT(C447/10)*10</f>
        <v/>
      </c>
    </row>
    <row r="448">
      <c r="A448" s="21" t="n">
        <v>467</v>
      </c>
      <c r="B448" s="21" t="inlineStr">
        <is>
          <t>Hollywood Shuffle</t>
        </is>
      </c>
      <c r="C448" s="21" t="n">
        <v>1987</v>
      </c>
      <c r="D448" s="21" t="inlineStr">
        <is>
          <t>USA</t>
        </is>
      </c>
      <c r="E448" s="21" t="n">
        <v>81</v>
      </c>
      <c r="F448" s="21" t="inlineStr">
        <is>
          <t>English</t>
        </is>
      </c>
      <c r="G448" s="21" t="inlineStr">
        <is>
          <t>R</t>
        </is>
      </c>
      <c r="H448" s="22" t="n">
        <v>5228617</v>
      </c>
      <c r="I448" s="22" t="n">
        <v>100000</v>
      </c>
      <c r="J448" s="21">
        <f>IF(OR(H448="",H448=25529689.5),"Yes","No")</f>
        <v/>
      </c>
      <c r="K448" s="21">
        <f>IF(AND(D448="USA",C448&gt;=1980,J448="No"),"Yes","No")</f>
        <v/>
      </c>
      <c r="L448" s="26">
        <f>IF(J448="Yes","",H448-I448)</f>
        <v/>
      </c>
      <c r="M448" s="27">
        <f>IF(OR(J448="Yes",I448=0),"",H448/I448)</f>
        <v/>
      </c>
      <c r="N448" s="21">
        <f>IF(J448="Yes","",IF(H448&gt;=I448,1,0))</f>
        <v/>
      </c>
      <c r="O448" s="21">
        <f>IF(I448&lt;=5000000,"Under $5M",IF(I448&lt;=20000000,"$5M-20M",IF(I448&lt;=50000000,"$20M-50M",IF(I448&lt;=100000000,"$50M-100M","$100M+"))))</f>
        <v/>
      </c>
      <c r="P448" s="21">
        <f>IF(E448&lt;=90,"90 or less",IF(E448&lt;=105,"91-105",IF(E448&lt;=120,"106-120",IF(E448&lt;=140,"121-140","Over 140"))))</f>
        <v/>
      </c>
      <c r="Q448" s="28">
        <f>INT(C448/10)*10</f>
        <v/>
      </c>
    </row>
    <row r="449">
      <c r="A449" s="21" t="n">
        <v>468</v>
      </c>
      <c r="B449" s="21" t="inlineStr">
        <is>
          <t>Ishtar</t>
        </is>
      </c>
      <c r="C449" s="21" t="n">
        <v>1987</v>
      </c>
      <c r="D449" s="21" t="inlineStr">
        <is>
          <t>USA</t>
        </is>
      </c>
      <c r="E449" s="21" t="n">
        <v>107</v>
      </c>
      <c r="F449" s="21" t="inlineStr">
        <is>
          <t>English</t>
        </is>
      </c>
      <c r="G449" s="21" t="inlineStr">
        <is>
          <t>PG-13</t>
        </is>
      </c>
      <c r="H449" s="22" t="n">
        <v>14375181</v>
      </c>
      <c r="I449" s="22" t="n">
        <v>51000000</v>
      </c>
      <c r="J449" s="21">
        <f>IF(OR(H449="",H449=25529689.5),"Yes","No")</f>
        <v/>
      </c>
      <c r="K449" s="21">
        <f>IF(AND(D449="USA",C449&gt;=1980,J449="No"),"Yes","No")</f>
        <v/>
      </c>
      <c r="L449" s="26">
        <f>IF(J449="Yes","",H449-I449)</f>
        <v/>
      </c>
      <c r="M449" s="27">
        <f>IF(OR(J449="Yes",I449=0),"",H449/I449)</f>
        <v/>
      </c>
      <c r="N449" s="21">
        <f>IF(J449="Yes","",IF(H449&gt;=I449,1,0))</f>
        <v/>
      </c>
      <c r="O449" s="21">
        <f>IF(I449&lt;=5000000,"Under $5M",IF(I449&lt;=20000000,"$5M-20M",IF(I449&lt;=50000000,"$20M-50M",IF(I449&lt;=100000000,"$50M-100M","$100M+"))))</f>
        <v/>
      </c>
      <c r="P449" s="21">
        <f>IF(E449&lt;=90,"90 or less",IF(E449&lt;=105,"91-105",IF(E449&lt;=120,"106-120",IF(E449&lt;=140,"121-140","Over 140"))))</f>
        <v/>
      </c>
      <c r="Q449" s="28">
        <f>INT(C449/10)*10</f>
        <v/>
      </c>
    </row>
    <row r="450">
      <c r="A450" s="21" t="n">
        <v>469</v>
      </c>
      <c r="B450" s="21" t="inlineStr">
        <is>
          <t>Jaws: The Revenge</t>
        </is>
      </c>
      <c r="C450" s="21" t="n">
        <v>1987</v>
      </c>
      <c r="D450" s="21" t="inlineStr">
        <is>
          <t>USA</t>
        </is>
      </c>
      <c r="E450" s="21" t="n">
        <v>92</v>
      </c>
      <c r="F450" s="21" t="inlineStr">
        <is>
          <t>English</t>
        </is>
      </c>
      <c r="G450" s="21" t="inlineStr">
        <is>
          <t>PG-13</t>
        </is>
      </c>
      <c r="H450" s="22" t="n">
        <v>20763013</v>
      </c>
      <c r="I450" s="22" t="n">
        <v>23000000</v>
      </c>
      <c r="J450" s="21">
        <f>IF(OR(H450="",H450=25529689.5),"Yes","No")</f>
        <v/>
      </c>
      <c r="K450" s="21">
        <f>IF(AND(D450="USA",C450&gt;=1980,J450="No"),"Yes","No")</f>
        <v/>
      </c>
      <c r="L450" s="26">
        <f>IF(J450="Yes","",H450-I450)</f>
        <v/>
      </c>
      <c r="M450" s="27">
        <f>IF(OR(J450="Yes",I450=0),"",H450/I450)</f>
        <v/>
      </c>
      <c r="N450" s="21">
        <f>IF(J450="Yes","",IF(H450&gt;=I450,1,0))</f>
        <v/>
      </c>
      <c r="O450" s="21">
        <f>IF(I450&lt;=5000000,"Under $5M",IF(I450&lt;=20000000,"$5M-20M",IF(I450&lt;=50000000,"$20M-50M",IF(I450&lt;=100000000,"$50M-100M","$100M+"))))</f>
        <v/>
      </c>
      <c r="P450" s="21">
        <f>IF(E450&lt;=90,"90 or less",IF(E450&lt;=105,"91-105",IF(E450&lt;=120,"106-120",IF(E450&lt;=140,"121-140","Over 140"))))</f>
        <v/>
      </c>
      <c r="Q450" s="28">
        <f>INT(C450/10)*10</f>
        <v/>
      </c>
    </row>
    <row r="451">
      <c r="A451" s="21" t="n">
        <v>470</v>
      </c>
      <c r="B451" s="21" t="inlineStr">
        <is>
          <t>La Bamba</t>
        </is>
      </c>
      <c r="C451" s="21" t="n">
        <v>1987</v>
      </c>
      <c r="D451" s="21" t="inlineStr">
        <is>
          <t>USA</t>
        </is>
      </c>
      <c r="E451" s="21" t="n">
        <v>108</v>
      </c>
      <c r="F451" s="21" t="inlineStr">
        <is>
          <t>English</t>
        </is>
      </c>
      <c r="G451" s="21" t="inlineStr">
        <is>
          <t>PG-13</t>
        </is>
      </c>
      <c r="H451" s="22" t="n">
        <v>54215416</v>
      </c>
      <c r="I451" s="22" t="n">
        <v>6500000</v>
      </c>
      <c r="J451" s="21">
        <f>IF(OR(H451="",H451=25529689.5),"Yes","No")</f>
        <v/>
      </c>
      <c r="K451" s="21">
        <f>IF(AND(D451="USA",C451&gt;=1980,J451="No"),"Yes","No")</f>
        <v/>
      </c>
      <c r="L451" s="26">
        <f>IF(J451="Yes","",H451-I451)</f>
        <v/>
      </c>
      <c r="M451" s="27">
        <f>IF(OR(J451="Yes",I451=0),"",H451/I451)</f>
        <v/>
      </c>
      <c r="N451" s="21">
        <f>IF(J451="Yes","",IF(H451&gt;=I451,1,0))</f>
        <v/>
      </c>
      <c r="O451" s="21">
        <f>IF(I451&lt;=5000000,"Under $5M",IF(I451&lt;=20000000,"$5M-20M",IF(I451&lt;=50000000,"$20M-50M",IF(I451&lt;=100000000,"$50M-100M","$100M+"))))</f>
        <v/>
      </c>
      <c r="P451" s="21">
        <f>IF(E451&lt;=90,"90 or less",IF(E451&lt;=105,"91-105",IF(E451&lt;=120,"106-120",IF(E451&lt;=140,"121-140","Over 140"))))</f>
        <v/>
      </c>
      <c r="Q451" s="28">
        <f>INT(C451/10)*10</f>
        <v/>
      </c>
    </row>
    <row r="452">
      <c r="A452" s="21" t="n">
        <v>471</v>
      </c>
      <c r="B452" s="21" t="inlineStr">
        <is>
          <t>Malone</t>
        </is>
      </c>
      <c r="C452" s="21" t="n">
        <v>1987</v>
      </c>
      <c r="D452" s="21" t="inlineStr">
        <is>
          <t>USA</t>
        </is>
      </c>
      <c r="E452" s="21" t="n">
        <v>92</v>
      </c>
      <c r="F452" s="21" t="inlineStr">
        <is>
          <t>English</t>
        </is>
      </c>
      <c r="G452" s="21" t="inlineStr">
        <is>
          <t>R</t>
        </is>
      </c>
      <c r="H452" s="22" t="n">
        <v>3060858</v>
      </c>
      <c r="I452" s="22" t="n">
        <v>10000000</v>
      </c>
      <c r="J452" s="21">
        <f>IF(OR(H452="",H452=25529689.5),"Yes","No")</f>
        <v/>
      </c>
      <c r="K452" s="21">
        <f>IF(AND(D452="USA",C452&gt;=1980,J452="No"),"Yes","No")</f>
        <v/>
      </c>
      <c r="L452" s="26">
        <f>IF(J452="Yes","",H452-I452)</f>
        <v/>
      </c>
      <c r="M452" s="27">
        <f>IF(OR(J452="Yes",I452=0),"",H452/I452)</f>
        <v/>
      </c>
      <c r="N452" s="21">
        <f>IF(J452="Yes","",IF(H452&gt;=I452,1,0))</f>
        <v/>
      </c>
      <c r="O452" s="21">
        <f>IF(I452&lt;=5000000,"Under $5M",IF(I452&lt;=20000000,"$5M-20M",IF(I452&lt;=50000000,"$20M-50M",IF(I452&lt;=100000000,"$50M-100M","$100M+"))))</f>
        <v/>
      </c>
      <c r="P452" s="21">
        <f>IF(E452&lt;=90,"90 or less",IF(E452&lt;=105,"91-105",IF(E452&lt;=120,"106-120",IF(E452&lt;=140,"121-140","Over 140"))))</f>
        <v/>
      </c>
      <c r="Q452" s="28">
        <f>INT(C452/10)*10</f>
        <v/>
      </c>
    </row>
    <row r="453">
      <c r="A453" s="21" t="n">
        <v>472</v>
      </c>
      <c r="B453" s="21" t="inlineStr">
        <is>
          <t>Maurice</t>
        </is>
      </c>
      <c r="C453" s="21" t="n">
        <v>1987</v>
      </c>
      <c r="D453" s="21" t="inlineStr">
        <is>
          <t>UK</t>
        </is>
      </c>
      <c r="E453" s="21" t="n">
        <v>140</v>
      </c>
      <c r="F453" s="21" t="inlineStr">
        <is>
          <t>English</t>
        </is>
      </c>
      <c r="G453" s="21" t="inlineStr">
        <is>
          <t>R</t>
        </is>
      </c>
      <c r="H453" s="22" t="n">
        <v>3130592</v>
      </c>
      <c r="I453" s="22" t="n">
        <v>2600000</v>
      </c>
      <c r="J453" s="21">
        <f>IF(OR(H453="",H453=25529689.5),"Yes","No")</f>
        <v/>
      </c>
      <c r="K453" s="21">
        <f>IF(AND(D453="USA",C453&gt;=1980,J453="No"),"Yes","No")</f>
        <v/>
      </c>
      <c r="L453" s="26">
        <f>IF(J453="Yes","",H453-I453)</f>
        <v/>
      </c>
      <c r="M453" s="27">
        <f>IF(OR(J453="Yes",I453=0),"",H453/I453)</f>
        <v/>
      </c>
      <c r="N453" s="21">
        <f>IF(J453="Yes","",IF(H453&gt;=I453,1,0))</f>
        <v/>
      </c>
      <c r="O453" s="21">
        <f>IF(I453&lt;=5000000,"Under $5M",IF(I453&lt;=20000000,"$5M-20M",IF(I453&lt;=50000000,"$20M-50M",IF(I453&lt;=100000000,"$50M-100M","$100M+"))))</f>
        <v/>
      </c>
      <c r="P453" s="21">
        <f>IF(E453&lt;=90,"90 or less",IF(E453&lt;=105,"91-105",IF(E453&lt;=120,"106-120",IF(E453&lt;=140,"121-140","Over 140"))))</f>
        <v/>
      </c>
      <c r="Q453" s="28">
        <f>INT(C453/10)*10</f>
        <v/>
      </c>
    </row>
    <row r="454">
      <c r="A454" s="21" t="n">
        <v>473</v>
      </c>
      <c r="B454" s="21" t="inlineStr">
        <is>
          <t>Predator</t>
        </is>
      </c>
      <c r="C454" s="21" t="n">
        <v>1987</v>
      </c>
      <c r="D454" s="21" t="inlineStr">
        <is>
          <t>USA</t>
        </is>
      </c>
      <c r="E454" s="21" t="n">
        <v>107</v>
      </c>
      <c r="F454" s="21" t="inlineStr">
        <is>
          <t>English</t>
        </is>
      </c>
      <c r="G454" s="21" t="inlineStr">
        <is>
          <t>R</t>
        </is>
      </c>
      <c r="H454" s="22" t="n">
        <v>59735548</v>
      </c>
      <c r="I454" s="22" t="n">
        <v>15000000</v>
      </c>
      <c r="J454" s="21">
        <f>IF(OR(H454="",H454=25529689.5),"Yes","No")</f>
        <v/>
      </c>
      <c r="K454" s="21">
        <f>IF(AND(D454="USA",C454&gt;=1980,J454="No"),"Yes","No")</f>
        <v/>
      </c>
      <c r="L454" s="26">
        <f>IF(J454="Yes","",H454-I454)</f>
        <v/>
      </c>
      <c r="M454" s="27">
        <f>IF(OR(J454="Yes",I454=0),"",H454/I454)</f>
        <v/>
      </c>
      <c r="N454" s="21">
        <f>IF(J454="Yes","",IF(H454&gt;=I454,1,0))</f>
        <v/>
      </c>
      <c r="O454" s="21">
        <f>IF(I454&lt;=5000000,"Under $5M",IF(I454&lt;=20000000,"$5M-20M",IF(I454&lt;=50000000,"$20M-50M",IF(I454&lt;=100000000,"$50M-100M","$100M+"))))</f>
        <v/>
      </c>
      <c r="P454" s="21">
        <f>IF(E454&lt;=90,"90 or less",IF(E454&lt;=105,"91-105",IF(E454&lt;=120,"106-120",IF(E454&lt;=140,"121-140","Over 140"))))</f>
        <v/>
      </c>
      <c r="Q454" s="28">
        <f>INT(C454/10)*10</f>
        <v/>
      </c>
    </row>
    <row r="455">
      <c r="A455" s="21" t="n">
        <v>474</v>
      </c>
      <c r="B455" s="21" t="inlineStr">
        <is>
          <t>Prison</t>
        </is>
      </c>
      <c r="C455" s="21" t="n">
        <v>1987</v>
      </c>
      <c r="D455" s="21" t="inlineStr">
        <is>
          <t>USA</t>
        </is>
      </c>
      <c r="E455" s="21" t="n">
        <v>102</v>
      </c>
      <c r="F455" s="21" t="inlineStr">
        <is>
          <t>English</t>
        </is>
      </c>
      <c r="G455" s="21" t="inlineStr">
        <is>
          <t>R</t>
        </is>
      </c>
      <c r="H455" s="22" t="n">
        <v>354704</v>
      </c>
      <c r="I455" s="22" t="n">
        <v>1300000</v>
      </c>
      <c r="J455" s="21">
        <f>IF(OR(H455="",H455=25529689.5),"Yes","No")</f>
        <v/>
      </c>
      <c r="K455" s="21">
        <f>IF(AND(D455="USA",C455&gt;=1980,J455="No"),"Yes","No")</f>
        <v/>
      </c>
      <c r="L455" s="26">
        <f>IF(J455="Yes","",H455-I455)</f>
        <v/>
      </c>
      <c r="M455" s="27">
        <f>IF(OR(J455="Yes",I455=0),"",H455/I455)</f>
        <v/>
      </c>
      <c r="N455" s="21">
        <f>IF(J455="Yes","",IF(H455&gt;=I455,1,0))</f>
        <v/>
      </c>
      <c r="O455" s="21">
        <f>IF(I455&lt;=5000000,"Under $5M",IF(I455&lt;=20000000,"$5M-20M",IF(I455&lt;=50000000,"$20M-50M",IF(I455&lt;=100000000,"$50M-100M","$100M+"))))</f>
        <v/>
      </c>
      <c r="P455" s="21">
        <f>IF(E455&lt;=90,"90 or less",IF(E455&lt;=105,"91-105",IF(E455&lt;=120,"106-120",IF(E455&lt;=140,"121-140","Over 140"))))</f>
        <v/>
      </c>
      <c r="Q455" s="28">
        <f>INT(C455/10)*10</f>
        <v/>
      </c>
    </row>
    <row r="456">
      <c r="A456" s="21" t="n">
        <v>475</v>
      </c>
      <c r="B456" s="21" t="inlineStr">
        <is>
          <t>Radio Days</t>
        </is>
      </c>
      <c r="C456" s="21" t="n">
        <v>1987</v>
      </c>
      <c r="D456" s="21" t="inlineStr">
        <is>
          <t>USA</t>
        </is>
      </c>
      <c r="E456" s="21" t="n">
        <v>88</v>
      </c>
      <c r="F456" s="21" t="inlineStr">
        <is>
          <t>English</t>
        </is>
      </c>
      <c r="G456" s="21" t="inlineStr">
        <is>
          <t>PG</t>
        </is>
      </c>
      <c r="H456" s="22" t="n">
        <v>14792779</v>
      </c>
      <c r="I456" s="22" t="n">
        <v>16000000</v>
      </c>
      <c r="J456" s="21">
        <f>IF(OR(H456="",H456=25529689.5),"Yes","No")</f>
        <v/>
      </c>
      <c r="K456" s="21">
        <f>IF(AND(D456="USA",C456&gt;=1980,J456="No"),"Yes","No")</f>
        <v/>
      </c>
      <c r="L456" s="26">
        <f>IF(J456="Yes","",H456-I456)</f>
        <v/>
      </c>
      <c r="M456" s="27">
        <f>IF(OR(J456="Yes",I456=0),"",H456/I456)</f>
        <v/>
      </c>
      <c r="N456" s="21">
        <f>IF(J456="Yes","",IF(H456&gt;=I456,1,0))</f>
        <v/>
      </c>
      <c r="O456" s="21">
        <f>IF(I456&lt;=5000000,"Under $5M",IF(I456&lt;=20000000,"$5M-20M",IF(I456&lt;=50000000,"$20M-50M",IF(I456&lt;=100000000,"$50M-100M","$100M+"))))</f>
        <v/>
      </c>
      <c r="P456" s="21">
        <f>IF(E456&lt;=90,"90 or less",IF(E456&lt;=105,"91-105",IF(E456&lt;=120,"106-120",IF(E456&lt;=140,"121-140","Over 140"))))</f>
        <v/>
      </c>
      <c r="Q456" s="28">
        <f>INT(C456/10)*10</f>
        <v/>
      </c>
    </row>
    <row r="457">
      <c r="A457" s="21" t="n">
        <v>476</v>
      </c>
      <c r="B457" s="21" t="inlineStr">
        <is>
          <t>Spaceballs</t>
        </is>
      </c>
      <c r="C457" s="21" t="n">
        <v>1987</v>
      </c>
      <c r="D457" s="21" t="inlineStr">
        <is>
          <t>USA</t>
        </is>
      </c>
      <c r="E457" s="21" t="n">
        <v>96</v>
      </c>
      <c r="F457" s="21" t="inlineStr">
        <is>
          <t>English</t>
        </is>
      </c>
      <c r="G457" s="21" t="inlineStr">
        <is>
          <t>PG</t>
        </is>
      </c>
      <c r="H457" s="22" t="n">
        <v>38119483</v>
      </c>
      <c r="I457" s="22" t="n">
        <v>22700000</v>
      </c>
      <c r="J457" s="21">
        <f>IF(OR(H457="",H457=25529689.5),"Yes","No")</f>
        <v/>
      </c>
      <c r="K457" s="21">
        <f>IF(AND(D457="USA",C457&gt;=1980,J457="No"),"Yes","No")</f>
        <v/>
      </c>
      <c r="L457" s="26">
        <f>IF(J457="Yes","",H457-I457)</f>
        <v/>
      </c>
      <c r="M457" s="27">
        <f>IF(OR(J457="Yes",I457=0),"",H457/I457)</f>
        <v/>
      </c>
      <c r="N457" s="21">
        <f>IF(J457="Yes","",IF(H457&gt;=I457,1,0))</f>
        <v/>
      </c>
      <c r="O457" s="21">
        <f>IF(I457&lt;=5000000,"Under $5M",IF(I457&lt;=20000000,"$5M-20M",IF(I457&lt;=50000000,"$20M-50M",IF(I457&lt;=100000000,"$50M-100M","$100M+"))))</f>
        <v/>
      </c>
      <c r="P457" s="21">
        <f>IF(E457&lt;=90,"90 or less",IF(E457&lt;=105,"91-105",IF(E457&lt;=120,"106-120",IF(E457&lt;=140,"121-140","Over 140"))))</f>
        <v/>
      </c>
      <c r="Q457" s="28">
        <f>INT(C457/10)*10</f>
        <v/>
      </c>
    </row>
    <row r="458">
      <c r="A458" s="21" t="n">
        <v>477</v>
      </c>
      <c r="B458" s="21" t="inlineStr">
        <is>
          <t>Superman IV: The Quest for Peace</t>
        </is>
      </c>
      <c r="C458" s="21" t="n">
        <v>1987</v>
      </c>
      <c r="D458" s="21" t="inlineStr">
        <is>
          <t>UK</t>
        </is>
      </c>
      <c r="E458" s="21" t="n">
        <v>134</v>
      </c>
      <c r="F458" s="21" t="inlineStr">
        <is>
          <t>English</t>
        </is>
      </c>
      <c r="G458" s="21" t="inlineStr">
        <is>
          <t>PG</t>
        </is>
      </c>
      <c r="H458" s="22" t="n">
        <v>15681020</v>
      </c>
      <c r="I458" s="22" t="n">
        <v>17000000</v>
      </c>
      <c r="J458" s="21">
        <f>IF(OR(H458="",H458=25529689.5),"Yes","No")</f>
        <v/>
      </c>
      <c r="K458" s="21">
        <f>IF(AND(D458="USA",C458&gt;=1980,J458="No"),"Yes","No")</f>
        <v/>
      </c>
      <c r="L458" s="26">
        <f>IF(J458="Yes","",H458-I458)</f>
        <v/>
      </c>
      <c r="M458" s="27">
        <f>IF(OR(J458="Yes",I458=0),"",H458/I458)</f>
        <v/>
      </c>
      <c r="N458" s="21">
        <f>IF(J458="Yes","",IF(H458&gt;=I458,1,0))</f>
        <v/>
      </c>
      <c r="O458" s="21">
        <f>IF(I458&lt;=5000000,"Under $5M",IF(I458&lt;=20000000,"$5M-20M",IF(I458&lt;=50000000,"$20M-50M",IF(I458&lt;=100000000,"$50M-100M","$100M+"))))</f>
        <v/>
      </c>
      <c r="P458" s="21">
        <f>IF(E458&lt;=90,"90 or less",IF(E458&lt;=105,"91-105",IF(E458&lt;=120,"106-120",IF(E458&lt;=140,"121-140","Over 140"))))</f>
        <v/>
      </c>
      <c r="Q458" s="28">
        <f>INT(C458/10)*10</f>
        <v/>
      </c>
    </row>
    <row r="459">
      <c r="A459" s="21" t="n">
        <v>478</v>
      </c>
      <c r="B459" s="21" t="inlineStr">
        <is>
          <t>Teen Wolf Too</t>
        </is>
      </c>
      <c r="C459" s="21" t="n">
        <v>1987</v>
      </c>
      <c r="D459" s="21" t="inlineStr">
        <is>
          <t>USA</t>
        </is>
      </c>
      <c r="E459" s="21" t="n">
        <v>95</v>
      </c>
      <c r="F459" s="21" t="inlineStr">
        <is>
          <t>English</t>
        </is>
      </c>
      <c r="G459" s="21" t="inlineStr">
        <is>
          <t>PG</t>
        </is>
      </c>
      <c r="H459" s="22" t="n">
        <v>7888703</v>
      </c>
      <c r="I459" s="22" t="n">
        <v>3000000</v>
      </c>
      <c r="J459" s="21">
        <f>IF(OR(H459="",H459=25529689.5),"Yes","No")</f>
        <v/>
      </c>
      <c r="K459" s="21">
        <f>IF(AND(D459="USA",C459&gt;=1980,J459="No"),"Yes","No")</f>
        <v/>
      </c>
      <c r="L459" s="26">
        <f>IF(J459="Yes","",H459-I459)</f>
        <v/>
      </c>
      <c r="M459" s="27">
        <f>IF(OR(J459="Yes",I459=0),"",H459/I459)</f>
        <v/>
      </c>
      <c r="N459" s="21">
        <f>IF(J459="Yes","",IF(H459&gt;=I459,1,0))</f>
        <v/>
      </c>
      <c r="O459" s="21">
        <f>IF(I459&lt;=5000000,"Under $5M",IF(I459&lt;=20000000,"$5M-20M",IF(I459&lt;=50000000,"$20M-50M",IF(I459&lt;=100000000,"$50M-100M","$100M+"))))</f>
        <v/>
      </c>
      <c r="P459" s="21">
        <f>IF(E459&lt;=90,"90 or less",IF(E459&lt;=105,"91-105",IF(E459&lt;=120,"106-120",IF(E459&lt;=140,"121-140","Over 140"))))</f>
        <v/>
      </c>
      <c r="Q459" s="28">
        <f>INT(C459/10)*10</f>
        <v/>
      </c>
    </row>
    <row r="460">
      <c r="A460" s="21" t="n">
        <v>479</v>
      </c>
      <c r="B460" s="21" t="inlineStr">
        <is>
          <t>The Barbarians</t>
        </is>
      </c>
      <c r="C460" s="21" t="n">
        <v>1987</v>
      </c>
      <c r="D460" s="21" t="inlineStr">
        <is>
          <t>USA</t>
        </is>
      </c>
      <c r="E460" s="21" t="n">
        <v>87</v>
      </c>
      <c r="F460" s="21" t="inlineStr">
        <is>
          <t>English</t>
        </is>
      </c>
      <c r="G460" s="21" t="inlineStr">
        <is>
          <t>R</t>
        </is>
      </c>
      <c r="H460" s="22" t="n">
        <v>800000</v>
      </c>
      <c r="I460" s="22" t="n">
        <v>4000000</v>
      </c>
      <c r="J460" s="21">
        <f>IF(OR(H460="",H460=25529689.5),"Yes","No")</f>
        <v/>
      </c>
      <c r="K460" s="21">
        <f>IF(AND(D460="USA",C460&gt;=1980,J460="No"),"Yes","No")</f>
        <v/>
      </c>
      <c r="L460" s="26">
        <f>IF(J460="Yes","",H460-I460)</f>
        <v/>
      </c>
      <c r="M460" s="27">
        <f>IF(OR(J460="Yes",I460=0),"",H460/I460)</f>
        <v/>
      </c>
      <c r="N460" s="21">
        <f>IF(J460="Yes","",IF(H460&gt;=I460,1,0))</f>
        <v/>
      </c>
      <c r="O460" s="21">
        <f>IF(I460&lt;=5000000,"Under $5M",IF(I460&lt;=20000000,"$5M-20M",IF(I460&lt;=50000000,"$20M-50M",IF(I460&lt;=100000000,"$50M-100M","$100M+"))))</f>
        <v/>
      </c>
      <c r="P460" s="21">
        <f>IF(E460&lt;=90,"90 or less",IF(E460&lt;=105,"91-105",IF(E460&lt;=120,"106-120",IF(E460&lt;=140,"121-140","Over 140"))))</f>
        <v/>
      </c>
      <c r="Q460" s="28">
        <f>INT(C460/10)*10</f>
        <v/>
      </c>
    </row>
    <row r="461">
      <c r="A461" s="21" t="n">
        <v>480</v>
      </c>
      <c r="B461" s="21" t="inlineStr">
        <is>
          <t>The Brave Little Toaster</t>
        </is>
      </c>
      <c r="C461" s="21" t="n">
        <v>1987</v>
      </c>
      <c r="D461" s="21" t="inlineStr">
        <is>
          <t>USA</t>
        </is>
      </c>
      <c r="E461" s="21" t="n">
        <v>90</v>
      </c>
      <c r="F461" s="21" t="inlineStr">
        <is>
          <t>English</t>
        </is>
      </c>
      <c r="G461" s="21" t="inlineStr">
        <is>
          <t>Not Rated</t>
        </is>
      </c>
      <c r="H461" s="22" t="n">
        <v>25529689.5</v>
      </c>
      <c r="I461" s="22" t="n">
        <v>2300000</v>
      </c>
      <c r="J461" s="21">
        <f>IF(OR(H461="",H461=25529689.5),"Yes","No")</f>
        <v/>
      </c>
      <c r="K461" s="21">
        <f>IF(AND(D461="USA",C461&gt;=1980,J461="No"),"Yes","No")</f>
        <v/>
      </c>
      <c r="L461" s="26">
        <f>IF(J461="Yes","",H461-I461)</f>
        <v/>
      </c>
      <c r="M461" s="27">
        <f>IF(OR(J461="Yes",I461=0),"",H461/I461)</f>
        <v/>
      </c>
      <c r="N461" s="21">
        <f>IF(J461="Yes","",IF(H461&gt;=I461,1,0))</f>
        <v/>
      </c>
      <c r="O461" s="21">
        <f>IF(I461&lt;=5000000,"Under $5M",IF(I461&lt;=20000000,"$5M-20M",IF(I461&lt;=50000000,"$20M-50M",IF(I461&lt;=100000000,"$50M-100M","$100M+"))))</f>
        <v/>
      </c>
      <c r="P461" s="21">
        <f>IF(E461&lt;=90,"90 or less",IF(E461&lt;=105,"91-105",IF(E461&lt;=120,"106-120",IF(E461&lt;=140,"121-140","Over 140"))))</f>
        <v/>
      </c>
      <c r="Q461" s="28">
        <f>INT(C461/10)*10</f>
        <v/>
      </c>
    </row>
    <row r="462">
      <c r="A462" s="21" t="n">
        <v>481</v>
      </c>
      <c r="B462" s="21" t="inlineStr">
        <is>
          <t>The Last Emperor</t>
        </is>
      </c>
      <c r="C462" s="21" t="n">
        <v>1987</v>
      </c>
      <c r="D462" s="21" t="inlineStr">
        <is>
          <t>China</t>
        </is>
      </c>
      <c r="E462" s="21" t="n">
        <v>219</v>
      </c>
      <c r="F462" s="21" t="inlineStr">
        <is>
          <t>English</t>
        </is>
      </c>
      <c r="G462" s="21" t="inlineStr">
        <is>
          <t>PG-13</t>
        </is>
      </c>
      <c r="H462" s="22" t="n">
        <v>43984230</v>
      </c>
      <c r="I462" s="22" t="n">
        <v>23000000</v>
      </c>
      <c r="J462" s="21">
        <f>IF(OR(H462="",H462=25529689.5),"Yes","No")</f>
        <v/>
      </c>
      <c r="K462" s="21">
        <f>IF(AND(D462="USA",C462&gt;=1980,J462="No"),"Yes","No")</f>
        <v/>
      </c>
      <c r="L462" s="26">
        <f>IF(J462="Yes","",H462-I462)</f>
        <v/>
      </c>
      <c r="M462" s="27">
        <f>IF(OR(J462="Yes",I462=0),"",H462/I462)</f>
        <v/>
      </c>
      <c r="N462" s="21">
        <f>IF(J462="Yes","",IF(H462&gt;=I462,1,0))</f>
        <v/>
      </c>
      <c r="O462" s="21">
        <f>IF(I462&lt;=5000000,"Under $5M",IF(I462&lt;=20000000,"$5M-20M",IF(I462&lt;=50000000,"$20M-50M",IF(I462&lt;=100000000,"$50M-100M","$100M+"))))</f>
        <v/>
      </c>
      <c r="P462" s="21">
        <f>IF(E462&lt;=90,"90 or less",IF(E462&lt;=105,"91-105",IF(E462&lt;=120,"106-120",IF(E462&lt;=140,"121-140","Over 140"))))</f>
        <v/>
      </c>
      <c r="Q462" s="28">
        <f>INT(C462/10)*10</f>
        <v/>
      </c>
    </row>
    <row r="463">
      <c r="A463" s="21" t="n">
        <v>482</v>
      </c>
      <c r="B463" s="21" t="inlineStr">
        <is>
          <t>The Living Daylights</t>
        </is>
      </c>
      <c r="C463" s="21" t="n">
        <v>1987</v>
      </c>
      <c r="D463" s="21" t="inlineStr">
        <is>
          <t>UK</t>
        </is>
      </c>
      <c r="E463" s="21" t="n">
        <v>130</v>
      </c>
      <c r="F463" s="21" t="inlineStr">
        <is>
          <t>English</t>
        </is>
      </c>
      <c r="G463" s="21" t="inlineStr">
        <is>
          <t>PG</t>
        </is>
      </c>
      <c r="H463" s="22" t="n">
        <v>51185897</v>
      </c>
      <c r="I463" s="22" t="n">
        <v>30000000</v>
      </c>
      <c r="J463" s="21">
        <f>IF(OR(H463="",H463=25529689.5),"Yes","No")</f>
        <v/>
      </c>
      <c r="K463" s="21">
        <f>IF(AND(D463="USA",C463&gt;=1980,J463="No"),"Yes","No")</f>
        <v/>
      </c>
      <c r="L463" s="26">
        <f>IF(J463="Yes","",H463-I463)</f>
        <v/>
      </c>
      <c r="M463" s="27">
        <f>IF(OR(J463="Yes",I463=0),"",H463/I463)</f>
        <v/>
      </c>
      <c r="N463" s="21">
        <f>IF(J463="Yes","",IF(H463&gt;=I463,1,0))</f>
        <v/>
      </c>
      <c r="O463" s="21">
        <f>IF(I463&lt;=5000000,"Under $5M",IF(I463&lt;=20000000,"$5M-20M",IF(I463&lt;=50000000,"$20M-50M",IF(I463&lt;=100000000,"$50M-100M","$100M+"))))</f>
        <v/>
      </c>
      <c r="P463" s="21">
        <f>IF(E463&lt;=90,"90 or less",IF(E463&lt;=105,"91-105",IF(E463&lt;=120,"106-120",IF(E463&lt;=140,"121-140","Over 140"))))</f>
        <v/>
      </c>
      <c r="Q463" s="28">
        <f>INT(C463/10)*10</f>
        <v/>
      </c>
    </row>
    <row r="464">
      <c r="A464" s="21" t="n">
        <v>483</v>
      </c>
      <c r="B464" s="21" t="inlineStr">
        <is>
          <t>The Lost Boys</t>
        </is>
      </c>
      <c r="C464" s="21" t="n">
        <v>1987</v>
      </c>
      <c r="D464" s="21" t="inlineStr">
        <is>
          <t>USA</t>
        </is>
      </c>
      <c r="E464" s="21" t="n">
        <v>97</v>
      </c>
      <c r="F464" s="21" t="inlineStr">
        <is>
          <t>English</t>
        </is>
      </c>
      <c r="G464" s="21" t="inlineStr">
        <is>
          <t>R</t>
        </is>
      </c>
      <c r="H464" s="22" t="n">
        <v>32222567</v>
      </c>
      <c r="I464" s="22" t="n">
        <v>20000000</v>
      </c>
      <c r="J464" s="21">
        <f>IF(OR(H464="",H464=25529689.5),"Yes","No")</f>
        <v/>
      </c>
      <c r="K464" s="21">
        <f>IF(AND(D464="USA",C464&gt;=1980,J464="No"),"Yes","No")</f>
        <v/>
      </c>
      <c r="L464" s="26">
        <f>IF(J464="Yes","",H464-I464)</f>
        <v/>
      </c>
      <c r="M464" s="27">
        <f>IF(OR(J464="Yes",I464=0),"",H464/I464)</f>
        <v/>
      </c>
      <c r="N464" s="21">
        <f>IF(J464="Yes","",IF(H464&gt;=I464,1,0))</f>
        <v/>
      </c>
      <c r="O464" s="21">
        <f>IF(I464&lt;=5000000,"Under $5M",IF(I464&lt;=20000000,"$5M-20M",IF(I464&lt;=50000000,"$20M-50M",IF(I464&lt;=100000000,"$50M-100M","$100M+"))))</f>
        <v/>
      </c>
      <c r="P464" s="21">
        <f>IF(E464&lt;=90,"90 or less",IF(E464&lt;=105,"91-105",IF(E464&lt;=120,"106-120",IF(E464&lt;=140,"121-140","Over 140"))))</f>
        <v/>
      </c>
      <c r="Q464" s="28">
        <f>INT(C464/10)*10</f>
        <v/>
      </c>
    </row>
    <row r="465">
      <c r="A465" s="21" t="n">
        <v>484</v>
      </c>
      <c r="B465" s="21" t="inlineStr">
        <is>
          <t>The Princess Bride</t>
        </is>
      </c>
      <c r="C465" s="21" t="n">
        <v>1987</v>
      </c>
      <c r="D465" s="21" t="inlineStr">
        <is>
          <t>USA</t>
        </is>
      </c>
      <c r="E465" s="21" t="n">
        <v>98</v>
      </c>
      <c r="F465" s="21" t="inlineStr">
        <is>
          <t>English</t>
        </is>
      </c>
      <c r="G465" s="21" t="inlineStr">
        <is>
          <t>PG</t>
        </is>
      </c>
      <c r="H465" s="22" t="n">
        <v>30857814</v>
      </c>
      <c r="I465" s="22" t="n">
        <v>16000000</v>
      </c>
      <c r="J465" s="21">
        <f>IF(OR(H465="",H465=25529689.5),"Yes","No")</f>
        <v/>
      </c>
      <c r="K465" s="21">
        <f>IF(AND(D465="USA",C465&gt;=1980,J465="No"),"Yes","No")</f>
        <v/>
      </c>
      <c r="L465" s="26">
        <f>IF(J465="Yes","",H465-I465)</f>
        <v/>
      </c>
      <c r="M465" s="27">
        <f>IF(OR(J465="Yes",I465=0),"",H465/I465)</f>
        <v/>
      </c>
      <c r="N465" s="21">
        <f>IF(J465="Yes","",IF(H465&gt;=I465,1,0))</f>
        <v/>
      </c>
      <c r="O465" s="21">
        <f>IF(I465&lt;=5000000,"Under $5M",IF(I465&lt;=20000000,"$5M-20M",IF(I465&lt;=50000000,"$20M-50M",IF(I465&lt;=100000000,"$50M-100M","$100M+"))))</f>
        <v/>
      </c>
      <c r="P465" s="21">
        <f>IF(E465&lt;=90,"90 or less",IF(E465&lt;=105,"91-105",IF(E465&lt;=120,"106-120",IF(E465&lt;=140,"121-140","Over 140"))))</f>
        <v/>
      </c>
      <c r="Q465" s="28">
        <f>INT(C465/10)*10</f>
        <v/>
      </c>
    </row>
    <row r="466">
      <c r="A466" s="21" t="n">
        <v>485</v>
      </c>
      <c r="B466" s="21" t="inlineStr">
        <is>
          <t>The Running Man</t>
        </is>
      </c>
      <c r="C466" s="21" t="n">
        <v>1987</v>
      </c>
      <c r="D466" s="21" t="inlineStr">
        <is>
          <t>USA</t>
        </is>
      </c>
      <c r="E466" s="21" t="n">
        <v>101</v>
      </c>
      <c r="F466" s="21" t="inlineStr">
        <is>
          <t>English</t>
        </is>
      </c>
      <c r="G466" s="21" t="inlineStr">
        <is>
          <t>R</t>
        </is>
      </c>
      <c r="H466" s="22" t="n">
        <v>38122105</v>
      </c>
      <c r="I466" s="22" t="n">
        <v>27000000</v>
      </c>
      <c r="J466" s="21">
        <f>IF(OR(H466="",H466=25529689.5),"Yes","No")</f>
        <v/>
      </c>
      <c r="K466" s="21">
        <f>IF(AND(D466="USA",C466&gt;=1980,J466="No"),"Yes","No")</f>
        <v/>
      </c>
      <c r="L466" s="26">
        <f>IF(J466="Yes","",H466-I466)</f>
        <v/>
      </c>
      <c r="M466" s="27">
        <f>IF(OR(J466="Yes",I466=0),"",H466/I466)</f>
        <v/>
      </c>
      <c r="N466" s="21">
        <f>IF(J466="Yes","",IF(H466&gt;=I466,1,0))</f>
        <v/>
      </c>
      <c r="O466" s="21">
        <f>IF(I466&lt;=5000000,"Under $5M",IF(I466&lt;=20000000,"$5M-20M",IF(I466&lt;=50000000,"$20M-50M",IF(I466&lt;=100000000,"$50M-100M","$100M+"))))</f>
        <v/>
      </c>
      <c r="P466" s="21">
        <f>IF(E466&lt;=90,"90 or less",IF(E466&lt;=105,"91-105",IF(E466&lt;=120,"106-120",IF(E466&lt;=140,"121-140","Over 140"))))</f>
        <v/>
      </c>
      <c r="Q466" s="28">
        <f>INT(C466/10)*10</f>
        <v/>
      </c>
    </row>
    <row r="467">
      <c r="A467" s="21" t="n">
        <v>486</v>
      </c>
      <c r="B467" s="21" t="inlineStr">
        <is>
          <t>The Untouchables</t>
        </is>
      </c>
      <c r="C467" s="21" t="n">
        <v>1987</v>
      </c>
      <c r="D467" s="21" t="inlineStr">
        <is>
          <t>USA</t>
        </is>
      </c>
      <c r="E467" s="21" t="n">
        <v>119</v>
      </c>
      <c r="F467" s="21" t="inlineStr">
        <is>
          <t>English</t>
        </is>
      </c>
      <c r="G467" s="21" t="inlineStr">
        <is>
          <t>R</t>
        </is>
      </c>
      <c r="H467" s="22" t="n">
        <v>76270454</v>
      </c>
      <c r="I467" s="22" t="n">
        <v>25000000</v>
      </c>
      <c r="J467" s="21">
        <f>IF(OR(H467="",H467=25529689.5),"Yes","No")</f>
        <v/>
      </c>
      <c r="K467" s="21">
        <f>IF(AND(D467="USA",C467&gt;=1980,J467="No"),"Yes","No")</f>
        <v/>
      </c>
      <c r="L467" s="26">
        <f>IF(J467="Yes","",H467-I467)</f>
        <v/>
      </c>
      <c r="M467" s="27">
        <f>IF(OR(J467="Yes",I467=0),"",H467/I467)</f>
        <v/>
      </c>
      <c r="N467" s="21">
        <f>IF(J467="Yes","",IF(H467&gt;=I467,1,0))</f>
        <v/>
      </c>
      <c r="O467" s="21">
        <f>IF(I467&lt;=5000000,"Under $5M",IF(I467&lt;=20000000,"$5M-20M",IF(I467&lt;=50000000,"$20M-50M",IF(I467&lt;=100000000,"$50M-100M","$100M+"))))</f>
        <v/>
      </c>
      <c r="P467" s="21">
        <f>IF(E467&lt;=90,"90 or less",IF(E467&lt;=105,"91-105",IF(E467&lt;=120,"106-120",IF(E467&lt;=140,"121-140","Over 140"))))</f>
        <v/>
      </c>
      <c r="Q467" s="28">
        <f>INT(C467/10)*10</f>
        <v/>
      </c>
    </row>
    <row r="468">
      <c r="A468" s="21" t="n">
        <v>487</v>
      </c>
      <c r="B468" s="21" t="inlineStr">
        <is>
          <t>Wall Street</t>
        </is>
      </c>
      <c r="C468" s="21" t="n">
        <v>1987</v>
      </c>
      <c r="D468" s="21" t="inlineStr">
        <is>
          <t>USA</t>
        </is>
      </c>
      <c r="E468" s="21" t="n">
        <v>126</v>
      </c>
      <c r="F468" s="21" t="inlineStr">
        <is>
          <t>English</t>
        </is>
      </c>
      <c r="G468" s="21" t="inlineStr">
        <is>
          <t>R</t>
        </is>
      </c>
      <c r="H468" s="22" t="n">
        <v>43848100</v>
      </c>
      <c r="I468" s="22" t="n">
        <v>15000000</v>
      </c>
      <c r="J468" s="21">
        <f>IF(OR(H468="",H468=25529689.5),"Yes","No")</f>
        <v/>
      </c>
      <c r="K468" s="21">
        <f>IF(AND(D468="USA",C468&gt;=1980,J468="No"),"Yes","No")</f>
        <v/>
      </c>
      <c r="L468" s="26">
        <f>IF(J468="Yes","",H468-I468)</f>
        <v/>
      </c>
      <c r="M468" s="27">
        <f>IF(OR(J468="Yes",I468=0),"",H468/I468)</f>
        <v/>
      </c>
      <c r="N468" s="21">
        <f>IF(J468="Yes","",IF(H468&gt;=I468,1,0))</f>
        <v/>
      </c>
      <c r="O468" s="21">
        <f>IF(I468&lt;=5000000,"Under $5M",IF(I468&lt;=20000000,"$5M-20M",IF(I468&lt;=50000000,"$20M-50M",IF(I468&lt;=100000000,"$50M-100M","$100M+"))))</f>
        <v/>
      </c>
      <c r="P468" s="21">
        <f>IF(E468&lt;=90,"90 or less",IF(E468&lt;=105,"91-105",IF(E468&lt;=120,"106-120",IF(E468&lt;=140,"121-140","Over 140"))))</f>
        <v/>
      </c>
      <c r="Q468" s="28">
        <f>INT(C468/10)*10</f>
        <v/>
      </c>
    </row>
    <row r="469">
      <c r="A469" s="21" t="n">
        <v>488</v>
      </c>
      <c r="B469" s="21" t="inlineStr">
        <is>
          <t>A Nightmare on Elm Street 4: The Dream Master</t>
        </is>
      </c>
      <c r="C469" s="21" t="n">
        <v>1988</v>
      </c>
      <c r="D469" s="21" t="inlineStr">
        <is>
          <t>USA</t>
        </is>
      </c>
      <c r="E469" s="21" t="n">
        <v>99</v>
      </c>
      <c r="F469" s="21" t="inlineStr">
        <is>
          <t>English</t>
        </is>
      </c>
      <c r="G469" s="21" t="inlineStr">
        <is>
          <t>R</t>
        </is>
      </c>
      <c r="H469" s="22" t="n">
        <v>49369900</v>
      </c>
      <c r="I469" s="22" t="n">
        <v>7000000</v>
      </c>
      <c r="J469" s="21">
        <f>IF(OR(H469="",H469=25529689.5),"Yes","No")</f>
        <v/>
      </c>
      <c r="K469" s="21">
        <f>IF(AND(D469="USA",C469&gt;=1980,J469="No"),"Yes","No")</f>
        <v/>
      </c>
      <c r="L469" s="26">
        <f>IF(J469="Yes","",H469-I469)</f>
        <v/>
      </c>
      <c r="M469" s="27">
        <f>IF(OR(J469="Yes",I469=0),"",H469/I469)</f>
        <v/>
      </c>
      <c r="N469" s="21">
        <f>IF(J469="Yes","",IF(H469&gt;=I469,1,0))</f>
        <v/>
      </c>
      <c r="O469" s="21">
        <f>IF(I469&lt;=5000000,"Under $5M",IF(I469&lt;=20000000,"$5M-20M",IF(I469&lt;=50000000,"$20M-50M",IF(I469&lt;=100000000,"$50M-100M","$100M+"))))</f>
        <v/>
      </c>
      <c r="P469" s="21">
        <f>IF(E469&lt;=90,"90 or less",IF(E469&lt;=105,"91-105",IF(E469&lt;=120,"106-120",IF(E469&lt;=140,"121-140","Over 140"))))</f>
        <v/>
      </c>
      <c r="Q469" s="28">
        <f>INT(C469/10)*10</f>
        <v/>
      </c>
    </row>
    <row r="470">
      <c r="A470" s="21" t="n">
        <v>489</v>
      </c>
      <c r="B470" s="21" t="inlineStr">
        <is>
          <t>Action Jackson</t>
        </is>
      </c>
      <c r="C470" s="21" t="n">
        <v>1988</v>
      </c>
      <c r="D470" s="21" t="inlineStr">
        <is>
          <t>USA</t>
        </is>
      </c>
      <c r="E470" s="21" t="n">
        <v>96</v>
      </c>
      <c r="F470" s="21" t="inlineStr">
        <is>
          <t>English</t>
        </is>
      </c>
      <c r="G470" s="21" t="inlineStr">
        <is>
          <t>R</t>
        </is>
      </c>
      <c r="H470" s="22" t="n">
        <v>20257000</v>
      </c>
      <c r="I470" s="22" t="n">
        <v>7000000</v>
      </c>
      <c r="J470" s="21">
        <f>IF(OR(H470="",H470=25529689.5),"Yes","No")</f>
        <v/>
      </c>
      <c r="K470" s="21">
        <f>IF(AND(D470="USA",C470&gt;=1980,J470="No"),"Yes","No")</f>
        <v/>
      </c>
      <c r="L470" s="26">
        <f>IF(J470="Yes","",H470-I470)</f>
        <v/>
      </c>
      <c r="M470" s="27">
        <f>IF(OR(J470="Yes",I470=0),"",H470/I470)</f>
        <v/>
      </c>
      <c r="N470" s="21">
        <f>IF(J470="Yes","",IF(H470&gt;=I470,1,0))</f>
        <v/>
      </c>
      <c r="O470" s="21">
        <f>IF(I470&lt;=5000000,"Under $5M",IF(I470&lt;=20000000,"$5M-20M",IF(I470&lt;=50000000,"$20M-50M",IF(I470&lt;=100000000,"$50M-100M","$100M+"))))</f>
        <v/>
      </c>
      <c r="P470" s="21">
        <f>IF(E470&lt;=90,"90 or less",IF(E470&lt;=105,"91-105",IF(E470&lt;=120,"106-120",IF(E470&lt;=140,"121-140","Over 140"))))</f>
        <v/>
      </c>
      <c r="Q470" s="28">
        <f>INT(C470/10)*10</f>
        <v/>
      </c>
    </row>
    <row r="471">
      <c r="A471" s="21" t="n">
        <v>490</v>
      </c>
      <c r="B471" s="21" t="inlineStr">
        <is>
          <t>Akira</t>
        </is>
      </c>
      <c r="C471" s="21" t="n">
        <v>1988</v>
      </c>
      <c r="D471" s="21" t="inlineStr">
        <is>
          <t>Japan</t>
        </is>
      </c>
      <c r="E471" s="21" t="n">
        <v>124</v>
      </c>
      <c r="F471" s="21" t="inlineStr">
        <is>
          <t>Japanese</t>
        </is>
      </c>
      <c r="G471" s="21" t="inlineStr">
        <is>
          <t>R</t>
        </is>
      </c>
      <c r="H471" s="22" t="n">
        <v>439162</v>
      </c>
      <c r="I471" s="22" t="n">
        <v>1100000000</v>
      </c>
      <c r="J471" s="21">
        <f>IF(OR(H471="",H471=25529689.5),"Yes","No")</f>
        <v/>
      </c>
      <c r="K471" s="21">
        <f>IF(AND(D471="USA",C471&gt;=1980,J471="No"),"Yes","No")</f>
        <v/>
      </c>
      <c r="L471" s="26">
        <f>IF(J471="Yes","",H471-I471)</f>
        <v/>
      </c>
      <c r="M471" s="27">
        <f>IF(OR(J471="Yes",I471=0),"",H471/I471)</f>
        <v/>
      </c>
      <c r="N471" s="21">
        <f>IF(J471="Yes","",IF(H471&gt;=I471,1,0))</f>
        <v/>
      </c>
      <c r="O471" s="21">
        <f>IF(I471&lt;=5000000,"Under $5M",IF(I471&lt;=20000000,"$5M-20M",IF(I471&lt;=50000000,"$20M-50M",IF(I471&lt;=100000000,"$50M-100M","$100M+"))))</f>
        <v/>
      </c>
      <c r="P471" s="21">
        <f>IF(E471&lt;=90,"90 or less",IF(E471&lt;=105,"91-105",IF(E471&lt;=120,"106-120",IF(E471&lt;=140,"121-140","Over 140"))))</f>
        <v/>
      </c>
      <c r="Q471" s="28">
        <f>INT(C471/10)*10</f>
        <v/>
      </c>
    </row>
    <row r="472">
      <c r="A472" s="21" t="n">
        <v>491</v>
      </c>
      <c r="B472" s="21" t="inlineStr">
        <is>
          <t>Beetlejuice</t>
        </is>
      </c>
      <c r="C472" s="21" t="n">
        <v>1988</v>
      </c>
      <c r="D472" s="21" t="inlineStr">
        <is>
          <t>USA</t>
        </is>
      </c>
      <c r="E472" s="21" t="n">
        <v>92</v>
      </c>
      <c r="F472" s="21" t="inlineStr">
        <is>
          <t>English</t>
        </is>
      </c>
      <c r="G472" s="21" t="inlineStr">
        <is>
          <t>PG</t>
        </is>
      </c>
      <c r="H472" s="22" t="n">
        <v>73326666</v>
      </c>
      <c r="I472" s="22" t="n">
        <v>15000000</v>
      </c>
      <c r="J472" s="21">
        <f>IF(OR(H472="",H472=25529689.5),"Yes","No")</f>
        <v/>
      </c>
      <c r="K472" s="21">
        <f>IF(AND(D472="USA",C472&gt;=1980,J472="No"),"Yes","No")</f>
        <v/>
      </c>
      <c r="L472" s="26">
        <f>IF(J472="Yes","",H472-I472)</f>
        <v/>
      </c>
      <c r="M472" s="27">
        <f>IF(OR(J472="Yes",I472=0),"",H472/I472)</f>
        <v/>
      </c>
      <c r="N472" s="21">
        <f>IF(J472="Yes","",IF(H472&gt;=I472,1,0))</f>
        <v/>
      </c>
      <c r="O472" s="21">
        <f>IF(I472&lt;=5000000,"Under $5M",IF(I472&lt;=20000000,"$5M-20M",IF(I472&lt;=50000000,"$20M-50M",IF(I472&lt;=100000000,"$50M-100M","$100M+"))))</f>
        <v/>
      </c>
      <c r="P472" s="21">
        <f>IF(E472&lt;=90,"90 or less",IF(E472&lt;=105,"91-105",IF(E472&lt;=120,"106-120",IF(E472&lt;=140,"121-140","Over 140"))))</f>
        <v/>
      </c>
      <c r="Q472" s="28">
        <f>INT(C472/10)*10</f>
        <v/>
      </c>
    </row>
    <row r="473">
      <c r="A473" s="21" t="n">
        <v>492</v>
      </c>
      <c r="B473" s="21" t="inlineStr">
        <is>
          <t>Big</t>
        </is>
      </c>
      <c r="C473" s="21" t="n">
        <v>1988</v>
      </c>
      <c r="D473" s="21" t="inlineStr">
        <is>
          <t>USA</t>
        </is>
      </c>
      <c r="E473" s="21" t="n">
        <v>130</v>
      </c>
      <c r="F473" s="21" t="inlineStr">
        <is>
          <t>English</t>
        </is>
      </c>
      <c r="G473" s="21" t="inlineStr">
        <is>
          <t>PG</t>
        </is>
      </c>
      <c r="H473" s="22" t="n">
        <v>114968774</v>
      </c>
      <c r="I473" s="22" t="n">
        <v>18000000</v>
      </c>
      <c r="J473" s="21">
        <f>IF(OR(H473="",H473=25529689.5),"Yes","No")</f>
        <v/>
      </c>
      <c r="K473" s="21">
        <f>IF(AND(D473="USA",C473&gt;=1980,J473="No"),"Yes","No")</f>
        <v/>
      </c>
      <c r="L473" s="26">
        <f>IF(J473="Yes","",H473-I473)</f>
        <v/>
      </c>
      <c r="M473" s="27">
        <f>IF(OR(J473="Yes",I473=0),"",H473/I473)</f>
        <v/>
      </c>
      <c r="N473" s="21">
        <f>IF(J473="Yes","",IF(H473&gt;=I473,1,0))</f>
        <v/>
      </c>
      <c r="O473" s="21">
        <f>IF(I473&lt;=5000000,"Under $5M",IF(I473&lt;=20000000,"$5M-20M",IF(I473&lt;=50000000,"$20M-50M",IF(I473&lt;=100000000,"$50M-100M","$100M+"))))</f>
        <v/>
      </c>
      <c r="P473" s="21">
        <f>IF(E473&lt;=90,"90 or less",IF(E473&lt;=105,"91-105",IF(E473&lt;=120,"106-120",IF(E473&lt;=140,"121-140","Over 140"))))</f>
        <v/>
      </c>
      <c r="Q473" s="28">
        <f>INT(C473/10)*10</f>
        <v/>
      </c>
    </row>
    <row r="474">
      <c r="A474" s="21" t="n">
        <v>493</v>
      </c>
      <c r="B474" s="21" t="inlineStr">
        <is>
          <t>Bloodsport</t>
        </is>
      </c>
      <c r="C474" s="21" t="n">
        <v>1988</v>
      </c>
      <c r="D474" s="21" t="inlineStr">
        <is>
          <t>USA</t>
        </is>
      </c>
      <c r="E474" s="21" t="n">
        <v>92</v>
      </c>
      <c r="F474" s="21" t="inlineStr">
        <is>
          <t>English</t>
        </is>
      </c>
      <c r="G474" s="21" t="inlineStr">
        <is>
          <t>R</t>
        </is>
      </c>
      <c r="H474" s="22" t="n">
        <v>11806119</v>
      </c>
      <c r="I474" s="22" t="n">
        <v>1100000</v>
      </c>
      <c r="J474" s="21">
        <f>IF(OR(H474="",H474=25529689.5),"Yes","No")</f>
        <v/>
      </c>
      <c r="K474" s="21">
        <f>IF(AND(D474="USA",C474&gt;=1980,J474="No"),"Yes","No")</f>
        <v/>
      </c>
      <c r="L474" s="26">
        <f>IF(J474="Yes","",H474-I474)</f>
        <v/>
      </c>
      <c r="M474" s="27">
        <f>IF(OR(J474="Yes",I474=0),"",H474/I474)</f>
        <v/>
      </c>
      <c r="N474" s="21">
        <f>IF(J474="Yes","",IF(H474&gt;=I474,1,0))</f>
        <v/>
      </c>
      <c r="O474" s="21">
        <f>IF(I474&lt;=5000000,"Under $5M",IF(I474&lt;=20000000,"$5M-20M",IF(I474&lt;=50000000,"$20M-50M",IF(I474&lt;=100000000,"$50M-100M","$100M+"))))</f>
        <v/>
      </c>
      <c r="P474" s="21">
        <f>IF(E474&lt;=90,"90 or less",IF(E474&lt;=105,"91-105",IF(E474&lt;=120,"106-120",IF(E474&lt;=140,"121-140","Over 140"))))</f>
        <v/>
      </c>
      <c r="Q474" s="28">
        <f>INT(C474/10)*10</f>
        <v/>
      </c>
    </row>
    <row r="475">
      <c r="A475" s="21" t="n">
        <v>494</v>
      </c>
      <c r="B475" s="21" t="inlineStr">
        <is>
          <t>Bright Lights, Big City</t>
        </is>
      </c>
      <c r="C475" s="21" t="n">
        <v>1988</v>
      </c>
      <c r="D475" s="21" t="inlineStr">
        <is>
          <t>USA</t>
        </is>
      </c>
      <c r="E475" s="21" t="n">
        <v>107</v>
      </c>
      <c r="F475" s="21" t="inlineStr">
        <is>
          <t>English</t>
        </is>
      </c>
      <c r="G475" s="21" t="inlineStr">
        <is>
          <t>R</t>
        </is>
      </c>
      <c r="H475" s="22" t="n">
        <v>16118077</v>
      </c>
      <c r="I475" s="22" t="n">
        <v>25000000</v>
      </c>
      <c r="J475" s="21">
        <f>IF(OR(H475="",H475=25529689.5),"Yes","No")</f>
        <v/>
      </c>
      <c r="K475" s="21">
        <f>IF(AND(D475="USA",C475&gt;=1980,J475="No"),"Yes","No")</f>
        <v/>
      </c>
      <c r="L475" s="26">
        <f>IF(J475="Yes","",H475-I475)</f>
        <v/>
      </c>
      <c r="M475" s="27">
        <f>IF(OR(J475="Yes",I475=0),"",H475/I475)</f>
        <v/>
      </c>
      <c r="N475" s="21">
        <f>IF(J475="Yes","",IF(H475&gt;=I475,1,0))</f>
        <v/>
      </c>
      <c r="O475" s="21">
        <f>IF(I475&lt;=5000000,"Under $5M",IF(I475&lt;=20000000,"$5M-20M",IF(I475&lt;=50000000,"$20M-50M",IF(I475&lt;=100000000,"$50M-100M","$100M+"))))</f>
        <v/>
      </c>
      <c r="P475" s="21">
        <f>IF(E475&lt;=90,"90 or less",IF(E475&lt;=105,"91-105",IF(E475&lt;=120,"106-120",IF(E475&lt;=140,"121-140","Over 140"))))</f>
        <v/>
      </c>
      <c r="Q475" s="28">
        <f>INT(C475/10)*10</f>
        <v/>
      </c>
    </row>
    <row r="476">
      <c r="A476" s="21" t="n">
        <v>495</v>
      </c>
      <c r="B476" s="21" t="inlineStr">
        <is>
          <t>Child's Play</t>
        </is>
      </c>
      <c r="C476" s="21" t="n">
        <v>1988</v>
      </c>
      <c r="D476" s="21" t="inlineStr">
        <is>
          <t>USA</t>
        </is>
      </c>
      <c r="E476" s="21" t="n">
        <v>87</v>
      </c>
      <c r="F476" s="21" t="inlineStr">
        <is>
          <t>English</t>
        </is>
      </c>
      <c r="G476" s="21" t="inlineStr">
        <is>
          <t>R</t>
        </is>
      </c>
      <c r="H476" s="22" t="n">
        <v>33244684</v>
      </c>
      <c r="I476" s="22" t="n">
        <v>9000000</v>
      </c>
      <c r="J476" s="21">
        <f>IF(OR(H476="",H476=25529689.5),"Yes","No")</f>
        <v/>
      </c>
      <c r="K476" s="21">
        <f>IF(AND(D476="USA",C476&gt;=1980,J476="No"),"Yes","No")</f>
        <v/>
      </c>
      <c r="L476" s="26">
        <f>IF(J476="Yes","",H476-I476)</f>
        <v/>
      </c>
      <c r="M476" s="27">
        <f>IF(OR(J476="Yes",I476=0),"",H476/I476)</f>
        <v/>
      </c>
      <c r="N476" s="21">
        <f>IF(J476="Yes","",IF(H476&gt;=I476,1,0))</f>
        <v/>
      </c>
      <c r="O476" s="21">
        <f>IF(I476&lt;=5000000,"Under $5M",IF(I476&lt;=20000000,"$5M-20M",IF(I476&lt;=50000000,"$20M-50M",IF(I476&lt;=100000000,"$50M-100M","$100M+"))))</f>
        <v/>
      </c>
      <c r="P476" s="21">
        <f>IF(E476&lt;=90,"90 or less",IF(E476&lt;=105,"91-105",IF(E476&lt;=120,"106-120",IF(E476&lt;=140,"121-140","Over 140"))))</f>
        <v/>
      </c>
      <c r="Q476" s="28">
        <f>INT(C476/10)*10</f>
        <v/>
      </c>
    </row>
    <row r="477">
      <c r="A477" s="21" t="n">
        <v>496</v>
      </c>
      <c r="B477" s="21" t="inlineStr">
        <is>
          <t>Crocodile Dundee II</t>
        </is>
      </c>
      <c r="C477" s="21" t="n">
        <v>1988</v>
      </c>
      <c r="D477" s="21" t="inlineStr">
        <is>
          <t>Australia</t>
        </is>
      </c>
      <c r="E477" s="21" t="n">
        <v>108</v>
      </c>
      <c r="F477" s="21" t="inlineStr">
        <is>
          <t>English</t>
        </is>
      </c>
      <c r="G477" s="21" t="inlineStr">
        <is>
          <t>PG</t>
        </is>
      </c>
      <c r="H477" s="22" t="n">
        <v>109306210</v>
      </c>
      <c r="I477" s="22" t="n">
        <v>15800000</v>
      </c>
      <c r="J477" s="21">
        <f>IF(OR(H477="",H477=25529689.5),"Yes","No")</f>
        <v/>
      </c>
      <c r="K477" s="21">
        <f>IF(AND(D477="USA",C477&gt;=1980,J477="No"),"Yes","No")</f>
        <v/>
      </c>
      <c r="L477" s="26">
        <f>IF(J477="Yes","",H477-I477)</f>
        <v/>
      </c>
      <c r="M477" s="27">
        <f>IF(OR(J477="Yes",I477=0),"",H477/I477)</f>
        <v/>
      </c>
      <c r="N477" s="21">
        <f>IF(J477="Yes","",IF(H477&gt;=I477,1,0))</f>
        <v/>
      </c>
      <c r="O477" s="21">
        <f>IF(I477&lt;=5000000,"Under $5M",IF(I477&lt;=20000000,"$5M-20M",IF(I477&lt;=50000000,"$20M-50M",IF(I477&lt;=100000000,"$50M-100M","$100M+"))))</f>
        <v/>
      </c>
      <c r="P477" s="21">
        <f>IF(E477&lt;=90,"90 or less",IF(E477&lt;=105,"91-105",IF(E477&lt;=120,"106-120",IF(E477&lt;=140,"121-140","Over 140"))))</f>
        <v/>
      </c>
      <c r="Q477" s="28">
        <f>INT(C477/10)*10</f>
        <v/>
      </c>
    </row>
    <row r="478">
      <c r="A478" s="21" t="n">
        <v>497</v>
      </c>
      <c r="B478" s="21" t="inlineStr">
        <is>
          <t>Dangerous Liaisons</t>
        </is>
      </c>
      <c r="C478" s="21" t="n">
        <v>1988</v>
      </c>
      <c r="D478" s="21" t="inlineStr">
        <is>
          <t>USA</t>
        </is>
      </c>
      <c r="E478" s="21" t="n">
        <v>119</v>
      </c>
      <c r="F478" s="21" t="inlineStr">
        <is>
          <t>English</t>
        </is>
      </c>
      <c r="G478" s="21" t="inlineStr">
        <is>
          <t>R</t>
        </is>
      </c>
      <c r="H478" s="22" t="n">
        <v>34700000</v>
      </c>
      <c r="I478" s="22" t="n">
        <v>14000000</v>
      </c>
      <c r="J478" s="21">
        <f>IF(OR(H478="",H478=25529689.5),"Yes","No")</f>
        <v/>
      </c>
      <c r="K478" s="21">
        <f>IF(AND(D478="USA",C478&gt;=1980,J478="No"),"Yes","No")</f>
        <v/>
      </c>
      <c r="L478" s="26">
        <f>IF(J478="Yes","",H478-I478)</f>
        <v/>
      </c>
      <c r="M478" s="27">
        <f>IF(OR(J478="Yes",I478=0),"",H478/I478)</f>
        <v/>
      </c>
      <c r="N478" s="21">
        <f>IF(J478="Yes","",IF(H478&gt;=I478,1,0))</f>
        <v/>
      </c>
      <c r="O478" s="21">
        <f>IF(I478&lt;=5000000,"Under $5M",IF(I478&lt;=20000000,"$5M-20M",IF(I478&lt;=50000000,"$20M-50M",IF(I478&lt;=100000000,"$50M-100M","$100M+"))))</f>
        <v/>
      </c>
      <c r="P478" s="21">
        <f>IF(E478&lt;=90,"90 or less",IF(E478&lt;=105,"91-105",IF(E478&lt;=120,"106-120",IF(E478&lt;=140,"121-140","Over 140"))))</f>
        <v/>
      </c>
      <c r="Q478" s="28">
        <f>INT(C478/10)*10</f>
        <v/>
      </c>
    </row>
    <row r="479">
      <c r="A479" s="21" t="n">
        <v>499</v>
      </c>
      <c r="B479" s="21" t="inlineStr">
        <is>
          <t>Die Hard</t>
        </is>
      </c>
      <c r="C479" s="21" t="n">
        <v>1988</v>
      </c>
      <c r="D479" s="21" t="inlineStr">
        <is>
          <t>USA</t>
        </is>
      </c>
      <c r="E479" s="21" t="n">
        <v>131</v>
      </c>
      <c r="F479" s="21" t="inlineStr">
        <is>
          <t>English</t>
        </is>
      </c>
      <c r="G479" s="21" t="inlineStr">
        <is>
          <t>R</t>
        </is>
      </c>
      <c r="H479" s="22" t="n">
        <v>81350242</v>
      </c>
      <c r="I479" s="22" t="n">
        <v>28000000</v>
      </c>
      <c r="J479" s="21">
        <f>IF(OR(H479="",H479=25529689.5),"Yes","No")</f>
        <v/>
      </c>
      <c r="K479" s="21">
        <f>IF(AND(D479="USA",C479&gt;=1980,J479="No"),"Yes","No")</f>
        <v/>
      </c>
      <c r="L479" s="26">
        <f>IF(J479="Yes","",H479-I479)</f>
        <v/>
      </c>
      <c r="M479" s="27">
        <f>IF(OR(J479="Yes",I479=0),"",H479/I479)</f>
        <v/>
      </c>
      <c r="N479" s="21">
        <f>IF(J479="Yes","",IF(H479&gt;=I479,1,0))</f>
        <v/>
      </c>
      <c r="O479" s="21">
        <f>IF(I479&lt;=5000000,"Under $5M",IF(I479&lt;=20000000,"$5M-20M",IF(I479&lt;=50000000,"$20M-50M",IF(I479&lt;=100000000,"$50M-100M","$100M+"))))</f>
        <v/>
      </c>
      <c r="P479" s="21">
        <f>IF(E479&lt;=90,"90 or less",IF(E479&lt;=105,"91-105",IF(E479&lt;=120,"106-120",IF(E479&lt;=140,"121-140","Over 140"))))</f>
        <v/>
      </c>
      <c r="Q479" s="28">
        <f>INT(C479/10)*10</f>
        <v/>
      </c>
    </row>
    <row r="480">
      <c r="A480" s="21" t="n">
        <v>500</v>
      </c>
      <c r="B480" s="21" t="inlineStr">
        <is>
          <t>Friday the 13th Part VII: The New Blood</t>
        </is>
      </c>
      <c r="C480" s="21" t="n">
        <v>1988</v>
      </c>
      <c r="D480" s="21" t="inlineStr">
        <is>
          <t>USA</t>
        </is>
      </c>
      <c r="E480" s="21" t="n">
        <v>88</v>
      </c>
      <c r="F480" s="21" t="inlineStr">
        <is>
          <t>English</t>
        </is>
      </c>
      <c r="G480" s="21" t="inlineStr">
        <is>
          <t>R</t>
        </is>
      </c>
      <c r="H480" s="22" t="n">
        <v>19170001</v>
      </c>
      <c r="I480" s="22" t="n">
        <v>2800000</v>
      </c>
      <c r="J480" s="21">
        <f>IF(OR(H480="",H480=25529689.5),"Yes","No")</f>
        <v/>
      </c>
      <c r="K480" s="21">
        <f>IF(AND(D480="USA",C480&gt;=1980,J480="No"),"Yes","No")</f>
        <v/>
      </c>
      <c r="L480" s="26">
        <f>IF(J480="Yes","",H480-I480)</f>
        <v/>
      </c>
      <c r="M480" s="27">
        <f>IF(OR(J480="Yes",I480=0),"",H480/I480)</f>
        <v/>
      </c>
      <c r="N480" s="21">
        <f>IF(J480="Yes","",IF(H480&gt;=I480,1,0))</f>
        <v/>
      </c>
      <c r="O480" s="21">
        <f>IF(I480&lt;=5000000,"Under $5M",IF(I480&lt;=20000000,"$5M-20M",IF(I480&lt;=50000000,"$20M-50M",IF(I480&lt;=100000000,"$50M-100M","$100M+"))))</f>
        <v/>
      </c>
      <c r="P480" s="21">
        <f>IF(E480&lt;=90,"90 or less",IF(E480&lt;=105,"91-105",IF(E480&lt;=120,"106-120",IF(E480&lt;=140,"121-140","Over 140"))))</f>
        <v/>
      </c>
      <c r="Q480" s="28">
        <f>INT(C480/10)*10</f>
        <v/>
      </c>
    </row>
    <row r="481">
      <c r="A481" s="21" t="n">
        <v>501</v>
      </c>
      <c r="B481" s="21" t="inlineStr">
        <is>
          <t>Halloween 4: The Return of Michael Myers</t>
        </is>
      </c>
      <c r="C481" s="21" t="n">
        <v>1988</v>
      </c>
      <c r="D481" s="21" t="inlineStr">
        <is>
          <t>USA</t>
        </is>
      </c>
      <c r="E481" s="21" t="n">
        <v>88</v>
      </c>
      <c r="F481" s="21" t="inlineStr">
        <is>
          <t>English</t>
        </is>
      </c>
      <c r="G481" s="21" t="inlineStr">
        <is>
          <t>R</t>
        </is>
      </c>
      <c r="H481" s="22" t="n">
        <v>17768000</v>
      </c>
      <c r="I481" s="22" t="n">
        <v>5000000</v>
      </c>
      <c r="J481" s="21">
        <f>IF(OR(H481="",H481=25529689.5),"Yes","No")</f>
        <v/>
      </c>
      <c r="K481" s="21">
        <f>IF(AND(D481="USA",C481&gt;=1980,J481="No"),"Yes","No")</f>
        <v/>
      </c>
      <c r="L481" s="26">
        <f>IF(J481="Yes","",H481-I481)</f>
        <v/>
      </c>
      <c r="M481" s="27">
        <f>IF(OR(J481="Yes",I481=0),"",H481/I481)</f>
        <v/>
      </c>
      <c r="N481" s="21">
        <f>IF(J481="Yes","",IF(H481&gt;=I481,1,0))</f>
        <v/>
      </c>
      <c r="O481" s="21">
        <f>IF(I481&lt;=5000000,"Under $5M",IF(I481&lt;=20000000,"$5M-20M",IF(I481&lt;=50000000,"$20M-50M",IF(I481&lt;=100000000,"$50M-100M","$100M+"))))</f>
        <v/>
      </c>
      <c r="P481" s="21">
        <f>IF(E481&lt;=90,"90 or less",IF(E481&lt;=105,"91-105",IF(E481&lt;=120,"106-120",IF(E481&lt;=140,"121-140","Over 140"))))</f>
        <v/>
      </c>
      <c r="Q481" s="28">
        <f>INT(C481/10)*10</f>
        <v/>
      </c>
    </row>
    <row r="482">
      <c r="A482" s="21" t="n">
        <v>502</v>
      </c>
      <c r="B482" s="21" t="inlineStr">
        <is>
          <t>Iguana</t>
        </is>
      </c>
      <c r="C482" s="21" t="n">
        <v>1988</v>
      </c>
      <c r="D482" s="21" t="inlineStr">
        <is>
          <t>Italy</t>
        </is>
      </c>
      <c r="E482" s="21" t="n">
        <v>97</v>
      </c>
      <c r="F482" s="21" t="inlineStr">
        <is>
          <t>English</t>
        </is>
      </c>
      <c r="G482" s="21" t="n"/>
      <c r="H482" s="22" t="n">
        <v>25529689.5</v>
      </c>
      <c r="I482" s="22" t="n">
        <v>3000000</v>
      </c>
      <c r="J482" s="21">
        <f>IF(OR(H482="",H482=25529689.5),"Yes","No")</f>
        <v/>
      </c>
      <c r="K482" s="21">
        <f>IF(AND(D482="USA",C482&gt;=1980,J482="No"),"Yes","No")</f>
        <v/>
      </c>
      <c r="L482" s="26">
        <f>IF(J482="Yes","",H482-I482)</f>
        <v/>
      </c>
      <c r="M482" s="27">
        <f>IF(OR(J482="Yes",I482=0),"",H482/I482)</f>
        <v/>
      </c>
      <c r="N482" s="21">
        <f>IF(J482="Yes","",IF(H482&gt;=I482,1,0))</f>
        <v/>
      </c>
      <c r="O482" s="21">
        <f>IF(I482&lt;=5000000,"Under $5M",IF(I482&lt;=20000000,"$5M-20M",IF(I482&lt;=50000000,"$20M-50M",IF(I482&lt;=100000000,"$50M-100M","$100M+"))))</f>
        <v/>
      </c>
      <c r="P482" s="21">
        <f>IF(E482&lt;=90,"90 or less",IF(E482&lt;=105,"91-105",IF(E482&lt;=120,"106-120",IF(E482&lt;=140,"121-140","Over 140"))))</f>
        <v/>
      </c>
      <c r="Q482" s="28">
        <f>INT(C482/10)*10</f>
        <v/>
      </c>
    </row>
    <row r="483">
      <c r="A483" s="21" t="n">
        <v>503</v>
      </c>
      <c r="B483" s="21" t="inlineStr">
        <is>
          <t>Lady in White</t>
        </is>
      </c>
      <c r="C483" s="21" t="n">
        <v>1988</v>
      </c>
      <c r="D483" s="21" t="inlineStr">
        <is>
          <t>USA</t>
        </is>
      </c>
      <c r="E483" s="21" t="n">
        <v>118</v>
      </c>
      <c r="F483" s="21" t="inlineStr">
        <is>
          <t>English</t>
        </is>
      </c>
      <c r="G483" s="21" t="inlineStr">
        <is>
          <t>R</t>
        </is>
      </c>
      <c r="H483" s="22" t="n">
        <v>1705139</v>
      </c>
      <c r="I483" s="22" t="n">
        <v>4700000</v>
      </c>
      <c r="J483" s="21">
        <f>IF(OR(H483="",H483=25529689.5),"Yes","No")</f>
        <v/>
      </c>
      <c r="K483" s="21">
        <f>IF(AND(D483="USA",C483&gt;=1980,J483="No"),"Yes","No")</f>
        <v/>
      </c>
      <c r="L483" s="26">
        <f>IF(J483="Yes","",H483-I483)</f>
        <v/>
      </c>
      <c r="M483" s="27">
        <f>IF(OR(J483="Yes",I483=0),"",H483/I483)</f>
        <v/>
      </c>
      <c r="N483" s="21">
        <f>IF(J483="Yes","",IF(H483&gt;=I483,1,0))</f>
        <v/>
      </c>
      <c r="O483" s="21">
        <f>IF(I483&lt;=5000000,"Under $5M",IF(I483&lt;=20000000,"$5M-20M",IF(I483&lt;=50000000,"$20M-50M",IF(I483&lt;=100000000,"$50M-100M","$100M+"))))</f>
        <v/>
      </c>
      <c r="P483" s="21">
        <f>IF(E483&lt;=90,"90 or less",IF(E483&lt;=105,"91-105",IF(E483&lt;=120,"106-120",IF(E483&lt;=140,"121-140","Over 140"))))</f>
        <v/>
      </c>
      <c r="Q483" s="28">
        <f>INT(C483/10)*10</f>
        <v/>
      </c>
    </row>
    <row r="484">
      <c r="A484" s="21" t="n">
        <v>504</v>
      </c>
      <c r="B484" s="21" t="inlineStr">
        <is>
          <t>Midnight Run</t>
        </is>
      </c>
      <c r="C484" s="21" t="n">
        <v>1988</v>
      </c>
      <c r="D484" s="21" t="inlineStr">
        <is>
          <t>USA</t>
        </is>
      </c>
      <c r="E484" s="21" t="n">
        <v>126</v>
      </c>
      <c r="F484" s="21" t="inlineStr">
        <is>
          <t>English</t>
        </is>
      </c>
      <c r="G484" s="21" t="inlineStr">
        <is>
          <t>R</t>
        </is>
      </c>
      <c r="H484" s="22" t="n">
        <v>38413606</v>
      </c>
      <c r="I484" s="22" t="n">
        <v>30000000</v>
      </c>
      <c r="J484" s="21">
        <f>IF(OR(H484="",H484=25529689.5),"Yes","No")</f>
        <v/>
      </c>
      <c r="K484" s="21">
        <f>IF(AND(D484="USA",C484&gt;=1980,J484="No"),"Yes","No")</f>
        <v/>
      </c>
      <c r="L484" s="26">
        <f>IF(J484="Yes","",H484-I484)</f>
        <v/>
      </c>
      <c r="M484" s="27">
        <f>IF(OR(J484="Yes",I484=0),"",H484/I484)</f>
        <v/>
      </c>
      <c r="N484" s="21">
        <f>IF(J484="Yes","",IF(H484&gt;=I484,1,0))</f>
        <v/>
      </c>
      <c r="O484" s="21">
        <f>IF(I484&lt;=5000000,"Under $5M",IF(I484&lt;=20000000,"$5M-20M",IF(I484&lt;=50000000,"$20M-50M",IF(I484&lt;=100000000,"$50M-100M","$100M+"))))</f>
        <v/>
      </c>
      <c r="P484" s="21">
        <f>IF(E484&lt;=90,"90 or less",IF(E484&lt;=105,"91-105",IF(E484&lt;=120,"106-120",IF(E484&lt;=140,"121-140","Over 140"))))</f>
        <v/>
      </c>
      <c r="Q484" s="28">
        <f>INT(C484/10)*10</f>
        <v/>
      </c>
    </row>
    <row r="485">
      <c r="A485" s="21" t="n">
        <v>505</v>
      </c>
      <c r="B485" s="21" t="inlineStr">
        <is>
          <t>My Stepmother Is an Alien</t>
        </is>
      </c>
      <c r="C485" s="21" t="n">
        <v>1988</v>
      </c>
      <c r="D485" s="21" t="inlineStr">
        <is>
          <t>USA</t>
        </is>
      </c>
      <c r="E485" s="21" t="n">
        <v>105</v>
      </c>
      <c r="F485" s="21" t="inlineStr">
        <is>
          <t>English</t>
        </is>
      </c>
      <c r="G485" s="21" t="inlineStr">
        <is>
          <t>PG-13</t>
        </is>
      </c>
      <c r="H485" s="22" t="n">
        <v>13854000</v>
      </c>
      <c r="I485" s="22" t="n">
        <v>20000000</v>
      </c>
      <c r="J485" s="21">
        <f>IF(OR(H485="",H485=25529689.5),"Yes","No")</f>
        <v/>
      </c>
      <c r="K485" s="21">
        <f>IF(AND(D485="USA",C485&gt;=1980,J485="No"),"Yes","No")</f>
        <v/>
      </c>
      <c r="L485" s="26">
        <f>IF(J485="Yes","",H485-I485)</f>
        <v/>
      </c>
      <c r="M485" s="27">
        <f>IF(OR(J485="Yes",I485=0),"",H485/I485)</f>
        <v/>
      </c>
      <c r="N485" s="21">
        <f>IF(J485="Yes","",IF(H485&gt;=I485,1,0))</f>
        <v/>
      </c>
      <c r="O485" s="21">
        <f>IF(I485&lt;=5000000,"Under $5M",IF(I485&lt;=20000000,"$5M-20M",IF(I485&lt;=50000000,"$20M-50M",IF(I485&lt;=100000000,"$50M-100M","$100M+"))))</f>
        <v/>
      </c>
      <c r="P485" s="21">
        <f>IF(E485&lt;=90,"90 or less",IF(E485&lt;=105,"91-105",IF(E485&lt;=120,"106-120",IF(E485&lt;=140,"121-140","Over 140"))))</f>
        <v/>
      </c>
      <c r="Q485" s="28">
        <f>INT(C485/10)*10</f>
        <v/>
      </c>
    </row>
    <row r="486">
      <c r="A486" s="21" t="n">
        <v>506</v>
      </c>
      <c r="B486" s="21" t="inlineStr">
        <is>
          <t>Mystic Pizza</t>
        </is>
      </c>
      <c r="C486" s="21" t="n">
        <v>1988</v>
      </c>
      <c r="D486" s="21" t="inlineStr">
        <is>
          <t>USA</t>
        </is>
      </c>
      <c r="E486" s="21" t="n">
        <v>104</v>
      </c>
      <c r="F486" s="21" t="inlineStr">
        <is>
          <t>English</t>
        </is>
      </c>
      <c r="G486" s="21" t="inlineStr">
        <is>
          <t>R</t>
        </is>
      </c>
      <c r="H486" s="22" t="n">
        <v>12793213</v>
      </c>
      <c r="I486" s="22" t="n">
        <v>6000000</v>
      </c>
      <c r="J486" s="21">
        <f>IF(OR(H486="",H486=25529689.5),"Yes","No")</f>
        <v/>
      </c>
      <c r="K486" s="21">
        <f>IF(AND(D486="USA",C486&gt;=1980,J486="No"),"Yes","No")</f>
        <v/>
      </c>
      <c r="L486" s="26">
        <f>IF(J486="Yes","",H486-I486)</f>
        <v/>
      </c>
      <c r="M486" s="27">
        <f>IF(OR(J486="Yes",I486=0),"",H486/I486)</f>
        <v/>
      </c>
      <c r="N486" s="21">
        <f>IF(J486="Yes","",IF(H486&gt;=I486,1,0))</f>
        <v/>
      </c>
      <c r="O486" s="21">
        <f>IF(I486&lt;=5000000,"Under $5M",IF(I486&lt;=20000000,"$5M-20M",IF(I486&lt;=50000000,"$20M-50M",IF(I486&lt;=100000000,"$50M-100M","$100M+"))))</f>
        <v/>
      </c>
      <c r="P486" s="21">
        <f>IF(E486&lt;=90,"90 or less",IF(E486&lt;=105,"91-105",IF(E486&lt;=120,"106-120",IF(E486&lt;=140,"121-140","Over 140"))))</f>
        <v/>
      </c>
      <c r="Q486" s="28">
        <f>INT(C486/10)*10</f>
        <v/>
      </c>
    </row>
    <row r="487">
      <c r="A487" s="21" t="n">
        <v>507</v>
      </c>
      <c r="B487" s="21" t="inlineStr">
        <is>
          <t>Phantasm II</t>
        </is>
      </c>
      <c r="C487" s="21" t="n">
        <v>1988</v>
      </c>
      <c r="D487" s="21" t="inlineStr">
        <is>
          <t>USA</t>
        </is>
      </c>
      <c r="E487" s="21" t="n">
        <v>97</v>
      </c>
      <c r="F487" s="21" t="inlineStr">
        <is>
          <t>English</t>
        </is>
      </c>
      <c r="G487" s="21" t="inlineStr">
        <is>
          <t>R</t>
        </is>
      </c>
      <c r="H487" s="22" t="n">
        <v>7282851</v>
      </c>
      <c r="I487" s="22" t="n">
        <v>3000000</v>
      </c>
      <c r="J487" s="21">
        <f>IF(OR(H487="",H487=25529689.5),"Yes","No")</f>
        <v/>
      </c>
      <c r="K487" s="21">
        <f>IF(AND(D487="USA",C487&gt;=1980,J487="No"),"Yes","No")</f>
        <v/>
      </c>
      <c r="L487" s="26">
        <f>IF(J487="Yes","",H487-I487)</f>
        <v/>
      </c>
      <c r="M487" s="27">
        <f>IF(OR(J487="Yes",I487=0),"",H487/I487)</f>
        <v/>
      </c>
      <c r="N487" s="21">
        <f>IF(J487="Yes","",IF(H487&gt;=I487,1,0))</f>
        <v/>
      </c>
      <c r="O487" s="21">
        <f>IF(I487&lt;=5000000,"Under $5M",IF(I487&lt;=20000000,"$5M-20M",IF(I487&lt;=50000000,"$20M-50M",IF(I487&lt;=100000000,"$50M-100M","$100M+"))))</f>
        <v/>
      </c>
      <c r="P487" s="21">
        <f>IF(E487&lt;=90,"90 or less",IF(E487&lt;=105,"91-105",IF(E487&lt;=120,"106-120",IF(E487&lt;=140,"121-140","Over 140"))))</f>
        <v/>
      </c>
      <c r="Q487" s="28">
        <f>INT(C487/10)*10</f>
        <v/>
      </c>
    </row>
    <row r="488">
      <c r="A488" s="21" t="n">
        <v>508</v>
      </c>
      <c r="B488" s="21" t="inlineStr">
        <is>
          <t>Poltergeist III</t>
        </is>
      </c>
      <c r="C488" s="21" t="n">
        <v>1988</v>
      </c>
      <c r="D488" s="21" t="inlineStr">
        <is>
          <t>USA</t>
        </is>
      </c>
      <c r="E488" s="21" t="n">
        <v>98</v>
      </c>
      <c r="F488" s="21" t="inlineStr">
        <is>
          <t>English</t>
        </is>
      </c>
      <c r="G488" s="21" t="inlineStr">
        <is>
          <t>PG-13</t>
        </is>
      </c>
      <c r="H488" s="22" t="n">
        <v>14114488</v>
      </c>
      <c r="I488" s="22" t="n">
        <v>10500000</v>
      </c>
      <c r="J488" s="21">
        <f>IF(OR(H488="",H488=25529689.5),"Yes","No")</f>
        <v/>
      </c>
      <c r="K488" s="21">
        <f>IF(AND(D488="USA",C488&gt;=1980,J488="No"),"Yes","No")</f>
        <v/>
      </c>
      <c r="L488" s="26">
        <f>IF(J488="Yes","",H488-I488)</f>
        <v/>
      </c>
      <c r="M488" s="27">
        <f>IF(OR(J488="Yes",I488=0),"",H488/I488)</f>
        <v/>
      </c>
      <c r="N488" s="21">
        <f>IF(J488="Yes","",IF(H488&gt;=I488,1,0))</f>
        <v/>
      </c>
      <c r="O488" s="21">
        <f>IF(I488&lt;=5000000,"Under $5M",IF(I488&lt;=20000000,"$5M-20M",IF(I488&lt;=50000000,"$20M-50M",IF(I488&lt;=100000000,"$50M-100M","$100M+"))))</f>
        <v/>
      </c>
      <c r="P488" s="21">
        <f>IF(E488&lt;=90,"90 or less",IF(E488&lt;=105,"91-105",IF(E488&lt;=120,"106-120",IF(E488&lt;=140,"121-140","Over 140"))))</f>
        <v/>
      </c>
      <c r="Q488" s="28">
        <f>INT(C488/10)*10</f>
        <v/>
      </c>
    </row>
    <row r="489">
      <c r="A489" s="21" t="n">
        <v>509</v>
      </c>
      <c r="B489" s="21" t="inlineStr">
        <is>
          <t>Rain Man</t>
        </is>
      </c>
      <c r="C489" s="21" t="n">
        <v>1988</v>
      </c>
      <c r="D489" s="21" t="inlineStr">
        <is>
          <t>USA</t>
        </is>
      </c>
      <c r="E489" s="21" t="n">
        <v>133</v>
      </c>
      <c r="F489" s="21" t="inlineStr">
        <is>
          <t>English</t>
        </is>
      </c>
      <c r="G489" s="21" t="inlineStr">
        <is>
          <t>R</t>
        </is>
      </c>
      <c r="H489" s="22" t="n">
        <v>172825435</v>
      </c>
      <c r="I489" s="22" t="n">
        <v>25000000</v>
      </c>
      <c r="J489" s="21">
        <f>IF(OR(H489="",H489=25529689.5),"Yes","No")</f>
        <v/>
      </c>
      <c r="K489" s="21">
        <f>IF(AND(D489="USA",C489&gt;=1980,J489="No"),"Yes","No")</f>
        <v/>
      </c>
      <c r="L489" s="26">
        <f>IF(J489="Yes","",H489-I489)</f>
        <v/>
      </c>
      <c r="M489" s="27">
        <f>IF(OR(J489="Yes",I489=0),"",H489/I489)</f>
        <v/>
      </c>
      <c r="N489" s="21">
        <f>IF(J489="Yes","",IF(H489&gt;=I489,1,0))</f>
        <v/>
      </c>
      <c r="O489" s="21">
        <f>IF(I489&lt;=5000000,"Under $5M",IF(I489&lt;=20000000,"$5M-20M",IF(I489&lt;=50000000,"$20M-50M",IF(I489&lt;=100000000,"$50M-100M","$100M+"))))</f>
        <v/>
      </c>
      <c r="P489" s="21">
        <f>IF(E489&lt;=90,"90 or less",IF(E489&lt;=105,"91-105",IF(E489&lt;=120,"106-120",IF(E489&lt;=140,"121-140","Over 140"))))</f>
        <v/>
      </c>
      <c r="Q489" s="28">
        <f>INT(C489/10)*10</f>
        <v/>
      </c>
    </row>
    <row r="490">
      <c r="A490" s="21" t="n">
        <v>510</v>
      </c>
      <c r="B490" s="21" t="inlineStr">
        <is>
          <t>Rambo III</t>
        </is>
      </c>
      <c r="C490" s="21" t="n">
        <v>1988</v>
      </c>
      <c r="D490" s="21" t="inlineStr">
        <is>
          <t>USA</t>
        </is>
      </c>
      <c r="E490" s="21" t="n">
        <v>87</v>
      </c>
      <c r="F490" s="21" t="inlineStr">
        <is>
          <t>English</t>
        </is>
      </c>
      <c r="G490" s="21" t="inlineStr">
        <is>
          <t>R</t>
        </is>
      </c>
      <c r="H490" s="22" t="n">
        <v>53715611</v>
      </c>
      <c r="I490" s="22" t="n">
        <v>63000000</v>
      </c>
      <c r="J490" s="21">
        <f>IF(OR(H490="",H490=25529689.5),"Yes","No")</f>
        <v/>
      </c>
      <c r="K490" s="21">
        <f>IF(AND(D490="USA",C490&gt;=1980,J490="No"),"Yes","No")</f>
        <v/>
      </c>
      <c r="L490" s="26">
        <f>IF(J490="Yes","",H490-I490)</f>
        <v/>
      </c>
      <c r="M490" s="27">
        <f>IF(OR(J490="Yes",I490=0),"",H490/I490)</f>
        <v/>
      </c>
      <c r="N490" s="21">
        <f>IF(J490="Yes","",IF(H490&gt;=I490,1,0))</f>
        <v/>
      </c>
      <c r="O490" s="21">
        <f>IF(I490&lt;=5000000,"Under $5M",IF(I490&lt;=20000000,"$5M-20M",IF(I490&lt;=50000000,"$20M-50M",IF(I490&lt;=100000000,"$50M-100M","$100M+"))))</f>
        <v/>
      </c>
      <c r="P490" s="21">
        <f>IF(E490&lt;=90,"90 or less",IF(E490&lt;=105,"91-105",IF(E490&lt;=120,"106-120",IF(E490&lt;=140,"121-140","Over 140"))))</f>
        <v/>
      </c>
      <c r="Q490" s="28">
        <f>INT(C490/10)*10</f>
        <v/>
      </c>
    </row>
    <row r="491">
      <c r="A491" s="21" t="n">
        <v>511</v>
      </c>
      <c r="B491" s="21" t="inlineStr">
        <is>
          <t>School Daze</t>
        </is>
      </c>
      <c r="C491" s="21" t="n">
        <v>1988</v>
      </c>
      <c r="D491" s="21" t="inlineStr">
        <is>
          <t>USA</t>
        </is>
      </c>
      <c r="E491" s="21" t="n">
        <v>121</v>
      </c>
      <c r="F491" s="21" t="inlineStr">
        <is>
          <t>English</t>
        </is>
      </c>
      <c r="G491" s="21" t="inlineStr">
        <is>
          <t>R</t>
        </is>
      </c>
      <c r="H491" s="22" t="n">
        <v>14545844</v>
      </c>
      <c r="I491" s="22" t="n">
        <v>6500000</v>
      </c>
      <c r="J491" s="21">
        <f>IF(OR(H491="",H491=25529689.5),"Yes","No")</f>
        <v/>
      </c>
      <c r="K491" s="21">
        <f>IF(AND(D491="USA",C491&gt;=1980,J491="No"),"Yes","No")</f>
        <v/>
      </c>
      <c r="L491" s="26">
        <f>IF(J491="Yes","",H491-I491)</f>
        <v/>
      </c>
      <c r="M491" s="27">
        <f>IF(OR(J491="Yes",I491=0),"",H491/I491)</f>
        <v/>
      </c>
      <c r="N491" s="21">
        <f>IF(J491="Yes","",IF(H491&gt;=I491,1,0))</f>
        <v/>
      </c>
      <c r="O491" s="21">
        <f>IF(I491&lt;=5000000,"Under $5M",IF(I491&lt;=20000000,"$5M-20M",IF(I491&lt;=50000000,"$20M-50M",IF(I491&lt;=100000000,"$50M-100M","$100M+"))))</f>
        <v/>
      </c>
      <c r="P491" s="21">
        <f>IF(E491&lt;=90,"90 or less",IF(E491&lt;=105,"91-105",IF(E491&lt;=120,"106-120",IF(E491&lt;=140,"121-140","Over 140"))))</f>
        <v/>
      </c>
      <c r="Q491" s="28">
        <f>INT(C491/10)*10</f>
        <v/>
      </c>
    </row>
    <row r="492">
      <c r="A492" s="21" t="n">
        <v>512</v>
      </c>
      <c r="B492" s="21" t="inlineStr">
        <is>
          <t>Scrooged</t>
        </is>
      </c>
      <c r="C492" s="21" t="n">
        <v>1988</v>
      </c>
      <c r="D492" s="21" t="inlineStr">
        <is>
          <t>USA</t>
        </is>
      </c>
      <c r="E492" s="21" t="n">
        <v>101</v>
      </c>
      <c r="F492" s="21" t="inlineStr">
        <is>
          <t>English</t>
        </is>
      </c>
      <c r="G492" s="21" t="inlineStr">
        <is>
          <t>PG-13</t>
        </is>
      </c>
      <c r="H492" s="22" t="n">
        <v>60328558</v>
      </c>
      <c r="I492" s="22" t="n">
        <v>32000000</v>
      </c>
      <c r="J492" s="21">
        <f>IF(OR(H492="",H492=25529689.5),"Yes","No")</f>
        <v/>
      </c>
      <c r="K492" s="21">
        <f>IF(AND(D492="USA",C492&gt;=1980,J492="No"),"Yes","No")</f>
        <v/>
      </c>
      <c r="L492" s="26">
        <f>IF(J492="Yes","",H492-I492)</f>
        <v/>
      </c>
      <c r="M492" s="27">
        <f>IF(OR(J492="Yes",I492=0),"",H492/I492)</f>
        <v/>
      </c>
      <c r="N492" s="21">
        <f>IF(J492="Yes","",IF(H492&gt;=I492,1,0))</f>
        <v/>
      </c>
      <c r="O492" s="21">
        <f>IF(I492&lt;=5000000,"Under $5M",IF(I492&lt;=20000000,"$5M-20M",IF(I492&lt;=50000000,"$20M-50M",IF(I492&lt;=100000000,"$50M-100M","$100M+"))))</f>
        <v/>
      </c>
      <c r="P492" s="21">
        <f>IF(E492&lt;=90,"90 or less",IF(E492&lt;=105,"91-105",IF(E492&lt;=120,"106-120",IF(E492&lt;=140,"121-140","Over 140"))))</f>
        <v/>
      </c>
      <c r="Q492" s="28">
        <f>INT(C492/10)*10</f>
        <v/>
      </c>
    </row>
    <row r="493">
      <c r="A493" s="21" t="n">
        <v>513</v>
      </c>
      <c r="B493" s="21" t="inlineStr">
        <is>
          <t>Talk Radio</t>
        </is>
      </c>
      <c r="C493" s="21" t="n">
        <v>1988</v>
      </c>
      <c r="D493" s="21" t="inlineStr">
        <is>
          <t>USA</t>
        </is>
      </c>
      <c r="E493" s="21" t="n">
        <v>110</v>
      </c>
      <c r="F493" s="21" t="inlineStr">
        <is>
          <t>English</t>
        </is>
      </c>
      <c r="G493" s="21" t="inlineStr">
        <is>
          <t>R</t>
        </is>
      </c>
      <c r="H493" s="22" t="n">
        <v>3468572</v>
      </c>
      <c r="I493" s="22" t="n">
        <v>4000000</v>
      </c>
      <c r="J493" s="21">
        <f>IF(OR(H493="",H493=25529689.5),"Yes","No")</f>
        <v/>
      </c>
      <c r="K493" s="21">
        <f>IF(AND(D493="USA",C493&gt;=1980,J493="No"),"Yes","No")</f>
        <v/>
      </c>
      <c r="L493" s="26">
        <f>IF(J493="Yes","",H493-I493)</f>
        <v/>
      </c>
      <c r="M493" s="27">
        <f>IF(OR(J493="Yes",I493=0),"",H493/I493)</f>
        <v/>
      </c>
      <c r="N493" s="21">
        <f>IF(J493="Yes","",IF(H493&gt;=I493,1,0))</f>
        <v/>
      </c>
      <c r="O493" s="21">
        <f>IF(I493&lt;=5000000,"Under $5M",IF(I493&lt;=20000000,"$5M-20M",IF(I493&lt;=50000000,"$20M-50M",IF(I493&lt;=100000000,"$50M-100M","$100M+"))))</f>
        <v/>
      </c>
      <c r="P493" s="21">
        <f>IF(E493&lt;=90,"90 or less",IF(E493&lt;=105,"91-105",IF(E493&lt;=120,"106-120",IF(E493&lt;=140,"121-140","Over 140"))))</f>
        <v/>
      </c>
      <c r="Q493" s="28">
        <f>INT(C493/10)*10</f>
        <v/>
      </c>
    </row>
    <row r="494">
      <c r="A494" s="21" t="n">
        <v>514</v>
      </c>
      <c r="B494" s="21" t="inlineStr">
        <is>
          <t>The Land Before Time</t>
        </is>
      </c>
      <c r="C494" s="21" t="n">
        <v>1988</v>
      </c>
      <c r="D494" s="21" t="inlineStr">
        <is>
          <t>USA</t>
        </is>
      </c>
      <c r="E494" s="21" t="n">
        <v>69</v>
      </c>
      <c r="F494" s="21" t="inlineStr">
        <is>
          <t>English</t>
        </is>
      </c>
      <c r="G494" s="21" t="inlineStr">
        <is>
          <t>G</t>
        </is>
      </c>
      <c r="H494" s="22" t="n">
        <v>48092846</v>
      </c>
      <c r="I494" s="22" t="n">
        <v>12500000</v>
      </c>
      <c r="J494" s="21">
        <f>IF(OR(H494="",H494=25529689.5),"Yes","No")</f>
        <v/>
      </c>
      <c r="K494" s="21">
        <f>IF(AND(D494="USA",C494&gt;=1980,J494="No"),"Yes","No")</f>
        <v/>
      </c>
      <c r="L494" s="26">
        <f>IF(J494="Yes","",H494-I494)</f>
        <v/>
      </c>
      <c r="M494" s="27">
        <f>IF(OR(J494="Yes",I494=0),"",H494/I494)</f>
        <v/>
      </c>
      <c r="N494" s="21">
        <f>IF(J494="Yes","",IF(H494&gt;=I494,1,0))</f>
        <v/>
      </c>
      <c r="O494" s="21">
        <f>IF(I494&lt;=5000000,"Under $5M",IF(I494&lt;=20000000,"$5M-20M",IF(I494&lt;=50000000,"$20M-50M",IF(I494&lt;=100000000,"$50M-100M","$100M+"))))</f>
        <v/>
      </c>
      <c r="P494" s="21">
        <f>IF(E494&lt;=90,"90 or less",IF(E494&lt;=105,"91-105",IF(E494&lt;=120,"106-120",IF(E494&lt;=140,"121-140","Over 140"))))</f>
        <v/>
      </c>
      <c r="Q494" s="28">
        <f>INT(C494/10)*10</f>
        <v/>
      </c>
    </row>
    <row r="495">
      <c r="A495" s="21" t="n">
        <v>515</v>
      </c>
      <c r="B495" s="21" t="inlineStr">
        <is>
          <t>The Last Temptation of Christ</t>
        </is>
      </c>
      <c r="C495" s="21" t="n">
        <v>1988</v>
      </c>
      <c r="D495" s="21" t="inlineStr">
        <is>
          <t>USA</t>
        </is>
      </c>
      <c r="E495" s="21" t="n">
        <v>164</v>
      </c>
      <c r="F495" s="21" t="inlineStr">
        <is>
          <t>English</t>
        </is>
      </c>
      <c r="G495" s="21" t="inlineStr">
        <is>
          <t>R</t>
        </is>
      </c>
      <c r="H495" s="22" t="n">
        <v>8373585</v>
      </c>
      <c r="I495" s="22" t="n">
        <v>7000000</v>
      </c>
      <c r="J495" s="21">
        <f>IF(OR(H495="",H495=25529689.5),"Yes","No")</f>
        <v/>
      </c>
      <c r="K495" s="21">
        <f>IF(AND(D495="USA",C495&gt;=1980,J495="No"),"Yes","No")</f>
        <v/>
      </c>
      <c r="L495" s="26">
        <f>IF(J495="Yes","",H495-I495)</f>
        <v/>
      </c>
      <c r="M495" s="27">
        <f>IF(OR(J495="Yes",I495=0),"",H495/I495)</f>
        <v/>
      </c>
      <c r="N495" s="21">
        <f>IF(J495="Yes","",IF(H495&gt;=I495,1,0))</f>
        <v/>
      </c>
      <c r="O495" s="21">
        <f>IF(I495&lt;=5000000,"Under $5M",IF(I495&lt;=20000000,"$5M-20M",IF(I495&lt;=50000000,"$20M-50M",IF(I495&lt;=100000000,"$50M-100M","$100M+"))))</f>
        <v/>
      </c>
      <c r="P495" s="21">
        <f>IF(E495&lt;=90,"90 or less",IF(E495&lt;=105,"91-105",IF(E495&lt;=120,"106-120",IF(E495&lt;=140,"121-140","Over 140"))))</f>
        <v/>
      </c>
      <c r="Q495" s="28">
        <f>INT(C495/10)*10</f>
        <v/>
      </c>
    </row>
    <row r="496">
      <c r="A496" s="21" t="n">
        <v>516</v>
      </c>
      <c r="B496" s="21" t="inlineStr">
        <is>
          <t>They Live</t>
        </is>
      </c>
      <c r="C496" s="21" t="n">
        <v>1988</v>
      </c>
      <c r="D496" s="21" t="inlineStr">
        <is>
          <t>USA</t>
        </is>
      </c>
      <c r="E496" s="21" t="n">
        <v>93</v>
      </c>
      <c r="F496" s="21" t="inlineStr">
        <is>
          <t>English</t>
        </is>
      </c>
      <c r="G496" s="21" t="inlineStr">
        <is>
          <t>R</t>
        </is>
      </c>
      <c r="H496" s="22" t="n">
        <v>13008928</v>
      </c>
      <c r="I496" s="22" t="n">
        <v>4000000</v>
      </c>
      <c r="J496" s="21">
        <f>IF(OR(H496="",H496=25529689.5),"Yes","No")</f>
        <v/>
      </c>
      <c r="K496" s="21">
        <f>IF(AND(D496="USA",C496&gt;=1980,J496="No"),"Yes","No")</f>
        <v/>
      </c>
      <c r="L496" s="26">
        <f>IF(J496="Yes","",H496-I496)</f>
        <v/>
      </c>
      <c r="M496" s="27">
        <f>IF(OR(J496="Yes",I496=0),"",H496/I496)</f>
        <v/>
      </c>
      <c r="N496" s="21">
        <f>IF(J496="Yes","",IF(H496&gt;=I496,1,0))</f>
        <v/>
      </c>
      <c r="O496" s="21">
        <f>IF(I496&lt;=5000000,"Under $5M",IF(I496&lt;=20000000,"$5M-20M",IF(I496&lt;=50000000,"$20M-50M",IF(I496&lt;=100000000,"$50M-100M","$100M+"))))</f>
        <v/>
      </c>
      <c r="P496" s="21">
        <f>IF(E496&lt;=90,"90 or less",IF(E496&lt;=105,"91-105",IF(E496&lt;=120,"106-120",IF(E496&lt;=140,"121-140","Over 140"))))</f>
        <v/>
      </c>
      <c r="Q496" s="28">
        <f>INT(C496/10)*10</f>
        <v/>
      </c>
    </row>
    <row r="497">
      <c r="A497" s="21" t="n">
        <v>517</v>
      </c>
      <c r="B497" s="21" t="inlineStr">
        <is>
          <t>Twins</t>
        </is>
      </c>
      <c r="C497" s="21" t="n">
        <v>1988</v>
      </c>
      <c r="D497" s="21" t="inlineStr">
        <is>
          <t>USA</t>
        </is>
      </c>
      <c r="E497" s="21" t="n">
        <v>107</v>
      </c>
      <c r="F497" s="21" t="inlineStr">
        <is>
          <t>English</t>
        </is>
      </c>
      <c r="G497" s="21" t="inlineStr">
        <is>
          <t>PG</t>
        </is>
      </c>
      <c r="H497" s="22" t="n">
        <v>111936400</v>
      </c>
      <c r="I497" s="22" t="n">
        <v>15000000</v>
      </c>
      <c r="J497" s="21">
        <f>IF(OR(H497="",H497=25529689.5),"Yes","No")</f>
        <v/>
      </c>
      <c r="K497" s="21">
        <f>IF(AND(D497="USA",C497&gt;=1980,J497="No"),"Yes","No")</f>
        <v/>
      </c>
      <c r="L497" s="26">
        <f>IF(J497="Yes","",H497-I497)</f>
        <v/>
      </c>
      <c r="M497" s="27">
        <f>IF(OR(J497="Yes",I497=0),"",H497/I497)</f>
        <v/>
      </c>
      <c r="N497" s="21">
        <f>IF(J497="Yes","",IF(H497&gt;=I497,1,0))</f>
        <v/>
      </c>
      <c r="O497" s="21">
        <f>IF(I497&lt;=5000000,"Under $5M",IF(I497&lt;=20000000,"$5M-20M",IF(I497&lt;=50000000,"$20M-50M",IF(I497&lt;=100000000,"$50M-100M","$100M+"))))</f>
        <v/>
      </c>
      <c r="P497" s="21">
        <f>IF(E497&lt;=90,"90 or less",IF(E497&lt;=105,"91-105",IF(E497&lt;=120,"106-120",IF(E497&lt;=140,"121-140","Over 140"))))</f>
        <v/>
      </c>
      <c r="Q497" s="28">
        <f>INT(C497/10)*10</f>
        <v/>
      </c>
    </row>
    <row r="498">
      <c r="A498" s="21" t="n">
        <v>518</v>
      </c>
      <c r="B498" s="21" t="inlineStr">
        <is>
          <t>Young Guns</t>
        </is>
      </c>
      <c r="C498" s="21" t="n">
        <v>1988</v>
      </c>
      <c r="D498" s="21" t="inlineStr">
        <is>
          <t>USA</t>
        </is>
      </c>
      <c r="E498" s="21" t="n">
        <v>107</v>
      </c>
      <c r="F498" s="21" t="inlineStr">
        <is>
          <t>English</t>
        </is>
      </c>
      <c r="G498" s="21" t="inlineStr">
        <is>
          <t>R</t>
        </is>
      </c>
      <c r="H498" s="22" t="n">
        <v>44726644</v>
      </c>
      <c r="I498" s="22" t="n">
        <v>13000000</v>
      </c>
      <c r="J498" s="21">
        <f>IF(OR(H498="",H498=25529689.5),"Yes","No")</f>
        <v/>
      </c>
      <c r="K498" s="21">
        <f>IF(AND(D498="USA",C498&gt;=1980,J498="No"),"Yes","No")</f>
        <v/>
      </c>
      <c r="L498" s="26">
        <f>IF(J498="Yes","",H498-I498)</f>
        <v/>
      </c>
      <c r="M498" s="27">
        <f>IF(OR(J498="Yes",I498=0),"",H498/I498)</f>
        <v/>
      </c>
      <c r="N498" s="21">
        <f>IF(J498="Yes","",IF(H498&gt;=I498,1,0))</f>
        <v/>
      </c>
      <c r="O498" s="21">
        <f>IF(I498&lt;=5000000,"Under $5M",IF(I498&lt;=20000000,"$5M-20M",IF(I498&lt;=50000000,"$20M-50M",IF(I498&lt;=100000000,"$50M-100M","$100M+"))))</f>
        <v/>
      </c>
      <c r="P498" s="21">
        <f>IF(E498&lt;=90,"90 or less",IF(E498&lt;=105,"91-105",IF(E498&lt;=120,"106-120",IF(E498&lt;=140,"121-140","Over 140"))))</f>
        <v/>
      </c>
      <c r="Q498" s="28">
        <f>INT(C498/10)*10</f>
        <v/>
      </c>
    </row>
    <row r="499">
      <c r="A499" s="21" t="n">
        <v>519</v>
      </c>
      <c r="B499" s="21" t="inlineStr">
        <is>
          <t>A Nightmare on Elm Street 5: The Dream Child</t>
        </is>
      </c>
      <c r="C499" s="21" t="n">
        <v>1989</v>
      </c>
      <c r="D499" s="21" t="inlineStr">
        <is>
          <t>USA</t>
        </is>
      </c>
      <c r="E499" s="21" t="n">
        <v>89</v>
      </c>
      <c r="F499" s="21" t="inlineStr">
        <is>
          <t>English</t>
        </is>
      </c>
      <c r="G499" s="21" t="inlineStr">
        <is>
          <t>X</t>
        </is>
      </c>
      <c r="H499" s="22" t="n">
        <v>22168359</v>
      </c>
      <c r="I499" s="22" t="n">
        <v>8000000</v>
      </c>
      <c r="J499" s="21">
        <f>IF(OR(H499="",H499=25529689.5),"Yes","No")</f>
        <v/>
      </c>
      <c r="K499" s="21">
        <f>IF(AND(D499="USA",C499&gt;=1980,J499="No"),"Yes","No")</f>
        <v/>
      </c>
      <c r="L499" s="26">
        <f>IF(J499="Yes","",H499-I499)</f>
        <v/>
      </c>
      <c r="M499" s="27">
        <f>IF(OR(J499="Yes",I499=0),"",H499/I499)</f>
        <v/>
      </c>
      <c r="N499" s="21">
        <f>IF(J499="Yes","",IF(H499&gt;=I499,1,0))</f>
        <v/>
      </c>
      <c r="O499" s="21">
        <f>IF(I499&lt;=5000000,"Under $5M",IF(I499&lt;=20000000,"$5M-20M",IF(I499&lt;=50000000,"$20M-50M",IF(I499&lt;=100000000,"$50M-100M","$100M+"))))</f>
        <v/>
      </c>
      <c r="P499" s="21">
        <f>IF(E499&lt;=90,"90 or less",IF(E499&lt;=105,"91-105",IF(E499&lt;=120,"106-120",IF(E499&lt;=140,"121-140","Over 140"))))</f>
        <v/>
      </c>
      <c r="Q499" s="28">
        <f>INT(C499/10)*10</f>
        <v/>
      </c>
    </row>
    <row r="500">
      <c r="A500" s="21" t="n">
        <v>520</v>
      </c>
      <c r="B500" s="21" t="inlineStr">
        <is>
          <t>Back to the Future Part II</t>
        </is>
      </c>
      <c r="C500" s="21" t="n">
        <v>1989</v>
      </c>
      <c r="D500" s="21" t="inlineStr">
        <is>
          <t>USA</t>
        </is>
      </c>
      <c r="E500" s="21" t="n">
        <v>108</v>
      </c>
      <c r="F500" s="21" t="inlineStr">
        <is>
          <t>English</t>
        </is>
      </c>
      <c r="G500" s="21" t="inlineStr">
        <is>
          <t>PG</t>
        </is>
      </c>
      <c r="H500" s="22" t="n">
        <v>118500000</v>
      </c>
      <c r="I500" s="22" t="n">
        <v>40000000</v>
      </c>
      <c r="J500" s="21">
        <f>IF(OR(H500="",H500=25529689.5),"Yes","No")</f>
        <v/>
      </c>
      <c r="K500" s="21">
        <f>IF(AND(D500="USA",C500&gt;=1980,J500="No"),"Yes","No")</f>
        <v/>
      </c>
      <c r="L500" s="26">
        <f>IF(J500="Yes","",H500-I500)</f>
        <v/>
      </c>
      <c r="M500" s="27">
        <f>IF(OR(J500="Yes",I500=0),"",H500/I500)</f>
        <v/>
      </c>
      <c r="N500" s="21">
        <f>IF(J500="Yes","",IF(H500&gt;=I500,1,0))</f>
        <v/>
      </c>
      <c r="O500" s="21">
        <f>IF(I500&lt;=5000000,"Under $5M",IF(I500&lt;=20000000,"$5M-20M",IF(I500&lt;=50000000,"$20M-50M",IF(I500&lt;=100000000,"$50M-100M","$100M+"))))</f>
        <v/>
      </c>
      <c r="P500" s="21">
        <f>IF(E500&lt;=90,"90 or less",IF(E500&lt;=105,"91-105",IF(E500&lt;=120,"106-120",IF(E500&lt;=140,"121-140","Over 140"))))</f>
        <v/>
      </c>
      <c r="Q500" s="28">
        <f>INT(C500/10)*10</f>
        <v/>
      </c>
    </row>
    <row r="501">
      <c r="A501" s="21" t="n">
        <v>521</v>
      </c>
      <c r="B501" s="21" t="inlineStr">
        <is>
          <t>Batman</t>
        </is>
      </c>
      <c r="C501" s="21" t="n">
        <v>1989</v>
      </c>
      <c r="D501" s="21" t="inlineStr">
        <is>
          <t>USA</t>
        </is>
      </c>
      <c r="E501" s="21" t="n">
        <v>126</v>
      </c>
      <c r="F501" s="21" t="inlineStr">
        <is>
          <t>English</t>
        </is>
      </c>
      <c r="G501" s="21" t="inlineStr">
        <is>
          <t>PG-13</t>
        </is>
      </c>
      <c r="H501" s="22" t="n">
        <v>251188924</v>
      </c>
      <c r="I501" s="22" t="n">
        <v>35000000</v>
      </c>
      <c r="J501" s="21">
        <f>IF(OR(H501="",H501=25529689.5),"Yes","No")</f>
        <v/>
      </c>
      <c r="K501" s="21">
        <f>IF(AND(D501="USA",C501&gt;=1980,J501="No"),"Yes","No")</f>
        <v/>
      </c>
      <c r="L501" s="26">
        <f>IF(J501="Yes","",H501-I501)</f>
        <v/>
      </c>
      <c r="M501" s="27">
        <f>IF(OR(J501="Yes",I501=0),"",H501/I501)</f>
        <v/>
      </c>
      <c r="N501" s="21">
        <f>IF(J501="Yes","",IF(H501&gt;=I501,1,0))</f>
        <v/>
      </c>
      <c r="O501" s="21">
        <f>IF(I501&lt;=5000000,"Under $5M",IF(I501&lt;=20000000,"$5M-20M",IF(I501&lt;=50000000,"$20M-50M",IF(I501&lt;=100000000,"$50M-100M","$100M+"))))</f>
        <v/>
      </c>
      <c r="P501" s="21">
        <f>IF(E501&lt;=90,"90 or less",IF(E501&lt;=105,"91-105",IF(E501&lt;=120,"106-120",IF(E501&lt;=140,"121-140","Over 140"))))</f>
        <v/>
      </c>
      <c r="Q501" s="28">
        <f>INT(C501/10)*10</f>
        <v/>
      </c>
    </row>
    <row r="502">
      <c r="A502" s="21" t="n">
        <v>522</v>
      </c>
      <c r="B502" s="21" t="inlineStr">
        <is>
          <t>Bill &amp; Ted's Excellent Adventure</t>
        </is>
      </c>
      <c r="C502" s="21" t="n">
        <v>1989</v>
      </c>
      <c r="D502" s="21" t="inlineStr">
        <is>
          <t>USA</t>
        </is>
      </c>
      <c r="E502" s="21" t="n">
        <v>90</v>
      </c>
      <c r="F502" s="21" t="inlineStr">
        <is>
          <t>English</t>
        </is>
      </c>
      <c r="G502" s="21" t="inlineStr">
        <is>
          <t>PG</t>
        </is>
      </c>
      <c r="H502" s="22" t="n">
        <v>40485039</v>
      </c>
      <c r="I502" s="22" t="n">
        <v>10000000</v>
      </c>
      <c r="J502" s="21">
        <f>IF(OR(H502="",H502=25529689.5),"Yes","No")</f>
        <v/>
      </c>
      <c r="K502" s="21">
        <f>IF(AND(D502="USA",C502&gt;=1980,J502="No"),"Yes","No")</f>
        <v/>
      </c>
      <c r="L502" s="26">
        <f>IF(J502="Yes","",H502-I502)</f>
        <v/>
      </c>
      <c r="M502" s="27">
        <f>IF(OR(J502="Yes",I502=0),"",H502/I502)</f>
        <v/>
      </c>
      <c r="N502" s="21">
        <f>IF(J502="Yes","",IF(H502&gt;=I502,1,0))</f>
        <v/>
      </c>
      <c r="O502" s="21">
        <f>IF(I502&lt;=5000000,"Under $5M",IF(I502&lt;=20000000,"$5M-20M",IF(I502&lt;=50000000,"$20M-50M",IF(I502&lt;=100000000,"$50M-100M","$100M+"))))</f>
        <v/>
      </c>
      <c r="P502" s="21">
        <f>IF(E502&lt;=90,"90 or less",IF(E502&lt;=105,"91-105",IF(E502&lt;=120,"106-120",IF(E502&lt;=140,"121-140","Over 140"))))</f>
        <v/>
      </c>
      <c r="Q502" s="28">
        <f>INT(C502/10)*10</f>
        <v/>
      </c>
    </row>
    <row r="503">
      <c r="A503" s="21" t="n">
        <v>523</v>
      </c>
      <c r="B503" s="21" t="inlineStr">
        <is>
          <t>Black Rain</t>
        </is>
      </c>
      <c r="C503" s="21" t="n">
        <v>1989</v>
      </c>
      <c r="D503" s="21" t="inlineStr">
        <is>
          <t>USA</t>
        </is>
      </c>
      <c r="E503" s="21" t="n">
        <v>125</v>
      </c>
      <c r="F503" s="21" t="inlineStr">
        <is>
          <t>English</t>
        </is>
      </c>
      <c r="G503" s="21" t="inlineStr">
        <is>
          <t>R</t>
        </is>
      </c>
      <c r="H503" s="22" t="n">
        <v>45645204</v>
      </c>
      <c r="I503" s="22" t="n">
        <v>30000000</v>
      </c>
      <c r="J503" s="21">
        <f>IF(OR(H503="",H503=25529689.5),"Yes","No")</f>
        <v/>
      </c>
      <c r="K503" s="21">
        <f>IF(AND(D503="USA",C503&gt;=1980,J503="No"),"Yes","No")</f>
        <v/>
      </c>
      <c r="L503" s="26">
        <f>IF(J503="Yes","",H503-I503)</f>
        <v/>
      </c>
      <c r="M503" s="27">
        <f>IF(OR(J503="Yes",I503=0),"",H503/I503)</f>
        <v/>
      </c>
      <c r="N503" s="21">
        <f>IF(J503="Yes","",IF(H503&gt;=I503,1,0))</f>
        <v/>
      </c>
      <c r="O503" s="21">
        <f>IF(I503&lt;=5000000,"Under $5M",IF(I503&lt;=20000000,"$5M-20M",IF(I503&lt;=50000000,"$20M-50M",IF(I503&lt;=100000000,"$50M-100M","$100M+"))))</f>
        <v/>
      </c>
      <c r="P503" s="21">
        <f>IF(E503&lt;=90,"90 or less",IF(E503&lt;=105,"91-105",IF(E503&lt;=120,"106-120",IF(E503&lt;=140,"121-140","Over 140"))))</f>
        <v/>
      </c>
      <c r="Q503" s="28">
        <f>INT(C503/10)*10</f>
        <v/>
      </c>
    </row>
    <row r="504">
      <c r="A504" s="21" t="n">
        <v>524</v>
      </c>
      <c r="B504" s="21" t="inlineStr">
        <is>
          <t>Born on the Fourth of July</t>
        </is>
      </c>
      <c r="C504" s="21" t="n">
        <v>1989</v>
      </c>
      <c r="D504" s="21" t="inlineStr">
        <is>
          <t>USA</t>
        </is>
      </c>
      <c r="E504" s="21" t="n">
        <v>145</v>
      </c>
      <c r="F504" s="21" t="inlineStr">
        <is>
          <t>English</t>
        </is>
      </c>
      <c r="G504" s="21" t="inlineStr">
        <is>
          <t>R</t>
        </is>
      </c>
      <c r="H504" s="22" t="n">
        <v>70001698</v>
      </c>
      <c r="I504" s="22" t="n">
        <v>14000000</v>
      </c>
      <c r="J504" s="21">
        <f>IF(OR(H504="",H504=25529689.5),"Yes","No")</f>
        <v/>
      </c>
      <c r="K504" s="21">
        <f>IF(AND(D504="USA",C504&gt;=1980,J504="No"),"Yes","No")</f>
        <v/>
      </c>
      <c r="L504" s="26">
        <f>IF(J504="Yes","",H504-I504)</f>
        <v/>
      </c>
      <c r="M504" s="27">
        <f>IF(OR(J504="Yes",I504=0),"",H504/I504)</f>
        <v/>
      </c>
      <c r="N504" s="21">
        <f>IF(J504="Yes","",IF(H504&gt;=I504,1,0))</f>
        <v/>
      </c>
      <c r="O504" s="21">
        <f>IF(I504&lt;=5000000,"Under $5M",IF(I504&lt;=20000000,"$5M-20M",IF(I504&lt;=50000000,"$20M-50M",IF(I504&lt;=100000000,"$50M-100M","$100M+"))))</f>
        <v/>
      </c>
      <c r="P504" s="21">
        <f>IF(E504&lt;=90,"90 or less",IF(E504&lt;=105,"91-105",IF(E504&lt;=120,"106-120",IF(E504&lt;=140,"121-140","Over 140"))))</f>
        <v/>
      </c>
      <c r="Q504" s="28">
        <f>INT(C504/10)*10</f>
        <v/>
      </c>
    </row>
    <row r="505">
      <c r="A505" s="21" t="n">
        <v>525</v>
      </c>
      <c r="B505" s="21" t="inlineStr">
        <is>
          <t>Dead Poets Society</t>
        </is>
      </c>
      <c r="C505" s="21" t="n">
        <v>1989</v>
      </c>
      <c r="D505" s="21" t="inlineStr">
        <is>
          <t>USA</t>
        </is>
      </c>
      <c r="E505" s="21" t="n">
        <v>128</v>
      </c>
      <c r="F505" s="21" t="inlineStr">
        <is>
          <t>English</t>
        </is>
      </c>
      <c r="G505" s="21" t="inlineStr">
        <is>
          <t>PG</t>
        </is>
      </c>
      <c r="H505" s="22" t="n">
        <v>95860116</v>
      </c>
      <c r="I505" s="22" t="n">
        <v>16400000</v>
      </c>
      <c r="J505" s="21">
        <f>IF(OR(H505="",H505=25529689.5),"Yes","No")</f>
        <v/>
      </c>
      <c r="K505" s="21">
        <f>IF(AND(D505="USA",C505&gt;=1980,J505="No"),"Yes","No")</f>
        <v/>
      </c>
      <c r="L505" s="26">
        <f>IF(J505="Yes","",H505-I505)</f>
        <v/>
      </c>
      <c r="M505" s="27">
        <f>IF(OR(J505="Yes",I505=0),"",H505/I505)</f>
        <v/>
      </c>
      <c r="N505" s="21">
        <f>IF(J505="Yes","",IF(H505&gt;=I505,1,0))</f>
        <v/>
      </c>
      <c r="O505" s="21">
        <f>IF(I505&lt;=5000000,"Under $5M",IF(I505&lt;=20000000,"$5M-20M",IF(I505&lt;=50000000,"$20M-50M",IF(I505&lt;=100000000,"$50M-100M","$100M+"))))</f>
        <v/>
      </c>
      <c r="P505" s="21">
        <f>IF(E505&lt;=90,"90 or less",IF(E505&lt;=105,"91-105",IF(E505&lt;=120,"106-120",IF(E505&lt;=140,"121-140","Over 140"))))</f>
        <v/>
      </c>
      <c r="Q505" s="28">
        <f>INT(C505/10)*10</f>
        <v/>
      </c>
    </row>
    <row r="506">
      <c r="A506" s="21" t="n">
        <v>526</v>
      </c>
      <c r="B506" s="21" t="inlineStr">
        <is>
          <t>Do the Right Thing</t>
        </is>
      </c>
      <c r="C506" s="21" t="n">
        <v>1989</v>
      </c>
      <c r="D506" s="21" t="inlineStr">
        <is>
          <t>USA</t>
        </is>
      </c>
      <c r="E506" s="21" t="n">
        <v>120</v>
      </c>
      <c r="F506" s="21" t="inlineStr">
        <is>
          <t>English</t>
        </is>
      </c>
      <c r="G506" s="21" t="inlineStr">
        <is>
          <t>R</t>
        </is>
      </c>
      <c r="H506" s="22" t="n">
        <v>27545445</v>
      </c>
      <c r="I506" s="22" t="n">
        <v>6500000</v>
      </c>
      <c r="J506" s="21">
        <f>IF(OR(H506="",H506=25529689.5),"Yes","No")</f>
        <v/>
      </c>
      <c r="K506" s="21">
        <f>IF(AND(D506="USA",C506&gt;=1980,J506="No"),"Yes","No")</f>
        <v/>
      </c>
      <c r="L506" s="26">
        <f>IF(J506="Yes","",H506-I506)</f>
        <v/>
      </c>
      <c r="M506" s="27">
        <f>IF(OR(J506="Yes",I506=0),"",H506/I506)</f>
        <v/>
      </c>
      <c r="N506" s="21">
        <f>IF(J506="Yes","",IF(H506&gt;=I506,1,0))</f>
        <v/>
      </c>
      <c r="O506" s="21">
        <f>IF(I506&lt;=5000000,"Under $5M",IF(I506&lt;=20000000,"$5M-20M",IF(I506&lt;=50000000,"$20M-50M",IF(I506&lt;=100000000,"$50M-100M","$100M+"))))</f>
        <v/>
      </c>
      <c r="P506" s="21">
        <f>IF(E506&lt;=90,"90 or less",IF(E506&lt;=105,"91-105",IF(E506&lt;=120,"106-120",IF(E506&lt;=140,"121-140","Over 140"))))</f>
        <v/>
      </c>
      <c r="Q506" s="28">
        <f>INT(C506/10)*10</f>
        <v/>
      </c>
    </row>
    <row r="507">
      <c r="A507" s="21" t="n">
        <v>527</v>
      </c>
      <c r="B507" s="21" t="inlineStr">
        <is>
          <t>Driving Miss Daisy</t>
        </is>
      </c>
      <c r="C507" s="21" t="n">
        <v>1989</v>
      </c>
      <c r="D507" s="21" t="inlineStr">
        <is>
          <t>USA</t>
        </is>
      </c>
      <c r="E507" s="21" t="n">
        <v>99</v>
      </c>
      <c r="F507" s="21" t="inlineStr">
        <is>
          <t>English</t>
        </is>
      </c>
      <c r="G507" s="21" t="inlineStr">
        <is>
          <t>PG</t>
        </is>
      </c>
      <c r="H507" s="22" t="n">
        <v>106593296</v>
      </c>
      <c r="I507" s="22" t="n">
        <v>7500000</v>
      </c>
      <c r="J507" s="21">
        <f>IF(OR(H507="",H507=25529689.5),"Yes","No")</f>
        <v/>
      </c>
      <c r="K507" s="21">
        <f>IF(AND(D507="USA",C507&gt;=1980,J507="No"),"Yes","No")</f>
        <v/>
      </c>
      <c r="L507" s="26">
        <f>IF(J507="Yes","",H507-I507)</f>
        <v/>
      </c>
      <c r="M507" s="27">
        <f>IF(OR(J507="Yes",I507=0),"",H507/I507)</f>
        <v/>
      </c>
      <c r="N507" s="21">
        <f>IF(J507="Yes","",IF(H507&gt;=I507,1,0))</f>
        <v/>
      </c>
      <c r="O507" s="21">
        <f>IF(I507&lt;=5000000,"Under $5M",IF(I507&lt;=20000000,"$5M-20M",IF(I507&lt;=50000000,"$20M-50M",IF(I507&lt;=100000000,"$50M-100M","$100M+"))))</f>
        <v/>
      </c>
      <c r="P507" s="21">
        <f>IF(E507&lt;=90,"90 or less",IF(E507&lt;=105,"91-105",IF(E507&lt;=120,"106-120",IF(E507&lt;=140,"121-140","Over 140"))))</f>
        <v/>
      </c>
      <c r="Q507" s="28">
        <f>INT(C507/10)*10</f>
        <v/>
      </c>
    </row>
    <row r="508">
      <c r="A508" s="21" t="n">
        <v>528</v>
      </c>
      <c r="B508" s="21" t="inlineStr">
        <is>
          <t>Friday the 13th Part VIII: Jason Takes Manhattan</t>
        </is>
      </c>
      <c r="C508" s="21" t="n">
        <v>1989</v>
      </c>
      <c r="D508" s="21" t="inlineStr">
        <is>
          <t>USA</t>
        </is>
      </c>
      <c r="E508" s="21" t="n">
        <v>100</v>
      </c>
      <c r="F508" s="21" t="inlineStr">
        <is>
          <t>English</t>
        </is>
      </c>
      <c r="G508" s="21" t="inlineStr">
        <is>
          <t>R</t>
        </is>
      </c>
      <c r="H508" s="22" t="n">
        <v>14343976</v>
      </c>
      <c r="I508" s="22" t="n">
        <v>5000000</v>
      </c>
      <c r="J508" s="21">
        <f>IF(OR(H508="",H508=25529689.5),"Yes","No")</f>
        <v/>
      </c>
      <c r="K508" s="21">
        <f>IF(AND(D508="USA",C508&gt;=1980,J508="No"),"Yes","No")</f>
        <v/>
      </c>
      <c r="L508" s="26">
        <f>IF(J508="Yes","",H508-I508)</f>
        <v/>
      </c>
      <c r="M508" s="27">
        <f>IF(OR(J508="Yes",I508=0),"",H508/I508)</f>
        <v/>
      </c>
      <c r="N508" s="21">
        <f>IF(J508="Yes","",IF(H508&gt;=I508,1,0))</f>
        <v/>
      </c>
      <c r="O508" s="21">
        <f>IF(I508&lt;=5000000,"Under $5M",IF(I508&lt;=20000000,"$5M-20M",IF(I508&lt;=50000000,"$20M-50M",IF(I508&lt;=100000000,"$50M-100M","$100M+"))))</f>
        <v/>
      </c>
      <c r="P508" s="21">
        <f>IF(E508&lt;=90,"90 or less",IF(E508&lt;=105,"91-105",IF(E508&lt;=120,"106-120",IF(E508&lt;=140,"121-140","Over 140"))))</f>
        <v/>
      </c>
      <c r="Q508" s="28">
        <f>INT(C508/10)*10</f>
        <v/>
      </c>
    </row>
    <row r="509">
      <c r="A509" s="21" t="n">
        <v>529</v>
      </c>
      <c r="B509" s="21" t="inlineStr">
        <is>
          <t>Glory</t>
        </is>
      </c>
      <c r="C509" s="21" t="n">
        <v>1989</v>
      </c>
      <c r="D509" s="21" t="inlineStr">
        <is>
          <t>USA</t>
        </is>
      </c>
      <c r="E509" s="21" t="n">
        <v>122</v>
      </c>
      <c r="F509" s="21" t="inlineStr">
        <is>
          <t>English</t>
        </is>
      </c>
      <c r="G509" s="21" t="inlineStr">
        <is>
          <t>R</t>
        </is>
      </c>
      <c r="H509" s="22" t="n">
        <v>26830000</v>
      </c>
      <c r="I509" s="22" t="n">
        <v>18000000</v>
      </c>
      <c r="J509" s="21">
        <f>IF(OR(H509="",H509=25529689.5),"Yes","No")</f>
        <v/>
      </c>
      <c r="K509" s="21">
        <f>IF(AND(D509="USA",C509&gt;=1980,J509="No"),"Yes","No")</f>
        <v/>
      </c>
      <c r="L509" s="26">
        <f>IF(J509="Yes","",H509-I509)</f>
        <v/>
      </c>
      <c r="M509" s="27">
        <f>IF(OR(J509="Yes",I509=0),"",H509/I509)</f>
        <v/>
      </c>
      <c r="N509" s="21">
        <f>IF(J509="Yes","",IF(H509&gt;=I509,1,0))</f>
        <v/>
      </c>
      <c r="O509" s="21">
        <f>IF(I509&lt;=5000000,"Under $5M",IF(I509&lt;=20000000,"$5M-20M",IF(I509&lt;=50000000,"$20M-50M",IF(I509&lt;=100000000,"$50M-100M","$100M+"))))</f>
        <v/>
      </c>
      <c r="P509" s="21">
        <f>IF(E509&lt;=90,"90 or less",IF(E509&lt;=105,"91-105",IF(E509&lt;=120,"106-120",IF(E509&lt;=140,"121-140","Over 140"))))</f>
        <v/>
      </c>
      <c r="Q509" s="28">
        <f>INT(C509/10)*10</f>
        <v/>
      </c>
    </row>
    <row r="510">
      <c r="A510" s="21" t="n">
        <v>531</v>
      </c>
      <c r="B510" s="21" t="inlineStr">
        <is>
          <t>Halloween 5</t>
        </is>
      </c>
      <c r="C510" s="21" t="n">
        <v>1989</v>
      </c>
      <c r="D510" s="21" t="inlineStr">
        <is>
          <t>USA</t>
        </is>
      </c>
      <c r="E510" s="21" t="n">
        <v>96</v>
      </c>
      <c r="F510" s="21" t="inlineStr">
        <is>
          <t>English</t>
        </is>
      </c>
      <c r="G510" s="21" t="inlineStr">
        <is>
          <t>X</t>
        </is>
      </c>
      <c r="H510" s="22" t="n">
        <v>11642254</v>
      </c>
      <c r="I510" s="22" t="n">
        <v>3000000</v>
      </c>
      <c r="J510" s="21">
        <f>IF(OR(H510="",H510=25529689.5),"Yes","No")</f>
        <v/>
      </c>
      <c r="K510" s="21">
        <f>IF(AND(D510="USA",C510&gt;=1980,J510="No"),"Yes","No")</f>
        <v/>
      </c>
      <c r="L510" s="26">
        <f>IF(J510="Yes","",H510-I510)</f>
        <v/>
      </c>
      <c r="M510" s="27">
        <f>IF(OR(J510="Yes",I510=0),"",H510/I510)</f>
        <v/>
      </c>
      <c r="N510" s="21">
        <f>IF(J510="Yes","",IF(H510&gt;=I510,1,0))</f>
        <v/>
      </c>
      <c r="O510" s="21">
        <f>IF(I510&lt;=5000000,"Under $5M",IF(I510&lt;=20000000,"$5M-20M",IF(I510&lt;=50000000,"$20M-50M",IF(I510&lt;=100000000,"$50M-100M","$100M+"))))</f>
        <v/>
      </c>
      <c r="P510" s="21">
        <f>IF(E510&lt;=90,"90 or less",IF(E510&lt;=105,"91-105",IF(E510&lt;=120,"106-120",IF(E510&lt;=140,"121-140","Over 140"))))</f>
        <v/>
      </c>
      <c r="Q510" s="28">
        <f>INT(C510/10)*10</f>
        <v/>
      </c>
    </row>
    <row r="511">
      <c r="A511" s="21" t="n">
        <v>532</v>
      </c>
      <c r="B511" s="21" t="inlineStr">
        <is>
          <t>Henry V</t>
        </is>
      </c>
      <c r="C511" s="21" t="n">
        <v>1989</v>
      </c>
      <c r="D511" s="21" t="inlineStr">
        <is>
          <t>UK</t>
        </is>
      </c>
      <c r="E511" s="21" t="n">
        <v>137</v>
      </c>
      <c r="F511" s="21" t="inlineStr">
        <is>
          <t>English</t>
        </is>
      </c>
      <c r="G511" s="21" t="inlineStr">
        <is>
          <t>PG-13</t>
        </is>
      </c>
      <c r="H511" s="22" t="n">
        <v>10161099</v>
      </c>
      <c r="I511" s="22" t="n">
        <v>9000000</v>
      </c>
      <c r="J511" s="21">
        <f>IF(OR(H511="",H511=25529689.5),"Yes","No")</f>
        <v/>
      </c>
      <c r="K511" s="21">
        <f>IF(AND(D511="USA",C511&gt;=1980,J511="No"),"Yes","No")</f>
        <v/>
      </c>
      <c r="L511" s="26">
        <f>IF(J511="Yes","",H511-I511)</f>
        <v/>
      </c>
      <c r="M511" s="27">
        <f>IF(OR(J511="Yes",I511=0),"",H511/I511)</f>
        <v/>
      </c>
      <c r="N511" s="21">
        <f>IF(J511="Yes","",IF(H511&gt;=I511,1,0))</f>
        <v/>
      </c>
      <c r="O511" s="21">
        <f>IF(I511&lt;=5000000,"Under $5M",IF(I511&lt;=20000000,"$5M-20M",IF(I511&lt;=50000000,"$20M-50M",IF(I511&lt;=100000000,"$50M-100M","$100M+"))))</f>
        <v/>
      </c>
      <c r="P511" s="21">
        <f>IF(E511&lt;=90,"90 or less",IF(E511&lt;=105,"91-105",IF(E511&lt;=120,"106-120",IF(E511&lt;=140,"121-140","Over 140"))))</f>
        <v/>
      </c>
      <c r="Q511" s="28">
        <f>INT(C511/10)*10</f>
        <v/>
      </c>
    </row>
    <row r="512">
      <c r="A512" s="21" t="n">
        <v>533</v>
      </c>
      <c r="B512" s="21" t="inlineStr">
        <is>
          <t>Indiana Jones and the Last Crusade</t>
        </is>
      </c>
      <c r="C512" s="21" t="n">
        <v>1989</v>
      </c>
      <c r="D512" s="21" t="inlineStr">
        <is>
          <t>USA</t>
        </is>
      </c>
      <c r="E512" s="21" t="n">
        <v>127</v>
      </c>
      <c r="F512" s="21" t="inlineStr">
        <is>
          <t>English</t>
        </is>
      </c>
      <c r="G512" s="21" t="inlineStr">
        <is>
          <t>PG-13</t>
        </is>
      </c>
      <c r="H512" s="22" t="n">
        <v>197171806</v>
      </c>
      <c r="I512" s="22" t="n">
        <v>48000000</v>
      </c>
      <c r="J512" s="21">
        <f>IF(OR(H512="",H512=25529689.5),"Yes","No")</f>
        <v/>
      </c>
      <c r="K512" s="21">
        <f>IF(AND(D512="USA",C512&gt;=1980,J512="No"),"Yes","No")</f>
        <v/>
      </c>
      <c r="L512" s="26">
        <f>IF(J512="Yes","",H512-I512)</f>
        <v/>
      </c>
      <c r="M512" s="27">
        <f>IF(OR(J512="Yes",I512=0),"",H512/I512)</f>
        <v/>
      </c>
      <c r="N512" s="21">
        <f>IF(J512="Yes","",IF(H512&gt;=I512,1,0))</f>
        <v/>
      </c>
      <c r="O512" s="21">
        <f>IF(I512&lt;=5000000,"Under $5M",IF(I512&lt;=20000000,"$5M-20M",IF(I512&lt;=50000000,"$20M-50M",IF(I512&lt;=100000000,"$50M-100M","$100M+"))))</f>
        <v/>
      </c>
      <c r="P512" s="21">
        <f>IF(E512&lt;=90,"90 or less",IF(E512&lt;=105,"91-105",IF(E512&lt;=120,"106-120",IF(E512&lt;=140,"121-140","Over 140"))))</f>
        <v/>
      </c>
      <c r="Q512" s="28">
        <f>INT(C512/10)*10</f>
        <v/>
      </c>
    </row>
    <row r="513">
      <c r="A513" s="21" t="n">
        <v>534</v>
      </c>
      <c r="B513" s="21" t="inlineStr">
        <is>
          <t>Licence to Kill</t>
        </is>
      </c>
      <c r="C513" s="21" t="n">
        <v>1989</v>
      </c>
      <c r="D513" s="21" t="inlineStr">
        <is>
          <t>UK</t>
        </is>
      </c>
      <c r="E513" s="21" t="n">
        <v>133</v>
      </c>
      <c r="F513" s="21" t="inlineStr">
        <is>
          <t>English</t>
        </is>
      </c>
      <c r="G513" s="21" t="inlineStr">
        <is>
          <t>PG-13</t>
        </is>
      </c>
      <c r="H513" s="22" t="n">
        <v>34667015</v>
      </c>
      <c r="I513" s="22" t="n">
        <v>32000000</v>
      </c>
      <c r="J513" s="21">
        <f>IF(OR(H513="",H513=25529689.5),"Yes","No")</f>
        <v/>
      </c>
      <c r="K513" s="21">
        <f>IF(AND(D513="USA",C513&gt;=1980,J513="No"),"Yes","No")</f>
        <v/>
      </c>
      <c r="L513" s="26">
        <f>IF(J513="Yes","",H513-I513)</f>
        <v/>
      </c>
      <c r="M513" s="27">
        <f>IF(OR(J513="Yes",I513=0),"",H513/I513)</f>
        <v/>
      </c>
      <c r="N513" s="21">
        <f>IF(J513="Yes","",IF(H513&gt;=I513,1,0))</f>
        <v/>
      </c>
      <c r="O513" s="21">
        <f>IF(I513&lt;=5000000,"Under $5M",IF(I513&lt;=20000000,"$5M-20M",IF(I513&lt;=50000000,"$20M-50M",IF(I513&lt;=100000000,"$50M-100M","$100M+"))))</f>
        <v/>
      </c>
      <c r="P513" s="21">
        <f>IF(E513&lt;=90,"90 or less",IF(E513&lt;=105,"91-105",IF(E513&lt;=120,"106-120",IF(E513&lt;=140,"121-140","Over 140"))))</f>
        <v/>
      </c>
      <c r="Q513" s="28">
        <f>INT(C513/10)*10</f>
        <v/>
      </c>
    </row>
    <row r="514">
      <c r="A514" s="21" t="n">
        <v>535</v>
      </c>
      <c r="B514" s="21" t="inlineStr">
        <is>
          <t>Major League</t>
        </is>
      </c>
      <c r="C514" s="21" t="n">
        <v>1989</v>
      </c>
      <c r="D514" s="21" t="inlineStr">
        <is>
          <t>USA</t>
        </is>
      </c>
      <c r="E514" s="21" t="n">
        <v>107</v>
      </c>
      <c r="F514" s="21" t="inlineStr">
        <is>
          <t>English</t>
        </is>
      </c>
      <c r="G514" s="21" t="inlineStr">
        <is>
          <t>R</t>
        </is>
      </c>
      <c r="H514" s="22" t="n">
        <v>49797148</v>
      </c>
      <c r="I514" s="22" t="n">
        <v>11000000</v>
      </c>
      <c r="J514" s="21">
        <f>IF(OR(H514="",H514=25529689.5),"Yes","No")</f>
        <v/>
      </c>
      <c r="K514" s="21">
        <f>IF(AND(D514="USA",C514&gt;=1980,J514="No"),"Yes","No")</f>
        <v/>
      </c>
      <c r="L514" s="26">
        <f>IF(J514="Yes","",H514-I514)</f>
        <v/>
      </c>
      <c r="M514" s="27">
        <f>IF(OR(J514="Yes",I514=0),"",H514/I514)</f>
        <v/>
      </c>
      <c r="N514" s="21">
        <f>IF(J514="Yes","",IF(H514&gt;=I514,1,0))</f>
        <v/>
      </c>
      <c r="O514" s="21">
        <f>IF(I514&lt;=5000000,"Under $5M",IF(I514&lt;=20000000,"$5M-20M",IF(I514&lt;=50000000,"$20M-50M",IF(I514&lt;=100000000,"$50M-100M","$100M+"))))</f>
        <v/>
      </c>
      <c r="P514" s="21">
        <f>IF(E514&lt;=90,"90 or less",IF(E514&lt;=105,"91-105",IF(E514&lt;=120,"106-120",IF(E514&lt;=140,"121-140","Over 140"))))</f>
        <v/>
      </c>
      <c r="Q514" s="28">
        <f>INT(C514/10)*10</f>
        <v/>
      </c>
    </row>
    <row r="515">
      <c r="A515" s="21" t="n">
        <v>536</v>
      </c>
      <c r="B515" s="21" t="inlineStr">
        <is>
          <t>New York Stories</t>
        </is>
      </c>
      <c r="C515" s="21" t="n">
        <v>1989</v>
      </c>
      <c r="D515" s="21" t="inlineStr">
        <is>
          <t>USA</t>
        </is>
      </c>
      <c r="E515" s="21" t="n">
        <v>124</v>
      </c>
      <c r="F515" s="21" t="inlineStr">
        <is>
          <t>English</t>
        </is>
      </c>
      <c r="G515" s="21" t="inlineStr">
        <is>
          <t>PG</t>
        </is>
      </c>
      <c r="H515" s="22" t="n">
        <v>10763469</v>
      </c>
      <c r="I515" s="22" t="n">
        <v>15000000</v>
      </c>
      <c r="J515" s="21">
        <f>IF(OR(H515="",H515=25529689.5),"Yes","No")</f>
        <v/>
      </c>
      <c r="K515" s="21">
        <f>IF(AND(D515="USA",C515&gt;=1980,J515="No"),"Yes","No")</f>
        <v/>
      </c>
      <c r="L515" s="26">
        <f>IF(J515="Yes","",H515-I515)</f>
        <v/>
      </c>
      <c r="M515" s="27">
        <f>IF(OR(J515="Yes",I515=0),"",H515/I515)</f>
        <v/>
      </c>
      <c r="N515" s="21">
        <f>IF(J515="Yes","",IF(H515&gt;=I515,1,0))</f>
        <v/>
      </c>
      <c r="O515" s="21">
        <f>IF(I515&lt;=5000000,"Under $5M",IF(I515&lt;=20000000,"$5M-20M",IF(I515&lt;=50000000,"$20M-50M",IF(I515&lt;=100000000,"$50M-100M","$100M+"))))</f>
        <v/>
      </c>
      <c r="P515" s="21">
        <f>IF(E515&lt;=90,"90 or less",IF(E515&lt;=105,"91-105",IF(E515&lt;=120,"106-120",IF(E515&lt;=140,"121-140","Over 140"))))</f>
        <v/>
      </c>
      <c r="Q515" s="28">
        <f>INT(C515/10)*10</f>
        <v/>
      </c>
    </row>
    <row r="516">
      <c r="A516" s="21" t="n">
        <v>537</v>
      </c>
      <c r="B516" s="21" t="inlineStr">
        <is>
          <t>Pet Sematary</t>
        </is>
      </c>
      <c r="C516" s="21" t="n">
        <v>1989</v>
      </c>
      <c r="D516" s="21" t="inlineStr">
        <is>
          <t>USA</t>
        </is>
      </c>
      <c r="E516" s="21" t="n">
        <v>103</v>
      </c>
      <c r="F516" s="21" t="inlineStr">
        <is>
          <t>English</t>
        </is>
      </c>
      <c r="G516" s="21" t="inlineStr">
        <is>
          <t>R</t>
        </is>
      </c>
      <c r="H516" s="22" t="n">
        <v>57469179</v>
      </c>
      <c r="I516" s="22" t="n">
        <v>11500000</v>
      </c>
      <c r="J516" s="21">
        <f>IF(OR(H516="",H516=25529689.5),"Yes","No")</f>
        <v/>
      </c>
      <c r="K516" s="21">
        <f>IF(AND(D516="USA",C516&gt;=1980,J516="No"),"Yes","No")</f>
        <v/>
      </c>
      <c r="L516" s="26">
        <f>IF(J516="Yes","",H516-I516)</f>
        <v/>
      </c>
      <c r="M516" s="27">
        <f>IF(OR(J516="Yes",I516=0),"",H516/I516)</f>
        <v/>
      </c>
      <c r="N516" s="21">
        <f>IF(J516="Yes","",IF(H516&gt;=I516,1,0))</f>
        <v/>
      </c>
      <c r="O516" s="21">
        <f>IF(I516&lt;=5000000,"Under $5M",IF(I516&lt;=20000000,"$5M-20M",IF(I516&lt;=50000000,"$20M-50M",IF(I516&lt;=100000000,"$50M-100M","$100M+"))))</f>
        <v/>
      </c>
      <c r="P516" s="21">
        <f>IF(E516&lt;=90,"90 or less",IF(E516&lt;=105,"91-105",IF(E516&lt;=120,"106-120",IF(E516&lt;=140,"121-140","Over 140"))))</f>
        <v/>
      </c>
      <c r="Q516" s="28">
        <f>INT(C516/10)*10</f>
        <v/>
      </c>
    </row>
    <row r="517">
      <c r="A517" s="21" t="n">
        <v>538</v>
      </c>
      <c r="B517" s="21" t="inlineStr">
        <is>
          <t>Road House</t>
        </is>
      </c>
      <c r="C517" s="21" t="n">
        <v>1989</v>
      </c>
      <c r="D517" s="21" t="inlineStr">
        <is>
          <t>USA</t>
        </is>
      </c>
      <c r="E517" s="21" t="n">
        <v>114</v>
      </c>
      <c r="F517" s="21" t="inlineStr">
        <is>
          <t>English</t>
        </is>
      </c>
      <c r="G517" s="21" t="inlineStr">
        <is>
          <t>R</t>
        </is>
      </c>
      <c r="H517" s="22" t="n">
        <v>30050028</v>
      </c>
      <c r="I517" s="22" t="n">
        <v>17000000</v>
      </c>
      <c r="J517" s="21">
        <f>IF(OR(H517="",H517=25529689.5),"Yes","No")</f>
        <v/>
      </c>
      <c r="K517" s="21">
        <f>IF(AND(D517="USA",C517&gt;=1980,J517="No"),"Yes","No")</f>
        <v/>
      </c>
      <c r="L517" s="26">
        <f>IF(J517="Yes","",H517-I517)</f>
        <v/>
      </c>
      <c r="M517" s="27">
        <f>IF(OR(J517="Yes",I517=0),"",H517/I517)</f>
        <v/>
      </c>
      <c r="N517" s="21">
        <f>IF(J517="Yes","",IF(H517&gt;=I517,1,0))</f>
        <v/>
      </c>
      <c r="O517" s="21">
        <f>IF(I517&lt;=5000000,"Under $5M",IF(I517&lt;=20000000,"$5M-20M",IF(I517&lt;=50000000,"$20M-50M",IF(I517&lt;=100000000,"$50M-100M","$100M+"))))</f>
        <v/>
      </c>
      <c r="P517" s="21">
        <f>IF(E517&lt;=90,"90 or less",IF(E517&lt;=105,"91-105",IF(E517&lt;=120,"106-120",IF(E517&lt;=140,"121-140","Over 140"))))</f>
        <v/>
      </c>
      <c r="Q517" s="28">
        <f>INT(C517/10)*10</f>
        <v/>
      </c>
    </row>
    <row r="518">
      <c r="A518" s="21" t="n">
        <v>539</v>
      </c>
      <c r="B518" s="21" t="inlineStr">
        <is>
          <t>Roger &amp; Me</t>
        </is>
      </c>
      <c r="C518" s="21" t="n">
        <v>1989</v>
      </c>
      <c r="D518" s="21" t="inlineStr">
        <is>
          <t>USA</t>
        </is>
      </c>
      <c r="E518" s="21" t="n">
        <v>91</v>
      </c>
      <c r="F518" s="21" t="inlineStr">
        <is>
          <t>English</t>
        </is>
      </c>
      <c r="G518" s="21" t="inlineStr">
        <is>
          <t>R</t>
        </is>
      </c>
      <c r="H518" s="22" t="n">
        <v>6706368</v>
      </c>
      <c r="I518" s="22" t="n">
        <v>160000</v>
      </c>
      <c r="J518" s="21">
        <f>IF(OR(H518="",H518=25529689.5),"Yes","No")</f>
        <v/>
      </c>
      <c r="K518" s="21">
        <f>IF(AND(D518="USA",C518&gt;=1980,J518="No"),"Yes","No")</f>
        <v/>
      </c>
      <c r="L518" s="26">
        <f>IF(J518="Yes","",H518-I518)</f>
        <v/>
      </c>
      <c r="M518" s="27">
        <f>IF(OR(J518="Yes",I518=0),"",H518/I518)</f>
        <v/>
      </c>
      <c r="N518" s="21">
        <f>IF(J518="Yes","",IF(H518&gt;=I518,1,0))</f>
        <v/>
      </c>
      <c r="O518" s="21">
        <f>IF(I518&lt;=5000000,"Under $5M",IF(I518&lt;=20000000,"$5M-20M",IF(I518&lt;=50000000,"$20M-50M",IF(I518&lt;=100000000,"$50M-100M","$100M+"))))</f>
        <v/>
      </c>
      <c r="P518" s="21">
        <f>IF(E518&lt;=90,"90 or less",IF(E518&lt;=105,"91-105",IF(E518&lt;=120,"106-120",IF(E518&lt;=140,"121-140","Over 140"))))</f>
        <v/>
      </c>
      <c r="Q518" s="28">
        <f>INT(C518/10)*10</f>
        <v/>
      </c>
    </row>
    <row r="519">
      <c r="A519" s="21" t="n">
        <v>540</v>
      </c>
      <c r="B519" s="21" t="inlineStr">
        <is>
          <t>Sea of Love</t>
        </is>
      </c>
      <c r="C519" s="21" t="n">
        <v>1989</v>
      </c>
      <c r="D519" s="21" t="inlineStr">
        <is>
          <t>USA</t>
        </is>
      </c>
      <c r="E519" s="21" t="n">
        <v>113</v>
      </c>
      <c r="F519" s="21" t="inlineStr">
        <is>
          <t>English</t>
        </is>
      </c>
      <c r="G519" s="21" t="inlineStr">
        <is>
          <t>R</t>
        </is>
      </c>
      <c r="H519" s="22" t="n">
        <v>58571513</v>
      </c>
      <c r="I519" s="22" t="n">
        <v>19000000</v>
      </c>
      <c r="J519" s="21">
        <f>IF(OR(H519="",H519=25529689.5),"Yes","No")</f>
        <v/>
      </c>
      <c r="K519" s="21">
        <f>IF(AND(D519="USA",C519&gt;=1980,J519="No"),"Yes","No")</f>
        <v/>
      </c>
      <c r="L519" s="26">
        <f>IF(J519="Yes","",H519-I519)</f>
        <v/>
      </c>
      <c r="M519" s="27">
        <f>IF(OR(J519="Yes",I519=0),"",H519/I519)</f>
        <v/>
      </c>
      <c r="N519" s="21">
        <f>IF(J519="Yes","",IF(H519&gt;=I519,1,0))</f>
        <v/>
      </c>
      <c r="O519" s="21">
        <f>IF(I519&lt;=5000000,"Under $5M",IF(I519&lt;=20000000,"$5M-20M",IF(I519&lt;=50000000,"$20M-50M",IF(I519&lt;=100000000,"$50M-100M","$100M+"))))</f>
        <v/>
      </c>
      <c r="P519" s="21">
        <f>IF(E519&lt;=90,"90 or less",IF(E519&lt;=105,"91-105",IF(E519&lt;=120,"106-120",IF(E519&lt;=140,"121-140","Over 140"))))</f>
        <v/>
      </c>
      <c r="Q519" s="28">
        <f>INT(C519/10)*10</f>
        <v/>
      </c>
    </row>
    <row r="520">
      <c r="A520" s="21" t="n">
        <v>541</v>
      </c>
      <c r="B520" s="21" t="inlineStr">
        <is>
          <t>Sex, Lies, and Videotape</t>
        </is>
      </c>
      <c r="C520" s="21" t="n">
        <v>1989</v>
      </c>
      <c r="D520" s="21" t="inlineStr">
        <is>
          <t>USA</t>
        </is>
      </c>
      <c r="E520" s="21" t="n">
        <v>100</v>
      </c>
      <c r="F520" s="21" t="inlineStr">
        <is>
          <t>English</t>
        </is>
      </c>
      <c r="G520" s="21" t="inlineStr">
        <is>
          <t>R</t>
        </is>
      </c>
      <c r="H520" s="22" t="n">
        <v>24741700</v>
      </c>
      <c r="I520" s="22" t="n">
        <v>1200000</v>
      </c>
      <c r="J520" s="21">
        <f>IF(OR(H520="",H520=25529689.5),"Yes","No")</f>
        <v/>
      </c>
      <c r="K520" s="21">
        <f>IF(AND(D520="USA",C520&gt;=1980,J520="No"),"Yes","No")</f>
        <v/>
      </c>
      <c r="L520" s="26">
        <f>IF(J520="Yes","",H520-I520)</f>
        <v/>
      </c>
      <c r="M520" s="27">
        <f>IF(OR(J520="Yes",I520=0),"",H520/I520)</f>
        <v/>
      </c>
      <c r="N520" s="21">
        <f>IF(J520="Yes","",IF(H520&gt;=I520,1,0))</f>
        <v/>
      </c>
      <c r="O520" s="21">
        <f>IF(I520&lt;=5000000,"Under $5M",IF(I520&lt;=20000000,"$5M-20M",IF(I520&lt;=50000000,"$20M-50M",IF(I520&lt;=100000000,"$50M-100M","$100M+"))))</f>
        <v/>
      </c>
      <c r="P520" s="21">
        <f>IF(E520&lt;=90,"90 or less",IF(E520&lt;=105,"91-105",IF(E520&lt;=120,"106-120",IF(E520&lt;=140,"121-140","Over 140"))))</f>
        <v/>
      </c>
      <c r="Q520" s="28">
        <f>INT(C520/10)*10</f>
        <v/>
      </c>
    </row>
    <row r="521">
      <c r="A521" s="21" t="n">
        <v>542</v>
      </c>
      <c r="B521" s="21" t="inlineStr">
        <is>
          <t>Star Trek V: The Final Frontier</t>
        </is>
      </c>
      <c r="C521" s="21" t="n">
        <v>1989</v>
      </c>
      <c r="D521" s="21" t="inlineStr">
        <is>
          <t>USA</t>
        </is>
      </c>
      <c r="E521" s="21" t="n">
        <v>107</v>
      </c>
      <c r="F521" s="21" t="inlineStr">
        <is>
          <t>English</t>
        </is>
      </c>
      <c r="G521" s="21" t="inlineStr">
        <is>
          <t>PG</t>
        </is>
      </c>
      <c r="H521" s="22" t="n">
        <v>55210049</v>
      </c>
      <c r="I521" s="22" t="n">
        <v>27800000</v>
      </c>
      <c r="J521" s="21">
        <f>IF(OR(H521="",H521=25529689.5),"Yes","No")</f>
        <v/>
      </c>
      <c r="K521" s="21">
        <f>IF(AND(D521="USA",C521&gt;=1980,J521="No"),"Yes","No")</f>
        <v/>
      </c>
      <c r="L521" s="26">
        <f>IF(J521="Yes","",H521-I521)</f>
        <v/>
      </c>
      <c r="M521" s="27">
        <f>IF(OR(J521="Yes",I521=0),"",H521/I521)</f>
        <v/>
      </c>
      <c r="N521" s="21">
        <f>IF(J521="Yes","",IF(H521&gt;=I521,1,0))</f>
        <v/>
      </c>
      <c r="O521" s="21">
        <f>IF(I521&lt;=5000000,"Under $5M",IF(I521&lt;=20000000,"$5M-20M",IF(I521&lt;=50000000,"$20M-50M",IF(I521&lt;=100000000,"$50M-100M","$100M+"))))</f>
        <v/>
      </c>
      <c r="P521" s="21">
        <f>IF(E521&lt;=90,"90 or less",IF(E521&lt;=105,"91-105",IF(E521&lt;=120,"106-120",IF(E521&lt;=140,"121-140","Over 140"))))</f>
        <v/>
      </c>
      <c r="Q521" s="28">
        <f>INT(C521/10)*10</f>
        <v/>
      </c>
    </row>
    <row r="522">
      <c r="A522" s="21" t="n">
        <v>543</v>
      </c>
      <c r="B522" s="21" t="inlineStr">
        <is>
          <t>Tango &amp; Cash</t>
        </is>
      </c>
      <c r="C522" s="21" t="n">
        <v>1989</v>
      </c>
      <c r="D522" s="21" t="inlineStr">
        <is>
          <t>USA</t>
        </is>
      </c>
      <c r="E522" s="21" t="n">
        <v>97</v>
      </c>
      <c r="F522" s="21" t="inlineStr">
        <is>
          <t>English</t>
        </is>
      </c>
      <c r="G522" s="21" t="inlineStr">
        <is>
          <t>R</t>
        </is>
      </c>
      <c r="H522" s="22" t="n">
        <v>63408614</v>
      </c>
      <c r="I522" s="22" t="n">
        <v>55000000</v>
      </c>
      <c r="J522" s="21">
        <f>IF(OR(H522="",H522=25529689.5),"Yes","No")</f>
        <v/>
      </c>
      <c r="K522" s="21">
        <f>IF(AND(D522="USA",C522&gt;=1980,J522="No"),"Yes","No")</f>
        <v/>
      </c>
      <c r="L522" s="26">
        <f>IF(J522="Yes","",H522-I522)</f>
        <v/>
      </c>
      <c r="M522" s="27">
        <f>IF(OR(J522="Yes",I522=0),"",H522/I522)</f>
        <v/>
      </c>
      <c r="N522" s="21">
        <f>IF(J522="Yes","",IF(H522&gt;=I522,1,0))</f>
        <v/>
      </c>
      <c r="O522" s="21">
        <f>IF(I522&lt;=5000000,"Under $5M",IF(I522&lt;=20000000,"$5M-20M",IF(I522&lt;=50000000,"$20M-50M",IF(I522&lt;=100000000,"$50M-100M","$100M+"))))</f>
        <v/>
      </c>
      <c r="P522" s="21">
        <f>IF(E522&lt;=90,"90 or less",IF(E522&lt;=105,"91-105",IF(E522&lt;=120,"106-120",IF(E522&lt;=140,"121-140","Over 140"))))</f>
        <v/>
      </c>
      <c r="Q522" s="28">
        <f>INT(C522/10)*10</f>
        <v/>
      </c>
    </row>
    <row r="523">
      <c r="A523" s="21" t="n">
        <v>544</v>
      </c>
      <c r="B523" s="21" t="inlineStr">
        <is>
          <t>The Abyss</t>
        </is>
      </c>
      <c r="C523" s="21" t="n">
        <v>1989</v>
      </c>
      <c r="D523" s="21" t="inlineStr">
        <is>
          <t>USA</t>
        </is>
      </c>
      <c r="E523" s="21" t="n">
        <v>171</v>
      </c>
      <c r="F523" s="21" t="inlineStr">
        <is>
          <t>English</t>
        </is>
      </c>
      <c r="G523" s="21" t="inlineStr">
        <is>
          <t>PG-13</t>
        </is>
      </c>
      <c r="H523" s="22" t="n">
        <v>54222000</v>
      </c>
      <c r="I523" s="22" t="n">
        <v>69500000</v>
      </c>
      <c r="J523" s="21">
        <f>IF(OR(H523="",H523=25529689.5),"Yes","No")</f>
        <v/>
      </c>
      <c r="K523" s="21">
        <f>IF(AND(D523="USA",C523&gt;=1980,J523="No"),"Yes","No")</f>
        <v/>
      </c>
      <c r="L523" s="26">
        <f>IF(J523="Yes","",H523-I523)</f>
        <v/>
      </c>
      <c r="M523" s="27">
        <f>IF(OR(J523="Yes",I523=0),"",H523/I523)</f>
        <v/>
      </c>
      <c r="N523" s="21">
        <f>IF(J523="Yes","",IF(H523&gt;=I523,1,0))</f>
        <v/>
      </c>
      <c r="O523" s="21">
        <f>IF(I523&lt;=5000000,"Under $5M",IF(I523&lt;=20000000,"$5M-20M",IF(I523&lt;=50000000,"$20M-50M",IF(I523&lt;=100000000,"$50M-100M","$100M+"))))</f>
        <v/>
      </c>
      <c r="P523" s="21">
        <f>IF(E523&lt;=90,"90 or less",IF(E523&lt;=105,"91-105",IF(E523&lt;=120,"106-120",IF(E523&lt;=140,"121-140","Over 140"))))</f>
        <v/>
      </c>
      <c r="Q523" s="28">
        <f>INT(C523/10)*10</f>
        <v/>
      </c>
    </row>
    <row r="524">
      <c r="A524" s="21" t="n">
        <v>545</v>
      </c>
      <c r="B524" s="21" t="inlineStr">
        <is>
          <t>The Blood of Heroes</t>
        </is>
      </c>
      <c r="C524" s="21" t="n">
        <v>1989</v>
      </c>
      <c r="D524" s="21" t="inlineStr">
        <is>
          <t>Australia</t>
        </is>
      </c>
      <c r="E524" s="21" t="n">
        <v>90</v>
      </c>
      <c r="F524" s="21" t="inlineStr">
        <is>
          <t>English</t>
        </is>
      </c>
      <c r="G524" s="21" t="inlineStr">
        <is>
          <t>R</t>
        </is>
      </c>
      <c r="H524" s="22" t="n">
        <v>882290</v>
      </c>
      <c r="I524" s="22" t="n">
        <v>10000000</v>
      </c>
      <c r="J524" s="21">
        <f>IF(OR(H524="",H524=25529689.5),"Yes","No")</f>
        <v/>
      </c>
      <c r="K524" s="21">
        <f>IF(AND(D524="USA",C524&gt;=1980,J524="No"),"Yes","No")</f>
        <v/>
      </c>
      <c r="L524" s="26">
        <f>IF(J524="Yes","",H524-I524)</f>
        <v/>
      </c>
      <c r="M524" s="27">
        <f>IF(OR(J524="Yes",I524=0),"",H524/I524)</f>
        <v/>
      </c>
      <c r="N524" s="21">
        <f>IF(J524="Yes","",IF(H524&gt;=I524,1,0))</f>
        <v/>
      </c>
      <c r="O524" s="21">
        <f>IF(I524&lt;=5000000,"Under $5M",IF(I524&lt;=20000000,"$5M-20M",IF(I524&lt;=50000000,"$20M-50M",IF(I524&lt;=100000000,"$50M-100M","$100M+"))))</f>
        <v/>
      </c>
      <c r="P524" s="21">
        <f>IF(E524&lt;=90,"90 or less",IF(E524&lt;=105,"91-105",IF(E524&lt;=120,"106-120",IF(E524&lt;=140,"121-140","Over 140"))))</f>
        <v/>
      </c>
      <c r="Q524" s="28">
        <f>INT(C524/10)*10</f>
        <v/>
      </c>
    </row>
    <row r="525">
      <c r="A525" s="21" t="n">
        <v>546</v>
      </c>
      <c r="B525" s="21" t="inlineStr">
        <is>
          <t>The Toxic Avenger Part II</t>
        </is>
      </c>
      <c r="C525" s="21" t="n">
        <v>1989</v>
      </c>
      <c r="D525" s="21" t="inlineStr">
        <is>
          <t>USA</t>
        </is>
      </c>
      <c r="E525" s="21" t="n">
        <v>96</v>
      </c>
      <c r="F525" s="21" t="inlineStr">
        <is>
          <t>English</t>
        </is>
      </c>
      <c r="G525" s="21" t="inlineStr">
        <is>
          <t>R</t>
        </is>
      </c>
      <c r="H525" s="22" t="n">
        <v>792966</v>
      </c>
      <c r="I525" s="22" t="n">
        <v>2300000</v>
      </c>
      <c r="J525" s="21">
        <f>IF(OR(H525="",H525=25529689.5),"Yes","No")</f>
        <v/>
      </c>
      <c r="K525" s="21">
        <f>IF(AND(D525="USA",C525&gt;=1980,J525="No"),"Yes","No")</f>
        <v/>
      </c>
      <c r="L525" s="26">
        <f>IF(J525="Yes","",H525-I525)</f>
        <v/>
      </c>
      <c r="M525" s="27">
        <f>IF(OR(J525="Yes",I525=0),"",H525/I525)</f>
        <v/>
      </c>
      <c r="N525" s="21">
        <f>IF(J525="Yes","",IF(H525&gt;=I525,1,0))</f>
        <v/>
      </c>
      <c r="O525" s="21">
        <f>IF(I525&lt;=5000000,"Under $5M",IF(I525&lt;=20000000,"$5M-20M",IF(I525&lt;=50000000,"$20M-50M",IF(I525&lt;=100000000,"$50M-100M","$100M+"))))</f>
        <v/>
      </c>
      <c r="P525" s="21">
        <f>IF(E525&lt;=90,"90 or less",IF(E525&lt;=105,"91-105",IF(E525&lt;=120,"106-120",IF(E525&lt;=140,"121-140","Over 140"))))</f>
        <v/>
      </c>
      <c r="Q525" s="28">
        <f>INT(C525/10)*10</f>
        <v/>
      </c>
    </row>
    <row r="526">
      <c r="A526" s="21" t="n">
        <v>547</v>
      </c>
      <c r="B526" s="21" t="inlineStr">
        <is>
          <t>Troop Beverly Hills</t>
        </is>
      </c>
      <c r="C526" s="21" t="n">
        <v>1989</v>
      </c>
      <c r="D526" s="21" t="inlineStr">
        <is>
          <t>USA</t>
        </is>
      </c>
      <c r="E526" s="21" t="n">
        <v>105</v>
      </c>
      <c r="F526" s="21" t="inlineStr">
        <is>
          <t>English</t>
        </is>
      </c>
      <c r="G526" s="21" t="inlineStr">
        <is>
          <t>PG</t>
        </is>
      </c>
      <c r="H526" s="22" t="n">
        <v>8508843</v>
      </c>
      <c r="I526" s="22" t="n">
        <v>18000000</v>
      </c>
      <c r="J526" s="21">
        <f>IF(OR(H526="",H526=25529689.5),"Yes","No")</f>
        <v/>
      </c>
      <c r="K526" s="21">
        <f>IF(AND(D526="USA",C526&gt;=1980,J526="No"),"Yes","No")</f>
        <v/>
      </c>
      <c r="L526" s="26">
        <f>IF(J526="Yes","",H526-I526)</f>
        <v/>
      </c>
      <c r="M526" s="27">
        <f>IF(OR(J526="Yes",I526=0),"",H526/I526)</f>
        <v/>
      </c>
      <c r="N526" s="21">
        <f>IF(J526="Yes","",IF(H526&gt;=I526,1,0))</f>
        <v/>
      </c>
      <c r="O526" s="21">
        <f>IF(I526&lt;=5000000,"Under $5M",IF(I526&lt;=20000000,"$5M-20M",IF(I526&lt;=50000000,"$20M-50M",IF(I526&lt;=100000000,"$50M-100M","$100M+"))))</f>
        <v/>
      </c>
      <c r="P526" s="21">
        <f>IF(E526&lt;=90,"90 or less",IF(E526&lt;=105,"91-105",IF(E526&lt;=120,"106-120",IF(E526&lt;=140,"121-140","Over 140"))))</f>
        <v/>
      </c>
      <c r="Q526" s="28">
        <f>INT(C526/10)*10</f>
        <v/>
      </c>
    </row>
    <row r="527">
      <c r="A527" s="21" t="n">
        <v>548</v>
      </c>
      <c r="B527" s="21" t="inlineStr">
        <is>
          <t>UHF</t>
        </is>
      </c>
      <c r="C527" s="21" t="n">
        <v>1989</v>
      </c>
      <c r="D527" s="21" t="inlineStr">
        <is>
          <t>USA</t>
        </is>
      </c>
      <c r="E527" s="21" t="n">
        <v>150</v>
      </c>
      <c r="F527" s="21" t="inlineStr">
        <is>
          <t>English</t>
        </is>
      </c>
      <c r="G527" s="21" t="inlineStr">
        <is>
          <t>PG-13</t>
        </is>
      </c>
      <c r="H527" s="22" t="n">
        <v>6157157</v>
      </c>
      <c r="I527" s="22" t="n">
        <v>5000000</v>
      </c>
      <c r="J527" s="21">
        <f>IF(OR(H527="",H527=25529689.5),"Yes","No")</f>
        <v/>
      </c>
      <c r="K527" s="21">
        <f>IF(AND(D527="USA",C527&gt;=1980,J527="No"),"Yes","No")</f>
        <v/>
      </c>
      <c r="L527" s="26">
        <f>IF(J527="Yes","",H527-I527)</f>
        <v/>
      </c>
      <c r="M527" s="27">
        <f>IF(OR(J527="Yes",I527=0),"",H527/I527)</f>
        <v/>
      </c>
      <c r="N527" s="21">
        <f>IF(J527="Yes","",IF(H527&gt;=I527,1,0))</f>
        <v/>
      </c>
      <c r="O527" s="21">
        <f>IF(I527&lt;=5000000,"Under $5M",IF(I527&lt;=20000000,"$5M-20M",IF(I527&lt;=50000000,"$20M-50M",IF(I527&lt;=100000000,"$50M-100M","$100M+"))))</f>
        <v/>
      </c>
      <c r="P527" s="21">
        <f>IF(E527&lt;=90,"90 or less",IF(E527&lt;=105,"91-105",IF(E527&lt;=120,"106-120",IF(E527&lt;=140,"121-140","Over 140"))))</f>
        <v/>
      </c>
      <c r="Q527" s="28">
        <f>INT(C527/10)*10</f>
        <v/>
      </c>
    </row>
    <row r="528">
      <c r="A528" s="21" t="n">
        <v>549</v>
      </c>
      <c r="B528" s="21" t="inlineStr">
        <is>
          <t>Warlock</t>
        </is>
      </c>
      <c r="C528" s="21" t="n">
        <v>1989</v>
      </c>
      <c r="D528" s="21" t="inlineStr">
        <is>
          <t>USA</t>
        </is>
      </c>
      <c r="E528" s="21" t="n">
        <v>103</v>
      </c>
      <c r="F528" s="21" t="inlineStr">
        <is>
          <t>English</t>
        </is>
      </c>
      <c r="G528" s="21" t="inlineStr">
        <is>
          <t>R</t>
        </is>
      </c>
      <c r="H528" s="22" t="n">
        <v>9094451</v>
      </c>
      <c r="I528" s="22" t="n">
        <v>7000000</v>
      </c>
      <c r="J528" s="21">
        <f>IF(OR(H528="",H528=25529689.5),"Yes","No")</f>
        <v/>
      </c>
      <c r="K528" s="21">
        <f>IF(AND(D528="USA",C528&gt;=1980,J528="No"),"Yes","No")</f>
        <v/>
      </c>
      <c r="L528" s="26">
        <f>IF(J528="Yes","",H528-I528)</f>
        <v/>
      </c>
      <c r="M528" s="27">
        <f>IF(OR(J528="Yes",I528=0),"",H528/I528)</f>
        <v/>
      </c>
      <c r="N528" s="21">
        <f>IF(J528="Yes","",IF(H528&gt;=I528,1,0))</f>
        <v/>
      </c>
      <c r="O528" s="21">
        <f>IF(I528&lt;=5000000,"Under $5M",IF(I528&lt;=20000000,"$5M-20M",IF(I528&lt;=50000000,"$20M-50M",IF(I528&lt;=100000000,"$50M-100M","$100M+"))))</f>
        <v/>
      </c>
      <c r="P528" s="21">
        <f>IF(E528&lt;=90,"90 or less",IF(E528&lt;=105,"91-105",IF(E528&lt;=120,"106-120",IF(E528&lt;=140,"121-140","Over 140"))))</f>
        <v/>
      </c>
      <c r="Q528" s="28">
        <f>INT(C528/10)*10</f>
        <v/>
      </c>
    </row>
    <row r="529">
      <c r="A529" s="21" t="n">
        <v>550</v>
      </c>
      <c r="B529" s="21" t="inlineStr">
        <is>
          <t>We're No Angels</t>
        </is>
      </c>
      <c r="C529" s="21" t="n">
        <v>1989</v>
      </c>
      <c r="D529" s="21" t="inlineStr">
        <is>
          <t>USA</t>
        </is>
      </c>
      <c r="E529" s="21" t="n">
        <v>106</v>
      </c>
      <c r="F529" s="21" t="inlineStr">
        <is>
          <t>English</t>
        </is>
      </c>
      <c r="G529" s="21" t="inlineStr">
        <is>
          <t>PG-13</t>
        </is>
      </c>
      <c r="H529" s="22" t="n">
        <v>10555348</v>
      </c>
      <c r="I529" s="22" t="n">
        <v>20000000</v>
      </c>
      <c r="J529" s="21">
        <f>IF(OR(H529="",H529=25529689.5),"Yes","No")</f>
        <v/>
      </c>
      <c r="K529" s="21">
        <f>IF(AND(D529="USA",C529&gt;=1980,J529="No"),"Yes","No")</f>
        <v/>
      </c>
      <c r="L529" s="26">
        <f>IF(J529="Yes","",H529-I529)</f>
        <v/>
      </c>
      <c r="M529" s="27">
        <f>IF(OR(J529="Yes",I529=0),"",H529/I529)</f>
        <v/>
      </c>
      <c r="N529" s="21">
        <f>IF(J529="Yes","",IF(H529&gt;=I529,1,0))</f>
        <v/>
      </c>
      <c r="O529" s="21">
        <f>IF(I529&lt;=5000000,"Under $5M",IF(I529&lt;=20000000,"$5M-20M",IF(I529&lt;=50000000,"$20M-50M",IF(I529&lt;=100000000,"$50M-100M","$100M+"))))</f>
        <v/>
      </c>
      <c r="P529" s="21">
        <f>IF(E529&lt;=90,"90 or less",IF(E529&lt;=105,"91-105",IF(E529&lt;=120,"106-120",IF(E529&lt;=140,"121-140","Over 140"))))</f>
        <v/>
      </c>
      <c r="Q529" s="28">
        <f>INT(C529/10)*10</f>
        <v/>
      </c>
    </row>
    <row r="530">
      <c r="A530" s="21" t="n">
        <v>551</v>
      </c>
      <c r="B530" s="21" t="inlineStr">
        <is>
          <t>When Harry Met Sally...</t>
        </is>
      </c>
      <c r="C530" s="21" t="n">
        <v>1989</v>
      </c>
      <c r="D530" s="21" t="inlineStr">
        <is>
          <t>USA</t>
        </is>
      </c>
      <c r="E530" s="21" t="n">
        <v>89</v>
      </c>
      <c r="F530" s="21" t="inlineStr">
        <is>
          <t>English</t>
        </is>
      </c>
      <c r="G530" s="21" t="inlineStr">
        <is>
          <t>R</t>
        </is>
      </c>
      <c r="H530" s="22" t="n">
        <v>92823600</v>
      </c>
      <c r="I530" s="22" t="n">
        <v>16000000</v>
      </c>
      <c r="J530" s="21">
        <f>IF(OR(H530="",H530=25529689.5),"Yes","No")</f>
        <v/>
      </c>
      <c r="K530" s="21">
        <f>IF(AND(D530="USA",C530&gt;=1980,J530="No"),"Yes","No")</f>
        <v/>
      </c>
      <c r="L530" s="26">
        <f>IF(J530="Yes","",H530-I530)</f>
        <v/>
      </c>
      <c r="M530" s="27">
        <f>IF(OR(J530="Yes",I530=0),"",H530/I530)</f>
        <v/>
      </c>
      <c r="N530" s="21">
        <f>IF(J530="Yes","",IF(H530&gt;=I530,1,0))</f>
        <v/>
      </c>
      <c r="O530" s="21">
        <f>IF(I530&lt;=5000000,"Under $5M",IF(I530&lt;=20000000,"$5M-20M",IF(I530&lt;=50000000,"$20M-50M",IF(I530&lt;=100000000,"$50M-100M","$100M+"))))</f>
        <v/>
      </c>
      <c r="P530" s="21">
        <f>IF(E530&lt;=90,"90 or less",IF(E530&lt;=105,"91-105",IF(E530&lt;=120,"106-120",IF(E530&lt;=140,"121-140","Over 140"))))</f>
        <v/>
      </c>
      <c r="Q530" s="28">
        <f>INT(C530/10)*10</f>
        <v/>
      </c>
    </row>
    <row r="531">
      <c r="A531" s="21" t="n">
        <v>552</v>
      </c>
      <c r="B531" s="21" t="inlineStr">
        <is>
          <t>Arachnophobia</t>
        </is>
      </c>
      <c r="C531" s="21" t="n">
        <v>1990</v>
      </c>
      <c r="D531" s="21" t="inlineStr">
        <is>
          <t>USA</t>
        </is>
      </c>
      <c r="E531" s="21" t="n">
        <v>103</v>
      </c>
      <c r="F531" s="21" t="inlineStr">
        <is>
          <t>English</t>
        </is>
      </c>
      <c r="G531" s="21" t="inlineStr">
        <is>
          <t>PG-13</t>
        </is>
      </c>
      <c r="H531" s="22" t="n">
        <v>53133888</v>
      </c>
      <c r="I531" s="22" t="n">
        <v>31000000</v>
      </c>
      <c r="J531" s="21">
        <f>IF(OR(H531="",H531=25529689.5),"Yes","No")</f>
        <v/>
      </c>
      <c r="K531" s="21">
        <f>IF(AND(D531="USA",C531&gt;=1980,J531="No"),"Yes","No")</f>
        <v/>
      </c>
      <c r="L531" s="26">
        <f>IF(J531="Yes","",H531-I531)</f>
        <v/>
      </c>
      <c r="M531" s="27">
        <f>IF(OR(J531="Yes",I531=0),"",H531/I531)</f>
        <v/>
      </c>
      <c r="N531" s="21">
        <f>IF(J531="Yes","",IF(H531&gt;=I531,1,0))</f>
        <v/>
      </c>
      <c r="O531" s="21">
        <f>IF(I531&lt;=5000000,"Under $5M",IF(I531&lt;=20000000,"$5M-20M",IF(I531&lt;=50000000,"$20M-50M",IF(I531&lt;=100000000,"$50M-100M","$100M+"))))</f>
        <v/>
      </c>
      <c r="P531" s="21">
        <f>IF(E531&lt;=90,"90 or less",IF(E531&lt;=105,"91-105",IF(E531&lt;=120,"106-120",IF(E531&lt;=140,"121-140","Over 140"))))</f>
        <v/>
      </c>
      <c r="Q531" s="28">
        <f>INT(C531/10)*10</f>
        <v/>
      </c>
    </row>
    <row r="532">
      <c r="A532" s="21" t="n">
        <v>553</v>
      </c>
      <c r="B532" s="21" t="inlineStr">
        <is>
          <t>Back to the Future Part III</t>
        </is>
      </c>
      <c r="C532" s="21" t="n">
        <v>1990</v>
      </c>
      <c r="D532" s="21" t="inlineStr">
        <is>
          <t>USA</t>
        </is>
      </c>
      <c r="E532" s="21" t="n">
        <v>118</v>
      </c>
      <c r="F532" s="21" t="inlineStr">
        <is>
          <t>English</t>
        </is>
      </c>
      <c r="G532" s="21" t="inlineStr">
        <is>
          <t>PG</t>
        </is>
      </c>
      <c r="H532" s="22" t="n">
        <v>87666629</v>
      </c>
      <c r="I532" s="22" t="n">
        <v>40000000</v>
      </c>
      <c r="J532" s="21">
        <f>IF(OR(H532="",H532=25529689.5),"Yes","No")</f>
        <v/>
      </c>
      <c r="K532" s="21">
        <f>IF(AND(D532="USA",C532&gt;=1980,J532="No"),"Yes","No")</f>
        <v/>
      </c>
      <c r="L532" s="26">
        <f>IF(J532="Yes","",H532-I532)</f>
        <v/>
      </c>
      <c r="M532" s="27">
        <f>IF(OR(J532="Yes",I532=0),"",H532/I532)</f>
        <v/>
      </c>
      <c r="N532" s="21">
        <f>IF(J532="Yes","",IF(H532&gt;=I532,1,0))</f>
        <v/>
      </c>
      <c r="O532" s="21">
        <f>IF(I532&lt;=5000000,"Under $5M",IF(I532&lt;=20000000,"$5M-20M",IF(I532&lt;=50000000,"$20M-50M",IF(I532&lt;=100000000,"$50M-100M","$100M+"))))</f>
        <v/>
      </c>
      <c r="P532" s="21">
        <f>IF(E532&lt;=90,"90 or less",IF(E532&lt;=105,"91-105",IF(E532&lt;=120,"106-120",IF(E532&lt;=140,"121-140","Over 140"))))</f>
        <v/>
      </c>
      <c r="Q532" s="28">
        <f>INT(C532/10)*10</f>
        <v/>
      </c>
    </row>
    <row r="533">
      <c r="A533" s="21" t="n">
        <v>554</v>
      </c>
      <c r="B533" s="21" t="inlineStr">
        <is>
          <t>Child's Play 2</t>
        </is>
      </c>
      <c r="C533" s="21" t="n">
        <v>1990</v>
      </c>
      <c r="D533" s="21" t="inlineStr">
        <is>
          <t>USA</t>
        </is>
      </c>
      <c r="E533" s="21" t="n">
        <v>72</v>
      </c>
      <c r="F533" s="21" t="inlineStr">
        <is>
          <t>English</t>
        </is>
      </c>
      <c r="G533" s="21" t="inlineStr">
        <is>
          <t>R</t>
        </is>
      </c>
      <c r="H533" s="22" t="n">
        <v>28501605</v>
      </c>
      <c r="I533" s="22" t="n">
        <v>13000000</v>
      </c>
      <c r="J533" s="21">
        <f>IF(OR(H533="",H533=25529689.5),"Yes","No")</f>
        <v/>
      </c>
      <c r="K533" s="21">
        <f>IF(AND(D533="USA",C533&gt;=1980,J533="No"),"Yes","No")</f>
        <v/>
      </c>
      <c r="L533" s="26">
        <f>IF(J533="Yes","",H533-I533)</f>
        <v/>
      </c>
      <c r="M533" s="27">
        <f>IF(OR(J533="Yes",I533=0),"",H533/I533)</f>
        <v/>
      </c>
      <c r="N533" s="21">
        <f>IF(J533="Yes","",IF(H533&gt;=I533,1,0))</f>
        <v/>
      </c>
      <c r="O533" s="21">
        <f>IF(I533&lt;=5000000,"Under $5M",IF(I533&lt;=20000000,"$5M-20M",IF(I533&lt;=50000000,"$20M-50M",IF(I533&lt;=100000000,"$50M-100M","$100M+"))))</f>
        <v/>
      </c>
      <c r="P533" s="21">
        <f>IF(E533&lt;=90,"90 or less",IF(E533&lt;=105,"91-105",IF(E533&lt;=120,"106-120",IF(E533&lt;=140,"121-140","Over 140"))))</f>
        <v/>
      </c>
      <c r="Q533" s="28">
        <f>INT(C533/10)*10</f>
        <v/>
      </c>
    </row>
    <row r="534">
      <c r="A534" s="21" t="n">
        <v>555</v>
      </c>
      <c r="B534" s="21" t="inlineStr">
        <is>
          <t>Dances with Wolves</t>
        </is>
      </c>
      <c r="C534" s="21" t="n">
        <v>1990</v>
      </c>
      <c r="D534" s="21" t="inlineStr">
        <is>
          <t>USA</t>
        </is>
      </c>
      <c r="E534" s="21" t="n">
        <v>236</v>
      </c>
      <c r="F534" s="21" t="inlineStr">
        <is>
          <t>English</t>
        </is>
      </c>
      <c r="G534" s="21" t="inlineStr">
        <is>
          <t>PG-13</t>
        </is>
      </c>
      <c r="H534" s="22" t="n">
        <v>184208848</v>
      </c>
      <c r="I534" s="22" t="n">
        <v>22000000</v>
      </c>
      <c r="J534" s="21">
        <f>IF(OR(H534="",H534=25529689.5),"Yes","No")</f>
        <v/>
      </c>
      <c r="K534" s="21">
        <f>IF(AND(D534="USA",C534&gt;=1980,J534="No"),"Yes","No")</f>
        <v/>
      </c>
      <c r="L534" s="26">
        <f>IF(J534="Yes","",H534-I534)</f>
        <v/>
      </c>
      <c r="M534" s="27">
        <f>IF(OR(J534="Yes",I534=0),"",H534/I534)</f>
        <v/>
      </c>
      <c r="N534" s="21">
        <f>IF(J534="Yes","",IF(H534&gt;=I534,1,0))</f>
        <v/>
      </c>
      <c r="O534" s="21">
        <f>IF(I534&lt;=5000000,"Under $5M",IF(I534&lt;=20000000,"$5M-20M",IF(I534&lt;=50000000,"$20M-50M",IF(I534&lt;=100000000,"$50M-100M","$100M+"))))</f>
        <v/>
      </c>
      <c r="P534" s="21">
        <f>IF(E534&lt;=90,"90 or less",IF(E534&lt;=105,"91-105",IF(E534&lt;=120,"106-120",IF(E534&lt;=140,"121-140","Over 140"))))</f>
        <v/>
      </c>
      <c r="Q534" s="28">
        <f>INT(C534/10)*10</f>
        <v/>
      </c>
    </row>
    <row r="535">
      <c r="A535" s="21" t="n">
        <v>556</v>
      </c>
      <c r="B535" s="21" t="inlineStr">
        <is>
          <t>Days of Thunder</t>
        </is>
      </c>
      <c r="C535" s="21" t="n">
        <v>1990</v>
      </c>
      <c r="D535" s="21" t="inlineStr">
        <is>
          <t>USA</t>
        </is>
      </c>
      <c r="E535" s="21" t="n">
        <v>107</v>
      </c>
      <c r="F535" s="21" t="inlineStr">
        <is>
          <t>English</t>
        </is>
      </c>
      <c r="G535" s="21" t="inlineStr">
        <is>
          <t>PG-13</t>
        </is>
      </c>
      <c r="H535" s="22" t="n">
        <v>82670733</v>
      </c>
      <c r="I535" s="22" t="n">
        <v>60000000</v>
      </c>
      <c r="J535" s="21">
        <f>IF(OR(H535="",H535=25529689.5),"Yes","No")</f>
        <v/>
      </c>
      <c r="K535" s="21">
        <f>IF(AND(D535="USA",C535&gt;=1980,J535="No"),"Yes","No")</f>
        <v/>
      </c>
      <c r="L535" s="26">
        <f>IF(J535="Yes","",H535-I535)</f>
        <v/>
      </c>
      <c r="M535" s="27">
        <f>IF(OR(J535="Yes",I535=0),"",H535/I535)</f>
        <v/>
      </c>
      <c r="N535" s="21">
        <f>IF(J535="Yes","",IF(H535&gt;=I535,1,0))</f>
        <v/>
      </c>
      <c r="O535" s="21">
        <f>IF(I535&lt;=5000000,"Under $5M",IF(I535&lt;=20000000,"$5M-20M",IF(I535&lt;=50000000,"$20M-50M",IF(I535&lt;=100000000,"$50M-100M","$100M+"))))</f>
        <v/>
      </c>
      <c r="P535" s="21">
        <f>IF(E535&lt;=90,"90 or less",IF(E535&lt;=105,"91-105",IF(E535&lt;=120,"106-120",IF(E535&lt;=140,"121-140","Over 140"))))</f>
        <v/>
      </c>
      <c r="Q535" s="28">
        <f>INT(C535/10)*10</f>
        <v/>
      </c>
    </row>
    <row r="536">
      <c r="A536" s="21" t="n">
        <v>557</v>
      </c>
      <c r="B536" s="21" t="inlineStr">
        <is>
          <t>Dick Tracy</t>
        </is>
      </c>
      <c r="C536" s="21" t="n">
        <v>1990</v>
      </c>
      <c r="D536" s="21" t="inlineStr">
        <is>
          <t>USA</t>
        </is>
      </c>
      <c r="E536" s="21" t="n">
        <v>105</v>
      </c>
      <c r="F536" s="21" t="inlineStr">
        <is>
          <t>English</t>
        </is>
      </c>
      <c r="G536" s="21" t="inlineStr">
        <is>
          <t>PG</t>
        </is>
      </c>
      <c r="H536" s="22" t="n">
        <v>103738726</v>
      </c>
      <c r="I536" s="22" t="n">
        <v>100000000</v>
      </c>
      <c r="J536" s="21">
        <f>IF(OR(H536="",H536=25529689.5),"Yes","No")</f>
        <v/>
      </c>
      <c r="K536" s="21">
        <f>IF(AND(D536="USA",C536&gt;=1980,J536="No"),"Yes","No")</f>
        <v/>
      </c>
      <c r="L536" s="26">
        <f>IF(J536="Yes","",H536-I536)</f>
        <v/>
      </c>
      <c r="M536" s="27">
        <f>IF(OR(J536="Yes",I536=0),"",H536/I536)</f>
        <v/>
      </c>
      <c r="N536" s="21">
        <f>IF(J536="Yes","",IF(H536&gt;=I536,1,0))</f>
        <v/>
      </c>
      <c r="O536" s="21">
        <f>IF(I536&lt;=5000000,"Under $5M",IF(I536&lt;=20000000,"$5M-20M",IF(I536&lt;=50000000,"$20M-50M",IF(I536&lt;=100000000,"$50M-100M","$100M+"))))</f>
        <v/>
      </c>
      <c r="P536" s="21">
        <f>IF(E536&lt;=90,"90 or less",IF(E536&lt;=105,"91-105",IF(E536&lt;=120,"106-120",IF(E536&lt;=140,"121-140","Over 140"))))</f>
        <v/>
      </c>
      <c r="Q536" s="28">
        <f>INT(C536/10)*10</f>
        <v/>
      </c>
    </row>
    <row r="537">
      <c r="A537" s="21" t="n">
        <v>558</v>
      </c>
      <c r="B537" s="21" t="inlineStr">
        <is>
          <t>Die Hard 2</t>
        </is>
      </c>
      <c r="C537" s="21" t="n">
        <v>1990</v>
      </c>
      <c r="D537" s="21" t="inlineStr">
        <is>
          <t>USA</t>
        </is>
      </c>
      <c r="E537" s="21" t="n">
        <v>124</v>
      </c>
      <c r="F537" s="21" t="inlineStr">
        <is>
          <t>English</t>
        </is>
      </c>
      <c r="G537" s="21" t="inlineStr">
        <is>
          <t>R</t>
        </is>
      </c>
      <c r="H537" s="22" t="n">
        <v>117541000</v>
      </c>
      <c r="I537" s="22" t="n">
        <v>70000000</v>
      </c>
      <c r="J537" s="21">
        <f>IF(OR(H537="",H537=25529689.5),"Yes","No")</f>
        <v/>
      </c>
      <c r="K537" s="21">
        <f>IF(AND(D537="USA",C537&gt;=1980,J537="No"),"Yes","No")</f>
        <v/>
      </c>
      <c r="L537" s="26">
        <f>IF(J537="Yes","",H537-I537)</f>
        <v/>
      </c>
      <c r="M537" s="27">
        <f>IF(OR(J537="Yes",I537=0),"",H537/I537)</f>
        <v/>
      </c>
      <c r="N537" s="21">
        <f>IF(J537="Yes","",IF(H537&gt;=I537,1,0))</f>
        <v/>
      </c>
      <c r="O537" s="21">
        <f>IF(I537&lt;=5000000,"Under $5M",IF(I537&lt;=20000000,"$5M-20M",IF(I537&lt;=50000000,"$20M-50M",IF(I537&lt;=100000000,"$50M-100M","$100M+"))))</f>
        <v/>
      </c>
      <c r="P537" s="21">
        <f>IF(E537&lt;=90,"90 or less",IF(E537&lt;=105,"91-105",IF(E537&lt;=120,"106-120",IF(E537&lt;=140,"121-140","Over 140"))))</f>
        <v/>
      </c>
      <c r="Q537" s="28">
        <f>INT(C537/10)*10</f>
        <v/>
      </c>
    </row>
    <row r="538">
      <c r="A538" s="21" t="n">
        <v>559</v>
      </c>
      <c r="B538" s="21" t="inlineStr">
        <is>
          <t>Edward Scissorhands</t>
        </is>
      </c>
      <c r="C538" s="21" t="n">
        <v>1990</v>
      </c>
      <c r="D538" s="21" t="inlineStr">
        <is>
          <t>USA</t>
        </is>
      </c>
      <c r="E538" s="21" t="n">
        <v>105</v>
      </c>
      <c r="F538" s="21" t="inlineStr">
        <is>
          <t>English</t>
        </is>
      </c>
      <c r="G538" s="21" t="inlineStr">
        <is>
          <t>PG-13</t>
        </is>
      </c>
      <c r="H538" s="22" t="n">
        <v>56362352</v>
      </c>
      <c r="I538" s="22" t="n">
        <v>20000000</v>
      </c>
      <c r="J538" s="21">
        <f>IF(OR(H538="",H538=25529689.5),"Yes","No")</f>
        <v/>
      </c>
      <c r="K538" s="21">
        <f>IF(AND(D538="USA",C538&gt;=1980,J538="No"),"Yes","No")</f>
        <v/>
      </c>
      <c r="L538" s="26">
        <f>IF(J538="Yes","",H538-I538)</f>
        <v/>
      </c>
      <c r="M538" s="27">
        <f>IF(OR(J538="Yes",I538=0),"",H538/I538)</f>
        <v/>
      </c>
      <c r="N538" s="21">
        <f>IF(J538="Yes","",IF(H538&gt;=I538,1,0))</f>
        <v/>
      </c>
      <c r="O538" s="21">
        <f>IF(I538&lt;=5000000,"Under $5M",IF(I538&lt;=20000000,"$5M-20M",IF(I538&lt;=50000000,"$20M-50M",IF(I538&lt;=100000000,"$50M-100M","$100M+"))))</f>
        <v/>
      </c>
      <c r="P538" s="21">
        <f>IF(E538&lt;=90,"90 or less",IF(E538&lt;=105,"91-105",IF(E538&lt;=120,"106-120",IF(E538&lt;=140,"121-140","Over 140"))))</f>
        <v/>
      </c>
      <c r="Q538" s="28">
        <f>INT(C538/10)*10</f>
        <v/>
      </c>
    </row>
    <row r="539">
      <c r="A539" s="21" t="n">
        <v>560</v>
      </c>
      <c r="B539" s="21" t="inlineStr">
        <is>
          <t>Flatliners</t>
        </is>
      </c>
      <c r="C539" s="21" t="n">
        <v>1990</v>
      </c>
      <c r="D539" s="21" t="inlineStr">
        <is>
          <t>USA</t>
        </is>
      </c>
      <c r="E539" s="21" t="n">
        <v>115</v>
      </c>
      <c r="F539" s="21" t="inlineStr">
        <is>
          <t>English</t>
        </is>
      </c>
      <c r="G539" s="21" t="inlineStr">
        <is>
          <t>R</t>
        </is>
      </c>
      <c r="H539" s="22" t="n">
        <v>61490000</v>
      </c>
      <c r="I539" s="22" t="n">
        <v>26000000</v>
      </c>
      <c r="J539" s="21">
        <f>IF(OR(H539="",H539=25529689.5),"Yes","No")</f>
        <v/>
      </c>
      <c r="K539" s="21">
        <f>IF(AND(D539="USA",C539&gt;=1980,J539="No"),"Yes","No")</f>
        <v/>
      </c>
      <c r="L539" s="26">
        <f>IF(J539="Yes","",H539-I539)</f>
        <v/>
      </c>
      <c r="M539" s="27">
        <f>IF(OR(J539="Yes",I539=0),"",H539/I539)</f>
        <v/>
      </c>
      <c r="N539" s="21">
        <f>IF(J539="Yes","",IF(H539&gt;=I539,1,0))</f>
        <v/>
      </c>
      <c r="O539" s="21">
        <f>IF(I539&lt;=5000000,"Under $5M",IF(I539&lt;=20000000,"$5M-20M",IF(I539&lt;=50000000,"$20M-50M",IF(I539&lt;=100000000,"$50M-100M","$100M+"))))</f>
        <v/>
      </c>
      <c r="P539" s="21">
        <f>IF(E539&lt;=90,"90 or less",IF(E539&lt;=105,"91-105",IF(E539&lt;=120,"106-120",IF(E539&lt;=140,"121-140","Over 140"))))</f>
        <v/>
      </c>
      <c r="Q539" s="28">
        <f>INT(C539/10)*10</f>
        <v/>
      </c>
    </row>
    <row r="540">
      <c r="A540" s="21" t="n">
        <v>561</v>
      </c>
      <c r="B540" s="21" t="inlineStr">
        <is>
          <t>Ghost</t>
        </is>
      </c>
      <c r="C540" s="21" t="n">
        <v>1990</v>
      </c>
      <c r="D540" s="21" t="inlineStr">
        <is>
          <t>USA</t>
        </is>
      </c>
      <c r="E540" s="21" t="n">
        <v>127</v>
      </c>
      <c r="F540" s="21" t="inlineStr">
        <is>
          <t>English</t>
        </is>
      </c>
      <c r="G540" s="21" t="inlineStr">
        <is>
          <t>PG-13</t>
        </is>
      </c>
      <c r="H540" s="22" t="n">
        <v>217631306</v>
      </c>
      <c r="I540" s="22" t="n">
        <v>22000000</v>
      </c>
      <c r="J540" s="21">
        <f>IF(OR(H540="",H540=25529689.5),"Yes","No")</f>
        <v/>
      </c>
      <c r="K540" s="21">
        <f>IF(AND(D540="USA",C540&gt;=1980,J540="No"),"Yes","No")</f>
        <v/>
      </c>
      <c r="L540" s="26">
        <f>IF(J540="Yes","",H540-I540)</f>
        <v/>
      </c>
      <c r="M540" s="27">
        <f>IF(OR(J540="Yes",I540=0),"",H540/I540)</f>
        <v/>
      </c>
      <c r="N540" s="21">
        <f>IF(J540="Yes","",IF(H540&gt;=I540,1,0))</f>
        <v/>
      </c>
      <c r="O540" s="21">
        <f>IF(I540&lt;=5000000,"Under $5M",IF(I540&lt;=20000000,"$5M-20M",IF(I540&lt;=50000000,"$20M-50M",IF(I540&lt;=100000000,"$50M-100M","$100M+"))))</f>
        <v/>
      </c>
      <c r="P540" s="21">
        <f>IF(E540&lt;=90,"90 or less",IF(E540&lt;=105,"91-105",IF(E540&lt;=120,"106-120",IF(E540&lt;=140,"121-140","Over 140"))))</f>
        <v/>
      </c>
      <c r="Q540" s="28">
        <f>INT(C540/10)*10</f>
        <v/>
      </c>
    </row>
    <row r="541">
      <c r="A541" s="21" t="n">
        <v>562</v>
      </c>
      <c r="B541" s="21" t="inlineStr">
        <is>
          <t>Goodfellas</t>
        </is>
      </c>
      <c r="C541" s="21" t="n">
        <v>1990</v>
      </c>
      <c r="D541" s="21" t="inlineStr">
        <is>
          <t>USA</t>
        </is>
      </c>
      <c r="E541" s="21" t="n">
        <v>146</v>
      </c>
      <c r="F541" s="21" t="inlineStr">
        <is>
          <t>English</t>
        </is>
      </c>
      <c r="G541" s="21" t="inlineStr">
        <is>
          <t>R</t>
        </is>
      </c>
      <c r="H541" s="22" t="n">
        <v>46836394</v>
      </c>
      <c r="I541" s="22" t="n">
        <v>25000000</v>
      </c>
      <c r="J541" s="21">
        <f>IF(OR(H541="",H541=25529689.5),"Yes","No")</f>
        <v/>
      </c>
      <c r="K541" s="21">
        <f>IF(AND(D541="USA",C541&gt;=1980,J541="No"),"Yes","No")</f>
        <v/>
      </c>
      <c r="L541" s="26">
        <f>IF(J541="Yes","",H541-I541)</f>
        <v/>
      </c>
      <c r="M541" s="27">
        <f>IF(OR(J541="Yes",I541=0),"",H541/I541)</f>
        <v/>
      </c>
      <c r="N541" s="21">
        <f>IF(J541="Yes","",IF(H541&gt;=I541,1,0))</f>
        <v/>
      </c>
      <c r="O541" s="21">
        <f>IF(I541&lt;=5000000,"Under $5M",IF(I541&lt;=20000000,"$5M-20M",IF(I541&lt;=50000000,"$20M-50M",IF(I541&lt;=100000000,"$50M-100M","$100M+"))))</f>
        <v/>
      </c>
      <c r="P541" s="21">
        <f>IF(E541&lt;=90,"90 or less",IF(E541&lt;=105,"91-105",IF(E541&lt;=120,"106-120",IF(E541&lt;=140,"121-140","Over 140"))))</f>
        <v/>
      </c>
      <c r="Q541" s="28">
        <f>INT(C541/10)*10</f>
        <v/>
      </c>
    </row>
    <row r="542">
      <c r="A542" s="21" t="n">
        <v>563</v>
      </c>
      <c r="B542" s="21" t="inlineStr">
        <is>
          <t>Gremlins 2: The New Batch</t>
        </is>
      </c>
      <c r="C542" s="21" t="n">
        <v>1990</v>
      </c>
      <c r="D542" s="21" t="inlineStr">
        <is>
          <t>USA</t>
        </is>
      </c>
      <c r="E542" s="21" t="n">
        <v>106</v>
      </c>
      <c r="F542" s="21" t="inlineStr">
        <is>
          <t>English</t>
        </is>
      </c>
      <c r="G542" s="21" t="inlineStr">
        <is>
          <t>PG-13</t>
        </is>
      </c>
      <c r="H542" s="22" t="n">
        <v>41482207</v>
      </c>
      <c r="I542" s="22" t="n">
        <v>50000000</v>
      </c>
      <c r="J542" s="21">
        <f>IF(OR(H542="",H542=25529689.5),"Yes","No")</f>
        <v/>
      </c>
      <c r="K542" s="21">
        <f>IF(AND(D542="USA",C542&gt;=1980,J542="No"),"Yes","No")</f>
        <v/>
      </c>
      <c r="L542" s="26">
        <f>IF(J542="Yes","",H542-I542)</f>
        <v/>
      </c>
      <c r="M542" s="27">
        <f>IF(OR(J542="Yes",I542=0),"",H542/I542)</f>
        <v/>
      </c>
      <c r="N542" s="21">
        <f>IF(J542="Yes","",IF(H542&gt;=I542,1,0))</f>
        <v/>
      </c>
      <c r="O542" s="21">
        <f>IF(I542&lt;=5000000,"Under $5M",IF(I542&lt;=20000000,"$5M-20M",IF(I542&lt;=50000000,"$20M-50M",IF(I542&lt;=100000000,"$50M-100M","$100M+"))))</f>
        <v/>
      </c>
      <c r="P542" s="21">
        <f>IF(E542&lt;=90,"90 or less",IF(E542&lt;=105,"91-105",IF(E542&lt;=120,"106-120",IF(E542&lt;=140,"121-140","Over 140"))))</f>
        <v/>
      </c>
      <c r="Q542" s="28">
        <f>INT(C542/10)*10</f>
        <v/>
      </c>
    </row>
    <row r="543">
      <c r="A543" s="21" t="n">
        <v>564</v>
      </c>
      <c r="B543" s="21" t="inlineStr">
        <is>
          <t>Home Alone</t>
        </is>
      </c>
      <c r="C543" s="21" t="n">
        <v>1990</v>
      </c>
      <c r="D543" s="21" t="inlineStr">
        <is>
          <t>USA</t>
        </is>
      </c>
      <c r="E543" s="21" t="n">
        <v>103</v>
      </c>
      <c r="F543" s="21" t="inlineStr">
        <is>
          <t>English</t>
        </is>
      </c>
      <c r="G543" s="21" t="inlineStr">
        <is>
          <t>PG</t>
        </is>
      </c>
      <c r="H543" s="22" t="n">
        <v>285761243</v>
      </c>
      <c r="I543" s="22" t="n">
        <v>18000000</v>
      </c>
      <c r="J543" s="21">
        <f>IF(OR(H543="",H543=25529689.5),"Yes","No")</f>
        <v/>
      </c>
      <c r="K543" s="21">
        <f>IF(AND(D543="USA",C543&gt;=1980,J543="No"),"Yes","No")</f>
        <v/>
      </c>
      <c r="L543" s="26">
        <f>IF(J543="Yes","",H543-I543)</f>
        <v/>
      </c>
      <c r="M543" s="27">
        <f>IF(OR(J543="Yes",I543=0),"",H543/I543)</f>
        <v/>
      </c>
      <c r="N543" s="21">
        <f>IF(J543="Yes","",IF(H543&gt;=I543,1,0))</f>
        <v/>
      </c>
      <c r="O543" s="21">
        <f>IF(I543&lt;=5000000,"Under $5M",IF(I543&lt;=20000000,"$5M-20M",IF(I543&lt;=50000000,"$20M-50M",IF(I543&lt;=100000000,"$50M-100M","$100M+"))))</f>
        <v/>
      </c>
      <c r="P543" s="21">
        <f>IF(E543&lt;=90,"90 or less",IF(E543&lt;=105,"91-105",IF(E543&lt;=120,"106-120",IF(E543&lt;=140,"121-140","Over 140"))))</f>
        <v/>
      </c>
      <c r="Q543" s="28">
        <f>INT(C543/10)*10</f>
        <v/>
      </c>
    </row>
    <row r="544">
      <c r="A544" s="21" t="n">
        <v>565</v>
      </c>
      <c r="B544" s="21" t="inlineStr">
        <is>
          <t>Kindergarten Cop</t>
        </is>
      </c>
      <c r="C544" s="21" t="n">
        <v>1990</v>
      </c>
      <c r="D544" s="21" t="inlineStr">
        <is>
          <t>USA</t>
        </is>
      </c>
      <c r="E544" s="21" t="n">
        <v>111</v>
      </c>
      <c r="F544" s="21" t="inlineStr">
        <is>
          <t>English</t>
        </is>
      </c>
      <c r="G544" s="21" t="inlineStr">
        <is>
          <t>PG-13</t>
        </is>
      </c>
      <c r="H544" s="22" t="n">
        <v>91457688</v>
      </c>
      <c r="I544" s="22" t="n">
        <v>26000000</v>
      </c>
      <c r="J544" s="21">
        <f>IF(OR(H544="",H544=25529689.5),"Yes","No")</f>
        <v/>
      </c>
      <c r="K544" s="21">
        <f>IF(AND(D544="USA",C544&gt;=1980,J544="No"),"Yes","No")</f>
        <v/>
      </c>
      <c r="L544" s="26">
        <f>IF(J544="Yes","",H544-I544)</f>
        <v/>
      </c>
      <c r="M544" s="27">
        <f>IF(OR(J544="Yes",I544=0),"",H544/I544)</f>
        <v/>
      </c>
      <c r="N544" s="21">
        <f>IF(J544="Yes","",IF(H544&gt;=I544,1,0))</f>
        <v/>
      </c>
      <c r="O544" s="21">
        <f>IF(I544&lt;=5000000,"Under $5M",IF(I544&lt;=20000000,"$5M-20M",IF(I544&lt;=50000000,"$20M-50M",IF(I544&lt;=100000000,"$50M-100M","$100M+"))))</f>
        <v/>
      </c>
      <c r="P544" s="21">
        <f>IF(E544&lt;=90,"90 or less",IF(E544&lt;=105,"91-105",IF(E544&lt;=120,"106-120",IF(E544&lt;=140,"121-140","Over 140"))))</f>
        <v/>
      </c>
      <c r="Q544" s="28">
        <f>INT(C544/10)*10</f>
        <v/>
      </c>
    </row>
    <row r="545">
      <c r="A545" s="21" t="n">
        <v>566</v>
      </c>
      <c r="B545" s="21" t="inlineStr">
        <is>
          <t>Marilyn Hotchkiss' Ballroom Dancing and Charm School</t>
        </is>
      </c>
      <c r="C545" s="21" t="n">
        <v>1990</v>
      </c>
      <c r="D545" s="21" t="inlineStr">
        <is>
          <t>USA</t>
        </is>
      </c>
      <c r="E545" s="21" t="n">
        <v>34</v>
      </c>
      <c r="F545" s="21" t="inlineStr">
        <is>
          <t>English</t>
        </is>
      </c>
      <c r="G545" s="21" t="n"/>
      <c r="H545" s="22" t="n">
        <v>333658</v>
      </c>
      <c r="I545" s="22" t="n">
        <v>34000</v>
      </c>
      <c r="J545" s="21">
        <f>IF(OR(H545="",H545=25529689.5),"Yes","No")</f>
        <v/>
      </c>
      <c r="K545" s="21">
        <f>IF(AND(D545="USA",C545&gt;=1980,J545="No"),"Yes","No")</f>
        <v/>
      </c>
      <c r="L545" s="26">
        <f>IF(J545="Yes","",H545-I545)</f>
        <v/>
      </c>
      <c r="M545" s="27">
        <f>IF(OR(J545="Yes",I545=0),"",H545/I545)</f>
        <v/>
      </c>
      <c r="N545" s="21">
        <f>IF(J545="Yes","",IF(H545&gt;=I545,1,0))</f>
        <v/>
      </c>
      <c r="O545" s="21">
        <f>IF(I545&lt;=5000000,"Under $5M",IF(I545&lt;=20000000,"$5M-20M",IF(I545&lt;=50000000,"$20M-50M",IF(I545&lt;=100000000,"$50M-100M","$100M+"))))</f>
        <v/>
      </c>
      <c r="P545" s="21">
        <f>IF(E545&lt;=90,"90 or less",IF(E545&lt;=105,"91-105",IF(E545&lt;=120,"106-120",IF(E545&lt;=140,"121-140","Over 140"))))</f>
        <v/>
      </c>
      <c r="Q545" s="28">
        <f>INT(C545/10)*10</f>
        <v/>
      </c>
    </row>
    <row r="546">
      <c r="A546" s="21" t="n">
        <v>567</v>
      </c>
      <c r="B546" s="21" t="inlineStr">
        <is>
          <t>Metropolitan</t>
        </is>
      </c>
      <c r="C546" s="21" t="n">
        <v>1990</v>
      </c>
      <c r="D546" s="21" t="inlineStr">
        <is>
          <t>USA</t>
        </is>
      </c>
      <c r="E546" s="21" t="n">
        <v>98</v>
      </c>
      <c r="F546" s="21" t="inlineStr">
        <is>
          <t>English</t>
        </is>
      </c>
      <c r="G546" s="21" t="inlineStr">
        <is>
          <t>PG-13</t>
        </is>
      </c>
      <c r="H546" s="22" t="n">
        <v>2938208</v>
      </c>
      <c r="I546" s="22" t="n">
        <v>225000</v>
      </c>
      <c r="J546" s="21">
        <f>IF(OR(H546="",H546=25529689.5),"Yes","No")</f>
        <v/>
      </c>
      <c r="K546" s="21">
        <f>IF(AND(D546="USA",C546&gt;=1980,J546="No"),"Yes","No")</f>
        <v/>
      </c>
      <c r="L546" s="26">
        <f>IF(J546="Yes","",H546-I546)</f>
        <v/>
      </c>
      <c r="M546" s="27">
        <f>IF(OR(J546="Yes",I546=0),"",H546/I546)</f>
        <v/>
      </c>
      <c r="N546" s="21">
        <f>IF(J546="Yes","",IF(H546&gt;=I546,1,0))</f>
        <v/>
      </c>
      <c r="O546" s="21">
        <f>IF(I546&lt;=5000000,"Under $5M",IF(I546&lt;=20000000,"$5M-20M",IF(I546&lt;=50000000,"$20M-50M",IF(I546&lt;=100000000,"$50M-100M","$100M+"))))</f>
        <v/>
      </c>
      <c r="P546" s="21">
        <f>IF(E546&lt;=90,"90 or less",IF(E546&lt;=105,"91-105",IF(E546&lt;=120,"106-120",IF(E546&lt;=140,"121-140","Over 140"))))</f>
        <v/>
      </c>
      <c r="Q546" s="28">
        <f>INT(C546/10)*10</f>
        <v/>
      </c>
    </row>
    <row r="547">
      <c r="A547" s="21" t="n">
        <v>568</v>
      </c>
      <c r="B547" s="21" t="inlineStr">
        <is>
          <t>Midnight Cabaret</t>
        </is>
      </c>
      <c r="C547" s="21" t="n">
        <v>1990</v>
      </c>
      <c r="D547" s="21" t="inlineStr">
        <is>
          <t>USA</t>
        </is>
      </c>
      <c r="E547" s="21" t="n">
        <v>94</v>
      </c>
      <c r="F547" s="21" t="inlineStr">
        <is>
          <t>English</t>
        </is>
      </c>
      <c r="G547" s="21" t="inlineStr">
        <is>
          <t>R</t>
        </is>
      </c>
      <c r="H547" s="22" t="n">
        <v>25529689.5</v>
      </c>
      <c r="I547" s="22" t="n">
        <v>20000000</v>
      </c>
      <c r="J547" s="21">
        <f>IF(OR(H547="",H547=25529689.5),"Yes","No")</f>
        <v/>
      </c>
      <c r="K547" s="21">
        <f>IF(AND(D547="USA",C547&gt;=1980,J547="No"),"Yes","No")</f>
        <v/>
      </c>
      <c r="L547" s="26">
        <f>IF(J547="Yes","",H547-I547)</f>
        <v/>
      </c>
      <c r="M547" s="27">
        <f>IF(OR(J547="Yes",I547=0),"",H547/I547)</f>
        <v/>
      </c>
      <c r="N547" s="21">
        <f>IF(J547="Yes","",IF(H547&gt;=I547,1,0))</f>
        <v/>
      </c>
      <c r="O547" s="21">
        <f>IF(I547&lt;=5000000,"Under $5M",IF(I547&lt;=20000000,"$5M-20M",IF(I547&lt;=50000000,"$20M-50M",IF(I547&lt;=100000000,"$50M-100M","$100M+"))))</f>
        <v/>
      </c>
      <c r="P547" s="21">
        <f>IF(E547&lt;=90,"90 or less",IF(E547&lt;=105,"91-105",IF(E547&lt;=120,"106-120",IF(E547&lt;=140,"121-140","Over 140"))))</f>
        <v/>
      </c>
      <c r="Q547" s="28">
        <f>INT(C547/10)*10</f>
        <v/>
      </c>
    </row>
    <row r="548">
      <c r="A548" s="21" t="n">
        <v>569</v>
      </c>
      <c r="B548" s="21" t="inlineStr">
        <is>
          <t>Mo' Better Blues</t>
        </is>
      </c>
      <c r="C548" s="21" t="n">
        <v>1990</v>
      </c>
      <c r="D548" s="21" t="inlineStr">
        <is>
          <t>USA</t>
        </is>
      </c>
      <c r="E548" s="21" t="n">
        <v>129</v>
      </c>
      <c r="F548" s="21" t="inlineStr">
        <is>
          <t>English</t>
        </is>
      </c>
      <c r="G548" s="21" t="inlineStr">
        <is>
          <t>R</t>
        </is>
      </c>
      <c r="H548" s="22" t="n">
        <v>16153600</v>
      </c>
      <c r="I548" s="22" t="n">
        <v>10000000</v>
      </c>
      <c r="J548" s="21">
        <f>IF(OR(H548="",H548=25529689.5),"Yes","No")</f>
        <v/>
      </c>
      <c r="K548" s="21">
        <f>IF(AND(D548="USA",C548&gt;=1980,J548="No"),"Yes","No")</f>
        <v/>
      </c>
      <c r="L548" s="26">
        <f>IF(J548="Yes","",H548-I548)</f>
        <v/>
      </c>
      <c r="M548" s="27">
        <f>IF(OR(J548="Yes",I548=0),"",H548/I548)</f>
        <v/>
      </c>
      <c r="N548" s="21">
        <f>IF(J548="Yes","",IF(H548&gt;=I548,1,0))</f>
        <v/>
      </c>
      <c r="O548" s="21">
        <f>IF(I548&lt;=5000000,"Under $5M",IF(I548&lt;=20000000,"$5M-20M",IF(I548&lt;=50000000,"$20M-50M",IF(I548&lt;=100000000,"$50M-100M","$100M+"))))</f>
        <v/>
      </c>
      <c r="P548" s="21">
        <f>IF(E548&lt;=90,"90 or less",IF(E548&lt;=105,"91-105",IF(E548&lt;=120,"106-120",IF(E548&lt;=140,"121-140","Over 140"))))</f>
        <v/>
      </c>
      <c r="Q548" s="28">
        <f>INT(C548/10)*10</f>
        <v/>
      </c>
    </row>
    <row r="549">
      <c r="A549" s="21" t="n">
        <v>570</v>
      </c>
      <c r="B549" s="21" t="inlineStr">
        <is>
          <t>Predator 2</t>
        </is>
      </c>
      <c r="C549" s="21" t="n">
        <v>1990</v>
      </c>
      <c r="D549" s="21" t="inlineStr">
        <is>
          <t>USA</t>
        </is>
      </c>
      <c r="E549" s="21" t="n">
        <v>103</v>
      </c>
      <c r="F549" s="21" t="inlineStr">
        <is>
          <t>English</t>
        </is>
      </c>
      <c r="G549" s="21" t="inlineStr">
        <is>
          <t>R</t>
        </is>
      </c>
      <c r="H549" s="22" t="n">
        <v>30669413</v>
      </c>
      <c r="I549" s="22" t="n">
        <v>35000000</v>
      </c>
      <c r="J549" s="21">
        <f>IF(OR(H549="",H549=25529689.5),"Yes","No")</f>
        <v/>
      </c>
      <c r="K549" s="21">
        <f>IF(AND(D549="USA",C549&gt;=1980,J549="No"),"Yes","No")</f>
        <v/>
      </c>
      <c r="L549" s="26">
        <f>IF(J549="Yes","",H549-I549)</f>
        <v/>
      </c>
      <c r="M549" s="27">
        <f>IF(OR(J549="Yes",I549=0),"",H549/I549)</f>
        <v/>
      </c>
      <c r="N549" s="21">
        <f>IF(J549="Yes","",IF(H549&gt;=I549,1,0))</f>
        <v/>
      </c>
      <c r="O549" s="21">
        <f>IF(I549&lt;=5000000,"Under $5M",IF(I549&lt;=20000000,"$5M-20M",IF(I549&lt;=50000000,"$20M-50M",IF(I549&lt;=100000000,"$50M-100M","$100M+"))))</f>
        <v/>
      </c>
      <c r="P549" s="21">
        <f>IF(E549&lt;=90,"90 or less",IF(E549&lt;=105,"91-105",IF(E549&lt;=120,"106-120",IF(E549&lt;=140,"121-140","Over 140"))))</f>
        <v/>
      </c>
      <c r="Q549" s="28">
        <f>INT(C549/10)*10</f>
        <v/>
      </c>
    </row>
    <row r="550">
      <c r="A550" s="21" t="n">
        <v>571</v>
      </c>
      <c r="B550" s="21" t="inlineStr">
        <is>
          <t>Pretty Woman</t>
        </is>
      </c>
      <c r="C550" s="21" t="n">
        <v>1990</v>
      </c>
      <c r="D550" s="21" t="inlineStr">
        <is>
          <t>USA</t>
        </is>
      </c>
      <c r="E550" s="21" t="n">
        <v>125</v>
      </c>
      <c r="F550" s="21" t="inlineStr">
        <is>
          <t>English</t>
        </is>
      </c>
      <c r="G550" s="21" t="inlineStr">
        <is>
          <t>R</t>
        </is>
      </c>
      <c r="H550" s="22" t="n">
        <v>178406268</v>
      </c>
      <c r="I550" s="22" t="n">
        <v>14000000</v>
      </c>
      <c r="J550" s="21">
        <f>IF(OR(H550="",H550=25529689.5),"Yes","No")</f>
        <v/>
      </c>
      <c r="K550" s="21">
        <f>IF(AND(D550="USA",C550&gt;=1980,J550="No"),"Yes","No")</f>
        <v/>
      </c>
      <c r="L550" s="26">
        <f>IF(J550="Yes","",H550-I550)</f>
        <v/>
      </c>
      <c r="M550" s="27">
        <f>IF(OR(J550="Yes",I550=0),"",H550/I550)</f>
        <v/>
      </c>
      <c r="N550" s="21">
        <f>IF(J550="Yes","",IF(H550&gt;=I550,1,0))</f>
        <v/>
      </c>
      <c r="O550" s="21">
        <f>IF(I550&lt;=5000000,"Under $5M",IF(I550&lt;=20000000,"$5M-20M",IF(I550&lt;=50000000,"$20M-50M",IF(I550&lt;=100000000,"$50M-100M","$100M+"))))</f>
        <v/>
      </c>
      <c r="P550" s="21">
        <f>IF(E550&lt;=90,"90 or less",IF(E550&lt;=105,"91-105",IF(E550&lt;=120,"106-120",IF(E550&lt;=140,"121-140","Over 140"))))</f>
        <v/>
      </c>
      <c r="Q550" s="28">
        <f>INT(C550/10)*10</f>
        <v/>
      </c>
    </row>
    <row r="551">
      <c r="A551" s="21" t="n">
        <v>572</v>
      </c>
      <c r="B551" s="21" t="inlineStr">
        <is>
          <t>Quigley Down Under</t>
        </is>
      </c>
      <c r="C551" s="21" t="n">
        <v>1990</v>
      </c>
      <c r="D551" s="21" t="inlineStr">
        <is>
          <t>Australia</t>
        </is>
      </c>
      <c r="E551" s="21" t="n">
        <v>119</v>
      </c>
      <c r="F551" s="21" t="inlineStr">
        <is>
          <t>English</t>
        </is>
      </c>
      <c r="G551" s="21" t="inlineStr">
        <is>
          <t>PG-13</t>
        </is>
      </c>
      <c r="H551" s="22" t="n">
        <v>21413105</v>
      </c>
      <c r="I551" s="22" t="n">
        <v>20000000</v>
      </c>
      <c r="J551" s="21">
        <f>IF(OR(H551="",H551=25529689.5),"Yes","No")</f>
        <v/>
      </c>
      <c r="K551" s="21">
        <f>IF(AND(D551="USA",C551&gt;=1980,J551="No"),"Yes","No")</f>
        <v/>
      </c>
      <c r="L551" s="26">
        <f>IF(J551="Yes","",H551-I551)</f>
        <v/>
      </c>
      <c r="M551" s="27">
        <f>IF(OR(J551="Yes",I551=0),"",H551/I551)</f>
        <v/>
      </c>
      <c r="N551" s="21">
        <f>IF(J551="Yes","",IF(H551&gt;=I551,1,0))</f>
        <v/>
      </c>
      <c r="O551" s="21">
        <f>IF(I551&lt;=5000000,"Under $5M",IF(I551&lt;=20000000,"$5M-20M",IF(I551&lt;=50000000,"$20M-50M",IF(I551&lt;=100000000,"$50M-100M","$100M+"))))</f>
        <v/>
      </c>
      <c r="P551" s="21">
        <f>IF(E551&lt;=90,"90 or less",IF(E551&lt;=105,"91-105",IF(E551&lt;=120,"106-120",IF(E551&lt;=140,"121-140","Over 140"))))</f>
        <v/>
      </c>
      <c r="Q551" s="28">
        <f>INT(C551/10)*10</f>
        <v/>
      </c>
    </row>
    <row r="552">
      <c r="A552" s="21" t="n">
        <v>573</v>
      </c>
      <c r="B552" s="21" t="inlineStr">
        <is>
          <t>Shipwrecked</t>
        </is>
      </c>
      <c r="C552" s="21" t="n">
        <v>1990</v>
      </c>
      <c r="D552" s="21" t="inlineStr">
        <is>
          <t>Norway</t>
        </is>
      </c>
      <c r="E552" s="21" t="n">
        <v>92</v>
      </c>
      <c r="F552" s="21" t="inlineStr">
        <is>
          <t>English</t>
        </is>
      </c>
      <c r="G552" s="21" t="inlineStr">
        <is>
          <t>PG</t>
        </is>
      </c>
      <c r="H552" s="22" t="n">
        <v>25529689.5</v>
      </c>
      <c r="I552" s="22" t="n">
        <v>60000000</v>
      </c>
      <c r="J552" s="21">
        <f>IF(OR(H552="",H552=25529689.5),"Yes","No")</f>
        <v/>
      </c>
      <c r="K552" s="21">
        <f>IF(AND(D552="USA",C552&gt;=1980,J552="No"),"Yes","No")</f>
        <v/>
      </c>
      <c r="L552" s="26">
        <f>IF(J552="Yes","",H552-I552)</f>
        <v/>
      </c>
      <c r="M552" s="27">
        <f>IF(OR(J552="Yes",I552=0),"",H552/I552)</f>
        <v/>
      </c>
      <c r="N552" s="21">
        <f>IF(J552="Yes","",IF(H552&gt;=I552,1,0))</f>
        <v/>
      </c>
      <c r="O552" s="21">
        <f>IF(I552&lt;=5000000,"Under $5M",IF(I552&lt;=20000000,"$5M-20M",IF(I552&lt;=50000000,"$20M-50M",IF(I552&lt;=100000000,"$50M-100M","$100M+"))))</f>
        <v/>
      </c>
      <c r="P552" s="21">
        <f>IF(E552&lt;=90,"90 or less",IF(E552&lt;=105,"91-105",IF(E552&lt;=120,"106-120",IF(E552&lt;=140,"121-140","Over 140"))))</f>
        <v/>
      </c>
      <c r="Q552" s="28">
        <f>INT(C552/10)*10</f>
        <v/>
      </c>
    </row>
    <row r="553">
      <c r="A553" s="21" t="n">
        <v>574</v>
      </c>
      <c r="B553" s="21" t="inlineStr">
        <is>
          <t>Spaced Invaders</t>
        </is>
      </c>
      <c r="C553" s="21" t="n">
        <v>1990</v>
      </c>
      <c r="D553" s="21" t="inlineStr">
        <is>
          <t>USA</t>
        </is>
      </c>
      <c r="E553" s="21" t="n">
        <v>100</v>
      </c>
      <c r="F553" s="21" t="inlineStr">
        <is>
          <t>English</t>
        </is>
      </c>
      <c r="G553" s="21" t="inlineStr">
        <is>
          <t>PG</t>
        </is>
      </c>
      <c r="H553" s="22" t="n">
        <v>15369573</v>
      </c>
      <c r="I553" s="22" t="n">
        <v>3000000</v>
      </c>
      <c r="J553" s="21">
        <f>IF(OR(H553="",H553=25529689.5),"Yes","No")</f>
        <v/>
      </c>
      <c r="K553" s="21">
        <f>IF(AND(D553="USA",C553&gt;=1980,J553="No"),"Yes","No")</f>
        <v/>
      </c>
      <c r="L553" s="26">
        <f>IF(J553="Yes","",H553-I553)</f>
        <v/>
      </c>
      <c r="M553" s="27">
        <f>IF(OR(J553="Yes",I553=0),"",H553/I553)</f>
        <v/>
      </c>
      <c r="N553" s="21">
        <f>IF(J553="Yes","",IF(H553&gt;=I553,1,0))</f>
        <v/>
      </c>
      <c r="O553" s="21">
        <f>IF(I553&lt;=5000000,"Under $5M",IF(I553&lt;=20000000,"$5M-20M",IF(I553&lt;=50000000,"$20M-50M",IF(I553&lt;=100000000,"$50M-100M","$100M+"))))</f>
        <v/>
      </c>
      <c r="P553" s="21">
        <f>IF(E553&lt;=90,"90 or less",IF(E553&lt;=105,"91-105",IF(E553&lt;=120,"106-120",IF(E553&lt;=140,"121-140","Over 140"))))</f>
        <v/>
      </c>
      <c r="Q553" s="28">
        <f>INT(C553/10)*10</f>
        <v/>
      </c>
    </row>
    <row r="554">
      <c r="A554" s="21" t="n">
        <v>575</v>
      </c>
      <c r="B554" s="21" t="inlineStr">
        <is>
          <t>The Adventures of Ford Fairlane</t>
        </is>
      </c>
      <c r="C554" s="21" t="n">
        <v>1990</v>
      </c>
      <c r="D554" s="21" t="inlineStr">
        <is>
          <t>USA</t>
        </is>
      </c>
      <c r="E554" s="21" t="n">
        <v>104</v>
      </c>
      <c r="F554" s="21" t="inlineStr">
        <is>
          <t>English</t>
        </is>
      </c>
      <c r="G554" s="21" t="inlineStr">
        <is>
          <t>R</t>
        </is>
      </c>
      <c r="H554" s="22" t="n">
        <v>21413502</v>
      </c>
      <c r="I554" s="22" t="n">
        <v>40000000</v>
      </c>
      <c r="J554" s="21">
        <f>IF(OR(H554="",H554=25529689.5),"Yes","No")</f>
        <v/>
      </c>
      <c r="K554" s="21">
        <f>IF(AND(D554="USA",C554&gt;=1980,J554="No"),"Yes","No")</f>
        <v/>
      </c>
      <c r="L554" s="26">
        <f>IF(J554="Yes","",H554-I554)</f>
        <v/>
      </c>
      <c r="M554" s="27">
        <f>IF(OR(J554="Yes",I554=0),"",H554/I554)</f>
        <v/>
      </c>
      <c r="N554" s="21">
        <f>IF(J554="Yes","",IF(H554&gt;=I554,1,0))</f>
        <v/>
      </c>
      <c r="O554" s="21">
        <f>IF(I554&lt;=5000000,"Under $5M",IF(I554&lt;=20000000,"$5M-20M",IF(I554&lt;=50000000,"$20M-50M",IF(I554&lt;=100000000,"$50M-100M","$100M+"))))</f>
        <v/>
      </c>
      <c r="P554" s="21">
        <f>IF(E554&lt;=90,"90 or less",IF(E554&lt;=105,"91-105",IF(E554&lt;=120,"106-120",IF(E554&lt;=140,"121-140","Over 140"))))</f>
        <v/>
      </c>
      <c r="Q554" s="28">
        <f>INT(C554/10)*10</f>
        <v/>
      </c>
    </row>
    <row r="555">
      <c r="A555" s="21" t="n">
        <v>576</v>
      </c>
      <c r="B555" s="21" t="inlineStr">
        <is>
          <t>The Godfather: Part III</t>
        </is>
      </c>
      <c r="C555" s="21" t="n">
        <v>1990</v>
      </c>
      <c r="D555" s="21" t="inlineStr">
        <is>
          <t>USA</t>
        </is>
      </c>
      <c r="E555" s="21" t="n">
        <v>170</v>
      </c>
      <c r="F555" s="21" t="inlineStr">
        <is>
          <t>English</t>
        </is>
      </c>
      <c r="G555" s="21" t="inlineStr">
        <is>
          <t>R</t>
        </is>
      </c>
      <c r="H555" s="22" t="n">
        <v>66676062</v>
      </c>
      <c r="I555" s="22" t="n">
        <v>54000000</v>
      </c>
      <c r="J555" s="21">
        <f>IF(OR(H555="",H555=25529689.5),"Yes","No")</f>
        <v/>
      </c>
      <c r="K555" s="21">
        <f>IF(AND(D555="USA",C555&gt;=1980,J555="No"),"Yes","No")</f>
        <v/>
      </c>
      <c r="L555" s="26">
        <f>IF(J555="Yes","",H555-I555)</f>
        <v/>
      </c>
      <c r="M555" s="27">
        <f>IF(OR(J555="Yes",I555=0),"",H555/I555)</f>
        <v/>
      </c>
      <c r="N555" s="21">
        <f>IF(J555="Yes","",IF(H555&gt;=I555,1,0))</f>
        <v/>
      </c>
      <c r="O555" s="21">
        <f>IF(I555&lt;=5000000,"Under $5M",IF(I555&lt;=20000000,"$5M-20M",IF(I555&lt;=50000000,"$20M-50M",IF(I555&lt;=100000000,"$50M-100M","$100M+"))))</f>
        <v/>
      </c>
      <c r="P555" s="21">
        <f>IF(E555&lt;=90,"90 or less",IF(E555&lt;=105,"91-105",IF(E555&lt;=120,"106-120",IF(E555&lt;=140,"121-140","Over 140"))))</f>
        <v/>
      </c>
      <c r="Q555" s="28">
        <f>INT(C555/10)*10</f>
        <v/>
      </c>
    </row>
    <row r="556">
      <c r="A556" s="21" t="n">
        <v>577</v>
      </c>
      <c r="B556" s="21" t="inlineStr">
        <is>
          <t>The Hunt for Red October</t>
        </is>
      </c>
      <c r="C556" s="21" t="n">
        <v>1990</v>
      </c>
      <c r="D556" s="21" t="inlineStr">
        <is>
          <t>USA</t>
        </is>
      </c>
      <c r="E556" s="21" t="n">
        <v>135</v>
      </c>
      <c r="F556" s="21" t="inlineStr">
        <is>
          <t>English</t>
        </is>
      </c>
      <c r="G556" s="21" t="inlineStr">
        <is>
          <t>PG</t>
        </is>
      </c>
      <c r="H556" s="22" t="n">
        <v>122012643</v>
      </c>
      <c r="I556" s="22" t="n">
        <v>30000000</v>
      </c>
      <c r="J556" s="21">
        <f>IF(OR(H556="",H556=25529689.5),"Yes","No")</f>
        <v/>
      </c>
      <c r="K556" s="21">
        <f>IF(AND(D556="USA",C556&gt;=1980,J556="No"),"Yes","No")</f>
        <v/>
      </c>
      <c r="L556" s="26">
        <f>IF(J556="Yes","",H556-I556)</f>
        <v/>
      </c>
      <c r="M556" s="27">
        <f>IF(OR(J556="Yes",I556=0),"",H556/I556)</f>
        <v/>
      </c>
      <c r="N556" s="21">
        <f>IF(J556="Yes","",IF(H556&gt;=I556,1,0))</f>
        <v/>
      </c>
      <c r="O556" s="21">
        <f>IF(I556&lt;=5000000,"Under $5M",IF(I556&lt;=20000000,"$5M-20M",IF(I556&lt;=50000000,"$20M-50M",IF(I556&lt;=100000000,"$50M-100M","$100M+"))))</f>
        <v/>
      </c>
      <c r="P556" s="21">
        <f>IF(E556&lt;=90,"90 or less",IF(E556&lt;=105,"91-105",IF(E556&lt;=120,"106-120",IF(E556&lt;=140,"121-140","Over 140"))))</f>
        <v/>
      </c>
      <c r="Q556" s="28">
        <f>INT(C556/10)*10</f>
        <v/>
      </c>
    </row>
    <row r="557">
      <c r="A557" s="21" t="n">
        <v>578</v>
      </c>
      <c r="B557" s="21" t="inlineStr">
        <is>
          <t>Total Recall</t>
        </is>
      </c>
      <c r="C557" s="21" t="n">
        <v>1990</v>
      </c>
      <c r="D557" s="21" t="inlineStr">
        <is>
          <t>USA</t>
        </is>
      </c>
      <c r="E557" s="21" t="n">
        <v>113</v>
      </c>
      <c r="F557" s="21" t="inlineStr">
        <is>
          <t>English</t>
        </is>
      </c>
      <c r="G557" s="21" t="inlineStr">
        <is>
          <t>R</t>
        </is>
      </c>
      <c r="H557" s="22" t="n">
        <v>119412921</v>
      </c>
      <c r="I557" s="22" t="n">
        <v>65000000</v>
      </c>
      <c r="J557" s="21">
        <f>IF(OR(H557="",H557=25529689.5),"Yes","No")</f>
        <v/>
      </c>
      <c r="K557" s="21">
        <f>IF(AND(D557="USA",C557&gt;=1980,J557="No"),"Yes","No")</f>
        <v/>
      </c>
      <c r="L557" s="26">
        <f>IF(J557="Yes","",H557-I557)</f>
        <v/>
      </c>
      <c r="M557" s="27">
        <f>IF(OR(J557="Yes",I557=0),"",H557/I557)</f>
        <v/>
      </c>
      <c r="N557" s="21">
        <f>IF(J557="Yes","",IF(H557&gt;=I557,1,0))</f>
        <v/>
      </c>
      <c r="O557" s="21">
        <f>IF(I557&lt;=5000000,"Under $5M",IF(I557&lt;=20000000,"$5M-20M",IF(I557&lt;=50000000,"$20M-50M",IF(I557&lt;=100000000,"$50M-100M","$100M+"))))</f>
        <v/>
      </c>
      <c r="P557" s="21">
        <f>IF(E557&lt;=90,"90 or less",IF(E557&lt;=105,"91-105",IF(E557&lt;=120,"106-120",IF(E557&lt;=140,"121-140","Over 140"))))</f>
        <v/>
      </c>
      <c r="Q557" s="28">
        <f>INT(C557/10)*10</f>
        <v/>
      </c>
    </row>
    <row r="558">
      <c r="A558" s="21" t="n">
        <v>580</v>
      </c>
      <c r="B558" s="21" t="inlineStr">
        <is>
          <t>Tremors</t>
        </is>
      </c>
      <c r="C558" s="21" t="n">
        <v>1990</v>
      </c>
      <c r="D558" s="21" t="inlineStr">
        <is>
          <t>USA</t>
        </is>
      </c>
      <c r="E558" s="21" t="n">
        <v>96</v>
      </c>
      <c r="F558" s="21" t="inlineStr">
        <is>
          <t>English</t>
        </is>
      </c>
      <c r="G558" s="21" t="inlineStr">
        <is>
          <t>PG-13</t>
        </is>
      </c>
      <c r="H558" s="22" t="n">
        <v>16667084</v>
      </c>
      <c r="I558" s="22" t="n">
        <v>11000000</v>
      </c>
      <c r="J558" s="21">
        <f>IF(OR(H558="",H558=25529689.5),"Yes","No")</f>
        <v/>
      </c>
      <c r="K558" s="21">
        <f>IF(AND(D558="USA",C558&gt;=1980,J558="No"),"Yes","No")</f>
        <v/>
      </c>
      <c r="L558" s="26">
        <f>IF(J558="Yes","",H558-I558)</f>
        <v/>
      </c>
      <c r="M558" s="27">
        <f>IF(OR(J558="Yes",I558=0),"",H558/I558)</f>
        <v/>
      </c>
      <c r="N558" s="21">
        <f>IF(J558="Yes","",IF(H558&gt;=I558,1,0))</f>
        <v/>
      </c>
      <c r="O558" s="21">
        <f>IF(I558&lt;=5000000,"Under $5M",IF(I558&lt;=20000000,"$5M-20M",IF(I558&lt;=50000000,"$20M-50M",IF(I558&lt;=100000000,"$50M-100M","$100M+"))))</f>
        <v/>
      </c>
      <c r="P558" s="21">
        <f>IF(E558&lt;=90,"90 or less",IF(E558&lt;=105,"91-105",IF(E558&lt;=120,"106-120",IF(E558&lt;=140,"121-140","Over 140"))))</f>
        <v/>
      </c>
      <c r="Q558" s="28">
        <f>INT(C558/10)*10</f>
        <v/>
      </c>
    </row>
    <row r="559">
      <c r="A559" s="21" t="n">
        <v>581</v>
      </c>
      <c r="B559" s="21" t="inlineStr">
        <is>
          <t>Two Evil Eyes</t>
        </is>
      </c>
      <c r="C559" s="21" t="n">
        <v>1990</v>
      </c>
      <c r="D559" s="21" t="inlineStr">
        <is>
          <t>Italy</t>
        </is>
      </c>
      <c r="E559" s="21" t="n">
        <v>120</v>
      </c>
      <c r="F559" s="21" t="inlineStr">
        <is>
          <t>English</t>
        </is>
      </c>
      <c r="G559" s="21" t="inlineStr">
        <is>
          <t>R</t>
        </is>
      </c>
      <c r="H559" s="22" t="n">
        <v>349618</v>
      </c>
      <c r="I559" s="22" t="n">
        <v>9000000</v>
      </c>
      <c r="J559" s="21">
        <f>IF(OR(H559="",H559=25529689.5),"Yes","No")</f>
        <v/>
      </c>
      <c r="K559" s="21">
        <f>IF(AND(D559="USA",C559&gt;=1980,J559="No"),"Yes","No")</f>
        <v/>
      </c>
      <c r="L559" s="26">
        <f>IF(J559="Yes","",H559-I559)</f>
        <v/>
      </c>
      <c r="M559" s="27">
        <f>IF(OR(J559="Yes",I559=0),"",H559/I559)</f>
        <v/>
      </c>
      <c r="N559" s="21">
        <f>IF(J559="Yes","",IF(H559&gt;=I559,1,0))</f>
        <v/>
      </c>
      <c r="O559" s="21">
        <f>IF(I559&lt;=5000000,"Under $5M",IF(I559&lt;=20000000,"$5M-20M",IF(I559&lt;=50000000,"$20M-50M",IF(I559&lt;=100000000,"$50M-100M","$100M+"))))</f>
        <v/>
      </c>
      <c r="P559" s="21">
        <f>IF(E559&lt;=90,"90 or less",IF(E559&lt;=105,"91-105",IF(E559&lt;=120,"106-120",IF(E559&lt;=140,"121-140","Over 140"))))</f>
        <v/>
      </c>
      <c r="Q559" s="28">
        <f>INT(C559/10)*10</f>
        <v/>
      </c>
    </row>
    <row r="560">
      <c r="A560" s="21" t="n">
        <v>582</v>
      </c>
      <c r="B560" s="21" t="inlineStr">
        <is>
          <t>Beastmaster 2: Through the Portal of Time</t>
        </is>
      </c>
      <c r="C560" s="21" t="n">
        <v>1991</v>
      </c>
      <c r="D560" s="21" t="inlineStr">
        <is>
          <t>USA</t>
        </is>
      </c>
      <c r="E560" s="21" t="n">
        <v>107</v>
      </c>
      <c r="F560" s="21" t="inlineStr">
        <is>
          <t>English</t>
        </is>
      </c>
      <c r="G560" s="21" t="inlineStr">
        <is>
          <t>PG-13</t>
        </is>
      </c>
      <c r="H560" s="22" t="n">
        <v>869325</v>
      </c>
      <c r="I560" s="22" t="n">
        <v>6000000</v>
      </c>
      <c r="J560" s="21">
        <f>IF(OR(H560="",H560=25529689.5),"Yes","No")</f>
        <v/>
      </c>
      <c r="K560" s="21">
        <f>IF(AND(D560="USA",C560&gt;=1980,J560="No"),"Yes","No")</f>
        <v/>
      </c>
      <c r="L560" s="26">
        <f>IF(J560="Yes","",H560-I560)</f>
        <v/>
      </c>
      <c r="M560" s="27">
        <f>IF(OR(J560="Yes",I560=0),"",H560/I560)</f>
        <v/>
      </c>
      <c r="N560" s="21">
        <f>IF(J560="Yes","",IF(H560&gt;=I560,1,0))</f>
        <v/>
      </c>
      <c r="O560" s="21">
        <f>IF(I560&lt;=5000000,"Under $5M",IF(I560&lt;=20000000,"$5M-20M",IF(I560&lt;=50000000,"$20M-50M",IF(I560&lt;=100000000,"$50M-100M","$100M+"))))</f>
        <v/>
      </c>
      <c r="P560" s="21">
        <f>IF(E560&lt;=90,"90 or less",IF(E560&lt;=105,"91-105",IF(E560&lt;=120,"106-120",IF(E560&lt;=140,"121-140","Over 140"))))</f>
        <v/>
      </c>
      <c r="Q560" s="28">
        <f>INT(C560/10)*10</f>
        <v/>
      </c>
    </row>
    <row r="561">
      <c r="A561" s="21" t="n">
        <v>583</v>
      </c>
      <c r="B561" s="21" t="inlineStr">
        <is>
          <t>Bill &amp; Ted's Bogus Journey</t>
        </is>
      </c>
      <c r="C561" s="21" t="n">
        <v>1991</v>
      </c>
      <c r="D561" s="21" t="inlineStr">
        <is>
          <t>USA</t>
        </is>
      </c>
      <c r="E561" s="21" t="n">
        <v>93</v>
      </c>
      <c r="F561" s="21" t="inlineStr">
        <is>
          <t>English</t>
        </is>
      </c>
      <c r="G561" s="21" t="inlineStr">
        <is>
          <t>PG</t>
        </is>
      </c>
      <c r="H561" s="22" t="n">
        <v>38037513</v>
      </c>
      <c r="I561" s="22" t="n">
        <v>20000000</v>
      </c>
      <c r="J561" s="21">
        <f>IF(OR(H561="",H561=25529689.5),"Yes","No")</f>
        <v/>
      </c>
      <c r="K561" s="21">
        <f>IF(AND(D561="USA",C561&gt;=1980,J561="No"),"Yes","No")</f>
        <v/>
      </c>
      <c r="L561" s="26">
        <f>IF(J561="Yes","",H561-I561)</f>
        <v/>
      </c>
      <c r="M561" s="27">
        <f>IF(OR(J561="Yes",I561=0),"",H561/I561)</f>
        <v/>
      </c>
      <c r="N561" s="21">
        <f>IF(J561="Yes","",IF(H561&gt;=I561,1,0))</f>
        <v/>
      </c>
      <c r="O561" s="21">
        <f>IF(I561&lt;=5000000,"Under $5M",IF(I561&lt;=20000000,"$5M-20M",IF(I561&lt;=50000000,"$20M-50M",IF(I561&lt;=100000000,"$50M-100M","$100M+"))))</f>
        <v/>
      </c>
      <c r="P561" s="21">
        <f>IF(E561&lt;=90,"90 or less",IF(E561&lt;=105,"91-105",IF(E561&lt;=120,"106-120",IF(E561&lt;=140,"121-140","Over 140"))))</f>
        <v/>
      </c>
      <c r="Q561" s="28">
        <f>INT(C561/10)*10</f>
        <v/>
      </c>
    </row>
    <row r="562">
      <c r="A562" s="21" t="n">
        <v>584</v>
      </c>
      <c r="B562" s="21" t="inlineStr">
        <is>
          <t>Boyz n the Hood</t>
        </is>
      </c>
      <c r="C562" s="21" t="n">
        <v>1991</v>
      </c>
      <c r="D562" s="21" t="inlineStr">
        <is>
          <t>USA</t>
        </is>
      </c>
      <c r="E562" s="21" t="n">
        <v>112</v>
      </c>
      <c r="F562" s="21" t="inlineStr">
        <is>
          <t>English</t>
        </is>
      </c>
      <c r="G562" s="21" t="inlineStr">
        <is>
          <t>R</t>
        </is>
      </c>
      <c r="H562" s="22" t="n">
        <v>57504069</v>
      </c>
      <c r="I562" s="22" t="n">
        <v>6000000</v>
      </c>
      <c r="J562" s="21">
        <f>IF(OR(H562="",H562=25529689.5),"Yes","No")</f>
        <v/>
      </c>
      <c r="K562" s="21">
        <f>IF(AND(D562="USA",C562&gt;=1980,J562="No"),"Yes","No")</f>
        <v/>
      </c>
      <c r="L562" s="26">
        <f>IF(J562="Yes","",H562-I562)</f>
        <v/>
      </c>
      <c r="M562" s="27">
        <f>IF(OR(J562="Yes",I562=0),"",H562/I562)</f>
        <v/>
      </c>
      <c r="N562" s="21">
        <f>IF(J562="Yes","",IF(H562&gt;=I562,1,0))</f>
        <v/>
      </c>
      <c r="O562" s="21">
        <f>IF(I562&lt;=5000000,"Under $5M",IF(I562&lt;=20000000,"$5M-20M",IF(I562&lt;=50000000,"$20M-50M",IF(I562&lt;=100000000,"$50M-100M","$100M+"))))</f>
        <v/>
      </c>
      <c r="P562" s="21">
        <f>IF(E562&lt;=90,"90 or less",IF(E562&lt;=105,"91-105",IF(E562&lt;=120,"106-120",IF(E562&lt;=140,"121-140","Over 140"))))</f>
        <v/>
      </c>
      <c r="Q562" s="28">
        <f>INT(C562/10)*10</f>
        <v/>
      </c>
    </row>
    <row r="563">
      <c r="A563" s="21" t="n">
        <v>585</v>
      </c>
      <c r="B563" s="21" t="inlineStr">
        <is>
          <t>Cape Fear</t>
        </is>
      </c>
      <c r="C563" s="21" t="n">
        <v>1991</v>
      </c>
      <c r="D563" s="21" t="inlineStr">
        <is>
          <t>USA</t>
        </is>
      </c>
      <c r="E563" s="21" t="n">
        <v>128</v>
      </c>
      <c r="F563" s="21" t="inlineStr">
        <is>
          <t>English</t>
        </is>
      </c>
      <c r="G563" s="21" t="inlineStr">
        <is>
          <t>R</t>
        </is>
      </c>
      <c r="H563" s="22" t="n">
        <v>79100000</v>
      </c>
      <c r="I563" s="22" t="n">
        <v>35000000</v>
      </c>
      <c r="J563" s="21">
        <f>IF(OR(H563="",H563=25529689.5),"Yes","No")</f>
        <v/>
      </c>
      <c r="K563" s="21">
        <f>IF(AND(D563="USA",C563&gt;=1980,J563="No"),"Yes","No")</f>
        <v/>
      </c>
      <c r="L563" s="26">
        <f>IF(J563="Yes","",H563-I563)</f>
        <v/>
      </c>
      <c r="M563" s="27">
        <f>IF(OR(J563="Yes",I563=0),"",H563/I563)</f>
        <v/>
      </c>
      <c r="N563" s="21">
        <f>IF(J563="Yes","",IF(H563&gt;=I563,1,0))</f>
        <v/>
      </c>
      <c r="O563" s="21">
        <f>IF(I563&lt;=5000000,"Under $5M",IF(I563&lt;=20000000,"$5M-20M",IF(I563&lt;=50000000,"$20M-50M",IF(I563&lt;=100000000,"$50M-100M","$100M+"))))</f>
        <v/>
      </c>
      <c r="P563" s="21">
        <f>IF(E563&lt;=90,"90 or less",IF(E563&lt;=105,"91-105",IF(E563&lt;=120,"106-120",IF(E563&lt;=140,"121-140","Over 140"))))</f>
        <v/>
      </c>
      <c r="Q563" s="28">
        <f>INT(C563/10)*10</f>
        <v/>
      </c>
    </row>
    <row r="564">
      <c r="A564" s="21" t="n">
        <v>586</v>
      </c>
      <c r="B564" s="21" t="inlineStr">
        <is>
          <t>Double Impact</t>
        </is>
      </c>
      <c r="C564" s="21" t="n">
        <v>1991</v>
      </c>
      <c r="D564" s="21" t="inlineStr">
        <is>
          <t>USA</t>
        </is>
      </c>
      <c r="E564" s="21" t="n">
        <v>110</v>
      </c>
      <c r="F564" s="21" t="inlineStr">
        <is>
          <t>English</t>
        </is>
      </c>
      <c r="G564" s="21" t="inlineStr">
        <is>
          <t>R</t>
        </is>
      </c>
      <c r="H564" s="22" t="n">
        <v>30102717</v>
      </c>
      <c r="I564" s="22" t="n">
        <v>15000000</v>
      </c>
      <c r="J564" s="21">
        <f>IF(OR(H564="",H564=25529689.5),"Yes","No")</f>
        <v/>
      </c>
      <c r="K564" s="21">
        <f>IF(AND(D564="USA",C564&gt;=1980,J564="No"),"Yes","No")</f>
        <v/>
      </c>
      <c r="L564" s="26">
        <f>IF(J564="Yes","",H564-I564)</f>
        <v/>
      </c>
      <c r="M564" s="27">
        <f>IF(OR(J564="Yes",I564=0),"",H564/I564)</f>
        <v/>
      </c>
      <c r="N564" s="21">
        <f>IF(J564="Yes","",IF(H564&gt;=I564,1,0))</f>
        <v/>
      </c>
      <c r="O564" s="21">
        <f>IF(I564&lt;=5000000,"Under $5M",IF(I564&lt;=20000000,"$5M-20M",IF(I564&lt;=50000000,"$20M-50M",IF(I564&lt;=100000000,"$50M-100M","$100M+"))))</f>
        <v/>
      </c>
      <c r="P564" s="21">
        <f>IF(E564&lt;=90,"90 or less",IF(E564&lt;=105,"91-105",IF(E564&lt;=120,"106-120",IF(E564&lt;=140,"121-140","Over 140"))))</f>
        <v/>
      </c>
      <c r="Q564" s="28">
        <f>INT(C564/10)*10</f>
        <v/>
      </c>
    </row>
    <row r="565">
      <c r="A565" s="21" t="n">
        <v>587</v>
      </c>
      <c r="B565" s="21" t="inlineStr">
        <is>
          <t>Flight of the Intruder</t>
        </is>
      </c>
      <c r="C565" s="21" t="n">
        <v>1991</v>
      </c>
      <c r="D565" s="21" t="inlineStr">
        <is>
          <t>USA</t>
        </is>
      </c>
      <c r="E565" s="21" t="n">
        <v>115</v>
      </c>
      <c r="F565" s="21" t="inlineStr">
        <is>
          <t>English</t>
        </is>
      </c>
      <c r="G565" s="21" t="inlineStr">
        <is>
          <t>PG-13</t>
        </is>
      </c>
      <c r="H565" s="22" t="n">
        <v>14587732</v>
      </c>
      <c r="I565" s="22" t="n">
        <v>35000000</v>
      </c>
      <c r="J565" s="21">
        <f>IF(OR(H565="",H565=25529689.5),"Yes","No")</f>
        <v/>
      </c>
      <c r="K565" s="21">
        <f>IF(AND(D565="USA",C565&gt;=1980,J565="No"),"Yes","No")</f>
        <v/>
      </c>
      <c r="L565" s="26">
        <f>IF(J565="Yes","",H565-I565)</f>
        <v/>
      </c>
      <c r="M565" s="27">
        <f>IF(OR(J565="Yes",I565=0),"",H565/I565)</f>
        <v/>
      </c>
      <c r="N565" s="21">
        <f>IF(J565="Yes","",IF(H565&gt;=I565,1,0))</f>
        <v/>
      </c>
      <c r="O565" s="21">
        <f>IF(I565&lt;=5000000,"Under $5M",IF(I565&lt;=20000000,"$5M-20M",IF(I565&lt;=50000000,"$20M-50M",IF(I565&lt;=100000000,"$50M-100M","$100M+"))))</f>
        <v/>
      </c>
      <c r="P565" s="21">
        <f>IF(E565&lt;=90,"90 or less",IF(E565&lt;=105,"91-105",IF(E565&lt;=120,"106-120",IF(E565&lt;=140,"121-140","Over 140"))))</f>
        <v/>
      </c>
      <c r="Q565" s="28">
        <f>INT(C565/10)*10</f>
        <v/>
      </c>
    </row>
    <row r="566">
      <c r="A566" s="21" t="n">
        <v>588</v>
      </c>
      <c r="B566" s="21" t="inlineStr">
        <is>
          <t>Freddy's Dead: The Final Nightmare</t>
        </is>
      </c>
      <c r="C566" s="21" t="n">
        <v>1991</v>
      </c>
      <c r="D566" s="21" t="inlineStr">
        <is>
          <t>USA</t>
        </is>
      </c>
      <c r="E566" s="21" t="n">
        <v>93</v>
      </c>
      <c r="F566" s="21" t="inlineStr">
        <is>
          <t>English</t>
        </is>
      </c>
      <c r="G566" s="21" t="inlineStr">
        <is>
          <t>R</t>
        </is>
      </c>
      <c r="H566" s="22" t="n">
        <v>34872293</v>
      </c>
      <c r="I566" s="22" t="n">
        <v>8500000</v>
      </c>
      <c r="J566" s="21">
        <f>IF(OR(H566="",H566=25529689.5),"Yes","No")</f>
        <v/>
      </c>
      <c r="K566" s="21">
        <f>IF(AND(D566="USA",C566&gt;=1980,J566="No"),"Yes","No")</f>
        <v/>
      </c>
      <c r="L566" s="26">
        <f>IF(J566="Yes","",H566-I566)</f>
        <v/>
      </c>
      <c r="M566" s="27">
        <f>IF(OR(J566="Yes",I566=0),"",H566/I566)</f>
        <v/>
      </c>
      <c r="N566" s="21">
        <f>IF(J566="Yes","",IF(H566&gt;=I566,1,0))</f>
        <v/>
      </c>
      <c r="O566" s="21">
        <f>IF(I566&lt;=5000000,"Under $5M",IF(I566&lt;=20000000,"$5M-20M",IF(I566&lt;=50000000,"$20M-50M",IF(I566&lt;=100000000,"$50M-100M","$100M+"))))</f>
        <v/>
      </c>
      <c r="P566" s="21">
        <f>IF(E566&lt;=90,"90 or less",IF(E566&lt;=105,"91-105",IF(E566&lt;=120,"106-120",IF(E566&lt;=140,"121-140","Over 140"))))</f>
        <v/>
      </c>
      <c r="Q566" s="28">
        <f>INT(C566/10)*10</f>
        <v/>
      </c>
    </row>
    <row r="567">
      <c r="A567" s="21" t="n">
        <v>589</v>
      </c>
      <c r="B567" s="21" t="inlineStr">
        <is>
          <t>Harley Davidson and the Marlboro Man</t>
        </is>
      </c>
      <c r="C567" s="21" t="n">
        <v>1991</v>
      </c>
      <c r="D567" s="21" t="inlineStr">
        <is>
          <t>USA</t>
        </is>
      </c>
      <c r="E567" s="21" t="n">
        <v>98</v>
      </c>
      <c r="F567" s="21" t="inlineStr">
        <is>
          <t>English</t>
        </is>
      </c>
      <c r="G567" s="21" t="inlineStr">
        <is>
          <t>R</t>
        </is>
      </c>
      <c r="H567" s="22" t="n">
        <v>7434726</v>
      </c>
      <c r="I567" s="22" t="n">
        <v>23000000</v>
      </c>
      <c r="J567" s="21">
        <f>IF(OR(H567="",H567=25529689.5),"Yes","No")</f>
        <v/>
      </c>
      <c r="K567" s="21">
        <f>IF(AND(D567="USA",C567&gt;=1980,J567="No"),"Yes","No")</f>
        <v/>
      </c>
      <c r="L567" s="26">
        <f>IF(J567="Yes","",H567-I567)</f>
        <v/>
      </c>
      <c r="M567" s="27">
        <f>IF(OR(J567="Yes",I567=0),"",H567/I567)</f>
        <v/>
      </c>
      <c r="N567" s="21">
        <f>IF(J567="Yes","",IF(H567&gt;=I567,1,0))</f>
        <v/>
      </c>
      <c r="O567" s="21">
        <f>IF(I567&lt;=5000000,"Under $5M",IF(I567&lt;=20000000,"$5M-20M",IF(I567&lt;=50000000,"$20M-50M",IF(I567&lt;=100000000,"$50M-100M","$100M+"))))</f>
        <v/>
      </c>
      <c r="P567" s="21">
        <f>IF(E567&lt;=90,"90 or less",IF(E567&lt;=105,"91-105",IF(E567&lt;=120,"106-120",IF(E567&lt;=140,"121-140","Over 140"))))</f>
        <v/>
      </c>
      <c r="Q567" s="28">
        <f>INT(C567/10)*10</f>
        <v/>
      </c>
    </row>
    <row r="568">
      <c r="A568" s="21" t="n">
        <v>590</v>
      </c>
      <c r="B568" s="21" t="inlineStr">
        <is>
          <t>Hook</t>
        </is>
      </c>
      <c r="C568" s="21" t="n">
        <v>1991</v>
      </c>
      <c r="D568" s="21" t="inlineStr">
        <is>
          <t>USA</t>
        </is>
      </c>
      <c r="E568" s="21" t="n">
        <v>142</v>
      </c>
      <c r="F568" s="21" t="inlineStr">
        <is>
          <t>English</t>
        </is>
      </c>
      <c r="G568" s="21" t="inlineStr">
        <is>
          <t>PG</t>
        </is>
      </c>
      <c r="H568" s="22" t="n">
        <v>119654900</v>
      </c>
      <c r="I568" s="22" t="n">
        <v>70000000</v>
      </c>
      <c r="J568" s="21">
        <f>IF(OR(H568="",H568=25529689.5),"Yes","No")</f>
        <v/>
      </c>
      <c r="K568" s="21">
        <f>IF(AND(D568="USA",C568&gt;=1980,J568="No"),"Yes","No")</f>
        <v/>
      </c>
      <c r="L568" s="26">
        <f>IF(J568="Yes","",H568-I568)</f>
        <v/>
      </c>
      <c r="M568" s="27">
        <f>IF(OR(J568="Yes",I568=0),"",H568/I568)</f>
        <v/>
      </c>
      <c r="N568" s="21">
        <f>IF(J568="Yes","",IF(H568&gt;=I568,1,0))</f>
        <v/>
      </c>
      <c r="O568" s="21">
        <f>IF(I568&lt;=5000000,"Under $5M",IF(I568&lt;=20000000,"$5M-20M",IF(I568&lt;=50000000,"$20M-50M",IF(I568&lt;=100000000,"$50M-100M","$100M+"))))</f>
        <v/>
      </c>
      <c r="P568" s="21">
        <f>IF(E568&lt;=90,"90 or less",IF(E568&lt;=105,"91-105",IF(E568&lt;=120,"106-120",IF(E568&lt;=140,"121-140","Over 140"))))</f>
        <v/>
      </c>
      <c r="Q568" s="28">
        <f>INT(C568/10)*10</f>
        <v/>
      </c>
    </row>
    <row r="569">
      <c r="A569" s="21" t="n">
        <v>591</v>
      </c>
      <c r="B569" s="21" t="inlineStr">
        <is>
          <t>House Party 2</t>
        </is>
      </c>
      <c r="C569" s="21" t="n">
        <v>1991</v>
      </c>
      <c r="D569" s="21" t="inlineStr">
        <is>
          <t>USA</t>
        </is>
      </c>
      <c r="E569" s="21" t="n">
        <v>94</v>
      </c>
      <c r="F569" s="21" t="inlineStr">
        <is>
          <t>English</t>
        </is>
      </c>
      <c r="G569" s="21" t="inlineStr">
        <is>
          <t>R</t>
        </is>
      </c>
      <c r="H569" s="22" t="n">
        <v>19281235</v>
      </c>
      <c r="I569" s="22" t="n">
        <v>5000000</v>
      </c>
      <c r="J569" s="21">
        <f>IF(OR(H569="",H569=25529689.5),"Yes","No")</f>
        <v/>
      </c>
      <c r="K569" s="21">
        <f>IF(AND(D569="USA",C569&gt;=1980,J569="No"),"Yes","No")</f>
        <v/>
      </c>
      <c r="L569" s="26">
        <f>IF(J569="Yes","",H569-I569)</f>
        <v/>
      </c>
      <c r="M569" s="27">
        <f>IF(OR(J569="Yes",I569=0),"",H569/I569)</f>
        <v/>
      </c>
      <c r="N569" s="21">
        <f>IF(J569="Yes","",IF(H569&gt;=I569,1,0))</f>
        <v/>
      </c>
      <c r="O569" s="21">
        <f>IF(I569&lt;=5000000,"Under $5M",IF(I569&lt;=20000000,"$5M-20M",IF(I569&lt;=50000000,"$20M-50M",IF(I569&lt;=100000000,"$50M-100M","$100M+"))))</f>
        <v/>
      </c>
      <c r="P569" s="21">
        <f>IF(E569&lt;=90,"90 or less",IF(E569&lt;=105,"91-105",IF(E569&lt;=120,"106-120",IF(E569&lt;=140,"121-140","Over 140"))))</f>
        <v/>
      </c>
      <c r="Q569" s="28">
        <f>INT(C569/10)*10</f>
        <v/>
      </c>
    </row>
    <row r="570">
      <c r="A570" s="21" t="n">
        <v>592</v>
      </c>
      <c r="B570" s="21" t="inlineStr">
        <is>
          <t>Hudson Hawk</t>
        </is>
      </c>
      <c r="C570" s="21" t="n">
        <v>1991</v>
      </c>
      <c r="D570" s="21" t="inlineStr">
        <is>
          <t>USA</t>
        </is>
      </c>
      <c r="E570" s="21" t="n">
        <v>100</v>
      </c>
      <c r="F570" s="21" t="inlineStr">
        <is>
          <t>English</t>
        </is>
      </c>
      <c r="G570" s="21" t="inlineStr">
        <is>
          <t>R</t>
        </is>
      </c>
      <c r="H570" s="22" t="n">
        <v>17218080</v>
      </c>
      <c r="I570" s="22" t="n">
        <v>70000000</v>
      </c>
      <c r="J570" s="21">
        <f>IF(OR(H570="",H570=25529689.5),"Yes","No")</f>
        <v/>
      </c>
      <c r="K570" s="21">
        <f>IF(AND(D570="USA",C570&gt;=1980,J570="No"),"Yes","No")</f>
        <v/>
      </c>
      <c r="L570" s="26">
        <f>IF(J570="Yes","",H570-I570)</f>
        <v/>
      </c>
      <c r="M570" s="27">
        <f>IF(OR(J570="Yes",I570=0),"",H570/I570)</f>
        <v/>
      </c>
      <c r="N570" s="21">
        <f>IF(J570="Yes","",IF(H570&gt;=I570,1,0))</f>
        <v/>
      </c>
      <c r="O570" s="21">
        <f>IF(I570&lt;=5000000,"Under $5M",IF(I570&lt;=20000000,"$5M-20M",IF(I570&lt;=50000000,"$20M-50M",IF(I570&lt;=100000000,"$50M-100M","$100M+"))))</f>
        <v/>
      </c>
      <c r="P570" s="21">
        <f>IF(E570&lt;=90,"90 or less",IF(E570&lt;=105,"91-105",IF(E570&lt;=120,"106-120",IF(E570&lt;=140,"121-140","Over 140"))))</f>
        <v/>
      </c>
      <c r="Q570" s="28">
        <f>INT(C570/10)*10</f>
        <v/>
      </c>
    </row>
    <row r="571">
      <c r="A571" s="21" t="n">
        <v>593</v>
      </c>
      <c r="B571" s="21" t="inlineStr">
        <is>
          <t>JFK</t>
        </is>
      </c>
      <c r="C571" s="21" t="n">
        <v>1991</v>
      </c>
      <c r="D571" s="21" t="inlineStr">
        <is>
          <t>France</t>
        </is>
      </c>
      <c r="E571" s="21" t="n">
        <v>206</v>
      </c>
      <c r="F571" s="21" t="inlineStr">
        <is>
          <t>English</t>
        </is>
      </c>
      <c r="G571" s="21" t="inlineStr">
        <is>
          <t>R</t>
        </is>
      </c>
      <c r="H571" s="22" t="n">
        <v>70405498</v>
      </c>
      <c r="I571" s="22" t="n">
        <v>40000000</v>
      </c>
      <c r="J571" s="21">
        <f>IF(OR(H571="",H571=25529689.5),"Yes","No")</f>
        <v/>
      </c>
      <c r="K571" s="21">
        <f>IF(AND(D571="USA",C571&gt;=1980,J571="No"),"Yes","No")</f>
        <v/>
      </c>
      <c r="L571" s="26">
        <f>IF(J571="Yes","",H571-I571)</f>
        <v/>
      </c>
      <c r="M571" s="27">
        <f>IF(OR(J571="Yes",I571=0),"",H571/I571)</f>
        <v/>
      </c>
      <c r="N571" s="21">
        <f>IF(J571="Yes","",IF(H571&gt;=I571,1,0))</f>
        <v/>
      </c>
      <c r="O571" s="21">
        <f>IF(I571&lt;=5000000,"Under $5M",IF(I571&lt;=20000000,"$5M-20M",IF(I571&lt;=50000000,"$20M-50M",IF(I571&lt;=100000000,"$50M-100M","$100M+"))))</f>
        <v/>
      </c>
      <c r="P571" s="21">
        <f>IF(E571&lt;=90,"90 or less",IF(E571&lt;=105,"91-105",IF(E571&lt;=120,"106-120",IF(E571&lt;=140,"121-140","Over 140"))))</f>
        <v/>
      </c>
      <c r="Q571" s="28">
        <f>INT(C571/10)*10</f>
        <v/>
      </c>
    </row>
    <row r="572">
      <c r="A572" s="21" t="n">
        <v>594</v>
      </c>
      <c r="B572" s="21" t="inlineStr">
        <is>
          <t>Johnny Suede</t>
        </is>
      </c>
      <c r="C572" s="21" t="n">
        <v>1991</v>
      </c>
      <c r="D572" s="21" t="inlineStr">
        <is>
          <t>Switzerland</t>
        </is>
      </c>
      <c r="E572" s="21" t="n">
        <v>97</v>
      </c>
      <c r="F572" s="21" t="inlineStr">
        <is>
          <t>English</t>
        </is>
      </c>
      <c r="G572" s="21" t="inlineStr">
        <is>
          <t>R</t>
        </is>
      </c>
      <c r="H572" s="22" t="n">
        <v>25529689.5</v>
      </c>
      <c r="I572" s="22" t="n">
        <v>500000</v>
      </c>
      <c r="J572" s="21">
        <f>IF(OR(H572="",H572=25529689.5),"Yes","No")</f>
        <v/>
      </c>
      <c r="K572" s="21">
        <f>IF(AND(D572="USA",C572&gt;=1980,J572="No"),"Yes","No")</f>
        <v/>
      </c>
      <c r="L572" s="26">
        <f>IF(J572="Yes","",H572-I572)</f>
        <v/>
      </c>
      <c r="M572" s="27">
        <f>IF(OR(J572="Yes",I572=0),"",H572/I572)</f>
        <v/>
      </c>
      <c r="N572" s="21">
        <f>IF(J572="Yes","",IF(H572&gt;=I572,1,0))</f>
        <v/>
      </c>
      <c r="O572" s="21">
        <f>IF(I572&lt;=5000000,"Under $5M",IF(I572&lt;=20000000,"$5M-20M",IF(I572&lt;=50000000,"$20M-50M",IF(I572&lt;=100000000,"$50M-100M","$100M+"))))</f>
        <v/>
      </c>
      <c r="P572" s="21">
        <f>IF(E572&lt;=90,"90 or less",IF(E572&lt;=105,"91-105",IF(E572&lt;=120,"106-120",IF(E572&lt;=140,"121-140","Over 140"))))</f>
        <v/>
      </c>
      <c r="Q572" s="28">
        <f>INT(C572/10)*10</f>
        <v/>
      </c>
    </row>
    <row r="573">
      <c r="A573" s="21" t="n">
        <v>595</v>
      </c>
      <c r="B573" s="21" t="inlineStr">
        <is>
          <t>My Girl</t>
        </is>
      </c>
      <c r="C573" s="21" t="n">
        <v>1991</v>
      </c>
      <c r="D573" s="21" t="inlineStr">
        <is>
          <t>USA</t>
        </is>
      </c>
      <c r="E573" s="21" t="n">
        <v>102</v>
      </c>
      <c r="F573" s="21" t="inlineStr">
        <is>
          <t>English</t>
        </is>
      </c>
      <c r="G573" s="21" t="inlineStr">
        <is>
          <t>PG-13</t>
        </is>
      </c>
      <c r="H573" s="22" t="n">
        <v>59847242</v>
      </c>
      <c r="I573" s="22" t="n">
        <v>16500000</v>
      </c>
      <c r="J573" s="21">
        <f>IF(OR(H573="",H573=25529689.5),"Yes","No")</f>
        <v/>
      </c>
      <c r="K573" s="21">
        <f>IF(AND(D573="USA",C573&gt;=1980,J573="No"),"Yes","No")</f>
        <v/>
      </c>
      <c r="L573" s="26">
        <f>IF(J573="Yes","",H573-I573)</f>
        <v/>
      </c>
      <c r="M573" s="27">
        <f>IF(OR(J573="Yes",I573=0),"",H573/I573)</f>
        <v/>
      </c>
      <c r="N573" s="21">
        <f>IF(J573="Yes","",IF(H573&gt;=I573,1,0))</f>
        <v/>
      </c>
      <c r="O573" s="21">
        <f>IF(I573&lt;=5000000,"Under $5M",IF(I573&lt;=20000000,"$5M-20M",IF(I573&lt;=50000000,"$20M-50M",IF(I573&lt;=100000000,"$50M-100M","$100M+"))))</f>
        <v/>
      </c>
      <c r="P573" s="21">
        <f>IF(E573&lt;=90,"90 or less",IF(E573&lt;=105,"91-105",IF(E573&lt;=120,"106-120",IF(E573&lt;=140,"121-140","Over 140"))))</f>
        <v/>
      </c>
      <c r="Q573" s="28">
        <f>INT(C573/10)*10</f>
        <v/>
      </c>
    </row>
    <row r="574">
      <c r="A574" s="21" t="n">
        <v>596</v>
      </c>
      <c r="B574" s="21" t="inlineStr">
        <is>
          <t>My Own Private Idaho</t>
        </is>
      </c>
      <c r="C574" s="21" t="n">
        <v>1991</v>
      </c>
      <c r="D574" s="21" t="inlineStr">
        <is>
          <t>USA</t>
        </is>
      </c>
      <c r="E574" s="21" t="n">
        <v>104</v>
      </c>
      <c r="F574" s="21" t="inlineStr">
        <is>
          <t>English</t>
        </is>
      </c>
      <c r="G574" s="21" t="inlineStr">
        <is>
          <t>R</t>
        </is>
      </c>
      <c r="H574" s="22" t="n">
        <v>6401336</v>
      </c>
      <c r="I574" s="22" t="n">
        <v>2500000</v>
      </c>
      <c r="J574" s="21">
        <f>IF(OR(H574="",H574=25529689.5),"Yes","No")</f>
        <v/>
      </c>
      <c r="K574" s="21">
        <f>IF(AND(D574="USA",C574&gt;=1980,J574="No"),"Yes","No")</f>
        <v/>
      </c>
      <c r="L574" s="26">
        <f>IF(J574="Yes","",H574-I574)</f>
        <v/>
      </c>
      <c r="M574" s="27">
        <f>IF(OR(J574="Yes",I574=0),"",H574/I574)</f>
        <v/>
      </c>
      <c r="N574" s="21">
        <f>IF(J574="Yes","",IF(H574&gt;=I574,1,0))</f>
        <v/>
      </c>
      <c r="O574" s="21">
        <f>IF(I574&lt;=5000000,"Under $5M",IF(I574&lt;=20000000,"$5M-20M",IF(I574&lt;=50000000,"$20M-50M",IF(I574&lt;=100000000,"$50M-100M","$100M+"))))</f>
        <v/>
      </c>
      <c r="P574" s="21">
        <f>IF(E574&lt;=90,"90 or less",IF(E574&lt;=105,"91-105",IF(E574&lt;=120,"106-120",IF(E574&lt;=140,"121-140","Over 140"))))</f>
        <v/>
      </c>
      <c r="Q574" s="28">
        <f>INT(C574/10)*10</f>
        <v/>
      </c>
    </row>
    <row r="575">
      <c r="A575" s="21" t="n">
        <v>597</v>
      </c>
      <c r="B575" s="21" t="inlineStr">
        <is>
          <t>Return to the Blue Lagoon</t>
        </is>
      </c>
      <c r="C575" s="21" t="n">
        <v>1991</v>
      </c>
      <c r="D575" s="21" t="inlineStr">
        <is>
          <t>USA</t>
        </is>
      </c>
      <c r="E575" s="21" t="n">
        <v>102</v>
      </c>
      <c r="F575" s="21" t="inlineStr">
        <is>
          <t>English</t>
        </is>
      </c>
      <c r="G575" s="21" t="inlineStr">
        <is>
          <t>PG-13</t>
        </is>
      </c>
      <c r="H575" s="22" t="n">
        <v>2807854</v>
      </c>
      <c r="I575" s="22" t="n">
        <v>11000000</v>
      </c>
      <c r="J575" s="21">
        <f>IF(OR(H575="",H575=25529689.5),"Yes","No")</f>
        <v/>
      </c>
      <c r="K575" s="21">
        <f>IF(AND(D575="USA",C575&gt;=1980,J575="No"),"Yes","No")</f>
        <v/>
      </c>
      <c r="L575" s="26">
        <f>IF(J575="Yes","",H575-I575)</f>
        <v/>
      </c>
      <c r="M575" s="27">
        <f>IF(OR(J575="Yes",I575=0),"",H575/I575)</f>
        <v/>
      </c>
      <c r="N575" s="21">
        <f>IF(J575="Yes","",IF(H575&gt;=I575,1,0))</f>
        <v/>
      </c>
      <c r="O575" s="21">
        <f>IF(I575&lt;=5000000,"Under $5M",IF(I575&lt;=20000000,"$5M-20M",IF(I575&lt;=50000000,"$20M-50M",IF(I575&lt;=100000000,"$50M-100M","$100M+"))))</f>
        <v/>
      </c>
      <c r="P575" s="21">
        <f>IF(E575&lt;=90,"90 or less",IF(E575&lt;=105,"91-105",IF(E575&lt;=120,"106-120",IF(E575&lt;=140,"121-140","Over 140"))))</f>
        <v/>
      </c>
      <c r="Q575" s="28">
        <f>INT(C575/10)*10</f>
        <v/>
      </c>
    </row>
    <row r="576">
      <c r="A576" s="21" t="n">
        <v>598</v>
      </c>
      <c r="B576" s="21" t="inlineStr">
        <is>
          <t>Robin Hood: Prince of Thieves</t>
        </is>
      </c>
      <c r="C576" s="21" t="n">
        <v>1991</v>
      </c>
      <c r="D576" s="21" t="inlineStr">
        <is>
          <t>USA</t>
        </is>
      </c>
      <c r="E576" s="21" t="n">
        <v>155</v>
      </c>
      <c r="F576" s="21" t="inlineStr">
        <is>
          <t>English</t>
        </is>
      </c>
      <c r="G576" s="21" t="inlineStr">
        <is>
          <t>PG-13</t>
        </is>
      </c>
      <c r="H576" s="22" t="n">
        <v>165500000</v>
      </c>
      <c r="I576" s="22" t="n">
        <v>48000000</v>
      </c>
      <c r="J576" s="21">
        <f>IF(OR(H576="",H576=25529689.5),"Yes","No")</f>
        <v/>
      </c>
      <c r="K576" s="21">
        <f>IF(AND(D576="USA",C576&gt;=1980,J576="No"),"Yes","No")</f>
        <v/>
      </c>
      <c r="L576" s="26">
        <f>IF(J576="Yes","",H576-I576)</f>
        <v/>
      </c>
      <c r="M576" s="27">
        <f>IF(OR(J576="Yes",I576=0),"",H576/I576)</f>
        <v/>
      </c>
      <c r="N576" s="21">
        <f>IF(J576="Yes","",IF(H576&gt;=I576,1,0))</f>
        <v/>
      </c>
      <c r="O576" s="21">
        <f>IF(I576&lt;=5000000,"Under $5M",IF(I576&lt;=20000000,"$5M-20M",IF(I576&lt;=50000000,"$20M-50M",IF(I576&lt;=100000000,"$50M-100M","$100M+"))))</f>
        <v/>
      </c>
      <c r="P576" s="21">
        <f>IF(E576&lt;=90,"90 or less",IF(E576&lt;=105,"91-105",IF(E576&lt;=120,"106-120",IF(E576&lt;=140,"121-140","Over 140"))))</f>
        <v/>
      </c>
      <c r="Q576" s="28">
        <f>INT(C576/10)*10</f>
        <v/>
      </c>
    </row>
    <row r="577">
      <c r="A577" s="21" t="n">
        <v>599</v>
      </c>
      <c r="B577" s="21" t="inlineStr">
        <is>
          <t>Showdown in Little Tokyo</t>
        </is>
      </c>
      <c r="C577" s="21" t="n">
        <v>1991</v>
      </c>
      <c r="D577" s="21" t="inlineStr">
        <is>
          <t>USA</t>
        </is>
      </c>
      <c r="E577" s="21" t="n">
        <v>79</v>
      </c>
      <c r="F577" s="21" t="inlineStr">
        <is>
          <t>English</t>
        </is>
      </c>
      <c r="G577" s="21" t="inlineStr">
        <is>
          <t>R</t>
        </is>
      </c>
      <c r="H577" s="22" t="n">
        <v>2275557</v>
      </c>
      <c r="I577" s="22" t="n">
        <v>8000000</v>
      </c>
      <c r="J577" s="21">
        <f>IF(OR(H577="",H577=25529689.5),"Yes","No")</f>
        <v/>
      </c>
      <c r="K577" s="21">
        <f>IF(AND(D577="USA",C577&gt;=1980,J577="No"),"Yes","No")</f>
        <v/>
      </c>
      <c r="L577" s="26">
        <f>IF(J577="Yes","",H577-I577)</f>
        <v/>
      </c>
      <c r="M577" s="27">
        <f>IF(OR(J577="Yes",I577=0),"",H577/I577)</f>
        <v/>
      </c>
      <c r="N577" s="21">
        <f>IF(J577="Yes","",IF(H577&gt;=I577,1,0))</f>
        <v/>
      </c>
      <c r="O577" s="21">
        <f>IF(I577&lt;=5000000,"Under $5M",IF(I577&lt;=20000000,"$5M-20M",IF(I577&lt;=50000000,"$20M-50M",IF(I577&lt;=100000000,"$50M-100M","$100M+"))))</f>
        <v/>
      </c>
      <c r="P577" s="21">
        <f>IF(E577&lt;=90,"90 or less",IF(E577&lt;=105,"91-105",IF(E577&lt;=120,"106-120",IF(E577&lt;=140,"121-140","Over 140"))))</f>
        <v/>
      </c>
      <c r="Q577" s="28">
        <f>INT(C577/10)*10</f>
        <v/>
      </c>
    </row>
    <row r="578">
      <c r="A578" s="21" t="n">
        <v>600</v>
      </c>
      <c r="B578" s="21" t="inlineStr">
        <is>
          <t>Slacker</t>
        </is>
      </c>
      <c r="C578" s="21" t="n">
        <v>1991</v>
      </c>
      <c r="D578" s="21" t="inlineStr">
        <is>
          <t>USA</t>
        </is>
      </c>
      <c r="E578" s="21" t="n">
        <v>100</v>
      </c>
      <c r="F578" s="21" t="inlineStr">
        <is>
          <t>English</t>
        </is>
      </c>
      <c r="G578" s="21" t="inlineStr">
        <is>
          <t>R</t>
        </is>
      </c>
      <c r="H578" s="22" t="n">
        <v>1227508</v>
      </c>
      <c r="I578" s="22" t="n">
        <v>23000</v>
      </c>
      <c r="J578" s="21">
        <f>IF(OR(H578="",H578=25529689.5),"Yes","No")</f>
        <v/>
      </c>
      <c r="K578" s="21">
        <f>IF(AND(D578="USA",C578&gt;=1980,J578="No"),"Yes","No")</f>
        <v/>
      </c>
      <c r="L578" s="26">
        <f>IF(J578="Yes","",H578-I578)</f>
        <v/>
      </c>
      <c r="M578" s="27">
        <f>IF(OR(J578="Yes",I578=0),"",H578/I578)</f>
        <v/>
      </c>
      <c r="N578" s="21">
        <f>IF(J578="Yes","",IF(H578&gt;=I578,1,0))</f>
        <v/>
      </c>
      <c r="O578" s="21">
        <f>IF(I578&lt;=5000000,"Under $5M",IF(I578&lt;=20000000,"$5M-20M",IF(I578&lt;=50000000,"$20M-50M",IF(I578&lt;=100000000,"$50M-100M","$100M+"))))</f>
        <v/>
      </c>
      <c r="P578" s="21">
        <f>IF(E578&lt;=90,"90 or less",IF(E578&lt;=105,"91-105",IF(E578&lt;=120,"106-120",IF(E578&lt;=140,"121-140","Over 140"))))</f>
        <v/>
      </c>
      <c r="Q578" s="28">
        <f>INT(C578/10)*10</f>
        <v/>
      </c>
    </row>
    <row r="579">
      <c r="A579" s="21" t="n">
        <v>601</v>
      </c>
      <c r="B579" s="21" t="inlineStr">
        <is>
          <t>Star Trek VI: The Undiscovered Country</t>
        </is>
      </c>
      <c r="C579" s="21" t="n">
        <v>1991</v>
      </c>
      <c r="D579" s="21" t="inlineStr">
        <is>
          <t>USA</t>
        </is>
      </c>
      <c r="E579" s="21" t="n">
        <v>110</v>
      </c>
      <c r="F579" s="21" t="inlineStr">
        <is>
          <t>English</t>
        </is>
      </c>
      <c r="G579" s="21" t="inlineStr">
        <is>
          <t>PG</t>
        </is>
      </c>
      <c r="H579" s="22" t="n">
        <v>74888996</v>
      </c>
      <c r="I579" s="22" t="n">
        <v>30000000</v>
      </c>
      <c r="J579" s="21">
        <f>IF(OR(H579="",H579=25529689.5),"Yes","No")</f>
        <v/>
      </c>
      <c r="K579" s="21">
        <f>IF(AND(D579="USA",C579&gt;=1980,J579="No"),"Yes","No")</f>
        <v/>
      </c>
      <c r="L579" s="26">
        <f>IF(J579="Yes","",H579-I579)</f>
        <v/>
      </c>
      <c r="M579" s="27">
        <f>IF(OR(J579="Yes",I579=0),"",H579/I579)</f>
        <v/>
      </c>
      <c r="N579" s="21">
        <f>IF(J579="Yes","",IF(H579&gt;=I579,1,0))</f>
        <v/>
      </c>
      <c r="O579" s="21">
        <f>IF(I579&lt;=5000000,"Under $5M",IF(I579&lt;=20000000,"$5M-20M",IF(I579&lt;=50000000,"$20M-50M",IF(I579&lt;=100000000,"$50M-100M","$100M+"))))</f>
        <v/>
      </c>
      <c r="P579" s="21">
        <f>IF(E579&lt;=90,"90 or less",IF(E579&lt;=105,"91-105",IF(E579&lt;=120,"106-120",IF(E579&lt;=140,"121-140","Over 140"))))</f>
        <v/>
      </c>
      <c r="Q579" s="28">
        <f>INT(C579/10)*10</f>
        <v/>
      </c>
    </row>
    <row r="580">
      <c r="A580" s="21" t="n">
        <v>602</v>
      </c>
      <c r="B580" s="21" t="inlineStr">
        <is>
          <t>Stone Cold</t>
        </is>
      </c>
      <c r="C580" s="21" t="n">
        <v>1991</v>
      </c>
      <c r="D580" s="21" t="inlineStr">
        <is>
          <t>USA</t>
        </is>
      </c>
      <c r="E580" s="21" t="n">
        <v>88</v>
      </c>
      <c r="F580" s="21" t="inlineStr">
        <is>
          <t>English</t>
        </is>
      </c>
      <c r="G580" s="21" t="inlineStr">
        <is>
          <t>R</t>
        </is>
      </c>
      <c r="H580" s="22" t="n">
        <v>9286314</v>
      </c>
      <c r="I580" s="22" t="n">
        <v>17000000</v>
      </c>
      <c r="J580" s="21">
        <f>IF(OR(H580="",H580=25529689.5),"Yes","No")</f>
        <v/>
      </c>
      <c r="K580" s="21">
        <f>IF(AND(D580="USA",C580&gt;=1980,J580="No"),"Yes","No")</f>
        <v/>
      </c>
      <c r="L580" s="26">
        <f>IF(J580="Yes","",H580-I580)</f>
        <v/>
      </c>
      <c r="M580" s="27">
        <f>IF(OR(J580="Yes",I580=0),"",H580/I580)</f>
        <v/>
      </c>
      <c r="N580" s="21">
        <f>IF(J580="Yes","",IF(H580&gt;=I580,1,0))</f>
        <v/>
      </c>
      <c r="O580" s="21">
        <f>IF(I580&lt;=5000000,"Under $5M",IF(I580&lt;=20000000,"$5M-20M",IF(I580&lt;=50000000,"$20M-50M",IF(I580&lt;=100000000,"$50M-100M","$100M+"))))</f>
        <v/>
      </c>
      <c r="P580" s="21">
        <f>IF(E580&lt;=90,"90 or less",IF(E580&lt;=105,"91-105",IF(E580&lt;=120,"106-120",IF(E580&lt;=140,"121-140","Over 140"))))</f>
        <v/>
      </c>
      <c r="Q580" s="28">
        <f>INT(C580/10)*10</f>
        <v/>
      </c>
    </row>
    <row r="581">
      <c r="A581" s="21" t="n">
        <v>603</v>
      </c>
      <c r="B581" s="21" t="inlineStr">
        <is>
          <t>Straight Out of Brooklyn</t>
        </is>
      </c>
      <c r="C581" s="21" t="n">
        <v>1991</v>
      </c>
      <c r="D581" s="21" t="inlineStr">
        <is>
          <t>USA</t>
        </is>
      </c>
      <c r="E581" s="21" t="n">
        <v>91</v>
      </c>
      <c r="F581" s="21" t="inlineStr">
        <is>
          <t>English</t>
        </is>
      </c>
      <c r="G581" s="21" t="inlineStr">
        <is>
          <t>R</t>
        </is>
      </c>
      <c r="H581" s="22" t="n">
        <v>2712293</v>
      </c>
      <c r="I581" s="22" t="n">
        <v>450000</v>
      </c>
      <c r="J581" s="21">
        <f>IF(OR(H581="",H581=25529689.5),"Yes","No")</f>
        <v/>
      </c>
      <c r="K581" s="21">
        <f>IF(AND(D581="USA",C581&gt;=1980,J581="No"),"Yes","No")</f>
        <v/>
      </c>
      <c r="L581" s="26">
        <f>IF(J581="Yes","",H581-I581)</f>
        <v/>
      </c>
      <c r="M581" s="27">
        <f>IF(OR(J581="Yes",I581=0),"",H581/I581)</f>
        <v/>
      </c>
      <c r="N581" s="21">
        <f>IF(J581="Yes","",IF(H581&gt;=I581,1,0))</f>
        <v/>
      </c>
      <c r="O581" s="21">
        <f>IF(I581&lt;=5000000,"Under $5M",IF(I581&lt;=20000000,"$5M-20M",IF(I581&lt;=50000000,"$20M-50M",IF(I581&lt;=100000000,"$50M-100M","$100M+"))))</f>
        <v/>
      </c>
      <c r="P581" s="21">
        <f>IF(E581&lt;=90,"90 or less",IF(E581&lt;=105,"91-105",IF(E581&lt;=120,"106-120",IF(E581&lt;=140,"121-140","Over 140"))))</f>
        <v/>
      </c>
      <c r="Q581" s="28">
        <f>INT(C581/10)*10</f>
        <v/>
      </c>
    </row>
    <row r="582">
      <c r="A582" s="21" t="n">
        <v>604</v>
      </c>
      <c r="B582" s="21" t="inlineStr">
        <is>
          <t>Teenage Mutant Ninja Turtles II: The Secret of the Ooze</t>
        </is>
      </c>
      <c r="C582" s="21" t="n">
        <v>1991</v>
      </c>
      <c r="D582" s="21" t="inlineStr">
        <is>
          <t>USA</t>
        </is>
      </c>
      <c r="E582" s="21" t="n">
        <v>88</v>
      </c>
      <c r="F582" s="21" t="inlineStr">
        <is>
          <t>English</t>
        </is>
      </c>
      <c r="G582" s="21" t="inlineStr">
        <is>
          <t>PG</t>
        </is>
      </c>
      <c r="H582" s="22" t="n">
        <v>78656813</v>
      </c>
      <c r="I582" s="22" t="n">
        <v>25000000</v>
      </c>
      <c r="J582" s="21">
        <f>IF(OR(H582="",H582=25529689.5),"Yes","No")</f>
        <v/>
      </c>
      <c r="K582" s="21">
        <f>IF(AND(D582="USA",C582&gt;=1980,J582="No"),"Yes","No")</f>
        <v/>
      </c>
      <c r="L582" s="26">
        <f>IF(J582="Yes","",H582-I582)</f>
        <v/>
      </c>
      <c r="M582" s="27">
        <f>IF(OR(J582="Yes",I582=0),"",H582/I582)</f>
        <v/>
      </c>
      <c r="N582" s="21">
        <f>IF(J582="Yes","",IF(H582&gt;=I582,1,0))</f>
        <v/>
      </c>
      <c r="O582" s="21">
        <f>IF(I582&lt;=5000000,"Under $5M",IF(I582&lt;=20000000,"$5M-20M",IF(I582&lt;=50000000,"$20M-50M",IF(I582&lt;=100000000,"$50M-100M","$100M+"))))</f>
        <v/>
      </c>
      <c r="P582" s="21">
        <f>IF(E582&lt;=90,"90 or less",IF(E582&lt;=105,"91-105",IF(E582&lt;=120,"106-120",IF(E582&lt;=140,"121-140","Over 140"))))</f>
        <v/>
      </c>
      <c r="Q582" s="28">
        <f>INT(C582/10)*10</f>
        <v/>
      </c>
    </row>
    <row r="583">
      <c r="A583" s="21" t="n">
        <v>605</v>
      </c>
      <c r="B583" s="21" t="inlineStr">
        <is>
          <t>Terminator 2: Judgment Day</t>
        </is>
      </c>
      <c r="C583" s="21" t="n">
        <v>1991</v>
      </c>
      <c r="D583" s="21" t="inlineStr">
        <is>
          <t>USA</t>
        </is>
      </c>
      <c r="E583" s="21" t="n">
        <v>153</v>
      </c>
      <c r="F583" s="21" t="inlineStr">
        <is>
          <t>English</t>
        </is>
      </c>
      <c r="G583" s="21" t="inlineStr">
        <is>
          <t>R</t>
        </is>
      </c>
      <c r="H583" s="22" t="n">
        <v>204843350</v>
      </c>
      <c r="I583" s="22" t="n">
        <v>102000000</v>
      </c>
      <c r="J583" s="21">
        <f>IF(OR(H583="",H583=25529689.5),"Yes","No")</f>
        <v/>
      </c>
      <c r="K583" s="21">
        <f>IF(AND(D583="USA",C583&gt;=1980,J583="No"),"Yes","No")</f>
        <v/>
      </c>
      <c r="L583" s="26">
        <f>IF(J583="Yes","",H583-I583)</f>
        <v/>
      </c>
      <c r="M583" s="27">
        <f>IF(OR(J583="Yes",I583=0),"",H583/I583)</f>
        <v/>
      </c>
      <c r="N583" s="21">
        <f>IF(J583="Yes","",IF(H583&gt;=I583,1,0))</f>
        <v/>
      </c>
      <c r="O583" s="21">
        <f>IF(I583&lt;=5000000,"Under $5M",IF(I583&lt;=20000000,"$5M-20M",IF(I583&lt;=50000000,"$20M-50M",IF(I583&lt;=100000000,"$50M-100M","$100M+"))))</f>
        <v/>
      </c>
      <c r="P583" s="21">
        <f>IF(E583&lt;=90,"90 or less",IF(E583&lt;=105,"91-105",IF(E583&lt;=120,"106-120",IF(E583&lt;=140,"121-140","Over 140"))))</f>
        <v/>
      </c>
      <c r="Q583" s="28">
        <f>INT(C583/10)*10</f>
        <v/>
      </c>
    </row>
    <row r="584">
      <c r="A584" s="21" t="n">
        <v>606</v>
      </c>
      <c r="B584" s="21" t="inlineStr">
        <is>
          <t>The Addams Family</t>
        </is>
      </c>
      <c r="C584" s="21" t="n">
        <v>1991</v>
      </c>
      <c r="D584" s="21" t="inlineStr">
        <is>
          <t>USA</t>
        </is>
      </c>
      <c r="E584" s="21" t="n">
        <v>99</v>
      </c>
      <c r="F584" s="21" t="inlineStr">
        <is>
          <t>English</t>
        </is>
      </c>
      <c r="G584" s="21" t="inlineStr">
        <is>
          <t>PG-13</t>
        </is>
      </c>
      <c r="H584" s="22" t="n">
        <v>113502246</v>
      </c>
      <c r="I584" s="22" t="n">
        <v>38000000</v>
      </c>
      <c r="J584" s="21">
        <f>IF(OR(H584="",H584=25529689.5),"Yes","No")</f>
        <v/>
      </c>
      <c r="K584" s="21">
        <f>IF(AND(D584="USA",C584&gt;=1980,J584="No"),"Yes","No")</f>
        <v/>
      </c>
      <c r="L584" s="26">
        <f>IF(J584="Yes","",H584-I584)</f>
        <v/>
      </c>
      <c r="M584" s="27">
        <f>IF(OR(J584="Yes",I584=0),"",H584/I584)</f>
        <v/>
      </c>
      <c r="N584" s="21">
        <f>IF(J584="Yes","",IF(H584&gt;=I584,1,0))</f>
        <v/>
      </c>
      <c r="O584" s="21">
        <f>IF(I584&lt;=5000000,"Under $5M",IF(I584&lt;=20000000,"$5M-20M",IF(I584&lt;=50000000,"$20M-50M",IF(I584&lt;=100000000,"$50M-100M","$100M+"))))</f>
        <v/>
      </c>
      <c r="P584" s="21">
        <f>IF(E584&lt;=90,"90 or less",IF(E584&lt;=105,"91-105",IF(E584&lt;=120,"106-120",IF(E584&lt;=140,"121-140","Over 140"))))</f>
        <v/>
      </c>
      <c r="Q584" s="28">
        <f>INT(C584/10)*10</f>
        <v/>
      </c>
    </row>
    <row r="585">
      <c r="A585" s="21" t="n">
        <v>607</v>
      </c>
      <c r="B585" s="21" t="inlineStr">
        <is>
          <t>The Doors</t>
        </is>
      </c>
      <c r="C585" s="21" t="n">
        <v>1991</v>
      </c>
      <c r="D585" s="21" t="inlineStr">
        <is>
          <t>USA</t>
        </is>
      </c>
      <c r="E585" s="21" t="n">
        <v>140</v>
      </c>
      <c r="F585" s="21" t="inlineStr">
        <is>
          <t>English</t>
        </is>
      </c>
      <c r="G585" s="21" t="inlineStr">
        <is>
          <t>R</t>
        </is>
      </c>
      <c r="H585" s="22" t="n">
        <v>35183792</v>
      </c>
      <c r="I585" s="22" t="n">
        <v>38000000</v>
      </c>
      <c r="J585" s="21">
        <f>IF(OR(H585="",H585=25529689.5),"Yes","No")</f>
        <v/>
      </c>
      <c r="K585" s="21">
        <f>IF(AND(D585="USA",C585&gt;=1980,J585="No"),"Yes","No")</f>
        <v/>
      </c>
      <c r="L585" s="26">
        <f>IF(J585="Yes","",H585-I585)</f>
        <v/>
      </c>
      <c r="M585" s="27">
        <f>IF(OR(J585="Yes",I585=0),"",H585/I585)</f>
        <v/>
      </c>
      <c r="N585" s="21">
        <f>IF(J585="Yes","",IF(H585&gt;=I585,1,0))</f>
        <v/>
      </c>
      <c r="O585" s="21">
        <f>IF(I585&lt;=5000000,"Under $5M",IF(I585&lt;=20000000,"$5M-20M",IF(I585&lt;=50000000,"$20M-50M",IF(I585&lt;=100000000,"$50M-100M","$100M+"))))</f>
        <v/>
      </c>
      <c r="P585" s="21">
        <f>IF(E585&lt;=90,"90 or less",IF(E585&lt;=105,"91-105",IF(E585&lt;=120,"106-120",IF(E585&lt;=140,"121-140","Over 140"))))</f>
        <v/>
      </c>
      <c r="Q585" s="28">
        <f>INT(C585/10)*10</f>
        <v/>
      </c>
    </row>
    <row r="586">
      <c r="A586" s="21" t="n">
        <v>608</v>
      </c>
      <c r="B586" s="21" t="inlineStr">
        <is>
          <t>The Fisher King</t>
        </is>
      </c>
      <c r="C586" s="21" t="n">
        <v>1991</v>
      </c>
      <c r="D586" s="21" t="inlineStr">
        <is>
          <t>USA</t>
        </is>
      </c>
      <c r="E586" s="21" t="n">
        <v>137</v>
      </c>
      <c r="F586" s="21" t="inlineStr">
        <is>
          <t>English</t>
        </is>
      </c>
      <c r="G586" s="21" t="inlineStr">
        <is>
          <t>R</t>
        </is>
      </c>
      <c r="H586" s="22" t="n">
        <v>41895491</v>
      </c>
      <c r="I586" s="22" t="n">
        <v>24000000</v>
      </c>
      <c r="J586" s="21">
        <f>IF(OR(H586="",H586=25529689.5),"Yes","No")</f>
        <v/>
      </c>
      <c r="K586" s="21">
        <f>IF(AND(D586="USA",C586&gt;=1980,J586="No"),"Yes","No")</f>
        <v/>
      </c>
      <c r="L586" s="26">
        <f>IF(J586="Yes","",H586-I586)</f>
        <v/>
      </c>
      <c r="M586" s="27">
        <f>IF(OR(J586="Yes",I586=0),"",H586/I586)</f>
        <v/>
      </c>
      <c r="N586" s="21">
        <f>IF(J586="Yes","",IF(H586&gt;=I586,1,0))</f>
        <v/>
      </c>
      <c r="O586" s="21">
        <f>IF(I586&lt;=5000000,"Under $5M",IF(I586&lt;=20000000,"$5M-20M",IF(I586&lt;=50000000,"$20M-50M",IF(I586&lt;=100000000,"$50M-100M","$100M+"))))</f>
        <v/>
      </c>
      <c r="P586" s="21">
        <f>IF(E586&lt;=90,"90 or less",IF(E586&lt;=105,"91-105",IF(E586&lt;=120,"106-120",IF(E586&lt;=140,"121-140","Over 140"))))</f>
        <v/>
      </c>
      <c r="Q586" s="28">
        <f>INT(C586/10)*10</f>
        <v/>
      </c>
    </row>
    <row r="587">
      <c r="A587" s="21" t="n">
        <v>609</v>
      </c>
      <c r="B587" s="21" t="inlineStr">
        <is>
          <t>The Naked Gun 2Â½: The Smell of Fear</t>
        </is>
      </c>
      <c r="C587" s="21" t="n">
        <v>1991</v>
      </c>
      <c r="D587" s="21" t="inlineStr">
        <is>
          <t>USA</t>
        </is>
      </c>
      <c r="E587" s="21" t="n">
        <v>85</v>
      </c>
      <c r="F587" s="21" t="inlineStr">
        <is>
          <t>English</t>
        </is>
      </c>
      <c r="G587" s="21" t="inlineStr">
        <is>
          <t>PG-13</t>
        </is>
      </c>
      <c r="H587" s="22" t="n">
        <v>86930411</v>
      </c>
      <c r="I587" s="22" t="n">
        <v>23000000</v>
      </c>
      <c r="J587" s="21">
        <f>IF(OR(H587="",H587=25529689.5),"Yes","No")</f>
        <v/>
      </c>
      <c r="K587" s="21">
        <f>IF(AND(D587="USA",C587&gt;=1980,J587="No"),"Yes","No")</f>
        <v/>
      </c>
      <c r="L587" s="26">
        <f>IF(J587="Yes","",H587-I587)</f>
        <v/>
      </c>
      <c r="M587" s="27">
        <f>IF(OR(J587="Yes",I587=0),"",H587/I587)</f>
        <v/>
      </c>
      <c r="N587" s="21">
        <f>IF(J587="Yes","",IF(H587&gt;=I587,1,0))</f>
        <v/>
      </c>
      <c r="O587" s="21">
        <f>IF(I587&lt;=5000000,"Under $5M",IF(I587&lt;=20000000,"$5M-20M",IF(I587&lt;=50000000,"$20M-50M",IF(I587&lt;=100000000,"$50M-100M","$100M+"))))</f>
        <v/>
      </c>
      <c r="P587" s="21">
        <f>IF(E587&lt;=90,"90 or less",IF(E587&lt;=105,"91-105",IF(E587&lt;=120,"106-120",IF(E587&lt;=140,"121-140","Over 140"))))</f>
        <v/>
      </c>
      <c r="Q587" s="28">
        <f>INT(C587/10)*10</f>
        <v/>
      </c>
    </row>
    <row r="588">
      <c r="A588" s="21" t="n">
        <v>610</v>
      </c>
      <c r="B588" s="21" t="inlineStr">
        <is>
          <t>The Prince of Tides</t>
        </is>
      </c>
      <c r="C588" s="21" t="n">
        <v>1991</v>
      </c>
      <c r="D588" s="21" t="inlineStr">
        <is>
          <t>USA</t>
        </is>
      </c>
      <c r="E588" s="21" t="n">
        <v>132</v>
      </c>
      <c r="F588" s="21" t="inlineStr">
        <is>
          <t>English</t>
        </is>
      </c>
      <c r="G588" s="21" t="inlineStr">
        <is>
          <t>R</t>
        </is>
      </c>
      <c r="H588" s="22" t="n">
        <v>74787599</v>
      </c>
      <c r="I588" s="22" t="n">
        <v>30000000</v>
      </c>
      <c r="J588" s="21">
        <f>IF(OR(H588="",H588=25529689.5),"Yes","No")</f>
        <v/>
      </c>
      <c r="K588" s="21">
        <f>IF(AND(D588="USA",C588&gt;=1980,J588="No"),"Yes","No")</f>
        <v/>
      </c>
      <c r="L588" s="26">
        <f>IF(J588="Yes","",H588-I588)</f>
        <v/>
      </c>
      <c r="M588" s="27">
        <f>IF(OR(J588="Yes",I588=0),"",H588/I588)</f>
        <v/>
      </c>
      <c r="N588" s="21">
        <f>IF(J588="Yes","",IF(H588&gt;=I588,1,0))</f>
        <v/>
      </c>
      <c r="O588" s="21">
        <f>IF(I588&lt;=5000000,"Under $5M",IF(I588&lt;=20000000,"$5M-20M",IF(I588&lt;=50000000,"$20M-50M",IF(I588&lt;=100000000,"$50M-100M","$100M+"))))</f>
        <v/>
      </c>
      <c r="P588" s="21">
        <f>IF(E588&lt;=90,"90 or less",IF(E588&lt;=105,"91-105",IF(E588&lt;=120,"106-120",IF(E588&lt;=140,"121-140","Over 140"))))</f>
        <v/>
      </c>
      <c r="Q588" s="28">
        <f>INT(C588/10)*10</f>
        <v/>
      </c>
    </row>
    <row r="589">
      <c r="A589" s="21" t="n">
        <v>611</v>
      </c>
      <c r="B589" s="21" t="inlineStr">
        <is>
          <t>The Silence of the Lambs</t>
        </is>
      </c>
      <c r="C589" s="21" t="n">
        <v>1991</v>
      </c>
      <c r="D589" s="21" t="inlineStr">
        <is>
          <t>USA</t>
        </is>
      </c>
      <c r="E589" s="21" t="n">
        <v>138</v>
      </c>
      <c r="F589" s="21" t="inlineStr">
        <is>
          <t>English</t>
        </is>
      </c>
      <c r="G589" s="21" t="inlineStr">
        <is>
          <t>R</t>
        </is>
      </c>
      <c r="H589" s="22" t="n">
        <v>130727000</v>
      </c>
      <c r="I589" s="22" t="n">
        <v>19000000</v>
      </c>
      <c r="J589" s="21">
        <f>IF(OR(H589="",H589=25529689.5),"Yes","No")</f>
        <v/>
      </c>
      <c r="K589" s="21">
        <f>IF(AND(D589="USA",C589&gt;=1980,J589="No"),"Yes","No")</f>
        <v/>
      </c>
      <c r="L589" s="26">
        <f>IF(J589="Yes","",H589-I589)</f>
        <v/>
      </c>
      <c r="M589" s="27">
        <f>IF(OR(J589="Yes",I589=0),"",H589/I589)</f>
        <v/>
      </c>
      <c r="N589" s="21">
        <f>IF(J589="Yes","",IF(H589&gt;=I589,1,0))</f>
        <v/>
      </c>
      <c r="O589" s="21">
        <f>IF(I589&lt;=5000000,"Under $5M",IF(I589&lt;=20000000,"$5M-20M",IF(I589&lt;=50000000,"$20M-50M",IF(I589&lt;=100000000,"$50M-100M","$100M+"))))</f>
        <v/>
      </c>
      <c r="P589" s="21">
        <f>IF(E589&lt;=90,"90 or less",IF(E589&lt;=105,"91-105",IF(E589&lt;=120,"106-120",IF(E589&lt;=140,"121-140","Over 140"))))</f>
        <v/>
      </c>
      <c r="Q589" s="28">
        <f>INT(C589/10)*10</f>
        <v/>
      </c>
    </row>
    <row r="590">
      <c r="A590" s="21" t="n">
        <v>612</v>
      </c>
      <c r="B590" s="21" t="inlineStr">
        <is>
          <t>White Fang</t>
        </is>
      </c>
      <c r="C590" s="21" t="n">
        <v>1991</v>
      </c>
      <c r="D590" s="21" t="inlineStr">
        <is>
          <t>USA</t>
        </is>
      </c>
      <c r="E590" s="21" t="n">
        <v>107</v>
      </c>
      <c r="F590" s="21" t="inlineStr">
        <is>
          <t>English</t>
        </is>
      </c>
      <c r="G590" s="21" t="inlineStr">
        <is>
          <t>PG</t>
        </is>
      </c>
      <c r="H590" s="22" t="n">
        <v>34793160</v>
      </c>
      <c r="I590" s="22" t="n">
        <v>14000000</v>
      </c>
      <c r="J590" s="21">
        <f>IF(OR(H590="",H590=25529689.5),"Yes","No")</f>
        <v/>
      </c>
      <c r="K590" s="21">
        <f>IF(AND(D590="USA",C590&gt;=1980,J590="No"),"Yes","No")</f>
        <v/>
      </c>
      <c r="L590" s="26">
        <f>IF(J590="Yes","",H590-I590)</f>
        <v/>
      </c>
      <c r="M590" s="27">
        <f>IF(OR(J590="Yes",I590=0),"",H590/I590)</f>
        <v/>
      </c>
      <c r="N590" s="21">
        <f>IF(J590="Yes","",IF(H590&gt;=I590,1,0))</f>
        <v/>
      </c>
      <c r="O590" s="21">
        <f>IF(I590&lt;=5000000,"Under $5M",IF(I590&lt;=20000000,"$5M-20M",IF(I590&lt;=50000000,"$20M-50M",IF(I590&lt;=100000000,"$50M-100M","$100M+"))))</f>
        <v/>
      </c>
      <c r="P590" s="21">
        <f>IF(E590&lt;=90,"90 or less",IF(E590&lt;=105,"91-105",IF(E590&lt;=120,"106-120",IF(E590&lt;=140,"121-140","Over 140"))))</f>
        <v/>
      </c>
      <c r="Q590" s="28">
        <f>INT(C590/10)*10</f>
        <v/>
      </c>
    </row>
    <row r="591">
      <c r="A591" s="21" t="n">
        <v>613</v>
      </c>
      <c r="B591" s="21" t="inlineStr">
        <is>
          <t>A Few Good Men</t>
        </is>
      </c>
      <c r="C591" s="21" t="n">
        <v>1992</v>
      </c>
      <c r="D591" s="21" t="inlineStr">
        <is>
          <t>USA</t>
        </is>
      </c>
      <c r="E591" s="21" t="n">
        <v>138</v>
      </c>
      <c r="F591" s="21" t="inlineStr">
        <is>
          <t>English</t>
        </is>
      </c>
      <c r="G591" s="21" t="inlineStr">
        <is>
          <t>R</t>
        </is>
      </c>
      <c r="H591" s="22" t="n">
        <v>141340178</v>
      </c>
      <c r="I591" s="22" t="n">
        <v>40000000</v>
      </c>
      <c r="J591" s="21">
        <f>IF(OR(H591="",H591=25529689.5),"Yes","No")</f>
        <v/>
      </c>
      <c r="K591" s="21">
        <f>IF(AND(D591="USA",C591&gt;=1980,J591="No"),"Yes","No")</f>
        <v/>
      </c>
      <c r="L591" s="26">
        <f>IF(J591="Yes","",H591-I591)</f>
        <v/>
      </c>
      <c r="M591" s="27">
        <f>IF(OR(J591="Yes",I591=0),"",H591/I591)</f>
        <v/>
      </c>
      <c r="N591" s="21">
        <f>IF(J591="Yes","",IF(H591&gt;=I591,1,0))</f>
        <v/>
      </c>
      <c r="O591" s="21">
        <f>IF(I591&lt;=5000000,"Under $5M",IF(I591&lt;=20000000,"$5M-20M",IF(I591&lt;=50000000,"$20M-50M",IF(I591&lt;=100000000,"$50M-100M","$100M+"))))</f>
        <v/>
      </c>
      <c r="P591" s="21">
        <f>IF(E591&lt;=90,"90 or less",IF(E591&lt;=105,"91-105",IF(E591&lt;=120,"106-120",IF(E591&lt;=140,"121-140","Over 140"))))</f>
        <v/>
      </c>
      <c r="Q591" s="28">
        <f>INT(C591/10)*10</f>
        <v/>
      </c>
    </row>
    <row r="592">
      <c r="A592" s="21" t="n">
        <v>614</v>
      </c>
      <c r="B592" s="21" t="inlineStr">
        <is>
          <t>A League of Their Own</t>
        </is>
      </c>
      <c r="C592" s="21" t="n">
        <v>1992</v>
      </c>
      <c r="D592" s="21" t="inlineStr">
        <is>
          <t>USA</t>
        </is>
      </c>
      <c r="E592" s="21" t="n">
        <v>128</v>
      </c>
      <c r="F592" s="21" t="inlineStr">
        <is>
          <t>English</t>
        </is>
      </c>
      <c r="G592" s="21" t="inlineStr">
        <is>
          <t>PG</t>
        </is>
      </c>
      <c r="H592" s="22" t="n">
        <v>107458785</v>
      </c>
      <c r="I592" s="22" t="n">
        <v>40000000</v>
      </c>
      <c r="J592" s="21">
        <f>IF(OR(H592="",H592=25529689.5),"Yes","No")</f>
        <v/>
      </c>
      <c r="K592" s="21">
        <f>IF(AND(D592="USA",C592&gt;=1980,J592="No"),"Yes","No")</f>
        <v/>
      </c>
      <c r="L592" s="26">
        <f>IF(J592="Yes","",H592-I592)</f>
        <v/>
      </c>
      <c r="M592" s="27">
        <f>IF(OR(J592="Yes",I592=0),"",H592/I592)</f>
        <v/>
      </c>
      <c r="N592" s="21">
        <f>IF(J592="Yes","",IF(H592&gt;=I592,1,0))</f>
        <v/>
      </c>
      <c r="O592" s="21">
        <f>IF(I592&lt;=5000000,"Under $5M",IF(I592&lt;=20000000,"$5M-20M",IF(I592&lt;=50000000,"$20M-50M",IF(I592&lt;=100000000,"$50M-100M","$100M+"))))</f>
        <v/>
      </c>
      <c r="P592" s="21">
        <f>IF(E592&lt;=90,"90 or less",IF(E592&lt;=105,"91-105",IF(E592&lt;=120,"106-120",IF(E592&lt;=140,"121-140","Over 140"))))</f>
        <v/>
      </c>
      <c r="Q592" s="28">
        <f>INT(C592/10)*10</f>
        <v/>
      </c>
    </row>
    <row r="593">
      <c r="A593" s="21" t="n">
        <v>615</v>
      </c>
      <c r="B593" s="21" t="inlineStr">
        <is>
          <t>Aladdin</t>
        </is>
      </c>
      <c r="C593" s="21" t="n">
        <v>1992</v>
      </c>
      <c r="D593" s="21" t="inlineStr">
        <is>
          <t>USA</t>
        </is>
      </c>
      <c r="E593" s="21" t="n">
        <v>90</v>
      </c>
      <c r="F593" s="21" t="inlineStr">
        <is>
          <t>English</t>
        </is>
      </c>
      <c r="G593" s="21" t="inlineStr">
        <is>
          <t>G</t>
        </is>
      </c>
      <c r="H593" s="22" t="n">
        <v>217350219</v>
      </c>
      <c r="I593" s="22" t="n">
        <v>28000000</v>
      </c>
      <c r="J593" s="21">
        <f>IF(OR(H593="",H593=25529689.5),"Yes","No")</f>
        <v/>
      </c>
      <c r="K593" s="21">
        <f>IF(AND(D593="USA",C593&gt;=1980,J593="No"),"Yes","No")</f>
        <v/>
      </c>
      <c r="L593" s="26">
        <f>IF(J593="Yes","",H593-I593)</f>
        <v/>
      </c>
      <c r="M593" s="27">
        <f>IF(OR(J593="Yes",I593=0),"",H593/I593)</f>
        <v/>
      </c>
      <c r="N593" s="21">
        <f>IF(J593="Yes","",IF(H593&gt;=I593,1,0))</f>
        <v/>
      </c>
      <c r="O593" s="21">
        <f>IF(I593&lt;=5000000,"Under $5M",IF(I593&lt;=20000000,"$5M-20M",IF(I593&lt;=50000000,"$20M-50M",IF(I593&lt;=100000000,"$50M-100M","$100M+"))))</f>
        <v/>
      </c>
      <c r="P593" s="21">
        <f>IF(E593&lt;=90,"90 or less",IF(E593&lt;=105,"91-105",IF(E593&lt;=120,"106-120",IF(E593&lt;=140,"121-140","Over 140"))))</f>
        <v/>
      </c>
      <c r="Q593" s="28">
        <f>INT(C593/10)*10</f>
        <v/>
      </c>
    </row>
    <row r="594">
      <c r="A594" s="21" t="n">
        <v>616</v>
      </c>
      <c r="B594" s="21" t="inlineStr">
        <is>
          <t>Alien 3</t>
        </is>
      </c>
      <c r="C594" s="21" t="n">
        <v>1992</v>
      </c>
      <c r="D594" s="21" t="inlineStr">
        <is>
          <t>USA</t>
        </is>
      </c>
      <c r="E594" s="21" t="n">
        <v>145</v>
      </c>
      <c r="F594" s="21" t="inlineStr">
        <is>
          <t>English</t>
        </is>
      </c>
      <c r="G594" s="21" t="inlineStr">
        <is>
          <t>R</t>
        </is>
      </c>
      <c r="H594" s="22" t="n">
        <v>55473600</v>
      </c>
      <c r="I594" s="22" t="n">
        <v>50000000</v>
      </c>
      <c r="J594" s="21">
        <f>IF(OR(H594="",H594=25529689.5),"Yes","No")</f>
        <v/>
      </c>
      <c r="K594" s="21">
        <f>IF(AND(D594="USA",C594&gt;=1980,J594="No"),"Yes","No")</f>
        <v/>
      </c>
      <c r="L594" s="26">
        <f>IF(J594="Yes","",H594-I594)</f>
        <v/>
      </c>
      <c r="M594" s="27">
        <f>IF(OR(J594="Yes",I594=0),"",H594/I594)</f>
        <v/>
      </c>
      <c r="N594" s="21">
        <f>IF(J594="Yes","",IF(H594&gt;=I594,1,0))</f>
        <v/>
      </c>
      <c r="O594" s="21">
        <f>IF(I594&lt;=5000000,"Under $5M",IF(I594&lt;=20000000,"$5M-20M",IF(I594&lt;=50000000,"$20M-50M",IF(I594&lt;=100000000,"$50M-100M","$100M+"))))</f>
        <v/>
      </c>
      <c r="P594" s="21">
        <f>IF(E594&lt;=90,"90 or less",IF(E594&lt;=105,"91-105",IF(E594&lt;=120,"106-120",IF(E594&lt;=140,"121-140","Over 140"))))</f>
        <v/>
      </c>
      <c r="Q594" s="28">
        <f>INT(C594/10)*10</f>
        <v/>
      </c>
    </row>
    <row r="595">
      <c r="A595" s="21" t="n">
        <v>617</v>
      </c>
      <c r="B595" s="21" t="inlineStr">
        <is>
          <t>Army of Darkness</t>
        </is>
      </c>
      <c r="C595" s="21" t="n">
        <v>1992</v>
      </c>
      <c r="D595" s="21" t="inlineStr">
        <is>
          <t>USA</t>
        </is>
      </c>
      <c r="E595" s="21" t="n">
        <v>88</v>
      </c>
      <c r="F595" s="21" t="inlineStr">
        <is>
          <t>English</t>
        </is>
      </c>
      <c r="G595" s="21" t="inlineStr">
        <is>
          <t>R</t>
        </is>
      </c>
      <c r="H595" s="22" t="n">
        <v>11501093</v>
      </c>
      <c r="I595" s="22" t="n">
        <v>13000000</v>
      </c>
      <c r="J595" s="21">
        <f>IF(OR(H595="",H595=25529689.5),"Yes","No")</f>
        <v/>
      </c>
      <c r="K595" s="21">
        <f>IF(AND(D595="USA",C595&gt;=1980,J595="No"),"Yes","No")</f>
        <v/>
      </c>
      <c r="L595" s="26">
        <f>IF(J595="Yes","",H595-I595)</f>
        <v/>
      </c>
      <c r="M595" s="27">
        <f>IF(OR(J595="Yes",I595=0),"",H595/I595)</f>
        <v/>
      </c>
      <c r="N595" s="21">
        <f>IF(J595="Yes","",IF(H595&gt;=I595,1,0))</f>
        <v/>
      </c>
      <c r="O595" s="21">
        <f>IF(I595&lt;=5000000,"Under $5M",IF(I595&lt;=20000000,"$5M-20M",IF(I595&lt;=50000000,"$20M-50M",IF(I595&lt;=100000000,"$50M-100M","$100M+"))))</f>
        <v/>
      </c>
      <c r="P595" s="21">
        <f>IF(E595&lt;=90,"90 or less",IF(E595&lt;=105,"91-105",IF(E595&lt;=120,"106-120",IF(E595&lt;=140,"121-140","Over 140"))))</f>
        <v/>
      </c>
      <c r="Q595" s="28">
        <f>INT(C595/10)*10</f>
        <v/>
      </c>
    </row>
    <row r="596">
      <c r="A596" s="21" t="n">
        <v>618</v>
      </c>
      <c r="B596" s="21" t="inlineStr">
        <is>
          <t>Batman Returns</t>
        </is>
      </c>
      <c r="C596" s="21" t="n">
        <v>1992</v>
      </c>
      <c r="D596" s="21" t="inlineStr">
        <is>
          <t>USA</t>
        </is>
      </c>
      <c r="E596" s="21" t="n">
        <v>126</v>
      </c>
      <c r="F596" s="21" t="inlineStr">
        <is>
          <t>English</t>
        </is>
      </c>
      <c r="G596" s="21" t="inlineStr">
        <is>
          <t>PG-13</t>
        </is>
      </c>
      <c r="H596" s="22" t="n">
        <v>162831698</v>
      </c>
      <c r="I596" s="22" t="n">
        <v>80000000</v>
      </c>
      <c r="J596" s="21">
        <f>IF(OR(H596="",H596=25529689.5),"Yes","No")</f>
        <v/>
      </c>
      <c r="K596" s="21">
        <f>IF(AND(D596="USA",C596&gt;=1980,J596="No"),"Yes","No")</f>
        <v/>
      </c>
      <c r="L596" s="26">
        <f>IF(J596="Yes","",H596-I596)</f>
        <v/>
      </c>
      <c r="M596" s="27">
        <f>IF(OR(J596="Yes",I596=0),"",H596/I596)</f>
        <v/>
      </c>
      <c r="N596" s="21">
        <f>IF(J596="Yes","",IF(H596&gt;=I596,1,0))</f>
        <v/>
      </c>
      <c r="O596" s="21">
        <f>IF(I596&lt;=5000000,"Under $5M",IF(I596&lt;=20000000,"$5M-20M",IF(I596&lt;=50000000,"$20M-50M",IF(I596&lt;=100000000,"$50M-100M","$100M+"))))</f>
        <v/>
      </c>
      <c r="P596" s="21">
        <f>IF(E596&lt;=90,"90 or less",IF(E596&lt;=105,"91-105",IF(E596&lt;=120,"106-120",IF(E596&lt;=140,"121-140","Over 140"))))</f>
        <v/>
      </c>
      <c r="Q596" s="28">
        <f>INT(C596/10)*10</f>
        <v/>
      </c>
    </row>
    <row r="597">
      <c r="A597" s="21" t="n">
        <v>619</v>
      </c>
      <c r="B597" s="21" t="inlineStr">
        <is>
          <t>Boomerang</t>
        </is>
      </c>
      <c r="C597" s="21" t="n">
        <v>1992</v>
      </c>
      <c r="D597" s="21" t="inlineStr">
        <is>
          <t>USA</t>
        </is>
      </c>
      <c r="E597" s="21" t="n">
        <v>117</v>
      </c>
      <c r="F597" s="21" t="inlineStr">
        <is>
          <t>English</t>
        </is>
      </c>
      <c r="G597" s="21" t="inlineStr">
        <is>
          <t>R</t>
        </is>
      </c>
      <c r="H597" s="22" t="n">
        <v>70100000</v>
      </c>
      <c r="I597" s="22" t="n">
        <v>40000000</v>
      </c>
      <c r="J597" s="21">
        <f>IF(OR(H597="",H597=25529689.5),"Yes","No")</f>
        <v/>
      </c>
      <c r="K597" s="21">
        <f>IF(AND(D597="USA",C597&gt;=1980,J597="No"),"Yes","No")</f>
        <v/>
      </c>
      <c r="L597" s="26">
        <f>IF(J597="Yes","",H597-I597)</f>
        <v/>
      </c>
      <c r="M597" s="27">
        <f>IF(OR(J597="Yes",I597=0),"",H597/I597)</f>
        <v/>
      </c>
      <c r="N597" s="21">
        <f>IF(J597="Yes","",IF(H597&gt;=I597,1,0))</f>
        <v/>
      </c>
      <c r="O597" s="21">
        <f>IF(I597&lt;=5000000,"Under $5M",IF(I597&lt;=20000000,"$5M-20M",IF(I597&lt;=50000000,"$20M-50M",IF(I597&lt;=100000000,"$50M-100M","$100M+"))))</f>
        <v/>
      </c>
      <c r="P597" s="21">
        <f>IF(E597&lt;=90,"90 or less",IF(E597&lt;=105,"91-105",IF(E597&lt;=120,"106-120",IF(E597&lt;=140,"121-140","Over 140"))))</f>
        <v/>
      </c>
      <c r="Q597" s="28">
        <f>INT(C597/10)*10</f>
        <v/>
      </c>
    </row>
    <row r="598">
      <c r="A598" s="21" t="n">
        <v>620</v>
      </c>
      <c r="B598" s="21" t="inlineStr">
        <is>
          <t>Bram Stoker's Dracula</t>
        </is>
      </c>
      <c r="C598" s="21" t="n">
        <v>1992</v>
      </c>
      <c r="D598" s="21" t="inlineStr">
        <is>
          <t>USA</t>
        </is>
      </c>
      <c r="E598" s="21" t="n">
        <v>155</v>
      </c>
      <c r="F598" s="21" t="inlineStr">
        <is>
          <t>English</t>
        </is>
      </c>
      <c r="G598" s="21" t="inlineStr">
        <is>
          <t>R</t>
        </is>
      </c>
      <c r="H598" s="22" t="n">
        <v>82522790</v>
      </c>
      <c r="I598" s="22" t="n">
        <v>40000000</v>
      </c>
      <c r="J598" s="21">
        <f>IF(OR(H598="",H598=25529689.5),"Yes","No")</f>
        <v/>
      </c>
      <c r="K598" s="21">
        <f>IF(AND(D598="USA",C598&gt;=1980,J598="No"),"Yes","No")</f>
        <v/>
      </c>
      <c r="L598" s="26">
        <f>IF(J598="Yes","",H598-I598)</f>
        <v/>
      </c>
      <c r="M598" s="27">
        <f>IF(OR(J598="Yes",I598=0),"",H598/I598)</f>
        <v/>
      </c>
      <c r="N598" s="21">
        <f>IF(J598="Yes","",IF(H598&gt;=I598,1,0))</f>
        <v/>
      </c>
      <c r="O598" s="21">
        <f>IF(I598&lt;=5000000,"Under $5M",IF(I598&lt;=20000000,"$5M-20M",IF(I598&lt;=50000000,"$20M-50M",IF(I598&lt;=100000000,"$50M-100M","$100M+"))))</f>
        <v/>
      </c>
      <c r="P598" s="21">
        <f>IF(E598&lt;=90,"90 or less",IF(E598&lt;=105,"91-105",IF(E598&lt;=120,"106-120",IF(E598&lt;=140,"121-140","Over 140"))))</f>
        <v/>
      </c>
      <c r="Q598" s="28">
        <f>INT(C598/10)*10</f>
        <v/>
      </c>
    </row>
    <row r="599">
      <c r="A599" s="21" t="n">
        <v>621</v>
      </c>
      <c r="B599" s="21" t="inlineStr">
        <is>
          <t>Death Becomes Her</t>
        </is>
      </c>
      <c r="C599" s="21" t="n">
        <v>1992</v>
      </c>
      <c r="D599" s="21" t="inlineStr">
        <is>
          <t>USA</t>
        </is>
      </c>
      <c r="E599" s="21" t="n">
        <v>104</v>
      </c>
      <c r="F599" s="21" t="inlineStr">
        <is>
          <t>English</t>
        </is>
      </c>
      <c r="G599" s="21" t="inlineStr">
        <is>
          <t>PG-13</t>
        </is>
      </c>
      <c r="H599" s="22" t="n">
        <v>58422650</v>
      </c>
      <c r="I599" s="22" t="n">
        <v>55000000</v>
      </c>
      <c r="J599" s="21">
        <f>IF(OR(H599="",H599=25529689.5),"Yes","No")</f>
        <v/>
      </c>
      <c r="K599" s="21">
        <f>IF(AND(D599="USA",C599&gt;=1980,J599="No"),"Yes","No")</f>
        <v/>
      </c>
      <c r="L599" s="26">
        <f>IF(J599="Yes","",H599-I599)</f>
        <v/>
      </c>
      <c r="M599" s="27">
        <f>IF(OR(J599="Yes",I599=0),"",H599/I599)</f>
        <v/>
      </c>
      <c r="N599" s="21">
        <f>IF(J599="Yes","",IF(H599&gt;=I599,1,0))</f>
        <v/>
      </c>
      <c r="O599" s="21">
        <f>IF(I599&lt;=5000000,"Under $5M",IF(I599&lt;=20000000,"$5M-20M",IF(I599&lt;=50000000,"$20M-50M",IF(I599&lt;=100000000,"$50M-100M","$100M+"))))</f>
        <v/>
      </c>
      <c r="P599" s="21">
        <f>IF(E599&lt;=90,"90 or less",IF(E599&lt;=105,"91-105",IF(E599&lt;=120,"106-120",IF(E599&lt;=140,"121-140","Over 140"))))</f>
        <v/>
      </c>
      <c r="Q599" s="28">
        <f>INT(C599/10)*10</f>
        <v/>
      </c>
    </row>
    <row r="600">
      <c r="A600" s="21" t="n">
        <v>622</v>
      </c>
      <c r="B600" s="21" t="inlineStr">
        <is>
          <t>El Mariachi</t>
        </is>
      </c>
      <c r="C600" s="21" t="n">
        <v>1992</v>
      </c>
      <c r="D600" s="21" t="inlineStr">
        <is>
          <t>USA</t>
        </is>
      </c>
      <c r="E600" s="21" t="n">
        <v>81</v>
      </c>
      <c r="F600" s="21" t="inlineStr">
        <is>
          <t>Spanish</t>
        </is>
      </c>
      <c r="G600" s="21" t="inlineStr">
        <is>
          <t>R</t>
        </is>
      </c>
      <c r="H600" s="22" t="n">
        <v>2040920</v>
      </c>
      <c r="I600" s="22" t="n">
        <v>7000</v>
      </c>
      <c r="J600" s="21">
        <f>IF(OR(H600="",H600=25529689.5),"Yes","No")</f>
        <v/>
      </c>
      <c r="K600" s="21">
        <f>IF(AND(D600="USA",C600&gt;=1980,J600="No"),"Yes","No")</f>
        <v/>
      </c>
      <c r="L600" s="26">
        <f>IF(J600="Yes","",H600-I600)</f>
        <v/>
      </c>
      <c r="M600" s="27">
        <f>IF(OR(J600="Yes",I600=0),"",H600/I600)</f>
        <v/>
      </c>
      <c r="N600" s="21">
        <f>IF(J600="Yes","",IF(H600&gt;=I600,1,0))</f>
        <v/>
      </c>
      <c r="O600" s="21">
        <f>IF(I600&lt;=5000000,"Under $5M",IF(I600&lt;=20000000,"$5M-20M",IF(I600&lt;=50000000,"$20M-50M",IF(I600&lt;=100000000,"$50M-100M","$100M+"))))</f>
        <v/>
      </c>
      <c r="P600" s="21">
        <f>IF(E600&lt;=90,"90 or less",IF(E600&lt;=105,"91-105",IF(E600&lt;=120,"106-120",IF(E600&lt;=140,"121-140","Over 140"))))</f>
        <v/>
      </c>
      <c r="Q600" s="28">
        <f>INT(C600/10)*10</f>
        <v/>
      </c>
    </row>
    <row r="601">
      <c r="A601" s="21" t="n">
        <v>623</v>
      </c>
      <c r="B601" s="21" t="inlineStr">
        <is>
          <t>Fortress</t>
        </is>
      </c>
      <c r="C601" s="21" t="n">
        <v>1992</v>
      </c>
      <c r="D601" s="21" t="inlineStr">
        <is>
          <t>Australia</t>
        </is>
      </c>
      <c r="E601" s="21" t="n">
        <v>95</v>
      </c>
      <c r="F601" s="21" t="inlineStr">
        <is>
          <t>English</t>
        </is>
      </c>
      <c r="G601" s="21" t="inlineStr">
        <is>
          <t>R</t>
        </is>
      </c>
      <c r="H601" s="22" t="n">
        <v>6739141</v>
      </c>
      <c r="I601" s="22" t="n">
        <v>8000000</v>
      </c>
      <c r="J601" s="21">
        <f>IF(OR(H601="",H601=25529689.5),"Yes","No")</f>
        <v/>
      </c>
      <c r="K601" s="21">
        <f>IF(AND(D601="USA",C601&gt;=1980,J601="No"),"Yes","No")</f>
        <v/>
      </c>
      <c r="L601" s="26">
        <f>IF(J601="Yes","",H601-I601)</f>
        <v/>
      </c>
      <c r="M601" s="27">
        <f>IF(OR(J601="Yes",I601=0),"",H601/I601)</f>
        <v/>
      </c>
      <c r="N601" s="21">
        <f>IF(J601="Yes","",IF(H601&gt;=I601,1,0))</f>
        <v/>
      </c>
      <c r="O601" s="21">
        <f>IF(I601&lt;=5000000,"Under $5M",IF(I601&lt;=20000000,"$5M-20M",IF(I601&lt;=50000000,"$20M-50M",IF(I601&lt;=100000000,"$50M-100M","$100M+"))))</f>
        <v/>
      </c>
      <c r="P601" s="21">
        <f>IF(E601&lt;=90,"90 or less",IF(E601&lt;=105,"91-105",IF(E601&lt;=120,"106-120",IF(E601&lt;=140,"121-140","Over 140"))))</f>
        <v/>
      </c>
      <c r="Q601" s="28">
        <f>INT(C601/10)*10</f>
        <v/>
      </c>
    </row>
    <row r="602">
      <c r="A602" s="21" t="n">
        <v>624</v>
      </c>
      <c r="B602" s="21" t="inlineStr">
        <is>
          <t>Glengarry Glen Ross</t>
        </is>
      </c>
      <c r="C602" s="21" t="n">
        <v>1992</v>
      </c>
      <c r="D602" s="21" t="inlineStr">
        <is>
          <t>USA</t>
        </is>
      </c>
      <c r="E602" s="21" t="n">
        <v>100</v>
      </c>
      <c r="F602" s="21" t="inlineStr">
        <is>
          <t>English</t>
        </is>
      </c>
      <c r="G602" s="21" t="inlineStr">
        <is>
          <t>R</t>
        </is>
      </c>
      <c r="H602" s="22" t="n">
        <v>10725228</v>
      </c>
      <c r="I602" s="22" t="n">
        <v>12500000</v>
      </c>
      <c r="J602" s="21">
        <f>IF(OR(H602="",H602=25529689.5),"Yes","No")</f>
        <v/>
      </c>
      <c r="K602" s="21">
        <f>IF(AND(D602="USA",C602&gt;=1980,J602="No"),"Yes","No")</f>
        <v/>
      </c>
      <c r="L602" s="26">
        <f>IF(J602="Yes","",H602-I602)</f>
        <v/>
      </c>
      <c r="M602" s="27">
        <f>IF(OR(J602="Yes",I602=0),"",H602/I602)</f>
        <v/>
      </c>
      <c r="N602" s="21">
        <f>IF(J602="Yes","",IF(H602&gt;=I602,1,0))</f>
        <v/>
      </c>
      <c r="O602" s="21">
        <f>IF(I602&lt;=5000000,"Under $5M",IF(I602&lt;=20000000,"$5M-20M",IF(I602&lt;=50000000,"$20M-50M",IF(I602&lt;=100000000,"$50M-100M","$100M+"))))</f>
        <v/>
      </c>
      <c r="P602" s="21">
        <f>IF(E602&lt;=90,"90 or less",IF(E602&lt;=105,"91-105",IF(E602&lt;=120,"106-120",IF(E602&lt;=140,"121-140","Over 140"))))</f>
        <v/>
      </c>
      <c r="Q602" s="28">
        <f>INT(C602/10)*10</f>
        <v/>
      </c>
    </row>
    <row r="603">
      <c r="A603" s="21" t="n">
        <v>625</v>
      </c>
      <c r="B603" s="21" t="inlineStr">
        <is>
          <t>Hoffa</t>
        </is>
      </c>
      <c r="C603" s="21" t="n">
        <v>1992</v>
      </c>
      <c r="D603" s="21" t="inlineStr">
        <is>
          <t>USA</t>
        </is>
      </c>
      <c r="E603" s="21" t="n">
        <v>140</v>
      </c>
      <c r="F603" s="21" t="inlineStr">
        <is>
          <t>English</t>
        </is>
      </c>
      <c r="G603" s="21" t="inlineStr">
        <is>
          <t>R</t>
        </is>
      </c>
      <c r="H603" s="22" t="n">
        <v>24276500</v>
      </c>
      <c r="I603" s="22" t="n">
        <v>35000000</v>
      </c>
      <c r="J603" s="21">
        <f>IF(OR(H603="",H603=25529689.5),"Yes","No")</f>
        <v/>
      </c>
      <c r="K603" s="21">
        <f>IF(AND(D603="USA",C603&gt;=1980,J603="No"),"Yes","No")</f>
        <v/>
      </c>
      <c r="L603" s="26">
        <f>IF(J603="Yes","",H603-I603)</f>
        <v/>
      </c>
      <c r="M603" s="27">
        <f>IF(OR(J603="Yes",I603=0),"",H603/I603)</f>
        <v/>
      </c>
      <c r="N603" s="21">
        <f>IF(J603="Yes","",IF(H603&gt;=I603,1,0))</f>
        <v/>
      </c>
      <c r="O603" s="21">
        <f>IF(I603&lt;=5000000,"Under $5M",IF(I603&lt;=20000000,"$5M-20M",IF(I603&lt;=50000000,"$20M-50M",IF(I603&lt;=100000000,"$50M-100M","$100M+"))))</f>
        <v/>
      </c>
      <c r="P603" s="21">
        <f>IF(E603&lt;=90,"90 or less",IF(E603&lt;=105,"91-105",IF(E603&lt;=120,"106-120",IF(E603&lt;=140,"121-140","Over 140"))))</f>
        <v/>
      </c>
      <c r="Q603" s="28">
        <f>INT(C603/10)*10</f>
        <v/>
      </c>
    </row>
    <row r="604">
      <c r="A604" s="21" t="n">
        <v>626</v>
      </c>
      <c r="B604" s="21" t="inlineStr">
        <is>
          <t>Home Alone 2: Lost in New York</t>
        </is>
      </c>
      <c r="C604" s="21" t="n">
        <v>1992</v>
      </c>
      <c r="D604" s="21" t="inlineStr">
        <is>
          <t>USA</t>
        </is>
      </c>
      <c r="E604" s="21" t="n">
        <v>120</v>
      </c>
      <c r="F604" s="21" t="inlineStr">
        <is>
          <t>English</t>
        </is>
      </c>
      <c r="G604" s="21" t="inlineStr">
        <is>
          <t>PG</t>
        </is>
      </c>
      <c r="H604" s="22" t="n">
        <v>173585516</v>
      </c>
      <c r="I604" s="22" t="n">
        <v>18000000</v>
      </c>
      <c r="J604" s="21">
        <f>IF(OR(H604="",H604=25529689.5),"Yes","No")</f>
        <v/>
      </c>
      <c r="K604" s="21">
        <f>IF(AND(D604="USA",C604&gt;=1980,J604="No"),"Yes","No")</f>
        <v/>
      </c>
      <c r="L604" s="26">
        <f>IF(J604="Yes","",H604-I604)</f>
        <v/>
      </c>
      <c r="M604" s="27">
        <f>IF(OR(J604="Yes",I604=0),"",H604/I604)</f>
        <v/>
      </c>
      <c r="N604" s="21">
        <f>IF(J604="Yes","",IF(H604&gt;=I604,1,0))</f>
        <v/>
      </c>
      <c r="O604" s="21">
        <f>IF(I604&lt;=5000000,"Under $5M",IF(I604&lt;=20000000,"$5M-20M",IF(I604&lt;=50000000,"$20M-50M",IF(I604&lt;=100000000,"$50M-100M","$100M+"))))</f>
        <v/>
      </c>
      <c r="P604" s="21">
        <f>IF(E604&lt;=90,"90 or less",IF(E604&lt;=105,"91-105",IF(E604&lt;=120,"106-120",IF(E604&lt;=140,"121-140","Over 140"))))</f>
        <v/>
      </c>
      <c r="Q604" s="28">
        <f>INT(C604/10)*10</f>
        <v/>
      </c>
    </row>
    <row r="605">
      <c r="A605" s="21" t="n">
        <v>627</v>
      </c>
      <c r="B605" s="21" t="inlineStr">
        <is>
          <t>Howards End</t>
        </is>
      </c>
      <c r="C605" s="21" t="n">
        <v>1992</v>
      </c>
      <c r="D605" s="21" t="inlineStr">
        <is>
          <t>UK</t>
        </is>
      </c>
      <c r="E605" s="21" t="n">
        <v>140</v>
      </c>
      <c r="F605" s="21" t="inlineStr">
        <is>
          <t>English</t>
        </is>
      </c>
      <c r="G605" s="21" t="inlineStr">
        <is>
          <t>PG</t>
        </is>
      </c>
      <c r="H605" s="22" t="n">
        <v>25967000</v>
      </c>
      <c r="I605" s="22" t="n">
        <v>20000000</v>
      </c>
      <c r="J605" s="21">
        <f>IF(OR(H605="",H605=25529689.5),"Yes","No")</f>
        <v/>
      </c>
      <c r="K605" s="21">
        <f>IF(AND(D605="USA",C605&gt;=1980,J605="No"),"Yes","No")</f>
        <v/>
      </c>
      <c r="L605" s="26">
        <f>IF(J605="Yes","",H605-I605)</f>
        <v/>
      </c>
      <c r="M605" s="27">
        <f>IF(OR(J605="Yes",I605=0),"",H605/I605)</f>
        <v/>
      </c>
      <c r="N605" s="21">
        <f>IF(J605="Yes","",IF(H605&gt;=I605,1,0))</f>
        <v/>
      </c>
      <c r="O605" s="21">
        <f>IF(I605&lt;=5000000,"Under $5M",IF(I605&lt;=20000000,"$5M-20M",IF(I605&lt;=50000000,"$20M-50M",IF(I605&lt;=100000000,"$50M-100M","$100M+"))))</f>
        <v/>
      </c>
      <c r="P605" s="21">
        <f>IF(E605&lt;=90,"90 or less",IF(E605&lt;=105,"91-105",IF(E605&lt;=120,"106-120",IF(E605&lt;=140,"121-140","Over 140"))))</f>
        <v/>
      </c>
      <c r="Q605" s="28">
        <f>INT(C605/10)*10</f>
        <v/>
      </c>
    </row>
    <row r="606">
      <c r="A606" s="21" t="n">
        <v>628</v>
      </c>
      <c r="B606" s="21" t="inlineStr">
        <is>
          <t>Lethal Weapon 3</t>
        </is>
      </c>
      <c r="C606" s="21" t="n">
        <v>1992</v>
      </c>
      <c r="D606" s="21" t="inlineStr">
        <is>
          <t>USA</t>
        </is>
      </c>
      <c r="E606" s="21" t="n">
        <v>121</v>
      </c>
      <c r="F606" s="21" t="inlineStr">
        <is>
          <t>English</t>
        </is>
      </c>
      <c r="G606" s="21" t="inlineStr">
        <is>
          <t>R</t>
        </is>
      </c>
      <c r="H606" s="22" t="n">
        <v>144731527</v>
      </c>
      <c r="I606" s="22" t="n">
        <v>35000000</v>
      </c>
      <c r="J606" s="21">
        <f>IF(OR(H606="",H606=25529689.5),"Yes","No")</f>
        <v/>
      </c>
      <c r="K606" s="21">
        <f>IF(AND(D606="USA",C606&gt;=1980,J606="No"),"Yes","No")</f>
        <v/>
      </c>
      <c r="L606" s="26">
        <f>IF(J606="Yes","",H606-I606)</f>
        <v/>
      </c>
      <c r="M606" s="27">
        <f>IF(OR(J606="Yes",I606=0),"",H606/I606)</f>
        <v/>
      </c>
      <c r="N606" s="21">
        <f>IF(J606="Yes","",IF(H606&gt;=I606,1,0))</f>
        <v/>
      </c>
      <c r="O606" s="21">
        <f>IF(I606&lt;=5000000,"Under $5M",IF(I606&lt;=20000000,"$5M-20M",IF(I606&lt;=50000000,"$20M-50M",IF(I606&lt;=100000000,"$50M-100M","$100M+"))))</f>
        <v/>
      </c>
      <c r="P606" s="21">
        <f>IF(E606&lt;=90,"90 or less",IF(E606&lt;=105,"91-105",IF(E606&lt;=120,"106-120",IF(E606&lt;=140,"121-140","Over 140"))))</f>
        <v/>
      </c>
      <c r="Q606" s="28">
        <f>INT(C606/10)*10</f>
        <v/>
      </c>
    </row>
    <row r="607">
      <c r="A607" s="21" t="n">
        <v>629</v>
      </c>
      <c r="B607" s="21" t="inlineStr">
        <is>
          <t>Light Sleeper</t>
        </is>
      </c>
      <c r="C607" s="21" t="n">
        <v>1992</v>
      </c>
      <c r="D607" s="21" t="inlineStr">
        <is>
          <t>USA</t>
        </is>
      </c>
      <c r="E607" s="21" t="n">
        <v>103</v>
      </c>
      <c r="F607" s="21" t="inlineStr">
        <is>
          <t>English</t>
        </is>
      </c>
      <c r="G607" s="21" t="inlineStr">
        <is>
          <t>R</t>
        </is>
      </c>
      <c r="H607" s="22" t="n">
        <v>1100000</v>
      </c>
      <c r="I607" s="22" t="n">
        <v>5000000</v>
      </c>
      <c r="J607" s="21">
        <f>IF(OR(H607="",H607=25529689.5),"Yes","No")</f>
        <v/>
      </c>
      <c r="K607" s="21">
        <f>IF(AND(D607="USA",C607&gt;=1980,J607="No"),"Yes","No")</f>
        <v/>
      </c>
      <c r="L607" s="26">
        <f>IF(J607="Yes","",H607-I607)</f>
        <v/>
      </c>
      <c r="M607" s="27">
        <f>IF(OR(J607="Yes",I607=0),"",H607/I607)</f>
        <v/>
      </c>
      <c r="N607" s="21">
        <f>IF(J607="Yes","",IF(H607&gt;=I607,1,0))</f>
        <v/>
      </c>
      <c r="O607" s="21">
        <f>IF(I607&lt;=5000000,"Under $5M",IF(I607&lt;=20000000,"$5M-20M",IF(I607&lt;=50000000,"$20M-50M",IF(I607&lt;=100000000,"$50M-100M","$100M+"))))</f>
        <v/>
      </c>
      <c r="P607" s="21">
        <f>IF(E607&lt;=90,"90 or less",IF(E607&lt;=105,"91-105",IF(E607&lt;=120,"106-120",IF(E607&lt;=140,"121-140","Over 140"))))</f>
        <v/>
      </c>
      <c r="Q607" s="28">
        <f>INT(C607/10)*10</f>
        <v/>
      </c>
    </row>
    <row r="608">
      <c r="A608" s="21" t="n">
        <v>630</v>
      </c>
      <c r="B608" s="21" t="inlineStr">
        <is>
          <t>Malcolm X</t>
        </is>
      </c>
      <c r="C608" s="21" t="n">
        <v>1992</v>
      </c>
      <c r="D608" s="21" t="inlineStr">
        <is>
          <t>USA</t>
        </is>
      </c>
      <c r="E608" s="21" t="n">
        <v>202</v>
      </c>
      <c r="F608" s="21" t="inlineStr">
        <is>
          <t>English</t>
        </is>
      </c>
      <c r="G608" s="21" t="inlineStr">
        <is>
          <t>PG-13</t>
        </is>
      </c>
      <c r="H608" s="22" t="n">
        <v>48169908</v>
      </c>
      <c r="I608" s="22" t="n">
        <v>33000000</v>
      </c>
      <c r="J608" s="21">
        <f>IF(OR(H608="",H608=25529689.5),"Yes","No")</f>
        <v/>
      </c>
      <c r="K608" s="21">
        <f>IF(AND(D608="USA",C608&gt;=1980,J608="No"),"Yes","No")</f>
        <v/>
      </c>
      <c r="L608" s="26">
        <f>IF(J608="Yes","",H608-I608)</f>
        <v/>
      </c>
      <c r="M608" s="27">
        <f>IF(OR(J608="Yes",I608=0),"",H608/I608)</f>
        <v/>
      </c>
      <c r="N608" s="21">
        <f>IF(J608="Yes","",IF(H608&gt;=I608,1,0))</f>
        <v/>
      </c>
      <c r="O608" s="21">
        <f>IF(I608&lt;=5000000,"Under $5M",IF(I608&lt;=20000000,"$5M-20M",IF(I608&lt;=50000000,"$20M-50M",IF(I608&lt;=100000000,"$50M-100M","$100M+"))))</f>
        <v/>
      </c>
      <c r="P608" s="21">
        <f>IF(E608&lt;=90,"90 or less",IF(E608&lt;=105,"91-105",IF(E608&lt;=120,"106-120",IF(E608&lt;=140,"121-140","Over 140"))))</f>
        <v/>
      </c>
      <c r="Q608" s="28">
        <f>INT(C608/10)*10</f>
        <v/>
      </c>
    </row>
    <row r="609">
      <c r="A609" s="21" t="n">
        <v>631</v>
      </c>
      <c r="B609" s="21" t="inlineStr">
        <is>
          <t>Medicine Man</t>
        </is>
      </c>
      <c r="C609" s="21" t="n">
        <v>1992</v>
      </c>
      <c r="D609" s="21" t="inlineStr">
        <is>
          <t>USA</t>
        </is>
      </c>
      <c r="E609" s="21" t="n">
        <v>106</v>
      </c>
      <c r="F609" s="21" t="inlineStr">
        <is>
          <t>English</t>
        </is>
      </c>
      <c r="G609" s="21" t="inlineStr">
        <is>
          <t>PG-13</t>
        </is>
      </c>
      <c r="H609" s="22" t="n">
        <v>45500797</v>
      </c>
      <c r="I609" s="22" t="n">
        <v>40000000</v>
      </c>
      <c r="J609" s="21">
        <f>IF(OR(H609="",H609=25529689.5),"Yes","No")</f>
        <v/>
      </c>
      <c r="K609" s="21">
        <f>IF(AND(D609="USA",C609&gt;=1980,J609="No"),"Yes","No")</f>
        <v/>
      </c>
      <c r="L609" s="26">
        <f>IF(J609="Yes","",H609-I609)</f>
        <v/>
      </c>
      <c r="M609" s="27">
        <f>IF(OR(J609="Yes",I609=0),"",H609/I609)</f>
        <v/>
      </c>
      <c r="N609" s="21">
        <f>IF(J609="Yes","",IF(H609&gt;=I609,1,0))</f>
        <v/>
      </c>
      <c r="O609" s="21">
        <f>IF(I609&lt;=5000000,"Under $5M",IF(I609&lt;=20000000,"$5M-20M",IF(I609&lt;=50000000,"$20M-50M",IF(I609&lt;=100000000,"$50M-100M","$100M+"))))</f>
        <v/>
      </c>
      <c r="P609" s="21">
        <f>IF(E609&lt;=90,"90 or less",IF(E609&lt;=105,"91-105",IF(E609&lt;=120,"106-120",IF(E609&lt;=140,"121-140","Over 140"))))</f>
        <v/>
      </c>
      <c r="Q609" s="28">
        <f>INT(C609/10)*10</f>
        <v/>
      </c>
    </row>
    <row r="610">
      <c r="A610" s="21" t="n">
        <v>632</v>
      </c>
      <c r="B610" s="21" t="inlineStr">
        <is>
          <t>Memoirs of an Invisible Man</t>
        </is>
      </c>
      <c r="C610" s="21" t="n">
        <v>1992</v>
      </c>
      <c r="D610" s="21" t="inlineStr">
        <is>
          <t>USA</t>
        </is>
      </c>
      <c r="E610" s="21" t="n">
        <v>99</v>
      </c>
      <c r="F610" s="21" t="inlineStr">
        <is>
          <t>English</t>
        </is>
      </c>
      <c r="G610" s="21" t="inlineStr">
        <is>
          <t>PG-13</t>
        </is>
      </c>
      <c r="H610" s="22" t="n">
        <v>14358033</v>
      </c>
      <c r="I610" s="22" t="n">
        <v>40000000</v>
      </c>
      <c r="J610" s="21">
        <f>IF(OR(H610="",H610=25529689.5),"Yes","No")</f>
        <v/>
      </c>
      <c r="K610" s="21">
        <f>IF(AND(D610="USA",C610&gt;=1980,J610="No"),"Yes","No")</f>
        <v/>
      </c>
      <c r="L610" s="26">
        <f>IF(J610="Yes","",H610-I610)</f>
        <v/>
      </c>
      <c r="M610" s="27">
        <f>IF(OR(J610="Yes",I610=0),"",H610/I610)</f>
        <v/>
      </c>
      <c r="N610" s="21">
        <f>IF(J610="Yes","",IF(H610&gt;=I610,1,0))</f>
        <v/>
      </c>
      <c r="O610" s="21">
        <f>IF(I610&lt;=5000000,"Under $5M",IF(I610&lt;=20000000,"$5M-20M",IF(I610&lt;=50000000,"$20M-50M",IF(I610&lt;=100000000,"$50M-100M","$100M+"))))</f>
        <v/>
      </c>
      <c r="P610" s="21">
        <f>IF(E610&lt;=90,"90 or less",IF(E610&lt;=105,"91-105",IF(E610&lt;=120,"106-120",IF(E610&lt;=140,"121-140","Over 140"))))</f>
        <v/>
      </c>
      <c r="Q610" s="28">
        <f>INT(C610/10)*10</f>
        <v/>
      </c>
    </row>
    <row r="611">
      <c r="A611" s="21" t="n">
        <v>633</v>
      </c>
      <c r="B611" s="21" t="inlineStr">
        <is>
          <t>My Cousin Vinny</t>
        </is>
      </c>
      <c r="C611" s="21" t="n">
        <v>1992</v>
      </c>
      <c r="D611" s="21" t="inlineStr">
        <is>
          <t>USA</t>
        </is>
      </c>
      <c r="E611" s="21" t="n">
        <v>120</v>
      </c>
      <c r="F611" s="21" t="inlineStr">
        <is>
          <t>English</t>
        </is>
      </c>
      <c r="G611" s="21" t="inlineStr">
        <is>
          <t>R</t>
        </is>
      </c>
      <c r="H611" s="22" t="n">
        <v>52929168</v>
      </c>
      <c r="I611" s="22" t="n">
        <v>11000000</v>
      </c>
      <c r="J611" s="21">
        <f>IF(OR(H611="",H611=25529689.5),"Yes","No")</f>
        <v/>
      </c>
      <c r="K611" s="21">
        <f>IF(AND(D611="USA",C611&gt;=1980,J611="No"),"Yes","No")</f>
        <v/>
      </c>
      <c r="L611" s="26">
        <f>IF(J611="Yes","",H611-I611)</f>
        <v/>
      </c>
      <c r="M611" s="27">
        <f>IF(OR(J611="Yes",I611=0),"",H611/I611)</f>
        <v/>
      </c>
      <c r="N611" s="21">
        <f>IF(J611="Yes","",IF(H611&gt;=I611,1,0))</f>
        <v/>
      </c>
      <c r="O611" s="21">
        <f>IF(I611&lt;=5000000,"Under $5M",IF(I611&lt;=20000000,"$5M-20M",IF(I611&lt;=50000000,"$20M-50M",IF(I611&lt;=100000000,"$50M-100M","$100M+"))))</f>
        <v/>
      </c>
      <c r="P611" s="21">
        <f>IF(E611&lt;=90,"90 or less",IF(E611&lt;=105,"91-105",IF(E611&lt;=120,"106-120",IF(E611&lt;=140,"121-140","Over 140"))))</f>
        <v/>
      </c>
      <c r="Q611" s="28">
        <f>INT(C611/10)*10</f>
        <v/>
      </c>
    </row>
    <row r="612">
      <c r="A612" s="21" t="n">
        <v>634</v>
      </c>
      <c r="B612" s="21" t="inlineStr">
        <is>
          <t>Patriot Games</t>
        </is>
      </c>
      <c r="C612" s="21" t="n">
        <v>1992</v>
      </c>
      <c r="D612" s="21" t="inlineStr">
        <is>
          <t>USA</t>
        </is>
      </c>
      <c r="E612" s="21" t="n">
        <v>117</v>
      </c>
      <c r="F612" s="21" t="inlineStr">
        <is>
          <t>English</t>
        </is>
      </c>
      <c r="G612" s="21" t="inlineStr">
        <is>
          <t>R</t>
        </is>
      </c>
      <c r="H612" s="22" t="n">
        <v>83287363</v>
      </c>
      <c r="I612" s="22" t="n">
        <v>45000000</v>
      </c>
      <c r="J612" s="21">
        <f>IF(OR(H612="",H612=25529689.5),"Yes","No")</f>
        <v/>
      </c>
      <c r="K612" s="21">
        <f>IF(AND(D612="USA",C612&gt;=1980,J612="No"),"Yes","No")</f>
        <v/>
      </c>
      <c r="L612" s="26">
        <f>IF(J612="Yes","",H612-I612)</f>
        <v/>
      </c>
      <c r="M612" s="27">
        <f>IF(OR(J612="Yes",I612=0),"",H612/I612)</f>
        <v/>
      </c>
      <c r="N612" s="21">
        <f>IF(J612="Yes","",IF(H612&gt;=I612,1,0))</f>
        <v/>
      </c>
      <c r="O612" s="21">
        <f>IF(I612&lt;=5000000,"Under $5M",IF(I612&lt;=20000000,"$5M-20M",IF(I612&lt;=50000000,"$20M-50M",IF(I612&lt;=100000000,"$50M-100M","$100M+"))))</f>
        <v/>
      </c>
      <c r="P612" s="21">
        <f>IF(E612&lt;=90,"90 or less",IF(E612&lt;=105,"91-105",IF(E612&lt;=120,"106-120",IF(E612&lt;=140,"121-140","Over 140"))))</f>
        <v/>
      </c>
      <c r="Q612" s="28">
        <f>INT(C612/10)*10</f>
        <v/>
      </c>
    </row>
    <row r="613">
      <c r="A613" s="21" t="n">
        <v>635</v>
      </c>
      <c r="B613" s="21" t="inlineStr">
        <is>
          <t>Radio Flyer</t>
        </is>
      </c>
      <c r="C613" s="21" t="n">
        <v>1992</v>
      </c>
      <c r="D613" s="21" t="inlineStr">
        <is>
          <t>USA</t>
        </is>
      </c>
      <c r="E613" s="21" t="n">
        <v>114</v>
      </c>
      <c r="F613" s="21" t="inlineStr">
        <is>
          <t>English</t>
        </is>
      </c>
      <c r="G613" s="21" t="inlineStr">
        <is>
          <t>PG-13</t>
        </is>
      </c>
      <c r="H613" s="22" t="n">
        <v>4651977</v>
      </c>
      <c r="I613" s="22" t="n">
        <v>35000000</v>
      </c>
      <c r="J613" s="21">
        <f>IF(OR(H613="",H613=25529689.5),"Yes","No")</f>
        <v/>
      </c>
      <c r="K613" s="21">
        <f>IF(AND(D613="USA",C613&gt;=1980,J613="No"),"Yes","No")</f>
        <v/>
      </c>
      <c r="L613" s="26">
        <f>IF(J613="Yes","",H613-I613)</f>
        <v/>
      </c>
      <c r="M613" s="27">
        <f>IF(OR(J613="Yes",I613=0),"",H613/I613)</f>
        <v/>
      </c>
      <c r="N613" s="21">
        <f>IF(J613="Yes","",IF(H613&gt;=I613,1,0))</f>
        <v/>
      </c>
      <c r="O613" s="21">
        <f>IF(I613&lt;=5000000,"Under $5M",IF(I613&lt;=20000000,"$5M-20M",IF(I613&lt;=50000000,"$20M-50M",IF(I613&lt;=100000000,"$50M-100M","$100M+"))))</f>
        <v/>
      </c>
      <c r="P613" s="21">
        <f>IF(E613&lt;=90,"90 or less",IF(E613&lt;=105,"91-105",IF(E613&lt;=120,"106-120",IF(E613&lt;=140,"121-140","Over 140"))))</f>
        <v/>
      </c>
      <c r="Q613" s="28">
        <f>INT(C613/10)*10</f>
        <v/>
      </c>
    </row>
    <row r="614">
      <c r="A614" s="21" t="n">
        <v>636</v>
      </c>
      <c r="B614" s="21" t="inlineStr">
        <is>
          <t>Raising Cain</t>
        </is>
      </c>
      <c r="C614" s="21" t="n">
        <v>1992</v>
      </c>
      <c r="D614" s="21" t="inlineStr">
        <is>
          <t>USA</t>
        </is>
      </c>
      <c r="E614" s="21" t="n">
        <v>91</v>
      </c>
      <c r="F614" s="21" t="inlineStr">
        <is>
          <t>English</t>
        </is>
      </c>
      <c r="G614" s="21" t="inlineStr">
        <is>
          <t>R</t>
        </is>
      </c>
      <c r="H614" s="22" t="n">
        <v>21370057</v>
      </c>
      <c r="I614" s="22" t="n">
        <v>12000000</v>
      </c>
      <c r="J614" s="21">
        <f>IF(OR(H614="",H614=25529689.5),"Yes","No")</f>
        <v/>
      </c>
      <c r="K614" s="21">
        <f>IF(AND(D614="USA",C614&gt;=1980,J614="No"),"Yes","No")</f>
        <v/>
      </c>
      <c r="L614" s="26">
        <f>IF(J614="Yes","",H614-I614)</f>
        <v/>
      </c>
      <c r="M614" s="27">
        <f>IF(OR(J614="Yes",I614=0),"",H614/I614)</f>
        <v/>
      </c>
      <c r="N614" s="21">
        <f>IF(J614="Yes","",IF(H614&gt;=I614,1,0))</f>
        <v/>
      </c>
      <c r="O614" s="21">
        <f>IF(I614&lt;=5000000,"Under $5M",IF(I614&lt;=20000000,"$5M-20M",IF(I614&lt;=50000000,"$20M-50M",IF(I614&lt;=100000000,"$50M-100M","$100M+"))))</f>
        <v/>
      </c>
      <c r="P614" s="21">
        <f>IF(E614&lt;=90,"90 or less",IF(E614&lt;=105,"91-105",IF(E614&lt;=120,"106-120",IF(E614&lt;=140,"121-140","Over 140"))))</f>
        <v/>
      </c>
      <c r="Q614" s="28">
        <f>INT(C614/10)*10</f>
        <v/>
      </c>
    </row>
    <row r="615">
      <c r="A615" s="21" t="n">
        <v>637</v>
      </c>
      <c r="B615" s="21" t="inlineStr">
        <is>
          <t>Reservoir Dogs</t>
        </is>
      </c>
      <c r="C615" s="21" t="n">
        <v>1992</v>
      </c>
      <c r="D615" s="21" t="inlineStr">
        <is>
          <t>USA</t>
        </is>
      </c>
      <c r="E615" s="21" t="n">
        <v>99</v>
      </c>
      <c r="F615" s="21" t="inlineStr">
        <is>
          <t>English</t>
        </is>
      </c>
      <c r="G615" s="21" t="inlineStr">
        <is>
          <t>R</t>
        </is>
      </c>
      <c r="H615" s="22" t="n">
        <v>2812029</v>
      </c>
      <c r="I615" s="22" t="n">
        <v>1200000</v>
      </c>
      <c r="J615" s="21">
        <f>IF(OR(H615="",H615=25529689.5),"Yes","No")</f>
        <v/>
      </c>
      <c r="K615" s="21">
        <f>IF(AND(D615="USA",C615&gt;=1980,J615="No"),"Yes","No")</f>
        <v/>
      </c>
      <c r="L615" s="26">
        <f>IF(J615="Yes","",H615-I615)</f>
        <v/>
      </c>
      <c r="M615" s="27">
        <f>IF(OR(J615="Yes",I615=0),"",H615/I615)</f>
        <v/>
      </c>
      <c r="N615" s="21">
        <f>IF(J615="Yes","",IF(H615&gt;=I615,1,0))</f>
        <v/>
      </c>
      <c r="O615" s="21">
        <f>IF(I615&lt;=5000000,"Under $5M",IF(I615&lt;=20000000,"$5M-20M",IF(I615&lt;=50000000,"$20M-50M",IF(I615&lt;=100000000,"$50M-100M","$100M+"))))</f>
        <v/>
      </c>
      <c r="P615" s="21">
        <f>IF(E615&lt;=90,"90 or less",IF(E615&lt;=105,"91-105",IF(E615&lt;=120,"106-120",IF(E615&lt;=140,"121-140","Over 140"))))</f>
        <v/>
      </c>
      <c r="Q615" s="28">
        <f>INT(C615/10)*10</f>
        <v/>
      </c>
    </row>
    <row r="616">
      <c r="A616" s="21" t="n">
        <v>638</v>
      </c>
      <c r="B616" s="21" t="inlineStr">
        <is>
          <t>Split Second</t>
        </is>
      </c>
      <c r="C616" s="21" t="n">
        <v>1992</v>
      </c>
      <c r="D616" s="21" t="inlineStr">
        <is>
          <t>UK</t>
        </is>
      </c>
      <c r="E616" s="21" t="n">
        <v>96</v>
      </c>
      <c r="F616" s="21" t="inlineStr">
        <is>
          <t>English</t>
        </is>
      </c>
      <c r="G616" s="21" t="inlineStr">
        <is>
          <t>R</t>
        </is>
      </c>
      <c r="H616" s="22" t="n">
        <v>5430822</v>
      </c>
      <c r="I616" s="22" t="n">
        <v>7000000</v>
      </c>
      <c r="J616" s="21">
        <f>IF(OR(H616="",H616=25529689.5),"Yes","No")</f>
        <v/>
      </c>
      <c r="K616" s="21">
        <f>IF(AND(D616="USA",C616&gt;=1980,J616="No"),"Yes","No")</f>
        <v/>
      </c>
      <c r="L616" s="26">
        <f>IF(J616="Yes","",H616-I616)</f>
        <v/>
      </c>
      <c r="M616" s="27">
        <f>IF(OR(J616="Yes",I616=0),"",H616/I616)</f>
        <v/>
      </c>
      <c r="N616" s="21">
        <f>IF(J616="Yes","",IF(H616&gt;=I616,1,0))</f>
        <v/>
      </c>
      <c r="O616" s="21">
        <f>IF(I616&lt;=5000000,"Under $5M",IF(I616&lt;=20000000,"$5M-20M",IF(I616&lt;=50000000,"$20M-50M",IF(I616&lt;=100000000,"$50M-100M","$100M+"))))</f>
        <v/>
      </c>
      <c r="P616" s="21">
        <f>IF(E616&lt;=90,"90 or less",IF(E616&lt;=105,"91-105",IF(E616&lt;=120,"106-120",IF(E616&lt;=140,"121-140","Over 140"))))</f>
        <v/>
      </c>
      <c r="Q616" s="28">
        <f>INT(C616/10)*10</f>
        <v/>
      </c>
    </row>
    <row r="617">
      <c r="A617" s="21" t="n">
        <v>639</v>
      </c>
      <c r="B617" s="21" t="inlineStr">
        <is>
          <t>The Bodyguard</t>
        </is>
      </c>
      <c r="C617" s="21" t="n">
        <v>1992</v>
      </c>
      <c r="D617" s="21" t="inlineStr">
        <is>
          <t>USA</t>
        </is>
      </c>
      <c r="E617" s="21" t="n">
        <v>129</v>
      </c>
      <c r="F617" s="21" t="inlineStr">
        <is>
          <t>English</t>
        </is>
      </c>
      <c r="G617" s="21" t="inlineStr">
        <is>
          <t>R</t>
        </is>
      </c>
      <c r="H617" s="22" t="n">
        <v>121945720</v>
      </c>
      <c r="I617" s="22" t="n">
        <v>25000000</v>
      </c>
      <c r="J617" s="21">
        <f>IF(OR(H617="",H617=25529689.5),"Yes","No")</f>
        <v/>
      </c>
      <c r="K617" s="21">
        <f>IF(AND(D617="USA",C617&gt;=1980,J617="No"),"Yes","No")</f>
        <v/>
      </c>
      <c r="L617" s="26">
        <f>IF(J617="Yes","",H617-I617)</f>
        <v/>
      </c>
      <c r="M617" s="27">
        <f>IF(OR(J617="Yes",I617=0),"",H617/I617)</f>
        <v/>
      </c>
      <c r="N617" s="21">
        <f>IF(J617="Yes","",IF(H617&gt;=I617,1,0))</f>
        <v/>
      </c>
      <c r="O617" s="21">
        <f>IF(I617&lt;=5000000,"Under $5M",IF(I617&lt;=20000000,"$5M-20M",IF(I617&lt;=50000000,"$20M-50M",IF(I617&lt;=100000000,"$50M-100M","$100M+"))))</f>
        <v/>
      </c>
      <c r="P617" s="21">
        <f>IF(E617&lt;=90,"90 or less",IF(E617&lt;=105,"91-105",IF(E617&lt;=120,"106-120",IF(E617&lt;=140,"121-140","Over 140"))))</f>
        <v/>
      </c>
      <c r="Q617" s="28">
        <f>INT(C617/10)*10</f>
        <v/>
      </c>
    </row>
    <row r="618">
      <c r="A618" s="21" t="n">
        <v>640</v>
      </c>
      <c r="B618" s="21" t="inlineStr">
        <is>
          <t>The Crying Game</t>
        </is>
      </c>
      <c r="C618" s="21" t="n">
        <v>1992</v>
      </c>
      <c r="D618" s="21" t="inlineStr">
        <is>
          <t>UK</t>
        </is>
      </c>
      <c r="E618" s="21" t="n">
        <v>112</v>
      </c>
      <c r="F618" s="21" t="inlineStr">
        <is>
          <t>English</t>
        </is>
      </c>
      <c r="G618" s="21" t="inlineStr">
        <is>
          <t>R</t>
        </is>
      </c>
      <c r="H618" s="22" t="n">
        <v>62549000</v>
      </c>
      <c r="I618" s="22" t="n">
        <v>2300000</v>
      </c>
      <c r="J618" s="21">
        <f>IF(OR(H618="",H618=25529689.5),"Yes","No")</f>
        <v/>
      </c>
      <c r="K618" s="21">
        <f>IF(AND(D618="USA",C618&gt;=1980,J618="No"),"Yes","No")</f>
        <v/>
      </c>
      <c r="L618" s="26">
        <f>IF(J618="Yes","",H618-I618)</f>
        <v/>
      </c>
      <c r="M618" s="27">
        <f>IF(OR(J618="Yes",I618=0),"",H618/I618)</f>
        <v/>
      </c>
      <c r="N618" s="21">
        <f>IF(J618="Yes","",IF(H618&gt;=I618,1,0))</f>
        <v/>
      </c>
      <c r="O618" s="21">
        <f>IF(I618&lt;=5000000,"Under $5M",IF(I618&lt;=20000000,"$5M-20M",IF(I618&lt;=50000000,"$20M-50M",IF(I618&lt;=100000000,"$50M-100M","$100M+"))))</f>
        <v/>
      </c>
      <c r="P618" s="21">
        <f>IF(E618&lt;=90,"90 or less",IF(E618&lt;=105,"91-105",IF(E618&lt;=120,"106-120",IF(E618&lt;=140,"121-140","Over 140"))))</f>
        <v/>
      </c>
      <c r="Q618" s="28">
        <f>INT(C618/10)*10</f>
        <v/>
      </c>
    </row>
    <row r="619">
      <c r="A619" s="21" t="n">
        <v>641</v>
      </c>
      <c r="B619" s="21" t="inlineStr">
        <is>
          <t>The Last of the Mohicans</t>
        </is>
      </c>
      <c r="C619" s="21" t="n">
        <v>1992</v>
      </c>
      <c r="D619" s="21" t="inlineStr">
        <is>
          <t>USA</t>
        </is>
      </c>
      <c r="E619" s="21" t="n">
        <v>117</v>
      </c>
      <c r="F619" s="21" t="inlineStr">
        <is>
          <t>English</t>
        </is>
      </c>
      <c r="G619" s="21" t="inlineStr">
        <is>
          <t>R</t>
        </is>
      </c>
      <c r="H619" s="22" t="n">
        <v>72455275</v>
      </c>
      <c r="I619" s="22" t="n">
        <v>40000000</v>
      </c>
      <c r="J619" s="21">
        <f>IF(OR(H619="",H619=25529689.5),"Yes","No")</f>
        <v/>
      </c>
      <c r="K619" s="21">
        <f>IF(AND(D619="USA",C619&gt;=1980,J619="No"),"Yes","No")</f>
        <v/>
      </c>
      <c r="L619" s="26">
        <f>IF(J619="Yes","",H619-I619)</f>
        <v/>
      </c>
      <c r="M619" s="27">
        <f>IF(OR(J619="Yes",I619=0),"",H619/I619)</f>
        <v/>
      </c>
      <c r="N619" s="21">
        <f>IF(J619="Yes","",IF(H619&gt;=I619,1,0))</f>
        <v/>
      </c>
      <c r="O619" s="21">
        <f>IF(I619&lt;=5000000,"Under $5M",IF(I619&lt;=20000000,"$5M-20M",IF(I619&lt;=50000000,"$20M-50M",IF(I619&lt;=100000000,"$50M-100M","$100M+"))))</f>
        <v/>
      </c>
      <c r="P619" s="21">
        <f>IF(E619&lt;=90,"90 or less",IF(E619&lt;=105,"91-105",IF(E619&lt;=120,"106-120",IF(E619&lt;=140,"121-140","Over 140"))))</f>
        <v/>
      </c>
      <c r="Q619" s="28">
        <f>INT(C619/10)*10</f>
        <v/>
      </c>
    </row>
    <row r="620">
      <c r="A620" s="21" t="n">
        <v>642</v>
      </c>
      <c r="B620" s="21" t="inlineStr">
        <is>
          <t>The Lawnmower Man</t>
        </is>
      </c>
      <c r="C620" s="21" t="n">
        <v>1992</v>
      </c>
      <c r="D620" s="21" t="inlineStr">
        <is>
          <t>UK</t>
        </is>
      </c>
      <c r="E620" s="21" t="n">
        <v>140</v>
      </c>
      <c r="F620" s="21" t="inlineStr">
        <is>
          <t>English</t>
        </is>
      </c>
      <c r="G620" s="21" t="inlineStr">
        <is>
          <t>R</t>
        </is>
      </c>
      <c r="H620" s="22" t="n">
        <v>32101000</v>
      </c>
      <c r="I620" s="22" t="n">
        <v>10000000</v>
      </c>
      <c r="J620" s="21">
        <f>IF(OR(H620="",H620=25529689.5),"Yes","No")</f>
        <v/>
      </c>
      <c r="K620" s="21">
        <f>IF(AND(D620="USA",C620&gt;=1980,J620="No"),"Yes","No")</f>
        <v/>
      </c>
      <c r="L620" s="26">
        <f>IF(J620="Yes","",H620-I620)</f>
        <v/>
      </c>
      <c r="M620" s="27">
        <f>IF(OR(J620="Yes",I620=0),"",H620/I620)</f>
        <v/>
      </c>
      <c r="N620" s="21">
        <f>IF(J620="Yes","",IF(H620&gt;=I620,1,0))</f>
        <v/>
      </c>
      <c r="O620" s="21">
        <f>IF(I620&lt;=5000000,"Under $5M",IF(I620&lt;=20000000,"$5M-20M",IF(I620&lt;=50000000,"$20M-50M",IF(I620&lt;=100000000,"$50M-100M","$100M+"))))</f>
        <v/>
      </c>
      <c r="P620" s="21">
        <f>IF(E620&lt;=90,"90 or less",IF(E620&lt;=105,"91-105",IF(E620&lt;=120,"106-120",IF(E620&lt;=140,"121-140","Over 140"))))</f>
        <v/>
      </c>
      <c r="Q620" s="28">
        <f>INT(C620/10)*10</f>
        <v/>
      </c>
    </row>
    <row r="621">
      <c r="A621" s="21" t="n">
        <v>643</v>
      </c>
      <c r="B621" s="21" t="inlineStr">
        <is>
          <t>The Mighty Ducks</t>
        </is>
      </c>
      <c r="C621" s="21" t="n">
        <v>1992</v>
      </c>
      <c r="D621" s="21" t="inlineStr">
        <is>
          <t>USA</t>
        </is>
      </c>
      <c r="E621" s="21" t="n">
        <v>100</v>
      </c>
      <c r="F621" s="21" t="inlineStr">
        <is>
          <t>English</t>
        </is>
      </c>
      <c r="G621" s="21" t="inlineStr">
        <is>
          <t>PG</t>
        </is>
      </c>
      <c r="H621" s="22" t="n">
        <v>50752337</v>
      </c>
      <c r="I621" s="22" t="n">
        <v>10000000</v>
      </c>
      <c r="J621" s="21">
        <f>IF(OR(H621="",H621=25529689.5),"Yes","No")</f>
        <v/>
      </c>
      <c r="K621" s="21">
        <f>IF(AND(D621="USA",C621&gt;=1980,J621="No"),"Yes","No")</f>
        <v/>
      </c>
      <c r="L621" s="26">
        <f>IF(J621="Yes","",H621-I621)</f>
        <v/>
      </c>
      <c r="M621" s="27">
        <f>IF(OR(J621="Yes",I621=0),"",H621/I621)</f>
        <v/>
      </c>
      <c r="N621" s="21">
        <f>IF(J621="Yes","",IF(H621&gt;=I621,1,0))</f>
        <v/>
      </c>
      <c r="O621" s="21">
        <f>IF(I621&lt;=5000000,"Under $5M",IF(I621&lt;=20000000,"$5M-20M",IF(I621&lt;=50000000,"$20M-50M",IF(I621&lt;=100000000,"$50M-100M","$100M+"))))</f>
        <v/>
      </c>
      <c r="P621" s="21">
        <f>IF(E621&lt;=90,"90 or less",IF(E621&lt;=105,"91-105",IF(E621&lt;=120,"106-120",IF(E621&lt;=140,"121-140","Over 140"))))</f>
        <v/>
      </c>
      <c r="Q621" s="28">
        <f>INT(C621/10)*10</f>
        <v/>
      </c>
    </row>
    <row r="622">
      <c r="A622" s="21" t="n">
        <v>644</v>
      </c>
      <c r="B622" s="21" t="inlineStr">
        <is>
          <t>The Muppet Christmas Carol</t>
        </is>
      </c>
      <c r="C622" s="21" t="n">
        <v>1992</v>
      </c>
      <c r="D622" s="21" t="inlineStr">
        <is>
          <t>USA</t>
        </is>
      </c>
      <c r="E622" s="21" t="n">
        <v>89</v>
      </c>
      <c r="F622" s="21" t="inlineStr">
        <is>
          <t>English</t>
        </is>
      </c>
      <c r="G622" s="21" t="inlineStr">
        <is>
          <t>G</t>
        </is>
      </c>
      <c r="H622" s="22" t="n">
        <v>27281507</v>
      </c>
      <c r="I622" s="22" t="n">
        <v>12000000</v>
      </c>
      <c r="J622" s="21">
        <f>IF(OR(H622="",H622=25529689.5),"Yes","No")</f>
        <v/>
      </c>
      <c r="K622" s="21">
        <f>IF(AND(D622="USA",C622&gt;=1980,J622="No"),"Yes","No")</f>
        <v/>
      </c>
      <c r="L622" s="26">
        <f>IF(J622="Yes","",H622-I622)</f>
        <v/>
      </c>
      <c r="M622" s="27">
        <f>IF(OR(J622="Yes",I622=0),"",H622/I622)</f>
        <v/>
      </c>
      <c r="N622" s="21">
        <f>IF(J622="Yes","",IF(H622&gt;=I622,1,0))</f>
        <v/>
      </c>
      <c r="O622" s="21">
        <f>IF(I622&lt;=5000000,"Under $5M",IF(I622&lt;=20000000,"$5M-20M",IF(I622&lt;=50000000,"$20M-50M",IF(I622&lt;=100000000,"$50M-100M","$100M+"))))</f>
        <v/>
      </c>
      <c r="P622" s="21">
        <f>IF(E622&lt;=90,"90 or less",IF(E622&lt;=105,"91-105",IF(E622&lt;=120,"106-120",IF(E622&lt;=140,"121-140","Over 140"))))</f>
        <v/>
      </c>
      <c r="Q622" s="28">
        <f>INT(C622/10)*10</f>
        <v/>
      </c>
    </row>
    <row r="623">
      <c r="A623" s="21" t="n">
        <v>645</v>
      </c>
      <c r="B623" s="21" t="inlineStr">
        <is>
          <t>Unforgiven</t>
        </is>
      </c>
      <c r="C623" s="21" t="n">
        <v>1992</v>
      </c>
      <c r="D623" s="21" t="inlineStr">
        <is>
          <t>USA</t>
        </is>
      </c>
      <c r="E623" s="21" t="n">
        <v>131</v>
      </c>
      <c r="F623" s="21" t="inlineStr">
        <is>
          <t>English</t>
        </is>
      </c>
      <c r="G623" s="21" t="inlineStr">
        <is>
          <t>R</t>
        </is>
      </c>
      <c r="H623" s="22" t="n">
        <v>101157447</v>
      </c>
      <c r="I623" s="22" t="n">
        <v>14400000</v>
      </c>
      <c r="J623" s="21">
        <f>IF(OR(H623="",H623=25529689.5),"Yes","No")</f>
        <v/>
      </c>
      <c r="K623" s="21">
        <f>IF(AND(D623="USA",C623&gt;=1980,J623="No"),"Yes","No")</f>
        <v/>
      </c>
      <c r="L623" s="26">
        <f>IF(J623="Yes","",H623-I623)</f>
        <v/>
      </c>
      <c r="M623" s="27">
        <f>IF(OR(J623="Yes",I623=0),"",H623/I623)</f>
        <v/>
      </c>
      <c r="N623" s="21">
        <f>IF(J623="Yes","",IF(H623&gt;=I623,1,0))</f>
        <v/>
      </c>
      <c r="O623" s="21">
        <f>IF(I623&lt;=5000000,"Under $5M",IF(I623&lt;=20000000,"$5M-20M",IF(I623&lt;=50000000,"$20M-50M",IF(I623&lt;=100000000,"$50M-100M","$100M+"))))</f>
        <v/>
      </c>
      <c r="P623" s="21">
        <f>IF(E623&lt;=90,"90 or less",IF(E623&lt;=105,"91-105",IF(E623&lt;=120,"106-120",IF(E623&lt;=140,"121-140","Over 140"))))</f>
        <v/>
      </c>
      <c r="Q623" s="28">
        <f>INT(C623/10)*10</f>
        <v/>
      </c>
    </row>
    <row r="624">
      <c r="A624" s="21" t="n">
        <v>646</v>
      </c>
      <c r="B624" s="21" t="inlineStr">
        <is>
          <t>Wayne's World</t>
        </is>
      </c>
      <c r="C624" s="21" t="n">
        <v>1992</v>
      </c>
      <c r="D624" s="21" t="inlineStr">
        <is>
          <t>USA</t>
        </is>
      </c>
      <c r="E624" s="21" t="n">
        <v>94</v>
      </c>
      <c r="F624" s="21" t="inlineStr">
        <is>
          <t>English</t>
        </is>
      </c>
      <c r="G624" s="21" t="inlineStr">
        <is>
          <t>PG-13</t>
        </is>
      </c>
      <c r="H624" s="22" t="n">
        <v>121697350</v>
      </c>
      <c r="I624" s="22" t="n">
        <v>20000000</v>
      </c>
      <c r="J624" s="21">
        <f>IF(OR(H624="",H624=25529689.5),"Yes","No")</f>
        <v/>
      </c>
      <c r="K624" s="21">
        <f>IF(AND(D624="USA",C624&gt;=1980,J624="No"),"Yes","No")</f>
        <v/>
      </c>
      <c r="L624" s="26">
        <f>IF(J624="Yes","",H624-I624)</f>
        <v/>
      </c>
      <c r="M624" s="27">
        <f>IF(OR(J624="Yes",I624=0),"",H624/I624)</f>
        <v/>
      </c>
      <c r="N624" s="21">
        <f>IF(J624="Yes","",IF(H624&gt;=I624,1,0))</f>
        <v/>
      </c>
      <c r="O624" s="21">
        <f>IF(I624&lt;=5000000,"Under $5M",IF(I624&lt;=20000000,"$5M-20M",IF(I624&lt;=50000000,"$20M-50M",IF(I624&lt;=100000000,"$50M-100M","$100M+"))))</f>
        <v/>
      </c>
      <c r="P624" s="21">
        <f>IF(E624&lt;=90,"90 or less",IF(E624&lt;=105,"91-105",IF(E624&lt;=120,"106-120",IF(E624&lt;=140,"121-140","Over 140"))))</f>
        <v/>
      </c>
      <c r="Q624" s="28">
        <f>INT(C624/10)*10</f>
        <v/>
      </c>
    </row>
    <row r="625">
      <c r="A625" s="21" t="n">
        <v>647</v>
      </c>
      <c r="B625" s="21" t="inlineStr">
        <is>
          <t>Airborne</t>
        </is>
      </c>
      <c r="C625" s="21" t="n">
        <v>1993</v>
      </c>
      <c r="D625" s="21" t="inlineStr">
        <is>
          <t>USA</t>
        </is>
      </c>
      <c r="E625" s="21" t="n">
        <v>91</v>
      </c>
      <c r="F625" s="21" t="inlineStr">
        <is>
          <t>English</t>
        </is>
      </c>
      <c r="G625" s="21" t="inlineStr">
        <is>
          <t>PG</t>
        </is>
      </c>
      <c r="H625" s="22" t="n">
        <v>2850263</v>
      </c>
      <c r="I625" s="22" t="n">
        <v>2600000</v>
      </c>
      <c r="J625" s="21">
        <f>IF(OR(H625="",H625=25529689.5),"Yes","No")</f>
        <v/>
      </c>
      <c r="K625" s="21">
        <f>IF(AND(D625="USA",C625&gt;=1980,J625="No"),"Yes","No")</f>
        <v/>
      </c>
      <c r="L625" s="26">
        <f>IF(J625="Yes","",H625-I625)</f>
        <v/>
      </c>
      <c r="M625" s="27">
        <f>IF(OR(J625="Yes",I625=0),"",H625/I625)</f>
        <v/>
      </c>
      <c r="N625" s="21">
        <f>IF(J625="Yes","",IF(H625&gt;=I625,1,0))</f>
        <v/>
      </c>
      <c r="O625" s="21">
        <f>IF(I625&lt;=5000000,"Under $5M",IF(I625&lt;=20000000,"$5M-20M",IF(I625&lt;=50000000,"$20M-50M",IF(I625&lt;=100000000,"$50M-100M","$100M+"))))</f>
        <v/>
      </c>
      <c r="P625" s="21">
        <f>IF(E625&lt;=90,"90 or less",IF(E625&lt;=105,"91-105",IF(E625&lt;=120,"106-120",IF(E625&lt;=140,"121-140","Over 140"))))</f>
        <v/>
      </c>
      <c r="Q625" s="28">
        <f>INT(C625/10)*10</f>
        <v/>
      </c>
    </row>
    <row r="626">
      <c r="A626" s="21" t="n">
        <v>648</v>
      </c>
      <c r="B626" s="21" t="inlineStr">
        <is>
          <t>Alive</t>
        </is>
      </c>
      <c r="C626" s="21" t="n">
        <v>1993</v>
      </c>
      <c r="D626" s="21" t="inlineStr">
        <is>
          <t>USA</t>
        </is>
      </c>
      <c r="E626" s="21" t="n">
        <v>120</v>
      </c>
      <c r="F626" s="21" t="inlineStr">
        <is>
          <t>English</t>
        </is>
      </c>
      <c r="G626" s="21" t="inlineStr">
        <is>
          <t>R</t>
        </is>
      </c>
      <c r="H626" s="22" t="n">
        <v>36733909</v>
      </c>
      <c r="I626" s="22" t="n">
        <v>32000000</v>
      </c>
      <c r="J626" s="21">
        <f>IF(OR(H626="",H626=25529689.5),"Yes","No")</f>
        <v/>
      </c>
      <c r="K626" s="21">
        <f>IF(AND(D626="USA",C626&gt;=1980,J626="No"),"Yes","No")</f>
        <v/>
      </c>
      <c r="L626" s="26">
        <f>IF(J626="Yes","",H626-I626)</f>
        <v/>
      </c>
      <c r="M626" s="27">
        <f>IF(OR(J626="Yes",I626=0),"",H626/I626)</f>
        <v/>
      </c>
      <c r="N626" s="21">
        <f>IF(J626="Yes","",IF(H626&gt;=I626,1,0))</f>
        <v/>
      </c>
      <c r="O626" s="21">
        <f>IF(I626&lt;=5000000,"Under $5M",IF(I626&lt;=20000000,"$5M-20M",IF(I626&lt;=50000000,"$20M-50M",IF(I626&lt;=100000000,"$50M-100M","$100M+"))))</f>
        <v/>
      </c>
      <c r="P626" s="21">
        <f>IF(E626&lt;=90,"90 or less",IF(E626&lt;=105,"91-105",IF(E626&lt;=120,"106-120",IF(E626&lt;=140,"121-140","Over 140"))))</f>
        <v/>
      </c>
      <c r="Q626" s="28">
        <f>INT(C626/10)*10</f>
        <v/>
      </c>
    </row>
    <row r="627">
      <c r="A627" s="21" t="n">
        <v>649</v>
      </c>
      <c r="B627" s="21" t="inlineStr">
        <is>
          <t>Blood In, Blood Out</t>
        </is>
      </c>
      <c r="C627" s="21" t="n">
        <v>1993</v>
      </c>
      <c r="D627" s="21" t="inlineStr">
        <is>
          <t>USA</t>
        </is>
      </c>
      <c r="E627" s="21" t="n">
        <v>330</v>
      </c>
      <c r="F627" s="21" t="inlineStr">
        <is>
          <t>English</t>
        </is>
      </c>
      <c r="G627" s="21" t="inlineStr">
        <is>
          <t>R</t>
        </is>
      </c>
      <c r="H627" s="22" t="n">
        <v>4496583</v>
      </c>
      <c r="I627" s="22" t="n">
        <v>35000000</v>
      </c>
      <c r="J627" s="21">
        <f>IF(OR(H627="",H627=25529689.5),"Yes","No")</f>
        <v/>
      </c>
      <c r="K627" s="21">
        <f>IF(AND(D627="USA",C627&gt;=1980,J627="No"),"Yes","No")</f>
        <v/>
      </c>
      <c r="L627" s="26">
        <f>IF(J627="Yes","",H627-I627)</f>
        <v/>
      </c>
      <c r="M627" s="27">
        <f>IF(OR(J627="Yes",I627=0),"",H627/I627)</f>
        <v/>
      </c>
      <c r="N627" s="21">
        <f>IF(J627="Yes","",IF(H627&gt;=I627,1,0))</f>
        <v/>
      </c>
      <c r="O627" s="21">
        <f>IF(I627&lt;=5000000,"Under $5M",IF(I627&lt;=20000000,"$5M-20M",IF(I627&lt;=50000000,"$20M-50M",IF(I627&lt;=100000000,"$50M-100M","$100M+"))))</f>
        <v/>
      </c>
      <c r="P627" s="21">
        <f>IF(E627&lt;=90,"90 or less",IF(E627&lt;=105,"91-105",IF(E627&lt;=120,"106-120",IF(E627&lt;=140,"121-140","Over 140"))))</f>
        <v/>
      </c>
      <c r="Q627" s="28">
        <f>INT(C627/10)*10</f>
        <v/>
      </c>
    </row>
    <row r="628">
      <c r="A628" s="21" t="n">
        <v>650</v>
      </c>
      <c r="B628" s="21" t="inlineStr">
        <is>
          <t>Cliffhanger</t>
        </is>
      </c>
      <c r="C628" s="21" t="n">
        <v>1993</v>
      </c>
      <c r="D628" s="21" t="inlineStr">
        <is>
          <t>USA</t>
        </is>
      </c>
      <c r="E628" s="21" t="n">
        <v>124</v>
      </c>
      <c r="F628" s="21" t="inlineStr">
        <is>
          <t>English</t>
        </is>
      </c>
      <c r="G628" s="21" t="inlineStr">
        <is>
          <t>R</t>
        </is>
      </c>
      <c r="H628" s="22" t="n">
        <v>84049211</v>
      </c>
      <c r="I628" s="22" t="n">
        <v>70000000</v>
      </c>
      <c r="J628" s="21">
        <f>IF(OR(H628="",H628=25529689.5),"Yes","No")</f>
        <v/>
      </c>
      <c r="K628" s="21">
        <f>IF(AND(D628="USA",C628&gt;=1980,J628="No"),"Yes","No")</f>
        <v/>
      </c>
      <c r="L628" s="26">
        <f>IF(J628="Yes","",H628-I628)</f>
        <v/>
      </c>
      <c r="M628" s="27">
        <f>IF(OR(J628="Yes",I628=0),"",H628/I628)</f>
        <v/>
      </c>
      <c r="N628" s="21">
        <f>IF(J628="Yes","",IF(H628&gt;=I628,1,0))</f>
        <v/>
      </c>
      <c r="O628" s="21">
        <f>IF(I628&lt;=5000000,"Under $5M",IF(I628&lt;=20000000,"$5M-20M",IF(I628&lt;=50000000,"$20M-50M",IF(I628&lt;=100000000,"$50M-100M","$100M+"))))</f>
        <v/>
      </c>
      <c r="P628" s="21">
        <f>IF(E628&lt;=90,"90 or less",IF(E628&lt;=105,"91-105",IF(E628&lt;=120,"106-120",IF(E628&lt;=140,"121-140","Over 140"))))</f>
        <v/>
      </c>
      <c r="Q628" s="28">
        <f>INT(C628/10)*10</f>
        <v/>
      </c>
    </row>
    <row r="629">
      <c r="A629" s="21" t="n">
        <v>651</v>
      </c>
      <c r="B629" s="21" t="inlineStr">
        <is>
          <t>Cool Runnings</t>
        </is>
      </c>
      <c r="C629" s="21" t="n">
        <v>1993</v>
      </c>
      <c r="D629" s="21" t="inlineStr">
        <is>
          <t>USA</t>
        </is>
      </c>
      <c r="E629" s="21" t="n">
        <v>98</v>
      </c>
      <c r="F629" s="21" t="inlineStr">
        <is>
          <t>English</t>
        </is>
      </c>
      <c r="G629" s="21" t="inlineStr">
        <is>
          <t>PG</t>
        </is>
      </c>
      <c r="H629" s="22" t="n">
        <v>68856263</v>
      </c>
      <c r="I629" s="22" t="n">
        <v>15000000</v>
      </c>
      <c r="J629" s="21">
        <f>IF(OR(H629="",H629=25529689.5),"Yes","No")</f>
        <v/>
      </c>
      <c r="K629" s="21">
        <f>IF(AND(D629="USA",C629&gt;=1980,J629="No"),"Yes","No")</f>
        <v/>
      </c>
      <c r="L629" s="26">
        <f>IF(J629="Yes","",H629-I629)</f>
        <v/>
      </c>
      <c r="M629" s="27">
        <f>IF(OR(J629="Yes",I629=0),"",H629/I629)</f>
        <v/>
      </c>
      <c r="N629" s="21">
        <f>IF(J629="Yes","",IF(H629&gt;=I629,1,0))</f>
        <v/>
      </c>
      <c r="O629" s="21">
        <f>IF(I629&lt;=5000000,"Under $5M",IF(I629&lt;=20000000,"$5M-20M",IF(I629&lt;=50000000,"$20M-50M",IF(I629&lt;=100000000,"$50M-100M","$100M+"))))</f>
        <v/>
      </c>
      <c r="P629" s="21">
        <f>IF(E629&lt;=90,"90 or less",IF(E629&lt;=105,"91-105",IF(E629&lt;=120,"106-120",IF(E629&lt;=140,"121-140","Over 140"))))</f>
        <v/>
      </c>
      <c r="Q629" s="28">
        <f>INT(C629/10)*10</f>
        <v/>
      </c>
    </row>
    <row r="630">
      <c r="A630" s="21" t="n">
        <v>652</v>
      </c>
      <c r="B630" s="21" t="inlineStr">
        <is>
          <t>Dazed and Confused</t>
        </is>
      </c>
      <c r="C630" s="21" t="n">
        <v>1993</v>
      </c>
      <c r="D630" s="21" t="inlineStr">
        <is>
          <t>USA</t>
        </is>
      </c>
      <c r="E630" s="21" t="n">
        <v>102</v>
      </c>
      <c r="F630" s="21" t="inlineStr">
        <is>
          <t>English</t>
        </is>
      </c>
      <c r="G630" s="21" t="inlineStr">
        <is>
          <t>R</t>
        </is>
      </c>
      <c r="H630" s="22" t="n">
        <v>7993039</v>
      </c>
      <c r="I630" s="22" t="n">
        <v>6900000</v>
      </c>
      <c r="J630" s="21">
        <f>IF(OR(H630="",H630=25529689.5),"Yes","No")</f>
        <v/>
      </c>
      <c r="K630" s="21">
        <f>IF(AND(D630="USA",C630&gt;=1980,J630="No"),"Yes","No")</f>
        <v/>
      </c>
      <c r="L630" s="26">
        <f>IF(J630="Yes","",H630-I630)</f>
        <v/>
      </c>
      <c r="M630" s="27">
        <f>IF(OR(J630="Yes",I630=0),"",H630/I630)</f>
        <v/>
      </c>
      <c r="N630" s="21">
        <f>IF(J630="Yes","",IF(H630&gt;=I630,1,0))</f>
        <v/>
      </c>
      <c r="O630" s="21">
        <f>IF(I630&lt;=5000000,"Under $5M",IF(I630&lt;=20000000,"$5M-20M",IF(I630&lt;=50000000,"$20M-50M",IF(I630&lt;=100000000,"$50M-100M","$100M+"))))</f>
        <v/>
      </c>
      <c r="P630" s="21">
        <f>IF(E630&lt;=90,"90 or less",IF(E630&lt;=105,"91-105",IF(E630&lt;=120,"106-120",IF(E630&lt;=140,"121-140","Over 140"))))</f>
        <v/>
      </c>
      <c r="Q630" s="28">
        <f>INT(C630/10)*10</f>
        <v/>
      </c>
    </row>
    <row r="631">
      <c r="A631" s="21" t="n">
        <v>653</v>
      </c>
      <c r="B631" s="21" t="inlineStr">
        <is>
          <t>Ed and His Dead Mother</t>
        </is>
      </c>
      <c r="C631" s="21" t="n">
        <v>1993</v>
      </c>
      <c r="D631" s="21" t="inlineStr">
        <is>
          <t>USA</t>
        </is>
      </c>
      <c r="E631" s="21" t="n">
        <v>93</v>
      </c>
      <c r="F631" s="21" t="inlineStr">
        <is>
          <t>English</t>
        </is>
      </c>
      <c r="G631" s="21" t="inlineStr">
        <is>
          <t>PG-13</t>
        </is>
      </c>
      <c r="H631" s="22" t="n">
        <v>25529689.5</v>
      </c>
      <c r="I631" s="22" t="n">
        <v>1800000</v>
      </c>
      <c r="J631" s="21">
        <f>IF(OR(H631="",H631=25529689.5),"Yes","No")</f>
        <v/>
      </c>
      <c r="K631" s="21">
        <f>IF(AND(D631="USA",C631&gt;=1980,J631="No"),"Yes","No")</f>
        <v/>
      </c>
      <c r="L631" s="26">
        <f>IF(J631="Yes","",H631-I631)</f>
        <v/>
      </c>
      <c r="M631" s="27">
        <f>IF(OR(J631="Yes",I631=0),"",H631/I631)</f>
        <v/>
      </c>
      <c r="N631" s="21">
        <f>IF(J631="Yes","",IF(H631&gt;=I631,1,0))</f>
        <v/>
      </c>
      <c r="O631" s="21">
        <f>IF(I631&lt;=5000000,"Under $5M",IF(I631&lt;=20000000,"$5M-20M",IF(I631&lt;=50000000,"$20M-50M",IF(I631&lt;=100000000,"$50M-100M","$100M+"))))</f>
        <v/>
      </c>
      <c r="P631" s="21">
        <f>IF(E631&lt;=90,"90 or less",IF(E631&lt;=105,"91-105",IF(E631&lt;=120,"106-120",IF(E631&lt;=140,"121-140","Over 140"))))</f>
        <v/>
      </c>
      <c r="Q631" s="28">
        <f>INT(C631/10)*10</f>
        <v/>
      </c>
    </row>
    <row r="632">
      <c r="A632" s="21" t="n">
        <v>654</v>
      </c>
      <c r="B632" s="21" t="inlineStr">
        <is>
          <t>Excessive Force</t>
        </is>
      </c>
      <c r="C632" s="21" t="n">
        <v>1993</v>
      </c>
      <c r="D632" s="21" t="inlineStr">
        <is>
          <t>USA</t>
        </is>
      </c>
      <c r="E632" s="21" t="n">
        <v>87</v>
      </c>
      <c r="F632" s="21" t="inlineStr">
        <is>
          <t>English</t>
        </is>
      </c>
      <c r="G632" s="21" t="inlineStr">
        <is>
          <t>R</t>
        </is>
      </c>
      <c r="H632" s="22" t="n">
        <v>1200000</v>
      </c>
      <c r="I632" s="22" t="n">
        <v>3000000</v>
      </c>
      <c r="J632" s="21">
        <f>IF(OR(H632="",H632=25529689.5),"Yes","No")</f>
        <v/>
      </c>
      <c r="K632" s="21">
        <f>IF(AND(D632="USA",C632&gt;=1980,J632="No"),"Yes","No")</f>
        <v/>
      </c>
      <c r="L632" s="26">
        <f>IF(J632="Yes","",H632-I632)</f>
        <v/>
      </c>
      <c r="M632" s="27">
        <f>IF(OR(J632="Yes",I632=0),"",H632/I632)</f>
        <v/>
      </c>
      <c r="N632" s="21">
        <f>IF(J632="Yes","",IF(H632&gt;=I632,1,0))</f>
        <v/>
      </c>
      <c r="O632" s="21">
        <f>IF(I632&lt;=5000000,"Under $5M",IF(I632&lt;=20000000,"$5M-20M",IF(I632&lt;=50000000,"$20M-50M",IF(I632&lt;=100000000,"$50M-100M","$100M+"))))</f>
        <v/>
      </c>
      <c r="P632" s="21">
        <f>IF(E632&lt;=90,"90 or less",IF(E632&lt;=105,"91-105",IF(E632&lt;=120,"106-120",IF(E632&lt;=140,"121-140","Over 140"))))</f>
        <v/>
      </c>
      <c r="Q632" s="28">
        <f>INT(C632/10)*10</f>
        <v/>
      </c>
    </row>
    <row r="633">
      <c r="A633" s="21" t="n">
        <v>655</v>
      </c>
      <c r="B633" s="21" t="inlineStr">
        <is>
          <t>Gettysburg</t>
        </is>
      </c>
      <c r="C633" s="21" t="n">
        <v>1993</v>
      </c>
      <c r="D633" s="21" t="inlineStr">
        <is>
          <t>USA</t>
        </is>
      </c>
      <c r="E633" s="21" t="n">
        <v>271</v>
      </c>
      <c r="F633" s="21" t="inlineStr">
        <is>
          <t>English</t>
        </is>
      </c>
      <c r="G633" s="21" t="inlineStr">
        <is>
          <t>PG</t>
        </is>
      </c>
      <c r="H633" s="22" t="n">
        <v>10769960</v>
      </c>
      <c r="I633" s="22" t="n">
        <v>25000000</v>
      </c>
      <c r="J633" s="21">
        <f>IF(OR(H633="",H633=25529689.5),"Yes","No")</f>
        <v/>
      </c>
      <c r="K633" s="21">
        <f>IF(AND(D633="USA",C633&gt;=1980,J633="No"),"Yes","No")</f>
        <v/>
      </c>
      <c r="L633" s="26">
        <f>IF(J633="Yes","",H633-I633)</f>
        <v/>
      </c>
      <c r="M633" s="27">
        <f>IF(OR(J633="Yes",I633=0),"",H633/I633)</f>
        <v/>
      </c>
      <c r="N633" s="21">
        <f>IF(J633="Yes","",IF(H633&gt;=I633,1,0))</f>
        <v/>
      </c>
      <c r="O633" s="21">
        <f>IF(I633&lt;=5000000,"Under $5M",IF(I633&lt;=20000000,"$5M-20M",IF(I633&lt;=50000000,"$20M-50M",IF(I633&lt;=100000000,"$50M-100M","$100M+"))))</f>
        <v/>
      </c>
      <c r="P633" s="21">
        <f>IF(E633&lt;=90,"90 or less",IF(E633&lt;=105,"91-105",IF(E633&lt;=120,"106-120",IF(E633&lt;=140,"121-140","Over 140"))))</f>
        <v/>
      </c>
      <c r="Q633" s="28">
        <f>INT(C633/10)*10</f>
        <v/>
      </c>
    </row>
    <row r="634">
      <c r="A634" s="21" t="n">
        <v>656</v>
      </c>
      <c r="B634" s="21" t="inlineStr">
        <is>
          <t>Groundhog Day</t>
        </is>
      </c>
      <c r="C634" s="21" t="n">
        <v>1993</v>
      </c>
      <c r="D634" s="21" t="inlineStr">
        <is>
          <t>USA</t>
        </is>
      </c>
      <c r="E634" s="21" t="n">
        <v>101</v>
      </c>
      <c r="F634" s="21" t="inlineStr">
        <is>
          <t>English</t>
        </is>
      </c>
      <c r="G634" s="21" t="inlineStr">
        <is>
          <t>PG</t>
        </is>
      </c>
      <c r="H634" s="22" t="n">
        <v>70906973</v>
      </c>
      <c r="I634" s="22" t="n">
        <v>14600000</v>
      </c>
      <c r="J634" s="21">
        <f>IF(OR(H634="",H634=25529689.5),"Yes","No")</f>
        <v/>
      </c>
      <c r="K634" s="21">
        <f>IF(AND(D634="USA",C634&gt;=1980,J634="No"),"Yes","No")</f>
        <v/>
      </c>
      <c r="L634" s="26">
        <f>IF(J634="Yes","",H634-I634)</f>
        <v/>
      </c>
      <c r="M634" s="27">
        <f>IF(OR(J634="Yes",I634=0),"",H634/I634)</f>
        <v/>
      </c>
      <c r="N634" s="21">
        <f>IF(J634="Yes","",IF(H634&gt;=I634,1,0))</f>
        <v/>
      </c>
      <c r="O634" s="21">
        <f>IF(I634&lt;=5000000,"Under $5M",IF(I634&lt;=20000000,"$5M-20M",IF(I634&lt;=50000000,"$20M-50M",IF(I634&lt;=100000000,"$50M-100M","$100M+"))))</f>
        <v/>
      </c>
      <c r="P634" s="21">
        <f>IF(E634&lt;=90,"90 or less",IF(E634&lt;=105,"91-105",IF(E634&lt;=120,"106-120",IF(E634&lt;=140,"121-140","Over 140"))))</f>
        <v/>
      </c>
      <c r="Q634" s="28">
        <f>INT(C634/10)*10</f>
        <v/>
      </c>
    </row>
    <row r="635">
      <c r="A635" s="21" t="n">
        <v>657</v>
      </c>
      <c r="B635" s="21" t="inlineStr">
        <is>
          <t>Hocus Pocus</t>
        </is>
      </c>
      <c r="C635" s="21" t="n">
        <v>1993</v>
      </c>
      <c r="D635" s="21" t="inlineStr">
        <is>
          <t>USA</t>
        </is>
      </c>
      <c r="E635" s="21" t="n">
        <v>96</v>
      </c>
      <c r="F635" s="21" t="inlineStr">
        <is>
          <t>English</t>
        </is>
      </c>
      <c r="G635" s="21" t="inlineStr">
        <is>
          <t>PG</t>
        </is>
      </c>
      <c r="H635" s="22" t="n">
        <v>39514713</v>
      </c>
      <c r="I635" s="22" t="n">
        <v>28000000</v>
      </c>
      <c r="J635" s="21">
        <f>IF(OR(H635="",H635=25529689.5),"Yes","No")</f>
        <v/>
      </c>
      <c r="K635" s="21">
        <f>IF(AND(D635="USA",C635&gt;=1980,J635="No"),"Yes","No")</f>
        <v/>
      </c>
      <c r="L635" s="26">
        <f>IF(J635="Yes","",H635-I635)</f>
        <v/>
      </c>
      <c r="M635" s="27">
        <f>IF(OR(J635="Yes",I635=0),"",H635/I635)</f>
        <v/>
      </c>
      <c r="N635" s="21">
        <f>IF(J635="Yes","",IF(H635&gt;=I635,1,0))</f>
        <v/>
      </c>
      <c r="O635" s="21">
        <f>IF(I635&lt;=5000000,"Under $5M",IF(I635&lt;=20000000,"$5M-20M",IF(I635&lt;=50000000,"$20M-50M",IF(I635&lt;=100000000,"$50M-100M","$100M+"))))</f>
        <v/>
      </c>
      <c r="P635" s="21">
        <f>IF(E635&lt;=90,"90 or less",IF(E635&lt;=105,"91-105",IF(E635&lt;=120,"106-120",IF(E635&lt;=140,"121-140","Over 140"))))</f>
        <v/>
      </c>
      <c r="Q635" s="28">
        <f>INT(C635/10)*10</f>
        <v/>
      </c>
    </row>
    <row r="636">
      <c r="A636" s="21" t="n">
        <v>658</v>
      </c>
      <c r="B636" s="21" t="inlineStr">
        <is>
          <t>Jason Goes to Hell: The Final Friday</t>
        </is>
      </c>
      <c r="C636" s="21" t="n">
        <v>1993</v>
      </c>
      <c r="D636" s="21" t="inlineStr">
        <is>
          <t>USA</t>
        </is>
      </c>
      <c r="E636" s="21" t="n">
        <v>91</v>
      </c>
      <c r="F636" s="21" t="inlineStr">
        <is>
          <t>English</t>
        </is>
      </c>
      <c r="G636" s="21" t="inlineStr">
        <is>
          <t>R</t>
        </is>
      </c>
      <c r="H636" s="22" t="n">
        <v>15935068</v>
      </c>
      <c r="I636" s="22" t="n">
        <v>2500000</v>
      </c>
      <c r="J636" s="21">
        <f>IF(OR(H636="",H636=25529689.5),"Yes","No")</f>
        <v/>
      </c>
      <c r="K636" s="21">
        <f>IF(AND(D636="USA",C636&gt;=1980,J636="No"),"Yes","No")</f>
        <v/>
      </c>
      <c r="L636" s="26">
        <f>IF(J636="Yes","",H636-I636)</f>
        <v/>
      </c>
      <c r="M636" s="27">
        <f>IF(OR(J636="Yes",I636=0),"",H636/I636)</f>
        <v/>
      </c>
      <c r="N636" s="21">
        <f>IF(J636="Yes","",IF(H636&gt;=I636,1,0))</f>
        <v/>
      </c>
      <c r="O636" s="21">
        <f>IF(I636&lt;=5000000,"Under $5M",IF(I636&lt;=20000000,"$5M-20M",IF(I636&lt;=50000000,"$20M-50M",IF(I636&lt;=100000000,"$50M-100M","$100M+"))))</f>
        <v/>
      </c>
      <c r="P636" s="21">
        <f>IF(E636&lt;=90,"90 or less",IF(E636&lt;=105,"91-105",IF(E636&lt;=120,"106-120",IF(E636&lt;=140,"121-140","Over 140"))))</f>
        <v/>
      </c>
      <c r="Q636" s="28">
        <f>INT(C636/10)*10</f>
        <v/>
      </c>
    </row>
    <row r="637">
      <c r="A637" s="21" t="n">
        <v>659</v>
      </c>
      <c r="B637" s="21" t="inlineStr">
        <is>
          <t>Jurassic Park</t>
        </is>
      </c>
      <c r="C637" s="21" t="n">
        <v>1993</v>
      </c>
      <c r="D637" s="21" t="inlineStr">
        <is>
          <t>USA</t>
        </is>
      </c>
      <c r="E637" s="21" t="n">
        <v>127</v>
      </c>
      <c r="F637" s="21" t="inlineStr">
        <is>
          <t>English</t>
        </is>
      </c>
      <c r="G637" s="21" t="inlineStr">
        <is>
          <t>PG-13</t>
        </is>
      </c>
      <c r="H637" s="22" t="n">
        <v>356784000</v>
      </c>
      <c r="I637" s="22" t="n">
        <v>63000000</v>
      </c>
      <c r="J637" s="21">
        <f>IF(OR(H637="",H637=25529689.5),"Yes","No")</f>
        <v/>
      </c>
      <c r="K637" s="21">
        <f>IF(AND(D637="USA",C637&gt;=1980,J637="No"),"Yes","No")</f>
        <v/>
      </c>
      <c r="L637" s="26">
        <f>IF(J637="Yes","",H637-I637)</f>
        <v/>
      </c>
      <c r="M637" s="27">
        <f>IF(OR(J637="Yes",I637=0),"",H637/I637)</f>
        <v/>
      </c>
      <c r="N637" s="21">
        <f>IF(J637="Yes","",IF(H637&gt;=I637,1,0))</f>
        <v/>
      </c>
      <c r="O637" s="21">
        <f>IF(I637&lt;=5000000,"Under $5M",IF(I637&lt;=20000000,"$5M-20M",IF(I637&lt;=50000000,"$20M-50M",IF(I637&lt;=100000000,"$50M-100M","$100M+"))))</f>
        <v/>
      </c>
      <c r="P637" s="21">
        <f>IF(E637&lt;=90,"90 or less",IF(E637&lt;=105,"91-105",IF(E637&lt;=120,"106-120",IF(E637&lt;=140,"121-140","Over 140"))))</f>
        <v/>
      </c>
      <c r="Q637" s="28">
        <f>INT(C637/10)*10</f>
        <v/>
      </c>
    </row>
    <row r="638">
      <c r="A638" s="21" t="n">
        <v>660</v>
      </c>
      <c r="B638" s="21" t="inlineStr">
        <is>
          <t>Killing Zoe</t>
        </is>
      </c>
      <c r="C638" s="21" t="n">
        <v>1993</v>
      </c>
      <c r="D638" s="21" t="inlineStr">
        <is>
          <t>France</t>
        </is>
      </c>
      <c r="E638" s="21" t="n">
        <v>99</v>
      </c>
      <c r="F638" s="21" t="inlineStr">
        <is>
          <t>English</t>
        </is>
      </c>
      <c r="G638" s="21" t="inlineStr">
        <is>
          <t>R</t>
        </is>
      </c>
      <c r="H638" s="22" t="n">
        <v>418953</v>
      </c>
      <c r="I638" s="22" t="n">
        <v>1500000</v>
      </c>
      <c r="J638" s="21">
        <f>IF(OR(H638="",H638=25529689.5),"Yes","No")</f>
        <v/>
      </c>
      <c r="K638" s="21">
        <f>IF(AND(D638="USA",C638&gt;=1980,J638="No"),"Yes","No")</f>
        <v/>
      </c>
      <c r="L638" s="26">
        <f>IF(J638="Yes","",H638-I638)</f>
        <v/>
      </c>
      <c r="M638" s="27">
        <f>IF(OR(J638="Yes",I638=0),"",H638/I638)</f>
        <v/>
      </c>
      <c r="N638" s="21">
        <f>IF(J638="Yes","",IF(H638&gt;=I638,1,0))</f>
        <v/>
      </c>
      <c r="O638" s="21">
        <f>IF(I638&lt;=5000000,"Under $5M",IF(I638&lt;=20000000,"$5M-20M",IF(I638&lt;=50000000,"$20M-50M",IF(I638&lt;=100000000,"$50M-100M","$100M+"))))</f>
        <v/>
      </c>
      <c r="P638" s="21">
        <f>IF(E638&lt;=90,"90 or less",IF(E638&lt;=105,"91-105",IF(E638&lt;=120,"106-120",IF(E638&lt;=140,"121-140","Over 140"))))</f>
        <v/>
      </c>
      <c r="Q638" s="28">
        <f>INT(C638/10)*10</f>
        <v/>
      </c>
    </row>
    <row r="639">
      <c r="A639" s="21" t="n">
        <v>661</v>
      </c>
      <c r="B639" s="21" t="inlineStr">
        <is>
          <t>Last Action Hero</t>
        </is>
      </c>
      <c r="C639" s="21" t="n">
        <v>1993</v>
      </c>
      <c r="D639" s="21" t="inlineStr">
        <is>
          <t>USA</t>
        </is>
      </c>
      <c r="E639" s="21" t="n">
        <v>130</v>
      </c>
      <c r="F639" s="21" t="inlineStr">
        <is>
          <t>English</t>
        </is>
      </c>
      <c r="G639" s="21" t="inlineStr">
        <is>
          <t>PG-13</t>
        </is>
      </c>
      <c r="H639" s="22" t="n">
        <v>50016394</v>
      </c>
      <c r="I639" s="22" t="n">
        <v>70000000</v>
      </c>
      <c r="J639" s="21">
        <f>IF(OR(H639="",H639=25529689.5),"Yes","No")</f>
        <v/>
      </c>
      <c r="K639" s="21">
        <f>IF(AND(D639="USA",C639&gt;=1980,J639="No"),"Yes","No")</f>
        <v/>
      </c>
      <c r="L639" s="26">
        <f>IF(J639="Yes","",H639-I639)</f>
        <v/>
      </c>
      <c r="M639" s="27">
        <f>IF(OR(J639="Yes",I639=0),"",H639/I639)</f>
        <v/>
      </c>
      <c r="N639" s="21">
        <f>IF(J639="Yes","",IF(H639&gt;=I639,1,0))</f>
        <v/>
      </c>
      <c r="O639" s="21">
        <f>IF(I639&lt;=5000000,"Under $5M",IF(I639&lt;=20000000,"$5M-20M",IF(I639&lt;=50000000,"$20M-50M",IF(I639&lt;=100000000,"$50M-100M","$100M+"))))</f>
        <v/>
      </c>
      <c r="P639" s="21">
        <f>IF(E639&lt;=90,"90 or less",IF(E639&lt;=105,"91-105",IF(E639&lt;=120,"106-120",IF(E639&lt;=140,"121-140","Over 140"))))</f>
        <v/>
      </c>
      <c r="Q639" s="28">
        <f>INT(C639/10)*10</f>
        <v/>
      </c>
    </row>
    <row r="640">
      <c r="A640" s="21" t="n">
        <v>662</v>
      </c>
      <c r="B640" s="21" t="inlineStr">
        <is>
          <t>Les visiteurs</t>
        </is>
      </c>
      <c r="C640" s="21" t="n">
        <v>1993</v>
      </c>
      <c r="D640" s="21" t="inlineStr">
        <is>
          <t>France</t>
        </is>
      </c>
      <c r="E640" s="21" t="n">
        <v>107</v>
      </c>
      <c r="F640" s="21" t="inlineStr">
        <is>
          <t>French</t>
        </is>
      </c>
      <c r="G640" s="21" t="inlineStr">
        <is>
          <t>R</t>
        </is>
      </c>
      <c r="H640" s="22" t="n">
        <v>700000</v>
      </c>
      <c r="I640" s="22" t="n">
        <v>50000000</v>
      </c>
      <c r="J640" s="21">
        <f>IF(OR(H640="",H640=25529689.5),"Yes","No")</f>
        <v/>
      </c>
      <c r="K640" s="21">
        <f>IF(AND(D640="USA",C640&gt;=1980,J640="No"),"Yes","No")</f>
        <v/>
      </c>
      <c r="L640" s="26">
        <f>IF(J640="Yes","",H640-I640)</f>
        <v/>
      </c>
      <c r="M640" s="27">
        <f>IF(OR(J640="Yes",I640=0),"",H640/I640)</f>
        <v/>
      </c>
      <c r="N640" s="21">
        <f>IF(J640="Yes","",IF(H640&gt;=I640,1,0))</f>
        <v/>
      </c>
      <c r="O640" s="21">
        <f>IF(I640&lt;=5000000,"Under $5M",IF(I640&lt;=20000000,"$5M-20M",IF(I640&lt;=50000000,"$20M-50M",IF(I640&lt;=100000000,"$50M-100M","$100M+"))))</f>
        <v/>
      </c>
      <c r="P640" s="21">
        <f>IF(E640&lt;=90,"90 or less",IF(E640&lt;=105,"91-105",IF(E640&lt;=120,"106-120",IF(E640&lt;=140,"121-140","Over 140"))))</f>
        <v/>
      </c>
      <c r="Q640" s="28">
        <f>INT(C640/10)*10</f>
        <v/>
      </c>
    </row>
    <row r="641">
      <c r="A641" s="21" t="n">
        <v>663</v>
      </c>
      <c r="B641" s="21" t="inlineStr">
        <is>
          <t>Loaded Weapon 1</t>
        </is>
      </c>
      <c r="C641" s="21" t="n">
        <v>1993</v>
      </c>
      <c r="D641" s="21" t="inlineStr">
        <is>
          <t>USA</t>
        </is>
      </c>
      <c r="E641" s="21" t="n">
        <v>84</v>
      </c>
      <c r="F641" s="21" t="inlineStr">
        <is>
          <t>English</t>
        </is>
      </c>
      <c r="G641" s="21" t="inlineStr">
        <is>
          <t>PG-13</t>
        </is>
      </c>
      <c r="H641" s="22" t="n">
        <v>27979400</v>
      </c>
      <c r="I641" s="22" t="n">
        <v>8200000</v>
      </c>
      <c r="J641" s="21">
        <f>IF(OR(H641="",H641=25529689.5),"Yes","No")</f>
        <v/>
      </c>
      <c r="K641" s="21">
        <f>IF(AND(D641="USA",C641&gt;=1980,J641="No"),"Yes","No")</f>
        <v/>
      </c>
      <c r="L641" s="26">
        <f>IF(J641="Yes","",H641-I641)</f>
        <v/>
      </c>
      <c r="M641" s="27">
        <f>IF(OR(J641="Yes",I641=0),"",H641/I641)</f>
        <v/>
      </c>
      <c r="N641" s="21">
        <f>IF(J641="Yes","",IF(H641&gt;=I641,1,0))</f>
        <v/>
      </c>
      <c r="O641" s="21">
        <f>IF(I641&lt;=5000000,"Under $5M",IF(I641&lt;=20000000,"$5M-20M",IF(I641&lt;=50000000,"$20M-50M",IF(I641&lt;=100000000,"$50M-100M","$100M+"))))</f>
        <v/>
      </c>
      <c r="P641" s="21">
        <f>IF(E641&lt;=90,"90 or less",IF(E641&lt;=105,"91-105",IF(E641&lt;=120,"106-120",IF(E641&lt;=140,"121-140","Over 140"))))</f>
        <v/>
      </c>
      <c r="Q641" s="28">
        <f>INT(C641/10)*10</f>
        <v/>
      </c>
    </row>
    <row r="642">
      <c r="A642" s="21" t="n">
        <v>664</v>
      </c>
      <c r="B642" s="21" t="inlineStr">
        <is>
          <t>Madadayo</t>
        </is>
      </c>
      <c r="C642" s="21" t="n">
        <v>1993</v>
      </c>
      <c r="D642" s="21" t="inlineStr">
        <is>
          <t>Japan</t>
        </is>
      </c>
      <c r="E642" s="21" t="n">
        <v>134</v>
      </c>
      <c r="F642" s="21" t="inlineStr">
        <is>
          <t>Japanese</t>
        </is>
      </c>
      <c r="G642" s="21" t="n"/>
      <c r="H642" s="22" t="n">
        <v>48856</v>
      </c>
      <c r="I642" s="22" t="n">
        <v>11900000</v>
      </c>
      <c r="J642" s="21">
        <f>IF(OR(H642="",H642=25529689.5),"Yes","No")</f>
        <v/>
      </c>
      <c r="K642" s="21">
        <f>IF(AND(D642="USA",C642&gt;=1980,J642="No"),"Yes","No")</f>
        <v/>
      </c>
      <c r="L642" s="26">
        <f>IF(J642="Yes","",H642-I642)</f>
        <v/>
      </c>
      <c r="M642" s="27">
        <f>IF(OR(J642="Yes",I642=0),"",H642/I642)</f>
        <v/>
      </c>
      <c r="N642" s="21">
        <f>IF(J642="Yes","",IF(H642&gt;=I642,1,0))</f>
        <v/>
      </c>
      <c r="O642" s="21">
        <f>IF(I642&lt;=5000000,"Under $5M",IF(I642&lt;=20000000,"$5M-20M",IF(I642&lt;=50000000,"$20M-50M",IF(I642&lt;=100000000,"$50M-100M","$100M+"))))</f>
        <v/>
      </c>
      <c r="P642" s="21">
        <f>IF(E642&lt;=90,"90 or less",IF(E642&lt;=105,"91-105",IF(E642&lt;=120,"106-120",IF(E642&lt;=140,"121-140","Over 140"))))</f>
        <v/>
      </c>
      <c r="Q642" s="28">
        <f>INT(C642/10)*10</f>
        <v/>
      </c>
    </row>
    <row r="643">
      <c r="A643" s="21" t="n">
        <v>665</v>
      </c>
      <c r="B643" s="21" t="inlineStr">
        <is>
          <t>Menace II Society</t>
        </is>
      </c>
      <c r="C643" s="21" t="n">
        <v>1993</v>
      </c>
      <c r="D643" s="21" t="inlineStr">
        <is>
          <t>USA</t>
        </is>
      </c>
      <c r="E643" s="21" t="n">
        <v>97</v>
      </c>
      <c r="F643" s="21" t="inlineStr">
        <is>
          <t>English</t>
        </is>
      </c>
      <c r="G643" s="21" t="inlineStr">
        <is>
          <t>R</t>
        </is>
      </c>
      <c r="H643" s="22" t="n">
        <v>27900000</v>
      </c>
      <c r="I643" s="22" t="n">
        <v>3500000</v>
      </c>
      <c r="J643" s="21">
        <f>IF(OR(H643="",H643=25529689.5),"Yes","No")</f>
        <v/>
      </c>
      <c r="K643" s="21">
        <f>IF(AND(D643="USA",C643&gt;=1980,J643="No"),"Yes","No")</f>
        <v/>
      </c>
      <c r="L643" s="26">
        <f>IF(J643="Yes","",H643-I643)</f>
        <v/>
      </c>
      <c r="M643" s="27">
        <f>IF(OR(J643="Yes",I643=0),"",H643/I643)</f>
        <v/>
      </c>
      <c r="N643" s="21">
        <f>IF(J643="Yes","",IF(H643&gt;=I643,1,0))</f>
        <v/>
      </c>
      <c r="O643" s="21">
        <f>IF(I643&lt;=5000000,"Under $5M",IF(I643&lt;=20000000,"$5M-20M",IF(I643&lt;=50000000,"$20M-50M",IF(I643&lt;=100000000,"$50M-100M","$100M+"))))</f>
        <v/>
      </c>
      <c r="P643" s="21">
        <f>IF(E643&lt;=90,"90 or less",IF(E643&lt;=105,"91-105",IF(E643&lt;=120,"106-120",IF(E643&lt;=140,"121-140","Over 140"))))</f>
        <v/>
      </c>
      <c r="Q643" s="28">
        <f>INT(C643/10)*10</f>
        <v/>
      </c>
    </row>
    <row r="644">
      <c r="A644" s="21" t="n">
        <v>666</v>
      </c>
      <c r="B644" s="21" t="inlineStr">
        <is>
          <t>Mrs. Doubtfire</t>
        </is>
      </c>
      <c r="C644" s="21" t="n">
        <v>1993</v>
      </c>
      <c r="D644" s="21" t="inlineStr">
        <is>
          <t>USA</t>
        </is>
      </c>
      <c r="E644" s="21" t="n">
        <v>125</v>
      </c>
      <c r="F644" s="21" t="inlineStr">
        <is>
          <t>English</t>
        </is>
      </c>
      <c r="G644" s="21" t="inlineStr">
        <is>
          <t>PG-13</t>
        </is>
      </c>
      <c r="H644" s="22" t="n">
        <v>219200000</v>
      </c>
      <c r="I644" s="22" t="n">
        <v>25000000</v>
      </c>
      <c r="J644" s="21">
        <f>IF(OR(H644="",H644=25529689.5),"Yes","No")</f>
        <v/>
      </c>
      <c r="K644" s="21">
        <f>IF(AND(D644="USA",C644&gt;=1980,J644="No"),"Yes","No")</f>
        <v/>
      </c>
      <c r="L644" s="26">
        <f>IF(J644="Yes","",H644-I644)</f>
        <v/>
      </c>
      <c r="M644" s="27">
        <f>IF(OR(J644="Yes",I644=0),"",H644/I644)</f>
        <v/>
      </c>
      <c r="N644" s="21">
        <f>IF(J644="Yes","",IF(H644&gt;=I644,1,0))</f>
        <v/>
      </c>
      <c r="O644" s="21">
        <f>IF(I644&lt;=5000000,"Under $5M",IF(I644&lt;=20000000,"$5M-20M",IF(I644&lt;=50000000,"$20M-50M",IF(I644&lt;=100000000,"$50M-100M","$100M+"))))</f>
        <v/>
      </c>
      <c r="P644" s="21">
        <f>IF(E644&lt;=90,"90 or less",IF(E644&lt;=105,"91-105",IF(E644&lt;=120,"106-120",IF(E644&lt;=140,"121-140","Over 140"))))</f>
        <v/>
      </c>
      <c r="Q644" s="28">
        <f>INT(C644/10)*10</f>
        <v/>
      </c>
    </row>
    <row r="645">
      <c r="A645" s="21" t="n">
        <v>667</v>
      </c>
      <c r="B645" s="21" t="inlineStr">
        <is>
          <t>Much Ado About Nothing</t>
        </is>
      </c>
      <c r="C645" s="21" t="n">
        <v>1993</v>
      </c>
      <c r="D645" s="21" t="inlineStr">
        <is>
          <t>UK</t>
        </is>
      </c>
      <c r="E645" s="21" t="n">
        <v>111</v>
      </c>
      <c r="F645" s="21" t="inlineStr">
        <is>
          <t>English</t>
        </is>
      </c>
      <c r="G645" s="21" t="inlineStr">
        <is>
          <t>PG-13</t>
        </is>
      </c>
      <c r="H645" s="22" t="n">
        <v>22551000</v>
      </c>
      <c r="I645" s="22" t="n">
        <v>8000000</v>
      </c>
      <c r="J645" s="21">
        <f>IF(OR(H645="",H645=25529689.5),"Yes","No")</f>
        <v/>
      </c>
      <c r="K645" s="21">
        <f>IF(AND(D645="USA",C645&gt;=1980,J645="No"),"Yes","No")</f>
        <v/>
      </c>
      <c r="L645" s="26">
        <f>IF(J645="Yes","",H645-I645)</f>
        <v/>
      </c>
      <c r="M645" s="27">
        <f>IF(OR(J645="Yes",I645=0),"",H645/I645)</f>
        <v/>
      </c>
      <c r="N645" s="21">
        <f>IF(J645="Yes","",IF(H645&gt;=I645,1,0))</f>
        <v/>
      </c>
      <c r="O645" s="21">
        <f>IF(I645&lt;=5000000,"Under $5M",IF(I645&lt;=20000000,"$5M-20M",IF(I645&lt;=50000000,"$20M-50M",IF(I645&lt;=100000000,"$50M-100M","$100M+"))))</f>
        <v/>
      </c>
      <c r="P645" s="21">
        <f>IF(E645&lt;=90,"90 or less",IF(E645&lt;=105,"91-105",IF(E645&lt;=120,"106-120",IF(E645&lt;=140,"121-140","Over 140"))))</f>
        <v/>
      </c>
      <c r="Q645" s="28">
        <f>INT(C645/10)*10</f>
        <v/>
      </c>
    </row>
    <row r="646">
      <c r="A646" s="21" t="n">
        <v>668</v>
      </c>
      <c r="B646" s="21" t="inlineStr">
        <is>
          <t>Nowhere to Run</t>
        </is>
      </c>
      <c r="C646" s="21" t="n">
        <v>1993</v>
      </c>
      <c r="D646" s="21" t="inlineStr">
        <is>
          <t>USA</t>
        </is>
      </c>
      <c r="E646" s="21" t="n">
        <v>94</v>
      </c>
      <c r="F646" s="21" t="inlineStr">
        <is>
          <t>English</t>
        </is>
      </c>
      <c r="G646" s="21" t="inlineStr">
        <is>
          <t>R</t>
        </is>
      </c>
      <c r="H646" s="22" t="n">
        <v>22189039</v>
      </c>
      <c r="I646" s="22" t="n">
        <v>15000000</v>
      </c>
      <c r="J646" s="21">
        <f>IF(OR(H646="",H646=25529689.5),"Yes","No")</f>
        <v/>
      </c>
      <c r="K646" s="21">
        <f>IF(AND(D646="USA",C646&gt;=1980,J646="No"),"Yes","No")</f>
        <v/>
      </c>
      <c r="L646" s="26">
        <f>IF(J646="Yes","",H646-I646)</f>
        <v/>
      </c>
      <c r="M646" s="27">
        <f>IF(OR(J646="Yes",I646=0),"",H646/I646)</f>
        <v/>
      </c>
      <c r="N646" s="21">
        <f>IF(J646="Yes","",IF(H646&gt;=I646,1,0))</f>
        <v/>
      </c>
      <c r="O646" s="21">
        <f>IF(I646&lt;=5000000,"Under $5M",IF(I646&lt;=20000000,"$5M-20M",IF(I646&lt;=50000000,"$20M-50M",IF(I646&lt;=100000000,"$50M-100M","$100M+"))))</f>
        <v/>
      </c>
      <c r="P646" s="21">
        <f>IF(E646&lt;=90,"90 or less",IF(E646&lt;=105,"91-105",IF(E646&lt;=120,"106-120",IF(E646&lt;=140,"121-140","Over 140"))))</f>
        <v/>
      </c>
      <c r="Q646" s="28">
        <f>INT(C646/10)*10</f>
        <v/>
      </c>
    </row>
    <row r="647">
      <c r="A647" s="21" t="n">
        <v>669</v>
      </c>
      <c r="B647" s="21" t="inlineStr">
        <is>
          <t>Only the Strong</t>
        </is>
      </c>
      <c r="C647" s="21" t="n">
        <v>1993</v>
      </c>
      <c r="D647" s="21" t="inlineStr">
        <is>
          <t>USA</t>
        </is>
      </c>
      <c r="E647" s="21" t="n">
        <v>99</v>
      </c>
      <c r="F647" s="21" t="inlineStr">
        <is>
          <t>English</t>
        </is>
      </c>
      <c r="G647" s="21" t="inlineStr">
        <is>
          <t>PG-13</t>
        </is>
      </c>
      <c r="H647" s="22" t="n">
        <v>3273588</v>
      </c>
      <c r="I647" s="22" t="n">
        <v>6000000</v>
      </c>
      <c r="J647" s="21">
        <f>IF(OR(H647="",H647=25529689.5),"Yes","No")</f>
        <v/>
      </c>
      <c r="K647" s="21">
        <f>IF(AND(D647="USA",C647&gt;=1980,J647="No"),"Yes","No")</f>
        <v/>
      </c>
      <c r="L647" s="26">
        <f>IF(J647="Yes","",H647-I647)</f>
        <v/>
      </c>
      <c r="M647" s="27">
        <f>IF(OR(J647="Yes",I647=0),"",H647/I647)</f>
        <v/>
      </c>
      <c r="N647" s="21">
        <f>IF(J647="Yes","",IF(H647&gt;=I647,1,0))</f>
        <v/>
      </c>
      <c r="O647" s="21">
        <f>IF(I647&lt;=5000000,"Under $5M",IF(I647&lt;=20000000,"$5M-20M",IF(I647&lt;=50000000,"$20M-50M",IF(I647&lt;=100000000,"$50M-100M","$100M+"))))</f>
        <v/>
      </c>
      <c r="P647" s="21">
        <f>IF(E647&lt;=90,"90 or less",IF(E647&lt;=105,"91-105",IF(E647&lt;=120,"106-120",IF(E647&lt;=140,"121-140","Over 140"))))</f>
        <v/>
      </c>
      <c r="Q647" s="28">
        <f>INT(C647/10)*10</f>
        <v/>
      </c>
    </row>
    <row r="648">
      <c r="A648" s="21" t="n">
        <v>670</v>
      </c>
      <c r="B648" s="21" t="inlineStr">
        <is>
          <t>Philadelphia</t>
        </is>
      </c>
      <c r="C648" s="21" t="n">
        <v>1993</v>
      </c>
      <c r="D648" s="21" t="inlineStr">
        <is>
          <t>USA</t>
        </is>
      </c>
      <c r="E648" s="21" t="n">
        <v>125</v>
      </c>
      <c r="F648" s="21" t="inlineStr">
        <is>
          <t>English</t>
        </is>
      </c>
      <c r="G648" s="21" t="inlineStr">
        <is>
          <t>PG-13</t>
        </is>
      </c>
      <c r="H648" s="22" t="n">
        <v>77324422</v>
      </c>
      <c r="I648" s="22" t="n">
        <v>26000000</v>
      </c>
      <c r="J648" s="21">
        <f>IF(OR(H648="",H648=25529689.5),"Yes","No")</f>
        <v/>
      </c>
      <c r="K648" s="21">
        <f>IF(AND(D648="USA",C648&gt;=1980,J648="No"),"Yes","No")</f>
        <v/>
      </c>
      <c r="L648" s="26">
        <f>IF(J648="Yes","",H648-I648)</f>
        <v/>
      </c>
      <c r="M648" s="27">
        <f>IF(OR(J648="Yes",I648=0),"",H648/I648)</f>
        <v/>
      </c>
      <c r="N648" s="21">
        <f>IF(J648="Yes","",IF(H648&gt;=I648,1,0))</f>
        <v/>
      </c>
      <c r="O648" s="21">
        <f>IF(I648&lt;=5000000,"Under $5M",IF(I648&lt;=20000000,"$5M-20M",IF(I648&lt;=50000000,"$20M-50M",IF(I648&lt;=100000000,"$50M-100M","$100M+"))))</f>
        <v/>
      </c>
      <c r="P648" s="21">
        <f>IF(E648&lt;=90,"90 or less",IF(E648&lt;=105,"91-105",IF(E648&lt;=120,"106-120",IF(E648&lt;=140,"121-140","Over 140"))))</f>
        <v/>
      </c>
      <c r="Q648" s="28">
        <f>INT(C648/10)*10</f>
        <v/>
      </c>
    </row>
    <row r="649">
      <c r="A649" s="21" t="n">
        <v>671</v>
      </c>
      <c r="B649" s="21" t="inlineStr">
        <is>
          <t>Poetic Justice</t>
        </is>
      </c>
      <c r="C649" s="21" t="n">
        <v>1993</v>
      </c>
      <c r="D649" s="21" t="inlineStr">
        <is>
          <t>USA</t>
        </is>
      </c>
      <c r="E649" s="21" t="n">
        <v>109</v>
      </c>
      <c r="F649" s="21" t="inlineStr">
        <is>
          <t>English</t>
        </is>
      </c>
      <c r="G649" s="21" t="inlineStr">
        <is>
          <t>R</t>
        </is>
      </c>
      <c r="H649" s="22" t="n">
        <v>27515786</v>
      </c>
      <c r="I649" s="22" t="n">
        <v>14000000</v>
      </c>
      <c r="J649" s="21">
        <f>IF(OR(H649="",H649=25529689.5),"Yes","No")</f>
        <v/>
      </c>
      <c r="K649" s="21">
        <f>IF(AND(D649="USA",C649&gt;=1980,J649="No"),"Yes","No")</f>
        <v/>
      </c>
      <c r="L649" s="26">
        <f>IF(J649="Yes","",H649-I649)</f>
        <v/>
      </c>
      <c r="M649" s="27">
        <f>IF(OR(J649="Yes",I649=0),"",H649/I649)</f>
        <v/>
      </c>
      <c r="N649" s="21">
        <f>IF(J649="Yes","",IF(H649&gt;=I649,1,0))</f>
        <v/>
      </c>
      <c r="O649" s="21">
        <f>IF(I649&lt;=5000000,"Under $5M",IF(I649&lt;=20000000,"$5M-20M",IF(I649&lt;=50000000,"$20M-50M",IF(I649&lt;=100000000,"$50M-100M","$100M+"))))</f>
        <v/>
      </c>
      <c r="P649" s="21">
        <f>IF(E649&lt;=90,"90 or less",IF(E649&lt;=105,"91-105",IF(E649&lt;=120,"106-120",IF(E649&lt;=140,"121-140","Over 140"))))</f>
        <v/>
      </c>
      <c r="Q649" s="28">
        <f>INT(C649/10)*10</f>
        <v/>
      </c>
    </row>
    <row r="650">
      <c r="A650" s="21" t="n">
        <v>672</v>
      </c>
      <c r="B650" s="21" t="inlineStr">
        <is>
          <t>Return of the Living Dead III</t>
        </is>
      </c>
      <c r="C650" s="21" t="n">
        <v>1993</v>
      </c>
      <c r="D650" s="21" t="inlineStr">
        <is>
          <t>USA</t>
        </is>
      </c>
      <c r="E650" s="21" t="n">
        <v>97</v>
      </c>
      <c r="F650" s="21" t="inlineStr">
        <is>
          <t>English</t>
        </is>
      </c>
      <c r="G650" s="21" t="inlineStr">
        <is>
          <t>R</t>
        </is>
      </c>
      <c r="H650" s="22" t="n">
        <v>25529689.5</v>
      </c>
      <c r="I650" s="22" t="n">
        <v>2000000</v>
      </c>
      <c r="J650" s="21">
        <f>IF(OR(H650="",H650=25529689.5),"Yes","No")</f>
        <v/>
      </c>
      <c r="K650" s="21">
        <f>IF(AND(D650="USA",C650&gt;=1980,J650="No"),"Yes","No")</f>
        <v/>
      </c>
      <c r="L650" s="26">
        <f>IF(J650="Yes","",H650-I650)</f>
        <v/>
      </c>
      <c r="M650" s="27">
        <f>IF(OR(J650="Yes",I650=0),"",H650/I650)</f>
        <v/>
      </c>
      <c r="N650" s="21">
        <f>IF(J650="Yes","",IF(H650&gt;=I650,1,0))</f>
        <v/>
      </c>
      <c r="O650" s="21">
        <f>IF(I650&lt;=5000000,"Under $5M",IF(I650&lt;=20000000,"$5M-20M",IF(I650&lt;=50000000,"$20M-50M",IF(I650&lt;=100000000,"$50M-100M","$100M+"))))</f>
        <v/>
      </c>
      <c r="P650" s="21">
        <f>IF(E650&lt;=90,"90 or less",IF(E650&lt;=105,"91-105",IF(E650&lt;=120,"106-120",IF(E650&lt;=140,"121-140","Over 140"))))</f>
        <v/>
      </c>
      <c r="Q650" s="28">
        <f>INT(C650/10)*10</f>
        <v/>
      </c>
    </row>
    <row r="651">
      <c r="A651" s="21" t="n">
        <v>673</v>
      </c>
      <c r="B651" s="21" t="inlineStr">
        <is>
          <t>RoboCop 3</t>
        </is>
      </c>
      <c r="C651" s="21" t="n">
        <v>1993</v>
      </c>
      <c r="D651" s="21" t="inlineStr">
        <is>
          <t>USA</t>
        </is>
      </c>
      <c r="E651" s="21" t="n">
        <v>104</v>
      </c>
      <c r="F651" s="21" t="inlineStr">
        <is>
          <t>English</t>
        </is>
      </c>
      <c r="G651" s="21" t="inlineStr">
        <is>
          <t>PG-13</t>
        </is>
      </c>
      <c r="H651" s="22" t="n">
        <v>10696210</v>
      </c>
      <c r="I651" s="22" t="n">
        <v>23500000</v>
      </c>
      <c r="J651" s="21">
        <f>IF(OR(H651="",H651=25529689.5),"Yes","No")</f>
        <v/>
      </c>
      <c r="K651" s="21">
        <f>IF(AND(D651="USA",C651&gt;=1980,J651="No"),"Yes","No")</f>
        <v/>
      </c>
      <c r="L651" s="26">
        <f>IF(J651="Yes","",H651-I651)</f>
        <v/>
      </c>
      <c r="M651" s="27">
        <f>IF(OR(J651="Yes",I651=0),"",H651/I651)</f>
        <v/>
      </c>
      <c r="N651" s="21">
        <f>IF(J651="Yes","",IF(H651&gt;=I651,1,0))</f>
        <v/>
      </c>
      <c r="O651" s="21">
        <f>IF(I651&lt;=5000000,"Under $5M",IF(I651&lt;=20000000,"$5M-20M",IF(I651&lt;=50000000,"$20M-50M",IF(I651&lt;=100000000,"$50M-100M","$100M+"))))</f>
        <v/>
      </c>
      <c r="P651" s="21">
        <f>IF(E651&lt;=90,"90 or less",IF(E651&lt;=105,"91-105",IF(E651&lt;=120,"106-120",IF(E651&lt;=140,"121-140","Over 140"))))</f>
        <v/>
      </c>
      <c r="Q651" s="28">
        <f>INT(C651/10)*10</f>
        <v/>
      </c>
    </row>
    <row r="652">
      <c r="A652" s="21" t="n">
        <v>674</v>
      </c>
      <c r="B652" s="21" t="inlineStr">
        <is>
          <t>Romeo Is Bleeding</t>
        </is>
      </c>
      <c r="C652" s="21" t="n">
        <v>1993</v>
      </c>
      <c r="D652" s="21" t="inlineStr">
        <is>
          <t>UK</t>
        </is>
      </c>
      <c r="E652" s="21" t="n">
        <v>100</v>
      </c>
      <c r="F652" s="21" t="inlineStr">
        <is>
          <t>English</t>
        </is>
      </c>
      <c r="G652" s="21" t="inlineStr">
        <is>
          <t>R</t>
        </is>
      </c>
      <c r="H652" s="22" t="n">
        <v>3275585</v>
      </c>
      <c r="I652" s="22" t="n">
        <v>11500000</v>
      </c>
      <c r="J652" s="21">
        <f>IF(OR(H652="",H652=25529689.5),"Yes","No")</f>
        <v/>
      </c>
      <c r="K652" s="21">
        <f>IF(AND(D652="USA",C652&gt;=1980,J652="No"),"Yes","No")</f>
        <v/>
      </c>
      <c r="L652" s="26">
        <f>IF(J652="Yes","",H652-I652)</f>
        <v/>
      </c>
      <c r="M652" s="27">
        <f>IF(OR(J652="Yes",I652=0),"",H652/I652)</f>
        <v/>
      </c>
      <c r="N652" s="21">
        <f>IF(J652="Yes","",IF(H652&gt;=I652,1,0))</f>
        <v/>
      </c>
      <c r="O652" s="21">
        <f>IF(I652&lt;=5000000,"Under $5M",IF(I652&lt;=20000000,"$5M-20M",IF(I652&lt;=50000000,"$20M-50M",IF(I652&lt;=100000000,"$50M-100M","$100M+"))))</f>
        <v/>
      </c>
      <c r="P652" s="21">
        <f>IF(E652&lt;=90,"90 or less",IF(E652&lt;=105,"91-105",IF(E652&lt;=120,"106-120",IF(E652&lt;=140,"121-140","Over 140"))))</f>
        <v/>
      </c>
      <c r="Q652" s="28">
        <f>INT(C652/10)*10</f>
        <v/>
      </c>
    </row>
    <row r="653">
      <c r="A653" s="21" t="n">
        <v>675</v>
      </c>
      <c r="B653" s="21" t="inlineStr">
        <is>
          <t>Ruby in Paradise</t>
        </is>
      </c>
      <c r="C653" s="21" t="n">
        <v>1993</v>
      </c>
      <c r="D653" s="21" t="inlineStr">
        <is>
          <t>USA</t>
        </is>
      </c>
      <c r="E653" s="21" t="n">
        <v>114</v>
      </c>
      <c r="F653" s="21" t="inlineStr">
        <is>
          <t>English</t>
        </is>
      </c>
      <c r="G653" s="21" t="inlineStr">
        <is>
          <t>R</t>
        </is>
      </c>
      <c r="H653" s="22" t="n">
        <v>1001437</v>
      </c>
      <c r="I653" s="22" t="n">
        <v>800000</v>
      </c>
      <c r="J653" s="21">
        <f>IF(OR(H653="",H653=25529689.5),"Yes","No")</f>
        <v/>
      </c>
      <c r="K653" s="21">
        <f>IF(AND(D653="USA",C653&gt;=1980,J653="No"),"Yes","No")</f>
        <v/>
      </c>
      <c r="L653" s="26">
        <f>IF(J653="Yes","",H653-I653)</f>
        <v/>
      </c>
      <c r="M653" s="27">
        <f>IF(OR(J653="Yes",I653=0),"",H653/I653)</f>
        <v/>
      </c>
      <c r="N653" s="21">
        <f>IF(J653="Yes","",IF(H653&gt;=I653,1,0))</f>
        <v/>
      </c>
      <c r="O653" s="21">
        <f>IF(I653&lt;=5000000,"Under $5M",IF(I653&lt;=20000000,"$5M-20M",IF(I653&lt;=50000000,"$20M-50M",IF(I653&lt;=100000000,"$50M-100M","$100M+"))))</f>
        <v/>
      </c>
      <c r="P653" s="21">
        <f>IF(E653&lt;=90,"90 or less",IF(E653&lt;=105,"91-105",IF(E653&lt;=120,"106-120",IF(E653&lt;=140,"121-140","Over 140"))))</f>
        <v/>
      </c>
      <c r="Q653" s="28">
        <f>INT(C653/10)*10</f>
        <v/>
      </c>
    </row>
    <row r="654">
      <c r="A654" s="21" t="n">
        <v>676</v>
      </c>
      <c r="B654" s="21" t="inlineStr">
        <is>
          <t>Schindler's List</t>
        </is>
      </c>
      <c r="C654" s="21" t="n">
        <v>1993</v>
      </c>
      <c r="D654" s="21" t="inlineStr">
        <is>
          <t>USA</t>
        </is>
      </c>
      <c r="E654" s="21" t="n">
        <v>185</v>
      </c>
      <c r="F654" s="21" t="inlineStr">
        <is>
          <t>English</t>
        </is>
      </c>
      <c r="G654" s="21" t="inlineStr">
        <is>
          <t>R</t>
        </is>
      </c>
      <c r="H654" s="22" t="n">
        <v>96067179</v>
      </c>
      <c r="I654" s="22" t="n">
        <v>22000000</v>
      </c>
      <c r="J654" s="21">
        <f>IF(OR(H654="",H654=25529689.5),"Yes","No")</f>
        <v/>
      </c>
      <c r="K654" s="21">
        <f>IF(AND(D654="USA",C654&gt;=1980,J654="No"),"Yes","No")</f>
        <v/>
      </c>
      <c r="L654" s="26">
        <f>IF(J654="Yes","",H654-I654)</f>
        <v/>
      </c>
      <c r="M654" s="27">
        <f>IF(OR(J654="Yes",I654=0),"",H654/I654)</f>
        <v/>
      </c>
      <c r="N654" s="21">
        <f>IF(J654="Yes","",IF(H654&gt;=I654,1,0))</f>
        <v/>
      </c>
      <c r="O654" s="21">
        <f>IF(I654&lt;=5000000,"Under $5M",IF(I654&lt;=20000000,"$5M-20M",IF(I654&lt;=50000000,"$20M-50M",IF(I654&lt;=100000000,"$50M-100M","$100M+"))))</f>
        <v/>
      </c>
      <c r="P654" s="21">
        <f>IF(E654&lt;=90,"90 or less",IF(E654&lt;=105,"91-105",IF(E654&lt;=120,"106-120",IF(E654&lt;=140,"121-140","Over 140"))))</f>
        <v/>
      </c>
      <c r="Q654" s="28">
        <f>INT(C654/10)*10</f>
        <v/>
      </c>
    </row>
    <row r="655">
      <c r="A655" s="21" t="n">
        <v>677</v>
      </c>
      <c r="B655" s="21" t="inlineStr">
        <is>
          <t>Shadowlands</t>
        </is>
      </c>
      <c r="C655" s="21" t="n">
        <v>1993</v>
      </c>
      <c r="D655" s="21" t="inlineStr">
        <is>
          <t>UK</t>
        </is>
      </c>
      <c r="E655" s="21" t="n">
        <v>115</v>
      </c>
      <c r="F655" s="21" t="inlineStr">
        <is>
          <t>English</t>
        </is>
      </c>
      <c r="G655" s="21" t="inlineStr">
        <is>
          <t>PG</t>
        </is>
      </c>
      <c r="H655" s="22" t="n">
        <v>25842000</v>
      </c>
      <c r="I655" s="22" t="n">
        <v>22000000</v>
      </c>
      <c r="J655" s="21">
        <f>IF(OR(H655="",H655=25529689.5),"Yes","No")</f>
        <v/>
      </c>
      <c r="K655" s="21">
        <f>IF(AND(D655="USA",C655&gt;=1980,J655="No"),"Yes","No")</f>
        <v/>
      </c>
      <c r="L655" s="26">
        <f>IF(J655="Yes","",H655-I655)</f>
        <v/>
      </c>
      <c r="M655" s="27">
        <f>IF(OR(J655="Yes",I655=0),"",H655/I655)</f>
        <v/>
      </c>
      <c r="N655" s="21">
        <f>IF(J655="Yes","",IF(H655&gt;=I655,1,0))</f>
        <v/>
      </c>
      <c r="O655" s="21">
        <f>IF(I655&lt;=5000000,"Under $5M",IF(I655&lt;=20000000,"$5M-20M",IF(I655&lt;=50000000,"$20M-50M",IF(I655&lt;=100000000,"$50M-100M","$100M+"))))</f>
        <v/>
      </c>
      <c r="P655" s="21">
        <f>IF(E655&lt;=90,"90 or less",IF(E655&lt;=105,"91-105",IF(E655&lt;=120,"106-120",IF(E655&lt;=140,"121-140","Over 140"))))</f>
        <v/>
      </c>
      <c r="Q655" s="28">
        <f>INT(C655/10)*10</f>
        <v/>
      </c>
    </row>
    <row r="656">
      <c r="A656" s="21" t="n">
        <v>678</v>
      </c>
      <c r="B656" s="21" t="inlineStr">
        <is>
          <t>Sugar Hill</t>
        </is>
      </c>
      <c r="C656" s="21" t="n">
        <v>1993</v>
      </c>
      <c r="D656" s="21" t="inlineStr">
        <is>
          <t>USA</t>
        </is>
      </c>
      <c r="E656" s="21" t="n">
        <v>123</v>
      </c>
      <c r="F656" s="21" t="inlineStr">
        <is>
          <t>English</t>
        </is>
      </c>
      <c r="G656" s="21" t="inlineStr">
        <is>
          <t>R</t>
        </is>
      </c>
      <c r="H656" s="22" t="n">
        <v>18272447</v>
      </c>
      <c r="I656" s="22" t="n">
        <v>10000000</v>
      </c>
      <c r="J656" s="21">
        <f>IF(OR(H656="",H656=25529689.5),"Yes","No")</f>
        <v/>
      </c>
      <c r="K656" s="21">
        <f>IF(AND(D656="USA",C656&gt;=1980,J656="No"),"Yes","No")</f>
        <v/>
      </c>
      <c r="L656" s="26">
        <f>IF(J656="Yes","",H656-I656)</f>
        <v/>
      </c>
      <c r="M656" s="27">
        <f>IF(OR(J656="Yes",I656=0),"",H656/I656)</f>
        <v/>
      </c>
      <c r="N656" s="21">
        <f>IF(J656="Yes","",IF(H656&gt;=I656,1,0))</f>
        <v/>
      </c>
      <c r="O656" s="21">
        <f>IF(I656&lt;=5000000,"Under $5M",IF(I656&lt;=20000000,"$5M-20M",IF(I656&lt;=50000000,"$20M-50M",IF(I656&lt;=100000000,"$50M-100M","$100M+"))))</f>
        <v/>
      </c>
      <c r="P656" s="21">
        <f>IF(E656&lt;=90,"90 or less",IF(E656&lt;=105,"91-105",IF(E656&lt;=120,"106-120",IF(E656&lt;=140,"121-140","Over 140"))))</f>
        <v/>
      </c>
      <c r="Q656" s="28">
        <f>INT(C656/10)*10</f>
        <v/>
      </c>
    </row>
    <row r="657">
      <c r="A657" s="21" t="n">
        <v>679</v>
      </c>
      <c r="B657" s="21" t="inlineStr">
        <is>
          <t>Super Mario Bros.</t>
        </is>
      </c>
      <c r="C657" s="21" t="n">
        <v>1993</v>
      </c>
      <c r="D657" s="21" t="inlineStr">
        <is>
          <t>UK</t>
        </is>
      </c>
      <c r="E657" s="21" t="n">
        <v>104</v>
      </c>
      <c r="F657" s="21" t="inlineStr">
        <is>
          <t>English</t>
        </is>
      </c>
      <c r="G657" s="21" t="inlineStr">
        <is>
          <t>PG</t>
        </is>
      </c>
      <c r="H657" s="22" t="n">
        <v>20915465</v>
      </c>
      <c r="I657" s="22" t="n">
        <v>42000000</v>
      </c>
      <c r="J657" s="21">
        <f>IF(OR(H657="",H657=25529689.5),"Yes","No")</f>
        <v/>
      </c>
      <c r="K657" s="21">
        <f>IF(AND(D657="USA",C657&gt;=1980,J657="No"),"Yes","No")</f>
        <v/>
      </c>
      <c r="L657" s="26">
        <f>IF(J657="Yes","",H657-I657)</f>
        <v/>
      </c>
      <c r="M657" s="27">
        <f>IF(OR(J657="Yes",I657=0),"",H657/I657)</f>
        <v/>
      </c>
      <c r="N657" s="21">
        <f>IF(J657="Yes","",IF(H657&gt;=I657,1,0))</f>
        <v/>
      </c>
      <c r="O657" s="21">
        <f>IF(I657&lt;=5000000,"Under $5M",IF(I657&lt;=20000000,"$5M-20M",IF(I657&lt;=50000000,"$20M-50M",IF(I657&lt;=100000000,"$50M-100M","$100M+"))))</f>
        <v/>
      </c>
      <c r="P657" s="21">
        <f>IF(E657&lt;=90,"90 or less",IF(E657&lt;=105,"91-105",IF(E657&lt;=120,"106-120",IF(E657&lt;=140,"121-140","Over 140"))))</f>
        <v/>
      </c>
      <c r="Q657" s="28">
        <f>INT(C657/10)*10</f>
        <v/>
      </c>
    </row>
    <row r="658">
      <c r="A658" s="21" t="n">
        <v>680</v>
      </c>
      <c r="B658" s="21" t="inlineStr">
        <is>
          <t>Teenage Mutant Ninja Turtles III</t>
        </is>
      </c>
      <c r="C658" s="21" t="n">
        <v>1993</v>
      </c>
      <c r="D658" s="21" t="inlineStr">
        <is>
          <t>USA</t>
        </is>
      </c>
      <c r="E658" s="21" t="n">
        <v>96</v>
      </c>
      <c r="F658" s="21" t="inlineStr">
        <is>
          <t>English</t>
        </is>
      </c>
      <c r="G658" s="21" t="inlineStr">
        <is>
          <t>PG</t>
        </is>
      </c>
      <c r="H658" s="22" t="n">
        <v>42660000</v>
      </c>
      <c r="I658" s="22" t="n">
        <v>17000000</v>
      </c>
      <c r="J658" s="21">
        <f>IF(OR(H658="",H658=25529689.5),"Yes","No")</f>
        <v/>
      </c>
      <c r="K658" s="21">
        <f>IF(AND(D658="USA",C658&gt;=1980,J658="No"),"Yes","No")</f>
        <v/>
      </c>
      <c r="L658" s="26">
        <f>IF(J658="Yes","",H658-I658)</f>
        <v/>
      </c>
      <c r="M658" s="27">
        <f>IF(OR(J658="Yes",I658=0),"",H658/I658)</f>
        <v/>
      </c>
      <c r="N658" s="21">
        <f>IF(J658="Yes","",IF(H658&gt;=I658,1,0))</f>
        <v/>
      </c>
      <c r="O658" s="21">
        <f>IF(I658&lt;=5000000,"Under $5M",IF(I658&lt;=20000000,"$5M-20M",IF(I658&lt;=50000000,"$20M-50M",IF(I658&lt;=100000000,"$50M-100M","$100M+"))))</f>
        <v/>
      </c>
      <c r="P658" s="21">
        <f>IF(E658&lt;=90,"90 or less",IF(E658&lt;=105,"91-105",IF(E658&lt;=120,"106-120",IF(E658&lt;=140,"121-140","Over 140"))))</f>
        <v/>
      </c>
      <c r="Q658" s="28">
        <f>INT(C658/10)*10</f>
        <v/>
      </c>
    </row>
    <row r="659">
      <c r="A659" s="21" t="n">
        <v>681</v>
      </c>
      <c r="B659" s="21" t="inlineStr">
        <is>
          <t>The Adventures of Huck Finn</t>
        </is>
      </c>
      <c r="C659" s="21" t="n">
        <v>1993</v>
      </c>
      <c r="D659" s="21" t="inlineStr">
        <is>
          <t>USA</t>
        </is>
      </c>
      <c r="E659" s="21" t="n">
        <v>108</v>
      </c>
      <c r="F659" s="21" t="inlineStr">
        <is>
          <t>English</t>
        </is>
      </c>
      <c r="G659" s="21" t="inlineStr">
        <is>
          <t>PG</t>
        </is>
      </c>
      <c r="H659" s="22" t="n">
        <v>24103594</v>
      </c>
      <c r="I659" s="22" t="n">
        <v>6500000</v>
      </c>
      <c r="J659" s="21">
        <f>IF(OR(H659="",H659=25529689.5),"Yes","No")</f>
        <v/>
      </c>
      <c r="K659" s="21">
        <f>IF(AND(D659="USA",C659&gt;=1980,J659="No"),"Yes","No")</f>
        <v/>
      </c>
      <c r="L659" s="26">
        <f>IF(J659="Yes","",H659-I659)</f>
        <v/>
      </c>
      <c r="M659" s="27">
        <f>IF(OR(J659="Yes",I659=0),"",H659/I659)</f>
        <v/>
      </c>
      <c r="N659" s="21">
        <f>IF(J659="Yes","",IF(H659&gt;=I659,1,0))</f>
        <v/>
      </c>
      <c r="O659" s="21">
        <f>IF(I659&lt;=5000000,"Under $5M",IF(I659&lt;=20000000,"$5M-20M",IF(I659&lt;=50000000,"$20M-50M",IF(I659&lt;=100000000,"$50M-100M","$100M+"))))</f>
        <v/>
      </c>
      <c r="P659" s="21">
        <f>IF(E659&lt;=90,"90 or less",IF(E659&lt;=105,"91-105",IF(E659&lt;=120,"106-120",IF(E659&lt;=140,"121-140","Over 140"))))</f>
        <v/>
      </c>
      <c r="Q659" s="28">
        <f>INT(C659/10)*10</f>
        <v/>
      </c>
    </row>
    <row r="660">
      <c r="A660" s="21" t="n">
        <v>682</v>
      </c>
      <c r="B660" s="21" t="inlineStr">
        <is>
          <t>The Age of Innocence</t>
        </is>
      </c>
      <c r="C660" s="21" t="n">
        <v>1993</v>
      </c>
      <c r="D660" s="21" t="inlineStr">
        <is>
          <t>USA</t>
        </is>
      </c>
      <c r="E660" s="21" t="n">
        <v>139</v>
      </c>
      <c r="F660" s="21" t="inlineStr">
        <is>
          <t>English</t>
        </is>
      </c>
      <c r="G660" s="21" t="inlineStr">
        <is>
          <t>PG</t>
        </is>
      </c>
      <c r="H660" s="22" t="n">
        <v>32000000</v>
      </c>
      <c r="I660" s="22" t="n">
        <v>30000000</v>
      </c>
      <c r="J660" s="21">
        <f>IF(OR(H660="",H660=25529689.5),"Yes","No")</f>
        <v/>
      </c>
      <c r="K660" s="21">
        <f>IF(AND(D660="USA",C660&gt;=1980,J660="No"),"Yes","No")</f>
        <v/>
      </c>
      <c r="L660" s="26">
        <f>IF(J660="Yes","",H660-I660)</f>
        <v/>
      </c>
      <c r="M660" s="27">
        <f>IF(OR(J660="Yes",I660=0),"",H660/I660)</f>
        <v/>
      </c>
      <c r="N660" s="21">
        <f>IF(J660="Yes","",IF(H660&gt;=I660,1,0))</f>
        <v/>
      </c>
      <c r="O660" s="21">
        <f>IF(I660&lt;=5000000,"Under $5M",IF(I660&lt;=20000000,"$5M-20M",IF(I660&lt;=50000000,"$20M-50M",IF(I660&lt;=100000000,"$50M-100M","$100M+"))))</f>
        <v/>
      </c>
      <c r="P660" s="21">
        <f>IF(E660&lt;=90,"90 or less",IF(E660&lt;=105,"91-105",IF(E660&lt;=120,"106-120",IF(E660&lt;=140,"121-140","Over 140"))))</f>
        <v/>
      </c>
      <c r="Q660" s="28">
        <f>INT(C660/10)*10</f>
        <v/>
      </c>
    </row>
    <row r="661">
      <c r="A661" s="21" t="n">
        <v>683</v>
      </c>
      <c r="B661" s="21" t="inlineStr">
        <is>
          <t>The Firm</t>
        </is>
      </c>
      <c r="C661" s="21" t="n">
        <v>1993</v>
      </c>
      <c r="D661" s="21" t="inlineStr">
        <is>
          <t>USA</t>
        </is>
      </c>
      <c r="E661" s="21" t="n">
        <v>154</v>
      </c>
      <c r="F661" s="21" t="inlineStr">
        <is>
          <t>English</t>
        </is>
      </c>
      <c r="G661" s="21" t="inlineStr">
        <is>
          <t>R</t>
        </is>
      </c>
      <c r="H661" s="22" t="n">
        <v>158348400</v>
      </c>
      <c r="I661" s="22" t="n">
        <v>42000000</v>
      </c>
      <c r="J661" s="21">
        <f>IF(OR(H661="",H661=25529689.5),"Yes","No")</f>
        <v/>
      </c>
      <c r="K661" s="21">
        <f>IF(AND(D661="USA",C661&gt;=1980,J661="No"),"Yes","No")</f>
        <v/>
      </c>
      <c r="L661" s="26">
        <f>IF(J661="Yes","",H661-I661)</f>
        <v/>
      </c>
      <c r="M661" s="27">
        <f>IF(OR(J661="Yes",I661=0),"",H661/I661)</f>
        <v/>
      </c>
      <c r="N661" s="21">
        <f>IF(J661="Yes","",IF(H661&gt;=I661,1,0))</f>
        <v/>
      </c>
      <c r="O661" s="21">
        <f>IF(I661&lt;=5000000,"Under $5M",IF(I661&lt;=20000000,"$5M-20M",IF(I661&lt;=50000000,"$20M-50M",IF(I661&lt;=100000000,"$50M-100M","$100M+"))))</f>
        <v/>
      </c>
      <c r="P661" s="21">
        <f>IF(E661&lt;=90,"90 or less",IF(E661&lt;=105,"91-105",IF(E661&lt;=120,"106-120",IF(E661&lt;=140,"121-140","Over 140"))))</f>
        <v/>
      </c>
      <c r="Q661" s="28">
        <f>INT(C661/10)*10</f>
        <v/>
      </c>
    </row>
    <row r="662">
      <c r="A662" s="21" t="n">
        <v>684</v>
      </c>
      <c r="B662" s="21" t="inlineStr">
        <is>
          <t>The Fugitive</t>
        </is>
      </c>
      <c r="C662" s="21" t="n">
        <v>1993</v>
      </c>
      <c r="D662" s="21" t="inlineStr">
        <is>
          <t>USA</t>
        </is>
      </c>
      <c r="E662" s="21" t="n">
        <v>130</v>
      </c>
      <c r="F662" s="21" t="inlineStr">
        <is>
          <t>English</t>
        </is>
      </c>
      <c r="G662" s="21" t="inlineStr">
        <is>
          <t>PG-13</t>
        </is>
      </c>
      <c r="H662" s="22" t="n">
        <v>183875760</v>
      </c>
      <c r="I662" s="22" t="n">
        <v>44000000</v>
      </c>
      <c r="J662" s="21">
        <f>IF(OR(H662="",H662=25529689.5),"Yes","No")</f>
        <v/>
      </c>
      <c r="K662" s="21">
        <f>IF(AND(D662="USA",C662&gt;=1980,J662="No"),"Yes","No")</f>
        <v/>
      </c>
      <c r="L662" s="26">
        <f>IF(J662="Yes","",H662-I662)</f>
        <v/>
      </c>
      <c r="M662" s="27">
        <f>IF(OR(J662="Yes",I662=0),"",H662/I662)</f>
        <v/>
      </c>
      <c r="N662" s="21">
        <f>IF(J662="Yes","",IF(H662&gt;=I662,1,0))</f>
        <v/>
      </c>
      <c r="O662" s="21">
        <f>IF(I662&lt;=5000000,"Under $5M",IF(I662&lt;=20000000,"$5M-20M",IF(I662&lt;=50000000,"$20M-50M",IF(I662&lt;=100000000,"$50M-100M","$100M+"))))</f>
        <v/>
      </c>
      <c r="P662" s="21">
        <f>IF(E662&lt;=90,"90 or less",IF(E662&lt;=105,"91-105",IF(E662&lt;=120,"106-120",IF(E662&lt;=140,"121-140","Over 140"))))</f>
        <v/>
      </c>
      <c r="Q662" s="28">
        <f>INT(C662/10)*10</f>
        <v/>
      </c>
    </row>
    <row r="663">
      <c r="A663" s="21" t="n">
        <v>685</v>
      </c>
      <c r="B663" s="21" t="inlineStr">
        <is>
          <t>The Nutcracker</t>
        </is>
      </c>
      <c r="C663" s="21" t="n">
        <v>1993</v>
      </c>
      <c r="D663" s="21" t="inlineStr">
        <is>
          <t>USA</t>
        </is>
      </c>
      <c r="E663" s="21" t="n">
        <v>92</v>
      </c>
      <c r="F663" s="21" t="inlineStr">
        <is>
          <t>English</t>
        </is>
      </c>
      <c r="G663" s="21" t="inlineStr">
        <is>
          <t>G</t>
        </is>
      </c>
      <c r="H663" s="22" t="n">
        <v>2119994</v>
      </c>
      <c r="I663" s="22" t="n">
        <v>19000000</v>
      </c>
      <c r="J663" s="21">
        <f>IF(OR(H663="",H663=25529689.5),"Yes","No")</f>
        <v/>
      </c>
      <c r="K663" s="21">
        <f>IF(AND(D663="USA",C663&gt;=1980,J663="No"),"Yes","No")</f>
        <v/>
      </c>
      <c r="L663" s="26">
        <f>IF(J663="Yes","",H663-I663)</f>
        <v/>
      </c>
      <c r="M663" s="27">
        <f>IF(OR(J663="Yes",I663=0),"",H663/I663)</f>
        <v/>
      </c>
      <c r="N663" s="21">
        <f>IF(J663="Yes","",IF(H663&gt;=I663,1,0))</f>
        <v/>
      </c>
      <c r="O663" s="21">
        <f>IF(I663&lt;=5000000,"Under $5M",IF(I663&lt;=20000000,"$5M-20M",IF(I663&lt;=50000000,"$20M-50M",IF(I663&lt;=100000000,"$50M-100M","$100M+"))))</f>
        <v/>
      </c>
      <c r="P663" s="21">
        <f>IF(E663&lt;=90,"90 or less",IF(E663&lt;=105,"91-105",IF(E663&lt;=120,"106-120",IF(E663&lt;=140,"121-140","Over 140"))))</f>
        <v/>
      </c>
      <c r="Q663" s="28">
        <f>INT(C663/10)*10</f>
        <v/>
      </c>
    </row>
    <row r="664">
      <c r="A664" s="21" t="n">
        <v>686</v>
      </c>
      <c r="B664" s="21" t="inlineStr">
        <is>
          <t>The Pelican Brief</t>
        </is>
      </c>
      <c r="C664" s="21" t="n">
        <v>1993</v>
      </c>
      <c r="D664" s="21" t="inlineStr">
        <is>
          <t>USA</t>
        </is>
      </c>
      <c r="E664" s="21" t="n">
        <v>141</v>
      </c>
      <c r="F664" s="21" t="inlineStr">
        <is>
          <t>English</t>
        </is>
      </c>
      <c r="G664" s="21" t="inlineStr">
        <is>
          <t>PG-13</t>
        </is>
      </c>
      <c r="H664" s="22" t="n">
        <v>100768056</v>
      </c>
      <c r="I664" s="22" t="n">
        <v>45000000</v>
      </c>
      <c r="J664" s="21">
        <f>IF(OR(H664="",H664=25529689.5),"Yes","No")</f>
        <v/>
      </c>
      <c r="K664" s="21">
        <f>IF(AND(D664="USA",C664&gt;=1980,J664="No"),"Yes","No")</f>
        <v/>
      </c>
      <c r="L664" s="26">
        <f>IF(J664="Yes","",H664-I664)</f>
        <v/>
      </c>
      <c r="M664" s="27">
        <f>IF(OR(J664="Yes",I664=0),"",H664/I664)</f>
        <v/>
      </c>
      <c r="N664" s="21">
        <f>IF(J664="Yes","",IF(H664&gt;=I664,1,0))</f>
        <v/>
      </c>
      <c r="O664" s="21">
        <f>IF(I664&lt;=5000000,"Under $5M",IF(I664&lt;=20000000,"$5M-20M",IF(I664&lt;=50000000,"$20M-50M",IF(I664&lt;=100000000,"$50M-100M","$100M+"))))</f>
        <v/>
      </c>
      <c r="P664" s="21">
        <f>IF(E664&lt;=90,"90 or less",IF(E664&lt;=105,"91-105",IF(E664&lt;=120,"106-120",IF(E664&lt;=140,"121-140","Over 140"))))</f>
        <v/>
      </c>
      <c r="Q664" s="28">
        <f>INT(C664/10)*10</f>
        <v/>
      </c>
    </row>
    <row r="665">
      <c r="A665" s="21" t="n">
        <v>687</v>
      </c>
      <c r="B665" s="21" t="inlineStr">
        <is>
          <t>The Piano</t>
        </is>
      </c>
      <c r="C665" s="21" t="n">
        <v>1993</v>
      </c>
      <c r="D665" s="21" t="inlineStr">
        <is>
          <t>New Zealand</t>
        </is>
      </c>
      <c r="E665" s="21" t="n">
        <v>121</v>
      </c>
      <c r="F665" s="21" t="inlineStr">
        <is>
          <t>English</t>
        </is>
      </c>
      <c r="G665" s="21" t="inlineStr">
        <is>
          <t>R</t>
        </is>
      </c>
      <c r="H665" s="22" t="n">
        <v>40158000</v>
      </c>
      <c r="I665" s="22" t="n">
        <v>7000000</v>
      </c>
      <c r="J665" s="21">
        <f>IF(OR(H665="",H665=25529689.5),"Yes","No")</f>
        <v/>
      </c>
      <c r="K665" s="21">
        <f>IF(AND(D665="USA",C665&gt;=1980,J665="No"),"Yes","No")</f>
        <v/>
      </c>
      <c r="L665" s="26">
        <f>IF(J665="Yes","",H665-I665)</f>
        <v/>
      </c>
      <c r="M665" s="27">
        <f>IF(OR(J665="Yes",I665=0),"",H665/I665)</f>
        <v/>
      </c>
      <c r="N665" s="21">
        <f>IF(J665="Yes","",IF(H665&gt;=I665,1,0))</f>
        <v/>
      </c>
      <c r="O665" s="21">
        <f>IF(I665&lt;=5000000,"Under $5M",IF(I665&lt;=20000000,"$5M-20M",IF(I665&lt;=50000000,"$20M-50M",IF(I665&lt;=100000000,"$50M-100M","$100M+"))))</f>
        <v/>
      </c>
      <c r="P665" s="21">
        <f>IF(E665&lt;=90,"90 or less",IF(E665&lt;=105,"91-105",IF(E665&lt;=120,"106-120",IF(E665&lt;=140,"121-140","Over 140"))))</f>
        <v/>
      </c>
      <c r="Q665" s="28">
        <f>INT(C665/10)*10</f>
        <v/>
      </c>
    </row>
    <row r="666">
      <c r="A666" s="21" t="n">
        <v>688</v>
      </c>
      <c r="B666" s="21" t="inlineStr">
        <is>
          <t>The Princess and the Cobbler</t>
        </is>
      </c>
      <c r="C666" s="21" t="n">
        <v>1993</v>
      </c>
      <c r="D666" s="21" t="inlineStr">
        <is>
          <t>UK</t>
        </is>
      </c>
      <c r="E666" s="21" t="n">
        <v>80</v>
      </c>
      <c r="F666" s="21" t="inlineStr">
        <is>
          <t>English</t>
        </is>
      </c>
      <c r="G666" s="21" t="inlineStr">
        <is>
          <t>G</t>
        </is>
      </c>
      <c r="H666" s="22" t="n">
        <v>669276</v>
      </c>
      <c r="I666" s="22" t="n">
        <v>28000000</v>
      </c>
      <c r="J666" s="21">
        <f>IF(OR(H666="",H666=25529689.5),"Yes","No")</f>
        <v/>
      </c>
      <c r="K666" s="21">
        <f>IF(AND(D666="USA",C666&gt;=1980,J666="No"),"Yes","No")</f>
        <v/>
      </c>
      <c r="L666" s="26">
        <f>IF(J666="Yes","",H666-I666)</f>
        <v/>
      </c>
      <c r="M666" s="27">
        <f>IF(OR(J666="Yes",I666=0),"",H666/I666)</f>
        <v/>
      </c>
      <c r="N666" s="21">
        <f>IF(J666="Yes","",IF(H666&gt;=I666,1,0))</f>
        <v/>
      </c>
      <c r="O666" s="21">
        <f>IF(I666&lt;=5000000,"Under $5M",IF(I666&lt;=20000000,"$5M-20M",IF(I666&lt;=50000000,"$20M-50M",IF(I666&lt;=100000000,"$50M-100M","$100M+"))))</f>
        <v/>
      </c>
      <c r="P666" s="21">
        <f>IF(E666&lt;=90,"90 or less",IF(E666&lt;=105,"91-105",IF(E666&lt;=120,"106-120",IF(E666&lt;=140,"121-140","Over 140"))))</f>
        <v/>
      </c>
      <c r="Q666" s="28">
        <f>INT(C666/10)*10</f>
        <v/>
      </c>
    </row>
    <row r="667">
      <c r="A667" s="21" t="n">
        <v>689</v>
      </c>
      <c r="B667" s="21" t="inlineStr">
        <is>
          <t>The Remains of the Day</t>
        </is>
      </c>
      <c r="C667" s="21" t="n">
        <v>1993</v>
      </c>
      <c r="D667" s="21" t="inlineStr">
        <is>
          <t>UK</t>
        </is>
      </c>
      <c r="E667" s="21" t="n">
        <v>134</v>
      </c>
      <c r="F667" s="21" t="inlineStr">
        <is>
          <t>English</t>
        </is>
      </c>
      <c r="G667" s="21" t="inlineStr">
        <is>
          <t>PG</t>
        </is>
      </c>
      <c r="H667" s="22" t="n">
        <v>22954968</v>
      </c>
      <c r="I667" s="22" t="n">
        <v>11500000</v>
      </c>
      <c r="J667" s="21">
        <f>IF(OR(H667="",H667=25529689.5),"Yes","No")</f>
        <v/>
      </c>
      <c r="K667" s="21">
        <f>IF(AND(D667="USA",C667&gt;=1980,J667="No"),"Yes","No")</f>
        <v/>
      </c>
      <c r="L667" s="26">
        <f>IF(J667="Yes","",H667-I667)</f>
        <v/>
      </c>
      <c r="M667" s="27">
        <f>IF(OR(J667="Yes",I667=0),"",H667/I667)</f>
        <v/>
      </c>
      <c r="N667" s="21">
        <f>IF(J667="Yes","",IF(H667&gt;=I667,1,0))</f>
        <v/>
      </c>
      <c r="O667" s="21">
        <f>IF(I667&lt;=5000000,"Under $5M",IF(I667&lt;=20000000,"$5M-20M",IF(I667&lt;=50000000,"$20M-50M",IF(I667&lt;=100000000,"$50M-100M","$100M+"))))</f>
        <v/>
      </c>
      <c r="P667" s="21">
        <f>IF(E667&lt;=90,"90 or less",IF(E667&lt;=105,"91-105",IF(E667&lt;=120,"106-120",IF(E667&lt;=140,"121-140","Over 140"))))</f>
        <v/>
      </c>
      <c r="Q667" s="28">
        <f>INT(C667/10)*10</f>
        <v/>
      </c>
    </row>
    <row r="668">
      <c r="A668" s="21" t="n">
        <v>690</v>
      </c>
      <c r="B668" s="21" t="inlineStr">
        <is>
          <t>Tombstone</t>
        </is>
      </c>
      <c r="C668" s="21" t="n">
        <v>1993</v>
      </c>
      <c r="D668" s="21" t="inlineStr">
        <is>
          <t>USA</t>
        </is>
      </c>
      <c r="E668" s="21" t="n">
        <v>134</v>
      </c>
      <c r="F668" s="21" t="inlineStr">
        <is>
          <t>English</t>
        </is>
      </c>
      <c r="G668" s="21" t="inlineStr">
        <is>
          <t>R</t>
        </is>
      </c>
      <c r="H668" s="22" t="n">
        <v>56505065</v>
      </c>
      <c r="I668" s="22" t="n">
        <v>25000000</v>
      </c>
      <c r="J668" s="21">
        <f>IF(OR(H668="",H668=25529689.5),"Yes","No")</f>
        <v/>
      </c>
      <c r="K668" s="21">
        <f>IF(AND(D668="USA",C668&gt;=1980,J668="No"),"Yes","No")</f>
        <v/>
      </c>
      <c r="L668" s="26">
        <f>IF(J668="Yes","",H668-I668)</f>
        <v/>
      </c>
      <c r="M668" s="27">
        <f>IF(OR(J668="Yes",I668=0),"",H668/I668)</f>
        <v/>
      </c>
      <c r="N668" s="21">
        <f>IF(J668="Yes","",IF(H668&gt;=I668,1,0))</f>
        <v/>
      </c>
      <c r="O668" s="21">
        <f>IF(I668&lt;=5000000,"Under $5M",IF(I668&lt;=20000000,"$5M-20M",IF(I668&lt;=50000000,"$20M-50M",IF(I668&lt;=100000000,"$50M-100M","$100M+"))))</f>
        <v/>
      </c>
      <c r="P668" s="21">
        <f>IF(E668&lt;=90,"90 or less",IF(E668&lt;=105,"91-105",IF(E668&lt;=120,"106-120",IF(E668&lt;=140,"121-140","Over 140"))))</f>
        <v/>
      </c>
      <c r="Q668" s="28">
        <f>INT(C668/10)*10</f>
        <v/>
      </c>
    </row>
    <row r="669">
      <c r="A669" s="21" t="n">
        <v>691</v>
      </c>
      <c r="B669" s="21" t="inlineStr">
        <is>
          <t>True Romance</t>
        </is>
      </c>
      <c r="C669" s="21" t="n">
        <v>1993</v>
      </c>
      <c r="D669" s="21" t="inlineStr">
        <is>
          <t>USA</t>
        </is>
      </c>
      <c r="E669" s="21" t="n">
        <v>121</v>
      </c>
      <c r="F669" s="21" t="inlineStr">
        <is>
          <t>English</t>
        </is>
      </c>
      <c r="G669" s="21" t="inlineStr">
        <is>
          <t>R</t>
        </is>
      </c>
      <c r="H669" s="22" t="n">
        <v>12281500</v>
      </c>
      <c r="I669" s="22" t="n">
        <v>13000000</v>
      </c>
      <c r="J669" s="21">
        <f>IF(OR(H669="",H669=25529689.5),"Yes","No")</f>
        <v/>
      </c>
      <c r="K669" s="21">
        <f>IF(AND(D669="USA",C669&gt;=1980,J669="No"),"Yes","No")</f>
        <v/>
      </c>
      <c r="L669" s="26">
        <f>IF(J669="Yes","",H669-I669)</f>
        <v/>
      </c>
      <c r="M669" s="27">
        <f>IF(OR(J669="Yes",I669=0),"",H669/I669)</f>
        <v/>
      </c>
      <c r="N669" s="21">
        <f>IF(J669="Yes","",IF(H669&gt;=I669,1,0))</f>
        <v/>
      </c>
      <c r="O669" s="21">
        <f>IF(I669&lt;=5000000,"Under $5M",IF(I669&lt;=20000000,"$5M-20M",IF(I669&lt;=50000000,"$20M-50M",IF(I669&lt;=100000000,"$50M-100M","$100M+"))))</f>
        <v/>
      </c>
      <c r="P669" s="21">
        <f>IF(E669&lt;=90,"90 or less",IF(E669&lt;=105,"91-105",IF(E669&lt;=120,"106-120",IF(E669&lt;=140,"121-140","Over 140"))))</f>
        <v/>
      </c>
      <c r="Q669" s="28">
        <f>INT(C669/10)*10</f>
        <v/>
      </c>
    </row>
    <row r="670">
      <c r="A670" s="21" t="n">
        <v>692</v>
      </c>
      <c r="B670" s="21" t="inlineStr">
        <is>
          <t>Warlock: The Armageddon</t>
        </is>
      </c>
      <c r="C670" s="21" t="n">
        <v>1993</v>
      </c>
      <c r="D670" s="21" t="inlineStr">
        <is>
          <t>USA</t>
        </is>
      </c>
      <c r="E670" s="21" t="n">
        <v>98</v>
      </c>
      <c r="F670" s="21" t="inlineStr">
        <is>
          <t>English</t>
        </is>
      </c>
      <c r="G670" s="21" t="inlineStr">
        <is>
          <t>R</t>
        </is>
      </c>
      <c r="H670" s="22" t="n">
        <v>3902679</v>
      </c>
      <c r="I670" s="22" t="n">
        <v>3000000</v>
      </c>
      <c r="J670" s="21">
        <f>IF(OR(H670="",H670=25529689.5),"Yes","No")</f>
        <v/>
      </c>
      <c r="K670" s="21">
        <f>IF(AND(D670="USA",C670&gt;=1980,J670="No"),"Yes","No")</f>
        <v/>
      </c>
      <c r="L670" s="26">
        <f>IF(J670="Yes","",H670-I670)</f>
        <v/>
      </c>
      <c r="M670" s="27">
        <f>IF(OR(J670="Yes",I670=0),"",H670/I670)</f>
        <v/>
      </c>
      <c r="N670" s="21">
        <f>IF(J670="Yes","",IF(H670&gt;=I670,1,0))</f>
        <v/>
      </c>
      <c r="O670" s="21">
        <f>IF(I670&lt;=5000000,"Under $5M",IF(I670&lt;=20000000,"$5M-20M",IF(I670&lt;=50000000,"$20M-50M",IF(I670&lt;=100000000,"$50M-100M","$100M+"))))</f>
        <v/>
      </c>
      <c r="P670" s="21">
        <f>IF(E670&lt;=90,"90 or less",IF(E670&lt;=105,"91-105",IF(E670&lt;=120,"106-120",IF(E670&lt;=140,"121-140","Over 140"))))</f>
        <v/>
      </c>
      <c r="Q670" s="28">
        <f>INT(C670/10)*10</f>
        <v/>
      </c>
    </row>
    <row r="671">
      <c r="A671" s="21" t="n">
        <v>693</v>
      </c>
      <c r="B671" s="21" t="inlineStr">
        <is>
          <t>What's Eating Gilbert Grape</t>
        </is>
      </c>
      <c r="C671" s="21" t="n">
        <v>1993</v>
      </c>
      <c r="D671" s="21" t="inlineStr">
        <is>
          <t>USA</t>
        </is>
      </c>
      <c r="E671" s="21" t="n">
        <v>118</v>
      </c>
      <c r="F671" s="21" t="inlineStr">
        <is>
          <t>English</t>
        </is>
      </c>
      <c r="G671" s="21" t="inlineStr">
        <is>
          <t>PG-13</t>
        </is>
      </c>
      <c r="H671" s="22" t="n">
        <v>9170214</v>
      </c>
      <c r="I671" s="22" t="n">
        <v>11000000</v>
      </c>
      <c r="J671" s="21">
        <f>IF(OR(H671="",H671=25529689.5),"Yes","No")</f>
        <v/>
      </c>
      <c r="K671" s="21">
        <f>IF(AND(D671="USA",C671&gt;=1980,J671="No"),"Yes","No")</f>
        <v/>
      </c>
      <c r="L671" s="26">
        <f>IF(J671="Yes","",H671-I671)</f>
        <v/>
      </c>
      <c r="M671" s="27">
        <f>IF(OR(J671="Yes",I671=0),"",H671/I671)</f>
        <v/>
      </c>
      <c r="N671" s="21">
        <f>IF(J671="Yes","",IF(H671&gt;=I671,1,0))</f>
        <v/>
      </c>
      <c r="O671" s="21">
        <f>IF(I671&lt;=5000000,"Under $5M",IF(I671&lt;=20000000,"$5M-20M",IF(I671&lt;=50000000,"$20M-50M",IF(I671&lt;=100000000,"$50M-100M","$100M+"))))</f>
        <v/>
      </c>
      <c r="P671" s="21">
        <f>IF(E671&lt;=90,"90 or less",IF(E671&lt;=105,"91-105",IF(E671&lt;=120,"106-120",IF(E671&lt;=140,"121-140","Over 140"))))</f>
        <v/>
      </c>
      <c r="Q671" s="28">
        <f>INT(C671/10)*10</f>
        <v/>
      </c>
    </row>
    <row r="672">
      <c r="A672" s="21" t="n">
        <v>694</v>
      </c>
      <c r="B672" s="21" t="inlineStr">
        <is>
          <t>What's Love Got to Do with It</t>
        </is>
      </c>
      <c r="C672" s="21" t="n">
        <v>1993</v>
      </c>
      <c r="D672" s="21" t="inlineStr">
        <is>
          <t>USA</t>
        </is>
      </c>
      <c r="E672" s="21" t="n">
        <v>118</v>
      </c>
      <c r="F672" s="21" t="inlineStr">
        <is>
          <t>English</t>
        </is>
      </c>
      <c r="G672" s="21" t="inlineStr">
        <is>
          <t>R</t>
        </is>
      </c>
      <c r="H672" s="22" t="n">
        <v>39100956</v>
      </c>
      <c r="I672" s="22" t="n">
        <v>20000000</v>
      </c>
      <c r="J672" s="21">
        <f>IF(OR(H672="",H672=25529689.5),"Yes","No")</f>
        <v/>
      </c>
      <c r="K672" s="21">
        <f>IF(AND(D672="USA",C672&gt;=1980,J672="No"),"Yes","No")</f>
        <v/>
      </c>
      <c r="L672" s="26">
        <f>IF(J672="Yes","",H672-I672)</f>
        <v/>
      </c>
      <c r="M672" s="27">
        <f>IF(OR(J672="Yes",I672=0),"",H672/I672)</f>
        <v/>
      </c>
      <c r="N672" s="21">
        <f>IF(J672="Yes","",IF(H672&gt;=I672,1,0))</f>
        <v/>
      </c>
      <c r="O672" s="21">
        <f>IF(I672&lt;=5000000,"Under $5M",IF(I672&lt;=20000000,"$5M-20M",IF(I672&lt;=50000000,"$20M-50M",IF(I672&lt;=100000000,"$50M-100M","$100M+"))))</f>
        <v/>
      </c>
      <c r="P672" s="21">
        <f>IF(E672&lt;=90,"90 or less",IF(E672&lt;=105,"91-105",IF(E672&lt;=120,"106-120",IF(E672&lt;=140,"121-140","Over 140"))))</f>
        <v/>
      </c>
      <c r="Q672" s="28">
        <f>INT(C672/10)*10</f>
        <v/>
      </c>
    </row>
    <row r="673">
      <c r="A673" s="21" t="n">
        <v>695</v>
      </c>
      <c r="B673" s="21" t="inlineStr">
        <is>
          <t>3 Ninjas Kick Back</t>
        </is>
      </c>
      <c r="C673" s="21" t="n">
        <v>1994</v>
      </c>
      <c r="D673" s="21" t="inlineStr">
        <is>
          <t>USA</t>
        </is>
      </c>
      <c r="E673" s="21" t="n">
        <v>93</v>
      </c>
      <c r="F673" s="21" t="inlineStr">
        <is>
          <t>English</t>
        </is>
      </c>
      <c r="G673" s="21" t="inlineStr">
        <is>
          <t>PG</t>
        </is>
      </c>
      <c r="H673" s="22" t="n">
        <v>11784000</v>
      </c>
      <c r="I673" s="22" t="n">
        <v>20000000</v>
      </c>
      <c r="J673" s="21">
        <f>IF(OR(H673="",H673=25529689.5),"Yes","No")</f>
        <v/>
      </c>
      <c r="K673" s="21">
        <f>IF(AND(D673="USA",C673&gt;=1980,J673="No"),"Yes","No")</f>
        <v/>
      </c>
      <c r="L673" s="26">
        <f>IF(J673="Yes","",H673-I673)</f>
        <v/>
      </c>
      <c r="M673" s="27">
        <f>IF(OR(J673="Yes",I673=0),"",H673/I673)</f>
        <v/>
      </c>
      <c r="N673" s="21">
        <f>IF(J673="Yes","",IF(H673&gt;=I673,1,0))</f>
        <v/>
      </c>
      <c r="O673" s="21">
        <f>IF(I673&lt;=5000000,"Under $5M",IF(I673&lt;=20000000,"$5M-20M",IF(I673&lt;=50000000,"$20M-50M",IF(I673&lt;=100000000,"$50M-100M","$100M+"))))</f>
        <v/>
      </c>
      <c r="P673" s="21">
        <f>IF(E673&lt;=90,"90 or less",IF(E673&lt;=105,"91-105",IF(E673&lt;=120,"106-120",IF(E673&lt;=140,"121-140","Over 140"))))</f>
        <v/>
      </c>
      <c r="Q673" s="28">
        <f>INT(C673/10)*10</f>
        <v/>
      </c>
    </row>
    <row r="674">
      <c r="A674" s="21" t="n">
        <v>696</v>
      </c>
      <c r="B674" s="21" t="inlineStr">
        <is>
          <t>A Low Down Dirty Shame</t>
        </is>
      </c>
      <c r="C674" s="21" t="n">
        <v>1994</v>
      </c>
      <c r="D674" s="21" t="inlineStr">
        <is>
          <t>USA</t>
        </is>
      </c>
      <c r="E674" s="21" t="n">
        <v>100</v>
      </c>
      <c r="F674" s="21" t="inlineStr">
        <is>
          <t>English</t>
        </is>
      </c>
      <c r="G674" s="21" t="inlineStr">
        <is>
          <t>R</t>
        </is>
      </c>
      <c r="H674" s="22" t="n">
        <v>29392418</v>
      </c>
      <c r="I674" s="22" t="n">
        <v>10000000</v>
      </c>
      <c r="J674" s="21">
        <f>IF(OR(H674="",H674=25529689.5),"Yes","No")</f>
        <v/>
      </c>
      <c r="K674" s="21">
        <f>IF(AND(D674="USA",C674&gt;=1980,J674="No"),"Yes","No")</f>
        <v/>
      </c>
      <c r="L674" s="26">
        <f>IF(J674="Yes","",H674-I674)</f>
        <v/>
      </c>
      <c r="M674" s="27">
        <f>IF(OR(J674="Yes",I674=0),"",H674/I674)</f>
        <v/>
      </c>
      <c r="N674" s="21">
        <f>IF(J674="Yes","",IF(H674&gt;=I674,1,0))</f>
        <v/>
      </c>
      <c r="O674" s="21">
        <f>IF(I674&lt;=5000000,"Under $5M",IF(I674&lt;=20000000,"$5M-20M",IF(I674&lt;=50000000,"$20M-50M",IF(I674&lt;=100000000,"$50M-100M","$100M+"))))</f>
        <v/>
      </c>
      <c r="P674" s="21">
        <f>IF(E674&lt;=90,"90 or less",IF(E674&lt;=105,"91-105",IF(E674&lt;=120,"106-120",IF(E674&lt;=140,"121-140","Over 140"))))</f>
        <v/>
      </c>
      <c r="Q674" s="28">
        <f>INT(C674/10)*10</f>
        <v/>
      </c>
    </row>
    <row r="675">
      <c r="A675" s="21" t="n">
        <v>697</v>
      </c>
      <c r="B675" s="21" t="inlineStr">
        <is>
          <t>Ace Ventura: Pet Detective</t>
        </is>
      </c>
      <c r="C675" s="21" t="n">
        <v>1994</v>
      </c>
      <c r="D675" s="21" t="inlineStr">
        <is>
          <t>USA</t>
        </is>
      </c>
      <c r="E675" s="21" t="n">
        <v>78</v>
      </c>
      <c r="F675" s="21" t="inlineStr">
        <is>
          <t>English</t>
        </is>
      </c>
      <c r="G675" s="21" t="inlineStr">
        <is>
          <t>PG-13</t>
        </is>
      </c>
      <c r="H675" s="22" t="n">
        <v>72217000</v>
      </c>
      <c r="I675" s="22" t="n">
        <v>12000000</v>
      </c>
      <c r="J675" s="21">
        <f>IF(OR(H675="",H675=25529689.5),"Yes","No")</f>
        <v/>
      </c>
      <c r="K675" s="21">
        <f>IF(AND(D675="USA",C675&gt;=1980,J675="No"),"Yes","No")</f>
        <v/>
      </c>
      <c r="L675" s="26">
        <f>IF(J675="Yes","",H675-I675)</f>
        <v/>
      </c>
      <c r="M675" s="27">
        <f>IF(OR(J675="Yes",I675=0),"",H675/I675)</f>
        <v/>
      </c>
      <c r="N675" s="21">
        <f>IF(J675="Yes","",IF(H675&gt;=I675,1,0))</f>
        <v/>
      </c>
      <c r="O675" s="21">
        <f>IF(I675&lt;=5000000,"Under $5M",IF(I675&lt;=20000000,"$5M-20M",IF(I675&lt;=50000000,"$20M-50M",IF(I675&lt;=100000000,"$50M-100M","$100M+"))))</f>
        <v/>
      </c>
      <c r="P675" s="21">
        <f>IF(E675&lt;=90,"90 or less",IF(E675&lt;=105,"91-105",IF(E675&lt;=120,"106-120",IF(E675&lt;=140,"121-140","Over 140"))))</f>
        <v/>
      </c>
      <c r="Q675" s="28">
        <f>INT(C675/10)*10</f>
        <v/>
      </c>
    </row>
    <row r="676">
      <c r="A676" s="21" t="n">
        <v>698</v>
      </c>
      <c r="B676" s="21" t="inlineStr">
        <is>
          <t>Baby's Day Out</t>
        </is>
      </c>
      <c r="C676" s="21" t="n">
        <v>1994</v>
      </c>
      <c r="D676" s="21" t="inlineStr">
        <is>
          <t>USA</t>
        </is>
      </c>
      <c r="E676" s="21" t="n">
        <v>99</v>
      </c>
      <c r="F676" s="21" t="inlineStr">
        <is>
          <t>English</t>
        </is>
      </c>
      <c r="G676" s="21" t="inlineStr">
        <is>
          <t>PG</t>
        </is>
      </c>
      <c r="H676" s="22" t="n">
        <v>16671505</v>
      </c>
      <c r="I676" s="22" t="n">
        <v>50000000</v>
      </c>
      <c r="J676" s="21">
        <f>IF(OR(H676="",H676=25529689.5),"Yes","No")</f>
        <v/>
      </c>
      <c r="K676" s="21">
        <f>IF(AND(D676="USA",C676&gt;=1980,J676="No"),"Yes","No")</f>
        <v/>
      </c>
      <c r="L676" s="26">
        <f>IF(J676="Yes","",H676-I676)</f>
        <v/>
      </c>
      <c r="M676" s="27">
        <f>IF(OR(J676="Yes",I676=0),"",H676/I676)</f>
        <v/>
      </c>
      <c r="N676" s="21">
        <f>IF(J676="Yes","",IF(H676&gt;=I676,1,0))</f>
        <v/>
      </c>
      <c r="O676" s="21">
        <f>IF(I676&lt;=5000000,"Under $5M",IF(I676&lt;=20000000,"$5M-20M",IF(I676&lt;=50000000,"$20M-50M",IF(I676&lt;=100000000,"$50M-100M","$100M+"))))</f>
        <v/>
      </c>
      <c r="P676" s="21">
        <f>IF(E676&lt;=90,"90 or less",IF(E676&lt;=105,"91-105",IF(E676&lt;=120,"106-120",IF(E676&lt;=140,"121-140","Over 140"))))</f>
        <v/>
      </c>
      <c r="Q676" s="28">
        <f>INT(C676/10)*10</f>
        <v/>
      </c>
    </row>
    <row r="677">
      <c r="A677" s="21" t="n">
        <v>699</v>
      </c>
      <c r="B677" s="21" t="inlineStr">
        <is>
          <t>Beverly Hills Cop III</t>
        </is>
      </c>
      <c r="C677" s="21" t="n">
        <v>1994</v>
      </c>
      <c r="D677" s="21" t="inlineStr">
        <is>
          <t>USA</t>
        </is>
      </c>
      <c r="E677" s="21" t="n">
        <v>104</v>
      </c>
      <c r="F677" s="21" t="inlineStr">
        <is>
          <t>English</t>
        </is>
      </c>
      <c r="G677" s="21" t="inlineStr">
        <is>
          <t>R</t>
        </is>
      </c>
      <c r="H677" s="22" t="n">
        <v>42610000</v>
      </c>
      <c r="I677" s="22" t="n">
        <v>55000000</v>
      </c>
      <c r="J677" s="21">
        <f>IF(OR(H677="",H677=25529689.5),"Yes","No")</f>
        <v/>
      </c>
      <c r="K677" s="21">
        <f>IF(AND(D677="USA",C677&gt;=1980,J677="No"),"Yes","No")</f>
        <v/>
      </c>
      <c r="L677" s="26">
        <f>IF(J677="Yes","",H677-I677)</f>
        <v/>
      </c>
      <c r="M677" s="27">
        <f>IF(OR(J677="Yes",I677=0),"",H677/I677)</f>
        <v/>
      </c>
      <c r="N677" s="21">
        <f>IF(J677="Yes","",IF(H677&gt;=I677,1,0))</f>
        <v/>
      </c>
      <c r="O677" s="21">
        <f>IF(I677&lt;=5000000,"Under $5M",IF(I677&lt;=20000000,"$5M-20M",IF(I677&lt;=50000000,"$20M-50M",IF(I677&lt;=100000000,"$50M-100M","$100M+"))))</f>
        <v/>
      </c>
      <c r="P677" s="21">
        <f>IF(E677&lt;=90,"90 or less",IF(E677&lt;=105,"91-105",IF(E677&lt;=120,"106-120",IF(E677&lt;=140,"121-140","Over 140"))))</f>
        <v/>
      </c>
      <c r="Q677" s="28">
        <f>INT(C677/10)*10</f>
        <v/>
      </c>
    </row>
    <row r="678">
      <c r="A678" s="21" t="n">
        <v>700</v>
      </c>
      <c r="B678" s="21" t="inlineStr">
        <is>
          <t>Bullets Over Broadway</t>
        </is>
      </c>
      <c r="C678" s="21" t="n">
        <v>1994</v>
      </c>
      <c r="D678" s="21" t="inlineStr">
        <is>
          <t>USA</t>
        </is>
      </c>
      <c r="E678" s="21" t="n">
        <v>98</v>
      </c>
      <c r="F678" s="21" t="inlineStr">
        <is>
          <t>English</t>
        </is>
      </c>
      <c r="G678" s="21" t="inlineStr">
        <is>
          <t>R</t>
        </is>
      </c>
      <c r="H678" s="22" t="n">
        <v>13383737</v>
      </c>
      <c r="I678" s="22" t="n">
        <v>20000000</v>
      </c>
      <c r="J678" s="21">
        <f>IF(OR(H678="",H678=25529689.5),"Yes","No")</f>
        <v/>
      </c>
      <c r="K678" s="21">
        <f>IF(AND(D678="USA",C678&gt;=1980,J678="No"),"Yes","No")</f>
        <v/>
      </c>
      <c r="L678" s="26">
        <f>IF(J678="Yes","",H678-I678)</f>
        <v/>
      </c>
      <c r="M678" s="27">
        <f>IF(OR(J678="Yes",I678=0),"",H678/I678)</f>
        <v/>
      </c>
      <c r="N678" s="21">
        <f>IF(J678="Yes","",IF(H678&gt;=I678,1,0))</f>
        <v/>
      </c>
      <c r="O678" s="21">
        <f>IF(I678&lt;=5000000,"Under $5M",IF(I678&lt;=20000000,"$5M-20M",IF(I678&lt;=50000000,"$20M-50M",IF(I678&lt;=100000000,"$50M-100M","$100M+"))))</f>
        <v/>
      </c>
      <c r="P678" s="21">
        <f>IF(E678&lt;=90,"90 or less",IF(E678&lt;=105,"91-105",IF(E678&lt;=120,"106-120",IF(E678&lt;=140,"121-140","Over 140"))))</f>
        <v/>
      </c>
      <c r="Q678" s="28">
        <f>INT(C678/10)*10</f>
        <v/>
      </c>
    </row>
    <row r="679">
      <c r="A679" s="21" t="n">
        <v>701</v>
      </c>
      <c r="B679" s="21" t="inlineStr">
        <is>
          <t>Clear and Present Danger</t>
        </is>
      </c>
      <c r="C679" s="21" t="n">
        <v>1994</v>
      </c>
      <c r="D679" s="21" t="inlineStr">
        <is>
          <t>USA</t>
        </is>
      </c>
      <c r="E679" s="21" t="n">
        <v>141</v>
      </c>
      <c r="F679" s="21" t="inlineStr">
        <is>
          <t>English</t>
        </is>
      </c>
      <c r="G679" s="21" t="inlineStr">
        <is>
          <t>PG-13</t>
        </is>
      </c>
      <c r="H679" s="22" t="n">
        <v>122012710</v>
      </c>
      <c r="I679" s="22" t="n">
        <v>62000000</v>
      </c>
      <c r="J679" s="21">
        <f>IF(OR(H679="",H679=25529689.5),"Yes","No")</f>
        <v/>
      </c>
      <c r="K679" s="21">
        <f>IF(AND(D679="USA",C679&gt;=1980,J679="No"),"Yes","No")</f>
        <v/>
      </c>
      <c r="L679" s="26">
        <f>IF(J679="Yes","",H679-I679)</f>
        <v/>
      </c>
      <c r="M679" s="27">
        <f>IF(OR(J679="Yes",I679=0),"",H679/I679)</f>
        <v/>
      </c>
      <c r="N679" s="21">
        <f>IF(J679="Yes","",IF(H679&gt;=I679,1,0))</f>
        <v/>
      </c>
      <c r="O679" s="21">
        <f>IF(I679&lt;=5000000,"Under $5M",IF(I679&lt;=20000000,"$5M-20M",IF(I679&lt;=50000000,"$20M-50M",IF(I679&lt;=100000000,"$50M-100M","$100M+"))))</f>
        <v/>
      </c>
      <c r="P679" s="21">
        <f>IF(E679&lt;=90,"90 or less",IF(E679&lt;=105,"91-105",IF(E679&lt;=120,"106-120",IF(E679&lt;=140,"121-140","Over 140"))))</f>
        <v/>
      </c>
      <c r="Q679" s="28">
        <f>INT(C679/10)*10</f>
        <v/>
      </c>
    </row>
    <row r="680">
      <c r="A680" s="21" t="n">
        <v>702</v>
      </c>
      <c r="B680" s="21" t="inlineStr">
        <is>
          <t>Clerks</t>
        </is>
      </c>
      <c r="C680" s="21" t="n">
        <v>1994</v>
      </c>
      <c r="D680" s="21" t="inlineStr">
        <is>
          <t>USA</t>
        </is>
      </c>
      <c r="E680" s="21" t="n">
        <v>102</v>
      </c>
      <c r="F680" s="21" t="inlineStr">
        <is>
          <t>English</t>
        </is>
      </c>
      <c r="G680" s="21" t="inlineStr">
        <is>
          <t>R</t>
        </is>
      </c>
      <c r="H680" s="22" t="n">
        <v>3151130</v>
      </c>
      <c r="I680" s="22" t="n">
        <v>230000</v>
      </c>
      <c r="J680" s="21">
        <f>IF(OR(H680="",H680=25529689.5),"Yes","No")</f>
        <v/>
      </c>
      <c r="K680" s="21">
        <f>IF(AND(D680="USA",C680&gt;=1980,J680="No"),"Yes","No")</f>
        <v/>
      </c>
      <c r="L680" s="26">
        <f>IF(J680="Yes","",H680-I680)</f>
        <v/>
      </c>
      <c r="M680" s="27">
        <f>IF(OR(J680="Yes",I680=0),"",H680/I680)</f>
        <v/>
      </c>
      <c r="N680" s="21">
        <f>IF(J680="Yes","",IF(H680&gt;=I680,1,0))</f>
        <v/>
      </c>
      <c r="O680" s="21">
        <f>IF(I680&lt;=5000000,"Under $5M",IF(I680&lt;=20000000,"$5M-20M",IF(I680&lt;=50000000,"$20M-50M",IF(I680&lt;=100000000,"$50M-100M","$100M+"))))</f>
        <v/>
      </c>
      <c r="P680" s="21">
        <f>IF(E680&lt;=90,"90 or less",IF(E680&lt;=105,"91-105",IF(E680&lt;=120,"106-120",IF(E680&lt;=140,"121-140","Over 140"))))</f>
        <v/>
      </c>
      <c r="Q680" s="28">
        <f>INT(C680/10)*10</f>
        <v/>
      </c>
    </row>
    <row r="681">
      <c r="A681" s="21" t="n">
        <v>703</v>
      </c>
      <c r="B681" s="21" t="inlineStr">
        <is>
          <t>Crooklyn</t>
        </is>
      </c>
      <c r="C681" s="21" t="n">
        <v>1994</v>
      </c>
      <c r="D681" s="21" t="inlineStr">
        <is>
          <t>USA</t>
        </is>
      </c>
      <c r="E681" s="21" t="n">
        <v>115</v>
      </c>
      <c r="F681" s="21" t="inlineStr">
        <is>
          <t>English</t>
        </is>
      </c>
      <c r="G681" s="21" t="inlineStr">
        <is>
          <t>PG-13</t>
        </is>
      </c>
      <c r="H681" s="22" t="n">
        <v>13640000</v>
      </c>
      <c r="I681" s="22" t="n">
        <v>14000000</v>
      </c>
      <c r="J681" s="21">
        <f>IF(OR(H681="",H681=25529689.5),"Yes","No")</f>
        <v/>
      </c>
      <c r="K681" s="21">
        <f>IF(AND(D681="USA",C681&gt;=1980,J681="No"),"Yes","No")</f>
        <v/>
      </c>
      <c r="L681" s="26">
        <f>IF(J681="Yes","",H681-I681)</f>
        <v/>
      </c>
      <c r="M681" s="27">
        <f>IF(OR(J681="Yes",I681=0),"",H681/I681)</f>
        <v/>
      </c>
      <c r="N681" s="21">
        <f>IF(J681="Yes","",IF(H681&gt;=I681,1,0))</f>
        <v/>
      </c>
      <c r="O681" s="21">
        <f>IF(I681&lt;=5000000,"Under $5M",IF(I681&lt;=20000000,"$5M-20M",IF(I681&lt;=50000000,"$20M-50M",IF(I681&lt;=100000000,"$50M-100M","$100M+"))))</f>
        <v/>
      </c>
      <c r="P681" s="21">
        <f>IF(E681&lt;=90,"90 or less",IF(E681&lt;=105,"91-105",IF(E681&lt;=120,"106-120",IF(E681&lt;=140,"121-140","Over 140"))))</f>
        <v/>
      </c>
      <c r="Q681" s="28">
        <f>INT(C681/10)*10</f>
        <v/>
      </c>
    </row>
    <row r="682">
      <c r="A682" s="21" t="n">
        <v>704</v>
      </c>
      <c r="B682" s="21" t="inlineStr">
        <is>
          <t>Disclosure</t>
        </is>
      </c>
      <c r="C682" s="21" t="n">
        <v>1994</v>
      </c>
      <c r="D682" s="21" t="inlineStr">
        <is>
          <t>USA</t>
        </is>
      </c>
      <c r="E682" s="21" t="n">
        <v>128</v>
      </c>
      <c r="F682" s="21" t="inlineStr">
        <is>
          <t>English</t>
        </is>
      </c>
      <c r="G682" s="21" t="inlineStr">
        <is>
          <t>R</t>
        </is>
      </c>
      <c r="H682" s="22" t="n">
        <v>83000000</v>
      </c>
      <c r="I682" s="22" t="n">
        <v>55000000</v>
      </c>
      <c r="J682" s="21">
        <f>IF(OR(H682="",H682=25529689.5),"Yes","No")</f>
        <v/>
      </c>
      <c r="K682" s="21">
        <f>IF(AND(D682="USA",C682&gt;=1980,J682="No"),"Yes","No")</f>
        <v/>
      </c>
      <c r="L682" s="26">
        <f>IF(J682="Yes","",H682-I682)</f>
        <v/>
      </c>
      <c r="M682" s="27">
        <f>IF(OR(J682="Yes",I682=0),"",H682/I682)</f>
        <v/>
      </c>
      <c r="N682" s="21">
        <f>IF(J682="Yes","",IF(H682&gt;=I682,1,0))</f>
        <v/>
      </c>
      <c r="O682" s="21">
        <f>IF(I682&lt;=5000000,"Under $5M",IF(I682&lt;=20000000,"$5M-20M",IF(I682&lt;=50000000,"$20M-50M",IF(I682&lt;=100000000,"$50M-100M","$100M+"))))</f>
        <v/>
      </c>
      <c r="P682" s="21">
        <f>IF(E682&lt;=90,"90 or less",IF(E682&lt;=105,"91-105",IF(E682&lt;=120,"106-120",IF(E682&lt;=140,"121-140","Over 140"))))</f>
        <v/>
      </c>
      <c r="Q682" s="28">
        <f>INT(C682/10)*10</f>
        <v/>
      </c>
    </row>
    <row r="683">
      <c r="A683" s="21" t="n">
        <v>705</v>
      </c>
      <c r="B683" s="21" t="inlineStr">
        <is>
          <t>Don Juan DeMarco</t>
        </is>
      </c>
      <c r="C683" s="21" t="n">
        <v>1994</v>
      </c>
      <c r="D683" s="21" t="inlineStr">
        <is>
          <t>USA</t>
        </is>
      </c>
      <c r="E683" s="21" t="n">
        <v>97</v>
      </c>
      <c r="F683" s="21" t="inlineStr">
        <is>
          <t>English</t>
        </is>
      </c>
      <c r="G683" s="21" t="inlineStr">
        <is>
          <t>PG-13</t>
        </is>
      </c>
      <c r="H683" s="22" t="n">
        <v>22200000</v>
      </c>
      <c r="I683" s="22" t="n">
        <v>25000000</v>
      </c>
      <c r="J683" s="21">
        <f>IF(OR(H683="",H683=25529689.5),"Yes","No")</f>
        <v/>
      </c>
      <c r="K683" s="21">
        <f>IF(AND(D683="USA",C683&gt;=1980,J683="No"),"Yes","No")</f>
        <v/>
      </c>
      <c r="L683" s="26">
        <f>IF(J683="Yes","",H683-I683)</f>
        <v/>
      </c>
      <c r="M683" s="27">
        <f>IF(OR(J683="Yes",I683=0),"",H683/I683)</f>
        <v/>
      </c>
      <c r="N683" s="21">
        <f>IF(J683="Yes","",IF(H683&gt;=I683,1,0))</f>
        <v/>
      </c>
      <c r="O683" s="21">
        <f>IF(I683&lt;=5000000,"Under $5M",IF(I683&lt;=20000000,"$5M-20M",IF(I683&lt;=50000000,"$20M-50M",IF(I683&lt;=100000000,"$50M-100M","$100M+"))))</f>
        <v/>
      </c>
      <c r="P683" s="21">
        <f>IF(E683&lt;=90,"90 or less",IF(E683&lt;=105,"91-105",IF(E683&lt;=120,"106-120",IF(E683&lt;=140,"121-140","Over 140"))))</f>
        <v/>
      </c>
      <c r="Q683" s="28">
        <f>INT(C683/10)*10</f>
        <v/>
      </c>
    </row>
    <row r="684">
      <c r="A684" s="21" t="n">
        <v>706</v>
      </c>
      <c r="B684" s="21" t="inlineStr">
        <is>
          <t>Dumb &amp; Dumber</t>
        </is>
      </c>
      <c r="C684" s="21" t="n">
        <v>1994</v>
      </c>
      <c r="D684" s="21" t="inlineStr">
        <is>
          <t>USA</t>
        </is>
      </c>
      <c r="E684" s="21" t="n">
        <v>113</v>
      </c>
      <c r="F684" s="21" t="inlineStr">
        <is>
          <t>English</t>
        </is>
      </c>
      <c r="G684" s="21" t="inlineStr">
        <is>
          <t>PG-13</t>
        </is>
      </c>
      <c r="H684" s="22" t="n">
        <v>127175354</v>
      </c>
      <c r="I684" s="22" t="n">
        <v>16000000</v>
      </c>
      <c r="J684" s="21">
        <f>IF(OR(H684="",H684=25529689.5),"Yes","No")</f>
        <v/>
      </c>
      <c r="K684" s="21">
        <f>IF(AND(D684="USA",C684&gt;=1980,J684="No"),"Yes","No")</f>
        <v/>
      </c>
      <c r="L684" s="26">
        <f>IF(J684="Yes","",H684-I684)</f>
        <v/>
      </c>
      <c r="M684" s="27">
        <f>IF(OR(J684="Yes",I684=0),"",H684/I684)</f>
        <v/>
      </c>
      <c r="N684" s="21">
        <f>IF(J684="Yes","",IF(H684&gt;=I684,1,0))</f>
        <v/>
      </c>
      <c r="O684" s="21">
        <f>IF(I684&lt;=5000000,"Under $5M",IF(I684&lt;=20000000,"$5M-20M",IF(I684&lt;=50000000,"$20M-50M",IF(I684&lt;=100000000,"$50M-100M","$100M+"))))</f>
        <v/>
      </c>
      <c r="P684" s="21">
        <f>IF(E684&lt;=90,"90 or less",IF(E684&lt;=105,"91-105",IF(E684&lt;=120,"106-120",IF(E684&lt;=140,"121-140","Over 140"))))</f>
        <v/>
      </c>
      <c r="Q684" s="28">
        <f>INT(C684/10)*10</f>
        <v/>
      </c>
    </row>
    <row r="685">
      <c r="A685" s="21" t="n">
        <v>707</v>
      </c>
      <c r="B685" s="21" t="inlineStr">
        <is>
          <t>Ed Wood</t>
        </is>
      </c>
      <c r="C685" s="21" t="n">
        <v>1994</v>
      </c>
      <c r="D685" s="21" t="inlineStr">
        <is>
          <t>USA</t>
        </is>
      </c>
      <c r="E685" s="21" t="n">
        <v>127</v>
      </c>
      <c r="F685" s="21" t="inlineStr">
        <is>
          <t>English</t>
        </is>
      </c>
      <c r="G685" s="21" t="inlineStr">
        <is>
          <t>R</t>
        </is>
      </c>
      <c r="H685" s="22" t="n">
        <v>5887457</v>
      </c>
      <c r="I685" s="22" t="n">
        <v>18000000</v>
      </c>
      <c r="J685" s="21">
        <f>IF(OR(H685="",H685=25529689.5),"Yes","No")</f>
        <v/>
      </c>
      <c r="K685" s="21">
        <f>IF(AND(D685="USA",C685&gt;=1980,J685="No"),"Yes","No")</f>
        <v/>
      </c>
      <c r="L685" s="26">
        <f>IF(J685="Yes","",H685-I685)</f>
        <v/>
      </c>
      <c r="M685" s="27">
        <f>IF(OR(J685="Yes",I685=0),"",H685/I685)</f>
        <v/>
      </c>
      <c r="N685" s="21">
        <f>IF(J685="Yes","",IF(H685&gt;=I685,1,0))</f>
        <v/>
      </c>
      <c r="O685" s="21">
        <f>IF(I685&lt;=5000000,"Under $5M",IF(I685&lt;=20000000,"$5M-20M",IF(I685&lt;=50000000,"$20M-50M",IF(I685&lt;=100000000,"$50M-100M","$100M+"))))</f>
        <v/>
      </c>
      <c r="P685" s="21">
        <f>IF(E685&lt;=90,"90 or less",IF(E685&lt;=105,"91-105",IF(E685&lt;=120,"106-120",IF(E685&lt;=140,"121-140","Over 140"))))</f>
        <v/>
      </c>
      <c r="Q685" s="28">
        <f>INT(C685/10)*10</f>
        <v/>
      </c>
    </row>
    <row r="686">
      <c r="A686" s="21" t="n">
        <v>708</v>
      </c>
      <c r="B686" s="21" t="inlineStr">
        <is>
          <t>Exotica</t>
        </is>
      </c>
      <c r="C686" s="21" t="n">
        <v>1994</v>
      </c>
      <c r="D686" s="21" t="inlineStr">
        <is>
          <t>Canada</t>
        </is>
      </c>
      <c r="E686" s="21" t="n">
        <v>103</v>
      </c>
      <c r="F686" s="21" t="inlineStr">
        <is>
          <t>English</t>
        </is>
      </c>
      <c r="G686" s="21" t="inlineStr">
        <is>
          <t>R</t>
        </is>
      </c>
      <c r="H686" s="22" t="n">
        <v>5132222</v>
      </c>
      <c r="I686" s="22" t="n">
        <v>2000000</v>
      </c>
      <c r="J686" s="21">
        <f>IF(OR(H686="",H686=25529689.5),"Yes","No")</f>
        <v/>
      </c>
      <c r="K686" s="21">
        <f>IF(AND(D686="USA",C686&gt;=1980,J686="No"),"Yes","No")</f>
        <v/>
      </c>
      <c r="L686" s="26">
        <f>IF(J686="Yes","",H686-I686)</f>
        <v/>
      </c>
      <c r="M686" s="27">
        <f>IF(OR(J686="Yes",I686=0),"",H686/I686)</f>
        <v/>
      </c>
      <c r="N686" s="21">
        <f>IF(J686="Yes","",IF(H686&gt;=I686,1,0))</f>
        <v/>
      </c>
      <c r="O686" s="21">
        <f>IF(I686&lt;=5000000,"Under $5M",IF(I686&lt;=20000000,"$5M-20M",IF(I686&lt;=50000000,"$20M-50M",IF(I686&lt;=100000000,"$50M-100M","$100M+"))))</f>
        <v/>
      </c>
      <c r="P686" s="21">
        <f>IF(E686&lt;=90,"90 or less",IF(E686&lt;=105,"91-105",IF(E686&lt;=120,"106-120",IF(E686&lt;=140,"121-140","Over 140"))))</f>
        <v/>
      </c>
      <c r="Q686" s="28">
        <f>INT(C686/10)*10</f>
        <v/>
      </c>
    </row>
    <row r="687">
      <c r="A687" s="21" t="n">
        <v>709</v>
      </c>
      <c r="B687" s="21" t="inlineStr">
        <is>
          <t>Forrest Gump</t>
        </is>
      </c>
      <c r="C687" s="21" t="n">
        <v>1994</v>
      </c>
      <c r="D687" s="21" t="inlineStr">
        <is>
          <t>USA</t>
        </is>
      </c>
      <c r="E687" s="21" t="n">
        <v>142</v>
      </c>
      <c r="F687" s="21" t="inlineStr">
        <is>
          <t>English</t>
        </is>
      </c>
      <c r="G687" s="21" t="inlineStr">
        <is>
          <t>PG-13</t>
        </is>
      </c>
      <c r="H687" s="22" t="n">
        <v>329691196</v>
      </c>
      <c r="I687" s="22" t="n">
        <v>55000000</v>
      </c>
      <c r="J687" s="21">
        <f>IF(OR(H687="",H687=25529689.5),"Yes","No")</f>
        <v/>
      </c>
      <c r="K687" s="21">
        <f>IF(AND(D687="USA",C687&gt;=1980,J687="No"),"Yes","No")</f>
        <v/>
      </c>
      <c r="L687" s="26">
        <f>IF(J687="Yes","",H687-I687)</f>
        <v/>
      </c>
      <c r="M687" s="27">
        <f>IF(OR(J687="Yes",I687=0),"",H687/I687)</f>
        <v/>
      </c>
      <c r="N687" s="21">
        <f>IF(J687="Yes","",IF(H687&gt;=I687,1,0))</f>
        <v/>
      </c>
      <c r="O687" s="21">
        <f>IF(I687&lt;=5000000,"Under $5M",IF(I687&lt;=20000000,"$5M-20M",IF(I687&lt;=50000000,"$20M-50M",IF(I687&lt;=100000000,"$50M-100M","$100M+"))))</f>
        <v/>
      </c>
      <c r="P687" s="21">
        <f>IF(E687&lt;=90,"90 or less",IF(E687&lt;=105,"91-105",IF(E687&lt;=120,"106-120",IF(E687&lt;=140,"121-140","Over 140"))))</f>
        <v/>
      </c>
      <c r="Q687" s="28">
        <f>INT(C687/10)*10</f>
        <v/>
      </c>
    </row>
    <row r="688">
      <c r="A688" s="21" t="n">
        <v>710</v>
      </c>
      <c r="B688" s="21" t="inlineStr">
        <is>
          <t>Four Weddings and a Funeral</t>
        </is>
      </c>
      <c r="C688" s="21" t="n">
        <v>1994</v>
      </c>
      <c r="D688" s="21" t="inlineStr">
        <is>
          <t>UK</t>
        </is>
      </c>
      <c r="E688" s="21" t="n">
        <v>117</v>
      </c>
      <c r="F688" s="21" t="inlineStr">
        <is>
          <t>English</t>
        </is>
      </c>
      <c r="G688" s="21" t="inlineStr">
        <is>
          <t>R</t>
        </is>
      </c>
      <c r="H688" s="22" t="n">
        <v>52700832</v>
      </c>
      <c r="I688" s="22" t="n">
        <v>4500000</v>
      </c>
      <c r="J688" s="21">
        <f>IF(OR(H688="",H688=25529689.5),"Yes","No")</f>
        <v/>
      </c>
      <c r="K688" s="21">
        <f>IF(AND(D688="USA",C688&gt;=1980,J688="No"),"Yes","No")</f>
        <v/>
      </c>
      <c r="L688" s="26">
        <f>IF(J688="Yes","",H688-I688)</f>
        <v/>
      </c>
      <c r="M688" s="27">
        <f>IF(OR(J688="Yes",I688=0),"",H688/I688)</f>
        <v/>
      </c>
      <c r="N688" s="21">
        <f>IF(J688="Yes","",IF(H688&gt;=I688,1,0))</f>
        <v/>
      </c>
      <c r="O688" s="21">
        <f>IF(I688&lt;=5000000,"Under $5M",IF(I688&lt;=20000000,"$5M-20M",IF(I688&lt;=50000000,"$20M-50M",IF(I688&lt;=100000000,"$50M-100M","$100M+"))))</f>
        <v/>
      </c>
      <c r="P688" s="21">
        <f>IF(E688&lt;=90,"90 or less",IF(E688&lt;=105,"91-105",IF(E688&lt;=120,"106-120",IF(E688&lt;=140,"121-140","Over 140"))))</f>
        <v/>
      </c>
      <c r="Q688" s="28">
        <f>INT(C688/10)*10</f>
        <v/>
      </c>
    </row>
    <row r="689">
      <c r="A689" s="21" t="n">
        <v>711</v>
      </c>
      <c r="B689" s="21" t="inlineStr">
        <is>
          <t>Heavenly Creatures</t>
        </is>
      </c>
      <c r="C689" s="21" t="n">
        <v>1994</v>
      </c>
      <c r="D689" s="21" t="inlineStr">
        <is>
          <t>New Zealand</t>
        </is>
      </c>
      <c r="E689" s="21" t="n">
        <v>108</v>
      </c>
      <c r="F689" s="21" t="inlineStr">
        <is>
          <t>English</t>
        </is>
      </c>
      <c r="G689" s="21" t="inlineStr">
        <is>
          <t>R</t>
        </is>
      </c>
      <c r="H689" s="22" t="n">
        <v>3049135</v>
      </c>
      <c r="I689" s="22" t="n">
        <v>5000000</v>
      </c>
      <c r="J689" s="21">
        <f>IF(OR(H689="",H689=25529689.5),"Yes","No")</f>
        <v/>
      </c>
      <c r="K689" s="21">
        <f>IF(AND(D689="USA",C689&gt;=1980,J689="No"),"Yes","No")</f>
        <v/>
      </c>
      <c r="L689" s="26">
        <f>IF(J689="Yes","",H689-I689)</f>
        <v/>
      </c>
      <c r="M689" s="27">
        <f>IF(OR(J689="Yes",I689=0),"",H689/I689)</f>
        <v/>
      </c>
      <c r="N689" s="21">
        <f>IF(J689="Yes","",IF(H689&gt;=I689,1,0))</f>
        <v/>
      </c>
      <c r="O689" s="21">
        <f>IF(I689&lt;=5000000,"Under $5M",IF(I689&lt;=20000000,"$5M-20M",IF(I689&lt;=50000000,"$20M-50M",IF(I689&lt;=100000000,"$50M-100M","$100M+"))))</f>
        <v/>
      </c>
      <c r="P689" s="21">
        <f>IF(E689&lt;=90,"90 or less",IF(E689&lt;=105,"91-105",IF(E689&lt;=120,"106-120",IF(E689&lt;=140,"121-140","Over 140"))))</f>
        <v/>
      </c>
      <c r="Q689" s="28">
        <f>INT(C689/10)*10</f>
        <v/>
      </c>
    </row>
    <row r="690">
      <c r="A690" s="21" t="n">
        <v>712</v>
      </c>
      <c r="B690" s="21" t="inlineStr">
        <is>
          <t>Highlander: The Final Dimension</t>
        </is>
      </c>
      <c r="C690" s="21" t="n">
        <v>1994</v>
      </c>
      <c r="D690" s="21" t="inlineStr">
        <is>
          <t>Canada</t>
        </is>
      </c>
      <c r="E690" s="21" t="n">
        <v>99</v>
      </c>
      <c r="F690" s="21" t="inlineStr">
        <is>
          <t>English</t>
        </is>
      </c>
      <c r="G690" s="21" t="inlineStr">
        <is>
          <t>PG-13</t>
        </is>
      </c>
      <c r="H690" s="22" t="n">
        <v>13829734</v>
      </c>
      <c r="I690" s="22" t="n">
        <v>26000000</v>
      </c>
      <c r="J690" s="21">
        <f>IF(OR(H690="",H690=25529689.5),"Yes","No")</f>
        <v/>
      </c>
      <c r="K690" s="21">
        <f>IF(AND(D690="USA",C690&gt;=1980,J690="No"),"Yes","No")</f>
        <v/>
      </c>
      <c r="L690" s="26">
        <f>IF(J690="Yes","",H690-I690)</f>
        <v/>
      </c>
      <c r="M690" s="27">
        <f>IF(OR(J690="Yes",I690=0),"",H690/I690)</f>
        <v/>
      </c>
      <c r="N690" s="21">
        <f>IF(J690="Yes","",IF(H690&gt;=I690,1,0))</f>
        <v/>
      </c>
      <c r="O690" s="21">
        <f>IF(I690&lt;=5000000,"Under $5M",IF(I690&lt;=20000000,"$5M-20M",IF(I690&lt;=50000000,"$20M-50M",IF(I690&lt;=100000000,"$50M-100M","$100M+"))))</f>
        <v/>
      </c>
      <c r="P690" s="21">
        <f>IF(E690&lt;=90,"90 or less",IF(E690&lt;=105,"91-105",IF(E690&lt;=120,"106-120",IF(E690&lt;=140,"121-140","Over 140"))))</f>
        <v/>
      </c>
      <c r="Q690" s="28">
        <f>INT(C690/10)*10</f>
        <v/>
      </c>
    </row>
    <row r="691">
      <c r="A691" s="21" t="n">
        <v>713</v>
      </c>
      <c r="B691" s="21" t="inlineStr">
        <is>
          <t>Hoop Dreams</t>
        </is>
      </c>
      <c r="C691" s="21" t="n">
        <v>1994</v>
      </c>
      <c r="D691" s="21" t="inlineStr">
        <is>
          <t>USA</t>
        </is>
      </c>
      <c r="E691" s="21" t="n">
        <v>170</v>
      </c>
      <c r="F691" s="21" t="inlineStr">
        <is>
          <t>English</t>
        </is>
      </c>
      <c r="G691" s="21" t="inlineStr">
        <is>
          <t>PG-13</t>
        </is>
      </c>
      <c r="H691" s="22" t="n">
        <v>7830611</v>
      </c>
      <c r="I691" s="22" t="n">
        <v>700000</v>
      </c>
      <c r="J691" s="21">
        <f>IF(OR(H691="",H691=25529689.5),"Yes","No")</f>
        <v/>
      </c>
      <c r="K691" s="21">
        <f>IF(AND(D691="USA",C691&gt;=1980,J691="No"),"Yes","No")</f>
        <v/>
      </c>
      <c r="L691" s="26">
        <f>IF(J691="Yes","",H691-I691)</f>
        <v/>
      </c>
      <c r="M691" s="27">
        <f>IF(OR(J691="Yes",I691=0),"",H691/I691)</f>
        <v/>
      </c>
      <c r="N691" s="21">
        <f>IF(J691="Yes","",IF(H691&gt;=I691,1,0))</f>
        <v/>
      </c>
      <c r="O691" s="21">
        <f>IF(I691&lt;=5000000,"Under $5M",IF(I691&lt;=20000000,"$5M-20M",IF(I691&lt;=50000000,"$20M-50M",IF(I691&lt;=100000000,"$50M-100M","$100M+"))))</f>
        <v/>
      </c>
      <c r="P691" s="21">
        <f>IF(E691&lt;=90,"90 or less",IF(E691&lt;=105,"91-105",IF(E691&lt;=120,"106-120",IF(E691&lt;=140,"121-140","Over 140"))))</f>
        <v/>
      </c>
      <c r="Q691" s="28">
        <f>INT(C691/10)*10</f>
        <v/>
      </c>
    </row>
    <row r="692">
      <c r="A692" s="21" t="n">
        <v>714</v>
      </c>
      <c r="B692" s="21" t="inlineStr">
        <is>
          <t>Interview with the Vampire: The Vampire Chronicles</t>
        </is>
      </c>
      <c r="C692" s="21" t="n">
        <v>1994</v>
      </c>
      <c r="D692" s="21" t="inlineStr">
        <is>
          <t>USA</t>
        </is>
      </c>
      <c r="E692" s="21" t="n">
        <v>123</v>
      </c>
      <c r="F692" s="21" t="inlineStr">
        <is>
          <t>English</t>
        </is>
      </c>
      <c r="G692" s="21" t="inlineStr">
        <is>
          <t>R</t>
        </is>
      </c>
      <c r="H692" s="22" t="n">
        <v>105264608</v>
      </c>
      <c r="I692" s="22" t="n">
        <v>60000000</v>
      </c>
      <c r="J692" s="21">
        <f>IF(OR(H692="",H692=25529689.5),"Yes","No")</f>
        <v/>
      </c>
      <c r="K692" s="21">
        <f>IF(AND(D692="USA",C692&gt;=1980,J692="No"),"Yes","No")</f>
        <v/>
      </c>
      <c r="L692" s="26">
        <f>IF(J692="Yes","",H692-I692)</f>
        <v/>
      </c>
      <c r="M692" s="27">
        <f>IF(OR(J692="Yes",I692=0),"",H692/I692)</f>
        <v/>
      </c>
      <c r="N692" s="21">
        <f>IF(J692="Yes","",IF(H692&gt;=I692,1,0))</f>
        <v/>
      </c>
      <c r="O692" s="21">
        <f>IF(I692&lt;=5000000,"Under $5M",IF(I692&lt;=20000000,"$5M-20M",IF(I692&lt;=50000000,"$20M-50M",IF(I692&lt;=100000000,"$50M-100M","$100M+"))))</f>
        <v/>
      </c>
      <c r="P692" s="21">
        <f>IF(E692&lt;=90,"90 or less",IF(E692&lt;=105,"91-105",IF(E692&lt;=120,"106-120",IF(E692&lt;=140,"121-140","Over 140"))))</f>
        <v/>
      </c>
      <c r="Q692" s="28">
        <f>INT(C692/10)*10</f>
        <v/>
      </c>
    </row>
    <row r="693">
      <c r="A693" s="21" t="n">
        <v>715</v>
      </c>
      <c r="B693" s="21" t="inlineStr">
        <is>
          <t>Legends of the Fall</t>
        </is>
      </c>
      <c r="C693" s="21" t="n">
        <v>1994</v>
      </c>
      <c r="D693" s="21" t="inlineStr">
        <is>
          <t>USA</t>
        </is>
      </c>
      <c r="E693" s="21" t="n">
        <v>133</v>
      </c>
      <c r="F693" s="21" t="inlineStr">
        <is>
          <t>English</t>
        </is>
      </c>
      <c r="G693" s="21" t="inlineStr">
        <is>
          <t>R</t>
        </is>
      </c>
      <c r="H693" s="22" t="n">
        <v>66528842</v>
      </c>
      <c r="I693" s="22" t="n">
        <v>30000000</v>
      </c>
      <c r="J693" s="21">
        <f>IF(OR(H693="",H693=25529689.5),"Yes","No")</f>
        <v/>
      </c>
      <c r="K693" s="21">
        <f>IF(AND(D693="USA",C693&gt;=1980,J693="No"),"Yes","No")</f>
        <v/>
      </c>
      <c r="L693" s="26">
        <f>IF(J693="Yes","",H693-I693)</f>
        <v/>
      </c>
      <c r="M693" s="27">
        <f>IF(OR(J693="Yes",I693=0),"",H693/I693)</f>
        <v/>
      </c>
      <c r="N693" s="21">
        <f>IF(J693="Yes","",IF(H693&gt;=I693,1,0))</f>
        <v/>
      </c>
      <c r="O693" s="21">
        <f>IF(I693&lt;=5000000,"Under $5M",IF(I693&lt;=20000000,"$5M-20M",IF(I693&lt;=50000000,"$20M-50M",IF(I693&lt;=100000000,"$50M-100M","$100M+"))))</f>
        <v/>
      </c>
      <c r="P693" s="21">
        <f>IF(E693&lt;=90,"90 or less",IF(E693&lt;=105,"91-105",IF(E693&lt;=120,"106-120",IF(E693&lt;=140,"121-140","Over 140"))))</f>
        <v/>
      </c>
      <c r="Q693" s="28">
        <f>INT(C693/10)*10</f>
        <v/>
      </c>
    </row>
    <row r="694">
      <c r="A694" s="21" t="n">
        <v>716</v>
      </c>
      <c r="B694" s="21" t="inlineStr">
        <is>
          <t>Little Women</t>
        </is>
      </c>
      <c r="C694" s="21" t="n">
        <v>1994</v>
      </c>
      <c r="D694" s="21" t="inlineStr">
        <is>
          <t>USA</t>
        </is>
      </c>
      <c r="E694" s="21" t="n">
        <v>115</v>
      </c>
      <c r="F694" s="21" t="inlineStr">
        <is>
          <t>English</t>
        </is>
      </c>
      <c r="G694" s="21" t="inlineStr">
        <is>
          <t>PG</t>
        </is>
      </c>
      <c r="H694" s="22" t="n">
        <v>50003300</v>
      </c>
      <c r="I694" s="22" t="n">
        <v>15000000</v>
      </c>
      <c r="J694" s="21">
        <f>IF(OR(H694="",H694=25529689.5),"Yes","No")</f>
        <v/>
      </c>
      <c r="K694" s="21">
        <f>IF(AND(D694="USA",C694&gt;=1980,J694="No"),"Yes","No")</f>
        <v/>
      </c>
      <c r="L694" s="26">
        <f>IF(J694="Yes","",H694-I694)</f>
        <v/>
      </c>
      <c r="M694" s="27">
        <f>IF(OR(J694="Yes",I694=0),"",H694/I694)</f>
        <v/>
      </c>
      <c r="N694" s="21">
        <f>IF(J694="Yes","",IF(H694&gt;=I694,1,0))</f>
        <v/>
      </c>
      <c r="O694" s="21">
        <f>IF(I694&lt;=5000000,"Under $5M",IF(I694&lt;=20000000,"$5M-20M",IF(I694&lt;=50000000,"$20M-50M",IF(I694&lt;=100000000,"$50M-100M","$100M+"))))</f>
        <v/>
      </c>
      <c r="P694" s="21">
        <f>IF(E694&lt;=90,"90 or less",IF(E694&lt;=105,"91-105",IF(E694&lt;=120,"106-120",IF(E694&lt;=140,"121-140","Over 140"))))</f>
        <v/>
      </c>
      <c r="Q694" s="28">
        <f>INT(C694/10)*10</f>
        <v/>
      </c>
    </row>
    <row r="695">
      <c r="A695" s="21" t="n">
        <v>717</v>
      </c>
      <c r="B695" s="21" t="inlineStr">
        <is>
          <t>Men of War</t>
        </is>
      </c>
      <c r="C695" s="21" t="n">
        <v>1994</v>
      </c>
      <c r="D695" s="21" t="inlineStr">
        <is>
          <t>USA</t>
        </is>
      </c>
      <c r="E695" s="21" t="n">
        <v>76</v>
      </c>
      <c r="F695" s="21" t="inlineStr">
        <is>
          <t>English</t>
        </is>
      </c>
      <c r="G695" s="21" t="inlineStr">
        <is>
          <t>R</t>
        </is>
      </c>
      <c r="H695" s="22" t="n">
        <v>25529689.5</v>
      </c>
      <c r="I695" s="22" t="n">
        <v>8600000</v>
      </c>
      <c r="J695" s="21">
        <f>IF(OR(H695="",H695=25529689.5),"Yes","No")</f>
        <v/>
      </c>
      <c r="K695" s="21">
        <f>IF(AND(D695="USA",C695&gt;=1980,J695="No"),"Yes","No")</f>
        <v/>
      </c>
      <c r="L695" s="26">
        <f>IF(J695="Yes","",H695-I695)</f>
        <v/>
      </c>
      <c r="M695" s="27">
        <f>IF(OR(J695="Yes",I695=0),"",H695/I695)</f>
        <v/>
      </c>
      <c r="N695" s="21">
        <f>IF(J695="Yes","",IF(H695&gt;=I695,1,0))</f>
        <v/>
      </c>
      <c r="O695" s="21">
        <f>IF(I695&lt;=5000000,"Under $5M",IF(I695&lt;=20000000,"$5M-20M",IF(I695&lt;=50000000,"$20M-50M",IF(I695&lt;=100000000,"$50M-100M","$100M+"))))</f>
        <v/>
      </c>
      <c r="P695" s="21">
        <f>IF(E695&lt;=90,"90 or less",IF(E695&lt;=105,"91-105",IF(E695&lt;=120,"106-120",IF(E695&lt;=140,"121-140","Over 140"))))</f>
        <v/>
      </c>
      <c r="Q695" s="28">
        <f>INT(C695/10)*10</f>
        <v/>
      </c>
    </row>
    <row r="696">
      <c r="A696" s="21" t="n">
        <v>718</v>
      </c>
      <c r="B696" s="21" t="inlineStr">
        <is>
          <t>Naked Gun 33 1/3: The Final Insult</t>
        </is>
      </c>
      <c r="C696" s="21" t="n">
        <v>1994</v>
      </c>
      <c r="D696" s="21" t="inlineStr">
        <is>
          <t>USA</t>
        </is>
      </c>
      <c r="E696" s="21" t="n">
        <v>83</v>
      </c>
      <c r="F696" s="21" t="inlineStr">
        <is>
          <t>English</t>
        </is>
      </c>
      <c r="G696" s="21" t="inlineStr">
        <is>
          <t>PG-13</t>
        </is>
      </c>
      <c r="H696" s="22" t="n">
        <v>51109400</v>
      </c>
      <c r="I696" s="22" t="n">
        <v>30000000</v>
      </c>
      <c r="J696" s="21">
        <f>IF(OR(H696="",H696=25529689.5),"Yes","No")</f>
        <v/>
      </c>
      <c r="K696" s="21">
        <f>IF(AND(D696="USA",C696&gt;=1980,J696="No"),"Yes","No")</f>
        <v/>
      </c>
      <c r="L696" s="26">
        <f>IF(J696="Yes","",H696-I696)</f>
        <v/>
      </c>
      <c r="M696" s="27">
        <f>IF(OR(J696="Yes",I696=0),"",H696/I696)</f>
        <v/>
      </c>
      <c r="N696" s="21">
        <f>IF(J696="Yes","",IF(H696&gt;=I696,1,0))</f>
        <v/>
      </c>
      <c r="O696" s="21">
        <f>IF(I696&lt;=5000000,"Under $5M",IF(I696&lt;=20000000,"$5M-20M",IF(I696&lt;=50000000,"$20M-50M",IF(I696&lt;=100000000,"$50M-100M","$100M+"))))</f>
        <v/>
      </c>
      <c r="P696" s="21">
        <f>IF(E696&lt;=90,"90 or less",IF(E696&lt;=105,"91-105",IF(E696&lt;=120,"106-120",IF(E696&lt;=140,"121-140","Over 140"))))</f>
        <v/>
      </c>
      <c r="Q696" s="28">
        <f>INT(C696/10)*10</f>
        <v/>
      </c>
    </row>
    <row r="697">
      <c r="A697" s="21" t="n">
        <v>719</v>
      </c>
      <c r="B697" s="21" t="inlineStr">
        <is>
          <t>New Nightmare</t>
        </is>
      </c>
      <c r="C697" s="21" t="n">
        <v>1994</v>
      </c>
      <c r="D697" s="21" t="inlineStr">
        <is>
          <t>USA</t>
        </is>
      </c>
      <c r="E697" s="21" t="n">
        <v>107</v>
      </c>
      <c r="F697" s="21" t="inlineStr">
        <is>
          <t>English</t>
        </is>
      </c>
      <c r="G697" s="21" t="inlineStr">
        <is>
          <t>R</t>
        </is>
      </c>
      <c r="H697" s="22" t="n">
        <v>18090181</v>
      </c>
      <c r="I697" s="22" t="n">
        <v>8000000</v>
      </c>
      <c r="J697" s="21">
        <f>IF(OR(H697="",H697=25529689.5),"Yes","No")</f>
        <v/>
      </c>
      <c r="K697" s="21">
        <f>IF(AND(D697="USA",C697&gt;=1980,J697="No"),"Yes","No")</f>
        <v/>
      </c>
      <c r="L697" s="26">
        <f>IF(J697="Yes","",H697-I697)</f>
        <v/>
      </c>
      <c r="M697" s="27">
        <f>IF(OR(J697="Yes",I697=0),"",H697/I697)</f>
        <v/>
      </c>
      <c r="N697" s="21">
        <f>IF(J697="Yes","",IF(H697&gt;=I697,1,0))</f>
        <v/>
      </c>
      <c r="O697" s="21">
        <f>IF(I697&lt;=5000000,"Under $5M",IF(I697&lt;=20000000,"$5M-20M",IF(I697&lt;=50000000,"$20M-50M",IF(I697&lt;=100000000,"$50M-100M","$100M+"))))</f>
        <v/>
      </c>
      <c r="P697" s="21">
        <f>IF(E697&lt;=90,"90 or less",IF(E697&lt;=105,"91-105",IF(E697&lt;=120,"106-120",IF(E697&lt;=140,"121-140","Over 140"))))</f>
        <v/>
      </c>
      <c r="Q697" s="28">
        <f>INT(C697/10)*10</f>
        <v/>
      </c>
    </row>
    <row r="698">
      <c r="A698" s="21" t="n">
        <v>720</v>
      </c>
      <c r="B698" s="21" t="inlineStr">
        <is>
          <t>On Deadly Ground</t>
        </is>
      </c>
      <c r="C698" s="21" t="n">
        <v>1994</v>
      </c>
      <c r="D698" s="21" t="inlineStr">
        <is>
          <t>USA</t>
        </is>
      </c>
      <c r="E698" s="21" t="n">
        <v>101</v>
      </c>
      <c r="F698" s="21" t="inlineStr">
        <is>
          <t>English</t>
        </is>
      </c>
      <c r="G698" s="21" t="inlineStr">
        <is>
          <t>R</t>
        </is>
      </c>
      <c r="H698" s="22" t="n">
        <v>38590500</v>
      </c>
      <c r="I698" s="22" t="n">
        <v>50000000</v>
      </c>
      <c r="J698" s="21">
        <f>IF(OR(H698="",H698=25529689.5),"Yes","No")</f>
        <v/>
      </c>
      <c r="K698" s="21">
        <f>IF(AND(D698="USA",C698&gt;=1980,J698="No"),"Yes","No")</f>
        <v/>
      </c>
      <c r="L698" s="26">
        <f>IF(J698="Yes","",H698-I698)</f>
        <v/>
      </c>
      <c r="M698" s="27">
        <f>IF(OR(J698="Yes",I698=0),"",H698/I698)</f>
        <v/>
      </c>
      <c r="N698" s="21">
        <f>IF(J698="Yes","",IF(H698&gt;=I698,1,0))</f>
        <v/>
      </c>
      <c r="O698" s="21">
        <f>IF(I698&lt;=5000000,"Under $5M",IF(I698&lt;=20000000,"$5M-20M",IF(I698&lt;=50000000,"$20M-50M",IF(I698&lt;=100000000,"$50M-100M","$100M+"))))</f>
        <v/>
      </c>
      <c r="P698" s="21">
        <f>IF(E698&lt;=90,"90 or less",IF(E698&lt;=105,"91-105",IF(E698&lt;=120,"106-120",IF(E698&lt;=140,"121-140","Over 140"))))</f>
        <v/>
      </c>
      <c r="Q698" s="28">
        <f>INT(C698/10)*10</f>
        <v/>
      </c>
    </row>
    <row r="699">
      <c r="A699" s="21" t="n">
        <v>721</v>
      </c>
      <c r="B699" s="21" t="inlineStr">
        <is>
          <t>PCU</t>
        </is>
      </c>
      <c r="C699" s="21" t="n">
        <v>1994</v>
      </c>
      <c r="D699" s="21" t="inlineStr">
        <is>
          <t>USA</t>
        </is>
      </c>
      <c r="E699" s="21" t="n">
        <v>79</v>
      </c>
      <c r="F699" s="21" t="inlineStr">
        <is>
          <t>English</t>
        </is>
      </c>
      <c r="G699" s="21" t="inlineStr">
        <is>
          <t>PG-13</t>
        </is>
      </c>
      <c r="H699" s="22" t="n">
        <v>4350774</v>
      </c>
      <c r="I699" s="22" t="n">
        <v>8000000</v>
      </c>
      <c r="J699" s="21">
        <f>IF(OR(H699="",H699=25529689.5),"Yes","No")</f>
        <v/>
      </c>
      <c r="K699" s="21">
        <f>IF(AND(D699="USA",C699&gt;=1980,J699="No"),"Yes","No")</f>
        <v/>
      </c>
      <c r="L699" s="26">
        <f>IF(J699="Yes","",H699-I699)</f>
        <v/>
      </c>
      <c r="M699" s="27">
        <f>IF(OR(J699="Yes",I699=0),"",H699/I699)</f>
        <v/>
      </c>
      <c r="N699" s="21">
        <f>IF(J699="Yes","",IF(H699&gt;=I699,1,0))</f>
        <v/>
      </c>
      <c r="O699" s="21">
        <f>IF(I699&lt;=5000000,"Under $5M",IF(I699&lt;=20000000,"$5M-20M",IF(I699&lt;=50000000,"$20M-50M",IF(I699&lt;=100000000,"$50M-100M","$100M+"))))</f>
        <v/>
      </c>
      <c r="P699" s="21">
        <f>IF(E699&lt;=90,"90 or less",IF(E699&lt;=105,"91-105",IF(E699&lt;=120,"106-120",IF(E699&lt;=140,"121-140","Over 140"))))</f>
        <v/>
      </c>
      <c r="Q699" s="28">
        <f>INT(C699/10)*10</f>
        <v/>
      </c>
    </row>
    <row r="700">
      <c r="A700" s="21" t="n">
        <v>722</v>
      </c>
      <c r="B700" s="21" t="inlineStr">
        <is>
          <t>Police Academy: Mission to Moscow</t>
        </is>
      </c>
      <c r="C700" s="21" t="n">
        <v>1994</v>
      </c>
      <c r="D700" s="21" t="inlineStr">
        <is>
          <t>USA</t>
        </is>
      </c>
      <c r="E700" s="21" t="n">
        <v>83</v>
      </c>
      <c r="F700" s="21" t="inlineStr">
        <is>
          <t>English</t>
        </is>
      </c>
      <c r="G700" s="21" t="inlineStr">
        <is>
          <t>PG</t>
        </is>
      </c>
      <c r="H700" s="22" t="n">
        <v>126247</v>
      </c>
      <c r="I700" s="22" t="n">
        <v>6200000</v>
      </c>
      <c r="J700" s="21">
        <f>IF(OR(H700="",H700=25529689.5),"Yes","No")</f>
        <v/>
      </c>
      <c r="K700" s="21">
        <f>IF(AND(D700="USA",C700&gt;=1980,J700="No"),"Yes","No")</f>
        <v/>
      </c>
      <c r="L700" s="26">
        <f>IF(J700="Yes","",H700-I700)</f>
        <v/>
      </c>
      <c r="M700" s="27">
        <f>IF(OR(J700="Yes",I700=0),"",H700/I700)</f>
        <v/>
      </c>
      <c r="N700" s="21">
        <f>IF(J700="Yes","",IF(H700&gt;=I700,1,0))</f>
        <v/>
      </c>
      <c r="O700" s="21">
        <f>IF(I700&lt;=5000000,"Under $5M",IF(I700&lt;=20000000,"$5M-20M",IF(I700&lt;=50000000,"$20M-50M",IF(I700&lt;=100000000,"$50M-100M","$100M+"))))</f>
        <v/>
      </c>
      <c r="P700" s="21">
        <f>IF(E700&lt;=90,"90 or less",IF(E700&lt;=105,"91-105",IF(E700&lt;=120,"106-120",IF(E700&lt;=140,"121-140","Over 140"))))</f>
        <v/>
      </c>
      <c r="Q700" s="28">
        <f>INT(C700/10)*10</f>
        <v/>
      </c>
    </row>
    <row r="701">
      <c r="A701" s="21" t="n">
        <v>723</v>
      </c>
      <c r="B701" s="21" t="inlineStr">
        <is>
          <t>Pulp Fiction</t>
        </is>
      </c>
      <c r="C701" s="21" t="n">
        <v>1994</v>
      </c>
      <c r="D701" s="21" t="inlineStr">
        <is>
          <t>USA</t>
        </is>
      </c>
      <c r="E701" s="21" t="n">
        <v>178</v>
      </c>
      <c r="F701" s="21" t="inlineStr">
        <is>
          <t>English</t>
        </is>
      </c>
      <c r="G701" s="21" t="inlineStr">
        <is>
          <t>R</t>
        </is>
      </c>
      <c r="H701" s="22" t="n">
        <v>107930000</v>
      </c>
      <c r="I701" s="22" t="n">
        <v>8000000</v>
      </c>
      <c r="J701" s="21">
        <f>IF(OR(H701="",H701=25529689.5),"Yes","No")</f>
        <v/>
      </c>
      <c r="K701" s="21">
        <f>IF(AND(D701="USA",C701&gt;=1980,J701="No"),"Yes","No")</f>
        <v/>
      </c>
      <c r="L701" s="26">
        <f>IF(J701="Yes","",H701-I701)</f>
        <v/>
      </c>
      <c r="M701" s="27">
        <f>IF(OR(J701="Yes",I701=0),"",H701/I701)</f>
        <v/>
      </c>
      <c r="N701" s="21">
        <f>IF(J701="Yes","",IF(H701&gt;=I701,1,0))</f>
        <v/>
      </c>
      <c r="O701" s="21">
        <f>IF(I701&lt;=5000000,"Under $5M",IF(I701&lt;=20000000,"$5M-20M",IF(I701&lt;=50000000,"$20M-50M",IF(I701&lt;=100000000,"$50M-100M","$100M+"))))</f>
        <v/>
      </c>
      <c r="P701" s="21">
        <f>IF(E701&lt;=90,"90 or less",IF(E701&lt;=105,"91-105",IF(E701&lt;=120,"106-120",IF(E701&lt;=140,"121-140","Over 140"))))</f>
        <v/>
      </c>
      <c r="Q701" s="28">
        <f>INT(C701/10)*10</f>
        <v/>
      </c>
    </row>
    <row r="702">
      <c r="A702" s="21" t="n">
        <v>724</v>
      </c>
      <c r="B702" s="21" t="inlineStr">
        <is>
          <t>Rapa Nui</t>
        </is>
      </c>
      <c r="C702" s="21" t="n">
        <v>1994</v>
      </c>
      <c r="D702" s="21" t="inlineStr">
        <is>
          <t>USA</t>
        </is>
      </c>
      <c r="E702" s="21" t="n">
        <v>107</v>
      </c>
      <c r="F702" s="21" t="inlineStr">
        <is>
          <t>English</t>
        </is>
      </c>
      <c r="G702" s="21" t="inlineStr">
        <is>
          <t>R</t>
        </is>
      </c>
      <c r="H702" s="22" t="n">
        <v>305070</v>
      </c>
      <c r="I702" s="22" t="n">
        <v>20000000</v>
      </c>
      <c r="J702" s="21">
        <f>IF(OR(H702="",H702=25529689.5),"Yes","No")</f>
        <v/>
      </c>
      <c r="K702" s="21">
        <f>IF(AND(D702="USA",C702&gt;=1980,J702="No"),"Yes","No")</f>
        <v/>
      </c>
      <c r="L702" s="26">
        <f>IF(J702="Yes","",H702-I702)</f>
        <v/>
      </c>
      <c r="M702" s="27">
        <f>IF(OR(J702="Yes",I702=0),"",H702/I702)</f>
        <v/>
      </c>
      <c r="N702" s="21">
        <f>IF(J702="Yes","",IF(H702&gt;=I702,1,0))</f>
        <v/>
      </c>
      <c r="O702" s="21">
        <f>IF(I702&lt;=5000000,"Under $5M",IF(I702&lt;=20000000,"$5M-20M",IF(I702&lt;=50000000,"$20M-50M",IF(I702&lt;=100000000,"$50M-100M","$100M+"))))</f>
        <v/>
      </c>
      <c r="P702" s="21">
        <f>IF(E702&lt;=90,"90 or less",IF(E702&lt;=105,"91-105",IF(E702&lt;=120,"106-120",IF(E702&lt;=140,"121-140","Over 140"))))</f>
        <v/>
      </c>
      <c r="Q702" s="28">
        <f>INT(C702/10)*10</f>
        <v/>
      </c>
    </row>
    <row r="703">
      <c r="A703" s="21" t="n">
        <v>725</v>
      </c>
      <c r="B703" s="21" t="inlineStr">
        <is>
          <t>Renaissance Man</t>
        </is>
      </c>
      <c r="C703" s="21" t="n">
        <v>1994</v>
      </c>
      <c r="D703" s="21" t="inlineStr">
        <is>
          <t>USA</t>
        </is>
      </c>
      <c r="E703" s="21" t="n">
        <v>128</v>
      </c>
      <c r="F703" s="21" t="inlineStr">
        <is>
          <t>English</t>
        </is>
      </c>
      <c r="G703" s="21" t="inlineStr">
        <is>
          <t>PG-13</t>
        </is>
      </c>
      <c r="H703" s="22" t="n">
        <v>24332324</v>
      </c>
      <c r="I703" s="22" t="n">
        <v>40000000</v>
      </c>
      <c r="J703" s="21">
        <f>IF(OR(H703="",H703=25529689.5),"Yes","No")</f>
        <v/>
      </c>
      <c r="K703" s="21">
        <f>IF(AND(D703="USA",C703&gt;=1980,J703="No"),"Yes","No")</f>
        <v/>
      </c>
      <c r="L703" s="26">
        <f>IF(J703="Yes","",H703-I703)</f>
        <v/>
      </c>
      <c r="M703" s="27">
        <f>IF(OR(J703="Yes",I703=0),"",H703/I703)</f>
        <v/>
      </c>
      <c r="N703" s="21">
        <f>IF(J703="Yes","",IF(H703&gt;=I703,1,0))</f>
        <v/>
      </c>
      <c r="O703" s="21">
        <f>IF(I703&lt;=5000000,"Under $5M",IF(I703&lt;=20000000,"$5M-20M",IF(I703&lt;=50000000,"$20M-50M",IF(I703&lt;=100000000,"$50M-100M","$100M+"))))</f>
        <v/>
      </c>
      <c r="P703" s="21">
        <f>IF(E703&lt;=90,"90 or less",IF(E703&lt;=105,"91-105",IF(E703&lt;=120,"106-120",IF(E703&lt;=140,"121-140","Over 140"))))</f>
        <v/>
      </c>
      <c r="Q703" s="28">
        <f>INT(C703/10)*10</f>
        <v/>
      </c>
    </row>
    <row r="704">
      <c r="A704" s="21" t="n">
        <v>726</v>
      </c>
      <c r="B704" s="21" t="inlineStr">
        <is>
          <t>RiÂ¢hie RiÂ¢h</t>
        </is>
      </c>
      <c r="C704" s="21" t="n">
        <v>1994</v>
      </c>
      <c r="D704" s="21" t="inlineStr">
        <is>
          <t>USA</t>
        </is>
      </c>
      <c r="E704" s="21" t="n">
        <v>95</v>
      </c>
      <c r="F704" s="21" t="inlineStr">
        <is>
          <t>English</t>
        </is>
      </c>
      <c r="G704" s="21" t="inlineStr">
        <is>
          <t>PG</t>
        </is>
      </c>
      <c r="H704" s="22" t="n">
        <v>38087756</v>
      </c>
      <c r="I704" s="22" t="n">
        <v>40000000</v>
      </c>
      <c r="J704" s="21">
        <f>IF(OR(H704="",H704=25529689.5),"Yes","No")</f>
        <v/>
      </c>
      <c r="K704" s="21">
        <f>IF(AND(D704="USA",C704&gt;=1980,J704="No"),"Yes","No")</f>
        <v/>
      </c>
      <c r="L704" s="26">
        <f>IF(J704="Yes","",H704-I704)</f>
        <v/>
      </c>
      <c r="M704" s="27">
        <f>IF(OR(J704="Yes",I704=0),"",H704/I704)</f>
        <v/>
      </c>
      <c r="N704" s="21">
        <f>IF(J704="Yes","",IF(H704&gt;=I704,1,0))</f>
        <v/>
      </c>
      <c r="O704" s="21">
        <f>IF(I704&lt;=5000000,"Under $5M",IF(I704&lt;=20000000,"$5M-20M",IF(I704&lt;=50000000,"$20M-50M",IF(I704&lt;=100000000,"$50M-100M","$100M+"))))</f>
        <v/>
      </c>
      <c r="P704" s="21">
        <f>IF(E704&lt;=90,"90 or less",IF(E704&lt;=105,"91-105",IF(E704&lt;=120,"106-120",IF(E704&lt;=140,"121-140","Over 140"))))</f>
        <v/>
      </c>
      <c r="Q704" s="28">
        <f>INT(C704/10)*10</f>
        <v/>
      </c>
    </row>
    <row r="705">
      <c r="A705" s="21" t="n">
        <v>727</v>
      </c>
      <c r="B705" s="21" t="inlineStr">
        <is>
          <t>Serial Mom</t>
        </is>
      </c>
      <c r="C705" s="21" t="n">
        <v>1994</v>
      </c>
      <c r="D705" s="21" t="inlineStr">
        <is>
          <t>USA</t>
        </is>
      </c>
      <c r="E705" s="21" t="n">
        <v>95</v>
      </c>
      <c r="F705" s="21" t="inlineStr">
        <is>
          <t>English</t>
        </is>
      </c>
      <c r="G705" s="21" t="inlineStr">
        <is>
          <t>R</t>
        </is>
      </c>
      <c r="H705" s="22" t="n">
        <v>7881335</v>
      </c>
      <c r="I705" s="22" t="n">
        <v>13000000</v>
      </c>
      <c r="J705" s="21">
        <f>IF(OR(H705="",H705=25529689.5),"Yes","No")</f>
        <v/>
      </c>
      <c r="K705" s="21">
        <f>IF(AND(D705="USA",C705&gt;=1980,J705="No"),"Yes","No")</f>
        <v/>
      </c>
      <c r="L705" s="26">
        <f>IF(J705="Yes","",H705-I705)</f>
        <v/>
      </c>
      <c r="M705" s="27">
        <f>IF(OR(J705="Yes",I705=0),"",H705/I705)</f>
        <v/>
      </c>
      <c r="N705" s="21">
        <f>IF(J705="Yes","",IF(H705&gt;=I705,1,0))</f>
        <v/>
      </c>
      <c r="O705" s="21">
        <f>IF(I705&lt;=5000000,"Under $5M",IF(I705&lt;=20000000,"$5M-20M",IF(I705&lt;=50000000,"$20M-50M",IF(I705&lt;=100000000,"$50M-100M","$100M+"))))</f>
        <v/>
      </c>
      <c r="P705" s="21">
        <f>IF(E705&lt;=90,"90 or less",IF(E705&lt;=105,"91-105",IF(E705&lt;=120,"106-120",IF(E705&lt;=140,"121-140","Over 140"))))</f>
        <v/>
      </c>
      <c r="Q705" s="28">
        <f>INT(C705/10)*10</f>
        <v/>
      </c>
    </row>
    <row r="706">
      <c r="A706" s="21" t="n">
        <v>728</v>
      </c>
      <c r="B706" s="21" t="inlineStr">
        <is>
          <t>Speed</t>
        </is>
      </c>
      <c r="C706" s="21" t="n">
        <v>1994</v>
      </c>
      <c r="D706" s="21" t="inlineStr">
        <is>
          <t>USA</t>
        </is>
      </c>
      <c r="E706" s="21" t="n">
        <v>116</v>
      </c>
      <c r="F706" s="21" t="inlineStr">
        <is>
          <t>English</t>
        </is>
      </c>
      <c r="G706" s="21" t="inlineStr">
        <is>
          <t>R</t>
        </is>
      </c>
      <c r="H706" s="22" t="n">
        <v>121248145</v>
      </c>
      <c r="I706" s="22" t="n">
        <v>25000000</v>
      </c>
      <c r="J706" s="21">
        <f>IF(OR(H706="",H706=25529689.5),"Yes","No")</f>
        <v/>
      </c>
      <c r="K706" s="21">
        <f>IF(AND(D706="USA",C706&gt;=1980,J706="No"),"Yes","No")</f>
        <v/>
      </c>
      <c r="L706" s="26">
        <f>IF(J706="Yes","",H706-I706)</f>
        <v/>
      </c>
      <c r="M706" s="27">
        <f>IF(OR(J706="Yes",I706=0),"",H706/I706)</f>
        <v/>
      </c>
      <c r="N706" s="21">
        <f>IF(J706="Yes","",IF(H706&gt;=I706,1,0))</f>
        <v/>
      </c>
      <c r="O706" s="21">
        <f>IF(I706&lt;=5000000,"Under $5M",IF(I706&lt;=20000000,"$5M-20M",IF(I706&lt;=50000000,"$20M-50M",IF(I706&lt;=100000000,"$50M-100M","$100M+"))))</f>
        <v/>
      </c>
      <c r="P706" s="21">
        <f>IF(E706&lt;=90,"90 or less",IF(E706&lt;=105,"91-105",IF(E706&lt;=120,"106-120",IF(E706&lt;=140,"121-140","Over 140"))))</f>
        <v/>
      </c>
      <c r="Q706" s="28">
        <f>INT(C706/10)*10</f>
        <v/>
      </c>
    </row>
    <row r="707">
      <c r="A707" s="21" t="n">
        <v>729</v>
      </c>
      <c r="B707" s="21" t="inlineStr">
        <is>
          <t>Star Trek: Generations</t>
        </is>
      </c>
      <c r="C707" s="21" t="n">
        <v>1994</v>
      </c>
      <c r="D707" s="21" t="inlineStr">
        <is>
          <t>USA</t>
        </is>
      </c>
      <c r="E707" s="21" t="n">
        <v>118</v>
      </c>
      <c r="F707" s="21" t="inlineStr">
        <is>
          <t>English</t>
        </is>
      </c>
      <c r="G707" s="21" t="inlineStr">
        <is>
          <t>PG</t>
        </is>
      </c>
      <c r="H707" s="22" t="n">
        <v>75668868</v>
      </c>
      <c r="I707" s="22" t="n">
        <v>35000000</v>
      </c>
      <c r="J707" s="21">
        <f>IF(OR(H707="",H707=25529689.5),"Yes","No")</f>
        <v/>
      </c>
      <c r="K707" s="21">
        <f>IF(AND(D707="USA",C707&gt;=1980,J707="No"),"Yes","No")</f>
        <v/>
      </c>
      <c r="L707" s="26">
        <f>IF(J707="Yes","",H707-I707)</f>
        <v/>
      </c>
      <c r="M707" s="27">
        <f>IF(OR(J707="Yes",I707=0),"",H707/I707)</f>
        <v/>
      </c>
      <c r="N707" s="21">
        <f>IF(J707="Yes","",IF(H707&gt;=I707,1,0))</f>
        <v/>
      </c>
      <c r="O707" s="21">
        <f>IF(I707&lt;=5000000,"Under $5M",IF(I707&lt;=20000000,"$5M-20M",IF(I707&lt;=50000000,"$20M-50M",IF(I707&lt;=100000000,"$50M-100M","$100M+"))))</f>
        <v/>
      </c>
      <c r="P707" s="21">
        <f>IF(E707&lt;=90,"90 or less",IF(E707&lt;=105,"91-105",IF(E707&lt;=120,"106-120",IF(E707&lt;=140,"121-140","Over 140"))))</f>
        <v/>
      </c>
      <c r="Q707" s="28">
        <f>INT(C707/10)*10</f>
        <v/>
      </c>
    </row>
    <row r="708">
      <c r="A708" s="21" t="n">
        <v>730</v>
      </c>
      <c r="B708" s="21" t="inlineStr">
        <is>
          <t>Street Fighter</t>
        </is>
      </c>
      <c r="C708" s="21" t="n">
        <v>1994</v>
      </c>
      <c r="D708" s="21" t="inlineStr">
        <is>
          <t>Japan</t>
        </is>
      </c>
      <c r="E708" s="21" t="n">
        <v>102</v>
      </c>
      <c r="F708" s="21" t="inlineStr">
        <is>
          <t>English</t>
        </is>
      </c>
      <c r="G708" s="21" t="inlineStr">
        <is>
          <t>PG-13</t>
        </is>
      </c>
      <c r="H708" s="22" t="n">
        <v>33423521</v>
      </c>
      <c r="I708" s="22" t="n">
        <v>35000000</v>
      </c>
      <c r="J708" s="21">
        <f>IF(OR(H708="",H708=25529689.5),"Yes","No")</f>
        <v/>
      </c>
      <c r="K708" s="21">
        <f>IF(AND(D708="USA",C708&gt;=1980,J708="No"),"Yes","No")</f>
        <v/>
      </c>
      <c r="L708" s="26">
        <f>IF(J708="Yes","",H708-I708)</f>
        <v/>
      </c>
      <c r="M708" s="27">
        <f>IF(OR(J708="Yes",I708=0),"",H708/I708)</f>
        <v/>
      </c>
      <c r="N708" s="21">
        <f>IF(J708="Yes","",IF(H708&gt;=I708,1,0))</f>
        <v/>
      </c>
      <c r="O708" s="21">
        <f>IF(I708&lt;=5000000,"Under $5M",IF(I708&lt;=20000000,"$5M-20M",IF(I708&lt;=50000000,"$20M-50M",IF(I708&lt;=100000000,"$50M-100M","$100M+"))))</f>
        <v/>
      </c>
      <c r="P708" s="21">
        <f>IF(E708&lt;=90,"90 or less",IF(E708&lt;=105,"91-105",IF(E708&lt;=120,"106-120",IF(E708&lt;=140,"121-140","Over 140"))))</f>
        <v/>
      </c>
      <c r="Q708" s="28">
        <f>INT(C708/10)*10</f>
        <v/>
      </c>
    </row>
    <row r="709">
      <c r="A709" s="21" t="n">
        <v>731</v>
      </c>
      <c r="B709" s="21" t="inlineStr">
        <is>
          <t>The Client</t>
        </is>
      </c>
      <c r="C709" s="21" t="n">
        <v>1994</v>
      </c>
      <c r="D709" s="21" t="inlineStr">
        <is>
          <t>USA</t>
        </is>
      </c>
      <c r="E709" s="21" t="n">
        <v>119</v>
      </c>
      <c r="F709" s="21" t="inlineStr">
        <is>
          <t>English</t>
        </is>
      </c>
      <c r="G709" s="21" t="inlineStr">
        <is>
          <t>PG-13</t>
        </is>
      </c>
      <c r="H709" s="22" t="n">
        <v>92115211</v>
      </c>
      <c r="I709" s="22" t="n">
        <v>45000000</v>
      </c>
      <c r="J709" s="21">
        <f>IF(OR(H709="",H709=25529689.5),"Yes","No")</f>
        <v/>
      </c>
      <c r="K709" s="21">
        <f>IF(AND(D709="USA",C709&gt;=1980,J709="No"),"Yes","No")</f>
        <v/>
      </c>
      <c r="L709" s="26">
        <f>IF(J709="Yes","",H709-I709)</f>
        <v/>
      </c>
      <c r="M709" s="27">
        <f>IF(OR(J709="Yes",I709=0),"",H709/I709)</f>
        <v/>
      </c>
      <c r="N709" s="21">
        <f>IF(J709="Yes","",IF(H709&gt;=I709,1,0))</f>
        <v/>
      </c>
      <c r="O709" s="21">
        <f>IF(I709&lt;=5000000,"Under $5M",IF(I709&lt;=20000000,"$5M-20M",IF(I709&lt;=50000000,"$20M-50M",IF(I709&lt;=100000000,"$50M-100M","$100M+"))))</f>
        <v/>
      </c>
      <c r="P709" s="21">
        <f>IF(E709&lt;=90,"90 or less",IF(E709&lt;=105,"91-105",IF(E709&lt;=120,"106-120",IF(E709&lt;=140,"121-140","Over 140"))))</f>
        <v/>
      </c>
      <c r="Q709" s="28">
        <f>INT(C709/10)*10</f>
        <v/>
      </c>
    </row>
    <row r="710">
      <c r="A710" s="21" t="n">
        <v>732</v>
      </c>
      <c r="B710" s="21" t="inlineStr">
        <is>
          <t>The Crow</t>
        </is>
      </c>
      <c r="C710" s="21" t="n">
        <v>1994</v>
      </c>
      <c r="D710" s="21" t="inlineStr">
        <is>
          <t>USA</t>
        </is>
      </c>
      <c r="E710" s="21" t="n">
        <v>98</v>
      </c>
      <c r="F710" s="21" t="inlineStr">
        <is>
          <t>English</t>
        </is>
      </c>
      <c r="G710" s="21" t="inlineStr">
        <is>
          <t>R</t>
        </is>
      </c>
      <c r="H710" s="22" t="n">
        <v>50693162</v>
      </c>
      <c r="I710" s="22" t="n">
        <v>23000000</v>
      </c>
      <c r="J710" s="21">
        <f>IF(OR(H710="",H710=25529689.5),"Yes","No")</f>
        <v/>
      </c>
      <c r="K710" s="21">
        <f>IF(AND(D710="USA",C710&gt;=1980,J710="No"),"Yes","No")</f>
        <v/>
      </c>
      <c r="L710" s="26">
        <f>IF(J710="Yes","",H710-I710)</f>
        <v/>
      </c>
      <c r="M710" s="27">
        <f>IF(OR(J710="Yes",I710=0),"",H710/I710)</f>
        <v/>
      </c>
      <c r="N710" s="21">
        <f>IF(J710="Yes","",IF(H710&gt;=I710,1,0))</f>
        <v/>
      </c>
      <c r="O710" s="21">
        <f>IF(I710&lt;=5000000,"Under $5M",IF(I710&lt;=20000000,"$5M-20M",IF(I710&lt;=50000000,"$20M-50M",IF(I710&lt;=100000000,"$50M-100M","$100M+"))))</f>
        <v/>
      </c>
      <c r="P710" s="21">
        <f>IF(E710&lt;=90,"90 or less",IF(E710&lt;=105,"91-105",IF(E710&lt;=120,"106-120",IF(E710&lt;=140,"121-140","Over 140"))))</f>
        <v/>
      </c>
      <c r="Q710" s="28">
        <f>INT(C710/10)*10</f>
        <v/>
      </c>
    </row>
    <row r="711">
      <c r="A711" s="21" t="n">
        <v>733</v>
      </c>
      <c r="B711" s="21" t="inlineStr">
        <is>
          <t>The Flintstones</t>
        </is>
      </c>
      <c r="C711" s="21" t="n">
        <v>1994</v>
      </c>
      <c r="D711" s="21" t="inlineStr">
        <is>
          <t>USA</t>
        </is>
      </c>
      <c r="E711" s="21" t="n">
        <v>91</v>
      </c>
      <c r="F711" s="21" t="inlineStr">
        <is>
          <t>English</t>
        </is>
      </c>
      <c r="G711" s="21" t="inlineStr">
        <is>
          <t>PG</t>
        </is>
      </c>
      <c r="H711" s="22" t="n">
        <v>130512915</v>
      </c>
      <c r="I711" s="22" t="n">
        <v>45000000</v>
      </c>
      <c r="J711" s="21">
        <f>IF(OR(H711="",H711=25529689.5),"Yes","No")</f>
        <v/>
      </c>
      <c r="K711" s="21">
        <f>IF(AND(D711="USA",C711&gt;=1980,J711="No"),"Yes","No")</f>
        <v/>
      </c>
      <c r="L711" s="26">
        <f>IF(J711="Yes","",H711-I711)</f>
        <v/>
      </c>
      <c r="M711" s="27">
        <f>IF(OR(J711="Yes",I711=0),"",H711/I711)</f>
        <v/>
      </c>
      <c r="N711" s="21">
        <f>IF(J711="Yes","",IF(H711&gt;=I711,1,0))</f>
        <v/>
      </c>
      <c r="O711" s="21">
        <f>IF(I711&lt;=5000000,"Under $5M",IF(I711&lt;=20000000,"$5M-20M",IF(I711&lt;=50000000,"$20M-50M",IF(I711&lt;=100000000,"$50M-100M","$100M+"))))</f>
        <v/>
      </c>
      <c r="P711" s="21">
        <f>IF(E711&lt;=90,"90 or less",IF(E711&lt;=105,"91-105",IF(E711&lt;=120,"106-120",IF(E711&lt;=140,"121-140","Over 140"))))</f>
        <v/>
      </c>
      <c r="Q711" s="28">
        <f>INT(C711/10)*10</f>
        <v/>
      </c>
    </row>
    <row r="712">
      <c r="A712" s="21" t="n">
        <v>734</v>
      </c>
      <c r="B712" s="21" t="inlineStr">
        <is>
          <t>The Hudsucker Proxy</t>
        </is>
      </c>
      <c r="C712" s="21" t="n">
        <v>1994</v>
      </c>
      <c r="D712" s="21" t="inlineStr">
        <is>
          <t>UK</t>
        </is>
      </c>
      <c r="E712" s="21" t="n">
        <v>111</v>
      </c>
      <c r="F712" s="21" t="inlineStr">
        <is>
          <t>English</t>
        </is>
      </c>
      <c r="G712" s="21" t="inlineStr">
        <is>
          <t>PG</t>
        </is>
      </c>
      <c r="H712" s="22" t="n">
        <v>2869369</v>
      </c>
      <c r="I712" s="22" t="n">
        <v>30000000</v>
      </c>
      <c r="J712" s="21">
        <f>IF(OR(H712="",H712=25529689.5),"Yes","No")</f>
        <v/>
      </c>
      <c r="K712" s="21">
        <f>IF(AND(D712="USA",C712&gt;=1980,J712="No"),"Yes","No")</f>
        <v/>
      </c>
      <c r="L712" s="26">
        <f>IF(J712="Yes","",H712-I712)</f>
        <v/>
      </c>
      <c r="M712" s="27">
        <f>IF(OR(J712="Yes",I712=0),"",H712/I712)</f>
        <v/>
      </c>
      <c r="N712" s="21">
        <f>IF(J712="Yes","",IF(H712&gt;=I712,1,0))</f>
        <v/>
      </c>
      <c r="O712" s="21">
        <f>IF(I712&lt;=5000000,"Under $5M",IF(I712&lt;=20000000,"$5M-20M",IF(I712&lt;=50000000,"$20M-50M",IF(I712&lt;=100000000,"$50M-100M","$100M+"))))</f>
        <v/>
      </c>
      <c r="P712" s="21">
        <f>IF(E712&lt;=90,"90 or less",IF(E712&lt;=105,"91-105",IF(E712&lt;=120,"106-120",IF(E712&lt;=140,"121-140","Over 140"))))</f>
        <v/>
      </c>
      <c r="Q712" s="28">
        <f>INT(C712/10)*10</f>
        <v/>
      </c>
    </row>
    <row r="713">
      <c r="A713" s="21" t="n">
        <v>735</v>
      </c>
      <c r="B713" s="21" t="inlineStr">
        <is>
          <t>The Inkwell</t>
        </is>
      </c>
      <c r="C713" s="21" t="n">
        <v>1994</v>
      </c>
      <c r="D713" s="21" t="inlineStr">
        <is>
          <t>USA</t>
        </is>
      </c>
      <c r="E713" s="21" t="n">
        <v>110</v>
      </c>
      <c r="F713" s="21" t="inlineStr">
        <is>
          <t>English</t>
        </is>
      </c>
      <c r="G713" s="21" t="inlineStr">
        <is>
          <t>R</t>
        </is>
      </c>
      <c r="H713" s="22" t="n">
        <v>8880705</v>
      </c>
      <c r="I713" s="22" t="n">
        <v>20000000</v>
      </c>
      <c r="J713" s="21">
        <f>IF(OR(H713="",H713=25529689.5),"Yes","No")</f>
        <v/>
      </c>
      <c r="K713" s="21">
        <f>IF(AND(D713="USA",C713&gt;=1980,J713="No"),"Yes","No")</f>
        <v/>
      </c>
      <c r="L713" s="26">
        <f>IF(J713="Yes","",H713-I713)</f>
        <v/>
      </c>
      <c r="M713" s="27">
        <f>IF(OR(J713="Yes",I713=0),"",H713/I713)</f>
        <v/>
      </c>
      <c r="N713" s="21">
        <f>IF(J713="Yes","",IF(H713&gt;=I713,1,0))</f>
        <v/>
      </c>
      <c r="O713" s="21">
        <f>IF(I713&lt;=5000000,"Under $5M",IF(I713&lt;=20000000,"$5M-20M",IF(I713&lt;=50000000,"$20M-50M",IF(I713&lt;=100000000,"$50M-100M","$100M+"))))</f>
        <v/>
      </c>
      <c r="P713" s="21">
        <f>IF(E713&lt;=90,"90 or less",IF(E713&lt;=105,"91-105",IF(E713&lt;=120,"106-120",IF(E713&lt;=140,"121-140","Over 140"))))</f>
        <v/>
      </c>
      <c r="Q713" s="28">
        <f>INT(C713/10)*10</f>
        <v/>
      </c>
    </row>
    <row r="714">
      <c r="A714" s="21" t="n">
        <v>736</v>
      </c>
      <c r="B714" s="21" t="inlineStr">
        <is>
          <t>The Legend of Drunken Master</t>
        </is>
      </c>
      <c r="C714" s="21" t="n">
        <v>1994</v>
      </c>
      <c r="D714" s="21" t="inlineStr">
        <is>
          <t>Hong Kong</t>
        </is>
      </c>
      <c r="E714" s="21" t="n">
        <v>102</v>
      </c>
      <c r="F714" s="21" t="inlineStr">
        <is>
          <t>Cantonese</t>
        </is>
      </c>
      <c r="G714" s="21" t="inlineStr">
        <is>
          <t>R</t>
        </is>
      </c>
      <c r="H714" s="22" t="n">
        <v>11546543</v>
      </c>
      <c r="I714" s="22" t="n">
        <v>2000000</v>
      </c>
      <c r="J714" s="21">
        <f>IF(OR(H714="",H714=25529689.5),"Yes","No")</f>
        <v/>
      </c>
      <c r="K714" s="21">
        <f>IF(AND(D714="USA",C714&gt;=1980,J714="No"),"Yes","No")</f>
        <v/>
      </c>
      <c r="L714" s="26">
        <f>IF(J714="Yes","",H714-I714)</f>
        <v/>
      </c>
      <c r="M714" s="27">
        <f>IF(OR(J714="Yes",I714=0),"",H714/I714)</f>
        <v/>
      </c>
      <c r="N714" s="21">
        <f>IF(J714="Yes","",IF(H714&gt;=I714,1,0))</f>
        <v/>
      </c>
      <c r="O714" s="21">
        <f>IF(I714&lt;=5000000,"Under $5M",IF(I714&lt;=20000000,"$5M-20M",IF(I714&lt;=50000000,"$20M-50M",IF(I714&lt;=100000000,"$50M-100M","$100M+"))))</f>
        <v/>
      </c>
      <c r="P714" s="21">
        <f>IF(E714&lt;=90,"90 or less",IF(E714&lt;=105,"91-105",IF(E714&lt;=120,"106-120",IF(E714&lt;=140,"121-140","Over 140"))))</f>
        <v/>
      </c>
      <c r="Q714" s="28">
        <f>INT(C714/10)*10</f>
        <v/>
      </c>
    </row>
    <row r="715">
      <c r="A715" s="21" t="n">
        <v>737</v>
      </c>
      <c r="B715" s="21" t="inlineStr">
        <is>
          <t>The Lion King</t>
        </is>
      </c>
      <c r="C715" s="21" t="n">
        <v>1994</v>
      </c>
      <c r="D715" s="21" t="inlineStr">
        <is>
          <t>USA</t>
        </is>
      </c>
      <c r="E715" s="21" t="n">
        <v>73</v>
      </c>
      <c r="F715" s="21" t="inlineStr">
        <is>
          <t>English</t>
        </is>
      </c>
      <c r="G715" s="21" t="inlineStr">
        <is>
          <t>G</t>
        </is>
      </c>
      <c r="H715" s="22" t="n">
        <v>422783777</v>
      </c>
      <c r="I715" s="22" t="n">
        <v>45000000</v>
      </c>
      <c r="J715" s="21">
        <f>IF(OR(H715="",H715=25529689.5),"Yes","No")</f>
        <v/>
      </c>
      <c r="K715" s="21">
        <f>IF(AND(D715="USA",C715&gt;=1980,J715="No"),"Yes","No")</f>
        <v/>
      </c>
      <c r="L715" s="26">
        <f>IF(J715="Yes","",H715-I715)</f>
        <v/>
      </c>
      <c r="M715" s="27">
        <f>IF(OR(J715="Yes",I715=0),"",H715/I715)</f>
        <v/>
      </c>
      <c r="N715" s="21">
        <f>IF(J715="Yes","",IF(H715&gt;=I715,1,0))</f>
        <v/>
      </c>
      <c r="O715" s="21">
        <f>IF(I715&lt;=5000000,"Under $5M",IF(I715&lt;=20000000,"$5M-20M",IF(I715&lt;=50000000,"$20M-50M",IF(I715&lt;=100000000,"$50M-100M","$100M+"))))</f>
        <v/>
      </c>
      <c r="P715" s="21">
        <f>IF(E715&lt;=90,"90 or less",IF(E715&lt;=105,"91-105",IF(E715&lt;=120,"106-120",IF(E715&lt;=140,"121-140","Over 140"))))</f>
        <v/>
      </c>
      <c r="Q715" s="28">
        <f>INT(C715/10)*10</f>
        <v/>
      </c>
    </row>
    <row r="716">
      <c r="A716" s="21" t="n">
        <v>738</v>
      </c>
      <c r="B716" s="21" t="inlineStr">
        <is>
          <t>The Mask</t>
        </is>
      </c>
      <c r="C716" s="21" t="n">
        <v>1994</v>
      </c>
      <c r="D716" s="21" t="inlineStr">
        <is>
          <t>USA</t>
        </is>
      </c>
      <c r="E716" s="21" t="n">
        <v>114</v>
      </c>
      <c r="F716" s="21" t="inlineStr">
        <is>
          <t>English</t>
        </is>
      </c>
      <c r="G716" s="21" t="inlineStr">
        <is>
          <t>PG-13</t>
        </is>
      </c>
      <c r="H716" s="22" t="n">
        <v>119938730</v>
      </c>
      <c r="I716" s="22" t="n">
        <v>18000000</v>
      </c>
      <c r="J716" s="21">
        <f>IF(OR(H716="",H716=25529689.5),"Yes","No")</f>
        <v/>
      </c>
      <c r="K716" s="21">
        <f>IF(AND(D716="USA",C716&gt;=1980,J716="No"),"Yes","No")</f>
        <v/>
      </c>
      <c r="L716" s="26">
        <f>IF(J716="Yes","",H716-I716)</f>
        <v/>
      </c>
      <c r="M716" s="27">
        <f>IF(OR(J716="Yes",I716=0),"",H716/I716)</f>
        <v/>
      </c>
      <c r="N716" s="21">
        <f>IF(J716="Yes","",IF(H716&gt;=I716,1,0))</f>
        <v/>
      </c>
      <c r="O716" s="21">
        <f>IF(I716&lt;=5000000,"Under $5M",IF(I716&lt;=20000000,"$5M-20M",IF(I716&lt;=50000000,"$20M-50M",IF(I716&lt;=100000000,"$50M-100M","$100M+"))))</f>
        <v/>
      </c>
      <c r="P716" s="21">
        <f>IF(E716&lt;=90,"90 or less",IF(E716&lt;=105,"91-105",IF(E716&lt;=120,"106-120",IF(E716&lt;=140,"121-140","Over 140"))))</f>
        <v/>
      </c>
      <c r="Q716" s="28">
        <f>INT(C716/10)*10</f>
        <v/>
      </c>
    </row>
    <row r="717">
      <c r="A717" s="21" t="n">
        <v>739</v>
      </c>
      <c r="B717" s="21" t="inlineStr">
        <is>
          <t>The River Wild</t>
        </is>
      </c>
      <c r="C717" s="21" t="n">
        <v>1994</v>
      </c>
      <c r="D717" s="21" t="inlineStr">
        <is>
          <t>USA</t>
        </is>
      </c>
      <c r="E717" s="21" t="n">
        <v>111</v>
      </c>
      <c r="F717" s="21" t="inlineStr">
        <is>
          <t>English</t>
        </is>
      </c>
      <c r="G717" s="21" t="inlineStr">
        <is>
          <t>PG-13</t>
        </is>
      </c>
      <c r="H717" s="22" t="n">
        <v>46815748</v>
      </c>
      <c r="I717" s="22" t="n">
        <v>45000000</v>
      </c>
      <c r="J717" s="21">
        <f>IF(OR(H717="",H717=25529689.5),"Yes","No")</f>
        <v/>
      </c>
      <c r="K717" s="21">
        <f>IF(AND(D717="USA",C717&gt;=1980,J717="No"),"Yes","No")</f>
        <v/>
      </c>
      <c r="L717" s="26">
        <f>IF(J717="Yes","",H717-I717)</f>
        <v/>
      </c>
      <c r="M717" s="27">
        <f>IF(OR(J717="Yes",I717=0),"",H717/I717)</f>
        <v/>
      </c>
      <c r="N717" s="21">
        <f>IF(J717="Yes","",IF(H717&gt;=I717,1,0))</f>
        <v/>
      </c>
      <c r="O717" s="21">
        <f>IF(I717&lt;=5000000,"Under $5M",IF(I717&lt;=20000000,"$5M-20M",IF(I717&lt;=50000000,"$20M-50M",IF(I717&lt;=100000000,"$50M-100M","$100M+"))))</f>
        <v/>
      </c>
      <c r="P717" s="21">
        <f>IF(E717&lt;=90,"90 or less",IF(E717&lt;=105,"91-105",IF(E717&lt;=120,"106-120",IF(E717&lt;=140,"121-140","Over 140"))))</f>
        <v/>
      </c>
      <c r="Q717" s="28">
        <f>INT(C717/10)*10</f>
        <v/>
      </c>
    </row>
    <row r="718">
      <c r="A718" s="21" t="n">
        <v>740</v>
      </c>
      <c r="B718" s="21" t="inlineStr">
        <is>
          <t>The Santa Clause</t>
        </is>
      </c>
      <c r="C718" s="21" t="n">
        <v>1994</v>
      </c>
      <c r="D718" s="21" t="inlineStr">
        <is>
          <t>USA</t>
        </is>
      </c>
      <c r="E718" s="21" t="n">
        <v>97</v>
      </c>
      <c r="F718" s="21" t="inlineStr">
        <is>
          <t>English</t>
        </is>
      </c>
      <c r="G718" s="21" t="inlineStr">
        <is>
          <t>PG</t>
        </is>
      </c>
      <c r="H718" s="22" t="n">
        <v>144833357</v>
      </c>
      <c r="I718" s="22" t="n">
        <v>22000000</v>
      </c>
      <c r="J718" s="21">
        <f>IF(OR(H718="",H718=25529689.5),"Yes","No")</f>
        <v/>
      </c>
      <c r="K718" s="21">
        <f>IF(AND(D718="USA",C718&gt;=1980,J718="No"),"Yes","No")</f>
        <v/>
      </c>
      <c r="L718" s="26">
        <f>IF(J718="Yes","",H718-I718)</f>
        <v/>
      </c>
      <c r="M718" s="27">
        <f>IF(OR(J718="Yes",I718=0),"",H718/I718)</f>
        <v/>
      </c>
      <c r="N718" s="21">
        <f>IF(J718="Yes","",IF(H718&gt;=I718,1,0))</f>
        <v/>
      </c>
      <c r="O718" s="21">
        <f>IF(I718&lt;=5000000,"Under $5M",IF(I718&lt;=20000000,"$5M-20M",IF(I718&lt;=50000000,"$20M-50M",IF(I718&lt;=100000000,"$50M-100M","$100M+"))))</f>
        <v/>
      </c>
      <c r="P718" s="21">
        <f>IF(E718&lt;=90,"90 or less",IF(E718&lt;=105,"91-105",IF(E718&lt;=120,"106-120",IF(E718&lt;=140,"121-140","Over 140"))))</f>
        <v/>
      </c>
      <c r="Q718" s="28">
        <f>INT(C718/10)*10</f>
        <v/>
      </c>
    </row>
    <row r="719">
      <c r="A719" s="21" t="n">
        <v>741</v>
      </c>
      <c r="B719" s="21" t="inlineStr">
        <is>
          <t>The Shadow</t>
        </is>
      </c>
      <c r="C719" s="21" t="n">
        <v>1994</v>
      </c>
      <c r="D719" s="21" t="inlineStr">
        <is>
          <t>USA</t>
        </is>
      </c>
      <c r="E719" s="21" t="n">
        <v>93</v>
      </c>
      <c r="F719" s="21" t="inlineStr">
        <is>
          <t>English</t>
        </is>
      </c>
      <c r="G719" s="21" t="inlineStr">
        <is>
          <t>PG-13</t>
        </is>
      </c>
      <c r="H719" s="22" t="n">
        <v>32055248</v>
      </c>
      <c r="I719" s="22" t="n">
        <v>25000000</v>
      </c>
      <c r="J719" s="21">
        <f>IF(OR(H719="",H719=25529689.5),"Yes","No")</f>
        <v/>
      </c>
      <c r="K719" s="21">
        <f>IF(AND(D719="USA",C719&gt;=1980,J719="No"),"Yes","No")</f>
        <v/>
      </c>
      <c r="L719" s="26">
        <f>IF(J719="Yes","",H719-I719)</f>
        <v/>
      </c>
      <c r="M719" s="27">
        <f>IF(OR(J719="Yes",I719=0),"",H719/I719)</f>
        <v/>
      </c>
      <c r="N719" s="21">
        <f>IF(J719="Yes","",IF(H719&gt;=I719,1,0))</f>
        <v/>
      </c>
      <c r="O719" s="21">
        <f>IF(I719&lt;=5000000,"Under $5M",IF(I719&lt;=20000000,"$5M-20M",IF(I719&lt;=50000000,"$20M-50M",IF(I719&lt;=100000000,"$50M-100M","$100M+"))))</f>
        <v/>
      </c>
      <c r="P719" s="21">
        <f>IF(E719&lt;=90,"90 or less",IF(E719&lt;=105,"91-105",IF(E719&lt;=120,"106-120",IF(E719&lt;=140,"121-140","Over 140"))))</f>
        <v/>
      </c>
      <c r="Q719" s="28">
        <f>INT(C719/10)*10</f>
        <v/>
      </c>
    </row>
    <row r="720">
      <c r="A720" s="21" t="n">
        <v>742</v>
      </c>
      <c r="B720" s="21" t="inlineStr">
        <is>
          <t>The Shawshank Redemption</t>
        </is>
      </c>
      <c r="C720" s="21" t="n">
        <v>1994</v>
      </c>
      <c r="D720" s="21" t="inlineStr">
        <is>
          <t>USA</t>
        </is>
      </c>
      <c r="E720" s="21" t="n">
        <v>142</v>
      </c>
      <c r="F720" s="21" t="inlineStr">
        <is>
          <t>English</t>
        </is>
      </c>
      <c r="G720" s="21" t="inlineStr">
        <is>
          <t>R</t>
        </is>
      </c>
      <c r="H720" s="22" t="n">
        <v>28341469</v>
      </c>
      <c r="I720" s="22" t="n">
        <v>25000000</v>
      </c>
      <c r="J720" s="21">
        <f>IF(OR(H720="",H720=25529689.5),"Yes","No")</f>
        <v/>
      </c>
      <c r="K720" s="21">
        <f>IF(AND(D720="USA",C720&gt;=1980,J720="No"),"Yes","No")</f>
        <v/>
      </c>
      <c r="L720" s="26">
        <f>IF(J720="Yes","",H720-I720)</f>
        <v/>
      </c>
      <c r="M720" s="27">
        <f>IF(OR(J720="Yes",I720=0),"",H720/I720)</f>
        <v/>
      </c>
      <c r="N720" s="21">
        <f>IF(J720="Yes","",IF(H720&gt;=I720,1,0))</f>
        <v/>
      </c>
      <c r="O720" s="21">
        <f>IF(I720&lt;=5000000,"Under $5M",IF(I720&lt;=20000000,"$5M-20M",IF(I720&lt;=50000000,"$20M-50M",IF(I720&lt;=100000000,"$50M-100M","$100M+"))))</f>
        <v/>
      </c>
      <c r="P720" s="21">
        <f>IF(E720&lt;=90,"90 or less",IF(E720&lt;=105,"91-105",IF(E720&lt;=120,"106-120",IF(E720&lt;=140,"121-140","Over 140"))))</f>
        <v/>
      </c>
      <c r="Q720" s="28">
        <f>INT(C720/10)*10</f>
        <v/>
      </c>
    </row>
    <row r="721">
      <c r="A721" s="21" t="n">
        <v>743</v>
      </c>
      <c r="B721" s="21" t="inlineStr">
        <is>
          <t>The Specialist</t>
        </is>
      </c>
      <c r="C721" s="21" t="n">
        <v>1994</v>
      </c>
      <c r="D721" s="21" t="inlineStr">
        <is>
          <t>Peru</t>
        </is>
      </c>
      <c r="E721" s="21" t="n">
        <v>110</v>
      </c>
      <c r="F721" s="21" t="inlineStr">
        <is>
          <t>English</t>
        </is>
      </c>
      <c r="G721" s="21" t="inlineStr">
        <is>
          <t>R</t>
        </is>
      </c>
      <c r="H721" s="22" t="n">
        <v>57362581</v>
      </c>
      <c r="I721" s="22" t="n">
        <v>45000000</v>
      </c>
      <c r="J721" s="21">
        <f>IF(OR(H721="",H721=25529689.5),"Yes","No")</f>
        <v/>
      </c>
      <c r="K721" s="21">
        <f>IF(AND(D721="USA",C721&gt;=1980,J721="No"),"Yes","No")</f>
        <v/>
      </c>
      <c r="L721" s="26">
        <f>IF(J721="Yes","",H721-I721)</f>
        <v/>
      </c>
      <c r="M721" s="27">
        <f>IF(OR(J721="Yes",I721=0),"",H721/I721)</f>
        <v/>
      </c>
      <c r="N721" s="21">
        <f>IF(J721="Yes","",IF(H721&gt;=I721,1,0))</f>
        <v/>
      </c>
      <c r="O721" s="21">
        <f>IF(I721&lt;=5000000,"Under $5M",IF(I721&lt;=20000000,"$5M-20M",IF(I721&lt;=50000000,"$20M-50M",IF(I721&lt;=100000000,"$50M-100M","$100M+"))))</f>
        <v/>
      </c>
      <c r="P721" s="21">
        <f>IF(E721&lt;=90,"90 or less",IF(E721&lt;=105,"91-105",IF(E721&lt;=120,"106-120",IF(E721&lt;=140,"121-140","Over 140"))))</f>
        <v/>
      </c>
      <c r="Q721" s="28">
        <f>INT(C721/10)*10</f>
        <v/>
      </c>
    </row>
    <row r="722">
      <c r="A722" s="21" t="n">
        <v>744</v>
      </c>
      <c r="B722" s="21" t="inlineStr">
        <is>
          <t>There Goes My Baby</t>
        </is>
      </c>
      <c r="C722" s="21" t="n">
        <v>1994</v>
      </c>
      <c r="D722" s="21" t="inlineStr">
        <is>
          <t>USA</t>
        </is>
      </c>
      <c r="E722" s="21" t="n">
        <v>99</v>
      </c>
      <c r="F722" s="21" t="inlineStr">
        <is>
          <t>English</t>
        </is>
      </c>
      <c r="G722" s="21" t="inlineStr">
        <is>
          <t>R</t>
        </is>
      </c>
      <c r="H722" s="22" t="n">
        <v>125169</v>
      </c>
      <c r="I722" s="22" t="n">
        <v>10500000</v>
      </c>
      <c r="J722" s="21">
        <f>IF(OR(H722="",H722=25529689.5),"Yes","No")</f>
        <v/>
      </c>
      <c r="K722" s="21">
        <f>IF(AND(D722="USA",C722&gt;=1980,J722="No"),"Yes","No")</f>
        <v/>
      </c>
      <c r="L722" s="26">
        <f>IF(J722="Yes","",H722-I722)</f>
        <v/>
      </c>
      <c r="M722" s="27">
        <f>IF(OR(J722="Yes",I722=0),"",H722/I722)</f>
        <v/>
      </c>
      <c r="N722" s="21">
        <f>IF(J722="Yes","",IF(H722&gt;=I722,1,0))</f>
        <v/>
      </c>
      <c r="O722" s="21">
        <f>IF(I722&lt;=5000000,"Under $5M",IF(I722&lt;=20000000,"$5M-20M",IF(I722&lt;=50000000,"$20M-50M",IF(I722&lt;=100000000,"$50M-100M","$100M+"))))</f>
        <v/>
      </c>
      <c r="P722" s="21">
        <f>IF(E722&lt;=90,"90 or less",IF(E722&lt;=105,"91-105",IF(E722&lt;=120,"106-120",IF(E722&lt;=140,"121-140","Over 140"))))</f>
        <v/>
      </c>
      <c r="Q722" s="28">
        <f>INT(C722/10)*10</f>
        <v/>
      </c>
    </row>
    <row r="723">
      <c r="A723" s="21" t="n">
        <v>745</v>
      </c>
      <c r="B723" s="21" t="inlineStr">
        <is>
          <t>Timecop</t>
        </is>
      </c>
      <c r="C723" s="21" t="n">
        <v>1994</v>
      </c>
      <c r="D723" s="21" t="inlineStr">
        <is>
          <t>Canada</t>
        </is>
      </c>
      <c r="E723" s="21" t="n">
        <v>99</v>
      </c>
      <c r="F723" s="21" t="inlineStr">
        <is>
          <t>English</t>
        </is>
      </c>
      <c r="G723" s="21" t="inlineStr">
        <is>
          <t>R</t>
        </is>
      </c>
      <c r="H723" s="22" t="n">
        <v>44450000</v>
      </c>
      <c r="I723" s="22" t="n">
        <v>27000000</v>
      </c>
      <c r="J723" s="21">
        <f>IF(OR(H723="",H723=25529689.5),"Yes","No")</f>
        <v/>
      </c>
      <c r="K723" s="21">
        <f>IF(AND(D723="USA",C723&gt;=1980,J723="No"),"Yes","No")</f>
        <v/>
      </c>
      <c r="L723" s="26">
        <f>IF(J723="Yes","",H723-I723)</f>
        <v/>
      </c>
      <c r="M723" s="27">
        <f>IF(OR(J723="Yes",I723=0),"",H723/I723)</f>
        <v/>
      </c>
      <c r="N723" s="21">
        <f>IF(J723="Yes","",IF(H723&gt;=I723,1,0))</f>
        <v/>
      </c>
      <c r="O723" s="21">
        <f>IF(I723&lt;=5000000,"Under $5M",IF(I723&lt;=20000000,"$5M-20M",IF(I723&lt;=50000000,"$20M-50M",IF(I723&lt;=100000000,"$50M-100M","$100M+"))))</f>
        <v/>
      </c>
      <c r="P723" s="21">
        <f>IF(E723&lt;=90,"90 or less",IF(E723&lt;=105,"91-105",IF(E723&lt;=120,"106-120",IF(E723&lt;=140,"121-140","Over 140"))))</f>
        <v/>
      </c>
      <c r="Q723" s="28">
        <f>INT(C723/10)*10</f>
        <v/>
      </c>
    </row>
    <row r="724">
      <c r="A724" s="21" t="n">
        <v>746</v>
      </c>
      <c r="B724" s="21" t="inlineStr">
        <is>
          <t>True Lies</t>
        </is>
      </c>
      <c r="C724" s="21" t="n">
        <v>1994</v>
      </c>
      <c r="D724" s="21" t="inlineStr">
        <is>
          <t>USA</t>
        </is>
      </c>
      <c r="E724" s="21" t="n">
        <v>141</v>
      </c>
      <c r="F724" s="21" t="inlineStr">
        <is>
          <t>English</t>
        </is>
      </c>
      <c r="G724" s="21" t="inlineStr">
        <is>
          <t>R</t>
        </is>
      </c>
      <c r="H724" s="22" t="n">
        <v>146282411</v>
      </c>
      <c r="I724" s="22" t="n">
        <v>115000000</v>
      </c>
      <c r="J724" s="21">
        <f>IF(OR(H724="",H724=25529689.5),"Yes","No")</f>
        <v/>
      </c>
      <c r="K724" s="21">
        <f>IF(AND(D724="USA",C724&gt;=1980,J724="No"),"Yes","No")</f>
        <v/>
      </c>
      <c r="L724" s="26">
        <f>IF(J724="Yes","",H724-I724)</f>
        <v/>
      </c>
      <c r="M724" s="27">
        <f>IF(OR(J724="Yes",I724=0),"",H724/I724)</f>
        <v/>
      </c>
      <c r="N724" s="21">
        <f>IF(J724="Yes","",IF(H724&gt;=I724,1,0))</f>
        <v/>
      </c>
      <c r="O724" s="21">
        <f>IF(I724&lt;=5000000,"Under $5M",IF(I724&lt;=20000000,"$5M-20M",IF(I724&lt;=50000000,"$20M-50M",IF(I724&lt;=100000000,"$50M-100M","$100M+"))))</f>
        <v/>
      </c>
      <c r="P724" s="21">
        <f>IF(E724&lt;=90,"90 or less",IF(E724&lt;=105,"91-105",IF(E724&lt;=120,"106-120",IF(E724&lt;=140,"121-140","Over 140"))))</f>
        <v/>
      </c>
      <c r="Q724" s="28">
        <f>INT(C724/10)*10</f>
        <v/>
      </c>
    </row>
    <row r="725">
      <c r="A725" s="21" t="n">
        <v>747</v>
      </c>
      <c r="B725" s="21" t="inlineStr">
        <is>
          <t>Wolf</t>
        </is>
      </c>
      <c r="C725" s="21" t="n">
        <v>1994</v>
      </c>
      <c r="D725" s="21" t="inlineStr">
        <is>
          <t>USA</t>
        </is>
      </c>
      <c r="E725" s="21" t="n">
        <v>125</v>
      </c>
      <c r="F725" s="21" t="inlineStr">
        <is>
          <t>English</t>
        </is>
      </c>
      <c r="G725" s="21" t="inlineStr">
        <is>
          <t>R</t>
        </is>
      </c>
      <c r="H725" s="22" t="n">
        <v>65012000</v>
      </c>
      <c r="I725" s="22" t="n">
        <v>70000000</v>
      </c>
      <c r="J725" s="21">
        <f>IF(OR(H725="",H725=25529689.5),"Yes","No")</f>
        <v/>
      </c>
      <c r="K725" s="21">
        <f>IF(AND(D725="USA",C725&gt;=1980,J725="No"),"Yes","No")</f>
        <v/>
      </c>
      <c r="L725" s="26">
        <f>IF(J725="Yes","",H725-I725)</f>
        <v/>
      </c>
      <c r="M725" s="27">
        <f>IF(OR(J725="Yes",I725=0),"",H725/I725)</f>
        <v/>
      </c>
      <c r="N725" s="21">
        <f>IF(J725="Yes","",IF(H725&gt;=I725,1,0))</f>
        <v/>
      </c>
      <c r="O725" s="21">
        <f>IF(I725&lt;=5000000,"Under $5M",IF(I725&lt;=20000000,"$5M-20M",IF(I725&lt;=50000000,"$20M-50M",IF(I725&lt;=100000000,"$50M-100M","$100M+"))))</f>
        <v/>
      </c>
      <c r="P725" s="21">
        <f>IF(E725&lt;=90,"90 or less",IF(E725&lt;=105,"91-105",IF(E725&lt;=120,"106-120",IF(E725&lt;=140,"121-140","Over 140"))))</f>
        <v/>
      </c>
      <c r="Q725" s="28">
        <f>INT(C725/10)*10</f>
        <v/>
      </c>
    </row>
    <row r="726">
      <c r="A726" s="21" t="n">
        <v>748</v>
      </c>
      <c r="B726" s="21" t="inlineStr">
        <is>
          <t>Wyatt Earp</t>
        </is>
      </c>
      <c r="C726" s="21" t="n">
        <v>1994</v>
      </c>
      <c r="D726" s="21" t="inlineStr">
        <is>
          <t>USA</t>
        </is>
      </c>
      <c r="E726" s="21" t="n">
        <v>212</v>
      </c>
      <c r="F726" s="21" t="inlineStr">
        <is>
          <t>English</t>
        </is>
      </c>
      <c r="G726" s="21" t="inlineStr">
        <is>
          <t>PG-13</t>
        </is>
      </c>
      <c r="H726" s="22" t="n">
        <v>25052000</v>
      </c>
      <c r="I726" s="22" t="n">
        <v>63000000</v>
      </c>
      <c r="J726" s="21">
        <f>IF(OR(H726="",H726=25529689.5),"Yes","No")</f>
        <v/>
      </c>
      <c r="K726" s="21">
        <f>IF(AND(D726="USA",C726&gt;=1980,J726="No"),"Yes","No")</f>
        <v/>
      </c>
      <c r="L726" s="26">
        <f>IF(J726="Yes","",H726-I726)</f>
        <v/>
      </c>
      <c r="M726" s="27">
        <f>IF(OR(J726="Yes",I726=0),"",H726/I726)</f>
        <v/>
      </c>
      <c r="N726" s="21">
        <f>IF(J726="Yes","",IF(H726&gt;=I726,1,0))</f>
        <v/>
      </c>
      <c r="O726" s="21">
        <f>IF(I726&lt;=5000000,"Under $5M",IF(I726&lt;=20000000,"$5M-20M",IF(I726&lt;=50000000,"$20M-50M",IF(I726&lt;=100000000,"$50M-100M","$100M+"))))</f>
        <v/>
      </c>
      <c r="P726" s="21">
        <f>IF(E726&lt;=90,"90 or less",IF(E726&lt;=105,"91-105",IF(E726&lt;=120,"106-120",IF(E726&lt;=140,"121-140","Over 140"))))</f>
        <v/>
      </c>
      <c r="Q726" s="28">
        <f>INT(C726/10)*10</f>
        <v/>
      </c>
    </row>
    <row r="727">
      <c r="A727" s="21" t="n">
        <v>749</v>
      </c>
      <c r="B727" s="21" t="inlineStr">
        <is>
          <t>Ace Ventura: When Nature Calls</t>
        </is>
      </c>
      <c r="C727" s="21" t="n">
        <v>1995</v>
      </c>
      <c r="D727" s="21" t="inlineStr">
        <is>
          <t>USA</t>
        </is>
      </c>
      <c r="E727" s="21" t="n">
        <v>90</v>
      </c>
      <c r="F727" s="21" t="inlineStr">
        <is>
          <t>English</t>
        </is>
      </c>
      <c r="G727" s="21" t="inlineStr">
        <is>
          <t>PG-13</t>
        </is>
      </c>
      <c r="H727" s="22" t="n">
        <v>108360000</v>
      </c>
      <c r="I727" s="22" t="n">
        <v>30000000</v>
      </c>
      <c r="J727" s="21">
        <f>IF(OR(H727="",H727=25529689.5),"Yes","No")</f>
        <v/>
      </c>
      <c r="K727" s="21">
        <f>IF(AND(D727="USA",C727&gt;=1980,J727="No"),"Yes","No")</f>
        <v/>
      </c>
      <c r="L727" s="26">
        <f>IF(J727="Yes","",H727-I727)</f>
        <v/>
      </c>
      <c r="M727" s="27">
        <f>IF(OR(J727="Yes",I727=0),"",H727/I727)</f>
        <v/>
      </c>
      <c r="N727" s="21">
        <f>IF(J727="Yes","",IF(H727&gt;=I727,1,0))</f>
        <v/>
      </c>
      <c r="O727" s="21">
        <f>IF(I727&lt;=5000000,"Under $5M",IF(I727&lt;=20000000,"$5M-20M",IF(I727&lt;=50000000,"$20M-50M",IF(I727&lt;=100000000,"$50M-100M","$100M+"))))</f>
        <v/>
      </c>
      <c r="P727" s="21">
        <f>IF(E727&lt;=90,"90 or less",IF(E727&lt;=105,"91-105",IF(E727&lt;=120,"106-120",IF(E727&lt;=140,"121-140","Over 140"))))</f>
        <v/>
      </c>
      <c r="Q727" s="28">
        <f>INT(C727/10)*10</f>
        <v/>
      </c>
    </row>
    <row r="728">
      <c r="A728" s="21" t="n">
        <v>750</v>
      </c>
      <c r="B728" s="21" t="inlineStr">
        <is>
          <t>Apollo 13</t>
        </is>
      </c>
      <c r="C728" s="21" t="n">
        <v>1995</v>
      </c>
      <c r="D728" s="21" t="inlineStr">
        <is>
          <t>USA</t>
        </is>
      </c>
      <c r="E728" s="21" t="n">
        <v>140</v>
      </c>
      <c r="F728" s="21" t="inlineStr">
        <is>
          <t>English</t>
        </is>
      </c>
      <c r="G728" s="21" t="inlineStr">
        <is>
          <t>PG</t>
        </is>
      </c>
      <c r="H728" s="22" t="n">
        <v>172071312</v>
      </c>
      <c r="I728" s="22" t="n">
        <v>62000000</v>
      </c>
      <c r="J728" s="21">
        <f>IF(OR(H728="",H728=25529689.5),"Yes","No")</f>
        <v/>
      </c>
      <c r="K728" s="21">
        <f>IF(AND(D728="USA",C728&gt;=1980,J728="No"),"Yes","No")</f>
        <v/>
      </c>
      <c r="L728" s="26">
        <f>IF(J728="Yes","",H728-I728)</f>
        <v/>
      </c>
      <c r="M728" s="27">
        <f>IF(OR(J728="Yes",I728=0),"",H728/I728)</f>
        <v/>
      </c>
      <c r="N728" s="21">
        <f>IF(J728="Yes","",IF(H728&gt;=I728,1,0))</f>
        <v/>
      </c>
      <c r="O728" s="21">
        <f>IF(I728&lt;=5000000,"Under $5M",IF(I728&lt;=20000000,"$5M-20M",IF(I728&lt;=50000000,"$20M-50M",IF(I728&lt;=100000000,"$50M-100M","$100M+"))))</f>
        <v/>
      </c>
      <c r="P728" s="21">
        <f>IF(E728&lt;=90,"90 or less",IF(E728&lt;=105,"91-105",IF(E728&lt;=120,"106-120",IF(E728&lt;=140,"121-140","Over 140"))))</f>
        <v/>
      </c>
      <c r="Q728" s="28">
        <f>INT(C728/10)*10</f>
        <v/>
      </c>
    </row>
    <row r="729">
      <c r="A729" s="21" t="n">
        <v>751</v>
      </c>
      <c r="B729" s="21" t="inlineStr">
        <is>
          <t>Assassins</t>
        </is>
      </c>
      <c r="C729" s="21" t="n">
        <v>1995</v>
      </c>
      <c r="D729" s="21" t="inlineStr">
        <is>
          <t>France</t>
        </is>
      </c>
      <c r="E729" s="21" t="n">
        <v>132</v>
      </c>
      <c r="F729" s="21" t="inlineStr">
        <is>
          <t>English</t>
        </is>
      </c>
      <c r="G729" s="21" t="inlineStr">
        <is>
          <t>R</t>
        </is>
      </c>
      <c r="H729" s="22" t="n">
        <v>30306268</v>
      </c>
      <c r="I729" s="22" t="n">
        <v>50000000</v>
      </c>
      <c r="J729" s="21">
        <f>IF(OR(H729="",H729=25529689.5),"Yes","No")</f>
        <v/>
      </c>
      <c r="K729" s="21">
        <f>IF(AND(D729="USA",C729&gt;=1980,J729="No"),"Yes","No")</f>
        <v/>
      </c>
      <c r="L729" s="26">
        <f>IF(J729="Yes","",H729-I729)</f>
        <v/>
      </c>
      <c r="M729" s="27">
        <f>IF(OR(J729="Yes",I729=0),"",H729/I729)</f>
        <v/>
      </c>
      <c r="N729" s="21">
        <f>IF(J729="Yes","",IF(H729&gt;=I729,1,0))</f>
        <v/>
      </c>
      <c r="O729" s="21">
        <f>IF(I729&lt;=5000000,"Under $5M",IF(I729&lt;=20000000,"$5M-20M",IF(I729&lt;=50000000,"$20M-50M",IF(I729&lt;=100000000,"$50M-100M","$100M+"))))</f>
        <v/>
      </c>
      <c r="P729" s="21">
        <f>IF(E729&lt;=90,"90 or less",IF(E729&lt;=105,"91-105",IF(E729&lt;=120,"106-120",IF(E729&lt;=140,"121-140","Over 140"))))</f>
        <v/>
      </c>
      <c r="Q729" s="28">
        <f>INT(C729/10)*10</f>
        <v/>
      </c>
    </row>
    <row r="730">
      <c r="A730" s="21" t="n">
        <v>752</v>
      </c>
      <c r="B730" s="21" t="inlineStr">
        <is>
          <t>Babe</t>
        </is>
      </c>
      <c r="C730" s="21" t="n">
        <v>1995</v>
      </c>
      <c r="D730" s="21" t="inlineStr">
        <is>
          <t>Australia</t>
        </is>
      </c>
      <c r="E730" s="21" t="n">
        <v>91</v>
      </c>
      <c r="F730" s="21" t="inlineStr">
        <is>
          <t>English</t>
        </is>
      </c>
      <c r="G730" s="21" t="inlineStr">
        <is>
          <t>G</t>
        </is>
      </c>
      <c r="H730" s="22" t="n">
        <v>66600000</v>
      </c>
      <c r="I730" s="22" t="n">
        <v>30000000</v>
      </c>
      <c r="J730" s="21">
        <f>IF(OR(H730="",H730=25529689.5),"Yes","No")</f>
        <v/>
      </c>
      <c r="K730" s="21">
        <f>IF(AND(D730="USA",C730&gt;=1980,J730="No"),"Yes","No")</f>
        <v/>
      </c>
      <c r="L730" s="26">
        <f>IF(J730="Yes","",H730-I730)</f>
        <v/>
      </c>
      <c r="M730" s="27">
        <f>IF(OR(J730="Yes",I730=0),"",H730/I730)</f>
        <v/>
      </c>
      <c r="N730" s="21">
        <f>IF(J730="Yes","",IF(H730&gt;=I730,1,0))</f>
        <v/>
      </c>
      <c r="O730" s="21">
        <f>IF(I730&lt;=5000000,"Under $5M",IF(I730&lt;=20000000,"$5M-20M",IF(I730&lt;=50000000,"$20M-50M",IF(I730&lt;=100000000,"$50M-100M","$100M+"))))</f>
        <v/>
      </c>
      <c r="P730" s="21">
        <f>IF(E730&lt;=90,"90 or less",IF(E730&lt;=105,"91-105",IF(E730&lt;=120,"106-120",IF(E730&lt;=140,"121-140","Over 140"))))</f>
        <v/>
      </c>
      <c r="Q730" s="28">
        <f>INT(C730/10)*10</f>
        <v/>
      </c>
    </row>
    <row r="731">
      <c r="A731" s="21" t="n">
        <v>753</v>
      </c>
      <c r="B731" s="21" t="inlineStr">
        <is>
          <t>Bad Boys</t>
        </is>
      </c>
      <c r="C731" s="21" t="n">
        <v>1995</v>
      </c>
      <c r="D731" s="21" t="inlineStr">
        <is>
          <t>USA</t>
        </is>
      </c>
      <c r="E731" s="21" t="n">
        <v>119</v>
      </c>
      <c r="F731" s="21" t="inlineStr">
        <is>
          <t>English</t>
        </is>
      </c>
      <c r="G731" s="21" t="inlineStr">
        <is>
          <t>R</t>
        </is>
      </c>
      <c r="H731" s="22" t="n">
        <v>65807024</v>
      </c>
      <c r="I731" s="22" t="n">
        <v>19000000</v>
      </c>
      <c r="J731" s="21">
        <f>IF(OR(H731="",H731=25529689.5),"Yes","No")</f>
        <v/>
      </c>
      <c r="K731" s="21">
        <f>IF(AND(D731="USA",C731&gt;=1980,J731="No"),"Yes","No")</f>
        <v/>
      </c>
      <c r="L731" s="26">
        <f>IF(J731="Yes","",H731-I731)</f>
        <v/>
      </c>
      <c r="M731" s="27">
        <f>IF(OR(J731="Yes",I731=0),"",H731/I731)</f>
        <v/>
      </c>
      <c r="N731" s="21">
        <f>IF(J731="Yes","",IF(H731&gt;=I731,1,0))</f>
        <v/>
      </c>
      <c r="O731" s="21">
        <f>IF(I731&lt;=5000000,"Under $5M",IF(I731&lt;=20000000,"$5M-20M",IF(I731&lt;=50000000,"$20M-50M",IF(I731&lt;=100000000,"$50M-100M","$100M+"))))</f>
        <v/>
      </c>
      <c r="P731" s="21">
        <f>IF(E731&lt;=90,"90 or less",IF(E731&lt;=105,"91-105",IF(E731&lt;=120,"106-120",IF(E731&lt;=140,"121-140","Over 140"))))</f>
        <v/>
      </c>
      <c r="Q731" s="28">
        <f>INT(C731/10)*10</f>
        <v/>
      </c>
    </row>
    <row r="732">
      <c r="A732" s="21" t="n">
        <v>754</v>
      </c>
      <c r="B732" s="21" t="inlineStr">
        <is>
          <t>Bang</t>
        </is>
      </c>
      <c r="C732" s="21" t="n">
        <v>1995</v>
      </c>
      <c r="D732" s="21" t="inlineStr">
        <is>
          <t>USA</t>
        </is>
      </c>
      <c r="E732" s="21" t="n">
        <v>98</v>
      </c>
      <c r="F732" s="21" t="inlineStr">
        <is>
          <t>English</t>
        </is>
      </c>
      <c r="G732" s="21" t="n"/>
      <c r="H732" s="22" t="n">
        <v>25529689.5</v>
      </c>
      <c r="I732" s="22" t="n">
        <v>20000000</v>
      </c>
      <c r="J732" s="21">
        <f>IF(OR(H732="",H732=25529689.5),"Yes","No")</f>
        <v/>
      </c>
      <c r="K732" s="21">
        <f>IF(AND(D732="USA",C732&gt;=1980,J732="No"),"Yes","No")</f>
        <v/>
      </c>
      <c r="L732" s="26">
        <f>IF(J732="Yes","",H732-I732)</f>
        <v/>
      </c>
      <c r="M732" s="27">
        <f>IF(OR(J732="Yes",I732=0),"",H732/I732)</f>
        <v/>
      </c>
      <c r="N732" s="21">
        <f>IF(J732="Yes","",IF(H732&gt;=I732,1,0))</f>
        <v/>
      </c>
      <c r="O732" s="21">
        <f>IF(I732&lt;=5000000,"Under $5M",IF(I732&lt;=20000000,"$5M-20M",IF(I732&lt;=50000000,"$20M-50M",IF(I732&lt;=100000000,"$50M-100M","$100M+"))))</f>
        <v/>
      </c>
      <c r="P732" s="21">
        <f>IF(E732&lt;=90,"90 or less",IF(E732&lt;=105,"91-105",IF(E732&lt;=120,"106-120",IF(E732&lt;=140,"121-140","Over 140"))))</f>
        <v/>
      </c>
      <c r="Q732" s="28">
        <f>INT(C732/10)*10</f>
        <v/>
      </c>
    </row>
    <row r="733">
      <c r="A733" s="21" t="n">
        <v>755</v>
      </c>
      <c r="B733" s="21" t="inlineStr">
        <is>
          <t>Batman Forever</t>
        </is>
      </c>
      <c r="C733" s="21" t="n">
        <v>1995</v>
      </c>
      <c r="D733" s="21" t="inlineStr">
        <is>
          <t>USA</t>
        </is>
      </c>
      <c r="E733" s="21" t="n">
        <v>121</v>
      </c>
      <c r="F733" s="21" t="inlineStr">
        <is>
          <t>English</t>
        </is>
      </c>
      <c r="G733" s="21" t="inlineStr">
        <is>
          <t>PG-13</t>
        </is>
      </c>
      <c r="H733" s="22" t="n">
        <v>184031112</v>
      </c>
      <c r="I733" s="22" t="n">
        <v>100000000</v>
      </c>
      <c r="J733" s="21">
        <f>IF(OR(H733="",H733=25529689.5),"Yes","No")</f>
        <v/>
      </c>
      <c r="K733" s="21">
        <f>IF(AND(D733="USA",C733&gt;=1980,J733="No"),"Yes","No")</f>
        <v/>
      </c>
      <c r="L733" s="26">
        <f>IF(J733="Yes","",H733-I733)</f>
        <v/>
      </c>
      <c r="M733" s="27">
        <f>IF(OR(J733="Yes",I733=0),"",H733/I733)</f>
        <v/>
      </c>
      <c r="N733" s="21">
        <f>IF(J733="Yes","",IF(H733&gt;=I733,1,0))</f>
        <v/>
      </c>
      <c r="O733" s="21">
        <f>IF(I733&lt;=5000000,"Under $5M",IF(I733&lt;=20000000,"$5M-20M",IF(I733&lt;=50000000,"$20M-50M",IF(I733&lt;=100000000,"$50M-100M","$100M+"))))</f>
        <v/>
      </c>
      <c r="P733" s="21">
        <f>IF(E733&lt;=90,"90 or less",IF(E733&lt;=105,"91-105",IF(E733&lt;=120,"106-120",IF(E733&lt;=140,"121-140","Over 140"))))</f>
        <v/>
      </c>
      <c r="Q733" s="28">
        <f>INT(C733/10)*10</f>
        <v/>
      </c>
    </row>
    <row r="734">
      <c r="A734" s="21" t="n">
        <v>756</v>
      </c>
      <c r="B734" s="21" t="inlineStr">
        <is>
          <t>Before Sunrise</t>
        </is>
      </c>
      <c r="C734" s="21" t="n">
        <v>1995</v>
      </c>
      <c r="D734" s="21" t="inlineStr">
        <is>
          <t>USA</t>
        </is>
      </c>
      <c r="E734" s="21" t="n">
        <v>105</v>
      </c>
      <c r="F734" s="21" t="inlineStr">
        <is>
          <t>English</t>
        </is>
      </c>
      <c r="G734" s="21" t="inlineStr">
        <is>
          <t>R</t>
        </is>
      </c>
      <c r="H734" s="22" t="n">
        <v>5400000</v>
      </c>
      <c r="I734" s="22" t="n">
        <v>2500000</v>
      </c>
      <c r="J734" s="21">
        <f>IF(OR(H734="",H734=25529689.5),"Yes","No")</f>
        <v/>
      </c>
      <c r="K734" s="21">
        <f>IF(AND(D734="USA",C734&gt;=1980,J734="No"),"Yes","No")</f>
        <v/>
      </c>
      <c r="L734" s="26">
        <f>IF(J734="Yes","",H734-I734)</f>
        <v/>
      </c>
      <c r="M734" s="27">
        <f>IF(OR(J734="Yes",I734=0),"",H734/I734)</f>
        <v/>
      </c>
      <c r="N734" s="21">
        <f>IF(J734="Yes","",IF(H734&gt;=I734,1,0))</f>
        <v/>
      </c>
      <c r="O734" s="21">
        <f>IF(I734&lt;=5000000,"Under $5M",IF(I734&lt;=20000000,"$5M-20M",IF(I734&lt;=50000000,"$20M-50M",IF(I734&lt;=100000000,"$50M-100M","$100M+"))))</f>
        <v/>
      </c>
      <c r="P734" s="21">
        <f>IF(E734&lt;=90,"90 or less",IF(E734&lt;=105,"91-105",IF(E734&lt;=120,"106-120",IF(E734&lt;=140,"121-140","Over 140"))))</f>
        <v/>
      </c>
      <c r="Q734" s="28">
        <f>INT(C734/10)*10</f>
        <v/>
      </c>
    </row>
    <row r="735">
      <c r="A735" s="21" t="n">
        <v>757</v>
      </c>
      <c r="B735" s="21" t="inlineStr">
        <is>
          <t>Braveheart</t>
        </is>
      </c>
      <c r="C735" s="21" t="n">
        <v>1995</v>
      </c>
      <c r="D735" s="21" t="inlineStr">
        <is>
          <t>USA</t>
        </is>
      </c>
      <c r="E735" s="21" t="n">
        <v>178</v>
      </c>
      <c r="F735" s="21" t="inlineStr">
        <is>
          <t>English</t>
        </is>
      </c>
      <c r="G735" s="21" t="inlineStr">
        <is>
          <t>R</t>
        </is>
      </c>
      <c r="H735" s="22" t="n">
        <v>75600000</v>
      </c>
      <c r="I735" s="22" t="n">
        <v>72000000</v>
      </c>
      <c r="J735" s="21">
        <f>IF(OR(H735="",H735=25529689.5),"Yes","No")</f>
        <v/>
      </c>
      <c r="K735" s="21">
        <f>IF(AND(D735="USA",C735&gt;=1980,J735="No"),"Yes","No")</f>
        <v/>
      </c>
      <c r="L735" s="26">
        <f>IF(J735="Yes","",H735-I735)</f>
        <v/>
      </c>
      <c r="M735" s="27">
        <f>IF(OR(J735="Yes",I735=0),"",H735/I735)</f>
        <v/>
      </c>
      <c r="N735" s="21">
        <f>IF(J735="Yes","",IF(H735&gt;=I735,1,0))</f>
        <v/>
      </c>
      <c r="O735" s="21">
        <f>IF(I735&lt;=5000000,"Under $5M",IF(I735&lt;=20000000,"$5M-20M",IF(I735&lt;=50000000,"$20M-50M",IF(I735&lt;=100000000,"$50M-100M","$100M+"))))</f>
        <v/>
      </c>
      <c r="P735" s="21">
        <f>IF(E735&lt;=90,"90 or less",IF(E735&lt;=105,"91-105",IF(E735&lt;=120,"106-120",IF(E735&lt;=140,"121-140","Over 140"))))</f>
        <v/>
      </c>
      <c r="Q735" s="28">
        <f>INT(C735/10)*10</f>
        <v/>
      </c>
    </row>
    <row r="736">
      <c r="A736" s="21" t="n">
        <v>758</v>
      </c>
      <c r="B736" s="21" t="inlineStr">
        <is>
          <t>Casino</t>
        </is>
      </c>
      <c r="C736" s="21" t="n">
        <v>1995</v>
      </c>
      <c r="D736" s="21" t="inlineStr">
        <is>
          <t>USA</t>
        </is>
      </c>
      <c r="E736" s="21" t="n">
        <v>178</v>
      </c>
      <c r="F736" s="21" t="inlineStr">
        <is>
          <t>English</t>
        </is>
      </c>
      <c r="G736" s="21" t="inlineStr">
        <is>
          <t>R</t>
        </is>
      </c>
      <c r="H736" s="22" t="n">
        <v>42438300</v>
      </c>
      <c r="I736" s="22" t="n">
        <v>52000000</v>
      </c>
      <c r="J736" s="21">
        <f>IF(OR(H736="",H736=25529689.5),"Yes","No")</f>
        <v/>
      </c>
      <c r="K736" s="21">
        <f>IF(AND(D736="USA",C736&gt;=1980,J736="No"),"Yes","No")</f>
        <v/>
      </c>
      <c r="L736" s="26">
        <f>IF(J736="Yes","",H736-I736)</f>
        <v/>
      </c>
      <c r="M736" s="27">
        <f>IF(OR(J736="Yes",I736=0),"",H736/I736)</f>
        <v/>
      </c>
      <c r="N736" s="21">
        <f>IF(J736="Yes","",IF(H736&gt;=I736,1,0))</f>
        <v/>
      </c>
      <c r="O736" s="21">
        <f>IF(I736&lt;=5000000,"Under $5M",IF(I736&lt;=20000000,"$5M-20M",IF(I736&lt;=50000000,"$20M-50M",IF(I736&lt;=100000000,"$50M-100M","$100M+"))))</f>
        <v/>
      </c>
      <c r="P736" s="21">
        <f>IF(E736&lt;=90,"90 or less",IF(E736&lt;=105,"91-105",IF(E736&lt;=120,"106-120",IF(E736&lt;=140,"121-140","Over 140"))))</f>
        <v/>
      </c>
      <c r="Q736" s="28">
        <f>INT(C736/10)*10</f>
        <v/>
      </c>
    </row>
    <row r="737">
      <c r="A737" s="21" t="n">
        <v>759</v>
      </c>
      <c r="B737" s="21" t="inlineStr">
        <is>
          <t>Casper</t>
        </is>
      </c>
      <c r="C737" s="21" t="n">
        <v>1995</v>
      </c>
      <c r="D737" s="21" t="inlineStr">
        <is>
          <t>USA</t>
        </is>
      </c>
      <c r="E737" s="21" t="n">
        <v>100</v>
      </c>
      <c r="F737" s="21" t="inlineStr">
        <is>
          <t>English</t>
        </is>
      </c>
      <c r="G737" s="21" t="inlineStr">
        <is>
          <t>PG</t>
        </is>
      </c>
      <c r="H737" s="22" t="n">
        <v>100328194</v>
      </c>
      <c r="I737" s="22" t="n">
        <v>50000000</v>
      </c>
      <c r="J737" s="21">
        <f>IF(OR(H737="",H737=25529689.5),"Yes","No")</f>
        <v/>
      </c>
      <c r="K737" s="21">
        <f>IF(AND(D737="USA",C737&gt;=1980,J737="No"),"Yes","No")</f>
        <v/>
      </c>
      <c r="L737" s="26">
        <f>IF(J737="Yes","",H737-I737)</f>
        <v/>
      </c>
      <c r="M737" s="27">
        <f>IF(OR(J737="Yes",I737=0),"",H737/I737)</f>
        <v/>
      </c>
      <c r="N737" s="21">
        <f>IF(J737="Yes","",IF(H737&gt;=I737,1,0))</f>
        <v/>
      </c>
      <c r="O737" s="21">
        <f>IF(I737&lt;=5000000,"Under $5M",IF(I737&lt;=20000000,"$5M-20M",IF(I737&lt;=50000000,"$20M-50M",IF(I737&lt;=100000000,"$50M-100M","$100M+"))))</f>
        <v/>
      </c>
      <c r="P737" s="21">
        <f>IF(E737&lt;=90,"90 or less",IF(E737&lt;=105,"91-105",IF(E737&lt;=120,"106-120",IF(E737&lt;=140,"121-140","Over 140"))))</f>
        <v/>
      </c>
      <c r="Q737" s="28">
        <f>INT(C737/10)*10</f>
        <v/>
      </c>
    </row>
    <row r="738">
      <c r="A738" s="21" t="n">
        <v>760</v>
      </c>
      <c r="B738" s="21" t="inlineStr">
        <is>
          <t>Clueless</t>
        </is>
      </c>
      <c r="C738" s="21" t="n">
        <v>1995</v>
      </c>
      <c r="D738" s="21" t="inlineStr">
        <is>
          <t>USA</t>
        </is>
      </c>
      <c r="E738" s="21" t="n">
        <v>97</v>
      </c>
      <c r="F738" s="21" t="inlineStr">
        <is>
          <t>English</t>
        </is>
      </c>
      <c r="G738" s="21" t="inlineStr">
        <is>
          <t>PG-13</t>
        </is>
      </c>
      <c r="H738" s="22" t="n">
        <v>56631572</v>
      </c>
      <c r="I738" s="22" t="n">
        <v>12000000</v>
      </c>
      <c r="J738" s="21">
        <f>IF(OR(H738="",H738=25529689.5),"Yes","No")</f>
        <v/>
      </c>
      <c r="K738" s="21">
        <f>IF(AND(D738="USA",C738&gt;=1980,J738="No"),"Yes","No")</f>
        <v/>
      </c>
      <c r="L738" s="26">
        <f>IF(J738="Yes","",H738-I738)</f>
        <v/>
      </c>
      <c r="M738" s="27">
        <f>IF(OR(J738="Yes",I738=0),"",H738/I738)</f>
        <v/>
      </c>
      <c r="N738" s="21">
        <f>IF(J738="Yes","",IF(H738&gt;=I738,1,0))</f>
        <v/>
      </c>
      <c r="O738" s="21">
        <f>IF(I738&lt;=5000000,"Under $5M",IF(I738&lt;=20000000,"$5M-20M",IF(I738&lt;=50000000,"$20M-50M",IF(I738&lt;=100000000,"$50M-100M","$100M+"))))</f>
        <v/>
      </c>
      <c r="P738" s="21">
        <f>IF(E738&lt;=90,"90 or less",IF(E738&lt;=105,"91-105",IF(E738&lt;=120,"106-120",IF(E738&lt;=140,"121-140","Over 140"))))</f>
        <v/>
      </c>
      <c r="Q738" s="28">
        <f>INT(C738/10)*10</f>
        <v/>
      </c>
    </row>
    <row r="739">
      <c r="A739" s="21" t="n">
        <v>761</v>
      </c>
      <c r="B739" s="21" t="inlineStr">
        <is>
          <t>Congo</t>
        </is>
      </c>
      <c r="C739" s="21" t="n">
        <v>1995</v>
      </c>
      <c r="D739" s="21" t="inlineStr">
        <is>
          <t>USA</t>
        </is>
      </c>
      <c r="E739" s="21" t="n">
        <v>109</v>
      </c>
      <c r="F739" s="21" t="inlineStr">
        <is>
          <t>English</t>
        </is>
      </c>
      <c r="G739" s="21" t="inlineStr">
        <is>
          <t>PG-13</t>
        </is>
      </c>
      <c r="H739" s="22" t="n">
        <v>81022333</v>
      </c>
      <c r="I739" s="22" t="n">
        <v>50000000</v>
      </c>
      <c r="J739" s="21">
        <f>IF(OR(H739="",H739=25529689.5),"Yes","No")</f>
        <v/>
      </c>
      <c r="K739" s="21">
        <f>IF(AND(D739="USA",C739&gt;=1980,J739="No"),"Yes","No")</f>
        <v/>
      </c>
      <c r="L739" s="26">
        <f>IF(J739="Yes","",H739-I739)</f>
        <v/>
      </c>
      <c r="M739" s="27">
        <f>IF(OR(J739="Yes",I739=0),"",H739/I739)</f>
        <v/>
      </c>
      <c r="N739" s="21">
        <f>IF(J739="Yes","",IF(H739&gt;=I739,1,0))</f>
        <v/>
      </c>
      <c r="O739" s="21">
        <f>IF(I739&lt;=5000000,"Under $5M",IF(I739&lt;=20000000,"$5M-20M",IF(I739&lt;=50000000,"$20M-50M",IF(I739&lt;=100000000,"$50M-100M","$100M+"))))</f>
        <v/>
      </c>
      <c r="P739" s="21">
        <f>IF(E739&lt;=90,"90 or less",IF(E739&lt;=105,"91-105",IF(E739&lt;=120,"106-120",IF(E739&lt;=140,"121-140","Over 140"))))</f>
        <v/>
      </c>
      <c r="Q739" s="28">
        <f>INT(C739/10)*10</f>
        <v/>
      </c>
    </row>
    <row r="740">
      <c r="A740" s="21" t="n">
        <v>762</v>
      </c>
      <c r="B740" s="21" t="inlineStr">
        <is>
          <t>Copycat</t>
        </is>
      </c>
      <c r="C740" s="21" t="n">
        <v>1995</v>
      </c>
      <c r="D740" s="21" t="inlineStr">
        <is>
          <t>USA</t>
        </is>
      </c>
      <c r="E740" s="21" t="n">
        <v>123</v>
      </c>
      <c r="F740" s="21" t="inlineStr">
        <is>
          <t>English</t>
        </is>
      </c>
      <c r="G740" s="21" t="inlineStr">
        <is>
          <t>R</t>
        </is>
      </c>
      <c r="H740" s="22" t="n">
        <v>32051917</v>
      </c>
      <c r="I740" s="22" t="n">
        <v>20000000</v>
      </c>
      <c r="J740" s="21">
        <f>IF(OR(H740="",H740=25529689.5),"Yes","No")</f>
        <v/>
      </c>
      <c r="K740" s="21">
        <f>IF(AND(D740="USA",C740&gt;=1980,J740="No"),"Yes","No")</f>
        <v/>
      </c>
      <c r="L740" s="26">
        <f>IF(J740="Yes","",H740-I740)</f>
        <v/>
      </c>
      <c r="M740" s="27">
        <f>IF(OR(J740="Yes",I740=0),"",H740/I740)</f>
        <v/>
      </c>
      <c r="N740" s="21">
        <f>IF(J740="Yes","",IF(H740&gt;=I740,1,0))</f>
        <v/>
      </c>
      <c r="O740" s="21">
        <f>IF(I740&lt;=5000000,"Under $5M",IF(I740&lt;=20000000,"$5M-20M",IF(I740&lt;=50000000,"$20M-50M",IF(I740&lt;=100000000,"$50M-100M","$100M+"))))</f>
        <v/>
      </c>
      <c r="P740" s="21">
        <f>IF(E740&lt;=90,"90 or less",IF(E740&lt;=105,"91-105",IF(E740&lt;=120,"106-120",IF(E740&lt;=140,"121-140","Over 140"))))</f>
        <v/>
      </c>
      <c r="Q740" s="28">
        <f>INT(C740/10)*10</f>
        <v/>
      </c>
    </row>
    <row r="741">
      <c r="A741" s="21" t="n">
        <v>763</v>
      </c>
      <c r="B741" s="21" t="inlineStr">
        <is>
          <t>Crimson Tide</t>
        </is>
      </c>
      <c r="C741" s="21" t="n">
        <v>1995</v>
      </c>
      <c r="D741" s="21" t="inlineStr">
        <is>
          <t>USA</t>
        </is>
      </c>
      <c r="E741" s="21" t="n">
        <v>123</v>
      </c>
      <c r="F741" s="21" t="inlineStr">
        <is>
          <t>English</t>
        </is>
      </c>
      <c r="G741" s="21" t="inlineStr">
        <is>
          <t>R</t>
        </is>
      </c>
      <c r="H741" s="22" t="n">
        <v>91400000</v>
      </c>
      <c r="I741" s="22" t="n">
        <v>53000000</v>
      </c>
      <c r="J741" s="21">
        <f>IF(OR(H741="",H741=25529689.5),"Yes","No")</f>
        <v/>
      </c>
      <c r="K741" s="21">
        <f>IF(AND(D741="USA",C741&gt;=1980,J741="No"),"Yes","No")</f>
        <v/>
      </c>
      <c r="L741" s="26">
        <f>IF(J741="Yes","",H741-I741)</f>
        <v/>
      </c>
      <c r="M741" s="27">
        <f>IF(OR(J741="Yes",I741=0),"",H741/I741)</f>
        <v/>
      </c>
      <c r="N741" s="21">
        <f>IF(J741="Yes","",IF(H741&gt;=I741,1,0))</f>
        <v/>
      </c>
      <c r="O741" s="21">
        <f>IF(I741&lt;=5000000,"Under $5M",IF(I741&lt;=20000000,"$5M-20M",IF(I741&lt;=50000000,"$20M-50M",IF(I741&lt;=100000000,"$50M-100M","$100M+"))))</f>
        <v/>
      </c>
      <c r="P741" s="21">
        <f>IF(E741&lt;=90,"90 or less",IF(E741&lt;=105,"91-105",IF(E741&lt;=120,"106-120",IF(E741&lt;=140,"121-140","Over 140"))))</f>
        <v/>
      </c>
      <c r="Q741" s="28">
        <f>INT(C741/10)*10</f>
        <v/>
      </c>
    </row>
    <row r="742">
      <c r="A742" s="21" t="n">
        <v>764</v>
      </c>
      <c r="B742" s="21" t="inlineStr">
        <is>
          <t>Cutthroat Island</t>
        </is>
      </c>
      <c r="C742" s="21" t="n">
        <v>1995</v>
      </c>
      <c r="D742" s="21" t="inlineStr">
        <is>
          <t>USA</t>
        </is>
      </c>
      <c r="E742" s="21" t="n">
        <v>124</v>
      </c>
      <c r="F742" s="21" t="inlineStr">
        <is>
          <t>English</t>
        </is>
      </c>
      <c r="G742" s="21" t="inlineStr">
        <is>
          <t>PG-13</t>
        </is>
      </c>
      <c r="H742" s="22" t="n">
        <v>11000000</v>
      </c>
      <c r="I742" s="22" t="n">
        <v>98000000</v>
      </c>
      <c r="J742" s="21">
        <f>IF(OR(H742="",H742=25529689.5),"Yes","No")</f>
        <v/>
      </c>
      <c r="K742" s="21">
        <f>IF(AND(D742="USA",C742&gt;=1980,J742="No"),"Yes","No")</f>
        <v/>
      </c>
      <c r="L742" s="26">
        <f>IF(J742="Yes","",H742-I742)</f>
        <v/>
      </c>
      <c r="M742" s="27">
        <f>IF(OR(J742="Yes",I742=0),"",H742/I742)</f>
        <v/>
      </c>
      <c r="N742" s="21">
        <f>IF(J742="Yes","",IF(H742&gt;=I742,1,0))</f>
        <v/>
      </c>
      <c r="O742" s="21">
        <f>IF(I742&lt;=5000000,"Under $5M",IF(I742&lt;=20000000,"$5M-20M",IF(I742&lt;=50000000,"$20M-50M",IF(I742&lt;=100000000,"$50M-100M","$100M+"))))</f>
        <v/>
      </c>
      <c r="P742" s="21">
        <f>IF(E742&lt;=90,"90 or less",IF(E742&lt;=105,"91-105",IF(E742&lt;=120,"106-120",IF(E742&lt;=140,"121-140","Over 140"))))</f>
        <v/>
      </c>
      <c r="Q742" s="28">
        <f>INT(C742/10)*10</f>
        <v/>
      </c>
    </row>
    <row r="743">
      <c r="A743" s="21" t="n">
        <v>765</v>
      </c>
      <c r="B743" s="21" t="inlineStr">
        <is>
          <t>Dead Man Walking</t>
        </is>
      </c>
      <c r="C743" s="21" t="n">
        <v>1995</v>
      </c>
      <c r="D743" s="21" t="inlineStr">
        <is>
          <t>UK</t>
        </is>
      </c>
      <c r="E743" s="21" t="n">
        <v>122</v>
      </c>
      <c r="F743" s="21" t="inlineStr">
        <is>
          <t>English</t>
        </is>
      </c>
      <c r="G743" s="21" t="inlineStr">
        <is>
          <t>R</t>
        </is>
      </c>
      <c r="H743" s="22" t="n">
        <v>39025000</v>
      </c>
      <c r="I743" s="22" t="n">
        <v>11000000</v>
      </c>
      <c r="J743" s="21">
        <f>IF(OR(H743="",H743=25529689.5),"Yes","No")</f>
        <v/>
      </c>
      <c r="K743" s="21">
        <f>IF(AND(D743="USA",C743&gt;=1980,J743="No"),"Yes","No")</f>
        <v/>
      </c>
      <c r="L743" s="26">
        <f>IF(J743="Yes","",H743-I743)</f>
        <v/>
      </c>
      <c r="M743" s="27">
        <f>IF(OR(J743="Yes",I743=0),"",H743/I743)</f>
        <v/>
      </c>
      <c r="N743" s="21">
        <f>IF(J743="Yes","",IF(H743&gt;=I743,1,0))</f>
        <v/>
      </c>
      <c r="O743" s="21">
        <f>IF(I743&lt;=5000000,"Under $5M",IF(I743&lt;=20000000,"$5M-20M",IF(I743&lt;=50000000,"$20M-50M",IF(I743&lt;=100000000,"$50M-100M","$100M+"))))</f>
        <v/>
      </c>
      <c r="P743" s="21">
        <f>IF(E743&lt;=90,"90 or less",IF(E743&lt;=105,"91-105",IF(E743&lt;=120,"106-120",IF(E743&lt;=140,"121-140","Over 140"))))</f>
        <v/>
      </c>
      <c r="Q743" s="28">
        <f>INT(C743/10)*10</f>
        <v/>
      </c>
    </row>
    <row r="744">
      <c r="A744" s="21" t="n">
        <v>766</v>
      </c>
      <c r="B744" s="21" t="inlineStr">
        <is>
          <t>Desperado</t>
        </is>
      </c>
      <c r="C744" s="21" t="n">
        <v>1995</v>
      </c>
      <c r="D744" s="21" t="inlineStr">
        <is>
          <t>USA</t>
        </is>
      </c>
      <c r="E744" s="21" t="n">
        <v>104</v>
      </c>
      <c r="F744" s="21" t="inlineStr">
        <is>
          <t>English</t>
        </is>
      </c>
      <c r="G744" s="21" t="inlineStr">
        <is>
          <t>R</t>
        </is>
      </c>
      <c r="H744" s="22" t="n">
        <v>25625110</v>
      </c>
      <c r="I744" s="22" t="n">
        <v>7000000</v>
      </c>
      <c r="J744" s="21">
        <f>IF(OR(H744="",H744=25529689.5),"Yes","No")</f>
        <v/>
      </c>
      <c r="K744" s="21">
        <f>IF(AND(D744="USA",C744&gt;=1980,J744="No"),"Yes","No")</f>
        <v/>
      </c>
      <c r="L744" s="26">
        <f>IF(J744="Yes","",H744-I744)</f>
        <v/>
      </c>
      <c r="M744" s="27">
        <f>IF(OR(J744="Yes",I744=0),"",H744/I744)</f>
        <v/>
      </c>
      <c r="N744" s="21">
        <f>IF(J744="Yes","",IF(H744&gt;=I744,1,0))</f>
        <v/>
      </c>
      <c r="O744" s="21">
        <f>IF(I744&lt;=5000000,"Under $5M",IF(I744&lt;=20000000,"$5M-20M",IF(I744&lt;=50000000,"$20M-50M",IF(I744&lt;=100000000,"$50M-100M","$100M+"))))</f>
        <v/>
      </c>
      <c r="P744" s="21">
        <f>IF(E744&lt;=90,"90 or less",IF(E744&lt;=105,"91-105",IF(E744&lt;=120,"106-120",IF(E744&lt;=140,"121-140","Over 140"))))</f>
        <v/>
      </c>
      <c r="Q744" s="28">
        <f>INT(C744/10)*10</f>
        <v/>
      </c>
    </row>
    <row r="745">
      <c r="A745" s="21" t="n">
        <v>767</v>
      </c>
      <c r="B745" s="21" t="inlineStr">
        <is>
          <t>Die Hard with a Vengeance</t>
        </is>
      </c>
      <c r="C745" s="21" t="n">
        <v>1995</v>
      </c>
      <c r="D745" s="21" t="inlineStr">
        <is>
          <t>USA</t>
        </is>
      </c>
      <c r="E745" s="21" t="n">
        <v>128</v>
      </c>
      <c r="F745" s="21" t="inlineStr">
        <is>
          <t>English</t>
        </is>
      </c>
      <c r="G745" s="21" t="inlineStr">
        <is>
          <t>R</t>
        </is>
      </c>
      <c r="H745" s="22" t="n">
        <v>100012500</v>
      </c>
      <c r="I745" s="22" t="n">
        <v>90000000</v>
      </c>
      <c r="J745" s="21">
        <f>IF(OR(H745="",H745=25529689.5),"Yes","No")</f>
        <v/>
      </c>
      <c r="K745" s="21">
        <f>IF(AND(D745="USA",C745&gt;=1980,J745="No"),"Yes","No")</f>
        <v/>
      </c>
      <c r="L745" s="26">
        <f>IF(J745="Yes","",H745-I745)</f>
        <v/>
      </c>
      <c r="M745" s="27">
        <f>IF(OR(J745="Yes",I745=0),"",H745/I745)</f>
        <v/>
      </c>
      <c r="N745" s="21">
        <f>IF(J745="Yes","",IF(H745&gt;=I745,1,0))</f>
        <v/>
      </c>
      <c r="O745" s="21">
        <f>IF(I745&lt;=5000000,"Under $5M",IF(I745&lt;=20000000,"$5M-20M",IF(I745&lt;=50000000,"$20M-50M",IF(I745&lt;=100000000,"$50M-100M","$100M+"))))</f>
        <v/>
      </c>
      <c r="P745" s="21">
        <f>IF(E745&lt;=90,"90 or less",IF(E745&lt;=105,"91-105",IF(E745&lt;=120,"106-120",IF(E745&lt;=140,"121-140","Over 140"))))</f>
        <v/>
      </c>
      <c r="Q745" s="28">
        <f>INT(C745/10)*10</f>
        <v/>
      </c>
    </row>
    <row r="746">
      <c r="A746" s="21" t="n">
        <v>768</v>
      </c>
      <c r="B746" s="21" t="inlineStr">
        <is>
          <t>First Knight</t>
        </is>
      </c>
      <c r="C746" s="21" t="n">
        <v>1995</v>
      </c>
      <c r="D746" s="21" t="inlineStr">
        <is>
          <t>USA</t>
        </is>
      </c>
      <c r="E746" s="21" t="n">
        <v>134</v>
      </c>
      <c r="F746" s="21" t="inlineStr">
        <is>
          <t>English</t>
        </is>
      </c>
      <c r="G746" s="21" t="inlineStr">
        <is>
          <t>PG-13</t>
        </is>
      </c>
      <c r="H746" s="22" t="n">
        <v>37600435</v>
      </c>
      <c r="I746" s="22" t="n">
        <v>55000000</v>
      </c>
      <c r="J746" s="21">
        <f>IF(OR(H746="",H746=25529689.5),"Yes","No")</f>
        <v/>
      </c>
      <c r="K746" s="21">
        <f>IF(AND(D746="USA",C746&gt;=1980,J746="No"),"Yes","No")</f>
        <v/>
      </c>
      <c r="L746" s="26">
        <f>IF(J746="Yes","",H746-I746)</f>
        <v/>
      </c>
      <c r="M746" s="27">
        <f>IF(OR(J746="Yes",I746=0),"",H746/I746)</f>
        <v/>
      </c>
      <c r="N746" s="21">
        <f>IF(J746="Yes","",IF(H746&gt;=I746,1,0))</f>
        <v/>
      </c>
      <c r="O746" s="21">
        <f>IF(I746&lt;=5000000,"Under $5M",IF(I746&lt;=20000000,"$5M-20M",IF(I746&lt;=50000000,"$20M-50M",IF(I746&lt;=100000000,"$50M-100M","$100M+"))))</f>
        <v/>
      </c>
      <c r="P746" s="21">
        <f>IF(E746&lt;=90,"90 or less",IF(E746&lt;=105,"91-105",IF(E746&lt;=120,"106-120",IF(E746&lt;=140,"121-140","Over 140"))))</f>
        <v/>
      </c>
      <c r="Q746" s="28">
        <f>INT(C746/10)*10</f>
        <v/>
      </c>
    </row>
    <row r="747">
      <c r="A747" s="21" t="n">
        <v>769</v>
      </c>
      <c r="B747" s="21" t="inlineStr">
        <is>
          <t>Four Rooms</t>
        </is>
      </c>
      <c r="C747" s="21" t="n">
        <v>1995</v>
      </c>
      <c r="D747" s="21" t="inlineStr">
        <is>
          <t>USA</t>
        </is>
      </c>
      <c r="E747" s="21" t="n">
        <v>110</v>
      </c>
      <c r="F747" s="21" t="inlineStr">
        <is>
          <t>English</t>
        </is>
      </c>
      <c r="G747" s="21" t="inlineStr">
        <is>
          <t>R</t>
        </is>
      </c>
      <c r="H747" s="22" t="n">
        <v>4301331</v>
      </c>
      <c r="I747" s="22" t="n">
        <v>4000000</v>
      </c>
      <c r="J747" s="21">
        <f>IF(OR(H747="",H747=25529689.5),"Yes","No")</f>
        <v/>
      </c>
      <c r="K747" s="21">
        <f>IF(AND(D747="USA",C747&gt;=1980,J747="No"),"Yes","No")</f>
        <v/>
      </c>
      <c r="L747" s="26">
        <f>IF(J747="Yes","",H747-I747)</f>
        <v/>
      </c>
      <c r="M747" s="27">
        <f>IF(OR(J747="Yes",I747=0),"",H747/I747)</f>
        <v/>
      </c>
      <c r="N747" s="21">
        <f>IF(J747="Yes","",IF(H747&gt;=I747,1,0))</f>
        <v/>
      </c>
      <c r="O747" s="21">
        <f>IF(I747&lt;=5000000,"Under $5M",IF(I747&lt;=20000000,"$5M-20M",IF(I747&lt;=50000000,"$20M-50M",IF(I747&lt;=100000000,"$50M-100M","$100M+"))))</f>
        <v/>
      </c>
      <c r="P747" s="21">
        <f>IF(E747&lt;=90,"90 or less",IF(E747&lt;=105,"91-105",IF(E747&lt;=120,"106-120",IF(E747&lt;=140,"121-140","Over 140"))))</f>
        <v/>
      </c>
      <c r="Q747" s="28">
        <f>INT(C747/10)*10</f>
        <v/>
      </c>
    </row>
    <row r="748">
      <c r="A748" s="21" t="n">
        <v>770</v>
      </c>
      <c r="B748" s="21" t="inlineStr">
        <is>
          <t>Friday</t>
        </is>
      </c>
      <c r="C748" s="21" t="n">
        <v>1995</v>
      </c>
      <c r="D748" s="21" t="inlineStr">
        <is>
          <t>USA</t>
        </is>
      </c>
      <c r="E748" s="21" t="n">
        <v>97</v>
      </c>
      <c r="F748" s="21" t="inlineStr">
        <is>
          <t>English</t>
        </is>
      </c>
      <c r="G748" s="21" t="inlineStr">
        <is>
          <t>R</t>
        </is>
      </c>
      <c r="H748" s="22" t="n">
        <v>27900000</v>
      </c>
      <c r="I748" s="22" t="n">
        <v>3500000</v>
      </c>
      <c r="J748" s="21">
        <f>IF(OR(H748="",H748=25529689.5),"Yes","No")</f>
        <v/>
      </c>
      <c r="K748" s="21">
        <f>IF(AND(D748="USA",C748&gt;=1980,J748="No"),"Yes","No")</f>
        <v/>
      </c>
      <c r="L748" s="26">
        <f>IF(J748="Yes","",H748-I748)</f>
        <v/>
      </c>
      <c r="M748" s="27">
        <f>IF(OR(J748="Yes",I748=0),"",H748/I748)</f>
        <v/>
      </c>
      <c r="N748" s="21">
        <f>IF(J748="Yes","",IF(H748&gt;=I748,1,0))</f>
        <v/>
      </c>
      <c r="O748" s="21">
        <f>IF(I748&lt;=5000000,"Under $5M",IF(I748&lt;=20000000,"$5M-20M",IF(I748&lt;=50000000,"$20M-50M",IF(I748&lt;=100000000,"$50M-100M","$100M+"))))</f>
        <v/>
      </c>
      <c r="P748" s="21">
        <f>IF(E748&lt;=90,"90 or less",IF(E748&lt;=105,"91-105",IF(E748&lt;=120,"106-120",IF(E748&lt;=140,"121-140","Over 140"))))</f>
        <v/>
      </c>
      <c r="Q748" s="28">
        <f>INT(C748/10)*10</f>
        <v/>
      </c>
    </row>
    <row r="749">
      <c r="A749" s="21" t="n">
        <v>771</v>
      </c>
      <c r="B749" s="21" t="inlineStr">
        <is>
          <t>Get Shorty</t>
        </is>
      </c>
      <c r="C749" s="21" t="n">
        <v>1995</v>
      </c>
      <c r="D749" s="21" t="inlineStr">
        <is>
          <t>USA</t>
        </is>
      </c>
      <c r="E749" s="21" t="n">
        <v>105</v>
      </c>
      <c r="F749" s="21" t="inlineStr">
        <is>
          <t>English</t>
        </is>
      </c>
      <c r="G749" s="21" t="inlineStr">
        <is>
          <t>R</t>
        </is>
      </c>
      <c r="H749" s="22" t="n">
        <v>72077000</v>
      </c>
      <c r="I749" s="22" t="n">
        <v>30250000</v>
      </c>
      <c r="J749" s="21">
        <f>IF(OR(H749="",H749=25529689.5),"Yes","No")</f>
        <v/>
      </c>
      <c r="K749" s="21">
        <f>IF(AND(D749="USA",C749&gt;=1980,J749="No"),"Yes","No")</f>
        <v/>
      </c>
      <c r="L749" s="26">
        <f>IF(J749="Yes","",H749-I749)</f>
        <v/>
      </c>
      <c r="M749" s="27">
        <f>IF(OR(J749="Yes",I749=0),"",H749/I749)</f>
        <v/>
      </c>
      <c r="N749" s="21">
        <f>IF(J749="Yes","",IF(H749&gt;=I749,1,0))</f>
        <v/>
      </c>
      <c r="O749" s="21">
        <f>IF(I749&lt;=5000000,"Under $5M",IF(I749&lt;=20000000,"$5M-20M",IF(I749&lt;=50000000,"$20M-50M",IF(I749&lt;=100000000,"$50M-100M","$100M+"))))</f>
        <v/>
      </c>
      <c r="P749" s="21">
        <f>IF(E749&lt;=90,"90 or less",IF(E749&lt;=105,"91-105",IF(E749&lt;=120,"106-120",IF(E749&lt;=140,"121-140","Over 140"))))</f>
        <v/>
      </c>
      <c r="Q749" s="28">
        <f>INT(C749/10)*10</f>
        <v/>
      </c>
    </row>
    <row r="750">
      <c r="A750" s="21" t="n">
        <v>772</v>
      </c>
      <c r="B750" s="21" t="inlineStr">
        <is>
          <t>GoldenEye</t>
        </is>
      </c>
      <c r="C750" s="21" t="n">
        <v>1995</v>
      </c>
      <c r="D750" s="21" t="inlineStr">
        <is>
          <t>UK</t>
        </is>
      </c>
      <c r="E750" s="21" t="n">
        <v>130</v>
      </c>
      <c r="F750" s="21" t="inlineStr">
        <is>
          <t>English</t>
        </is>
      </c>
      <c r="G750" s="21" t="inlineStr">
        <is>
          <t>PG-13</t>
        </is>
      </c>
      <c r="H750" s="22" t="n">
        <v>106635996</v>
      </c>
      <c r="I750" s="22" t="n">
        <v>58000000</v>
      </c>
      <c r="J750" s="21">
        <f>IF(OR(H750="",H750=25529689.5),"Yes","No")</f>
        <v/>
      </c>
      <c r="K750" s="21">
        <f>IF(AND(D750="USA",C750&gt;=1980,J750="No"),"Yes","No")</f>
        <v/>
      </c>
      <c r="L750" s="26">
        <f>IF(J750="Yes","",H750-I750)</f>
        <v/>
      </c>
      <c r="M750" s="27">
        <f>IF(OR(J750="Yes",I750=0),"",H750/I750)</f>
        <v/>
      </c>
      <c r="N750" s="21">
        <f>IF(J750="Yes","",IF(H750&gt;=I750,1,0))</f>
        <v/>
      </c>
      <c r="O750" s="21">
        <f>IF(I750&lt;=5000000,"Under $5M",IF(I750&lt;=20000000,"$5M-20M",IF(I750&lt;=50000000,"$20M-50M",IF(I750&lt;=100000000,"$50M-100M","$100M+"))))</f>
        <v/>
      </c>
      <c r="P750" s="21">
        <f>IF(E750&lt;=90,"90 or less",IF(E750&lt;=105,"91-105",IF(E750&lt;=120,"106-120",IF(E750&lt;=140,"121-140","Over 140"))))</f>
        <v/>
      </c>
      <c r="Q750" s="28">
        <f>INT(C750/10)*10</f>
        <v/>
      </c>
    </row>
    <row r="751">
      <c r="A751" s="21" t="n">
        <v>773</v>
      </c>
      <c r="B751" s="21" t="inlineStr">
        <is>
          <t>Hackers</t>
        </is>
      </c>
      <c r="C751" s="21" t="n">
        <v>1995</v>
      </c>
      <c r="D751" s="21" t="inlineStr">
        <is>
          <t>USA</t>
        </is>
      </c>
      <c r="E751" s="21" t="n">
        <v>107</v>
      </c>
      <c r="F751" s="21" t="inlineStr">
        <is>
          <t>English</t>
        </is>
      </c>
      <c r="G751" s="21" t="inlineStr">
        <is>
          <t>PG-13</t>
        </is>
      </c>
      <c r="H751" s="22" t="n">
        <v>7564000</v>
      </c>
      <c r="I751" s="22" t="n">
        <v>20000000</v>
      </c>
      <c r="J751" s="21">
        <f>IF(OR(H751="",H751=25529689.5),"Yes","No")</f>
        <v/>
      </c>
      <c r="K751" s="21">
        <f>IF(AND(D751="USA",C751&gt;=1980,J751="No"),"Yes","No")</f>
        <v/>
      </c>
      <c r="L751" s="26">
        <f>IF(J751="Yes","",H751-I751)</f>
        <v/>
      </c>
      <c r="M751" s="27">
        <f>IF(OR(J751="Yes",I751=0),"",H751/I751)</f>
        <v/>
      </c>
      <c r="N751" s="21">
        <f>IF(J751="Yes","",IF(H751&gt;=I751,1,0))</f>
        <v/>
      </c>
      <c r="O751" s="21">
        <f>IF(I751&lt;=5000000,"Under $5M",IF(I751&lt;=20000000,"$5M-20M",IF(I751&lt;=50000000,"$20M-50M",IF(I751&lt;=100000000,"$50M-100M","$100M+"))))</f>
        <v/>
      </c>
      <c r="P751" s="21">
        <f>IF(E751&lt;=90,"90 or less",IF(E751&lt;=105,"91-105",IF(E751&lt;=120,"106-120",IF(E751&lt;=140,"121-140","Over 140"))))</f>
        <v/>
      </c>
      <c r="Q751" s="28">
        <f>INT(C751/10)*10</f>
        <v/>
      </c>
    </row>
    <row r="752">
      <c r="A752" s="21" t="n">
        <v>774</v>
      </c>
      <c r="B752" s="21" t="inlineStr">
        <is>
          <t>Halloween: The Curse of Michael Myers</t>
        </is>
      </c>
      <c r="C752" s="21" t="n">
        <v>1995</v>
      </c>
      <c r="D752" s="21" t="inlineStr">
        <is>
          <t>USA</t>
        </is>
      </c>
      <c r="E752" s="21" t="n">
        <v>93</v>
      </c>
      <c r="F752" s="21" t="inlineStr">
        <is>
          <t>English</t>
        </is>
      </c>
      <c r="G752" s="21" t="inlineStr">
        <is>
          <t>R</t>
        </is>
      </c>
      <c r="H752" s="22" t="n">
        <v>15126948</v>
      </c>
      <c r="I752" s="22" t="n">
        <v>5000000</v>
      </c>
      <c r="J752" s="21">
        <f>IF(OR(H752="",H752=25529689.5),"Yes","No")</f>
        <v/>
      </c>
      <c r="K752" s="21">
        <f>IF(AND(D752="USA",C752&gt;=1980,J752="No"),"Yes","No")</f>
        <v/>
      </c>
      <c r="L752" s="26">
        <f>IF(J752="Yes","",H752-I752)</f>
        <v/>
      </c>
      <c r="M752" s="27">
        <f>IF(OR(J752="Yes",I752=0),"",H752/I752)</f>
        <v/>
      </c>
      <c r="N752" s="21">
        <f>IF(J752="Yes","",IF(H752&gt;=I752,1,0))</f>
        <v/>
      </c>
      <c r="O752" s="21">
        <f>IF(I752&lt;=5000000,"Under $5M",IF(I752&lt;=20000000,"$5M-20M",IF(I752&lt;=50000000,"$20M-50M",IF(I752&lt;=100000000,"$50M-100M","$100M+"))))</f>
        <v/>
      </c>
      <c r="P752" s="21">
        <f>IF(E752&lt;=90,"90 or less",IF(E752&lt;=105,"91-105",IF(E752&lt;=120,"106-120",IF(E752&lt;=140,"121-140","Over 140"))))</f>
        <v/>
      </c>
      <c r="Q752" s="28">
        <f>INT(C752/10)*10</f>
        <v/>
      </c>
    </row>
    <row r="753">
      <c r="A753" s="21" t="n">
        <v>775</v>
      </c>
      <c r="B753" s="21" t="inlineStr">
        <is>
          <t>Home for the Holidays</t>
        </is>
      </c>
      <c r="C753" s="21" t="n">
        <v>1995</v>
      </c>
      <c r="D753" s="21" t="inlineStr">
        <is>
          <t>USA</t>
        </is>
      </c>
      <c r="E753" s="21" t="n">
        <v>103</v>
      </c>
      <c r="F753" s="21" t="inlineStr">
        <is>
          <t>English</t>
        </is>
      </c>
      <c r="G753" s="21" t="inlineStr">
        <is>
          <t>PG-13</t>
        </is>
      </c>
      <c r="H753" s="22" t="n">
        <v>17518220</v>
      </c>
      <c r="I753" s="22" t="n">
        <v>20000000</v>
      </c>
      <c r="J753" s="21">
        <f>IF(OR(H753="",H753=25529689.5),"Yes","No")</f>
        <v/>
      </c>
      <c r="K753" s="21">
        <f>IF(AND(D753="USA",C753&gt;=1980,J753="No"),"Yes","No")</f>
        <v/>
      </c>
      <c r="L753" s="26">
        <f>IF(J753="Yes","",H753-I753)</f>
        <v/>
      </c>
      <c r="M753" s="27">
        <f>IF(OR(J753="Yes",I753=0),"",H753/I753)</f>
        <v/>
      </c>
      <c r="N753" s="21">
        <f>IF(J753="Yes","",IF(H753&gt;=I753,1,0))</f>
        <v/>
      </c>
      <c r="O753" s="21">
        <f>IF(I753&lt;=5000000,"Under $5M",IF(I753&lt;=20000000,"$5M-20M",IF(I753&lt;=50000000,"$20M-50M",IF(I753&lt;=100000000,"$50M-100M","$100M+"))))</f>
        <v/>
      </c>
      <c r="P753" s="21">
        <f>IF(E753&lt;=90,"90 or less",IF(E753&lt;=105,"91-105",IF(E753&lt;=120,"106-120",IF(E753&lt;=140,"121-140","Over 140"))))</f>
        <v/>
      </c>
      <c r="Q753" s="28">
        <f>INT(C753/10)*10</f>
        <v/>
      </c>
    </row>
    <row r="754">
      <c r="A754" s="21" t="n">
        <v>776</v>
      </c>
      <c r="B754" s="21" t="inlineStr">
        <is>
          <t>Jade</t>
        </is>
      </c>
      <c r="C754" s="21" t="n">
        <v>1995</v>
      </c>
      <c r="D754" s="21" t="inlineStr">
        <is>
          <t>USA</t>
        </is>
      </c>
      <c r="E754" s="21" t="n">
        <v>107</v>
      </c>
      <c r="F754" s="21" t="inlineStr">
        <is>
          <t>English</t>
        </is>
      </c>
      <c r="G754" s="21" t="inlineStr">
        <is>
          <t>R</t>
        </is>
      </c>
      <c r="H754" s="22" t="n">
        <v>9795017</v>
      </c>
      <c r="I754" s="22" t="n">
        <v>50000000</v>
      </c>
      <c r="J754" s="21">
        <f>IF(OR(H754="",H754=25529689.5),"Yes","No")</f>
        <v/>
      </c>
      <c r="K754" s="21">
        <f>IF(AND(D754="USA",C754&gt;=1980,J754="No"),"Yes","No")</f>
        <v/>
      </c>
      <c r="L754" s="26">
        <f>IF(J754="Yes","",H754-I754)</f>
        <v/>
      </c>
      <c r="M754" s="27">
        <f>IF(OR(J754="Yes",I754=0),"",H754/I754)</f>
        <v/>
      </c>
      <c r="N754" s="21">
        <f>IF(J754="Yes","",IF(H754&gt;=I754,1,0))</f>
        <v/>
      </c>
      <c r="O754" s="21">
        <f>IF(I754&lt;=5000000,"Under $5M",IF(I754&lt;=20000000,"$5M-20M",IF(I754&lt;=50000000,"$20M-50M",IF(I754&lt;=100000000,"$50M-100M","$100M+"))))</f>
        <v/>
      </c>
      <c r="P754" s="21">
        <f>IF(E754&lt;=90,"90 or less",IF(E754&lt;=105,"91-105",IF(E754&lt;=120,"106-120",IF(E754&lt;=140,"121-140","Over 140"))))</f>
        <v/>
      </c>
      <c r="Q754" s="28">
        <f>INT(C754/10)*10</f>
        <v/>
      </c>
    </row>
    <row r="755">
      <c r="A755" s="21" t="n">
        <v>777</v>
      </c>
      <c r="B755" s="21" t="inlineStr">
        <is>
          <t>Jefferson in Paris</t>
        </is>
      </c>
      <c r="C755" s="21" t="n">
        <v>1995</v>
      </c>
      <c r="D755" s="21" t="inlineStr">
        <is>
          <t>France</t>
        </is>
      </c>
      <c r="E755" s="21" t="n">
        <v>139</v>
      </c>
      <c r="F755" s="21" t="inlineStr">
        <is>
          <t>English</t>
        </is>
      </c>
      <c r="G755" s="21" t="inlineStr">
        <is>
          <t>PG-13</t>
        </is>
      </c>
      <c r="H755" s="22" t="n">
        <v>2474000</v>
      </c>
      <c r="I755" s="22" t="n">
        <v>14000000</v>
      </c>
      <c r="J755" s="21">
        <f>IF(OR(H755="",H755=25529689.5),"Yes","No")</f>
        <v/>
      </c>
      <c r="K755" s="21">
        <f>IF(AND(D755="USA",C755&gt;=1980,J755="No"),"Yes","No")</f>
        <v/>
      </c>
      <c r="L755" s="26">
        <f>IF(J755="Yes","",H755-I755)</f>
        <v/>
      </c>
      <c r="M755" s="27">
        <f>IF(OR(J755="Yes",I755=0),"",H755/I755)</f>
        <v/>
      </c>
      <c r="N755" s="21">
        <f>IF(J755="Yes","",IF(H755&gt;=I755,1,0))</f>
        <v/>
      </c>
      <c r="O755" s="21">
        <f>IF(I755&lt;=5000000,"Under $5M",IF(I755&lt;=20000000,"$5M-20M",IF(I755&lt;=50000000,"$20M-50M",IF(I755&lt;=100000000,"$50M-100M","$100M+"))))</f>
        <v/>
      </c>
      <c r="P755" s="21">
        <f>IF(E755&lt;=90,"90 or less",IF(E755&lt;=105,"91-105",IF(E755&lt;=120,"106-120",IF(E755&lt;=140,"121-140","Over 140"))))</f>
        <v/>
      </c>
      <c r="Q755" s="28">
        <f>INT(C755/10)*10</f>
        <v/>
      </c>
    </row>
    <row r="756">
      <c r="A756" s="21" t="n">
        <v>778</v>
      </c>
      <c r="B756" s="21" t="inlineStr">
        <is>
          <t>Kids</t>
        </is>
      </c>
      <c r="C756" s="21" t="n">
        <v>1995</v>
      </c>
      <c r="D756" s="21" t="inlineStr">
        <is>
          <t>USA</t>
        </is>
      </c>
      <c r="E756" s="21" t="n">
        <v>91</v>
      </c>
      <c r="F756" s="21" t="inlineStr">
        <is>
          <t>English</t>
        </is>
      </c>
      <c r="G756" s="21" t="n"/>
      <c r="H756" s="22" t="n">
        <v>7417210</v>
      </c>
      <c r="I756" s="22" t="n">
        <v>1500000</v>
      </c>
      <c r="J756" s="21">
        <f>IF(OR(H756="",H756=25529689.5),"Yes","No")</f>
        <v/>
      </c>
      <c r="K756" s="21">
        <f>IF(AND(D756="USA",C756&gt;=1980,J756="No"),"Yes","No")</f>
        <v/>
      </c>
      <c r="L756" s="26">
        <f>IF(J756="Yes","",H756-I756)</f>
        <v/>
      </c>
      <c r="M756" s="27">
        <f>IF(OR(J756="Yes",I756=0),"",H756/I756)</f>
        <v/>
      </c>
      <c r="N756" s="21">
        <f>IF(J756="Yes","",IF(H756&gt;=I756,1,0))</f>
        <v/>
      </c>
      <c r="O756" s="21">
        <f>IF(I756&lt;=5000000,"Under $5M",IF(I756&lt;=20000000,"$5M-20M",IF(I756&lt;=50000000,"$20M-50M",IF(I756&lt;=100000000,"$50M-100M","$100M+"))))</f>
        <v/>
      </c>
      <c r="P756" s="21">
        <f>IF(E756&lt;=90,"90 or less",IF(E756&lt;=105,"91-105",IF(E756&lt;=120,"106-120",IF(E756&lt;=140,"121-140","Over 140"))))</f>
        <v/>
      </c>
      <c r="Q756" s="28">
        <f>INT(C756/10)*10</f>
        <v/>
      </c>
    </row>
    <row r="757">
      <c r="A757" s="21" t="n">
        <v>779</v>
      </c>
      <c r="B757" s="21" t="inlineStr">
        <is>
          <t>Kiss of Death</t>
        </is>
      </c>
      <c r="C757" s="21" t="n">
        <v>1995</v>
      </c>
      <c r="D757" s="21" t="inlineStr">
        <is>
          <t>USA</t>
        </is>
      </c>
      <c r="E757" s="21" t="n">
        <v>101</v>
      </c>
      <c r="F757" s="21" t="inlineStr">
        <is>
          <t>English</t>
        </is>
      </c>
      <c r="G757" s="21" t="inlineStr">
        <is>
          <t>R</t>
        </is>
      </c>
      <c r="H757" s="22" t="n">
        <v>14942422</v>
      </c>
      <c r="I757" s="22" t="n">
        <v>40000000</v>
      </c>
      <c r="J757" s="21">
        <f>IF(OR(H757="",H757=25529689.5),"Yes","No")</f>
        <v/>
      </c>
      <c r="K757" s="21">
        <f>IF(AND(D757="USA",C757&gt;=1980,J757="No"),"Yes","No")</f>
        <v/>
      </c>
      <c r="L757" s="26">
        <f>IF(J757="Yes","",H757-I757)</f>
        <v/>
      </c>
      <c r="M757" s="27">
        <f>IF(OR(J757="Yes",I757=0),"",H757/I757)</f>
        <v/>
      </c>
      <c r="N757" s="21">
        <f>IF(J757="Yes","",IF(H757&gt;=I757,1,0))</f>
        <v/>
      </c>
      <c r="O757" s="21">
        <f>IF(I757&lt;=5000000,"Under $5M",IF(I757&lt;=20000000,"$5M-20M",IF(I757&lt;=50000000,"$20M-50M",IF(I757&lt;=100000000,"$50M-100M","$100M+"))))</f>
        <v/>
      </c>
      <c r="P757" s="21">
        <f>IF(E757&lt;=90,"90 or less",IF(E757&lt;=105,"91-105",IF(E757&lt;=120,"106-120",IF(E757&lt;=140,"121-140","Over 140"))))</f>
        <v/>
      </c>
      <c r="Q757" s="28">
        <f>INT(C757/10)*10</f>
        <v/>
      </c>
    </row>
    <row r="758">
      <c r="A758" s="21" t="n">
        <v>780</v>
      </c>
      <c r="B758" s="21" t="inlineStr">
        <is>
          <t>Leaving Las Vegas</t>
        </is>
      </c>
      <c r="C758" s="21" t="n">
        <v>1995</v>
      </c>
      <c r="D758" s="21" t="inlineStr">
        <is>
          <t>USA</t>
        </is>
      </c>
      <c r="E758" s="21" t="n">
        <v>111</v>
      </c>
      <c r="F758" s="21" t="inlineStr">
        <is>
          <t>English</t>
        </is>
      </c>
      <c r="G758" s="21" t="inlineStr">
        <is>
          <t>R</t>
        </is>
      </c>
      <c r="H758" s="22" t="n">
        <v>31968347</v>
      </c>
      <c r="I758" s="22" t="n">
        <v>3600000</v>
      </c>
      <c r="J758" s="21">
        <f>IF(OR(H758="",H758=25529689.5),"Yes","No")</f>
        <v/>
      </c>
      <c r="K758" s="21">
        <f>IF(AND(D758="USA",C758&gt;=1980,J758="No"),"Yes","No")</f>
        <v/>
      </c>
      <c r="L758" s="26">
        <f>IF(J758="Yes","",H758-I758)</f>
        <v/>
      </c>
      <c r="M758" s="27">
        <f>IF(OR(J758="Yes",I758=0),"",H758/I758)</f>
        <v/>
      </c>
      <c r="N758" s="21">
        <f>IF(J758="Yes","",IF(H758&gt;=I758,1,0))</f>
        <v/>
      </c>
      <c r="O758" s="21">
        <f>IF(I758&lt;=5000000,"Under $5M",IF(I758&lt;=20000000,"$5M-20M",IF(I758&lt;=50000000,"$20M-50M",IF(I758&lt;=100000000,"$50M-100M","$100M+"))))</f>
        <v/>
      </c>
      <c r="P758" s="21">
        <f>IF(E758&lt;=90,"90 or less",IF(E758&lt;=105,"91-105",IF(E758&lt;=120,"106-120",IF(E758&lt;=140,"121-140","Over 140"))))</f>
        <v/>
      </c>
      <c r="Q758" s="28">
        <f>INT(C758/10)*10</f>
        <v/>
      </c>
    </row>
    <row r="759">
      <c r="A759" s="21" t="n">
        <v>781</v>
      </c>
      <c r="B759" s="21" t="inlineStr">
        <is>
          <t>Mallrats</t>
        </is>
      </c>
      <c r="C759" s="21" t="n">
        <v>1995</v>
      </c>
      <c r="D759" s="21" t="inlineStr">
        <is>
          <t>USA</t>
        </is>
      </c>
      <c r="E759" s="21" t="n">
        <v>123</v>
      </c>
      <c r="F759" s="21" t="inlineStr">
        <is>
          <t>English</t>
        </is>
      </c>
      <c r="G759" s="21" t="inlineStr">
        <is>
          <t>R</t>
        </is>
      </c>
      <c r="H759" s="22" t="n">
        <v>2122561</v>
      </c>
      <c r="I759" s="22" t="n">
        <v>6000000</v>
      </c>
      <c r="J759" s="21">
        <f>IF(OR(H759="",H759=25529689.5),"Yes","No")</f>
        <v/>
      </c>
      <c r="K759" s="21">
        <f>IF(AND(D759="USA",C759&gt;=1980,J759="No"),"Yes","No")</f>
        <v/>
      </c>
      <c r="L759" s="26">
        <f>IF(J759="Yes","",H759-I759)</f>
        <v/>
      </c>
      <c r="M759" s="27">
        <f>IF(OR(J759="Yes",I759=0),"",H759/I759)</f>
        <v/>
      </c>
      <c r="N759" s="21">
        <f>IF(J759="Yes","",IF(H759&gt;=I759,1,0))</f>
        <v/>
      </c>
      <c r="O759" s="21">
        <f>IF(I759&lt;=5000000,"Under $5M",IF(I759&lt;=20000000,"$5M-20M",IF(I759&lt;=50000000,"$20M-50M",IF(I759&lt;=100000000,"$50M-100M","$100M+"))))</f>
        <v/>
      </c>
      <c r="P759" s="21">
        <f>IF(E759&lt;=90,"90 or less",IF(E759&lt;=105,"91-105",IF(E759&lt;=120,"106-120",IF(E759&lt;=140,"121-140","Over 140"))))</f>
        <v/>
      </c>
      <c r="Q759" s="28">
        <f>INT(C759/10)*10</f>
        <v/>
      </c>
    </row>
    <row r="760">
      <c r="A760" s="21" t="n">
        <v>782</v>
      </c>
      <c r="B760" s="21" t="inlineStr">
        <is>
          <t>Money Train</t>
        </is>
      </c>
      <c r="C760" s="21" t="n">
        <v>1995</v>
      </c>
      <c r="D760" s="21" t="inlineStr">
        <is>
          <t>USA</t>
        </is>
      </c>
      <c r="E760" s="21" t="n">
        <v>105</v>
      </c>
      <c r="F760" s="21" t="inlineStr">
        <is>
          <t>English</t>
        </is>
      </c>
      <c r="G760" s="21" t="inlineStr">
        <is>
          <t>R</t>
        </is>
      </c>
      <c r="H760" s="22" t="n">
        <v>35324232</v>
      </c>
      <c r="I760" s="22" t="n">
        <v>68000000</v>
      </c>
      <c r="J760" s="21">
        <f>IF(OR(H760="",H760=25529689.5),"Yes","No")</f>
        <v/>
      </c>
      <c r="K760" s="21">
        <f>IF(AND(D760="USA",C760&gt;=1980,J760="No"),"Yes","No")</f>
        <v/>
      </c>
      <c r="L760" s="26">
        <f>IF(J760="Yes","",H760-I760)</f>
        <v/>
      </c>
      <c r="M760" s="27">
        <f>IF(OR(J760="Yes",I760=0),"",H760/I760)</f>
        <v/>
      </c>
      <c r="N760" s="21">
        <f>IF(J760="Yes","",IF(H760&gt;=I760,1,0))</f>
        <v/>
      </c>
      <c r="O760" s="21">
        <f>IF(I760&lt;=5000000,"Under $5M",IF(I760&lt;=20000000,"$5M-20M",IF(I760&lt;=50000000,"$20M-50M",IF(I760&lt;=100000000,"$50M-100M","$100M+"))))</f>
        <v/>
      </c>
      <c r="P760" s="21">
        <f>IF(E760&lt;=90,"90 or less",IF(E760&lt;=105,"91-105",IF(E760&lt;=120,"106-120",IF(E760&lt;=140,"121-140","Over 140"))))</f>
        <v/>
      </c>
      <c r="Q760" s="28">
        <f>INT(C760/10)*10</f>
        <v/>
      </c>
    </row>
    <row r="761">
      <c r="A761" s="21" t="n">
        <v>783</v>
      </c>
      <c r="B761" s="21" t="inlineStr">
        <is>
          <t>Mortal Kombat</t>
        </is>
      </c>
      <c r="C761" s="21" t="n">
        <v>1995</v>
      </c>
      <c r="D761" s="21" t="inlineStr">
        <is>
          <t>USA</t>
        </is>
      </c>
      <c r="E761" s="21" t="n">
        <v>101</v>
      </c>
      <c r="F761" s="21" t="inlineStr">
        <is>
          <t>English</t>
        </is>
      </c>
      <c r="G761" s="21" t="inlineStr">
        <is>
          <t>PG-13</t>
        </is>
      </c>
      <c r="H761" s="22" t="n">
        <v>70360285</v>
      </c>
      <c r="I761" s="22" t="n">
        <v>18000000</v>
      </c>
      <c r="J761" s="21">
        <f>IF(OR(H761="",H761=25529689.5),"Yes","No")</f>
        <v/>
      </c>
      <c r="K761" s="21">
        <f>IF(AND(D761="USA",C761&gt;=1980,J761="No"),"Yes","No")</f>
        <v/>
      </c>
      <c r="L761" s="26">
        <f>IF(J761="Yes","",H761-I761)</f>
        <v/>
      </c>
      <c r="M761" s="27">
        <f>IF(OR(J761="Yes",I761=0),"",H761/I761)</f>
        <v/>
      </c>
      <c r="N761" s="21">
        <f>IF(J761="Yes","",IF(H761&gt;=I761,1,0))</f>
        <v/>
      </c>
      <c r="O761" s="21">
        <f>IF(I761&lt;=5000000,"Under $5M",IF(I761&lt;=20000000,"$5M-20M",IF(I761&lt;=50000000,"$20M-50M",IF(I761&lt;=100000000,"$50M-100M","$100M+"))))</f>
        <v/>
      </c>
      <c r="P761" s="21">
        <f>IF(E761&lt;=90,"90 or less",IF(E761&lt;=105,"91-105",IF(E761&lt;=120,"106-120",IF(E761&lt;=140,"121-140","Over 140"))))</f>
        <v/>
      </c>
      <c r="Q761" s="28">
        <f>INT(C761/10)*10</f>
        <v/>
      </c>
    </row>
    <row r="762">
      <c r="A762" s="21" t="n">
        <v>784</v>
      </c>
      <c r="B762" s="21" t="inlineStr">
        <is>
          <t>Mr. Holland's Opus</t>
        </is>
      </c>
      <c r="C762" s="21" t="n">
        <v>1995</v>
      </c>
      <c r="D762" s="21" t="inlineStr">
        <is>
          <t>USA</t>
        </is>
      </c>
      <c r="E762" s="21" t="n">
        <v>143</v>
      </c>
      <c r="F762" s="21" t="inlineStr">
        <is>
          <t>English</t>
        </is>
      </c>
      <c r="G762" s="21" t="inlineStr">
        <is>
          <t>PG</t>
        </is>
      </c>
      <c r="H762" s="22" t="n">
        <v>82528097</v>
      </c>
      <c r="I762" s="22" t="n">
        <v>6500000</v>
      </c>
      <c r="J762" s="21">
        <f>IF(OR(H762="",H762=25529689.5),"Yes","No")</f>
        <v/>
      </c>
      <c r="K762" s="21">
        <f>IF(AND(D762="USA",C762&gt;=1980,J762="No"),"Yes","No")</f>
        <v/>
      </c>
      <c r="L762" s="26">
        <f>IF(J762="Yes","",H762-I762)</f>
        <v/>
      </c>
      <c r="M762" s="27">
        <f>IF(OR(J762="Yes",I762=0),"",H762/I762)</f>
        <v/>
      </c>
      <c r="N762" s="21">
        <f>IF(J762="Yes","",IF(H762&gt;=I762,1,0))</f>
        <v/>
      </c>
      <c r="O762" s="21">
        <f>IF(I762&lt;=5000000,"Under $5M",IF(I762&lt;=20000000,"$5M-20M",IF(I762&lt;=50000000,"$20M-50M",IF(I762&lt;=100000000,"$50M-100M","$100M+"))))</f>
        <v/>
      </c>
      <c r="P762" s="21">
        <f>IF(E762&lt;=90,"90 or less",IF(E762&lt;=105,"91-105",IF(E762&lt;=120,"106-120",IF(E762&lt;=140,"121-140","Over 140"))))</f>
        <v/>
      </c>
      <c r="Q762" s="28">
        <f>INT(C762/10)*10</f>
        <v/>
      </c>
    </row>
    <row r="763">
      <c r="A763" s="21" t="n">
        <v>785</v>
      </c>
      <c r="B763" s="21" t="inlineStr">
        <is>
          <t>Nixon</t>
        </is>
      </c>
      <c r="C763" s="21" t="n">
        <v>1995</v>
      </c>
      <c r="D763" s="21" t="inlineStr">
        <is>
          <t>USA</t>
        </is>
      </c>
      <c r="E763" s="21" t="n">
        <v>212</v>
      </c>
      <c r="F763" s="21" t="inlineStr">
        <is>
          <t>English</t>
        </is>
      </c>
      <c r="G763" s="21" t="inlineStr">
        <is>
          <t>R</t>
        </is>
      </c>
      <c r="H763" s="22" t="n">
        <v>13560960</v>
      </c>
      <c r="I763" s="22" t="n">
        <v>50000000</v>
      </c>
      <c r="J763" s="21">
        <f>IF(OR(H763="",H763=25529689.5),"Yes","No")</f>
        <v/>
      </c>
      <c r="K763" s="21">
        <f>IF(AND(D763="USA",C763&gt;=1980,J763="No"),"Yes","No")</f>
        <v/>
      </c>
      <c r="L763" s="26">
        <f>IF(J763="Yes","",H763-I763)</f>
        <v/>
      </c>
      <c r="M763" s="27">
        <f>IF(OR(J763="Yes",I763=0),"",H763/I763)</f>
        <v/>
      </c>
      <c r="N763" s="21">
        <f>IF(J763="Yes","",IF(H763&gt;=I763,1,0))</f>
        <v/>
      </c>
      <c r="O763" s="21">
        <f>IF(I763&lt;=5000000,"Under $5M",IF(I763&lt;=20000000,"$5M-20M",IF(I763&lt;=50000000,"$20M-50M",IF(I763&lt;=100000000,"$50M-100M","$100M+"))))</f>
        <v/>
      </c>
      <c r="P763" s="21">
        <f>IF(E763&lt;=90,"90 or less",IF(E763&lt;=105,"91-105",IF(E763&lt;=120,"106-120",IF(E763&lt;=140,"121-140","Over 140"))))</f>
        <v/>
      </c>
      <c r="Q763" s="28">
        <f>INT(C763/10)*10</f>
        <v/>
      </c>
    </row>
    <row r="764">
      <c r="A764" s="21" t="n">
        <v>786</v>
      </c>
      <c r="B764" s="21" t="inlineStr">
        <is>
          <t>Outbreak</t>
        </is>
      </c>
      <c r="C764" s="21" t="n">
        <v>1995</v>
      </c>
      <c r="D764" s="21" t="inlineStr">
        <is>
          <t>USA</t>
        </is>
      </c>
      <c r="E764" s="21" t="n">
        <v>127</v>
      </c>
      <c r="F764" s="21" t="inlineStr">
        <is>
          <t>English</t>
        </is>
      </c>
      <c r="G764" s="21" t="inlineStr">
        <is>
          <t>R</t>
        </is>
      </c>
      <c r="H764" s="22" t="n">
        <v>67823573</v>
      </c>
      <c r="I764" s="22" t="n">
        <v>50000000</v>
      </c>
      <c r="J764" s="21">
        <f>IF(OR(H764="",H764=25529689.5),"Yes","No")</f>
        <v/>
      </c>
      <c r="K764" s="21">
        <f>IF(AND(D764="USA",C764&gt;=1980,J764="No"),"Yes","No")</f>
        <v/>
      </c>
      <c r="L764" s="26">
        <f>IF(J764="Yes","",H764-I764)</f>
        <v/>
      </c>
      <c r="M764" s="27">
        <f>IF(OR(J764="Yes",I764=0),"",H764/I764)</f>
        <v/>
      </c>
      <c r="N764" s="21">
        <f>IF(J764="Yes","",IF(H764&gt;=I764,1,0))</f>
        <v/>
      </c>
      <c r="O764" s="21">
        <f>IF(I764&lt;=5000000,"Under $5M",IF(I764&lt;=20000000,"$5M-20M",IF(I764&lt;=50000000,"$20M-50M",IF(I764&lt;=100000000,"$50M-100M","$100M+"))))</f>
        <v/>
      </c>
      <c r="P764" s="21">
        <f>IF(E764&lt;=90,"90 or less",IF(E764&lt;=105,"91-105",IF(E764&lt;=120,"106-120",IF(E764&lt;=140,"121-140","Over 140"))))</f>
        <v/>
      </c>
      <c r="Q764" s="28">
        <f>INT(C764/10)*10</f>
        <v/>
      </c>
    </row>
    <row r="765">
      <c r="A765" s="21" t="n">
        <v>787</v>
      </c>
      <c r="B765" s="21" t="inlineStr">
        <is>
          <t>Pocahontas</t>
        </is>
      </c>
      <c r="C765" s="21" t="n">
        <v>1995</v>
      </c>
      <c r="D765" s="21" t="inlineStr">
        <is>
          <t>USA</t>
        </is>
      </c>
      <c r="E765" s="21" t="n">
        <v>84</v>
      </c>
      <c r="F765" s="21" t="inlineStr">
        <is>
          <t>English</t>
        </is>
      </c>
      <c r="G765" s="21" t="inlineStr">
        <is>
          <t>G</t>
        </is>
      </c>
      <c r="H765" s="22" t="n">
        <v>141600000</v>
      </c>
      <c r="I765" s="22" t="n">
        <v>55000000</v>
      </c>
      <c r="J765" s="21">
        <f>IF(OR(H765="",H765=25529689.5),"Yes","No")</f>
        <v/>
      </c>
      <c r="K765" s="21">
        <f>IF(AND(D765="USA",C765&gt;=1980,J765="No"),"Yes","No")</f>
        <v/>
      </c>
      <c r="L765" s="26">
        <f>IF(J765="Yes","",H765-I765)</f>
        <v/>
      </c>
      <c r="M765" s="27">
        <f>IF(OR(J765="Yes",I765=0),"",H765/I765)</f>
        <v/>
      </c>
      <c r="N765" s="21">
        <f>IF(J765="Yes","",IF(H765&gt;=I765,1,0))</f>
        <v/>
      </c>
      <c r="O765" s="21">
        <f>IF(I765&lt;=5000000,"Under $5M",IF(I765&lt;=20000000,"$5M-20M",IF(I765&lt;=50000000,"$20M-50M",IF(I765&lt;=100000000,"$50M-100M","$100M+"))))</f>
        <v/>
      </c>
      <c r="P765" s="21">
        <f>IF(E765&lt;=90,"90 or less",IF(E765&lt;=105,"91-105",IF(E765&lt;=120,"106-120",IF(E765&lt;=140,"121-140","Over 140"))))</f>
        <v/>
      </c>
      <c r="Q765" s="28">
        <f>INT(C765/10)*10</f>
        <v/>
      </c>
    </row>
    <row r="766">
      <c r="A766" s="21" t="n">
        <v>788</v>
      </c>
      <c r="B766" s="21" t="inlineStr">
        <is>
          <t>Richard III</t>
        </is>
      </c>
      <c r="C766" s="21" t="n">
        <v>1995</v>
      </c>
      <c r="D766" s="21" t="inlineStr">
        <is>
          <t>UK</t>
        </is>
      </c>
      <c r="E766" s="21" t="n">
        <v>104</v>
      </c>
      <c r="F766" s="21" t="inlineStr">
        <is>
          <t>English</t>
        </is>
      </c>
      <c r="G766" s="21" t="inlineStr">
        <is>
          <t>R</t>
        </is>
      </c>
      <c r="H766" s="22" t="n">
        <v>2600000</v>
      </c>
      <c r="I766" s="22" t="n">
        <v>6000000</v>
      </c>
      <c r="J766" s="21">
        <f>IF(OR(H766="",H766=25529689.5),"Yes","No")</f>
        <v/>
      </c>
      <c r="K766" s="21">
        <f>IF(AND(D766="USA",C766&gt;=1980,J766="No"),"Yes","No")</f>
        <v/>
      </c>
      <c r="L766" s="26">
        <f>IF(J766="Yes","",H766-I766)</f>
        <v/>
      </c>
      <c r="M766" s="27">
        <f>IF(OR(J766="Yes",I766=0),"",H766/I766)</f>
        <v/>
      </c>
      <c r="N766" s="21">
        <f>IF(J766="Yes","",IF(H766&gt;=I766,1,0))</f>
        <v/>
      </c>
      <c r="O766" s="21">
        <f>IF(I766&lt;=5000000,"Under $5M",IF(I766&lt;=20000000,"$5M-20M",IF(I766&lt;=50000000,"$20M-50M",IF(I766&lt;=100000000,"$50M-100M","$100M+"))))</f>
        <v/>
      </c>
      <c r="P766" s="21">
        <f>IF(E766&lt;=90,"90 or less",IF(E766&lt;=105,"91-105",IF(E766&lt;=120,"106-120",IF(E766&lt;=140,"121-140","Over 140"))))</f>
        <v/>
      </c>
      <c r="Q766" s="28">
        <f>INT(C766/10)*10</f>
        <v/>
      </c>
    </row>
    <row r="767">
      <c r="A767" s="21" t="n">
        <v>789</v>
      </c>
      <c r="B767" s="21" t="inlineStr">
        <is>
          <t>Rob Roy</t>
        </is>
      </c>
      <c r="C767" s="21" t="n">
        <v>1995</v>
      </c>
      <c r="D767" s="21" t="inlineStr">
        <is>
          <t>USA</t>
        </is>
      </c>
      <c r="E767" s="21" t="n">
        <v>139</v>
      </c>
      <c r="F767" s="21" t="inlineStr">
        <is>
          <t>English</t>
        </is>
      </c>
      <c r="G767" s="21" t="inlineStr">
        <is>
          <t>R</t>
        </is>
      </c>
      <c r="H767" s="22" t="n">
        <v>31600000</v>
      </c>
      <c r="I767" s="22" t="n">
        <v>28000000</v>
      </c>
      <c r="J767" s="21">
        <f>IF(OR(H767="",H767=25529689.5),"Yes","No")</f>
        <v/>
      </c>
      <c r="K767" s="21">
        <f>IF(AND(D767="USA",C767&gt;=1980,J767="No"),"Yes","No")</f>
        <v/>
      </c>
      <c r="L767" s="26">
        <f>IF(J767="Yes","",H767-I767)</f>
        <v/>
      </c>
      <c r="M767" s="27">
        <f>IF(OR(J767="Yes",I767=0),"",H767/I767)</f>
        <v/>
      </c>
      <c r="N767" s="21">
        <f>IF(J767="Yes","",IF(H767&gt;=I767,1,0))</f>
        <v/>
      </c>
      <c r="O767" s="21">
        <f>IF(I767&lt;=5000000,"Under $5M",IF(I767&lt;=20000000,"$5M-20M",IF(I767&lt;=50000000,"$20M-50M",IF(I767&lt;=100000000,"$50M-100M","$100M+"))))</f>
        <v/>
      </c>
      <c r="P767" s="21">
        <f>IF(E767&lt;=90,"90 or less",IF(E767&lt;=105,"91-105",IF(E767&lt;=120,"106-120",IF(E767&lt;=140,"121-140","Over 140"))))</f>
        <v/>
      </c>
      <c r="Q767" s="28">
        <f>INT(C767/10)*10</f>
        <v/>
      </c>
    </row>
    <row r="768">
      <c r="A768" s="21" t="n">
        <v>790</v>
      </c>
      <c r="B768" s="21" t="inlineStr">
        <is>
          <t>Rumble in the Bronx</t>
        </is>
      </c>
      <c r="C768" s="21" t="n">
        <v>1995</v>
      </c>
      <c r="D768" s="21" t="inlineStr">
        <is>
          <t>Hong Kong</t>
        </is>
      </c>
      <c r="E768" s="21" t="n">
        <v>89</v>
      </c>
      <c r="F768" s="21" t="inlineStr">
        <is>
          <t>Cantonese</t>
        </is>
      </c>
      <c r="G768" s="21" t="inlineStr">
        <is>
          <t>R</t>
        </is>
      </c>
      <c r="H768" s="22" t="n">
        <v>32333860</v>
      </c>
      <c r="I768" s="22" t="n">
        <v>7500000</v>
      </c>
      <c r="J768" s="21">
        <f>IF(OR(H768="",H768=25529689.5),"Yes","No")</f>
        <v/>
      </c>
      <c r="K768" s="21">
        <f>IF(AND(D768="USA",C768&gt;=1980,J768="No"),"Yes","No")</f>
        <v/>
      </c>
      <c r="L768" s="26">
        <f>IF(J768="Yes","",H768-I768)</f>
        <v/>
      </c>
      <c r="M768" s="27">
        <f>IF(OR(J768="Yes",I768=0),"",H768/I768)</f>
        <v/>
      </c>
      <c r="N768" s="21">
        <f>IF(J768="Yes","",IF(H768&gt;=I768,1,0))</f>
        <v/>
      </c>
      <c r="O768" s="21">
        <f>IF(I768&lt;=5000000,"Under $5M",IF(I768&lt;=20000000,"$5M-20M",IF(I768&lt;=50000000,"$20M-50M",IF(I768&lt;=100000000,"$50M-100M","$100M+"))))</f>
        <v/>
      </c>
      <c r="P768" s="21">
        <f>IF(E768&lt;=90,"90 or less",IF(E768&lt;=105,"91-105",IF(E768&lt;=120,"106-120",IF(E768&lt;=140,"121-140","Over 140"))))</f>
        <v/>
      </c>
      <c r="Q768" s="28">
        <f>INT(C768/10)*10</f>
        <v/>
      </c>
    </row>
    <row r="769">
      <c r="A769" s="21" t="n">
        <v>791</v>
      </c>
      <c r="B769" s="21" t="inlineStr">
        <is>
          <t>Se7en</t>
        </is>
      </c>
      <c r="C769" s="21" t="n">
        <v>1995</v>
      </c>
      <c r="D769" s="21" t="inlineStr">
        <is>
          <t>USA</t>
        </is>
      </c>
      <c r="E769" s="21" t="n">
        <v>127</v>
      </c>
      <c r="F769" s="21" t="inlineStr">
        <is>
          <t>English</t>
        </is>
      </c>
      <c r="G769" s="21" t="inlineStr">
        <is>
          <t>R</t>
        </is>
      </c>
      <c r="H769" s="22" t="n">
        <v>100125340</v>
      </c>
      <c r="I769" s="22" t="n">
        <v>33000000</v>
      </c>
      <c r="J769" s="21">
        <f>IF(OR(H769="",H769=25529689.5),"Yes","No")</f>
        <v/>
      </c>
      <c r="K769" s="21">
        <f>IF(AND(D769="USA",C769&gt;=1980,J769="No"),"Yes","No")</f>
        <v/>
      </c>
      <c r="L769" s="26">
        <f>IF(J769="Yes","",H769-I769)</f>
        <v/>
      </c>
      <c r="M769" s="27">
        <f>IF(OR(J769="Yes",I769=0),"",H769/I769)</f>
        <v/>
      </c>
      <c r="N769" s="21">
        <f>IF(J769="Yes","",IF(H769&gt;=I769,1,0))</f>
        <v/>
      </c>
      <c r="O769" s="21">
        <f>IF(I769&lt;=5000000,"Under $5M",IF(I769&lt;=20000000,"$5M-20M",IF(I769&lt;=50000000,"$20M-50M",IF(I769&lt;=100000000,"$50M-100M","$100M+"))))</f>
        <v/>
      </c>
      <c r="P769" s="21">
        <f>IF(E769&lt;=90,"90 or less",IF(E769&lt;=105,"91-105",IF(E769&lt;=120,"106-120",IF(E769&lt;=140,"121-140","Over 140"))))</f>
        <v/>
      </c>
      <c r="Q769" s="28">
        <f>INT(C769/10)*10</f>
        <v/>
      </c>
    </row>
    <row r="770">
      <c r="A770" s="21" t="n">
        <v>792</v>
      </c>
      <c r="B770" s="21" t="inlineStr">
        <is>
          <t>Sense and Sensibility</t>
        </is>
      </c>
      <c r="C770" s="21" t="n">
        <v>1995</v>
      </c>
      <c r="D770" s="21" t="inlineStr">
        <is>
          <t>USA</t>
        </is>
      </c>
      <c r="E770" s="21" t="n">
        <v>136</v>
      </c>
      <c r="F770" s="21" t="inlineStr">
        <is>
          <t>English</t>
        </is>
      </c>
      <c r="G770" s="21" t="inlineStr">
        <is>
          <t>PG</t>
        </is>
      </c>
      <c r="H770" s="22" t="n">
        <v>42700000</v>
      </c>
      <c r="I770" s="22" t="n">
        <v>16500000</v>
      </c>
      <c r="J770" s="21">
        <f>IF(OR(H770="",H770=25529689.5),"Yes","No")</f>
        <v/>
      </c>
      <c r="K770" s="21">
        <f>IF(AND(D770="USA",C770&gt;=1980,J770="No"),"Yes","No")</f>
        <v/>
      </c>
      <c r="L770" s="26">
        <f>IF(J770="Yes","",H770-I770)</f>
        <v/>
      </c>
      <c r="M770" s="27">
        <f>IF(OR(J770="Yes",I770=0),"",H770/I770)</f>
        <v/>
      </c>
      <c r="N770" s="21">
        <f>IF(J770="Yes","",IF(H770&gt;=I770,1,0))</f>
        <v/>
      </c>
      <c r="O770" s="21">
        <f>IF(I770&lt;=5000000,"Under $5M",IF(I770&lt;=20000000,"$5M-20M",IF(I770&lt;=50000000,"$20M-50M",IF(I770&lt;=100000000,"$50M-100M","$100M+"))))</f>
        <v/>
      </c>
      <c r="P770" s="21">
        <f>IF(E770&lt;=90,"90 or less",IF(E770&lt;=105,"91-105",IF(E770&lt;=120,"106-120",IF(E770&lt;=140,"121-140","Over 140"))))</f>
        <v/>
      </c>
      <c r="Q770" s="28">
        <f>INT(C770/10)*10</f>
        <v/>
      </c>
    </row>
    <row r="771">
      <c r="A771" s="21" t="n">
        <v>793</v>
      </c>
      <c r="B771" s="21" t="inlineStr">
        <is>
          <t>Showgirls</t>
        </is>
      </c>
      <c r="C771" s="21" t="n">
        <v>1995</v>
      </c>
      <c r="D771" s="21" t="inlineStr">
        <is>
          <t>France</t>
        </is>
      </c>
      <c r="E771" s="21" t="n">
        <v>131</v>
      </c>
      <c r="F771" s="21" t="inlineStr">
        <is>
          <t>English</t>
        </is>
      </c>
      <c r="G771" s="21" t="inlineStr">
        <is>
          <t>NC-17</t>
        </is>
      </c>
      <c r="H771" s="22" t="n">
        <v>20302961</v>
      </c>
      <c r="I771" s="22" t="n">
        <v>45000000</v>
      </c>
      <c r="J771" s="21">
        <f>IF(OR(H771="",H771=25529689.5),"Yes","No")</f>
        <v/>
      </c>
      <c r="K771" s="21">
        <f>IF(AND(D771="USA",C771&gt;=1980,J771="No"),"Yes","No")</f>
        <v/>
      </c>
      <c r="L771" s="26">
        <f>IF(J771="Yes","",H771-I771)</f>
        <v/>
      </c>
      <c r="M771" s="27">
        <f>IF(OR(J771="Yes",I771=0),"",H771/I771)</f>
        <v/>
      </c>
      <c r="N771" s="21">
        <f>IF(J771="Yes","",IF(H771&gt;=I771,1,0))</f>
        <v/>
      </c>
      <c r="O771" s="21">
        <f>IF(I771&lt;=5000000,"Under $5M",IF(I771&lt;=20000000,"$5M-20M",IF(I771&lt;=50000000,"$20M-50M",IF(I771&lt;=100000000,"$50M-100M","$100M+"))))</f>
        <v/>
      </c>
      <c r="P771" s="21">
        <f>IF(E771&lt;=90,"90 or less",IF(E771&lt;=105,"91-105",IF(E771&lt;=120,"106-120",IF(E771&lt;=140,"121-140","Over 140"))))</f>
        <v/>
      </c>
      <c r="Q771" s="28">
        <f>INT(C771/10)*10</f>
        <v/>
      </c>
    </row>
    <row r="772">
      <c r="A772" s="21" t="n">
        <v>794</v>
      </c>
      <c r="B772" s="21" t="inlineStr">
        <is>
          <t>Species</t>
        </is>
      </c>
      <c r="C772" s="21" t="n">
        <v>1995</v>
      </c>
      <c r="D772" s="21" t="inlineStr">
        <is>
          <t>USA</t>
        </is>
      </c>
      <c r="E772" s="21" t="n">
        <v>108</v>
      </c>
      <c r="F772" s="21" t="inlineStr">
        <is>
          <t>English</t>
        </is>
      </c>
      <c r="G772" s="21" t="inlineStr">
        <is>
          <t>R</t>
        </is>
      </c>
      <c r="H772" s="22" t="n">
        <v>60054449</v>
      </c>
      <c r="I772" s="22" t="n">
        <v>35000000</v>
      </c>
      <c r="J772" s="21">
        <f>IF(OR(H772="",H772=25529689.5),"Yes","No")</f>
        <v/>
      </c>
      <c r="K772" s="21">
        <f>IF(AND(D772="USA",C772&gt;=1980,J772="No"),"Yes","No")</f>
        <v/>
      </c>
      <c r="L772" s="26">
        <f>IF(J772="Yes","",H772-I772)</f>
        <v/>
      </c>
      <c r="M772" s="27">
        <f>IF(OR(J772="Yes",I772=0),"",H772/I772)</f>
        <v/>
      </c>
      <c r="N772" s="21">
        <f>IF(J772="Yes","",IF(H772&gt;=I772,1,0))</f>
        <v/>
      </c>
      <c r="O772" s="21">
        <f>IF(I772&lt;=5000000,"Under $5M",IF(I772&lt;=20000000,"$5M-20M",IF(I772&lt;=50000000,"$20M-50M",IF(I772&lt;=100000000,"$50M-100M","$100M+"))))</f>
        <v/>
      </c>
      <c r="P772" s="21">
        <f>IF(E772&lt;=90,"90 or less",IF(E772&lt;=105,"91-105",IF(E772&lt;=120,"106-120",IF(E772&lt;=140,"121-140","Over 140"))))</f>
        <v/>
      </c>
      <c r="Q772" s="28">
        <f>INT(C772/10)*10</f>
        <v/>
      </c>
    </row>
    <row r="773">
      <c r="A773" s="21" t="n">
        <v>795</v>
      </c>
      <c r="B773" s="21" t="inlineStr">
        <is>
          <t>Tales from the Crypt: Demon Knight</t>
        </is>
      </c>
      <c r="C773" s="21" t="n">
        <v>1995</v>
      </c>
      <c r="D773" s="21" t="inlineStr">
        <is>
          <t>USA</t>
        </is>
      </c>
      <c r="E773" s="21" t="n">
        <v>92</v>
      </c>
      <c r="F773" s="21" t="inlineStr">
        <is>
          <t>English</t>
        </is>
      </c>
      <c r="G773" s="21" t="inlineStr">
        <is>
          <t>R</t>
        </is>
      </c>
      <c r="H773" s="22" t="n">
        <v>21088568</v>
      </c>
      <c r="I773" s="22" t="n">
        <v>13000000</v>
      </c>
      <c r="J773" s="21">
        <f>IF(OR(H773="",H773=25529689.5),"Yes","No")</f>
        <v/>
      </c>
      <c r="K773" s="21">
        <f>IF(AND(D773="USA",C773&gt;=1980,J773="No"),"Yes","No")</f>
        <v/>
      </c>
      <c r="L773" s="26">
        <f>IF(J773="Yes","",H773-I773)</f>
        <v/>
      </c>
      <c r="M773" s="27">
        <f>IF(OR(J773="Yes",I773=0),"",H773/I773)</f>
        <v/>
      </c>
      <c r="N773" s="21">
        <f>IF(J773="Yes","",IF(H773&gt;=I773,1,0))</f>
        <v/>
      </c>
      <c r="O773" s="21">
        <f>IF(I773&lt;=5000000,"Under $5M",IF(I773&lt;=20000000,"$5M-20M",IF(I773&lt;=50000000,"$20M-50M",IF(I773&lt;=100000000,"$50M-100M","$100M+"))))</f>
        <v/>
      </c>
      <c r="P773" s="21">
        <f>IF(E773&lt;=90,"90 or less",IF(E773&lt;=105,"91-105",IF(E773&lt;=120,"106-120",IF(E773&lt;=140,"121-140","Over 140"))))</f>
        <v/>
      </c>
      <c r="Q773" s="28">
        <f>INT(C773/10)*10</f>
        <v/>
      </c>
    </row>
    <row r="774">
      <c r="A774" s="21" t="n">
        <v>796</v>
      </c>
      <c r="B774" s="21" t="inlineStr">
        <is>
          <t>Tales from the Hood</t>
        </is>
      </c>
      <c r="C774" s="21" t="n">
        <v>1995</v>
      </c>
      <c r="D774" s="21" t="inlineStr">
        <is>
          <t>USA</t>
        </is>
      </c>
      <c r="E774" s="21" t="n">
        <v>98</v>
      </c>
      <c r="F774" s="21" t="inlineStr">
        <is>
          <t>English</t>
        </is>
      </c>
      <c r="G774" s="21" t="inlineStr">
        <is>
          <t>R</t>
        </is>
      </c>
      <c r="H774" s="22" t="n">
        <v>11797927</v>
      </c>
      <c r="I774" s="22" t="n">
        <v>6000000</v>
      </c>
      <c r="J774" s="21">
        <f>IF(OR(H774="",H774=25529689.5),"Yes","No")</f>
        <v/>
      </c>
      <c r="K774" s="21">
        <f>IF(AND(D774="USA",C774&gt;=1980,J774="No"),"Yes","No")</f>
        <v/>
      </c>
      <c r="L774" s="26">
        <f>IF(J774="Yes","",H774-I774)</f>
        <v/>
      </c>
      <c r="M774" s="27">
        <f>IF(OR(J774="Yes",I774=0),"",H774/I774)</f>
        <v/>
      </c>
      <c r="N774" s="21">
        <f>IF(J774="Yes","",IF(H774&gt;=I774,1,0))</f>
        <v/>
      </c>
      <c r="O774" s="21">
        <f>IF(I774&lt;=5000000,"Under $5M",IF(I774&lt;=20000000,"$5M-20M",IF(I774&lt;=50000000,"$20M-50M",IF(I774&lt;=100000000,"$50M-100M","$100M+"))))</f>
        <v/>
      </c>
      <c r="P774" s="21">
        <f>IF(E774&lt;=90,"90 or less",IF(E774&lt;=105,"91-105",IF(E774&lt;=120,"106-120",IF(E774&lt;=140,"121-140","Over 140"))))</f>
        <v/>
      </c>
      <c r="Q774" s="28">
        <f>INT(C774/10)*10</f>
        <v/>
      </c>
    </row>
    <row r="775">
      <c r="A775" s="21" t="n">
        <v>797</v>
      </c>
      <c r="B775" s="21" t="inlineStr">
        <is>
          <t>Tank Girl</t>
        </is>
      </c>
      <c r="C775" s="21" t="n">
        <v>1995</v>
      </c>
      <c r="D775" s="21" t="inlineStr">
        <is>
          <t>USA</t>
        </is>
      </c>
      <c r="E775" s="21" t="n">
        <v>104</v>
      </c>
      <c r="F775" s="21" t="inlineStr">
        <is>
          <t>English</t>
        </is>
      </c>
      <c r="G775" s="21" t="inlineStr">
        <is>
          <t>R</t>
        </is>
      </c>
      <c r="H775" s="22" t="n">
        <v>4064333</v>
      </c>
      <c r="I775" s="22" t="n">
        <v>25000000</v>
      </c>
      <c r="J775" s="21">
        <f>IF(OR(H775="",H775=25529689.5),"Yes","No")</f>
        <v/>
      </c>
      <c r="K775" s="21">
        <f>IF(AND(D775="USA",C775&gt;=1980,J775="No"),"Yes","No")</f>
        <v/>
      </c>
      <c r="L775" s="26">
        <f>IF(J775="Yes","",H775-I775)</f>
        <v/>
      </c>
      <c r="M775" s="27">
        <f>IF(OR(J775="Yes",I775=0),"",H775/I775)</f>
        <v/>
      </c>
      <c r="N775" s="21">
        <f>IF(J775="Yes","",IF(H775&gt;=I775,1,0))</f>
        <v/>
      </c>
      <c r="O775" s="21">
        <f>IF(I775&lt;=5000000,"Under $5M",IF(I775&lt;=20000000,"$5M-20M",IF(I775&lt;=50000000,"$20M-50M",IF(I775&lt;=100000000,"$50M-100M","$100M+"))))</f>
        <v/>
      </c>
      <c r="P775" s="21">
        <f>IF(E775&lt;=90,"90 or less",IF(E775&lt;=105,"91-105",IF(E775&lt;=120,"106-120",IF(E775&lt;=140,"121-140","Over 140"))))</f>
        <v/>
      </c>
      <c r="Q775" s="28">
        <f>INT(C775/10)*10</f>
        <v/>
      </c>
    </row>
    <row r="776">
      <c r="A776" s="21" t="n">
        <v>798</v>
      </c>
      <c r="B776" s="21" t="inlineStr">
        <is>
          <t>The American President</t>
        </is>
      </c>
      <c r="C776" s="21" t="n">
        <v>1995</v>
      </c>
      <c r="D776" s="21" t="inlineStr">
        <is>
          <t>USA</t>
        </is>
      </c>
      <c r="E776" s="21" t="n">
        <v>114</v>
      </c>
      <c r="F776" s="21" t="inlineStr">
        <is>
          <t>English</t>
        </is>
      </c>
      <c r="G776" s="21" t="inlineStr">
        <is>
          <t>PG-13</t>
        </is>
      </c>
      <c r="H776" s="22" t="n">
        <v>65000000</v>
      </c>
      <c r="I776" s="22" t="n">
        <v>62000000</v>
      </c>
      <c r="J776" s="21">
        <f>IF(OR(H776="",H776=25529689.5),"Yes","No")</f>
        <v/>
      </c>
      <c r="K776" s="21">
        <f>IF(AND(D776="USA",C776&gt;=1980,J776="No"),"Yes","No")</f>
        <v/>
      </c>
      <c r="L776" s="26">
        <f>IF(J776="Yes","",H776-I776)</f>
        <v/>
      </c>
      <c r="M776" s="27">
        <f>IF(OR(J776="Yes",I776=0),"",H776/I776)</f>
        <v/>
      </c>
      <c r="N776" s="21">
        <f>IF(J776="Yes","",IF(H776&gt;=I776,1,0))</f>
        <v/>
      </c>
      <c r="O776" s="21">
        <f>IF(I776&lt;=5000000,"Under $5M",IF(I776&lt;=20000000,"$5M-20M",IF(I776&lt;=50000000,"$20M-50M",IF(I776&lt;=100000000,"$50M-100M","$100M+"))))</f>
        <v/>
      </c>
      <c r="P776" s="21">
        <f>IF(E776&lt;=90,"90 or less",IF(E776&lt;=105,"91-105",IF(E776&lt;=120,"106-120",IF(E776&lt;=140,"121-140","Over 140"))))</f>
        <v/>
      </c>
      <c r="Q776" s="28">
        <f>INT(C776/10)*10</f>
        <v/>
      </c>
    </row>
    <row r="777">
      <c r="A777" s="21" t="n">
        <v>799</v>
      </c>
      <c r="B777" s="21" t="inlineStr">
        <is>
          <t>The Bridges of Madison County</t>
        </is>
      </c>
      <c r="C777" s="21" t="n">
        <v>1995</v>
      </c>
      <c r="D777" s="21" t="inlineStr">
        <is>
          <t>USA</t>
        </is>
      </c>
      <c r="E777" s="21" t="n">
        <v>135</v>
      </c>
      <c r="F777" s="21" t="inlineStr">
        <is>
          <t>English</t>
        </is>
      </c>
      <c r="G777" s="21" t="inlineStr">
        <is>
          <t>PG-13</t>
        </is>
      </c>
      <c r="H777" s="22" t="n">
        <v>70960517</v>
      </c>
      <c r="I777" s="22" t="n">
        <v>35000000</v>
      </c>
      <c r="J777" s="21">
        <f>IF(OR(H777="",H777=25529689.5),"Yes","No")</f>
        <v/>
      </c>
      <c r="K777" s="21">
        <f>IF(AND(D777="USA",C777&gt;=1980,J777="No"),"Yes","No")</f>
        <v/>
      </c>
      <c r="L777" s="26">
        <f>IF(J777="Yes","",H777-I777)</f>
        <v/>
      </c>
      <c r="M777" s="27">
        <f>IF(OR(J777="Yes",I777=0),"",H777/I777)</f>
        <v/>
      </c>
      <c r="N777" s="21">
        <f>IF(J777="Yes","",IF(H777&gt;=I777,1,0))</f>
        <v/>
      </c>
      <c r="O777" s="21">
        <f>IF(I777&lt;=5000000,"Under $5M",IF(I777&lt;=20000000,"$5M-20M",IF(I777&lt;=50000000,"$20M-50M",IF(I777&lt;=100000000,"$50M-100M","$100M+"))))</f>
        <v/>
      </c>
      <c r="P777" s="21">
        <f>IF(E777&lt;=90,"90 or less",IF(E777&lt;=105,"91-105",IF(E777&lt;=120,"106-120",IF(E777&lt;=140,"121-140","Over 140"))))</f>
        <v/>
      </c>
      <c r="Q777" s="28">
        <f>INT(C777/10)*10</f>
        <v/>
      </c>
    </row>
    <row r="778">
      <c r="A778" s="21" t="n">
        <v>800</v>
      </c>
      <c r="B778" s="21" t="inlineStr">
        <is>
          <t>The Brothers McMullen</t>
        </is>
      </c>
      <c r="C778" s="21" t="n">
        <v>1995</v>
      </c>
      <c r="D778" s="21" t="inlineStr">
        <is>
          <t>USA</t>
        </is>
      </c>
      <c r="E778" s="21" t="n">
        <v>98</v>
      </c>
      <c r="F778" s="21" t="inlineStr">
        <is>
          <t>English</t>
        </is>
      </c>
      <c r="G778" s="21" t="inlineStr">
        <is>
          <t>R</t>
        </is>
      </c>
      <c r="H778" s="22" t="n">
        <v>10246600</v>
      </c>
      <c r="I778" s="22" t="n">
        <v>25000</v>
      </c>
      <c r="J778" s="21">
        <f>IF(OR(H778="",H778=25529689.5),"Yes","No")</f>
        <v/>
      </c>
      <c r="K778" s="21">
        <f>IF(AND(D778="USA",C778&gt;=1980,J778="No"),"Yes","No")</f>
        <v/>
      </c>
      <c r="L778" s="26">
        <f>IF(J778="Yes","",H778-I778)</f>
        <v/>
      </c>
      <c r="M778" s="27">
        <f>IF(OR(J778="Yes",I778=0),"",H778/I778)</f>
        <v/>
      </c>
      <c r="N778" s="21">
        <f>IF(J778="Yes","",IF(H778&gt;=I778,1,0))</f>
        <v/>
      </c>
      <c r="O778" s="21">
        <f>IF(I778&lt;=5000000,"Under $5M",IF(I778&lt;=20000000,"$5M-20M",IF(I778&lt;=50000000,"$20M-50M",IF(I778&lt;=100000000,"$50M-100M","$100M+"))))</f>
        <v/>
      </c>
      <c r="P778" s="21">
        <f>IF(E778&lt;=90,"90 or less",IF(E778&lt;=105,"91-105",IF(E778&lt;=120,"106-120",IF(E778&lt;=140,"121-140","Over 140"))))</f>
        <v/>
      </c>
      <c r="Q778" s="28">
        <f>INT(C778/10)*10</f>
        <v/>
      </c>
    </row>
    <row r="779">
      <c r="A779" s="21" t="n">
        <v>801</v>
      </c>
      <c r="B779" s="21" t="inlineStr">
        <is>
          <t>The Horseman on the Roof</t>
        </is>
      </c>
      <c r="C779" s="21" t="n">
        <v>1995</v>
      </c>
      <c r="D779" s="21" t="inlineStr">
        <is>
          <t>France</t>
        </is>
      </c>
      <c r="E779" s="21" t="n">
        <v>135</v>
      </c>
      <c r="F779" s="21" t="inlineStr">
        <is>
          <t>French</t>
        </is>
      </c>
      <c r="G779" s="21" t="inlineStr">
        <is>
          <t>R</t>
        </is>
      </c>
      <c r="H779" s="22" t="n">
        <v>1877179</v>
      </c>
      <c r="I779" s="22" t="n">
        <v>20000000</v>
      </c>
      <c r="J779" s="21">
        <f>IF(OR(H779="",H779=25529689.5),"Yes","No")</f>
        <v/>
      </c>
      <c r="K779" s="21">
        <f>IF(AND(D779="USA",C779&gt;=1980,J779="No"),"Yes","No")</f>
        <v/>
      </c>
      <c r="L779" s="26">
        <f>IF(J779="Yes","",H779-I779)</f>
        <v/>
      </c>
      <c r="M779" s="27">
        <f>IF(OR(J779="Yes",I779=0),"",H779/I779)</f>
        <v/>
      </c>
      <c r="N779" s="21">
        <f>IF(J779="Yes","",IF(H779&gt;=I779,1,0))</f>
        <v/>
      </c>
      <c r="O779" s="21">
        <f>IF(I779&lt;=5000000,"Under $5M",IF(I779&lt;=20000000,"$5M-20M",IF(I779&lt;=50000000,"$20M-50M",IF(I779&lt;=100000000,"$50M-100M","$100M+"))))</f>
        <v/>
      </c>
      <c r="P779" s="21">
        <f>IF(E779&lt;=90,"90 or less",IF(E779&lt;=105,"91-105",IF(E779&lt;=120,"106-120",IF(E779&lt;=140,"121-140","Over 140"))))</f>
        <v/>
      </c>
      <c r="Q779" s="28">
        <f>INT(C779/10)*10</f>
        <v/>
      </c>
    </row>
    <row r="780">
      <c r="A780" s="21" t="n">
        <v>802</v>
      </c>
      <c r="B780" s="21" t="inlineStr">
        <is>
          <t>The Incredibly True Adventure of Two Girls in Love</t>
        </is>
      </c>
      <c r="C780" s="21" t="n">
        <v>1995</v>
      </c>
      <c r="D780" s="21" t="inlineStr">
        <is>
          <t>USA</t>
        </is>
      </c>
      <c r="E780" s="21" t="n">
        <v>94</v>
      </c>
      <c r="F780" s="21" t="inlineStr">
        <is>
          <t>English</t>
        </is>
      </c>
      <c r="G780" s="21" t="inlineStr">
        <is>
          <t>R</t>
        </is>
      </c>
      <c r="H780" s="22" t="n">
        <v>1977544</v>
      </c>
      <c r="I780" s="22" t="n">
        <v>250000</v>
      </c>
      <c r="J780" s="21">
        <f>IF(OR(H780="",H780=25529689.5),"Yes","No")</f>
        <v/>
      </c>
      <c r="K780" s="21">
        <f>IF(AND(D780="USA",C780&gt;=1980,J780="No"),"Yes","No")</f>
        <v/>
      </c>
      <c r="L780" s="26">
        <f>IF(J780="Yes","",H780-I780)</f>
        <v/>
      </c>
      <c r="M780" s="27">
        <f>IF(OR(J780="Yes",I780=0),"",H780/I780)</f>
        <v/>
      </c>
      <c r="N780" s="21">
        <f>IF(J780="Yes","",IF(H780&gt;=I780,1,0))</f>
        <v/>
      </c>
      <c r="O780" s="21">
        <f>IF(I780&lt;=5000000,"Under $5M",IF(I780&lt;=20000000,"$5M-20M",IF(I780&lt;=50000000,"$20M-50M",IF(I780&lt;=100000000,"$50M-100M","$100M+"))))</f>
        <v/>
      </c>
      <c r="P780" s="21">
        <f>IF(E780&lt;=90,"90 or less",IF(E780&lt;=105,"91-105",IF(E780&lt;=120,"106-120",IF(E780&lt;=140,"121-140","Over 140"))))</f>
        <v/>
      </c>
      <c r="Q780" s="28">
        <f>INT(C780/10)*10</f>
        <v/>
      </c>
    </row>
    <row r="781">
      <c r="A781" s="21" t="n">
        <v>803</v>
      </c>
      <c r="B781" s="21" t="inlineStr">
        <is>
          <t>The Indian in the Cupboard</t>
        </is>
      </c>
      <c r="C781" s="21" t="n">
        <v>1995</v>
      </c>
      <c r="D781" s="21" t="inlineStr">
        <is>
          <t>USA</t>
        </is>
      </c>
      <c r="E781" s="21" t="n">
        <v>96</v>
      </c>
      <c r="F781" s="21" t="inlineStr">
        <is>
          <t>English</t>
        </is>
      </c>
      <c r="G781" s="21" t="inlineStr">
        <is>
          <t>PG</t>
        </is>
      </c>
      <c r="H781" s="22" t="n">
        <v>35617599</v>
      </c>
      <c r="I781" s="22" t="n">
        <v>45000000</v>
      </c>
      <c r="J781" s="21">
        <f>IF(OR(H781="",H781=25529689.5),"Yes","No")</f>
        <v/>
      </c>
      <c r="K781" s="21">
        <f>IF(AND(D781="USA",C781&gt;=1980,J781="No"),"Yes","No")</f>
        <v/>
      </c>
      <c r="L781" s="26">
        <f>IF(J781="Yes","",H781-I781)</f>
        <v/>
      </c>
      <c r="M781" s="27">
        <f>IF(OR(J781="Yes",I781=0),"",H781/I781)</f>
        <v/>
      </c>
      <c r="N781" s="21">
        <f>IF(J781="Yes","",IF(H781&gt;=I781,1,0))</f>
        <v/>
      </c>
      <c r="O781" s="21">
        <f>IF(I781&lt;=5000000,"Under $5M",IF(I781&lt;=20000000,"$5M-20M",IF(I781&lt;=50000000,"$20M-50M",IF(I781&lt;=100000000,"$50M-100M","$100M+"))))</f>
        <v/>
      </c>
      <c r="P781" s="21">
        <f>IF(E781&lt;=90,"90 or less",IF(E781&lt;=105,"91-105",IF(E781&lt;=120,"106-120",IF(E781&lt;=140,"121-140","Over 140"))))</f>
        <v/>
      </c>
      <c r="Q781" s="28">
        <f>INT(C781/10)*10</f>
        <v/>
      </c>
    </row>
    <row r="782">
      <c r="A782" s="21" t="n">
        <v>804</v>
      </c>
      <c r="B782" s="21" t="inlineStr">
        <is>
          <t>The Jerky Boys</t>
        </is>
      </c>
      <c r="C782" s="21" t="n">
        <v>1995</v>
      </c>
      <c r="D782" s="21" t="inlineStr">
        <is>
          <t>USA</t>
        </is>
      </c>
      <c r="E782" s="21" t="n">
        <v>82</v>
      </c>
      <c r="F782" s="21" t="inlineStr">
        <is>
          <t>English</t>
        </is>
      </c>
      <c r="G782" s="21" t="inlineStr">
        <is>
          <t>R</t>
        </is>
      </c>
      <c r="H782" s="22" t="n">
        <v>7557877</v>
      </c>
      <c r="I782" s="22" t="n">
        <v>20000000</v>
      </c>
      <c r="J782" s="21">
        <f>IF(OR(H782="",H782=25529689.5),"Yes","No")</f>
        <v/>
      </c>
      <c r="K782" s="21">
        <f>IF(AND(D782="USA",C782&gt;=1980,J782="No"),"Yes","No")</f>
        <v/>
      </c>
      <c r="L782" s="26">
        <f>IF(J782="Yes","",H782-I782)</f>
        <v/>
      </c>
      <c r="M782" s="27">
        <f>IF(OR(J782="Yes",I782=0),"",H782/I782)</f>
        <v/>
      </c>
      <c r="N782" s="21">
        <f>IF(J782="Yes","",IF(H782&gt;=I782,1,0))</f>
        <v/>
      </c>
      <c r="O782" s="21">
        <f>IF(I782&lt;=5000000,"Under $5M",IF(I782&lt;=20000000,"$5M-20M",IF(I782&lt;=50000000,"$20M-50M",IF(I782&lt;=100000000,"$50M-100M","$100M+"))))</f>
        <v/>
      </c>
      <c r="P782" s="21">
        <f>IF(E782&lt;=90,"90 or less",IF(E782&lt;=105,"91-105",IF(E782&lt;=120,"106-120",IF(E782&lt;=140,"121-140","Over 140"))))</f>
        <v/>
      </c>
      <c r="Q782" s="28">
        <f>INT(C782/10)*10</f>
        <v/>
      </c>
    </row>
    <row r="783">
      <c r="A783" s="21" t="n">
        <v>805</v>
      </c>
      <c r="B783" s="21" t="inlineStr">
        <is>
          <t>The Net</t>
        </is>
      </c>
      <c r="C783" s="21" t="n">
        <v>1995</v>
      </c>
      <c r="D783" s="21" t="inlineStr">
        <is>
          <t>USA</t>
        </is>
      </c>
      <c r="E783" s="21" t="n">
        <v>114</v>
      </c>
      <c r="F783" s="21" t="inlineStr">
        <is>
          <t>English</t>
        </is>
      </c>
      <c r="G783" s="21" t="inlineStr">
        <is>
          <t>PG-13</t>
        </is>
      </c>
      <c r="H783" s="22" t="n">
        <v>50728000</v>
      </c>
      <c r="I783" s="22" t="n">
        <v>22000000</v>
      </c>
      <c r="J783" s="21">
        <f>IF(OR(H783="",H783=25529689.5),"Yes","No")</f>
        <v/>
      </c>
      <c r="K783" s="21">
        <f>IF(AND(D783="USA",C783&gt;=1980,J783="No"),"Yes","No")</f>
        <v/>
      </c>
      <c r="L783" s="26">
        <f>IF(J783="Yes","",H783-I783)</f>
        <v/>
      </c>
      <c r="M783" s="27">
        <f>IF(OR(J783="Yes",I783=0),"",H783/I783)</f>
        <v/>
      </c>
      <c r="N783" s="21">
        <f>IF(J783="Yes","",IF(H783&gt;=I783,1,0))</f>
        <v/>
      </c>
      <c r="O783" s="21">
        <f>IF(I783&lt;=5000000,"Under $5M",IF(I783&lt;=20000000,"$5M-20M",IF(I783&lt;=50000000,"$20M-50M",IF(I783&lt;=100000000,"$50M-100M","$100M+"))))</f>
        <v/>
      </c>
      <c r="P783" s="21">
        <f>IF(E783&lt;=90,"90 or less",IF(E783&lt;=105,"91-105",IF(E783&lt;=120,"106-120",IF(E783&lt;=140,"121-140","Over 140"))))</f>
        <v/>
      </c>
      <c r="Q783" s="28">
        <f>INT(C783/10)*10</f>
        <v/>
      </c>
    </row>
    <row r="784">
      <c r="A784" s="21" t="n">
        <v>806</v>
      </c>
      <c r="B784" s="21" t="inlineStr">
        <is>
          <t>The Perez Family</t>
        </is>
      </c>
      <c r="C784" s="21" t="n">
        <v>1995</v>
      </c>
      <c r="D784" s="21" t="inlineStr">
        <is>
          <t>USA</t>
        </is>
      </c>
      <c r="E784" s="21" t="n">
        <v>113</v>
      </c>
      <c r="F784" s="21" t="inlineStr">
        <is>
          <t>English</t>
        </is>
      </c>
      <c r="G784" s="21" t="inlineStr">
        <is>
          <t>R</t>
        </is>
      </c>
      <c r="H784" s="22" t="n">
        <v>2832826</v>
      </c>
      <c r="I784" s="22" t="n">
        <v>11000000</v>
      </c>
      <c r="J784" s="21">
        <f>IF(OR(H784="",H784=25529689.5),"Yes","No")</f>
        <v/>
      </c>
      <c r="K784" s="21">
        <f>IF(AND(D784="USA",C784&gt;=1980,J784="No"),"Yes","No")</f>
        <v/>
      </c>
      <c r="L784" s="26">
        <f>IF(J784="Yes","",H784-I784)</f>
        <v/>
      </c>
      <c r="M784" s="27">
        <f>IF(OR(J784="Yes",I784=0),"",H784/I784)</f>
        <v/>
      </c>
      <c r="N784" s="21">
        <f>IF(J784="Yes","",IF(H784&gt;=I784,1,0))</f>
        <v/>
      </c>
      <c r="O784" s="21">
        <f>IF(I784&lt;=5000000,"Under $5M",IF(I784&lt;=20000000,"$5M-20M",IF(I784&lt;=50000000,"$20M-50M",IF(I784&lt;=100000000,"$50M-100M","$100M+"))))</f>
        <v/>
      </c>
      <c r="P784" s="21">
        <f>IF(E784&lt;=90,"90 or less",IF(E784&lt;=105,"91-105",IF(E784&lt;=120,"106-120",IF(E784&lt;=140,"121-140","Over 140"))))</f>
        <v/>
      </c>
      <c r="Q784" s="28">
        <f>INT(C784/10)*10</f>
        <v/>
      </c>
    </row>
    <row r="785">
      <c r="A785" s="21" t="n">
        <v>807</v>
      </c>
      <c r="B785" s="21" t="inlineStr">
        <is>
          <t>The Prophecy</t>
        </is>
      </c>
      <c r="C785" s="21" t="n">
        <v>1995</v>
      </c>
      <c r="D785" s="21" t="inlineStr">
        <is>
          <t>USA</t>
        </is>
      </c>
      <c r="E785" s="21" t="n">
        <v>98</v>
      </c>
      <c r="F785" s="21" t="inlineStr">
        <is>
          <t>English</t>
        </is>
      </c>
      <c r="G785" s="21" t="inlineStr">
        <is>
          <t>R</t>
        </is>
      </c>
      <c r="H785" s="22" t="n">
        <v>16115878</v>
      </c>
      <c r="I785" s="22" t="n">
        <v>8000000</v>
      </c>
      <c r="J785" s="21">
        <f>IF(OR(H785="",H785=25529689.5),"Yes","No")</f>
        <v/>
      </c>
      <c r="K785" s="21">
        <f>IF(AND(D785="USA",C785&gt;=1980,J785="No"),"Yes","No")</f>
        <v/>
      </c>
      <c r="L785" s="26">
        <f>IF(J785="Yes","",H785-I785)</f>
        <v/>
      </c>
      <c r="M785" s="27">
        <f>IF(OR(J785="Yes",I785=0),"",H785/I785)</f>
        <v/>
      </c>
      <c r="N785" s="21">
        <f>IF(J785="Yes","",IF(H785&gt;=I785,1,0))</f>
        <v/>
      </c>
      <c r="O785" s="21">
        <f>IF(I785&lt;=5000000,"Under $5M",IF(I785&lt;=20000000,"$5M-20M",IF(I785&lt;=50000000,"$20M-50M",IF(I785&lt;=100000000,"$50M-100M","$100M+"))))</f>
        <v/>
      </c>
      <c r="P785" s="21">
        <f>IF(E785&lt;=90,"90 or less",IF(E785&lt;=105,"91-105",IF(E785&lt;=120,"106-120",IF(E785&lt;=140,"121-140","Over 140"))))</f>
        <v/>
      </c>
      <c r="Q785" s="28">
        <f>INT(C785/10)*10</f>
        <v/>
      </c>
    </row>
    <row r="786">
      <c r="A786" s="21" t="n">
        <v>808</v>
      </c>
      <c r="B786" s="21" t="inlineStr">
        <is>
          <t>The Quick and the Dead</t>
        </is>
      </c>
      <c r="C786" s="21" t="n">
        <v>1995</v>
      </c>
      <c r="D786" s="21" t="inlineStr">
        <is>
          <t>Japan</t>
        </is>
      </c>
      <c r="E786" s="21" t="n">
        <v>107</v>
      </c>
      <c r="F786" s="21" t="inlineStr">
        <is>
          <t>English</t>
        </is>
      </c>
      <c r="G786" s="21" t="inlineStr">
        <is>
          <t>R</t>
        </is>
      </c>
      <c r="H786" s="22" t="n">
        <v>18636537</v>
      </c>
      <c r="I786" s="22" t="n">
        <v>32000000</v>
      </c>
      <c r="J786" s="21">
        <f>IF(OR(H786="",H786=25529689.5),"Yes","No")</f>
        <v/>
      </c>
      <c r="K786" s="21">
        <f>IF(AND(D786="USA",C786&gt;=1980,J786="No"),"Yes","No")</f>
        <v/>
      </c>
      <c r="L786" s="26">
        <f>IF(J786="Yes","",H786-I786)</f>
        <v/>
      </c>
      <c r="M786" s="27">
        <f>IF(OR(J786="Yes",I786=0),"",H786/I786)</f>
        <v/>
      </c>
      <c r="N786" s="21">
        <f>IF(J786="Yes","",IF(H786&gt;=I786,1,0))</f>
        <v/>
      </c>
      <c r="O786" s="21">
        <f>IF(I786&lt;=5000000,"Under $5M",IF(I786&lt;=20000000,"$5M-20M",IF(I786&lt;=50000000,"$20M-50M",IF(I786&lt;=100000000,"$50M-100M","$100M+"))))</f>
        <v/>
      </c>
      <c r="P786" s="21">
        <f>IF(E786&lt;=90,"90 or less",IF(E786&lt;=105,"91-105",IF(E786&lt;=120,"106-120",IF(E786&lt;=140,"121-140","Over 140"))))</f>
        <v/>
      </c>
      <c r="Q786" s="28">
        <f>INT(C786/10)*10</f>
        <v/>
      </c>
    </row>
    <row r="787">
      <c r="A787" s="21" t="n">
        <v>809</v>
      </c>
      <c r="B787" s="21" t="inlineStr">
        <is>
          <t>The Scarlet Letter</t>
        </is>
      </c>
      <c r="C787" s="21" t="n">
        <v>1995</v>
      </c>
      <c r="D787" s="21" t="inlineStr">
        <is>
          <t>USA</t>
        </is>
      </c>
      <c r="E787" s="21" t="n">
        <v>135</v>
      </c>
      <c r="F787" s="21" t="inlineStr">
        <is>
          <t>English</t>
        </is>
      </c>
      <c r="G787" s="21" t="inlineStr">
        <is>
          <t>R</t>
        </is>
      </c>
      <c r="H787" s="22" t="n">
        <v>10400000</v>
      </c>
      <c r="I787" s="22" t="n">
        <v>50000000</v>
      </c>
      <c r="J787" s="21">
        <f>IF(OR(H787="",H787=25529689.5),"Yes","No")</f>
        <v/>
      </c>
      <c r="K787" s="21">
        <f>IF(AND(D787="USA",C787&gt;=1980,J787="No"),"Yes","No")</f>
        <v/>
      </c>
      <c r="L787" s="26">
        <f>IF(J787="Yes","",H787-I787)</f>
        <v/>
      </c>
      <c r="M787" s="27">
        <f>IF(OR(J787="Yes",I787=0),"",H787/I787)</f>
        <v/>
      </c>
      <c r="N787" s="21">
        <f>IF(J787="Yes","",IF(H787&gt;=I787,1,0))</f>
        <v/>
      </c>
      <c r="O787" s="21">
        <f>IF(I787&lt;=5000000,"Under $5M",IF(I787&lt;=20000000,"$5M-20M",IF(I787&lt;=50000000,"$20M-50M",IF(I787&lt;=100000000,"$50M-100M","$100M+"))))</f>
        <v/>
      </c>
      <c r="P787" s="21">
        <f>IF(E787&lt;=90,"90 or less",IF(E787&lt;=105,"91-105",IF(E787&lt;=120,"106-120",IF(E787&lt;=140,"121-140","Over 140"))))</f>
        <v/>
      </c>
      <c r="Q787" s="28">
        <f>INT(C787/10)*10</f>
        <v/>
      </c>
    </row>
    <row r="788">
      <c r="A788" s="21" t="n">
        <v>810</v>
      </c>
      <c r="B788" s="21" t="inlineStr">
        <is>
          <t>The Usual Suspects</t>
        </is>
      </c>
      <c r="C788" s="21" t="n">
        <v>1995</v>
      </c>
      <c r="D788" s="21" t="inlineStr">
        <is>
          <t>USA</t>
        </is>
      </c>
      <c r="E788" s="21" t="n">
        <v>106</v>
      </c>
      <c r="F788" s="21" t="inlineStr">
        <is>
          <t>English</t>
        </is>
      </c>
      <c r="G788" s="21" t="inlineStr">
        <is>
          <t>R</t>
        </is>
      </c>
      <c r="H788" s="22" t="n">
        <v>23272306</v>
      </c>
      <c r="I788" s="22" t="n">
        <v>6000000</v>
      </c>
      <c r="J788" s="21">
        <f>IF(OR(H788="",H788=25529689.5),"Yes","No")</f>
        <v/>
      </c>
      <c r="K788" s="21">
        <f>IF(AND(D788="USA",C788&gt;=1980,J788="No"),"Yes","No")</f>
        <v/>
      </c>
      <c r="L788" s="26">
        <f>IF(J788="Yes","",H788-I788)</f>
        <v/>
      </c>
      <c r="M788" s="27">
        <f>IF(OR(J788="Yes",I788=0),"",H788/I788)</f>
        <v/>
      </c>
      <c r="N788" s="21">
        <f>IF(J788="Yes","",IF(H788&gt;=I788,1,0))</f>
        <v/>
      </c>
      <c r="O788" s="21">
        <f>IF(I788&lt;=5000000,"Under $5M",IF(I788&lt;=20000000,"$5M-20M",IF(I788&lt;=50000000,"$20M-50M",IF(I788&lt;=100000000,"$50M-100M","$100M+"))))</f>
        <v/>
      </c>
      <c r="P788" s="21">
        <f>IF(E788&lt;=90,"90 or less",IF(E788&lt;=105,"91-105",IF(E788&lt;=120,"106-120",IF(E788&lt;=140,"121-140","Over 140"))))</f>
        <v/>
      </c>
      <c r="Q788" s="28">
        <f>INT(C788/10)*10</f>
        <v/>
      </c>
    </row>
    <row r="789">
      <c r="A789" s="21" t="n">
        <v>811</v>
      </c>
      <c r="B789" s="21" t="inlineStr">
        <is>
          <t>Things to Do in Denver When You're Dead</t>
        </is>
      </c>
      <c r="C789" s="21" t="n">
        <v>1995</v>
      </c>
      <c r="D789" s="21" t="inlineStr">
        <is>
          <t>USA</t>
        </is>
      </c>
      <c r="E789" s="21" t="n">
        <v>115</v>
      </c>
      <c r="F789" s="21" t="inlineStr">
        <is>
          <t>English</t>
        </is>
      </c>
      <c r="G789" s="21" t="inlineStr">
        <is>
          <t>R</t>
        </is>
      </c>
      <c r="H789" s="22" t="n">
        <v>529766</v>
      </c>
      <c r="I789" s="22" t="n">
        <v>7000000</v>
      </c>
      <c r="J789" s="21">
        <f>IF(OR(H789="",H789=25529689.5),"Yes","No")</f>
        <v/>
      </c>
      <c r="K789" s="21">
        <f>IF(AND(D789="USA",C789&gt;=1980,J789="No"),"Yes","No")</f>
        <v/>
      </c>
      <c r="L789" s="26">
        <f>IF(J789="Yes","",H789-I789)</f>
        <v/>
      </c>
      <c r="M789" s="27">
        <f>IF(OR(J789="Yes",I789=0),"",H789/I789)</f>
        <v/>
      </c>
      <c r="N789" s="21">
        <f>IF(J789="Yes","",IF(H789&gt;=I789,1,0))</f>
        <v/>
      </c>
      <c r="O789" s="21">
        <f>IF(I789&lt;=5000000,"Under $5M",IF(I789&lt;=20000000,"$5M-20M",IF(I789&lt;=50000000,"$20M-50M",IF(I789&lt;=100000000,"$50M-100M","$100M+"))))</f>
        <v/>
      </c>
      <c r="P789" s="21">
        <f>IF(E789&lt;=90,"90 or less",IF(E789&lt;=105,"91-105",IF(E789&lt;=120,"106-120",IF(E789&lt;=140,"121-140","Over 140"))))</f>
        <v/>
      </c>
      <c r="Q789" s="28">
        <f>INT(C789/10)*10</f>
        <v/>
      </c>
    </row>
    <row r="790">
      <c r="A790" s="21" t="n">
        <v>812</v>
      </c>
      <c r="B790" s="21" t="inlineStr">
        <is>
          <t>To Die For</t>
        </is>
      </c>
      <c r="C790" s="21" t="n">
        <v>1995</v>
      </c>
      <c r="D790" s="21" t="inlineStr">
        <is>
          <t>USA</t>
        </is>
      </c>
      <c r="E790" s="21" t="n">
        <v>106</v>
      </c>
      <c r="F790" s="21" t="inlineStr">
        <is>
          <t>English</t>
        </is>
      </c>
      <c r="G790" s="21" t="inlineStr">
        <is>
          <t>R</t>
        </is>
      </c>
      <c r="H790" s="22" t="n">
        <v>21200000</v>
      </c>
      <c r="I790" s="22" t="n">
        <v>20000000</v>
      </c>
      <c r="J790" s="21">
        <f>IF(OR(H790="",H790=25529689.5),"Yes","No")</f>
        <v/>
      </c>
      <c r="K790" s="21">
        <f>IF(AND(D790="USA",C790&gt;=1980,J790="No"),"Yes","No")</f>
        <v/>
      </c>
      <c r="L790" s="26">
        <f>IF(J790="Yes","",H790-I790)</f>
        <v/>
      </c>
      <c r="M790" s="27">
        <f>IF(OR(J790="Yes",I790=0),"",H790/I790)</f>
        <v/>
      </c>
      <c r="N790" s="21">
        <f>IF(J790="Yes","",IF(H790&gt;=I790,1,0))</f>
        <v/>
      </c>
      <c r="O790" s="21">
        <f>IF(I790&lt;=5000000,"Under $5M",IF(I790&lt;=20000000,"$5M-20M",IF(I790&lt;=50000000,"$20M-50M",IF(I790&lt;=100000000,"$50M-100M","$100M+"))))</f>
        <v/>
      </c>
      <c r="P790" s="21">
        <f>IF(E790&lt;=90,"90 or less",IF(E790&lt;=105,"91-105",IF(E790&lt;=120,"106-120",IF(E790&lt;=140,"121-140","Over 140"))))</f>
        <v/>
      </c>
      <c r="Q790" s="28">
        <f>INT(C790/10)*10</f>
        <v/>
      </c>
    </row>
    <row r="791">
      <c r="A791" s="21" t="n">
        <v>813</v>
      </c>
      <c r="B791" s="21" t="inlineStr">
        <is>
          <t>Toy Story</t>
        </is>
      </c>
      <c r="C791" s="21" t="n">
        <v>1995</v>
      </c>
      <c r="D791" s="21" t="inlineStr">
        <is>
          <t>USA</t>
        </is>
      </c>
      <c r="E791" s="21" t="n">
        <v>74</v>
      </c>
      <c r="F791" s="21" t="inlineStr">
        <is>
          <t>English</t>
        </is>
      </c>
      <c r="G791" s="21" t="inlineStr">
        <is>
          <t>G</t>
        </is>
      </c>
      <c r="H791" s="22" t="n">
        <v>191796233</v>
      </c>
      <c r="I791" s="22" t="n">
        <v>30000000</v>
      </c>
      <c r="J791" s="21">
        <f>IF(OR(H791="",H791=25529689.5),"Yes","No")</f>
        <v/>
      </c>
      <c r="K791" s="21">
        <f>IF(AND(D791="USA",C791&gt;=1980,J791="No"),"Yes","No")</f>
        <v/>
      </c>
      <c r="L791" s="26">
        <f>IF(J791="Yes","",H791-I791)</f>
        <v/>
      </c>
      <c r="M791" s="27">
        <f>IF(OR(J791="Yes",I791=0),"",H791/I791)</f>
        <v/>
      </c>
      <c r="N791" s="21">
        <f>IF(J791="Yes","",IF(H791&gt;=I791,1,0))</f>
        <v/>
      </c>
      <c r="O791" s="21">
        <f>IF(I791&lt;=5000000,"Under $5M",IF(I791&lt;=20000000,"$5M-20M",IF(I791&lt;=50000000,"$20M-50M",IF(I791&lt;=100000000,"$50M-100M","$100M+"))))</f>
        <v/>
      </c>
      <c r="P791" s="21">
        <f>IF(E791&lt;=90,"90 or less",IF(E791&lt;=105,"91-105",IF(E791&lt;=120,"106-120",IF(E791&lt;=140,"121-140","Over 140"))))</f>
        <v/>
      </c>
      <c r="Q791" s="28">
        <f>INT(C791/10)*10</f>
        <v/>
      </c>
    </row>
    <row r="792">
      <c r="A792" s="21" t="n">
        <v>814</v>
      </c>
      <c r="B792" s="21" t="inlineStr">
        <is>
          <t>Under Siege 2: Dark Territory</t>
        </is>
      </c>
      <c r="C792" s="21" t="n">
        <v>1995</v>
      </c>
      <c r="D792" s="21" t="inlineStr">
        <is>
          <t>USA</t>
        </is>
      </c>
      <c r="E792" s="21" t="n">
        <v>92</v>
      </c>
      <c r="F792" s="21" t="inlineStr">
        <is>
          <t>English</t>
        </is>
      </c>
      <c r="G792" s="21" t="inlineStr">
        <is>
          <t>R</t>
        </is>
      </c>
      <c r="H792" s="22" t="n">
        <v>50024083</v>
      </c>
      <c r="I792" s="22" t="n">
        <v>60000000</v>
      </c>
      <c r="J792" s="21">
        <f>IF(OR(H792="",H792=25529689.5),"Yes","No")</f>
        <v/>
      </c>
      <c r="K792" s="21">
        <f>IF(AND(D792="USA",C792&gt;=1980,J792="No"),"Yes","No")</f>
        <v/>
      </c>
      <c r="L792" s="26">
        <f>IF(J792="Yes","",H792-I792)</f>
        <v/>
      </c>
      <c r="M792" s="27">
        <f>IF(OR(J792="Yes",I792=0),"",H792/I792)</f>
        <v/>
      </c>
      <c r="N792" s="21">
        <f>IF(J792="Yes","",IF(H792&gt;=I792,1,0))</f>
        <v/>
      </c>
      <c r="O792" s="21">
        <f>IF(I792&lt;=5000000,"Under $5M",IF(I792&lt;=20000000,"$5M-20M",IF(I792&lt;=50000000,"$20M-50M",IF(I792&lt;=100000000,"$50M-100M","$100M+"))))</f>
        <v/>
      </c>
      <c r="P792" s="21">
        <f>IF(E792&lt;=90,"90 or less",IF(E792&lt;=105,"91-105",IF(E792&lt;=120,"106-120",IF(E792&lt;=140,"121-140","Over 140"))))</f>
        <v/>
      </c>
      <c r="Q792" s="28">
        <f>INT(C792/10)*10</f>
        <v/>
      </c>
    </row>
    <row r="793">
      <c r="A793" s="21" t="n">
        <v>815</v>
      </c>
      <c r="B793" s="21" t="inlineStr">
        <is>
          <t>Vampire in Brooklyn</t>
        </is>
      </c>
      <c r="C793" s="21" t="n">
        <v>1995</v>
      </c>
      <c r="D793" s="21" t="inlineStr">
        <is>
          <t>USA</t>
        </is>
      </c>
      <c r="E793" s="21" t="n">
        <v>100</v>
      </c>
      <c r="F793" s="21" t="inlineStr">
        <is>
          <t>English</t>
        </is>
      </c>
      <c r="G793" s="21" t="inlineStr">
        <is>
          <t>R</t>
        </is>
      </c>
      <c r="H793" s="22" t="n">
        <v>19900000</v>
      </c>
      <c r="I793" s="22" t="n">
        <v>20000000</v>
      </c>
      <c r="J793" s="21">
        <f>IF(OR(H793="",H793=25529689.5),"Yes","No")</f>
        <v/>
      </c>
      <c r="K793" s="21">
        <f>IF(AND(D793="USA",C793&gt;=1980,J793="No"),"Yes","No")</f>
        <v/>
      </c>
      <c r="L793" s="26">
        <f>IF(J793="Yes","",H793-I793)</f>
        <v/>
      </c>
      <c r="M793" s="27">
        <f>IF(OR(J793="Yes",I793=0),"",H793/I793)</f>
        <v/>
      </c>
      <c r="N793" s="21">
        <f>IF(J793="Yes","",IF(H793&gt;=I793,1,0))</f>
        <v/>
      </c>
      <c r="O793" s="21">
        <f>IF(I793&lt;=5000000,"Under $5M",IF(I793&lt;=20000000,"$5M-20M",IF(I793&lt;=50000000,"$20M-50M",IF(I793&lt;=100000000,"$50M-100M","$100M+"))))</f>
        <v/>
      </c>
      <c r="P793" s="21">
        <f>IF(E793&lt;=90,"90 or less",IF(E793&lt;=105,"91-105",IF(E793&lt;=120,"106-120",IF(E793&lt;=140,"121-140","Over 140"))))</f>
        <v/>
      </c>
      <c r="Q793" s="28">
        <f>INT(C793/10)*10</f>
        <v/>
      </c>
    </row>
    <row r="794">
      <c r="A794" s="21" t="n">
        <v>816</v>
      </c>
      <c r="B794" s="21" t="inlineStr">
        <is>
          <t>Virtuosity</t>
        </is>
      </c>
      <c r="C794" s="21" t="n">
        <v>1995</v>
      </c>
      <c r="D794" s="21" t="inlineStr">
        <is>
          <t>USA</t>
        </is>
      </c>
      <c r="E794" s="21" t="n">
        <v>106</v>
      </c>
      <c r="F794" s="21" t="inlineStr">
        <is>
          <t>English</t>
        </is>
      </c>
      <c r="G794" s="21" t="inlineStr">
        <is>
          <t>R</t>
        </is>
      </c>
      <c r="H794" s="22" t="n">
        <v>24048000</v>
      </c>
      <c r="I794" s="22" t="n">
        <v>30000000</v>
      </c>
      <c r="J794" s="21">
        <f>IF(OR(H794="",H794=25529689.5),"Yes","No")</f>
        <v/>
      </c>
      <c r="K794" s="21">
        <f>IF(AND(D794="USA",C794&gt;=1980,J794="No"),"Yes","No")</f>
        <v/>
      </c>
      <c r="L794" s="26">
        <f>IF(J794="Yes","",H794-I794)</f>
        <v/>
      </c>
      <c r="M794" s="27">
        <f>IF(OR(J794="Yes",I794=0),"",H794/I794)</f>
        <v/>
      </c>
      <c r="N794" s="21">
        <f>IF(J794="Yes","",IF(H794&gt;=I794,1,0))</f>
        <v/>
      </c>
      <c r="O794" s="21">
        <f>IF(I794&lt;=5000000,"Under $5M",IF(I794&lt;=20000000,"$5M-20M",IF(I794&lt;=50000000,"$20M-50M",IF(I794&lt;=100000000,"$50M-100M","$100M+"))))</f>
        <v/>
      </c>
      <c r="P794" s="21">
        <f>IF(E794&lt;=90,"90 or less",IF(E794&lt;=105,"91-105",IF(E794&lt;=120,"106-120",IF(E794&lt;=140,"121-140","Over 140"))))</f>
        <v/>
      </c>
      <c r="Q794" s="28">
        <f>INT(C794/10)*10</f>
        <v/>
      </c>
    </row>
    <row r="795">
      <c r="A795" s="21" t="n">
        <v>817</v>
      </c>
      <c r="B795" s="21" t="inlineStr">
        <is>
          <t>Waterworld</t>
        </is>
      </c>
      <c r="C795" s="21" t="n">
        <v>1995</v>
      </c>
      <c r="D795" s="21" t="inlineStr">
        <is>
          <t>USA</t>
        </is>
      </c>
      <c r="E795" s="21" t="n">
        <v>176</v>
      </c>
      <c r="F795" s="21" t="inlineStr">
        <is>
          <t>English</t>
        </is>
      </c>
      <c r="G795" s="21" t="inlineStr">
        <is>
          <t>PG-13</t>
        </is>
      </c>
      <c r="H795" s="22" t="n">
        <v>88246220</v>
      </c>
      <c r="I795" s="22" t="n">
        <v>175000000</v>
      </c>
      <c r="J795" s="21">
        <f>IF(OR(H795="",H795=25529689.5),"Yes","No")</f>
        <v/>
      </c>
      <c r="K795" s="21">
        <f>IF(AND(D795="USA",C795&gt;=1980,J795="No"),"Yes","No")</f>
        <v/>
      </c>
      <c r="L795" s="26">
        <f>IF(J795="Yes","",H795-I795)</f>
        <v/>
      </c>
      <c r="M795" s="27">
        <f>IF(OR(J795="Yes",I795=0),"",H795/I795)</f>
        <v/>
      </c>
      <c r="N795" s="21">
        <f>IF(J795="Yes","",IF(H795&gt;=I795,1,0))</f>
        <v/>
      </c>
      <c r="O795" s="21">
        <f>IF(I795&lt;=5000000,"Under $5M",IF(I795&lt;=20000000,"$5M-20M",IF(I795&lt;=50000000,"$20M-50M",IF(I795&lt;=100000000,"$50M-100M","$100M+"))))</f>
        <v/>
      </c>
      <c r="P795" s="21">
        <f>IF(E795&lt;=90,"90 or less",IF(E795&lt;=105,"91-105",IF(E795&lt;=120,"106-120",IF(E795&lt;=140,"121-140","Over 140"))))</f>
        <v/>
      </c>
      <c r="Q795" s="28">
        <f>INT(C795/10)*10</f>
        <v/>
      </c>
    </row>
    <row r="796">
      <c r="A796" s="21" t="n">
        <v>818</v>
      </c>
      <c r="B796" s="21" t="inlineStr">
        <is>
          <t>Welcome to the Dollhouse</t>
        </is>
      </c>
      <c r="C796" s="21" t="n">
        <v>1995</v>
      </c>
      <c r="D796" s="21" t="inlineStr">
        <is>
          <t>USA</t>
        </is>
      </c>
      <c r="E796" s="21" t="n">
        <v>88</v>
      </c>
      <c r="F796" s="21" t="inlineStr">
        <is>
          <t>English</t>
        </is>
      </c>
      <c r="G796" s="21" t="inlineStr">
        <is>
          <t>R</t>
        </is>
      </c>
      <c r="H796" s="22" t="n">
        <v>4771000</v>
      </c>
      <c r="I796" s="22" t="n">
        <v>800000</v>
      </c>
      <c r="J796" s="21">
        <f>IF(OR(H796="",H796=25529689.5),"Yes","No")</f>
        <v/>
      </c>
      <c r="K796" s="21">
        <f>IF(AND(D796="USA",C796&gt;=1980,J796="No"),"Yes","No")</f>
        <v/>
      </c>
      <c r="L796" s="26">
        <f>IF(J796="Yes","",H796-I796)</f>
        <v/>
      </c>
      <c r="M796" s="27">
        <f>IF(OR(J796="Yes",I796=0),"",H796/I796)</f>
        <v/>
      </c>
      <c r="N796" s="21">
        <f>IF(J796="Yes","",IF(H796&gt;=I796,1,0))</f>
        <v/>
      </c>
      <c r="O796" s="21">
        <f>IF(I796&lt;=5000000,"Under $5M",IF(I796&lt;=20000000,"$5M-20M",IF(I796&lt;=50000000,"$20M-50M",IF(I796&lt;=100000000,"$50M-100M","$100M+"))))</f>
        <v/>
      </c>
      <c r="P796" s="21">
        <f>IF(E796&lt;=90,"90 or less",IF(E796&lt;=105,"91-105",IF(E796&lt;=120,"106-120",IF(E796&lt;=140,"121-140","Over 140"))))</f>
        <v/>
      </c>
      <c r="Q796" s="28">
        <f>INT(C796/10)*10</f>
        <v/>
      </c>
    </row>
    <row r="797">
      <c r="A797" s="21" t="n">
        <v>819</v>
      </c>
      <c r="B797" s="21" t="inlineStr">
        <is>
          <t>A Thin Line Between Love and Hate</t>
        </is>
      </c>
      <c r="C797" s="21" t="n">
        <v>1996</v>
      </c>
      <c r="D797" s="21" t="inlineStr">
        <is>
          <t>USA</t>
        </is>
      </c>
      <c r="E797" s="21" t="n">
        <v>108</v>
      </c>
      <c r="F797" s="21" t="inlineStr">
        <is>
          <t>English</t>
        </is>
      </c>
      <c r="G797" s="21" t="inlineStr">
        <is>
          <t>R</t>
        </is>
      </c>
      <c r="H797" s="22" t="n">
        <v>34746109</v>
      </c>
      <c r="I797" s="22" t="n">
        <v>8000000</v>
      </c>
      <c r="J797" s="21">
        <f>IF(OR(H797="",H797=25529689.5),"Yes","No")</f>
        <v/>
      </c>
      <c r="K797" s="21">
        <f>IF(AND(D797="USA",C797&gt;=1980,J797="No"),"Yes","No")</f>
        <v/>
      </c>
      <c r="L797" s="26">
        <f>IF(J797="Yes","",H797-I797)</f>
        <v/>
      </c>
      <c r="M797" s="27">
        <f>IF(OR(J797="Yes",I797=0),"",H797/I797)</f>
        <v/>
      </c>
      <c r="N797" s="21">
        <f>IF(J797="Yes","",IF(H797&gt;=I797,1,0))</f>
        <v/>
      </c>
      <c r="O797" s="21">
        <f>IF(I797&lt;=5000000,"Under $5M",IF(I797&lt;=20000000,"$5M-20M",IF(I797&lt;=50000000,"$20M-50M",IF(I797&lt;=100000000,"$50M-100M","$100M+"))))</f>
        <v/>
      </c>
      <c r="P797" s="21">
        <f>IF(E797&lt;=90,"90 or less",IF(E797&lt;=105,"91-105",IF(E797&lt;=120,"106-120",IF(E797&lt;=140,"121-140","Over 140"))))</f>
        <v/>
      </c>
      <c r="Q797" s="28">
        <f>INT(C797/10)*10</f>
        <v/>
      </c>
    </row>
    <row r="798">
      <c r="A798" s="21" t="n">
        <v>820</v>
      </c>
      <c r="B798" s="21" t="inlineStr">
        <is>
          <t>A Time to Kill</t>
        </is>
      </c>
      <c r="C798" s="21" t="n">
        <v>1996</v>
      </c>
      <c r="D798" s="21" t="inlineStr">
        <is>
          <t>USA</t>
        </is>
      </c>
      <c r="E798" s="21" t="n">
        <v>149</v>
      </c>
      <c r="F798" s="21" t="inlineStr">
        <is>
          <t>English</t>
        </is>
      </c>
      <c r="G798" s="21" t="inlineStr">
        <is>
          <t>R</t>
        </is>
      </c>
      <c r="H798" s="22" t="n">
        <v>108706165</v>
      </c>
      <c r="I798" s="22" t="n">
        <v>40000000</v>
      </c>
      <c r="J798" s="21">
        <f>IF(OR(H798="",H798=25529689.5),"Yes","No")</f>
        <v/>
      </c>
      <c r="K798" s="21">
        <f>IF(AND(D798="USA",C798&gt;=1980,J798="No"),"Yes","No")</f>
        <v/>
      </c>
      <c r="L798" s="26">
        <f>IF(J798="Yes","",H798-I798)</f>
        <v/>
      </c>
      <c r="M798" s="27">
        <f>IF(OR(J798="Yes",I798=0),"",H798/I798)</f>
        <v/>
      </c>
      <c r="N798" s="21">
        <f>IF(J798="Yes","",IF(H798&gt;=I798,1,0))</f>
        <v/>
      </c>
      <c r="O798" s="21">
        <f>IF(I798&lt;=5000000,"Under $5M",IF(I798&lt;=20000000,"$5M-20M",IF(I798&lt;=50000000,"$20M-50M",IF(I798&lt;=100000000,"$50M-100M","$100M+"))))</f>
        <v/>
      </c>
      <c r="P798" s="21">
        <f>IF(E798&lt;=90,"90 or less",IF(E798&lt;=105,"91-105",IF(E798&lt;=120,"106-120",IF(E798&lt;=140,"121-140","Over 140"))))</f>
        <v/>
      </c>
      <c r="Q798" s="28">
        <f>INT(C798/10)*10</f>
        <v/>
      </c>
    </row>
    <row r="799">
      <c r="A799" s="21" t="n">
        <v>821</v>
      </c>
      <c r="B799" s="21" t="inlineStr">
        <is>
          <t>Albino Alligator</t>
        </is>
      </c>
      <c r="C799" s="21" t="n">
        <v>1996</v>
      </c>
      <c r="D799" s="21" t="inlineStr">
        <is>
          <t>USA</t>
        </is>
      </c>
      <c r="E799" s="21" t="n">
        <v>97</v>
      </c>
      <c r="F799" s="21" t="inlineStr">
        <is>
          <t>English</t>
        </is>
      </c>
      <c r="G799" s="21" t="inlineStr">
        <is>
          <t>R</t>
        </is>
      </c>
      <c r="H799" s="22" t="n">
        <v>326308</v>
      </c>
      <c r="I799" s="22" t="n">
        <v>5000000</v>
      </c>
      <c r="J799" s="21">
        <f>IF(OR(H799="",H799=25529689.5),"Yes","No")</f>
        <v/>
      </c>
      <c r="K799" s="21">
        <f>IF(AND(D799="USA",C799&gt;=1980,J799="No"),"Yes","No")</f>
        <v/>
      </c>
      <c r="L799" s="26">
        <f>IF(J799="Yes","",H799-I799)</f>
        <v/>
      </c>
      <c r="M799" s="27">
        <f>IF(OR(J799="Yes",I799=0),"",H799/I799)</f>
        <v/>
      </c>
      <c r="N799" s="21">
        <f>IF(J799="Yes","",IF(H799&gt;=I799,1,0))</f>
        <v/>
      </c>
      <c r="O799" s="21">
        <f>IF(I799&lt;=5000000,"Under $5M",IF(I799&lt;=20000000,"$5M-20M",IF(I799&lt;=50000000,"$20M-50M",IF(I799&lt;=100000000,"$50M-100M","$100M+"))))</f>
        <v/>
      </c>
      <c r="P799" s="21">
        <f>IF(E799&lt;=90,"90 or less",IF(E799&lt;=105,"91-105",IF(E799&lt;=120,"106-120",IF(E799&lt;=140,"121-140","Over 140"))))</f>
        <v/>
      </c>
      <c r="Q799" s="28">
        <f>INT(C799/10)*10</f>
        <v/>
      </c>
    </row>
    <row r="800">
      <c r="A800" s="21" t="n">
        <v>822</v>
      </c>
      <c r="B800" s="21" t="inlineStr">
        <is>
          <t>Basquiat</t>
        </is>
      </c>
      <c r="C800" s="21" t="n">
        <v>1996</v>
      </c>
      <c r="D800" s="21" t="inlineStr">
        <is>
          <t>USA</t>
        </is>
      </c>
      <c r="E800" s="21" t="n">
        <v>108</v>
      </c>
      <c r="F800" s="21" t="inlineStr">
        <is>
          <t>English</t>
        </is>
      </c>
      <c r="G800" s="21" t="inlineStr">
        <is>
          <t>R</t>
        </is>
      </c>
      <c r="H800" s="22" t="n">
        <v>2961991</v>
      </c>
      <c r="I800" s="22" t="n">
        <v>3300000</v>
      </c>
      <c r="J800" s="21">
        <f>IF(OR(H800="",H800=25529689.5),"Yes","No")</f>
        <v/>
      </c>
      <c r="K800" s="21">
        <f>IF(AND(D800="USA",C800&gt;=1980,J800="No"),"Yes","No")</f>
        <v/>
      </c>
      <c r="L800" s="26">
        <f>IF(J800="Yes","",H800-I800)</f>
        <v/>
      </c>
      <c r="M800" s="27">
        <f>IF(OR(J800="Yes",I800=0),"",H800/I800)</f>
        <v/>
      </c>
      <c r="N800" s="21">
        <f>IF(J800="Yes","",IF(H800&gt;=I800,1,0))</f>
        <v/>
      </c>
      <c r="O800" s="21">
        <f>IF(I800&lt;=5000000,"Under $5M",IF(I800&lt;=20000000,"$5M-20M",IF(I800&lt;=50000000,"$20M-50M",IF(I800&lt;=100000000,"$50M-100M","$100M+"))))</f>
        <v/>
      </c>
      <c r="P800" s="21">
        <f>IF(E800&lt;=90,"90 or less",IF(E800&lt;=105,"91-105",IF(E800&lt;=120,"106-120",IF(E800&lt;=140,"121-140","Over 140"))))</f>
        <v/>
      </c>
      <c r="Q800" s="28">
        <f>INT(C800/10)*10</f>
        <v/>
      </c>
    </row>
    <row r="801">
      <c r="A801" s="21" t="n">
        <v>823</v>
      </c>
      <c r="B801" s="21" t="inlineStr">
        <is>
          <t>Beavis and Butt-Head Do America</t>
        </is>
      </c>
      <c r="C801" s="21" t="n">
        <v>1996</v>
      </c>
      <c r="D801" s="21" t="inlineStr">
        <is>
          <t>USA</t>
        </is>
      </c>
      <c r="E801" s="21" t="n">
        <v>81</v>
      </c>
      <c r="F801" s="21" t="inlineStr">
        <is>
          <t>English</t>
        </is>
      </c>
      <c r="G801" s="21" t="inlineStr">
        <is>
          <t>PG-13</t>
        </is>
      </c>
      <c r="H801" s="22" t="n">
        <v>63071133</v>
      </c>
      <c r="I801" s="22" t="n">
        <v>12000000</v>
      </c>
      <c r="J801" s="21">
        <f>IF(OR(H801="",H801=25529689.5),"Yes","No")</f>
        <v/>
      </c>
      <c r="K801" s="21">
        <f>IF(AND(D801="USA",C801&gt;=1980,J801="No"),"Yes","No")</f>
        <v/>
      </c>
      <c r="L801" s="26">
        <f>IF(J801="Yes","",H801-I801)</f>
        <v/>
      </c>
      <c r="M801" s="27">
        <f>IF(OR(J801="Yes",I801=0),"",H801/I801)</f>
        <v/>
      </c>
      <c r="N801" s="21">
        <f>IF(J801="Yes","",IF(H801&gt;=I801,1,0))</f>
        <v/>
      </c>
      <c r="O801" s="21">
        <f>IF(I801&lt;=5000000,"Under $5M",IF(I801&lt;=20000000,"$5M-20M",IF(I801&lt;=50000000,"$20M-50M",IF(I801&lt;=100000000,"$50M-100M","$100M+"))))</f>
        <v/>
      </c>
      <c r="P801" s="21">
        <f>IF(E801&lt;=90,"90 or less",IF(E801&lt;=105,"91-105",IF(E801&lt;=120,"106-120",IF(E801&lt;=140,"121-140","Over 140"))))</f>
        <v/>
      </c>
      <c r="Q801" s="28">
        <f>INT(C801/10)*10</f>
        <v/>
      </c>
    </row>
    <row r="802">
      <c r="A802" s="21" t="n">
        <v>824</v>
      </c>
      <c r="B802" s="21" t="inlineStr">
        <is>
          <t>Blood and Wine</t>
        </is>
      </c>
      <c r="C802" s="21" t="n">
        <v>1996</v>
      </c>
      <c r="D802" s="21" t="inlineStr">
        <is>
          <t>USA</t>
        </is>
      </c>
      <c r="E802" s="21" t="n">
        <v>101</v>
      </c>
      <c r="F802" s="21" t="inlineStr">
        <is>
          <t>English</t>
        </is>
      </c>
      <c r="G802" s="21" t="inlineStr">
        <is>
          <t>R</t>
        </is>
      </c>
      <c r="H802" s="22" t="n">
        <v>1075288</v>
      </c>
      <c r="I802" s="22" t="n">
        <v>22000000</v>
      </c>
      <c r="J802" s="21">
        <f>IF(OR(H802="",H802=25529689.5),"Yes","No")</f>
        <v/>
      </c>
      <c r="K802" s="21">
        <f>IF(AND(D802="USA",C802&gt;=1980,J802="No"),"Yes","No")</f>
        <v/>
      </c>
      <c r="L802" s="26">
        <f>IF(J802="Yes","",H802-I802)</f>
        <v/>
      </c>
      <c r="M802" s="27">
        <f>IF(OR(J802="Yes",I802=0),"",H802/I802)</f>
        <v/>
      </c>
      <c r="N802" s="21">
        <f>IF(J802="Yes","",IF(H802&gt;=I802,1,0))</f>
        <v/>
      </c>
      <c r="O802" s="21">
        <f>IF(I802&lt;=5000000,"Under $5M",IF(I802&lt;=20000000,"$5M-20M",IF(I802&lt;=50000000,"$20M-50M",IF(I802&lt;=100000000,"$50M-100M","$100M+"))))</f>
        <v/>
      </c>
      <c r="P802" s="21">
        <f>IF(E802&lt;=90,"90 or less",IF(E802&lt;=105,"91-105",IF(E802&lt;=120,"106-120",IF(E802&lt;=140,"121-140","Over 140"))))</f>
        <v/>
      </c>
      <c r="Q802" s="28">
        <f>INT(C802/10)*10</f>
        <v/>
      </c>
    </row>
    <row r="803">
      <c r="A803" s="21" t="n">
        <v>825</v>
      </c>
      <c r="B803" s="21" t="inlineStr">
        <is>
          <t>Bogus</t>
        </is>
      </c>
      <c r="C803" s="21" t="n">
        <v>1996</v>
      </c>
      <c r="D803" s="21" t="inlineStr">
        <is>
          <t>USA</t>
        </is>
      </c>
      <c r="E803" s="21" t="n">
        <v>110</v>
      </c>
      <c r="F803" s="21" t="inlineStr">
        <is>
          <t>English</t>
        </is>
      </c>
      <c r="G803" s="21" t="inlineStr">
        <is>
          <t>PG</t>
        </is>
      </c>
      <c r="H803" s="22" t="n">
        <v>4357000</v>
      </c>
      <c r="I803" s="22" t="n">
        <v>30000000</v>
      </c>
      <c r="J803" s="21">
        <f>IF(OR(H803="",H803=25529689.5),"Yes","No")</f>
        <v/>
      </c>
      <c r="K803" s="21">
        <f>IF(AND(D803="USA",C803&gt;=1980,J803="No"),"Yes","No")</f>
        <v/>
      </c>
      <c r="L803" s="26">
        <f>IF(J803="Yes","",H803-I803)</f>
        <v/>
      </c>
      <c r="M803" s="27">
        <f>IF(OR(J803="Yes",I803=0),"",H803/I803)</f>
        <v/>
      </c>
      <c r="N803" s="21">
        <f>IF(J803="Yes","",IF(H803&gt;=I803,1,0))</f>
        <v/>
      </c>
      <c r="O803" s="21">
        <f>IF(I803&lt;=5000000,"Under $5M",IF(I803&lt;=20000000,"$5M-20M",IF(I803&lt;=50000000,"$20M-50M",IF(I803&lt;=100000000,"$50M-100M","$100M+"))))</f>
        <v/>
      </c>
      <c r="P803" s="21">
        <f>IF(E803&lt;=90,"90 or less",IF(E803&lt;=105,"91-105",IF(E803&lt;=120,"106-120",IF(E803&lt;=140,"121-140","Over 140"))))</f>
        <v/>
      </c>
      <c r="Q803" s="28">
        <f>INT(C803/10)*10</f>
        <v/>
      </c>
    </row>
    <row r="804">
      <c r="A804" s="21" t="n">
        <v>826</v>
      </c>
      <c r="B804" s="21" t="inlineStr">
        <is>
          <t>Bottle Rocket</t>
        </is>
      </c>
      <c r="C804" s="21" t="n">
        <v>1996</v>
      </c>
      <c r="D804" s="21" t="inlineStr">
        <is>
          <t>USA</t>
        </is>
      </c>
      <c r="E804" s="21" t="n">
        <v>91</v>
      </c>
      <c r="F804" s="21" t="inlineStr">
        <is>
          <t>English</t>
        </is>
      </c>
      <c r="G804" s="21" t="inlineStr">
        <is>
          <t>R</t>
        </is>
      </c>
      <c r="H804" s="22" t="n">
        <v>1040879</v>
      </c>
      <c r="I804" s="22" t="n">
        <v>7000000</v>
      </c>
      <c r="J804" s="21">
        <f>IF(OR(H804="",H804=25529689.5),"Yes","No")</f>
        <v/>
      </c>
      <c r="K804" s="21">
        <f>IF(AND(D804="USA",C804&gt;=1980,J804="No"),"Yes","No")</f>
        <v/>
      </c>
      <c r="L804" s="26">
        <f>IF(J804="Yes","",H804-I804)</f>
        <v/>
      </c>
      <c r="M804" s="27">
        <f>IF(OR(J804="Yes",I804=0),"",H804/I804)</f>
        <v/>
      </c>
      <c r="N804" s="21">
        <f>IF(J804="Yes","",IF(H804&gt;=I804,1,0))</f>
        <v/>
      </c>
      <c r="O804" s="21">
        <f>IF(I804&lt;=5000000,"Under $5M",IF(I804&lt;=20000000,"$5M-20M",IF(I804&lt;=50000000,"$20M-50M",IF(I804&lt;=100000000,"$50M-100M","$100M+"))))</f>
        <v/>
      </c>
      <c r="P804" s="21">
        <f>IF(E804&lt;=90,"90 or less",IF(E804&lt;=105,"91-105",IF(E804&lt;=120,"106-120",IF(E804&lt;=140,"121-140","Over 140"))))</f>
        <v/>
      </c>
      <c r="Q804" s="28">
        <f>INT(C804/10)*10</f>
        <v/>
      </c>
    </row>
    <row r="805">
      <c r="A805" s="21" t="n">
        <v>827</v>
      </c>
      <c r="B805" s="21" t="inlineStr">
        <is>
          <t>Bound</t>
        </is>
      </c>
      <c r="C805" s="21" t="n">
        <v>1996</v>
      </c>
      <c r="D805" s="21" t="inlineStr">
        <is>
          <t>USA</t>
        </is>
      </c>
      <c r="E805" s="21" t="n">
        <v>109</v>
      </c>
      <c r="F805" s="21" t="inlineStr">
        <is>
          <t>English</t>
        </is>
      </c>
      <c r="G805" s="21" t="inlineStr">
        <is>
          <t>R</t>
        </is>
      </c>
      <c r="H805" s="22" t="n">
        <v>3798532</v>
      </c>
      <c r="I805" s="22" t="n">
        <v>4500000</v>
      </c>
      <c r="J805" s="21">
        <f>IF(OR(H805="",H805=25529689.5),"Yes","No")</f>
        <v/>
      </c>
      <c r="K805" s="21">
        <f>IF(AND(D805="USA",C805&gt;=1980,J805="No"),"Yes","No")</f>
        <v/>
      </c>
      <c r="L805" s="26">
        <f>IF(J805="Yes","",H805-I805)</f>
        <v/>
      </c>
      <c r="M805" s="27">
        <f>IF(OR(J805="Yes",I805=0),"",H805/I805)</f>
        <v/>
      </c>
      <c r="N805" s="21">
        <f>IF(J805="Yes","",IF(H805&gt;=I805,1,0))</f>
        <v/>
      </c>
      <c r="O805" s="21">
        <f>IF(I805&lt;=5000000,"Under $5M",IF(I805&lt;=20000000,"$5M-20M",IF(I805&lt;=50000000,"$20M-50M",IF(I805&lt;=100000000,"$50M-100M","$100M+"))))</f>
        <v/>
      </c>
      <c r="P805" s="21">
        <f>IF(E805&lt;=90,"90 or less",IF(E805&lt;=105,"91-105",IF(E805&lt;=120,"106-120",IF(E805&lt;=140,"121-140","Over 140"))))</f>
        <v/>
      </c>
      <c r="Q805" s="28">
        <f>INT(C805/10)*10</f>
        <v/>
      </c>
    </row>
    <row r="806">
      <c r="A806" s="21" t="n">
        <v>828</v>
      </c>
      <c r="B806" s="21" t="inlineStr">
        <is>
          <t>Broken Arrow</t>
        </is>
      </c>
      <c r="C806" s="21" t="n">
        <v>1996</v>
      </c>
      <c r="D806" s="21" t="inlineStr">
        <is>
          <t>USA</t>
        </is>
      </c>
      <c r="E806" s="21" t="n">
        <v>108</v>
      </c>
      <c r="F806" s="21" t="inlineStr">
        <is>
          <t>English</t>
        </is>
      </c>
      <c r="G806" s="21" t="inlineStr">
        <is>
          <t>R</t>
        </is>
      </c>
      <c r="H806" s="22" t="n">
        <v>70450000</v>
      </c>
      <c r="I806" s="22" t="n">
        <v>50000000</v>
      </c>
      <c r="J806" s="21">
        <f>IF(OR(H806="",H806=25529689.5),"Yes","No")</f>
        <v/>
      </c>
      <c r="K806" s="21">
        <f>IF(AND(D806="USA",C806&gt;=1980,J806="No"),"Yes","No")</f>
        <v/>
      </c>
      <c r="L806" s="26">
        <f>IF(J806="Yes","",H806-I806)</f>
        <v/>
      </c>
      <c r="M806" s="27">
        <f>IF(OR(J806="Yes",I806=0),"",H806/I806)</f>
        <v/>
      </c>
      <c r="N806" s="21">
        <f>IF(J806="Yes","",IF(H806&gt;=I806,1,0))</f>
        <v/>
      </c>
      <c r="O806" s="21">
        <f>IF(I806&lt;=5000000,"Under $5M",IF(I806&lt;=20000000,"$5M-20M",IF(I806&lt;=50000000,"$20M-50M",IF(I806&lt;=100000000,"$50M-100M","$100M+"))))</f>
        <v/>
      </c>
      <c r="P806" s="21">
        <f>IF(E806&lt;=90,"90 or less",IF(E806&lt;=105,"91-105",IF(E806&lt;=120,"106-120",IF(E806&lt;=140,"121-140","Over 140"))))</f>
        <v/>
      </c>
      <c r="Q806" s="28">
        <f>INT(C806/10)*10</f>
        <v/>
      </c>
    </row>
    <row r="807">
      <c r="A807" s="21" t="n">
        <v>829</v>
      </c>
      <c r="B807" s="21" t="inlineStr">
        <is>
          <t>Chain Reaction</t>
        </is>
      </c>
      <c r="C807" s="21" t="n">
        <v>1996</v>
      </c>
      <c r="D807" s="21" t="inlineStr">
        <is>
          <t>USA</t>
        </is>
      </c>
      <c r="E807" s="21" t="n">
        <v>107</v>
      </c>
      <c r="F807" s="21" t="inlineStr">
        <is>
          <t>English</t>
        </is>
      </c>
      <c r="G807" s="21" t="inlineStr">
        <is>
          <t>PG-13</t>
        </is>
      </c>
      <c r="H807" s="22" t="n">
        <v>20550712</v>
      </c>
      <c r="I807" s="22" t="n">
        <v>50000000</v>
      </c>
      <c r="J807" s="21">
        <f>IF(OR(H807="",H807=25529689.5),"Yes","No")</f>
        <v/>
      </c>
      <c r="K807" s="21">
        <f>IF(AND(D807="USA",C807&gt;=1980,J807="No"),"Yes","No")</f>
        <v/>
      </c>
      <c r="L807" s="26">
        <f>IF(J807="Yes","",H807-I807)</f>
        <v/>
      </c>
      <c r="M807" s="27">
        <f>IF(OR(J807="Yes",I807=0),"",H807/I807)</f>
        <v/>
      </c>
      <c r="N807" s="21">
        <f>IF(J807="Yes","",IF(H807&gt;=I807,1,0))</f>
        <v/>
      </c>
      <c r="O807" s="21">
        <f>IF(I807&lt;=5000000,"Under $5M",IF(I807&lt;=20000000,"$5M-20M",IF(I807&lt;=50000000,"$20M-50M",IF(I807&lt;=100000000,"$50M-100M","$100M+"))))</f>
        <v/>
      </c>
      <c r="P807" s="21">
        <f>IF(E807&lt;=90,"90 or less",IF(E807&lt;=105,"91-105",IF(E807&lt;=120,"106-120",IF(E807&lt;=140,"121-140","Over 140"))))</f>
        <v/>
      </c>
      <c r="Q807" s="28">
        <f>INT(C807/10)*10</f>
        <v/>
      </c>
    </row>
    <row r="808">
      <c r="A808" s="21" t="n">
        <v>830</v>
      </c>
      <c r="B808" s="21" t="inlineStr">
        <is>
          <t>City Hall</t>
        </is>
      </c>
      <c r="C808" s="21" t="n">
        <v>1996</v>
      </c>
      <c r="D808" s="21" t="inlineStr">
        <is>
          <t>USA</t>
        </is>
      </c>
      <c r="E808" s="21" t="n">
        <v>111</v>
      </c>
      <c r="F808" s="21" t="inlineStr">
        <is>
          <t>English</t>
        </is>
      </c>
      <c r="G808" s="21" t="inlineStr">
        <is>
          <t>R</t>
        </is>
      </c>
      <c r="H808" s="22" t="n">
        <v>20300000</v>
      </c>
      <c r="I808" s="22" t="n">
        <v>40000000</v>
      </c>
      <c r="J808" s="21">
        <f>IF(OR(H808="",H808=25529689.5),"Yes","No")</f>
        <v/>
      </c>
      <c r="K808" s="21">
        <f>IF(AND(D808="USA",C808&gt;=1980,J808="No"),"Yes","No")</f>
        <v/>
      </c>
      <c r="L808" s="26">
        <f>IF(J808="Yes","",H808-I808)</f>
        <v/>
      </c>
      <c r="M808" s="27">
        <f>IF(OR(J808="Yes",I808=0),"",H808/I808)</f>
        <v/>
      </c>
      <c r="N808" s="21">
        <f>IF(J808="Yes","",IF(H808&gt;=I808,1,0))</f>
        <v/>
      </c>
      <c r="O808" s="21">
        <f>IF(I808&lt;=5000000,"Under $5M",IF(I808&lt;=20000000,"$5M-20M",IF(I808&lt;=50000000,"$20M-50M",IF(I808&lt;=100000000,"$50M-100M","$100M+"))))</f>
        <v/>
      </c>
      <c r="P808" s="21">
        <f>IF(E808&lt;=90,"90 or less",IF(E808&lt;=105,"91-105",IF(E808&lt;=120,"106-120",IF(E808&lt;=140,"121-140","Over 140"))))</f>
        <v/>
      </c>
      <c r="Q808" s="28">
        <f>INT(C808/10)*10</f>
        <v/>
      </c>
    </row>
    <row r="809">
      <c r="A809" s="21" t="n">
        <v>831</v>
      </c>
      <c r="B809" s="21" t="inlineStr">
        <is>
          <t>Courage Under Fire</t>
        </is>
      </c>
      <c r="C809" s="21" t="n">
        <v>1996</v>
      </c>
      <c r="D809" s="21" t="inlineStr">
        <is>
          <t>USA</t>
        </is>
      </c>
      <c r="E809" s="21" t="n">
        <v>116</v>
      </c>
      <c r="F809" s="21" t="inlineStr">
        <is>
          <t>English</t>
        </is>
      </c>
      <c r="G809" s="21" t="inlineStr">
        <is>
          <t>R</t>
        </is>
      </c>
      <c r="H809" s="22" t="n">
        <v>58918501</v>
      </c>
      <c r="I809" s="22" t="n">
        <v>46000000</v>
      </c>
      <c r="J809" s="21">
        <f>IF(OR(H809="",H809=25529689.5),"Yes","No")</f>
        <v/>
      </c>
      <c r="K809" s="21">
        <f>IF(AND(D809="USA",C809&gt;=1980,J809="No"),"Yes","No")</f>
        <v/>
      </c>
      <c r="L809" s="26">
        <f>IF(J809="Yes","",H809-I809)</f>
        <v/>
      </c>
      <c r="M809" s="27">
        <f>IF(OR(J809="Yes",I809=0),"",H809/I809)</f>
        <v/>
      </c>
      <c r="N809" s="21">
        <f>IF(J809="Yes","",IF(H809&gt;=I809,1,0))</f>
        <v/>
      </c>
      <c r="O809" s="21">
        <f>IF(I809&lt;=5000000,"Under $5M",IF(I809&lt;=20000000,"$5M-20M",IF(I809&lt;=50000000,"$20M-50M",IF(I809&lt;=100000000,"$50M-100M","$100M+"))))</f>
        <v/>
      </c>
      <c r="P809" s="21">
        <f>IF(E809&lt;=90,"90 or less",IF(E809&lt;=105,"91-105",IF(E809&lt;=120,"106-120",IF(E809&lt;=140,"121-140","Over 140"))))</f>
        <v/>
      </c>
      <c r="Q809" s="28">
        <f>INT(C809/10)*10</f>
        <v/>
      </c>
    </row>
    <row r="810">
      <c r="A810" s="21" t="n">
        <v>832</v>
      </c>
      <c r="B810" s="21" t="inlineStr">
        <is>
          <t>Daylight</t>
        </is>
      </c>
      <c r="C810" s="21" t="n">
        <v>1996</v>
      </c>
      <c r="D810" s="21" t="inlineStr">
        <is>
          <t>USA</t>
        </is>
      </c>
      <c r="E810" s="21" t="n">
        <v>114</v>
      </c>
      <c r="F810" s="21" t="inlineStr">
        <is>
          <t>English</t>
        </is>
      </c>
      <c r="G810" s="21" t="inlineStr">
        <is>
          <t>PG-13</t>
        </is>
      </c>
      <c r="H810" s="22" t="n">
        <v>32885565</v>
      </c>
      <c r="I810" s="22" t="n">
        <v>80000000</v>
      </c>
      <c r="J810" s="21">
        <f>IF(OR(H810="",H810=25529689.5),"Yes","No")</f>
        <v/>
      </c>
      <c r="K810" s="21">
        <f>IF(AND(D810="USA",C810&gt;=1980,J810="No"),"Yes","No")</f>
        <v/>
      </c>
      <c r="L810" s="26">
        <f>IF(J810="Yes","",H810-I810)</f>
        <v/>
      </c>
      <c r="M810" s="27">
        <f>IF(OR(J810="Yes",I810=0),"",H810/I810)</f>
        <v/>
      </c>
      <c r="N810" s="21">
        <f>IF(J810="Yes","",IF(H810&gt;=I810,1,0))</f>
        <v/>
      </c>
      <c r="O810" s="21">
        <f>IF(I810&lt;=5000000,"Under $5M",IF(I810&lt;=20000000,"$5M-20M",IF(I810&lt;=50000000,"$20M-50M",IF(I810&lt;=100000000,"$50M-100M","$100M+"))))</f>
        <v/>
      </c>
      <c r="P810" s="21">
        <f>IF(E810&lt;=90,"90 or less",IF(E810&lt;=105,"91-105",IF(E810&lt;=120,"106-120",IF(E810&lt;=140,"121-140","Over 140"))))</f>
        <v/>
      </c>
      <c r="Q810" s="28">
        <f>INT(C810/10)*10</f>
        <v/>
      </c>
    </row>
    <row r="811">
      <c r="A811" s="21" t="n">
        <v>833</v>
      </c>
      <c r="B811" s="21" t="inlineStr">
        <is>
          <t>DragonHeart</t>
        </is>
      </c>
      <c r="C811" s="21" t="n">
        <v>1996</v>
      </c>
      <c r="D811" s="21" t="inlineStr">
        <is>
          <t>USA</t>
        </is>
      </c>
      <c r="E811" s="21" t="n">
        <v>103</v>
      </c>
      <c r="F811" s="21" t="inlineStr">
        <is>
          <t>English</t>
        </is>
      </c>
      <c r="G811" s="21" t="inlineStr">
        <is>
          <t>PG-13</t>
        </is>
      </c>
      <c r="H811" s="22" t="n">
        <v>51317350</v>
      </c>
      <c r="I811" s="22" t="n">
        <v>57000000</v>
      </c>
      <c r="J811" s="21">
        <f>IF(OR(H811="",H811=25529689.5),"Yes","No")</f>
        <v/>
      </c>
      <c r="K811" s="21">
        <f>IF(AND(D811="USA",C811&gt;=1980,J811="No"),"Yes","No")</f>
        <v/>
      </c>
      <c r="L811" s="26">
        <f>IF(J811="Yes","",H811-I811)</f>
        <v/>
      </c>
      <c r="M811" s="27">
        <f>IF(OR(J811="Yes",I811=0),"",H811/I811)</f>
        <v/>
      </c>
      <c r="N811" s="21">
        <f>IF(J811="Yes","",IF(H811&gt;=I811,1,0))</f>
        <v/>
      </c>
      <c r="O811" s="21">
        <f>IF(I811&lt;=5000000,"Under $5M",IF(I811&lt;=20000000,"$5M-20M",IF(I811&lt;=50000000,"$20M-50M",IF(I811&lt;=100000000,"$50M-100M","$100M+"))))</f>
        <v/>
      </c>
      <c r="P811" s="21">
        <f>IF(E811&lt;=90,"90 or less",IF(E811&lt;=105,"91-105",IF(E811&lt;=120,"106-120",IF(E811&lt;=140,"121-140","Over 140"))))</f>
        <v/>
      </c>
      <c r="Q811" s="28">
        <f>INT(C811/10)*10</f>
        <v/>
      </c>
    </row>
    <row r="812">
      <c r="A812" s="21" t="n">
        <v>834</v>
      </c>
      <c r="B812" s="21" t="inlineStr">
        <is>
          <t>Eraser</t>
        </is>
      </c>
      <c r="C812" s="21" t="n">
        <v>1996</v>
      </c>
      <c r="D812" s="21" t="inlineStr">
        <is>
          <t>USA</t>
        </is>
      </c>
      <c r="E812" s="21" t="n">
        <v>115</v>
      </c>
      <c r="F812" s="21" t="inlineStr">
        <is>
          <t>English</t>
        </is>
      </c>
      <c r="G812" s="21" t="inlineStr">
        <is>
          <t>R</t>
        </is>
      </c>
      <c r="H812" s="22" t="n">
        <v>101228120</v>
      </c>
      <c r="I812" s="22" t="n">
        <v>100000000</v>
      </c>
      <c r="J812" s="21">
        <f>IF(OR(H812="",H812=25529689.5),"Yes","No")</f>
        <v/>
      </c>
      <c r="K812" s="21">
        <f>IF(AND(D812="USA",C812&gt;=1980,J812="No"),"Yes","No")</f>
        <v/>
      </c>
      <c r="L812" s="26">
        <f>IF(J812="Yes","",H812-I812)</f>
        <v/>
      </c>
      <c r="M812" s="27">
        <f>IF(OR(J812="Yes",I812=0),"",H812/I812)</f>
        <v/>
      </c>
      <c r="N812" s="21">
        <f>IF(J812="Yes","",IF(H812&gt;=I812,1,0))</f>
        <v/>
      </c>
      <c r="O812" s="21">
        <f>IF(I812&lt;=5000000,"Under $5M",IF(I812&lt;=20000000,"$5M-20M",IF(I812&lt;=50000000,"$20M-50M",IF(I812&lt;=100000000,"$50M-100M","$100M+"))))</f>
        <v/>
      </c>
      <c r="P812" s="21">
        <f>IF(E812&lt;=90,"90 or less",IF(E812&lt;=105,"91-105",IF(E812&lt;=120,"106-120",IF(E812&lt;=140,"121-140","Over 140"))))</f>
        <v/>
      </c>
      <c r="Q812" s="28">
        <f>INT(C812/10)*10</f>
        <v/>
      </c>
    </row>
    <row r="813">
      <c r="A813" s="21" t="n">
        <v>835</v>
      </c>
      <c r="B813" s="21" t="inlineStr">
        <is>
          <t>Escape from L.A.</t>
        </is>
      </c>
      <c r="C813" s="21" t="n">
        <v>1996</v>
      </c>
      <c r="D813" s="21" t="inlineStr">
        <is>
          <t>USA</t>
        </is>
      </c>
      <c r="E813" s="21" t="n">
        <v>101</v>
      </c>
      <c r="F813" s="21" t="inlineStr">
        <is>
          <t>English</t>
        </is>
      </c>
      <c r="G813" s="21" t="inlineStr">
        <is>
          <t>R</t>
        </is>
      </c>
      <c r="H813" s="22" t="n">
        <v>25407250</v>
      </c>
      <c r="I813" s="22" t="n">
        <v>50000000</v>
      </c>
      <c r="J813" s="21">
        <f>IF(OR(H813="",H813=25529689.5),"Yes","No")</f>
        <v/>
      </c>
      <c r="K813" s="21">
        <f>IF(AND(D813="USA",C813&gt;=1980,J813="No"),"Yes","No")</f>
        <v/>
      </c>
      <c r="L813" s="26">
        <f>IF(J813="Yes","",H813-I813)</f>
        <v/>
      </c>
      <c r="M813" s="27">
        <f>IF(OR(J813="Yes",I813=0),"",H813/I813)</f>
        <v/>
      </c>
      <c r="N813" s="21">
        <f>IF(J813="Yes","",IF(H813&gt;=I813,1,0))</f>
        <v/>
      </c>
      <c r="O813" s="21">
        <f>IF(I813&lt;=5000000,"Under $5M",IF(I813&lt;=20000000,"$5M-20M",IF(I813&lt;=50000000,"$20M-50M",IF(I813&lt;=100000000,"$50M-100M","$100M+"))))</f>
        <v/>
      </c>
      <c r="P813" s="21">
        <f>IF(E813&lt;=90,"90 or less",IF(E813&lt;=105,"91-105",IF(E813&lt;=120,"106-120",IF(E813&lt;=140,"121-140","Over 140"))))</f>
        <v/>
      </c>
      <c r="Q813" s="28">
        <f>INT(C813/10)*10</f>
        <v/>
      </c>
    </row>
    <row r="814">
      <c r="A814" s="21" t="n">
        <v>836</v>
      </c>
      <c r="B814" s="21" t="inlineStr">
        <is>
          <t>Everyone Says I Love You</t>
        </is>
      </c>
      <c r="C814" s="21" t="n">
        <v>1996</v>
      </c>
      <c r="D814" s="21" t="inlineStr">
        <is>
          <t>USA</t>
        </is>
      </c>
      <c r="E814" s="21" t="n">
        <v>101</v>
      </c>
      <c r="F814" s="21" t="inlineStr">
        <is>
          <t>English</t>
        </is>
      </c>
      <c r="G814" s="21" t="inlineStr">
        <is>
          <t>R</t>
        </is>
      </c>
      <c r="H814" s="22" t="n">
        <v>9714482</v>
      </c>
      <c r="I814" s="22" t="n">
        <v>20000000</v>
      </c>
      <c r="J814" s="21">
        <f>IF(OR(H814="",H814=25529689.5),"Yes","No")</f>
        <v/>
      </c>
      <c r="K814" s="21">
        <f>IF(AND(D814="USA",C814&gt;=1980,J814="No"),"Yes","No")</f>
        <v/>
      </c>
      <c r="L814" s="26">
        <f>IF(J814="Yes","",H814-I814)</f>
        <v/>
      </c>
      <c r="M814" s="27">
        <f>IF(OR(J814="Yes",I814=0),"",H814/I814)</f>
        <v/>
      </c>
      <c r="N814" s="21">
        <f>IF(J814="Yes","",IF(H814&gt;=I814,1,0))</f>
        <v/>
      </c>
      <c r="O814" s="21">
        <f>IF(I814&lt;=5000000,"Under $5M",IF(I814&lt;=20000000,"$5M-20M",IF(I814&lt;=50000000,"$20M-50M",IF(I814&lt;=100000000,"$50M-100M","$100M+"))))</f>
        <v/>
      </c>
      <c r="P814" s="21">
        <f>IF(E814&lt;=90,"90 or less",IF(E814&lt;=105,"91-105",IF(E814&lt;=120,"106-120",IF(E814&lt;=140,"121-140","Over 140"))))</f>
        <v/>
      </c>
      <c r="Q814" s="28">
        <f>INT(C814/10)*10</f>
        <v/>
      </c>
    </row>
    <row r="815">
      <c r="A815" s="21" t="n">
        <v>837</v>
      </c>
      <c r="B815" s="21" t="inlineStr">
        <is>
          <t>Evita</t>
        </is>
      </c>
      <c r="C815" s="21" t="n">
        <v>1996</v>
      </c>
      <c r="D815" s="21" t="inlineStr">
        <is>
          <t>USA</t>
        </is>
      </c>
      <c r="E815" s="21" t="n">
        <v>135</v>
      </c>
      <c r="F815" s="21" t="inlineStr">
        <is>
          <t>English</t>
        </is>
      </c>
      <c r="G815" s="21" t="inlineStr">
        <is>
          <t>PG</t>
        </is>
      </c>
      <c r="H815" s="22" t="n">
        <v>49994804</v>
      </c>
      <c r="I815" s="22" t="n">
        <v>55000000</v>
      </c>
      <c r="J815" s="21">
        <f>IF(OR(H815="",H815=25529689.5),"Yes","No")</f>
        <v/>
      </c>
      <c r="K815" s="21">
        <f>IF(AND(D815="USA",C815&gt;=1980,J815="No"),"Yes","No")</f>
        <v/>
      </c>
      <c r="L815" s="26">
        <f>IF(J815="Yes","",H815-I815)</f>
        <v/>
      </c>
      <c r="M815" s="27">
        <f>IF(OR(J815="Yes",I815=0),"",H815/I815)</f>
        <v/>
      </c>
      <c r="N815" s="21">
        <f>IF(J815="Yes","",IF(H815&gt;=I815,1,0))</f>
        <v/>
      </c>
      <c r="O815" s="21">
        <f>IF(I815&lt;=5000000,"Under $5M",IF(I815&lt;=20000000,"$5M-20M",IF(I815&lt;=50000000,"$20M-50M",IF(I815&lt;=100000000,"$50M-100M","$100M+"))))</f>
        <v/>
      </c>
      <c r="P815" s="21">
        <f>IF(E815&lt;=90,"90 or less",IF(E815&lt;=105,"91-105",IF(E815&lt;=120,"106-120",IF(E815&lt;=140,"121-140","Over 140"))))</f>
        <v/>
      </c>
      <c r="Q815" s="28">
        <f>INT(C815/10)*10</f>
        <v/>
      </c>
    </row>
    <row r="816">
      <c r="A816" s="21" t="n">
        <v>838</v>
      </c>
      <c r="B816" s="21" t="inlineStr">
        <is>
          <t>Executive Decision</t>
        </is>
      </c>
      <c r="C816" s="21" t="n">
        <v>1996</v>
      </c>
      <c r="D816" s="21" t="inlineStr">
        <is>
          <t>USA</t>
        </is>
      </c>
      <c r="E816" s="21" t="n">
        <v>133</v>
      </c>
      <c r="F816" s="21" t="inlineStr">
        <is>
          <t>English</t>
        </is>
      </c>
      <c r="G816" s="21" t="inlineStr">
        <is>
          <t>R</t>
        </is>
      </c>
      <c r="H816" s="22" t="n">
        <v>68750000</v>
      </c>
      <c r="I816" s="22" t="n">
        <v>55000000</v>
      </c>
      <c r="J816" s="21">
        <f>IF(OR(H816="",H816=25529689.5),"Yes","No")</f>
        <v/>
      </c>
      <c r="K816" s="21">
        <f>IF(AND(D816="USA",C816&gt;=1980,J816="No"),"Yes","No")</f>
        <v/>
      </c>
      <c r="L816" s="26">
        <f>IF(J816="Yes","",H816-I816)</f>
        <v/>
      </c>
      <c r="M816" s="27">
        <f>IF(OR(J816="Yes",I816=0),"",H816/I816)</f>
        <v/>
      </c>
      <c r="N816" s="21">
        <f>IF(J816="Yes","",IF(H816&gt;=I816,1,0))</f>
        <v/>
      </c>
      <c r="O816" s="21">
        <f>IF(I816&lt;=5000000,"Under $5M",IF(I816&lt;=20000000,"$5M-20M",IF(I816&lt;=50000000,"$20M-50M",IF(I816&lt;=100000000,"$50M-100M","$100M+"))))</f>
        <v/>
      </c>
      <c r="P816" s="21">
        <f>IF(E816&lt;=90,"90 or less",IF(E816&lt;=105,"91-105",IF(E816&lt;=120,"106-120",IF(E816&lt;=140,"121-140","Over 140"))))</f>
        <v/>
      </c>
      <c r="Q816" s="28">
        <f>INT(C816/10)*10</f>
        <v/>
      </c>
    </row>
    <row r="817">
      <c r="A817" s="21" t="n">
        <v>839</v>
      </c>
      <c r="B817" s="21" t="inlineStr">
        <is>
          <t>Extreme Measures</t>
        </is>
      </c>
      <c r="C817" s="21" t="n">
        <v>1996</v>
      </c>
      <c r="D817" s="21" t="inlineStr">
        <is>
          <t>USA</t>
        </is>
      </c>
      <c r="E817" s="21" t="n">
        <v>118</v>
      </c>
      <c r="F817" s="21" t="inlineStr">
        <is>
          <t>English</t>
        </is>
      </c>
      <c r="G817" s="21" t="inlineStr">
        <is>
          <t>R</t>
        </is>
      </c>
      <c r="H817" s="22" t="n">
        <v>17305211</v>
      </c>
      <c r="I817" s="22" t="n">
        <v>38000000</v>
      </c>
      <c r="J817" s="21">
        <f>IF(OR(H817="",H817=25529689.5),"Yes","No")</f>
        <v/>
      </c>
      <c r="K817" s="21">
        <f>IF(AND(D817="USA",C817&gt;=1980,J817="No"),"Yes","No")</f>
        <v/>
      </c>
      <c r="L817" s="26">
        <f>IF(J817="Yes","",H817-I817)</f>
        <v/>
      </c>
      <c r="M817" s="27">
        <f>IF(OR(J817="Yes",I817=0),"",H817/I817)</f>
        <v/>
      </c>
      <c r="N817" s="21">
        <f>IF(J817="Yes","",IF(H817&gt;=I817,1,0))</f>
        <v/>
      </c>
      <c r="O817" s="21">
        <f>IF(I817&lt;=5000000,"Under $5M",IF(I817&lt;=20000000,"$5M-20M",IF(I817&lt;=50000000,"$20M-50M",IF(I817&lt;=100000000,"$50M-100M","$100M+"))))</f>
        <v/>
      </c>
      <c r="P817" s="21">
        <f>IF(E817&lt;=90,"90 or less",IF(E817&lt;=105,"91-105",IF(E817&lt;=120,"106-120",IF(E817&lt;=140,"121-140","Over 140"))))</f>
        <v/>
      </c>
      <c r="Q817" s="28">
        <f>INT(C817/10)*10</f>
        <v/>
      </c>
    </row>
    <row r="818">
      <c r="A818" s="21" t="n">
        <v>840</v>
      </c>
      <c r="B818" s="21" t="inlineStr">
        <is>
          <t>Eye for an Eye</t>
        </is>
      </c>
      <c r="C818" s="21" t="n">
        <v>1996</v>
      </c>
      <c r="D818" s="21" t="inlineStr">
        <is>
          <t>USA</t>
        </is>
      </c>
      <c r="E818" s="21" t="n">
        <v>101</v>
      </c>
      <c r="F818" s="21" t="inlineStr">
        <is>
          <t>English</t>
        </is>
      </c>
      <c r="G818" s="21" t="inlineStr">
        <is>
          <t>R</t>
        </is>
      </c>
      <c r="H818" s="22" t="n">
        <v>53146000</v>
      </c>
      <c r="I818" s="22" t="n">
        <v>20000000</v>
      </c>
      <c r="J818" s="21">
        <f>IF(OR(H818="",H818=25529689.5),"Yes","No")</f>
        <v/>
      </c>
      <c r="K818" s="21">
        <f>IF(AND(D818="USA",C818&gt;=1980,J818="No"),"Yes","No")</f>
        <v/>
      </c>
      <c r="L818" s="26">
        <f>IF(J818="Yes","",H818-I818)</f>
        <v/>
      </c>
      <c r="M818" s="27">
        <f>IF(OR(J818="Yes",I818=0),"",H818/I818)</f>
        <v/>
      </c>
      <c r="N818" s="21">
        <f>IF(J818="Yes","",IF(H818&gt;=I818,1,0))</f>
        <v/>
      </c>
      <c r="O818" s="21">
        <f>IF(I818&lt;=5000000,"Under $5M",IF(I818&lt;=20000000,"$5M-20M",IF(I818&lt;=50000000,"$20M-50M",IF(I818&lt;=100000000,"$50M-100M","$100M+"))))</f>
        <v/>
      </c>
      <c r="P818" s="21">
        <f>IF(E818&lt;=90,"90 or less",IF(E818&lt;=105,"91-105",IF(E818&lt;=120,"106-120",IF(E818&lt;=140,"121-140","Over 140"))))</f>
        <v/>
      </c>
      <c r="Q818" s="28">
        <f>INT(C818/10)*10</f>
        <v/>
      </c>
    </row>
    <row r="819">
      <c r="A819" s="21" t="n">
        <v>841</v>
      </c>
      <c r="B819" s="21" t="inlineStr">
        <is>
          <t>Faithful</t>
        </is>
      </c>
      <c r="C819" s="21" t="n">
        <v>1996</v>
      </c>
      <c r="D819" s="21" t="inlineStr">
        <is>
          <t>USA</t>
        </is>
      </c>
      <c r="E819" s="21" t="n">
        <v>91</v>
      </c>
      <c r="F819" s="21" t="inlineStr">
        <is>
          <t>English</t>
        </is>
      </c>
      <c r="G819" s="21" t="inlineStr">
        <is>
          <t>R</t>
        </is>
      </c>
      <c r="H819" s="22" t="n">
        <v>2104000</v>
      </c>
      <c r="I819" s="22" t="n">
        <v>13000000</v>
      </c>
      <c r="J819" s="21">
        <f>IF(OR(H819="",H819=25529689.5),"Yes","No")</f>
        <v/>
      </c>
      <c r="K819" s="21">
        <f>IF(AND(D819="USA",C819&gt;=1980,J819="No"),"Yes","No")</f>
        <v/>
      </c>
      <c r="L819" s="26">
        <f>IF(J819="Yes","",H819-I819)</f>
        <v/>
      </c>
      <c r="M819" s="27">
        <f>IF(OR(J819="Yes",I819=0),"",H819/I819)</f>
        <v/>
      </c>
      <c r="N819" s="21">
        <f>IF(J819="Yes","",IF(H819&gt;=I819,1,0))</f>
        <v/>
      </c>
      <c r="O819" s="21">
        <f>IF(I819&lt;=5000000,"Under $5M",IF(I819&lt;=20000000,"$5M-20M",IF(I819&lt;=50000000,"$20M-50M",IF(I819&lt;=100000000,"$50M-100M","$100M+"))))</f>
        <v/>
      </c>
      <c r="P819" s="21">
        <f>IF(E819&lt;=90,"90 or less",IF(E819&lt;=105,"91-105",IF(E819&lt;=120,"106-120",IF(E819&lt;=140,"121-140","Over 140"))))</f>
        <v/>
      </c>
      <c r="Q819" s="28">
        <f>INT(C819/10)*10</f>
        <v/>
      </c>
    </row>
    <row r="820">
      <c r="A820" s="21" t="n">
        <v>842</v>
      </c>
      <c r="B820" s="21" t="inlineStr">
        <is>
          <t>Fled</t>
        </is>
      </c>
      <c r="C820" s="21" t="n">
        <v>1996</v>
      </c>
      <c r="D820" s="21" t="inlineStr">
        <is>
          <t>USA</t>
        </is>
      </c>
      <c r="E820" s="21" t="n">
        <v>105</v>
      </c>
      <c r="F820" s="21" t="inlineStr">
        <is>
          <t>English</t>
        </is>
      </c>
      <c r="G820" s="21" t="inlineStr">
        <is>
          <t>R</t>
        </is>
      </c>
      <c r="H820" s="22" t="n">
        <v>17100000</v>
      </c>
      <c r="I820" s="22" t="n">
        <v>25000000</v>
      </c>
      <c r="J820" s="21">
        <f>IF(OR(H820="",H820=25529689.5),"Yes","No")</f>
        <v/>
      </c>
      <c r="K820" s="21">
        <f>IF(AND(D820="USA",C820&gt;=1980,J820="No"),"Yes","No")</f>
        <v/>
      </c>
      <c r="L820" s="26">
        <f>IF(J820="Yes","",H820-I820)</f>
        <v/>
      </c>
      <c r="M820" s="27">
        <f>IF(OR(J820="Yes",I820=0),"",H820/I820)</f>
        <v/>
      </c>
      <c r="N820" s="21">
        <f>IF(J820="Yes","",IF(H820&gt;=I820,1,0))</f>
        <v/>
      </c>
      <c r="O820" s="21">
        <f>IF(I820&lt;=5000000,"Under $5M",IF(I820&lt;=20000000,"$5M-20M",IF(I820&lt;=50000000,"$20M-50M",IF(I820&lt;=100000000,"$50M-100M","$100M+"))))</f>
        <v/>
      </c>
      <c r="P820" s="21">
        <f>IF(E820&lt;=90,"90 or less",IF(E820&lt;=105,"91-105",IF(E820&lt;=120,"106-120",IF(E820&lt;=140,"121-140","Over 140"))))</f>
        <v/>
      </c>
      <c r="Q820" s="28">
        <f>INT(C820/10)*10</f>
        <v/>
      </c>
    </row>
    <row r="821">
      <c r="A821" s="21" t="n">
        <v>843</v>
      </c>
      <c r="B821" s="21" t="inlineStr">
        <is>
          <t>Flipper</t>
        </is>
      </c>
      <c r="C821" s="21" t="n">
        <v>1996</v>
      </c>
      <c r="D821" s="21" t="inlineStr">
        <is>
          <t>USA</t>
        </is>
      </c>
      <c r="E821" s="21" t="n">
        <v>95</v>
      </c>
      <c r="F821" s="21" t="inlineStr">
        <is>
          <t>English</t>
        </is>
      </c>
      <c r="G821" s="21" t="inlineStr">
        <is>
          <t>PG</t>
        </is>
      </c>
      <c r="H821" s="22" t="n">
        <v>20047715</v>
      </c>
      <c r="I821" s="22" t="n">
        <v>25530000</v>
      </c>
      <c r="J821" s="21">
        <f>IF(OR(H821="",H821=25529689.5),"Yes","No")</f>
        <v/>
      </c>
      <c r="K821" s="21">
        <f>IF(AND(D821="USA",C821&gt;=1980,J821="No"),"Yes","No")</f>
        <v/>
      </c>
      <c r="L821" s="26">
        <f>IF(J821="Yes","",H821-I821)</f>
        <v/>
      </c>
      <c r="M821" s="27">
        <f>IF(OR(J821="Yes",I821=0),"",H821/I821)</f>
        <v/>
      </c>
      <c r="N821" s="21">
        <f>IF(J821="Yes","",IF(H821&gt;=I821,1,0))</f>
        <v/>
      </c>
      <c r="O821" s="21">
        <f>IF(I821&lt;=5000000,"Under $5M",IF(I821&lt;=20000000,"$5M-20M",IF(I821&lt;=50000000,"$20M-50M",IF(I821&lt;=100000000,"$50M-100M","$100M+"))))</f>
        <v/>
      </c>
      <c r="P821" s="21">
        <f>IF(E821&lt;=90,"90 or less",IF(E821&lt;=105,"91-105",IF(E821&lt;=120,"106-120",IF(E821&lt;=140,"121-140","Over 140"))))</f>
        <v/>
      </c>
      <c r="Q821" s="28">
        <f>INT(C821/10)*10</f>
        <v/>
      </c>
    </row>
    <row r="822">
      <c r="A822" s="21" t="n">
        <v>844</v>
      </c>
      <c r="B822" s="21" t="inlineStr">
        <is>
          <t>Flirting with Disaster</t>
        </is>
      </c>
      <c r="C822" s="21" t="n">
        <v>1996</v>
      </c>
      <c r="D822" s="21" t="inlineStr">
        <is>
          <t>USA</t>
        </is>
      </c>
      <c r="E822" s="21" t="n">
        <v>92</v>
      </c>
      <c r="F822" s="21" t="inlineStr">
        <is>
          <t>English</t>
        </is>
      </c>
      <c r="G822" s="21" t="inlineStr">
        <is>
          <t>R</t>
        </is>
      </c>
      <c r="H822" s="22" t="n">
        <v>14891000</v>
      </c>
      <c r="I822" s="22" t="n">
        <v>7000000</v>
      </c>
      <c r="J822" s="21">
        <f>IF(OR(H822="",H822=25529689.5),"Yes","No")</f>
        <v/>
      </c>
      <c r="K822" s="21">
        <f>IF(AND(D822="USA",C822&gt;=1980,J822="No"),"Yes","No")</f>
        <v/>
      </c>
      <c r="L822" s="26">
        <f>IF(J822="Yes","",H822-I822)</f>
        <v/>
      </c>
      <c r="M822" s="27">
        <f>IF(OR(J822="Yes",I822=0),"",H822/I822)</f>
        <v/>
      </c>
      <c r="N822" s="21">
        <f>IF(J822="Yes","",IF(H822&gt;=I822,1,0))</f>
        <v/>
      </c>
      <c r="O822" s="21">
        <f>IF(I822&lt;=5000000,"Under $5M",IF(I822&lt;=20000000,"$5M-20M",IF(I822&lt;=50000000,"$20M-50M",IF(I822&lt;=100000000,"$50M-100M","$100M+"))))</f>
        <v/>
      </c>
      <c r="P822" s="21">
        <f>IF(E822&lt;=90,"90 or less",IF(E822&lt;=105,"91-105",IF(E822&lt;=120,"106-120",IF(E822&lt;=140,"121-140","Over 140"))))</f>
        <v/>
      </c>
      <c r="Q822" s="28">
        <f>INT(C822/10)*10</f>
        <v/>
      </c>
    </row>
    <row r="823">
      <c r="A823" s="21" t="n">
        <v>845</v>
      </c>
      <c r="B823" s="21" t="inlineStr">
        <is>
          <t>Freeway</t>
        </is>
      </c>
      <c r="C823" s="21" t="n">
        <v>1996</v>
      </c>
      <c r="D823" s="21" t="inlineStr">
        <is>
          <t>USA</t>
        </is>
      </c>
      <c r="E823" s="21" t="n">
        <v>102</v>
      </c>
      <c r="F823" s="21" t="inlineStr">
        <is>
          <t>English</t>
        </is>
      </c>
      <c r="G823" s="21" t="inlineStr">
        <is>
          <t>R</t>
        </is>
      </c>
      <c r="H823" s="22" t="n">
        <v>25529689.5</v>
      </c>
      <c r="I823" s="22" t="n">
        <v>3000000</v>
      </c>
      <c r="J823" s="21">
        <f>IF(OR(H823="",H823=25529689.5),"Yes","No")</f>
        <v/>
      </c>
      <c r="K823" s="21">
        <f>IF(AND(D823="USA",C823&gt;=1980,J823="No"),"Yes","No")</f>
        <v/>
      </c>
      <c r="L823" s="26">
        <f>IF(J823="Yes","",H823-I823)</f>
        <v/>
      </c>
      <c r="M823" s="27">
        <f>IF(OR(J823="Yes",I823=0),"",H823/I823)</f>
        <v/>
      </c>
      <c r="N823" s="21">
        <f>IF(J823="Yes","",IF(H823&gt;=I823,1,0))</f>
        <v/>
      </c>
      <c r="O823" s="21">
        <f>IF(I823&lt;=5000000,"Under $5M",IF(I823&lt;=20000000,"$5M-20M",IF(I823&lt;=50000000,"$20M-50M",IF(I823&lt;=100000000,"$50M-100M","$100M+"))))</f>
        <v/>
      </c>
      <c r="P823" s="21">
        <f>IF(E823&lt;=90,"90 or less",IF(E823&lt;=105,"91-105",IF(E823&lt;=120,"106-120",IF(E823&lt;=140,"121-140","Over 140"))))</f>
        <v/>
      </c>
      <c r="Q823" s="28">
        <f>INT(C823/10)*10</f>
        <v/>
      </c>
    </row>
    <row r="824">
      <c r="A824" s="21" t="n">
        <v>846</v>
      </c>
      <c r="B824" s="21" t="inlineStr">
        <is>
          <t>From Dusk Till Dawn</t>
        </is>
      </c>
      <c r="C824" s="21" t="n">
        <v>1996</v>
      </c>
      <c r="D824" s="21" t="inlineStr">
        <is>
          <t>USA</t>
        </is>
      </c>
      <c r="E824" s="21" t="n">
        <v>108</v>
      </c>
      <c r="F824" s="21" t="inlineStr">
        <is>
          <t>English</t>
        </is>
      </c>
      <c r="G824" s="21" t="inlineStr">
        <is>
          <t>R</t>
        </is>
      </c>
      <c r="H824" s="22" t="n">
        <v>25753840</v>
      </c>
      <c r="I824" s="22" t="n">
        <v>19000000</v>
      </c>
      <c r="J824" s="21">
        <f>IF(OR(H824="",H824=25529689.5),"Yes","No")</f>
        <v/>
      </c>
      <c r="K824" s="21">
        <f>IF(AND(D824="USA",C824&gt;=1980,J824="No"),"Yes","No")</f>
        <v/>
      </c>
      <c r="L824" s="26">
        <f>IF(J824="Yes","",H824-I824)</f>
        <v/>
      </c>
      <c r="M824" s="27">
        <f>IF(OR(J824="Yes",I824=0),"",H824/I824)</f>
        <v/>
      </c>
      <c r="N824" s="21">
        <f>IF(J824="Yes","",IF(H824&gt;=I824,1,0))</f>
        <v/>
      </c>
      <c r="O824" s="21">
        <f>IF(I824&lt;=5000000,"Under $5M",IF(I824&lt;=20000000,"$5M-20M",IF(I824&lt;=50000000,"$20M-50M",IF(I824&lt;=100000000,"$50M-100M","$100M+"))))</f>
        <v/>
      </c>
      <c r="P824" s="21">
        <f>IF(E824&lt;=90,"90 or less",IF(E824&lt;=105,"91-105",IF(E824&lt;=120,"106-120",IF(E824&lt;=140,"121-140","Over 140"))))</f>
        <v/>
      </c>
      <c r="Q824" s="28">
        <f>INT(C824/10)*10</f>
        <v/>
      </c>
    </row>
    <row r="825">
      <c r="A825" s="21" t="n">
        <v>847</v>
      </c>
      <c r="B825" s="21" t="inlineStr">
        <is>
          <t>Get on the Bus</t>
        </is>
      </c>
      <c r="C825" s="21" t="n">
        <v>1996</v>
      </c>
      <c r="D825" s="21" t="inlineStr">
        <is>
          <t>USA</t>
        </is>
      </c>
      <c r="E825" s="21" t="n">
        <v>120</v>
      </c>
      <c r="F825" s="21" t="inlineStr">
        <is>
          <t>English</t>
        </is>
      </c>
      <c r="G825" s="21" t="inlineStr">
        <is>
          <t>R</t>
        </is>
      </c>
      <c r="H825" s="22" t="n">
        <v>5731103</v>
      </c>
      <c r="I825" s="22" t="n">
        <v>2400000</v>
      </c>
      <c r="J825" s="21">
        <f>IF(OR(H825="",H825=25529689.5),"Yes","No")</f>
        <v/>
      </c>
      <c r="K825" s="21">
        <f>IF(AND(D825="USA",C825&gt;=1980,J825="No"),"Yes","No")</f>
        <v/>
      </c>
      <c r="L825" s="26">
        <f>IF(J825="Yes","",H825-I825)</f>
        <v/>
      </c>
      <c r="M825" s="27">
        <f>IF(OR(J825="Yes",I825=0),"",H825/I825)</f>
        <v/>
      </c>
      <c r="N825" s="21">
        <f>IF(J825="Yes","",IF(H825&gt;=I825,1,0))</f>
        <v/>
      </c>
      <c r="O825" s="21">
        <f>IF(I825&lt;=5000000,"Under $5M",IF(I825&lt;=20000000,"$5M-20M",IF(I825&lt;=50000000,"$20M-50M",IF(I825&lt;=100000000,"$50M-100M","$100M+"))))</f>
        <v/>
      </c>
      <c r="P825" s="21">
        <f>IF(E825&lt;=90,"90 or less",IF(E825&lt;=105,"91-105",IF(E825&lt;=120,"106-120",IF(E825&lt;=140,"121-140","Over 140"))))</f>
        <v/>
      </c>
      <c r="Q825" s="28">
        <f>INT(C825/10)*10</f>
        <v/>
      </c>
    </row>
    <row r="826">
      <c r="A826" s="21" t="n">
        <v>848</v>
      </c>
      <c r="B826" s="21" t="inlineStr">
        <is>
          <t>Ghosts of Mississippi</t>
        </is>
      </c>
      <c r="C826" s="21" t="n">
        <v>1996</v>
      </c>
      <c r="D826" s="21" t="inlineStr">
        <is>
          <t>USA</t>
        </is>
      </c>
      <c r="E826" s="21" t="n">
        <v>130</v>
      </c>
      <c r="F826" s="21" t="inlineStr">
        <is>
          <t>English</t>
        </is>
      </c>
      <c r="G826" s="21" t="inlineStr">
        <is>
          <t>PG-13</t>
        </is>
      </c>
      <c r="H826" s="22" t="n">
        <v>13052741</v>
      </c>
      <c r="I826" s="22" t="n">
        <v>36000000</v>
      </c>
      <c r="J826" s="21">
        <f>IF(OR(H826="",H826=25529689.5),"Yes","No")</f>
        <v/>
      </c>
      <c r="K826" s="21">
        <f>IF(AND(D826="USA",C826&gt;=1980,J826="No"),"Yes","No")</f>
        <v/>
      </c>
      <c r="L826" s="26">
        <f>IF(J826="Yes","",H826-I826)</f>
        <v/>
      </c>
      <c r="M826" s="27">
        <f>IF(OR(J826="Yes",I826=0),"",H826/I826)</f>
        <v/>
      </c>
      <c r="N826" s="21">
        <f>IF(J826="Yes","",IF(H826&gt;=I826,1,0))</f>
        <v/>
      </c>
      <c r="O826" s="21">
        <f>IF(I826&lt;=5000000,"Under $5M",IF(I826&lt;=20000000,"$5M-20M",IF(I826&lt;=50000000,"$20M-50M",IF(I826&lt;=100000000,"$50M-100M","$100M+"))))</f>
        <v/>
      </c>
      <c r="P826" s="21">
        <f>IF(E826&lt;=90,"90 or less",IF(E826&lt;=105,"91-105",IF(E826&lt;=120,"106-120",IF(E826&lt;=140,"121-140","Over 140"))))</f>
        <v/>
      </c>
      <c r="Q826" s="28">
        <f>INT(C826/10)*10</f>
        <v/>
      </c>
    </row>
    <row r="827">
      <c r="A827" s="21" t="n">
        <v>849</v>
      </c>
      <c r="B827" s="21" t="inlineStr">
        <is>
          <t>Girl 6</t>
        </is>
      </c>
      <c r="C827" s="21" t="n">
        <v>1996</v>
      </c>
      <c r="D827" s="21" t="inlineStr">
        <is>
          <t>USA</t>
        </is>
      </c>
      <c r="E827" s="21" t="n">
        <v>108</v>
      </c>
      <c r="F827" s="21" t="inlineStr">
        <is>
          <t>English</t>
        </is>
      </c>
      <c r="G827" s="21" t="inlineStr">
        <is>
          <t>R</t>
        </is>
      </c>
      <c r="H827" s="22" t="n">
        <v>4903000</v>
      </c>
      <c r="I827" s="22" t="n">
        <v>12000000</v>
      </c>
      <c r="J827" s="21">
        <f>IF(OR(H827="",H827=25529689.5),"Yes","No")</f>
        <v/>
      </c>
      <c r="K827" s="21">
        <f>IF(AND(D827="USA",C827&gt;=1980,J827="No"),"Yes","No")</f>
        <v/>
      </c>
      <c r="L827" s="26">
        <f>IF(J827="Yes","",H827-I827)</f>
        <v/>
      </c>
      <c r="M827" s="27">
        <f>IF(OR(J827="Yes",I827=0),"",H827/I827)</f>
        <v/>
      </c>
      <c r="N827" s="21">
        <f>IF(J827="Yes","",IF(H827&gt;=I827,1,0))</f>
        <v/>
      </c>
      <c r="O827" s="21">
        <f>IF(I827&lt;=5000000,"Under $5M",IF(I827&lt;=20000000,"$5M-20M",IF(I827&lt;=50000000,"$20M-50M",IF(I827&lt;=100000000,"$50M-100M","$100M+"))))</f>
        <v/>
      </c>
      <c r="P827" s="21">
        <f>IF(E827&lt;=90,"90 or less",IF(E827&lt;=105,"91-105",IF(E827&lt;=120,"106-120",IF(E827&lt;=140,"121-140","Over 140"))))</f>
        <v/>
      </c>
      <c r="Q827" s="28">
        <f>INT(C827/10)*10</f>
        <v/>
      </c>
    </row>
    <row r="828">
      <c r="A828" s="21" t="n">
        <v>850</v>
      </c>
      <c r="B828" s="21" t="inlineStr">
        <is>
          <t>Hamlet</t>
        </is>
      </c>
      <c r="C828" s="21" t="n">
        <v>1996</v>
      </c>
      <c r="D828" s="21" t="inlineStr">
        <is>
          <t>UK</t>
        </is>
      </c>
      <c r="E828" s="21" t="n">
        <v>150</v>
      </c>
      <c r="F828" s="21" t="inlineStr">
        <is>
          <t>English</t>
        </is>
      </c>
      <c r="G828" s="21" t="inlineStr">
        <is>
          <t>PG-13</t>
        </is>
      </c>
      <c r="H828" s="22" t="n">
        <v>4414535</v>
      </c>
      <c r="I828" s="22" t="n">
        <v>18000000</v>
      </c>
      <c r="J828" s="21">
        <f>IF(OR(H828="",H828=25529689.5),"Yes","No")</f>
        <v/>
      </c>
      <c r="K828" s="21">
        <f>IF(AND(D828="USA",C828&gt;=1980,J828="No"),"Yes","No")</f>
        <v/>
      </c>
      <c r="L828" s="26">
        <f>IF(J828="Yes","",H828-I828)</f>
        <v/>
      </c>
      <c r="M828" s="27">
        <f>IF(OR(J828="Yes",I828=0),"",H828/I828)</f>
        <v/>
      </c>
      <c r="N828" s="21">
        <f>IF(J828="Yes","",IF(H828&gt;=I828,1,0))</f>
        <v/>
      </c>
      <c r="O828" s="21">
        <f>IF(I828&lt;=5000000,"Under $5M",IF(I828&lt;=20000000,"$5M-20M",IF(I828&lt;=50000000,"$20M-50M",IF(I828&lt;=100000000,"$50M-100M","$100M+"))))</f>
        <v/>
      </c>
      <c r="P828" s="21">
        <f>IF(E828&lt;=90,"90 or less",IF(E828&lt;=105,"91-105",IF(E828&lt;=120,"106-120",IF(E828&lt;=140,"121-140","Over 140"))))</f>
        <v/>
      </c>
      <c r="Q828" s="28">
        <f>INT(C828/10)*10</f>
        <v/>
      </c>
    </row>
    <row r="829">
      <c r="A829" s="21" t="n">
        <v>852</v>
      </c>
      <c r="B829" s="21" t="inlineStr">
        <is>
          <t>Happy Gilmore</t>
        </is>
      </c>
      <c r="C829" s="21" t="n">
        <v>1996</v>
      </c>
      <c r="D829" s="21" t="inlineStr">
        <is>
          <t>USA</t>
        </is>
      </c>
      <c r="E829" s="21" t="n">
        <v>92</v>
      </c>
      <c r="F829" s="21" t="inlineStr">
        <is>
          <t>English</t>
        </is>
      </c>
      <c r="G829" s="21" t="inlineStr">
        <is>
          <t>PG-13</t>
        </is>
      </c>
      <c r="H829" s="22" t="n">
        <v>38624000</v>
      </c>
      <c r="I829" s="22" t="n">
        <v>12000000</v>
      </c>
      <c r="J829" s="21">
        <f>IF(OR(H829="",H829=25529689.5),"Yes","No")</f>
        <v/>
      </c>
      <c r="K829" s="21">
        <f>IF(AND(D829="USA",C829&gt;=1980,J829="No"),"Yes","No")</f>
        <v/>
      </c>
      <c r="L829" s="26">
        <f>IF(J829="Yes","",H829-I829)</f>
        <v/>
      </c>
      <c r="M829" s="27">
        <f>IF(OR(J829="Yes",I829=0),"",H829/I829)</f>
        <v/>
      </c>
      <c r="N829" s="21">
        <f>IF(J829="Yes","",IF(H829&gt;=I829,1,0))</f>
        <v/>
      </c>
      <c r="O829" s="21">
        <f>IF(I829&lt;=5000000,"Under $5M",IF(I829&lt;=20000000,"$5M-20M",IF(I829&lt;=50000000,"$20M-50M",IF(I829&lt;=100000000,"$50M-100M","$100M+"))))</f>
        <v/>
      </c>
      <c r="P829" s="21">
        <f>IF(E829&lt;=90,"90 or less",IF(E829&lt;=105,"91-105",IF(E829&lt;=120,"106-120",IF(E829&lt;=140,"121-140","Over 140"))))</f>
        <v/>
      </c>
      <c r="Q829" s="28">
        <f>INT(C829/10)*10</f>
        <v/>
      </c>
    </row>
    <row r="830">
      <c r="A830" s="21" t="n">
        <v>853</v>
      </c>
      <c r="B830" s="21" t="inlineStr">
        <is>
          <t>Harriet the Spy</t>
        </is>
      </c>
      <c r="C830" s="21" t="n">
        <v>1996</v>
      </c>
      <c r="D830" s="21" t="inlineStr">
        <is>
          <t>USA</t>
        </is>
      </c>
      <c r="E830" s="21" t="n">
        <v>100</v>
      </c>
      <c r="F830" s="21" t="inlineStr">
        <is>
          <t>English</t>
        </is>
      </c>
      <c r="G830" s="21" t="inlineStr">
        <is>
          <t>PG</t>
        </is>
      </c>
      <c r="H830" s="22" t="n">
        <v>26539321</v>
      </c>
      <c r="I830" s="22" t="n">
        <v>13000000</v>
      </c>
      <c r="J830" s="21">
        <f>IF(OR(H830="",H830=25529689.5),"Yes","No")</f>
        <v/>
      </c>
      <c r="K830" s="21">
        <f>IF(AND(D830="USA",C830&gt;=1980,J830="No"),"Yes","No")</f>
        <v/>
      </c>
      <c r="L830" s="26">
        <f>IF(J830="Yes","",H830-I830)</f>
        <v/>
      </c>
      <c r="M830" s="27">
        <f>IF(OR(J830="Yes",I830=0),"",H830/I830)</f>
        <v/>
      </c>
      <c r="N830" s="21">
        <f>IF(J830="Yes","",IF(H830&gt;=I830,1,0))</f>
        <v/>
      </c>
      <c r="O830" s="21">
        <f>IF(I830&lt;=5000000,"Under $5M",IF(I830&lt;=20000000,"$5M-20M",IF(I830&lt;=50000000,"$20M-50M",IF(I830&lt;=100000000,"$50M-100M","$100M+"))))</f>
        <v/>
      </c>
      <c r="P830" s="21">
        <f>IF(E830&lt;=90,"90 or less",IF(E830&lt;=105,"91-105",IF(E830&lt;=120,"106-120",IF(E830&lt;=140,"121-140","Over 140"))))</f>
        <v/>
      </c>
      <c r="Q830" s="28">
        <f>INT(C830/10)*10</f>
        <v/>
      </c>
    </row>
    <row r="831">
      <c r="A831" s="21" t="n">
        <v>854</v>
      </c>
      <c r="B831" s="21" t="inlineStr">
        <is>
          <t>Independence Day</t>
        </is>
      </c>
      <c r="C831" s="21" t="n">
        <v>1996</v>
      </c>
      <c r="D831" s="21" t="inlineStr">
        <is>
          <t>USA</t>
        </is>
      </c>
      <c r="E831" s="21" t="n">
        <v>154</v>
      </c>
      <c r="F831" s="21" t="inlineStr">
        <is>
          <t>English</t>
        </is>
      </c>
      <c r="G831" s="21" t="inlineStr">
        <is>
          <t>PG-13</t>
        </is>
      </c>
      <c r="H831" s="22" t="n">
        <v>306124059</v>
      </c>
      <c r="I831" s="22" t="n">
        <v>75000000</v>
      </c>
      <c r="J831" s="21">
        <f>IF(OR(H831="",H831=25529689.5),"Yes","No")</f>
        <v/>
      </c>
      <c r="K831" s="21">
        <f>IF(AND(D831="USA",C831&gt;=1980,J831="No"),"Yes","No")</f>
        <v/>
      </c>
      <c r="L831" s="26">
        <f>IF(J831="Yes","",H831-I831)</f>
        <v/>
      </c>
      <c r="M831" s="27">
        <f>IF(OR(J831="Yes",I831=0),"",H831/I831)</f>
        <v/>
      </c>
      <c r="N831" s="21">
        <f>IF(J831="Yes","",IF(H831&gt;=I831,1,0))</f>
        <v/>
      </c>
      <c r="O831" s="21">
        <f>IF(I831&lt;=5000000,"Under $5M",IF(I831&lt;=20000000,"$5M-20M",IF(I831&lt;=50000000,"$20M-50M",IF(I831&lt;=100000000,"$50M-100M","$100M+"))))</f>
        <v/>
      </c>
      <c r="P831" s="21">
        <f>IF(E831&lt;=90,"90 or less",IF(E831&lt;=105,"91-105",IF(E831&lt;=120,"106-120",IF(E831&lt;=140,"121-140","Over 140"))))</f>
        <v/>
      </c>
      <c r="Q831" s="28">
        <f>INT(C831/10)*10</f>
        <v/>
      </c>
    </row>
    <row r="832">
      <c r="A832" s="21" t="n">
        <v>855</v>
      </c>
      <c r="B832" s="21" t="inlineStr">
        <is>
          <t>Jerry Maguire</t>
        </is>
      </c>
      <c r="C832" s="21" t="n">
        <v>1996</v>
      </c>
      <c r="D832" s="21" t="inlineStr">
        <is>
          <t>USA</t>
        </is>
      </c>
      <c r="E832" s="21" t="n">
        <v>139</v>
      </c>
      <c r="F832" s="21" t="inlineStr">
        <is>
          <t>English</t>
        </is>
      </c>
      <c r="G832" s="21" t="inlineStr">
        <is>
          <t>R</t>
        </is>
      </c>
      <c r="H832" s="22" t="n">
        <v>153620822</v>
      </c>
      <c r="I832" s="22" t="n">
        <v>50000000</v>
      </c>
      <c r="J832" s="21">
        <f>IF(OR(H832="",H832=25529689.5),"Yes","No")</f>
        <v/>
      </c>
      <c r="K832" s="21">
        <f>IF(AND(D832="USA",C832&gt;=1980,J832="No"),"Yes","No")</f>
        <v/>
      </c>
      <c r="L832" s="26">
        <f>IF(J832="Yes","",H832-I832)</f>
        <v/>
      </c>
      <c r="M832" s="27">
        <f>IF(OR(J832="Yes",I832=0),"",H832/I832)</f>
        <v/>
      </c>
      <c r="N832" s="21">
        <f>IF(J832="Yes","",IF(H832&gt;=I832,1,0))</f>
        <v/>
      </c>
      <c r="O832" s="21">
        <f>IF(I832&lt;=5000000,"Under $5M",IF(I832&lt;=20000000,"$5M-20M",IF(I832&lt;=50000000,"$20M-50M",IF(I832&lt;=100000000,"$50M-100M","$100M+"))))</f>
        <v/>
      </c>
      <c r="P832" s="21">
        <f>IF(E832&lt;=90,"90 or less",IF(E832&lt;=105,"91-105",IF(E832&lt;=120,"106-120",IF(E832&lt;=140,"121-140","Over 140"))))</f>
        <v/>
      </c>
      <c r="Q832" s="28">
        <f>INT(C832/10)*10</f>
        <v/>
      </c>
    </row>
    <row r="833">
      <c r="A833" s="21" t="n">
        <v>856</v>
      </c>
      <c r="B833" s="21" t="inlineStr">
        <is>
          <t>Jingle All the Way</t>
        </is>
      </c>
      <c r="C833" s="21" t="n">
        <v>1996</v>
      </c>
      <c r="D833" s="21" t="inlineStr">
        <is>
          <t>USA</t>
        </is>
      </c>
      <c r="E833" s="21" t="n">
        <v>94</v>
      </c>
      <c r="F833" s="21" t="inlineStr">
        <is>
          <t>English</t>
        </is>
      </c>
      <c r="G833" s="21" t="inlineStr">
        <is>
          <t>PG</t>
        </is>
      </c>
      <c r="H833" s="22" t="n">
        <v>60573641</v>
      </c>
      <c r="I833" s="22" t="n">
        <v>60000000</v>
      </c>
      <c r="J833" s="21">
        <f>IF(OR(H833="",H833=25529689.5),"Yes","No")</f>
        <v/>
      </c>
      <c r="K833" s="21">
        <f>IF(AND(D833="USA",C833&gt;=1980,J833="No"),"Yes","No")</f>
        <v/>
      </c>
      <c r="L833" s="26">
        <f>IF(J833="Yes","",H833-I833)</f>
        <v/>
      </c>
      <c r="M833" s="27">
        <f>IF(OR(J833="Yes",I833=0),"",H833/I833)</f>
        <v/>
      </c>
      <c r="N833" s="21">
        <f>IF(J833="Yes","",IF(H833&gt;=I833,1,0))</f>
        <v/>
      </c>
      <c r="O833" s="21">
        <f>IF(I833&lt;=5000000,"Under $5M",IF(I833&lt;=20000000,"$5M-20M",IF(I833&lt;=50000000,"$20M-50M",IF(I833&lt;=100000000,"$50M-100M","$100M+"))))</f>
        <v/>
      </c>
      <c r="P833" s="21">
        <f>IF(E833&lt;=90,"90 or less",IF(E833&lt;=105,"91-105",IF(E833&lt;=120,"106-120",IF(E833&lt;=140,"121-140","Over 140"))))</f>
        <v/>
      </c>
      <c r="Q833" s="28">
        <f>INT(C833/10)*10</f>
        <v/>
      </c>
    </row>
    <row r="834">
      <c r="A834" s="21" t="n">
        <v>857</v>
      </c>
      <c r="B834" s="21" t="inlineStr">
        <is>
          <t>Kama Sutra: A Tale of Love</t>
        </is>
      </c>
      <c r="C834" s="21" t="n">
        <v>1996</v>
      </c>
      <c r="D834" s="21" t="inlineStr">
        <is>
          <t>USA</t>
        </is>
      </c>
      <c r="E834" s="21" t="n">
        <v>109</v>
      </c>
      <c r="F834" s="21" t="inlineStr">
        <is>
          <t>English</t>
        </is>
      </c>
      <c r="G834" s="21" t="inlineStr">
        <is>
          <t>R</t>
        </is>
      </c>
      <c r="H834" s="22" t="n">
        <v>4109095</v>
      </c>
      <c r="I834" s="22" t="n">
        <v>3000000</v>
      </c>
      <c r="J834" s="21">
        <f>IF(OR(H834="",H834=25529689.5),"Yes","No")</f>
        <v/>
      </c>
      <c r="K834" s="21">
        <f>IF(AND(D834="USA",C834&gt;=1980,J834="No"),"Yes","No")</f>
        <v/>
      </c>
      <c r="L834" s="26">
        <f>IF(J834="Yes","",H834-I834)</f>
        <v/>
      </c>
      <c r="M834" s="27">
        <f>IF(OR(J834="Yes",I834=0),"",H834/I834)</f>
        <v/>
      </c>
      <c r="N834" s="21">
        <f>IF(J834="Yes","",IF(H834&gt;=I834,1,0))</f>
        <v/>
      </c>
      <c r="O834" s="21">
        <f>IF(I834&lt;=5000000,"Under $5M",IF(I834&lt;=20000000,"$5M-20M",IF(I834&lt;=50000000,"$20M-50M",IF(I834&lt;=100000000,"$50M-100M","$100M+"))))</f>
        <v/>
      </c>
      <c r="P834" s="21">
        <f>IF(E834&lt;=90,"90 or less",IF(E834&lt;=105,"91-105",IF(E834&lt;=120,"106-120",IF(E834&lt;=140,"121-140","Over 140"))))</f>
        <v/>
      </c>
      <c r="Q834" s="28">
        <f>INT(C834/10)*10</f>
        <v/>
      </c>
    </row>
    <row r="835">
      <c r="A835" s="21" t="n">
        <v>858</v>
      </c>
      <c r="B835" s="21" t="inlineStr">
        <is>
          <t>Kansas City</t>
        </is>
      </c>
      <c r="C835" s="21" t="n">
        <v>1996</v>
      </c>
      <c r="D835" s="21" t="inlineStr">
        <is>
          <t>France</t>
        </is>
      </c>
      <c r="E835" s="21" t="n">
        <v>116</v>
      </c>
      <c r="F835" s="21" t="inlineStr">
        <is>
          <t>English</t>
        </is>
      </c>
      <c r="G835" s="21" t="inlineStr">
        <is>
          <t>R</t>
        </is>
      </c>
      <c r="H835" s="22" t="n">
        <v>1292527</v>
      </c>
      <c r="I835" s="22" t="n">
        <v>19000000</v>
      </c>
      <c r="J835" s="21">
        <f>IF(OR(H835="",H835=25529689.5),"Yes","No")</f>
        <v/>
      </c>
      <c r="K835" s="21">
        <f>IF(AND(D835="USA",C835&gt;=1980,J835="No"),"Yes","No")</f>
        <v/>
      </c>
      <c r="L835" s="26">
        <f>IF(J835="Yes","",H835-I835)</f>
        <v/>
      </c>
      <c r="M835" s="27">
        <f>IF(OR(J835="Yes",I835=0),"",H835/I835)</f>
        <v/>
      </c>
      <c r="N835" s="21">
        <f>IF(J835="Yes","",IF(H835&gt;=I835,1,0))</f>
        <v/>
      </c>
      <c r="O835" s="21">
        <f>IF(I835&lt;=5000000,"Under $5M",IF(I835&lt;=20000000,"$5M-20M",IF(I835&lt;=50000000,"$20M-50M",IF(I835&lt;=100000000,"$50M-100M","$100M+"))))</f>
        <v/>
      </c>
      <c r="P835" s="21">
        <f>IF(E835&lt;=90,"90 or less",IF(E835&lt;=105,"91-105",IF(E835&lt;=120,"106-120",IF(E835&lt;=140,"121-140","Over 140"))))</f>
        <v/>
      </c>
      <c r="Q835" s="28">
        <f>INT(C835/10)*10</f>
        <v/>
      </c>
    </row>
    <row r="836">
      <c r="A836" s="21" t="n">
        <v>859</v>
      </c>
      <c r="B836" s="21" t="inlineStr">
        <is>
          <t>Kingpin</t>
        </is>
      </c>
      <c r="C836" s="21" t="n">
        <v>1996</v>
      </c>
      <c r="D836" s="21" t="inlineStr">
        <is>
          <t>USA</t>
        </is>
      </c>
      <c r="E836" s="21" t="n">
        <v>117</v>
      </c>
      <c r="F836" s="21" t="inlineStr">
        <is>
          <t>English</t>
        </is>
      </c>
      <c r="G836" s="21" t="inlineStr">
        <is>
          <t>PG-13</t>
        </is>
      </c>
      <c r="H836" s="22" t="n">
        <v>24944213</v>
      </c>
      <c r="I836" s="22" t="n">
        <v>27000000</v>
      </c>
      <c r="J836" s="21">
        <f>IF(OR(H836="",H836=25529689.5),"Yes","No")</f>
        <v/>
      </c>
      <c r="K836" s="21">
        <f>IF(AND(D836="USA",C836&gt;=1980,J836="No"),"Yes","No")</f>
        <v/>
      </c>
      <c r="L836" s="26">
        <f>IF(J836="Yes","",H836-I836)</f>
        <v/>
      </c>
      <c r="M836" s="27">
        <f>IF(OR(J836="Yes",I836=0),"",H836/I836)</f>
        <v/>
      </c>
      <c r="N836" s="21">
        <f>IF(J836="Yes","",IF(H836&gt;=I836,1,0))</f>
        <v/>
      </c>
      <c r="O836" s="21">
        <f>IF(I836&lt;=5000000,"Under $5M",IF(I836&lt;=20000000,"$5M-20M",IF(I836&lt;=50000000,"$20M-50M",IF(I836&lt;=100000000,"$50M-100M","$100M+"))))</f>
        <v/>
      </c>
      <c r="P836" s="21">
        <f>IF(E836&lt;=90,"90 or less",IF(E836&lt;=105,"91-105",IF(E836&lt;=120,"106-120",IF(E836&lt;=140,"121-140","Over 140"))))</f>
        <v/>
      </c>
      <c r="Q836" s="28">
        <f>INT(C836/10)*10</f>
        <v/>
      </c>
    </row>
    <row r="837">
      <c r="A837" s="21" t="n">
        <v>860</v>
      </c>
      <c r="B837" s="21" t="inlineStr">
        <is>
          <t>Lone Star</t>
        </is>
      </c>
      <c r="C837" s="21" t="n">
        <v>1996</v>
      </c>
      <c r="D837" s="21" t="inlineStr">
        <is>
          <t>USA</t>
        </is>
      </c>
      <c r="E837" s="21" t="n">
        <v>135</v>
      </c>
      <c r="F837" s="21" t="inlineStr">
        <is>
          <t>English</t>
        </is>
      </c>
      <c r="G837" s="21" t="inlineStr">
        <is>
          <t>R</t>
        </is>
      </c>
      <c r="H837" s="22" t="n">
        <v>13269963</v>
      </c>
      <c r="I837" s="22" t="n">
        <v>5000000</v>
      </c>
      <c r="J837" s="21">
        <f>IF(OR(H837="",H837=25529689.5),"Yes","No")</f>
        <v/>
      </c>
      <c r="K837" s="21">
        <f>IF(AND(D837="USA",C837&gt;=1980,J837="No"),"Yes","No")</f>
        <v/>
      </c>
      <c r="L837" s="26">
        <f>IF(J837="Yes","",H837-I837)</f>
        <v/>
      </c>
      <c r="M837" s="27">
        <f>IF(OR(J837="Yes",I837=0),"",H837/I837)</f>
        <v/>
      </c>
      <c r="N837" s="21">
        <f>IF(J837="Yes","",IF(H837&gt;=I837,1,0))</f>
        <v/>
      </c>
      <c r="O837" s="21">
        <f>IF(I837&lt;=5000000,"Under $5M",IF(I837&lt;=20000000,"$5M-20M",IF(I837&lt;=50000000,"$20M-50M",IF(I837&lt;=100000000,"$50M-100M","$100M+"))))</f>
        <v/>
      </c>
      <c r="P837" s="21">
        <f>IF(E837&lt;=90,"90 or less",IF(E837&lt;=105,"91-105",IF(E837&lt;=120,"106-120",IF(E837&lt;=140,"121-140","Over 140"))))</f>
        <v/>
      </c>
      <c r="Q837" s="28">
        <f>INT(C837/10)*10</f>
        <v/>
      </c>
    </row>
    <row r="838">
      <c r="A838" s="21" t="n">
        <v>861</v>
      </c>
      <c r="B838" s="21" t="inlineStr">
        <is>
          <t>Love and Other Catastrophes</t>
        </is>
      </c>
      <c r="C838" s="21" t="n">
        <v>1996</v>
      </c>
      <c r="D838" s="21" t="inlineStr">
        <is>
          <t>Australia</t>
        </is>
      </c>
      <c r="E838" s="21" t="n">
        <v>76</v>
      </c>
      <c r="F838" s="21" t="inlineStr">
        <is>
          <t>English</t>
        </is>
      </c>
      <c r="G838" s="21" t="inlineStr">
        <is>
          <t>R</t>
        </is>
      </c>
      <c r="H838" s="22" t="n">
        <v>212285</v>
      </c>
      <c r="I838" s="22" t="n">
        <v>250000</v>
      </c>
      <c r="J838" s="21">
        <f>IF(OR(H838="",H838=25529689.5),"Yes","No")</f>
        <v/>
      </c>
      <c r="K838" s="21">
        <f>IF(AND(D838="USA",C838&gt;=1980,J838="No"),"Yes","No")</f>
        <v/>
      </c>
      <c r="L838" s="26">
        <f>IF(J838="Yes","",H838-I838)</f>
        <v/>
      </c>
      <c r="M838" s="27">
        <f>IF(OR(J838="Yes",I838=0),"",H838/I838)</f>
        <v/>
      </c>
      <c r="N838" s="21">
        <f>IF(J838="Yes","",IF(H838&gt;=I838,1,0))</f>
        <v/>
      </c>
      <c r="O838" s="21">
        <f>IF(I838&lt;=5000000,"Under $5M",IF(I838&lt;=20000000,"$5M-20M",IF(I838&lt;=50000000,"$20M-50M",IF(I838&lt;=100000000,"$50M-100M","$100M+"))))</f>
        <v/>
      </c>
      <c r="P838" s="21">
        <f>IF(E838&lt;=90,"90 or less",IF(E838&lt;=105,"91-105",IF(E838&lt;=120,"106-120",IF(E838&lt;=140,"121-140","Over 140"))))</f>
        <v/>
      </c>
      <c r="Q838" s="28">
        <f>INT(C838/10)*10</f>
        <v/>
      </c>
    </row>
    <row r="839">
      <c r="A839" s="21" t="n">
        <v>862</v>
      </c>
      <c r="B839" s="21" t="inlineStr">
        <is>
          <t>Mars Attacks!</t>
        </is>
      </c>
      <c r="C839" s="21" t="n">
        <v>1996</v>
      </c>
      <c r="D839" s="21" t="inlineStr">
        <is>
          <t>USA</t>
        </is>
      </c>
      <c r="E839" s="21" t="n">
        <v>106</v>
      </c>
      <c r="F839" s="21" t="inlineStr">
        <is>
          <t>English</t>
        </is>
      </c>
      <c r="G839" s="21" t="inlineStr">
        <is>
          <t>PG-13</t>
        </is>
      </c>
      <c r="H839" s="22" t="n">
        <v>37754208</v>
      </c>
      <c r="I839" s="22" t="n">
        <v>70000000</v>
      </c>
      <c r="J839" s="21">
        <f>IF(OR(H839="",H839=25529689.5),"Yes","No")</f>
        <v/>
      </c>
      <c r="K839" s="21">
        <f>IF(AND(D839="USA",C839&gt;=1980,J839="No"),"Yes","No")</f>
        <v/>
      </c>
      <c r="L839" s="26">
        <f>IF(J839="Yes","",H839-I839)</f>
        <v/>
      </c>
      <c r="M839" s="27">
        <f>IF(OR(J839="Yes",I839=0),"",H839/I839)</f>
        <v/>
      </c>
      <c r="N839" s="21">
        <f>IF(J839="Yes","",IF(H839&gt;=I839,1,0))</f>
        <v/>
      </c>
      <c r="O839" s="21">
        <f>IF(I839&lt;=5000000,"Under $5M",IF(I839&lt;=20000000,"$5M-20M",IF(I839&lt;=50000000,"$20M-50M",IF(I839&lt;=100000000,"$50M-100M","$100M+"))))</f>
        <v/>
      </c>
      <c r="P839" s="21">
        <f>IF(E839&lt;=90,"90 or less",IF(E839&lt;=105,"91-105",IF(E839&lt;=120,"106-120",IF(E839&lt;=140,"121-140","Over 140"))))</f>
        <v/>
      </c>
      <c r="Q839" s="28">
        <f>INT(C839/10)*10</f>
        <v/>
      </c>
    </row>
    <row r="840">
      <c r="A840" s="21" t="n">
        <v>863</v>
      </c>
      <c r="B840" s="21" t="inlineStr">
        <is>
          <t>Marvin's Room</t>
        </is>
      </c>
      <c r="C840" s="21" t="n">
        <v>1996</v>
      </c>
      <c r="D840" s="21" t="inlineStr">
        <is>
          <t>USA</t>
        </is>
      </c>
      <c r="E840" s="21" t="n">
        <v>98</v>
      </c>
      <c r="F840" s="21" t="inlineStr">
        <is>
          <t>English</t>
        </is>
      </c>
      <c r="G840" s="21" t="inlineStr">
        <is>
          <t>PG-13</t>
        </is>
      </c>
      <c r="H840" s="22" t="n">
        <v>12782508</v>
      </c>
      <c r="I840" s="22" t="n">
        <v>23000000</v>
      </c>
      <c r="J840" s="21">
        <f>IF(OR(H840="",H840=25529689.5),"Yes","No")</f>
        <v/>
      </c>
      <c r="K840" s="21">
        <f>IF(AND(D840="USA",C840&gt;=1980,J840="No"),"Yes","No")</f>
        <v/>
      </c>
      <c r="L840" s="26">
        <f>IF(J840="Yes","",H840-I840)</f>
        <v/>
      </c>
      <c r="M840" s="27">
        <f>IF(OR(J840="Yes",I840=0),"",H840/I840)</f>
        <v/>
      </c>
      <c r="N840" s="21">
        <f>IF(J840="Yes","",IF(H840&gt;=I840,1,0))</f>
        <v/>
      </c>
      <c r="O840" s="21">
        <f>IF(I840&lt;=5000000,"Under $5M",IF(I840&lt;=20000000,"$5M-20M",IF(I840&lt;=50000000,"$20M-50M",IF(I840&lt;=100000000,"$50M-100M","$100M+"))))</f>
        <v/>
      </c>
      <c r="P840" s="21">
        <f>IF(E840&lt;=90,"90 or less",IF(E840&lt;=105,"91-105",IF(E840&lt;=120,"106-120",IF(E840&lt;=140,"121-140","Over 140"))))</f>
        <v/>
      </c>
      <c r="Q840" s="28">
        <f>INT(C840/10)*10</f>
        <v/>
      </c>
    </row>
    <row r="841">
      <c r="A841" s="21" t="n">
        <v>864</v>
      </c>
      <c r="B841" s="21" t="inlineStr">
        <is>
          <t>Mary Reilly</t>
        </is>
      </c>
      <c r="C841" s="21" t="n">
        <v>1996</v>
      </c>
      <c r="D841" s="21" t="inlineStr">
        <is>
          <t>USA</t>
        </is>
      </c>
      <c r="E841" s="21" t="n">
        <v>108</v>
      </c>
      <c r="F841" s="21" t="inlineStr">
        <is>
          <t>English</t>
        </is>
      </c>
      <c r="G841" s="21" t="inlineStr">
        <is>
          <t>R</t>
        </is>
      </c>
      <c r="H841" s="22" t="n">
        <v>5600000</v>
      </c>
      <c r="I841" s="22" t="n">
        <v>47000000</v>
      </c>
      <c r="J841" s="21">
        <f>IF(OR(H841="",H841=25529689.5),"Yes","No")</f>
        <v/>
      </c>
      <c r="K841" s="21">
        <f>IF(AND(D841="USA",C841&gt;=1980,J841="No"),"Yes","No")</f>
        <v/>
      </c>
      <c r="L841" s="26">
        <f>IF(J841="Yes","",H841-I841)</f>
        <v/>
      </c>
      <c r="M841" s="27">
        <f>IF(OR(J841="Yes",I841=0),"",H841/I841)</f>
        <v/>
      </c>
      <c r="N841" s="21">
        <f>IF(J841="Yes","",IF(H841&gt;=I841,1,0))</f>
        <v/>
      </c>
      <c r="O841" s="21">
        <f>IF(I841&lt;=5000000,"Under $5M",IF(I841&lt;=20000000,"$5M-20M",IF(I841&lt;=50000000,"$20M-50M",IF(I841&lt;=100000000,"$50M-100M","$100M+"))))</f>
        <v/>
      </c>
      <c r="P841" s="21">
        <f>IF(E841&lt;=90,"90 or less",IF(E841&lt;=105,"91-105",IF(E841&lt;=120,"106-120",IF(E841&lt;=140,"121-140","Over 140"))))</f>
        <v/>
      </c>
      <c r="Q841" s="28">
        <f>INT(C841/10)*10</f>
        <v/>
      </c>
    </row>
    <row r="842">
      <c r="A842" s="21" t="n">
        <v>865</v>
      </c>
      <c r="B842" s="21" t="inlineStr">
        <is>
          <t>Maximum Risk</t>
        </is>
      </c>
      <c r="C842" s="21" t="n">
        <v>1996</v>
      </c>
      <c r="D842" s="21" t="inlineStr">
        <is>
          <t>USA</t>
        </is>
      </c>
      <c r="E842" s="21" t="n">
        <v>101</v>
      </c>
      <c r="F842" s="21" t="inlineStr">
        <is>
          <t>English</t>
        </is>
      </c>
      <c r="G842" s="21" t="inlineStr">
        <is>
          <t>R</t>
        </is>
      </c>
      <c r="H842" s="22" t="n">
        <v>14095303</v>
      </c>
      <c r="I842" s="22" t="n">
        <v>25000000</v>
      </c>
      <c r="J842" s="21">
        <f>IF(OR(H842="",H842=25529689.5),"Yes","No")</f>
        <v/>
      </c>
      <c r="K842" s="21">
        <f>IF(AND(D842="USA",C842&gt;=1980,J842="No"),"Yes","No")</f>
        <v/>
      </c>
      <c r="L842" s="26">
        <f>IF(J842="Yes","",H842-I842)</f>
        <v/>
      </c>
      <c r="M842" s="27">
        <f>IF(OR(J842="Yes",I842=0),"",H842/I842)</f>
        <v/>
      </c>
      <c r="N842" s="21">
        <f>IF(J842="Yes","",IF(H842&gt;=I842,1,0))</f>
        <v/>
      </c>
      <c r="O842" s="21">
        <f>IF(I842&lt;=5000000,"Under $5M",IF(I842&lt;=20000000,"$5M-20M",IF(I842&lt;=50000000,"$20M-50M",IF(I842&lt;=100000000,"$50M-100M","$100M+"))))</f>
        <v/>
      </c>
      <c r="P842" s="21">
        <f>IF(E842&lt;=90,"90 or less",IF(E842&lt;=105,"91-105",IF(E842&lt;=120,"106-120",IF(E842&lt;=140,"121-140","Over 140"))))</f>
        <v/>
      </c>
      <c r="Q842" s="28">
        <f>INT(C842/10)*10</f>
        <v/>
      </c>
    </row>
    <row r="843">
      <c r="A843" s="21" t="n">
        <v>866</v>
      </c>
      <c r="B843" s="21" t="inlineStr">
        <is>
          <t>Michael Collins</t>
        </is>
      </c>
      <c r="C843" s="21" t="n">
        <v>1996</v>
      </c>
      <c r="D843" s="21" t="inlineStr">
        <is>
          <t>UK</t>
        </is>
      </c>
      <c r="E843" s="21" t="n">
        <v>133</v>
      </c>
      <c r="F843" s="21" t="inlineStr">
        <is>
          <t>English</t>
        </is>
      </c>
      <c r="G843" s="21" t="inlineStr">
        <is>
          <t>R</t>
        </is>
      </c>
      <c r="H843" s="22" t="n">
        <v>11030963</v>
      </c>
      <c r="I843" s="22" t="n">
        <v>28000000</v>
      </c>
      <c r="J843" s="21">
        <f>IF(OR(H843="",H843=25529689.5),"Yes","No")</f>
        <v/>
      </c>
      <c r="K843" s="21">
        <f>IF(AND(D843="USA",C843&gt;=1980,J843="No"),"Yes","No")</f>
        <v/>
      </c>
      <c r="L843" s="26">
        <f>IF(J843="Yes","",H843-I843)</f>
        <v/>
      </c>
      <c r="M843" s="27">
        <f>IF(OR(J843="Yes",I843=0),"",H843/I843)</f>
        <v/>
      </c>
      <c r="N843" s="21">
        <f>IF(J843="Yes","",IF(H843&gt;=I843,1,0))</f>
        <v/>
      </c>
      <c r="O843" s="21">
        <f>IF(I843&lt;=5000000,"Under $5M",IF(I843&lt;=20000000,"$5M-20M",IF(I843&lt;=50000000,"$20M-50M",IF(I843&lt;=100000000,"$50M-100M","$100M+"))))</f>
        <v/>
      </c>
      <c r="P843" s="21">
        <f>IF(E843&lt;=90,"90 or less",IF(E843&lt;=105,"91-105",IF(E843&lt;=120,"106-120",IF(E843&lt;=140,"121-140","Over 140"))))</f>
        <v/>
      </c>
      <c r="Q843" s="28">
        <f>INT(C843/10)*10</f>
        <v/>
      </c>
    </row>
    <row r="844">
      <c r="A844" s="21" t="n">
        <v>867</v>
      </c>
      <c r="B844" s="21" t="inlineStr">
        <is>
          <t>Mission: Impossible</t>
        </is>
      </c>
      <c r="C844" s="21" t="n">
        <v>1996</v>
      </c>
      <c r="D844" s="21" t="inlineStr">
        <is>
          <t>USA</t>
        </is>
      </c>
      <c r="E844" s="21" t="n">
        <v>110</v>
      </c>
      <c r="F844" s="21" t="inlineStr">
        <is>
          <t>English</t>
        </is>
      </c>
      <c r="G844" s="21" t="inlineStr">
        <is>
          <t>PG-13</t>
        </is>
      </c>
      <c r="H844" s="22" t="n">
        <v>180965237</v>
      </c>
      <c r="I844" s="22" t="n">
        <v>80000000</v>
      </c>
      <c r="J844" s="21">
        <f>IF(OR(H844="",H844=25529689.5),"Yes","No")</f>
        <v/>
      </c>
      <c r="K844" s="21">
        <f>IF(AND(D844="USA",C844&gt;=1980,J844="No"),"Yes","No")</f>
        <v/>
      </c>
      <c r="L844" s="26">
        <f>IF(J844="Yes","",H844-I844)</f>
        <v/>
      </c>
      <c r="M844" s="27">
        <f>IF(OR(J844="Yes",I844=0),"",H844/I844)</f>
        <v/>
      </c>
      <c r="N844" s="21">
        <f>IF(J844="Yes","",IF(H844&gt;=I844,1,0))</f>
        <v/>
      </c>
      <c r="O844" s="21">
        <f>IF(I844&lt;=5000000,"Under $5M",IF(I844&lt;=20000000,"$5M-20M",IF(I844&lt;=50000000,"$20M-50M",IF(I844&lt;=100000000,"$50M-100M","$100M+"))))</f>
        <v/>
      </c>
      <c r="P844" s="21">
        <f>IF(E844&lt;=90,"90 or less",IF(E844&lt;=105,"91-105",IF(E844&lt;=120,"106-120",IF(E844&lt;=140,"121-140","Over 140"))))</f>
        <v/>
      </c>
      <c r="Q844" s="28">
        <f>INT(C844/10)*10</f>
        <v/>
      </c>
    </row>
    <row r="845">
      <c r="A845" s="21" t="n">
        <v>868</v>
      </c>
      <c r="B845" s="21" t="inlineStr">
        <is>
          <t>Mrs. Winterbourne</t>
        </is>
      </c>
      <c r="C845" s="21" t="n">
        <v>1996</v>
      </c>
      <c r="D845" s="21" t="inlineStr">
        <is>
          <t>USA</t>
        </is>
      </c>
      <c r="E845" s="21" t="n">
        <v>105</v>
      </c>
      <c r="F845" s="21" t="inlineStr">
        <is>
          <t>English</t>
        </is>
      </c>
      <c r="G845" s="21" t="inlineStr">
        <is>
          <t>PG-13</t>
        </is>
      </c>
      <c r="H845" s="22" t="n">
        <v>10070000</v>
      </c>
      <c r="I845" s="22" t="n">
        <v>25000000</v>
      </c>
      <c r="J845" s="21">
        <f>IF(OR(H845="",H845=25529689.5),"Yes","No")</f>
        <v/>
      </c>
      <c r="K845" s="21">
        <f>IF(AND(D845="USA",C845&gt;=1980,J845="No"),"Yes","No")</f>
        <v/>
      </c>
      <c r="L845" s="26">
        <f>IF(J845="Yes","",H845-I845)</f>
        <v/>
      </c>
      <c r="M845" s="27">
        <f>IF(OR(J845="Yes",I845=0),"",H845/I845)</f>
        <v/>
      </c>
      <c r="N845" s="21">
        <f>IF(J845="Yes","",IF(H845&gt;=I845,1,0))</f>
        <v/>
      </c>
      <c r="O845" s="21">
        <f>IF(I845&lt;=5000000,"Under $5M",IF(I845&lt;=20000000,"$5M-20M",IF(I845&lt;=50000000,"$20M-50M",IF(I845&lt;=100000000,"$50M-100M","$100M+"))))</f>
        <v/>
      </c>
      <c r="P845" s="21">
        <f>IF(E845&lt;=90,"90 or less",IF(E845&lt;=105,"91-105",IF(E845&lt;=120,"106-120",IF(E845&lt;=140,"121-140","Over 140"))))</f>
        <v/>
      </c>
      <c r="Q845" s="28">
        <f>INT(C845/10)*10</f>
        <v/>
      </c>
    </row>
    <row r="846">
      <c r="A846" s="21" t="n">
        <v>869</v>
      </c>
      <c r="B846" s="21" t="inlineStr">
        <is>
          <t>Multiplicity</t>
        </is>
      </c>
      <c r="C846" s="21" t="n">
        <v>1996</v>
      </c>
      <c r="D846" s="21" t="inlineStr">
        <is>
          <t>USA</t>
        </is>
      </c>
      <c r="E846" s="21" t="n">
        <v>117</v>
      </c>
      <c r="F846" s="21" t="inlineStr">
        <is>
          <t>English</t>
        </is>
      </c>
      <c r="G846" s="21" t="inlineStr">
        <is>
          <t>PG-13</t>
        </is>
      </c>
      <c r="H846" s="22" t="n">
        <v>20101861</v>
      </c>
      <c r="I846" s="22" t="n">
        <v>45000000</v>
      </c>
      <c r="J846" s="21">
        <f>IF(OR(H846="",H846=25529689.5),"Yes","No")</f>
        <v/>
      </c>
      <c r="K846" s="21">
        <f>IF(AND(D846="USA",C846&gt;=1980,J846="No"),"Yes","No")</f>
        <v/>
      </c>
      <c r="L846" s="26">
        <f>IF(J846="Yes","",H846-I846)</f>
        <v/>
      </c>
      <c r="M846" s="27">
        <f>IF(OR(J846="Yes",I846=0),"",H846/I846)</f>
        <v/>
      </c>
      <c r="N846" s="21">
        <f>IF(J846="Yes","",IF(H846&gt;=I846,1,0))</f>
        <v/>
      </c>
      <c r="O846" s="21">
        <f>IF(I846&lt;=5000000,"Under $5M",IF(I846&lt;=20000000,"$5M-20M",IF(I846&lt;=50000000,"$20M-50M",IF(I846&lt;=100000000,"$50M-100M","$100M+"))))</f>
        <v/>
      </c>
      <c r="P846" s="21">
        <f>IF(E846&lt;=90,"90 or less",IF(E846&lt;=105,"91-105",IF(E846&lt;=120,"106-120",IF(E846&lt;=140,"121-140","Over 140"))))</f>
        <v/>
      </c>
      <c r="Q846" s="28">
        <f>INT(C846/10)*10</f>
        <v/>
      </c>
    </row>
    <row r="847">
      <c r="A847" s="21" t="n">
        <v>870</v>
      </c>
      <c r="B847" s="21" t="inlineStr">
        <is>
          <t>My Fellow Americans</t>
        </is>
      </c>
      <c r="C847" s="21" t="n">
        <v>1996</v>
      </c>
      <c r="D847" s="21" t="inlineStr">
        <is>
          <t>USA</t>
        </is>
      </c>
      <c r="E847" s="21" t="n">
        <v>101</v>
      </c>
      <c r="F847" s="21" t="inlineStr">
        <is>
          <t>English</t>
        </is>
      </c>
      <c r="G847" s="21" t="inlineStr">
        <is>
          <t>PG-13</t>
        </is>
      </c>
      <c r="H847" s="22" t="n">
        <v>22294341</v>
      </c>
      <c r="I847" s="22" t="n">
        <v>21500000</v>
      </c>
      <c r="J847" s="21">
        <f>IF(OR(H847="",H847=25529689.5),"Yes","No")</f>
        <v/>
      </c>
      <c r="K847" s="21">
        <f>IF(AND(D847="USA",C847&gt;=1980,J847="No"),"Yes","No")</f>
        <v/>
      </c>
      <c r="L847" s="26">
        <f>IF(J847="Yes","",H847-I847)</f>
        <v/>
      </c>
      <c r="M847" s="27">
        <f>IF(OR(J847="Yes",I847=0),"",H847/I847)</f>
        <v/>
      </c>
      <c r="N847" s="21">
        <f>IF(J847="Yes","",IF(H847&gt;=I847,1,0))</f>
        <v/>
      </c>
      <c r="O847" s="21">
        <f>IF(I847&lt;=5000000,"Under $5M",IF(I847&lt;=20000000,"$5M-20M",IF(I847&lt;=50000000,"$20M-50M",IF(I847&lt;=100000000,"$50M-100M","$100M+"))))</f>
        <v/>
      </c>
      <c r="P847" s="21">
        <f>IF(E847&lt;=90,"90 or less",IF(E847&lt;=105,"91-105",IF(E847&lt;=120,"106-120",IF(E847&lt;=140,"121-140","Over 140"))))</f>
        <v/>
      </c>
      <c r="Q847" s="28">
        <f>INT(C847/10)*10</f>
        <v/>
      </c>
    </row>
    <row r="848">
      <c r="A848" s="21" t="n">
        <v>871</v>
      </c>
      <c r="B848" s="21" t="inlineStr">
        <is>
          <t>Phenomenon</t>
        </is>
      </c>
      <c r="C848" s="21" t="n">
        <v>1996</v>
      </c>
      <c r="D848" s="21" t="inlineStr">
        <is>
          <t>USA</t>
        </is>
      </c>
      <c r="E848" s="21" t="n">
        <v>123</v>
      </c>
      <c r="F848" s="21" t="inlineStr">
        <is>
          <t>English</t>
        </is>
      </c>
      <c r="G848" s="21" t="inlineStr">
        <is>
          <t>PG</t>
        </is>
      </c>
      <c r="H848" s="22" t="n">
        <v>104632573</v>
      </c>
      <c r="I848" s="22" t="n">
        <v>32000000</v>
      </c>
      <c r="J848" s="21">
        <f>IF(OR(H848="",H848=25529689.5),"Yes","No")</f>
        <v/>
      </c>
      <c r="K848" s="21">
        <f>IF(AND(D848="USA",C848&gt;=1980,J848="No"),"Yes","No")</f>
        <v/>
      </c>
      <c r="L848" s="26">
        <f>IF(J848="Yes","",H848-I848)</f>
        <v/>
      </c>
      <c r="M848" s="27">
        <f>IF(OR(J848="Yes",I848=0),"",H848/I848)</f>
        <v/>
      </c>
      <c r="N848" s="21">
        <f>IF(J848="Yes","",IF(H848&gt;=I848,1,0))</f>
        <v/>
      </c>
      <c r="O848" s="21">
        <f>IF(I848&lt;=5000000,"Under $5M",IF(I848&lt;=20000000,"$5M-20M",IF(I848&lt;=50000000,"$20M-50M",IF(I848&lt;=100000000,"$50M-100M","$100M+"))))</f>
        <v/>
      </c>
      <c r="P848" s="21">
        <f>IF(E848&lt;=90,"90 or less",IF(E848&lt;=105,"91-105",IF(E848&lt;=120,"106-120",IF(E848&lt;=140,"121-140","Over 140"))))</f>
        <v/>
      </c>
      <c r="Q848" s="28">
        <f>INT(C848/10)*10</f>
        <v/>
      </c>
    </row>
    <row r="849">
      <c r="A849" s="21" t="n">
        <v>872</v>
      </c>
      <c r="B849" s="21" t="inlineStr">
        <is>
          <t>Ransom</t>
        </is>
      </c>
      <c r="C849" s="21" t="n">
        <v>1996</v>
      </c>
      <c r="D849" s="21" t="inlineStr">
        <is>
          <t>USA</t>
        </is>
      </c>
      <c r="E849" s="21" t="n">
        <v>139</v>
      </c>
      <c r="F849" s="21" t="inlineStr">
        <is>
          <t>English</t>
        </is>
      </c>
      <c r="G849" s="21" t="inlineStr">
        <is>
          <t>R</t>
        </is>
      </c>
      <c r="H849" s="22" t="n">
        <v>136448821</v>
      </c>
      <c r="I849" s="22" t="n">
        <v>80000000</v>
      </c>
      <c r="J849" s="21">
        <f>IF(OR(H849="",H849=25529689.5),"Yes","No")</f>
        <v/>
      </c>
      <c r="K849" s="21">
        <f>IF(AND(D849="USA",C849&gt;=1980,J849="No"),"Yes","No")</f>
        <v/>
      </c>
      <c r="L849" s="26">
        <f>IF(J849="Yes","",H849-I849)</f>
        <v/>
      </c>
      <c r="M849" s="27">
        <f>IF(OR(J849="Yes",I849=0),"",H849/I849)</f>
        <v/>
      </c>
      <c r="N849" s="21">
        <f>IF(J849="Yes","",IF(H849&gt;=I849,1,0))</f>
        <v/>
      </c>
      <c r="O849" s="21">
        <f>IF(I849&lt;=5000000,"Under $5M",IF(I849&lt;=20000000,"$5M-20M",IF(I849&lt;=50000000,"$20M-50M",IF(I849&lt;=100000000,"$50M-100M","$100M+"))))</f>
        <v/>
      </c>
      <c r="P849" s="21">
        <f>IF(E849&lt;=90,"90 or less",IF(E849&lt;=105,"91-105",IF(E849&lt;=120,"106-120",IF(E849&lt;=140,"121-140","Over 140"))))</f>
        <v/>
      </c>
      <c r="Q849" s="28">
        <f>INT(C849/10)*10</f>
        <v/>
      </c>
    </row>
    <row r="850">
      <c r="A850" s="21" t="n">
        <v>873</v>
      </c>
      <c r="B850" s="21" t="inlineStr">
        <is>
          <t>Romeo + Juliet</t>
        </is>
      </c>
      <c r="C850" s="21" t="n">
        <v>1996</v>
      </c>
      <c r="D850" s="21" t="inlineStr">
        <is>
          <t>USA</t>
        </is>
      </c>
      <c r="E850" s="21" t="n">
        <v>120</v>
      </c>
      <c r="F850" s="21" t="inlineStr">
        <is>
          <t>English</t>
        </is>
      </c>
      <c r="G850" s="21" t="inlineStr">
        <is>
          <t>PG-13</t>
        </is>
      </c>
      <c r="H850" s="22" t="n">
        <v>46338728</v>
      </c>
      <c r="I850" s="22" t="n">
        <v>14500000</v>
      </c>
      <c r="J850" s="21">
        <f>IF(OR(H850="",H850=25529689.5),"Yes","No")</f>
        <v/>
      </c>
      <c r="K850" s="21">
        <f>IF(AND(D850="USA",C850&gt;=1980,J850="No"),"Yes","No")</f>
        <v/>
      </c>
      <c r="L850" s="26">
        <f>IF(J850="Yes","",H850-I850)</f>
        <v/>
      </c>
      <c r="M850" s="27">
        <f>IF(OR(J850="Yes",I850=0),"",H850/I850)</f>
        <v/>
      </c>
      <c r="N850" s="21">
        <f>IF(J850="Yes","",IF(H850&gt;=I850,1,0))</f>
        <v/>
      </c>
      <c r="O850" s="21">
        <f>IF(I850&lt;=5000000,"Under $5M",IF(I850&lt;=20000000,"$5M-20M",IF(I850&lt;=50000000,"$20M-50M",IF(I850&lt;=100000000,"$50M-100M","$100M+"))))</f>
        <v/>
      </c>
      <c r="P850" s="21">
        <f>IF(E850&lt;=90,"90 or less",IF(E850&lt;=105,"91-105",IF(E850&lt;=120,"106-120",IF(E850&lt;=140,"121-140","Over 140"))))</f>
        <v/>
      </c>
      <c r="Q850" s="28">
        <f>INT(C850/10)*10</f>
        <v/>
      </c>
    </row>
    <row r="851">
      <c r="A851" s="21" t="n">
        <v>874</v>
      </c>
      <c r="B851" s="21" t="inlineStr">
        <is>
          <t>Scream</t>
        </is>
      </c>
      <c r="C851" s="21" t="n">
        <v>1996</v>
      </c>
      <c r="D851" s="21" t="inlineStr">
        <is>
          <t>USA</t>
        </is>
      </c>
      <c r="E851" s="21" t="n">
        <v>103</v>
      </c>
      <c r="F851" s="21" t="inlineStr">
        <is>
          <t>English</t>
        </is>
      </c>
      <c r="G851" s="21" t="inlineStr">
        <is>
          <t>R</t>
        </is>
      </c>
      <c r="H851" s="22" t="n">
        <v>103001286</v>
      </c>
      <c r="I851" s="22" t="n">
        <v>15000000</v>
      </c>
      <c r="J851" s="21">
        <f>IF(OR(H851="",H851=25529689.5),"Yes","No")</f>
        <v/>
      </c>
      <c r="K851" s="21">
        <f>IF(AND(D851="USA",C851&gt;=1980,J851="No"),"Yes","No")</f>
        <v/>
      </c>
      <c r="L851" s="26">
        <f>IF(J851="Yes","",H851-I851)</f>
        <v/>
      </c>
      <c r="M851" s="27">
        <f>IF(OR(J851="Yes",I851=0),"",H851/I851)</f>
        <v/>
      </c>
      <c r="N851" s="21">
        <f>IF(J851="Yes","",IF(H851&gt;=I851,1,0))</f>
        <v/>
      </c>
      <c r="O851" s="21">
        <f>IF(I851&lt;=5000000,"Under $5M",IF(I851&lt;=20000000,"$5M-20M",IF(I851&lt;=50000000,"$20M-50M",IF(I851&lt;=100000000,"$50M-100M","$100M+"))))</f>
        <v/>
      </c>
      <c r="P851" s="21">
        <f>IF(E851&lt;=90,"90 or less",IF(E851&lt;=105,"91-105",IF(E851&lt;=120,"106-120",IF(E851&lt;=140,"121-140","Over 140"))))</f>
        <v/>
      </c>
      <c r="Q851" s="28">
        <f>INT(C851/10)*10</f>
        <v/>
      </c>
    </row>
    <row r="852">
      <c r="A852" s="21" t="n">
        <v>875</v>
      </c>
      <c r="B852" s="21" t="inlineStr">
        <is>
          <t>Set It Off</t>
        </is>
      </c>
      <c r="C852" s="21" t="n">
        <v>1996</v>
      </c>
      <c r="D852" s="21" t="inlineStr">
        <is>
          <t>USA</t>
        </is>
      </c>
      <c r="E852" s="21" t="n">
        <v>123</v>
      </c>
      <c r="F852" s="21" t="inlineStr">
        <is>
          <t>English</t>
        </is>
      </c>
      <c r="G852" s="21" t="inlineStr">
        <is>
          <t>R</t>
        </is>
      </c>
      <c r="H852" s="22" t="n">
        <v>36049108</v>
      </c>
      <c r="I852" s="22" t="n">
        <v>9000000</v>
      </c>
      <c r="J852" s="21">
        <f>IF(OR(H852="",H852=25529689.5),"Yes","No")</f>
        <v/>
      </c>
      <c r="K852" s="21">
        <f>IF(AND(D852="USA",C852&gt;=1980,J852="No"),"Yes","No")</f>
        <v/>
      </c>
      <c r="L852" s="26">
        <f>IF(J852="Yes","",H852-I852)</f>
        <v/>
      </c>
      <c r="M852" s="27">
        <f>IF(OR(J852="Yes",I852=0),"",H852/I852)</f>
        <v/>
      </c>
      <c r="N852" s="21">
        <f>IF(J852="Yes","",IF(H852&gt;=I852,1,0))</f>
        <v/>
      </c>
      <c r="O852" s="21">
        <f>IF(I852&lt;=5000000,"Under $5M",IF(I852&lt;=20000000,"$5M-20M",IF(I852&lt;=50000000,"$20M-50M",IF(I852&lt;=100000000,"$50M-100M","$100M+"))))</f>
        <v/>
      </c>
      <c r="P852" s="21">
        <f>IF(E852&lt;=90,"90 or less",IF(E852&lt;=105,"91-105",IF(E852&lt;=120,"106-120",IF(E852&lt;=140,"121-140","Over 140"))))</f>
        <v/>
      </c>
      <c r="Q852" s="28">
        <f>INT(C852/10)*10</f>
        <v/>
      </c>
    </row>
    <row r="853">
      <c r="A853" s="21" t="n">
        <v>876</v>
      </c>
      <c r="B853" s="21" t="inlineStr">
        <is>
          <t>Sgt. Bilko</t>
        </is>
      </c>
      <c r="C853" s="21" t="n">
        <v>1996</v>
      </c>
      <c r="D853" s="21" t="inlineStr">
        <is>
          <t>USA</t>
        </is>
      </c>
      <c r="E853" s="21" t="n">
        <v>93</v>
      </c>
      <c r="F853" s="21" t="inlineStr">
        <is>
          <t>English</t>
        </is>
      </c>
      <c r="G853" s="21" t="inlineStr">
        <is>
          <t>PG</t>
        </is>
      </c>
      <c r="H853" s="22" t="n">
        <v>30400000</v>
      </c>
      <c r="I853" s="22" t="n">
        <v>39000000</v>
      </c>
      <c r="J853" s="21">
        <f>IF(OR(H853="",H853=25529689.5),"Yes","No")</f>
        <v/>
      </c>
      <c r="K853" s="21">
        <f>IF(AND(D853="USA",C853&gt;=1980,J853="No"),"Yes","No")</f>
        <v/>
      </c>
      <c r="L853" s="26">
        <f>IF(J853="Yes","",H853-I853)</f>
        <v/>
      </c>
      <c r="M853" s="27">
        <f>IF(OR(J853="Yes",I853=0),"",H853/I853)</f>
        <v/>
      </c>
      <c r="N853" s="21">
        <f>IF(J853="Yes","",IF(H853&gt;=I853,1,0))</f>
        <v/>
      </c>
      <c r="O853" s="21">
        <f>IF(I853&lt;=5000000,"Under $5M",IF(I853&lt;=20000000,"$5M-20M",IF(I853&lt;=50000000,"$20M-50M",IF(I853&lt;=100000000,"$50M-100M","$100M+"))))</f>
        <v/>
      </c>
      <c r="P853" s="21">
        <f>IF(E853&lt;=90,"90 or less",IF(E853&lt;=105,"91-105",IF(E853&lt;=120,"106-120",IF(E853&lt;=140,"121-140","Over 140"))))</f>
        <v/>
      </c>
      <c r="Q853" s="28">
        <f>INT(C853/10)*10</f>
        <v/>
      </c>
    </row>
    <row r="854">
      <c r="A854" s="21" t="n">
        <v>877</v>
      </c>
      <c r="B854" s="21" t="inlineStr">
        <is>
          <t>She's the One</t>
        </is>
      </c>
      <c r="C854" s="21" t="n">
        <v>1996</v>
      </c>
      <c r="D854" s="21" t="inlineStr">
        <is>
          <t>USA</t>
        </is>
      </c>
      <c r="E854" s="21" t="n">
        <v>96</v>
      </c>
      <c r="F854" s="21" t="inlineStr">
        <is>
          <t>English</t>
        </is>
      </c>
      <c r="G854" s="21" t="inlineStr">
        <is>
          <t>R</t>
        </is>
      </c>
      <c r="H854" s="22" t="n">
        <v>9449219</v>
      </c>
      <c r="I854" s="22" t="n">
        <v>3500000</v>
      </c>
      <c r="J854" s="21">
        <f>IF(OR(H854="",H854=25529689.5),"Yes","No")</f>
        <v/>
      </c>
      <c r="K854" s="21">
        <f>IF(AND(D854="USA",C854&gt;=1980,J854="No"),"Yes","No")</f>
        <v/>
      </c>
      <c r="L854" s="26">
        <f>IF(J854="Yes","",H854-I854)</f>
        <v/>
      </c>
      <c r="M854" s="27">
        <f>IF(OR(J854="Yes",I854=0),"",H854/I854)</f>
        <v/>
      </c>
      <c r="N854" s="21">
        <f>IF(J854="Yes","",IF(H854&gt;=I854,1,0))</f>
        <v/>
      </c>
      <c r="O854" s="21">
        <f>IF(I854&lt;=5000000,"Under $5M",IF(I854&lt;=20000000,"$5M-20M",IF(I854&lt;=50000000,"$20M-50M",IF(I854&lt;=100000000,"$50M-100M","$100M+"))))</f>
        <v/>
      </c>
      <c r="P854" s="21">
        <f>IF(E854&lt;=90,"90 or less",IF(E854&lt;=105,"91-105",IF(E854&lt;=120,"106-120",IF(E854&lt;=140,"121-140","Over 140"))))</f>
        <v/>
      </c>
      <c r="Q854" s="28">
        <f>INT(C854/10)*10</f>
        <v/>
      </c>
    </row>
    <row r="855">
      <c r="A855" s="21" t="n">
        <v>878</v>
      </c>
      <c r="B855" s="21" t="inlineStr">
        <is>
          <t>Shine</t>
        </is>
      </c>
      <c r="C855" s="21" t="n">
        <v>1996</v>
      </c>
      <c r="D855" s="21" t="inlineStr">
        <is>
          <t>Australia</t>
        </is>
      </c>
      <c r="E855" s="21" t="n">
        <v>105</v>
      </c>
      <c r="F855" s="21" t="inlineStr">
        <is>
          <t>English</t>
        </is>
      </c>
      <c r="G855" s="21" t="inlineStr">
        <is>
          <t>PG-13</t>
        </is>
      </c>
      <c r="H855" s="22" t="n">
        <v>35811509</v>
      </c>
      <c r="I855" s="22" t="n">
        <v>5500000</v>
      </c>
      <c r="J855" s="21">
        <f>IF(OR(H855="",H855=25529689.5),"Yes","No")</f>
        <v/>
      </c>
      <c r="K855" s="21">
        <f>IF(AND(D855="USA",C855&gt;=1980,J855="No"),"Yes","No")</f>
        <v/>
      </c>
      <c r="L855" s="26">
        <f>IF(J855="Yes","",H855-I855)</f>
        <v/>
      </c>
      <c r="M855" s="27">
        <f>IF(OR(J855="Yes",I855=0),"",H855/I855)</f>
        <v/>
      </c>
      <c r="N855" s="21">
        <f>IF(J855="Yes","",IF(H855&gt;=I855,1,0))</f>
        <v/>
      </c>
      <c r="O855" s="21">
        <f>IF(I855&lt;=5000000,"Under $5M",IF(I855&lt;=20000000,"$5M-20M",IF(I855&lt;=50000000,"$20M-50M",IF(I855&lt;=100000000,"$50M-100M","$100M+"))))</f>
        <v/>
      </c>
      <c r="P855" s="21">
        <f>IF(E855&lt;=90,"90 or less",IF(E855&lt;=105,"91-105",IF(E855&lt;=120,"106-120",IF(E855&lt;=140,"121-140","Over 140"))))</f>
        <v/>
      </c>
      <c r="Q855" s="28">
        <f>INT(C855/10)*10</f>
        <v/>
      </c>
    </row>
    <row r="856">
      <c r="A856" s="21" t="n">
        <v>879</v>
      </c>
      <c r="B856" s="21" t="inlineStr">
        <is>
          <t>Silent Trigger</t>
        </is>
      </c>
      <c r="C856" s="21" t="n">
        <v>1996</v>
      </c>
      <c r="D856" s="21" t="inlineStr">
        <is>
          <t>Canada</t>
        </is>
      </c>
      <c r="E856" s="21" t="n">
        <v>88</v>
      </c>
      <c r="F856" s="21" t="inlineStr">
        <is>
          <t>English</t>
        </is>
      </c>
      <c r="G856" s="21" t="inlineStr">
        <is>
          <t>R</t>
        </is>
      </c>
      <c r="H856" s="22" t="n">
        <v>25529689.5</v>
      </c>
      <c r="I856" s="22" t="n">
        <v>9000000</v>
      </c>
      <c r="J856" s="21">
        <f>IF(OR(H856="",H856=25529689.5),"Yes","No")</f>
        <v/>
      </c>
      <c r="K856" s="21">
        <f>IF(AND(D856="USA",C856&gt;=1980,J856="No"),"Yes","No")</f>
        <v/>
      </c>
      <c r="L856" s="26">
        <f>IF(J856="Yes","",H856-I856)</f>
        <v/>
      </c>
      <c r="M856" s="27">
        <f>IF(OR(J856="Yes",I856=0),"",H856/I856)</f>
        <v/>
      </c>
      <c r="N856" s="21">
        <f>IF(J856="Yes","",IF(H856&gt;=I856,1,0))</f>
        <v/>
      </c>
      <c r="O856" s="21">
        <f>IF(I856&lt;=5000000,"Under $5M",IF(I856&lt;=20000000,"$5M-20M",IF(I856&lt;=50000000,"$20M-50M",IF(I856&lt;=100000000,"$50M-100M","$100M+"))))</f>
        <v/>
      </c>
      <c r="P856" s="21">
        <f>IF(E856&lt;=90,"90 or less",IF(E856&lt;=105,"91-105",IF(E856&lt;=120,"106-120",IF(E856&lt;=140,"121-140","Over 140"))))</f>
        <v/>
      </c>
      <c r="Q856" s="28">
        <f>INT(C856/10)*10</f>
        <v/>
      </c>
    </row>
    <row r="857">
      <c r="A857" s="21" t="n">
        <v>880</v>
      </c>
      <c r="B857" s="21" t="inlineStr">
        <is>
          <t>Sleepers</t>
        </is>
      </c>
      <c r="C857" s="21" t="n">
        <v>1996</v>
      </c>
      <c r="D857" s="21" t="inlineStr">
        <is>
          <t>USA</t>
        </is>
      </c>
      <c r="E857" s="21" t="n">
        <v>147</v>
      </c>
      <c r="F857" s="21" t="inlineStr">
        <is>
          <t>English</t>
        </is>
      </c>
      <c r="G857" s="21" t="inlineStr">
        <is>
          <t>R</t>
        </is>
      </c>
      <c r="H857" s="22" t="n">
        <v>53300852</v>
      </c>
      <c r="I857" s="22" t="n">
        <v>44000000</v>
      </c>
      <c r="J857" s="21">
        <f>IF(OR(H857="",H857=25529689.5),"Yes","No")</f>
        <v/>
      </c>
      <c r="K857" s="21">
        <f>IF(AND(D857="USA",C857&gt;=1980,J857="No"),"Yes","No")</f>
        <v/>
      </c>
      <c r="L857" s="26">
        <f>IF(J857="Yes","",H857-I857)</f>
        <v/>
      </c>
      <c r="M857" s="27">
        <f>IF(OR(J857="Yes",I857=0),"",H857/I857)</f>
        <v/>
      </c>
      <c r="N857" s="21">
        <f>IF(J857="Yes","",IF(H857&gt;=I857,1,0))</f>
        <v/>
      </c>
      <c r="O857" s="21">
        <f>IF(I857&lt;=5000000,"Under $5M",IF(I857&lt;=20000000,"$5M-20M",IF(I857&lt;=50000000,"$20M-50M",IF(I857&lt;=100000000,"$50M-100M","$100M+"))))</f>
        <v/>
      </c>
      <c r="P857" s="21">
        <f>IF(E857&lt;=90,"90 or less",IF(E857&lt;=105,"91-105",IF(E857&lt;=120,"106-120",IF(E857&lt;=140,"121-140","Over 140"))))</f>
        <v/>
      </c>
      <c r="Q857" s="28">
        <f>INT(C857/10)*10</f>
        <v/>
      </c>
    </row>
    <row r="858">
      <c r="A858" s="21" t="n">
        <v>881</v>
      </c>
      <c r="B858" s="21" t="inlineStr">
        <is>
          <t>Sling Blade</t>
        </is>
      </c>
      <c r="C858" s="21" t="n">
        <v>1996</v>
      </c>
      <c r="D858" s="21" t="inlineStr">
        <is>
          <t>USA</t>
        </is>
      </c>
      <c r="E858" s="21" t="n">
        <v>148</v>
      </c>
      <c r="F858" s="21" t="inlineStr">
        <is>
          <t>English</t>
        </is>
      </c>
      <c r="G858" s="21" t="inlineStr">
        <is>
          <t>R</t>
        </is>
      </c>
      <c r="H858" s="22" t="n">
        <v>24475416</v>
      </c>
      <c r="I858" s="22" t="n">
        <v>890000</v>
      </c>
      <c r="J858" s="21">
        <f>IF(OR(H858="",H858=25529689.5),"Yes","No")</f>
        <v/>
      </c>
      <c r="K858" s="21">
        <f>IF(AND(D858="USA",C858&gt;=1980,J858="No"),"Yes","No")</f>
        <v/>
      </c>
      <c r="L858" s="26">
        <f>IF(J858="Yes","",H858-I858)</f>
        <v/>
      </c>
      <c r="M858" s="27">
        <f>IF(OR(J858="Yes",I858=0),"",H858/I858)</f>
        <v/>
      </c>
      <c r="N858" s="21">
        <f>IF(J858="Yes","",IF(H858&gt;=I858,1,0))</f>
        <v/>
      </c>
      <c r="O858" s="21">
        <f>IF(I858&lt;=5000000,"Under $5M",IF(I858&lt;=20000000,"$5M-20M",IF(I858&lt;=50000000,"$20M-50M",IF(I858&lt;=100000000,"$50M-100M","$100M+"))))</f>
        <v/>
      </c>
      <c r="P858" s="21">
        <f>IF(E858&lt;=90,"90 or less",IF(E858&lt;=105,"91-105",IF(E858&lt;=120,"106-120",IF(E858&lt;=140,"121-140","Over 140"))))</f>
        <v/>
      </c>
      <c r="Q858" s="28">
        <f>INT(C858/10)*10</f>
        <v/>
      </c>
    </row>
    <row r="859">
      <c r="A859" s="21" t="n">
        <v>882</v>
      </c>
      <c r="B859" s="21" t="inlineStr">
        <is>
          <t>Space Jam</t>
        </is>
      </c>
      <c r="C859" s="21" t="n">
        <v>1996</v>
      </c>
      <c r="D859" s="21" t="inlineStr">
        <is>
          <t>USA</t>
        </is>
      </c>
      <c r="E859" s="21" t="n">
        <v>88</v>
      </c>
      <c r="F859" s="21" t="inlineStr">
        <is>
          <t>English</t>
        </is>
      </c>
      <c r="G859" s="21" t="inlineStr">
        <is>
          <t>PG</t>
        </is>
      </c>
      <c r="H859" s="22" t="n">
        <v>90443603</v>
      </c>
      <c r="I859" s="22" t="n">
        <v>80000000</v>
      </c>
      <c r="J859" s="21">
        <f>IF(OR(H859="",H859=25529689.5),"Yes","No")</f>
        <v/>
      </c>
      <c r="K859" s="21">
        <f>IF(AND(D859="USA",C859&gt;=1980,J859="No"),"Yes","No")</f>
        <v/>
      </c>
      <c r="L859" s="26">
        <f>IF(J859="Yes","",H859-I859)</f>
        <v/>
      </c>
      <c r="M859" s="27">
        <f>IF(OR(J859="Yes",I859=0),"",H859/I859)</f>
        <v/>
      </c>
      <c r="N859" s="21">
        <f>IF(J859="Yes","",IF(H859&gt;=I859,1,0))</f>
        <v/>
      </c>
      <c r="O859" s="21">
        <f>IF(I859&lt;=5000000,"Under $5M",IF(I859&lt;=20000000,"$5M-20M",IF(I859&lt;=50000000,"$20M-50M",IF(I859&lt;=100000000,"$50M-100M","$100M+"))))</f>
        <v/>
      </c>
      <c r="P859" s="21">
        <f>IF(E859&lt;=90,"90 or less",IF(E859&lt;=105,"91-105",IF(E859&lt;=120,"106-120",IF(E859&lt;=140,"121-140","Over 140"))))</f>
        <v/>
      </c>
      <c r="Q859" s="28">
        <f>INT(C859/10)*10</f>
        <v/>
      </c>
    </row>
    <row r="860">
      <c r="A860" s="21" t="n">
        <v>883</v>
      </c>
      <c r="B860" s="21" t="inlineStr">
        <is>
          <t>Spy Hard</t>
        </is>
      </c>
      <c r="C860" s="21" t="n">
        <v>1996</v>
      </c>
      <c r="D860" s="21" t="inlineStr">
        <is>
          <t>USA</t>
        </is>
      </c>
      <c r="E860" s="21" t="n">
        <v>81</v>
      </c>
      <c r="F860" s="21" t="inlineStr">
        <is>
          <t>English</t>
        </is>
      </c>
      <c r="G860" s="21" t="inlineStr">
        <is>
          <t>PG-13</t>
        </is>
      </c>
      <c r="H860" s="22" t="n">
        <v>26906039</v>
      </c>
      <c r="I860" s="22" t="n">
        <v>18000000</v>
      </c>
      <c r="J860" s="21">
        <f>IF(OR(H860="",H860=25529689.5),"Yes","No")</f>
        <v/>
      </c>
      <c r="K860" s="21">
        <f>IF(AND(D860="USA",C860&gt;=1980,J860="No"),"Yes","No")</f>
        <v/>
      </c>
      <c r="L860" s="26">
        <f>IF(J860="Yes","",H860-I860)</f>
        <v/>
      </c>
      <c r="M860" s="27">
        <f>IF(OR(J860="Yes",I860=0),"",H860/I860)</f>
        <v/>
      </c>
      <c r="N860" s="21">
        <f>IF(J860="Yes","",IF(H860&gt;=I860,1,0))</f>
        <v/>
      </c>
      <c r="O860" s="21">
        <f>IF(I860&lt;=5000000,"Under $5M",IF(I860&lt;=20000000,"$5M-20M",IF(I860&lt;=50000000,"$20M-50M",IF(I860&lt;=100000000,"$50M-100M","$100M+"))))</f>
        <v/>
      </c>
      <c r="P860" s="21">
        <f>IF(E860&lt;=90,"90 or less",IF(E860&lt;=105,"91-105",IF(E860&lt;=120,"106-120",IF(E860&lt;=140,"121-140","Over 140"))))</f>
        <v/>
      </c>
      <c r="Q860" s="28">
        <f>INT(C860/10)*10</f>
        <v/>
      </c>
    </row>
    <row r="861">
      <c r="A861" s="21" t="n">
        <v>884</v>
      </c>
      <c r="B861" s="21" t="inlineStr">
        <is>
          <t>Star Trek: First Contact</t>
        </is>
      </c>
      <c r="C861" s="21" t="n">
        <v>1996</v>
      </c>
      <c r="D861" s="21" t="inlineStr">
        <is>
          <t>USA</t>
        </is>
      </c>
      <c r="E861" s="21" t="n">
        <v>111</v>
      </c>
      <c r="F861" s="21" t="inlineStr">
        <is>
          <t>English</t>
        </is>
      </c>
      <c r="G861" s="21" t="inlineStr">
        <is>
          <t>PG-13</t>
        </is>
      </c>
      <c r="H861" s="22" t="n">
        <v>92001027</v>
      </c>
      <c r="I861" s="22" t="n">
        <v>45000000</v>
      </c>
      <c r="J861" s="21">
        <f>IF(OR(H861="",H861=25529689.5),"Yes","No")</f>
        <v/>
      </c>
      <c r="K861" s="21">
        <f>IF(AND(D861="USA",C861&gt;=1980,J861="No"),"Yes","No")</f>
        <v/>
      </c>
      <c r="L861" s="26">
        <f>IF(J861="Yes","",H861-I861)</f>
        <v/>
      </c>
      <c r="M861" s="27">
        <f>IF(OR(J861="Yes",I861=0),"",H861/I861)</f>
        <v/>
      </c>
      <c r="N861" s="21">
        <f>IF(J861="Yes","",IF(H861&gt;=I861,1,0))</f>
        <v/>
      </c>
      <c r="O861" s="21">
        <f>IF(I861&lt;=5000000,"Under $5M",IF(I861&lt;=20000000,"$5M-20M",IF(I861&lt;=50000000,"$20M-50M",IF(I861&lt;=100000000,"$50M-100M","$100M+"))))</f>
        <v/>
      </c>
      <c r="P861" s="21">
        <f>IF(E861&lt;=90,"90 or less",IF(E861&lt;=105,"91-105",IF(E861&lt;=120,"106-120",IF(E861&lt;=140,"121-140","Over 140"))))</f>
        <v/>
      </c>
      <c r="Q861" s="28">
        <f>INT(C861/10)*10</f>
        <v/>
      </c>
    </row>
    <row r="862">
      <c r="A862" s="21" t="n">
        <v>885</v>
      </c>
      <c r="B862" s="21" t="inlineStr">
        <is>
          <t>Striptease</t>
        </is>
      </c>
      <c r="C862" s="21" t="n">
        <v>1996</v>
      </c>
      <c r="D862" s="21" t="inlineStr">
        <is>
          <t>USA</t>
        </is>
      </c>
      <c r="E862" s="21" t="n">
        <v>117</v>
      </c>
      <c r="F862" s="21" t="inlineStr">
        <is>
          <t>English</t>
        </is>
      </c>
      <c r="G862" s="21" t="inlineStr">
        <is>
          <t>R</t>
        </is>
      </c>
      <c r="H862" s="22" t="n">
        <v>32800000</v>
      </c>
      <c r="I862" s="22" t="n">
        <v>40000000</v>
      </c>
      <c r="J862" s="21">
        <f>IF(OR(H862="",H862=25529689.5),"Yes","No")</f>
        <v/>
      </c>
      <c r="K862" s="21">
        <f>IF(AND(D862="USA",C862&gt;=1980,J862="No"),"Yes","No")</f>
        <v/>
      </c>
      <c r="L862" s="26">
        <f>IF(J862="Yes","",H862-I862)</f>
        <v/>
      </c>
      <c r="M862" s="27">
        <f>IF(OR(J862="Yes",I862=0),"",H862/I862)</f>
        <v/>
      </c>
      <c r="N862" s="21">
        <f>IF(J862="Yes","",IF(H862&gt;=I862,1,0))</f>
        <v/>
      </c>
      <c r="O862" s="21">
        <f>IF(I862&lt;=5000000,"Under $5M",IF(I862&lt;=20000000,"$5M-20M",IF(I862&lt;=50000000,"$20M-50M",IF(I862&lt;=100000000,"$50M-100M","$100M+"))))</f>
        <v/>
      </c>
      <c r="P862" s="21">
        <f>IF(E862&lt;=90,"90 or less",IF(E862&lt;=105,"91-105",IF(E862&lt;=120,"106-120",IF(E862&lt;=140,"121-140","Over 140"))))</f>
        <v/>
      </c>
      <c r="Q862" s="28">
        <f>INT(C862/10)*10</f>
        <v/>
      </c>
    </row>
    <row r="863">
      <c r="A863" s="21" t="n">
        <v>886</v>
      </c>
      <c r="B863" s="21" t="inlineStr">
        <is>
          <t>Swingers</t>
        </is>
      </c>
      <c r="C863" s="21" t="n">
        <v>1996</v>
      </c>
      <c r="D863" s="21" t="inlineStr">
        <is>
          <t>USA</t>
        </is>
      </c>
      <c r="E863" s="21" t="n">
        <v>96</v>
      </c>
      <c r="F863" s="21" t="inlineStr">
        <is>
          <t>English</t>
        </is>
      </c>
      <c r="G863" s="21" t="inlineStr">
        <is>
          <t>R</t>
        </is>
      </c>
      <c r="H863" s="22" t="n">
        <v>4505922</v>
      </c>
      <c r="I863" s="22" t="n">
        <v>200000</v>
      </c>
      <c r="J863" s="21">
        <f>IF(OR(H863="",H863=25529689.5),"Yes","No")</f>
        <v/>
      </c>
      <c r="K863" s="21">
        <f>IF(AND(D863="USA",C863&gt;=1980,J863="No"),"Yes","No")</f>
        <v/>
      </c>
      <c r="L863" s="26">
        <f>IF(J863="Yes","",H863-I863)</f>
        <v/>
      </c>
      <c r="M863" s="27">
        <f>IF(OR(J863="Yes",I863=0),"",H863/I863)</f>
        <v/>
      </c>
      <c r="N863" s="21">
        <f>IF(J863="Yes","",IF(H863&gt;=I863,1,0))</f>
        <v/>
      </c>
      <c r="O863" s="21">
        <f>IF(I863&lt;=5000000,"Under $5M",IF(I863&lt;=20000000,"$5M-20M",IF(I863&lt;=50000000,"$20M-50M",IF(I863&lt;=100000000,"$50M-100M","$100M+"))))</f>
        <v/>
      </c>
      <c r="P863" s="21">
        <f>IF(E863&lt;=90,"90 or less",IF(E863&lt;=105,"91-105",IF(E863&lt;=120,"106-120",IF(E863&lt;=140,"121-140","Over 140"))))</f>
        <v/>
      </c>
      <c r="Q863" s="28">
        <f>INT(C863/10)*10</f>
        <v/>
      </c>
    </row>
    <row r="864">
      <c r="A864" s="21" t="n">
        <v>887</v>
      </c>
      <c r="B864" s="21" t="inlineStr">
        <is>
          <t>That Thing You Do!</t>
        </is>
      </c>
      <c r="C864" s="21" t="n">
        <v>1996</v>
      </c>
      <c r="D864" s="21" t="inlineStr">
        <is>
          <t>USA</t>
        </is>
      </c>
      <c r="E864" s="21" t="n">
        <v>149</v>
      </c>
      <c r="F864" s="21" t="inlineStr">
        <is>
          <t>English</t>
        </is>
      </c>
      <c r="G864" s="21" t="inlineStr">
        <is>
          <t>PG</t>
        </is>
      </c>
      <c r="H864" s="22" t="n">
        <v>25809813</v>
      </c>
      <c r="I864" s="22" t="n">
        <v>26000000</v>
      </c>
      <c r="J864" s="21">
        <f>IF(OR(H864="",H864=25529689.5),"Yes","No")</f>
        <v/>
      </c>
      <c r="K864" s="21">
        <f>IF(AND(D864="USA",C864&gt;=1980,J864="No"),"Yes","No")</f>
        <v/>
      </c>
      <c r="L864" s="26">
        <f>IF(J864="Yes","",H864-I864)</f>
        <v/>
      </c>
      <c r="M864" s="27">
        <f>IF(OR(J864="Yes",I864=0),"",H864/I864)</f>
        <v/>
      </c>
      <c r="N864" s="21">
        <f>IF(J864="Yes","",IF(H864&gt;=I864,1,0))</f>
        <v/>
      </c>
      <c r="O864" s="21">
        <f>IF(I864&lt;=5000000,"Under $5M",IF(I864&lt;=20000000,"$5M-20M",IF(I864&lt;=50000000,"$20M-50M",IF(I864&lt;=100000000,"$50M-100M","$100M+"))))</f>
        <v/>
      </c>
      <c r="P864" s="21">
        <f>IF(E864&lt;=90,"90 or less",IF(E864&lt;=105,"91-105",IF(E864&lt;=120,"106-120",IF(E864&lt;=140,"121-140","Over 140"))))</f>
        <v/>
      </c>
      <c r="Q864" s="28">
        <f>INT(C864/10)*10</f>
        <v/>
      </c>
    </row>
    <row r="865">
      <c r="A865" s="21" t="n">
        <v>888</v>
      </c>
      <c r="B865" s="21" t="inlineStr">
        <is>
          <t>The Adventures of Pinocchio</t>
        </is>
      </c>
      <c r="C865" s="21" t="n">
        <v>1996</v>
      </c>
      <c r="D865" s="21" t="inlineStr">
        <is>
          <t>UK</t>
        </is>
      </c>
      <c r="E865" s="21" t="n">
        <v>90</v>
      </c>
      <c r="F865" s="21" t="inlineStr">
        <is>
          <t>Italian</t>
        </is>
      </c>
      <c r="G865" s="21" t="inlineStr">
        <is>
          <t>G</t>
        </is>
      </c>
      <c r="H865" s="22" t="n">
        <v>15091542</v>
      </c>
      <c r="I865" s="22" t="n">
        <v>25000000</v>
      </c>
      <c r="J865" s="21">
        <f>IF(OR(H865="",H865=25529689.5),"Yes","No")</f>
        <v/>
      </c>
      <c r="K865" s="21">
        <f>IF(AND(D865="USA",C865&gt;=1980,J865="No"),"Yes","No")</f>
        <v/>
      </c>
      <c r="L865" s="26">
        <f>IF(J865="Yes","",H865-I865)</f>
        <v/>
      </c>
      <c r="M865" s="27">
        <f>IF(OR(J865="Yes",I865=0),"",H865/I865)</f>
        <v/>
      </c>
      <c r="N865" s="21">
        <f>IF(J865="Yes","",IF(H865&gt;=I865,1,0))</f>
        <v/>
      </c>
      <c r="O865" s="21">
        <f>IF(I865&lt;=5000000,"Under $5M",IF(I865&lt;=20000000,"$5M-20M",IF(I865&lt;=50000000,"$20M-50M",IF(I865&lt;=100000000,"$50M-100M","$100M+"))))</f>
        <v/>
      </c>
      <c r="P865" s="21">
        <f>IF(E865&lt;=90,"90 or less",IF(E865&lt;=105,"91-105",IF(E865&lt;=120,"106-120",IF(E865&lt;=140,"121-140","Over 140"))))</f>
        <v/>
      </c>
      <c r="Q865" s="28">
        <f>INT(C865/10)*10</f>
        <v/>
      </c>
    </row>
    <row r="866">
      <c r="A866" s="21" t="n">
        <v>889</v>
      </c>
      <c r="B866" s="21" t="inlineStr">
        <is>
          <t>The Cable Guy</t>
        </is>
      </c>
      <c r="C866" s="21" t="n">
        <v>1996</v>
      </c>
      <c r="D866" s="21" t="inlineStr">
        <is>
          <t>USA</t>
        </is>
      </c>
      <c r="E866" s="21" t="n">
        <v>96</v>
      </c>
      <c r="F866" s="21" t="inlineStr">
        <is>
          <t>English</t>
        </is>
      </c>
      <c r="G866" s="21" t="inlineStr">
        <is>
          <t>PG-13</t>
        </is>
      </c>
      <c r="H866" s="22" t="n">
        <v>60154431</v>
      </c>
      <c r="I866" s="22" t="n">
        <v>47000000</v>
      </c>
      <c r="J866" s="21">
        <f>IF(OR(H866="",H866=25529689.5),"Yes","No")</f>
        <v/>
      </c>
      <c r="K866" s="21">
        <f>IF(AND(D866="USA",C866&gt;=1980,J866="No"),"Yes","No")</f>
        <v/>
      </c>
      <c r="L866" s="26">
        <f>IF(J866="Yes","",H866-I866)</f>
        <v/>
      </c>
      <c r="M866" s="27">
        <f>IF(OR(J866="Yes",I866=0),"",H866/I866)</f>
        <v/>
      </c>
      <c r="N866" s="21">
        <f>IF(J866="Yes","",IF(H866&gt;=I866,1,0))</f>
        <v/>
      </c>
      <c r="O866" s="21">
        <f>IF(I866&lt;=5000000,"Under $5M",IF(I866&lt;=20000000,"$5M-20M",IF(I866&lt;=50000000,"$20M-50M",IF(I866&lt;=100000000,"$50M-100M","$100M+"))))</f>
        <v/>
      </c>
      <c r="P866" s="21">
        <f>IF(E866&lt;=90,"90 or less",IF(E866&lt;=105,"91-105",IF(E866&lt;=120,"106-120",IF(E866&lt;=140,"121-140","Over 140"))))</f>
        <v/>
      </c>
      <c r="Q866" s="28">
        <f>INT(C866/10)*10</f>
        <v/>
      </c>
    </row>
    <row r="867">
      <c r="A867" s="21" t="n">
        <v>890</v>
      </c>
      <c r="B867" s="21" t="inlineStr">
        <is>
          <t>The Craft</t>
        </is>
      </c>
      <c r="C867" s="21" t="n">
        <v>1996</v>
      </c>
      <c r="D867" s="21" t="inlineStr">
        <is>
          <t>USA</t>
        </is>
      </c>
      <c r="E867" s="21" t="n">
        <v>101</v>
      </c>
      <c r="F867" s="21" t="inlineStr">
        <is>
          <t>English</t>
        </is>
      </c>
      <c r="G867" s="21" t="inlineStr">
        <is>
          <t>R</t>
        </is>
      </c>
      <c r="H867" s="22" t="n">
        <v>24881000</v>
      </c>
      <c r="I867" s="22" t="n">
        <v>15000000</v>
      </c>
      <c r="J867" s="21">
        <f>IF(OR(H867="",H867=25529689.5),"Yes","No")</f>
        <v/>
      </c>
      <c r="K867" s="21">
        <f>IF(AND(D867="USA",C867&gt;=1980,J867="No"),"Yes","No")</f>
        <v/>
      </c>
      <c r="L867" s="26">
        <f>IF(J867="Yes","",H867-I867)</f>
        <v/>
      </c>
      <c r="M867" s="27">
        <f>IF(OR(J867="Yes",I867=0),"",H867/I867)</f>
        <v/>
      </c>
      <c r="N867" s="21">
        <f>IF(J867="Yes","",IF(H867&gt;=I867,1,0))</f>
        <v/>
      </c>
      <c r="O867" s="21">
        <f>IF(I867&lt;=5000000,"Under $5M",IF(I867&lt;=20000000,"$5M-20M",IF(I867&lt;=50000000,"$20M-50M",IF(I867&lt;=100000000,"$50M-100M","$100M+"))))</f>
        <v/>
      </c>
      <c r="P867" s="21">
        <f>IF(E867&lt;=90,"90 or less",IF(E867&lt;=105,"91-105",IF(E867&lt;=120,"106-120",IF(E867&lt;=140,"121-140","Over 140"))))</f>
        <v/>
      </c>
      <c r="Q867" s="28">
        <f>INT(C867/10)*10</f>
        <v/>
      </c>
    </row>
    <row r="868">
      <c r="A868" s="21" t="n">
        <v>891</v>
      </c>
      <c r="B868" s="21" t="inlineStr">
        <is>
          <t>The Dress</t>
        </is>
      </c>
      <c r="C868" s="21" t="n">
        <v>1996</v>
      </c>
      <c r="D868" s="21" t="inlineStr">
        <is>
          <t>Netherlands</t>
        </is>
      </c>
      <c r="E868" s="21" t="n">
        <v>95</v>
      </c>
      <c r="F868" s="21" t="inlineStr">
        <is>
          <t>Dutch</t>
        </is>
      </c>
      <c r="G868" s="21" t="n"/>
      <c r="H868" s="22" t="n">
        <v>25529689.5</v>
      </c>
      <c r="I868" s="22" t="n">
        <v>2650000</v>
      </c>
      <c r="J868" s="21">
        <f>IF(OR(H868="",H868=25529689.5),"Yes","No")</f>
        <v/>
      </c>
      <c r="K868" s="21">
        <f>IF(AND(D868="USA",C868&gt;=1980,J868="No"),"Yes","No")</f>
        <v/>
      </c>
      <c r="L868" s="26">
        <f>IF(J868="Yes","",H868-I868)</f>
        <v/>
      </c>
      <c r="M868" s="27">
        <f>IF(OR(J868="Yes",I868=0),"",H868/I868)</f>
        <v/>
      </c>
      <c r="N868" s="21">
        <f>IF(J868="Yes","",IF(H868&gt;=I868,1,0))</f>
        <v/>
      </c>
      <c r="O868" s="21">
        <f>IF(I868&lt;=5000000,"Under $5M",IF(I868&lt;=20000000,"$5M-20M",IF(I868&lt;=50000000,"$20M-50M",IF(I868&lt;=100000000,"$50M-100M","$100M+"))))</f>
        <v/>
      </c>
      <c r="P868" s="21">
        <f>IF(E868&lt;=90,"90 or less",IF(E868&lt;=105,"91-105",IF(E868&lt;=120,"106-120",IF(E868&lt;=140,"121-140","Over 140"))))</f>
        <v/>
      </c>
      <c r="Q868" s="28">
        <f>INT(C868/10)*10</f>
        <v/>
      </c>
    </row>
    <row r="869">
      <c r="A869" s="21" t="n">
        <v>892</v>
      </c>
      <c r="B869" s="21" t="inlineStr">
        <is>
          <t>The English Patient</t>
        </is>
      </c>
      <c r="C869" s="21" t="n">
        <v>1996</v>
      </c>
      <c r="D869" s="21" t="inlineStr">
        <is>
          <t>USA</t>
        </is>
      </c>
      <c r="E869" s="21" t="n">
        <v>162</v>
      </c>
      <c r="F869" s="21" t="inlineStr">
        <is>
          <t>English</t>
        </is>
      </c>
      <c r="G869" s="21" t="inlineStr">
        <is>
          <t>R</t>
        </is>
      </c>
      <c r="H869" s="22" t="n">
        <v>78651430</v>
      </c>
      <c r="I869" s="22" t="n">
        <v>27000000</v>
      </c>
      <c r="J869" s="21">
        <f>IF(OR(H869="",H869=25529689.5),"Yes","No")</f>
        <v/>
      </c>
      <c r="K869" s="21">
        <f>IF(AND(D869="USA",C869&gt;=1980,J869="No"),"Yes","No")</f>
        <v/>
      </c>
      <c r="L869" s="26">
        <f>IF(J869="Yes","",H869-I869)</f>
        <v/>
      </c>
      <c r="M869" s="27">
        <f>IF(OR(J869="Yes",I869=0),"",H869/I869)</f>
        <v/>
      </c>
      <c r="N869" s="21">
        <f>IF(J869="Yes","",IF(H869&gt;=I869,1,0))</f>
        <v/>
      </c>
      <c r="O869" s="21">
        <f>IF(I869&lt;=5000000,"Under $5M",IF(I869&lt;=20000000,"$5M-20M",IF(I869&lt;=50000000,"$20M-50M",IF(I869&lt;=100000000,"$50M-100M","$100M+"))))</f>
        <v/>
      </c>
      <c r="P869" s="21">
        <f>IF(E869&lt;=90,"90 or less",IF(E869&lt;=105,"91-105",IF(E869&lt;=120,"106-120",IF(E869&lt;=140,"121-140","Over 140"))))</f>
        <v/>
      </c>
      <c r="Q869" s="28">
        <f>INT(C869/10)*10</f>
        <v/>
      </c>
    </row>
    <row r="870">
      <c r="A870" s="21" t="n">
        <v>893</v>
      </c>
      <c r="B870" s="21" t="inlineStr">
        <is>
          <t>The Fan</t>
        </is>
      </c>
      <c r="C870" s="21" t="n">
        <v>1996</v>
      </c>
      <c r="D870" s="21" t="inlineStr">
        <is>
          <t>USA</t>
        </is>
      </c>
      <c r="E870" s="21" t="n">
        <v>116</v>
      </c>
      <c r="F870" s="21" t="inlineStr">
        <is>
          <t>English</t>
        </is>
      </c>
      <c r="G870" s="21" t="inlineStr">
        <is>
          <t>R</t>
        </is>
      </c>
      <c r="H870" s="22" t="n">
        <v>18573791</v>
      </c>
      <c r="I870" s="22" t="n">
        <v>55000000</v>
      </c>
      <c r="J870" s="21">
        <f>IF(OR(H870="",H870=25529689.5),"Yes","No")</f>
        <v/>
      </c>
      <c r="K870" s="21">
        <f>IF(AND(D870="USA",C870&gt;=1980,J870="No"),"Yes","No")</f>
        <v/>
      </c>
      <c r="L870" s="26">
        <f>IF(J870="Yes","",H870-I870)</f>
        <v/>
      </c>
      <c r="M870" s="27">
        <f>IF(OR(J870="Yes",I870=0),"",H870/I870)</f>
        <v/>
      </c>
      <c r="N870" s="21">
        <f>IF(J870="Yes","",IF(H870&gt;=I870,1,0))</f>
        <v/>
      </c>
      <c r="O870" s="21">
        <f>IF(I870&lt;=5000000,"Under $5M",IF(I870&lt;=20000000,"$5M-20M",IF(I870&lt;=50000000,"$20M-50M",IF(I870&lt;=100000000,"$50M-100M","$100M+"))))</f>
        <v/>
      </c>
      <c r="P870" s="21">
        <f>IF(E870&lt;=90,"90 or less",IF(E870&lt;=105,"91-105",IF(E870&lt;=120,"106-120",IF(E870&lt;=140,"121-140","Over 140"))))</f>
        <v/>
      </c>
      <c r="Q870" s="28">
        <f>INT(C870/10)*10</f>
        <v/>
      </c>
    </row>
    <row r="871">
      <c r="A871" s="21" t="n">
        <v>894</v>
      </c>
      <c r="B871" s="21" t="inlineStr">
        <is>
          <t>The First Wives Club</t>
        </is>
      </c>
      <c r="C871" s="21" t="n">
        <v>1996</v>
      </c>
      <c r="D871" s="21" t="inlineStr">
        <is>
          <t>USA</t>
        </is>
      </c>
      <c r="E871" s="21" t="n">
        <v>103</v>
      </c>
      <c r="F871" s="21" t="inlineStr">
        <is>
          <t>English</t>
        </is>
      </c>
      <c r="G871" s="21" t="inlineStr">
        <is>
          <t>PG</t>
        </is>
      </c>
      <c r="H871" s="22" t="n">
        <v>105444419</v>
      </c>
      <c r="I871" s="22" t="n">
        <v>26000000</v>
      </c>
      <c r="J871" s="21">
        <f>IF(OR(H871="",H871=25529689.5),"Yes","No")</f>
        <v/>
      </c>
      <c r="K871" s="21">
        <f>IF(AND(D871="USA",C871&gt;=1980,J871="No"),"Yes","No")</f>
        <v/>
      </c>
      <c r="L871" s="26">
        <f>IF(J871="Yes","",H871-I871)</f>
        <v/>
      </c>
      <c r="M871" s="27">
        <f>IF(OR(J871="Yes",I871=0),"",H871/I871)</f>
        <v/>
      </c>
      <c r="N871" s="21">
        <f>IF(J871="Yes","",IF(H871&gt;=I871,1,0))</f>
        <v/>
      </c>
      <c r="O871" s="21">
        <f>IF(I871&lt;=5000000,"Under $5M",IF(I871&lt;=20000000,"$5M-20M",IF(I871&lt;=50000000,"$20M-50M",IF(I871&lt;=100000000,"$50M-100M","$100M+"))))</f>
        <v/>
      </c>
      <c r="P871" s="21">
        <f>IF(E871&lt;=90,"90 or less",IF(E871&lt;=105,"91-105",IF(E871&lt;=120,"106-120",IF(E871&lt;=140,"121-140","Over 140"))))</f>
        <v/>
      </c>
      <c r="Q871" s="28">
        <f>INT(C871/10)*10</f>
        <v/>
      </c>
    </row>
    <row r="872">
      <c r="A872" s="21" t="n">
        <v>895</v>
      </c>
      <c r="B872" s="21" t="inlineStr">
        <is>
          <t>The Funeral</t>
        </is>
      </c>
      <c r="C872" s="21" t="n">
        <v>1996</v>
      </c>
      <c r="D872" s="21" t="inlineStr">
        <is>
          <t>USA</t>
        </is>
      </c>
      <c r="E872" s="21" t="n">
        <v>99</v>
      </c>
      <c r="F872" s="21" t="inlineStr">
        <is>
          <t>English</t>
        </is>
      </c>
      <c r="G872" s="21" t="inlineStr">
        <is>
          <t>R</t>
        </is>
      </c>
      <c r="H872" s="22" t="n">
        <v>1227324</v>
      </c>
      <c r="I872" s="22" t="n">
        <v>12500000</v>
      </c>
      <c r="J872" s="21">
        <f>IF(OR(H872="",H872=25529689.5),"Yes","No")</f>
        <v/>
      </c>
      <c r="K872" s="21">
        <f>IF(AND(D872="USA",C872&gt;=1980,J872="No"),"Yes","No")</f>
        <v/>
      </c>
      <c r="L872" s="26">
        <f>IF(J872="Yes","",H872-I872)</f>
        <v/>
      </c>
      <c r="M872" s="27">
        <f>IF(OR(J872="Yes",I872=0),"",H872/I872)</f>
        <v/>
      </c>
      <c r="N872" s="21">
        <f>IF(J872="Yes","",IF(H872&gt;=I872,1,0))</f>
        <v/>
      </c>
      <c r="O872" s="21">
        <f>IF(I872&lt;=5000000,"Under $5M",IF(I872&lt;=20000000,"$5M-20M",IF(I872&lt;=50000000,"$20M-50M",IF(I872&lt;=100000000,"$50M-100M","$100M+"))))</f>
        <v/>
      </c>
      <c r="P872" s="21">
        <f>IF(E872&lt;=90,"90 or less",IF(E872&lt;=105,"91-105",IF(E872&lt;=120,"106-120",IF(E872&lt;=140,"121-140","Over 140"))))</f>
        <v/>
      </c>
      <c r="Q872" s="28">
        <f>INT(C872/10)*10</f>
        <v/>
      </c>
    </row>
    <row r="873">
      <c r="A873" s="21" t="n">
        <v>896</v>
      </c>
      <c r="B873" s="21" t="inlineStr">
        <is>
          <t>The Ghost and the Darkness</t>
        </is>
      </c>
      <c r="C873" s="21" t="n">
        <v>1996</v>
      </c>
      <c r="D873" s="21" t="inlineStr">
        <is>
          <t>USA</t>
        </is>
      </c>
      <c r="E873" s="21" t="n">
        <v>110</v>
      </c>
      <c r="F873" s="21" t="inlineStr">
        <is>
          <t>English</t>
        </is>
      </c>
      <c r="G873" s="21" t="inlineStr">
        <is>
          <t>R</t>
        </is>
      </c>
      <c r="H873" s="22" t="n">
        <v>38553833</v>
      </c>
      <c r="I873" s="22" t="n">
        <v>55000000</v>
      </c>
      <c r="J873" s="21">
        <f>IF(OR(H873="",H873=25529689.5),"Yes","No")</f>
        <v/>
      </c>
      <c r="K873" s="21">
        <f>IF(AND(D873="USA",C873&gt;=1980,J873="No"),"Yes","No")</f>
        <v/>
      </c>
      <c r="L873" s="26">
        <f>IF(J873="Yes","",H873-I873)</f>
        <v/>
      </c>
      <c r="M873" s="27">
        <f>IF(OR(J873="Yes",I873=0),"",H873/I873)</f>
        <v/>
      </c>
      <c r="N873" s="21">
        <f>IF(J873="Yes","",IF(H873&gt;=I873,1,0))</f>
        <v/>
      </c>
      <c r="O873" s="21">
        <f>IF(I873&lt;=5000000,"Under $5M",IF(I873&lt;=20000000,"$5M-20M",IF(I873&lt;=50000000,"$20M-50M",IF(I873&lt;=100000000,"$50M-100M","$100M+"))))</f>
        <v/>
      </c>
      <c r="P873" s="21">
        <f>IF(E873&lt;=90,"90 or less",IF(E873&lt;=105,"91-105",IF(E873&lt;=120,"106-120",IF(E873&lt;=140,"121-140","Over 140"))))</f>
        <v/>
      </c>
      <c r="Q873" s="28">
        <f>INT(C873/10)*10</f>
        <v/>
      </c>
    </row>
    <row r="874">
      <c r="A874" s="21" t="n">
        <v>897</v>
      </c>
      <c r="B874" s="21" t="inlineStr">
        <is>
          <t>The Glimmer Man</t>
        </is>
      </c>
      <c r="C874" s="21" t="n">
        <v>1996</v>
      </c>
      <c r="D874" s="21" t="inlineStr">
        <is>
          <t>USA</t>
        </is>
      </c>
      <c r="E874" s="21" t="n">
        <v>91</v>
      </c>
      <c r="F874" s="21" t="inlineStr">
        <is>
          <t>English</t>
        </is>
      </c>
      <c r="G874" s="21" t="inlineStr">
        <is>
          <t>R</t>
        </is>
      </c>
      <c r="H874" s="22" t="n">
        <v>20400913</v>
      </c>
      <c r="I874" s="22" t="n">
        <v>45000000</v>
      </c>
      <c r="J874" s="21">
        <f>IF(OR(H874="",H874=25529689.5),"Yes","No")</f>
        <v/>
      </c>
      <c r="K874" s="21">
        <f>IF(AND(D874="USA",C874&gt;=1980,J874="No"),"Yes","No")</f>
        <v/>
      </c>
      <c r="L874" s="26">
        <f>IF(J874="Yes","",H874-I874)</f>
        <v/>
      </c>
      <c r="M874" s="27">
        <f>IF(OR(J874="Yes",I874=0),"",H874/I874)</f>
        <v/>
      </c>
      <c r="N874" s="21">
        <f>IF(J874="Yes","",IF(H874&gt;=I874,1,0))</f>
        <v/>
      </c>
      <c r="O874" s="21">
        <f>IF(I874&lt;=5000000,"Under $5M",IF(I874&lt;=20000000,"$5M-20M",IF(I874&lt;=50000000,"$20M-50M",IF(I874&lt;=100000000,"$50M-100M","$100M+"))))</f>
        <v/>
      </c>
      <c r="P874" s="21">
        <f>IF(E874&lt;=90,"90 or less",IF(E874&lt;=105,"91-105",IF(E874&lt;=120,"106-120",IF(E874&lt;=140,"121-140","Over 140"))))</f>
        <v/>
      </c>
      <c r="Q874" s="28">
        <f>INT(C874/10)*10</f>
        <v/>
      </c>
    </row>
    <row r="875">
      <c r="A875" s="21" t="n">
        <v>898</v>
      </c>
      <c r="B875" s="21" t="inlineStr">
        <is>
          <t>The Hunchback of Notre Dame</t>
        </is>
      </c>
      <c r="C875" s="21" t="n">
        <v>1996</v>
      </c>
      <c r="D875" s="21" t="inlineStr">
        <is>
          <t>USA</t>
        </is>
      </c>
      <c r="E875" s="21" t="n">
        <v>91</v>
      </c>
      <c r="F875" s="21" t="inlineStr">
        <is>
          <t>English</t>
        </is>
      </c>
      <c r="G875" s="21" t="inlineStr">
        <is>
          <t>G</t>
        </is>
      </c>
      <c r="H875" s="22" t="n">
        <v>100117603</v>
      </c>
      <c r="I875" s="22" t="n">
        <v>100000000</v>
      </c>
      <c r="J875" s="21">
        <f>IF(OR(H875="",H875=25529689.5),"Yes","No")</f>
        <v/>
      </c>
      <c r="K875" s="21">
        <f>IF(AND(D875="USA",C875&gt;=1980,J875="No"),"Yes","No")</f>
        <v/>
      </c>
      <c r="L875" s="26">
        <f>IF(J875="Yes","",H875-I875)</f>
        <v/>
      </c>
      <c r="M875" s="27">
        <f>IF(OR(J875="Yes",I875=0),"",H875/I875)</f>
        <v/>
      </c>
      <c r="N875" s="21">
        <f>IF(J875="Yes","",IF(H875&gt;=I875,1,0))</f>
        <v/>
      </c>
      <c r="O875" s="21">
        <f>IF(I875&lt;=5000000,"Under $5M",IF(I875&lt;=20000000,"$5M-20M",IF(I875&lt;=50000000,"$20M-50M",IF(I875&lt;=100000000,"$50M-100M","$100M+"))))</f>
        <v/>
      </c>
      <c r="P875" s="21">
        <f>IF(E875&lt;=90,"90 or less",IF(E875&lt;=105,"91-105",IF(E875&lt;=120,"106-120",IF(E875&lt;=140,"121-140","Over 140"))))</f>
        <v/>
      </c>
      <c r="Q875" s="28">
        <f>INT(C875/10)*10</f>
        <v/>
      </c>
    </row>
    <row r="876">
      <c r="A876" s="21" t="n">
        <v>899</v>
      </c>
      <c r="B876" s="21" t="inlineStr">
        <is>
          <t>The Island of Dr. Moreau</t>
        </is>
      </c>
      <c r="C876" s="21" t="n">
        <v>1996</v>
      </c>
      <c r="D876" s="21" t="inlineStr">
        <is>
          <t>USA</t>
        </is>
      </c>
      <c r="E876" s="21" t="n">
        <v>99</v>
      </c>
      <c r="F876" s="21" t="inlineStr">
        <is>
          <t>English</t>
        </is>
      </c>
      <c r="G876" s="21" t="inlineStr">
        <is>
          <t>PG-13</t>
        </is>
      </c>
      <c r="H876" s="22" t="n">
        <v>27663982</v>
      </c>
      <c r="I876" s="22" t="n">
        <v>40000000</v>
      </c>
      <c r="J876" s="21">
        <f>IF(OR(H876="",H876=25529689.5),"Yes","No")</f>
        <v/>
      </c>
      <c r="K876" s="21">
        <f>IF(AND(D876="USA",C876&gt;=1980,J876="No"),"Yes","No")</f>
        <v/>
      </c>
      <c r="L876" s="26">
        <f>IF(J876="Yes","",H876-I876)</f>
        <v/>
      </c>
      <c r="M876" s="27">
        <f>IF(OR(J876="Yes",I876=0),"",H876/I876)</f>
        <v/>
      </c>
      <c r="N876" s="21">
        <f>IF(J876="Yes","",IF(H876&gt;=I876,1,0))</f>
        <v/>
      </c>
      <c r="O876" s="21">
        <f>IF(I876&lt;=5000000,"Under $5M",IF(I876&lt;=20000000,"$5M-20M",IF(I876&lt;=50000000,"$20M-50M",IF(I876&lt;=100000000,"$50M-100M","$100M+"))))</f>
        <v/>
      </c>
      <c r="P876" s="21">
        <f>IF(E876&lt;=90,"90 or less",IF(E876&lt;=105,"91-105",IF(E876&lt;=120,"106-120",IF(E876&lt;=140,"121-140","Over 140"))))</f>
        <v/>
      </c>
      <c r="Q876" s="28">
        <f>INT(C876/10)*10</f>
        <v/>
      </c>
    </row>
    <row r="877">
      <c r="A877" s="21" t="n">
        <v>900</v>
      </c>
      <c r="B877" s="21" t="inlineStr">
        <is>
          <t>The Juror</t>
        </is>
      </c>
      <c r="C877" s="21" t="n">
        <v>1996</v>
      </c>
      <c r="D877" s="21" t="inlineStr">
        <is>
          <t>USA</t>
        </is>
      </c>
      <c r="E877" s="21" t="n">
        <v>118</v>
      </c>
      <c r="F877" s="21" t="inlineStr">
        <is>
          <t>English</t>
        </is>
      </c>
      <c r="G877" s="21" t="inlineStr">
        <is>
          <t>R</t>
        </is>
      </c>
      <c r="H877" s="22" t="n">
        <v>44834712</v>
      </c>
      <c r="I877" s="22" t="n">
        <v>44000000</v>
      </c>
      <c r="J877" s="21">
        <f>IF(OR(H877="",H877=25529689.5),"Yes","No")</f>
        <v/>
      </c>
      <c r="K877" s="21">
        <f>IF(AND(D877="USA",C877&gt;=1980,J877="No"),"Yes","No")</f>
        <v/>
      </c>
      <c r="L877" s="26">
        <f>IF(J877="Yes","",H877-I877)</f>
        <v/>
      </c>
      <c r="M877" s="27">
        <f>IF(OR(J877="Yes",I877=0),"",H877/I877)</f>
        <v/>
      </c>
      <c r="N877" s="21">
        <f>IF(J877="Yes","",IF(H877&gt;=I877,1,0))</f>
        <v/>
      </c>
      <c r="O877" s="21">
        <f>IF(I877&lt;=5000000,"Under $5M",IF(I877&lt;=20000000,"$5M-20M",IF(I877&lt;=50000000,"$20M-50M",IF(I877&lt;=100000000,"$50M-100M","$100M+"))))</f>
        <v/>
      </c>
      <c r="P877" s="21">
        <f>IF(E877&lt;=90,"90 or less",IF(E877&lt;=105,"91-105",IF(E877&lt;=120,"106-120",IF(E877&lt;=140,"121-140","Over 140"))))</f>
        <v/>
      </c>
      <c r="Q877" s="28">
        <f>INT(C877/10)*10</f>
        <v/>
      </c>
    </row>
    <row r="878">
      <c r="A878" s="21" t="n">
        <v>901</v>
      </c>
      <c r="B878" s="21" t="inlineStr">
        <is>
          <t>The Last Big Thing</t>
        </is>
      </c>
      <c r="C878" s="21" t="n">
        <v>1996</v>
      </c>
      <c r="D878" s="21" t="inlineStr">
        <is>
          <t>USA</t>
        </is>
      </c>
      <c r="E878" s="21" t="n">
        <v>98</v>
      </c>
      <c r="F878" s="21" t="inlineStr">
        <is>
          <t>English</t>
        </is>
      </c>
      <c r="G878" s="21" t="inlineStr">
        <is>
          <t>R</t>
        </is>
      </c>
      <c r="H878" s="22" t="n">
        <v>22434</v>
      </c>
      <c r="I878" s="22" t="n">
        <v>20000000</v>
      </c>
      <c r="J878" s="21">
        <f>IF(OR(H878="",H878=25529689.5),"Yes","No")</f>
        <v/>
      </c>
      <c r="K878" s="21">
        <f>IF(AND(D878="USA",C878&gt;=1980,J878="No"),"Yes","No")</f>
        <v/>
      </c>
      <c r="L878" s="26">
        <f>IF(J878="Yes","",H878-I878)</f>
        <v/>
      </c>
      <c r="M878" s="27">
        <f>IF(OR(J878="Yes",I878=0),"",H878/I878)</f>
        <v/>
      </c>
      <c r="N878" s="21">
        <f>IF(J878="Yes","",IF(H878&gt;=I878,1,0))</f>
        <v/>
      </c>
      <c r="O878" s="21">
        <f>IF(I878&lt;=5000000,"Under $5M",IF(I878&lt;=20000000,"$5M-20M",IF(I878&lt;=50000000,"$20M-50M",IF(I878&lt;=100000000,"$50M-100M","$100M+"))))</f>
        <v/>
      </c>
      <c r="P878" s="21">
        <f>IF(E878&lt;=90,"90 or less",IF(E878&lt;=105,"91-105",IF(E878&lt;=120,"106-120",IF(E878&lt;=140,"121-140","Over 140"))))</f>
        <v/>
      </c>
      <c r="Q878" s="28">
        <f>INT(C878/10)*10</f>
        <v/>
      </c>
    </row>
    <row r="879">
      <c r="A879" s="21" t="n">
        <v>902</v>
      </c>
      <c r="B879" s="21" t="inlineStr">
        <is>
          <t>The Long Kiss Goodnight</t>
        </is>
      </c>
      <c r="C879" s="21" t="n">
        <v>1996</v>
      </c>
      <c r="D879" s="21" t="inlineStr">
        <is>
          <t>USA</t>
        </is>
      </c>
      <c r="E879" s="21" t="n">
        <v>121</v>
      </c>
      <c r="F879" s="21" t="inlineStr">
        <is>
          <t>English</t>
        </is>
      </c>
      <c r="G879" s="21" t="inlineStr">
        <is>
          <t>R</t>
        </is>
      </c>
      <c r="H879" s="22" t="n">
        <v>33328051</v>
      </c>
      <c r="I879" s="22" t="n">
        <v>65000000</v>
      </c>
      <c r="J879" s="21">
        <f>IF(OR(H879="",H879=25529689.5),"Yes","No")</f>
        <v/>
      </c>
      <c r="K879" s="21">
        <f>IF(AND(D879="USA",C879&gt;=1980,J879="No"),"Yes","No")</f>
        <v/>
      </c>
      <c r="L879" s="26">
        <f>IF(J879="Yes","",H879-I879)</f>
        <v/>
      </c>
      <c r="M879" s="27">
        <f>IF(OR(J879="Yes",I879=0),"",H879/I879)</f>
        <v/>
      </c>
      <c r="N879" s="21">
        <f>IF(J879="Yes","",IF(H879&gt;=I879,1,0))</f>
        <v/>
      </c>
      <c r="O879" s="21">
        <f>IF(I879&lt;=5000000,"Under $5M",IF(I879&lt;=20000000,"$5M-20M",IF(I879&lt;=50000000,"$20M-50M",IF(I879&lt;=100000000,"$50M-100M","$100M+"))))</f>
        <v/>
      </c>
      <c r="P879" s="21">
        <f>IF(E879&lt;=90,"90 or less",IF(E879&lt;=105,"91-105",IF(E879&lt;=120,"106-120",IF(E879&lt;=140,"121-140","Over 140"))))</f>
        <v/>
      </c>
      <c r="Q879" s="28">
        <f>INT(C879/10)*10</f>
        <v/>
      </c>
    </row>
    <row r="880">
      <c r="A880" s="21" t="n">
        <v>903</v>
      </c>
      <c r="B880" s="21" t="inlineStr">
        <is>
          <t>The Mirror Has Two Faces</t>
        </is>
      </c>
      <c r="C880" s="21" t="n">
        <v>1996</v>
      </c>
      <c r="D880" s="21" t="inlineStr">
        <is>
          <t>USA</t>
        </is>
      </c>
      <c r="E880" s="21" t="n">
        <v>122</v>
      </c>
      <c r="F880" s="21" t="inlineStr">
        <is>
          <t>English</t>
        </is>
      </c>
      <c r="G880" s="21" t="inlineStr">
        <is>
          <t>PG-13</t>
        </is>
      </c>
      <c r="H880" s="22" t="n">
        <v>41252428</v>
      </c>
      <c r="I880" s="22" t="n">
        <v>42000000</v>
      </c>
      <c r="J880" s="21">
        <f>IF(OR(H880="",H880=25529689.5),"Yes","No")</f>
        <v/>
      </c>
      <c r="K880" s="21">
        <f>IF(AND(D880="USA",C880&gt;=1980,J880="No"),"Yes","No")</f>
        <v/>
      </c>
      <c r="L880" s="26">
        <f>IF(J880="Yes","",H880-I880)</f>
        <v/>
      </c>
      <c r="M880" s="27">
        <f>IF(OR(J880="Yes",I880=0),"",H880/I880)</f>
        <v/>
      </c>
      <c r="N880" s="21">
        <f>IF(J880="Yes","",IF(H880&gt;=I880,1,0))</f>
        <v/>
      </c>
      <c r="O880" s="21">
        <f>IF(I880&lt;=5000000,"Under $5M",IF(I880&lt;=20000000,"$5M-20M",IF(I880&lt;=50000000,"$20M-50M",IF(I880&lt;=100000000,"$50M-100M","$100M+"))))</f>
        <v/>
      </c>
      <c r="P880" s="21">
        <f>IF(E880&lt;=90,"90 or less",IF(E880&lt;=105,"91-105",IF(E880&lt;=120,"106-120",IF(E880&lt;=140,"121-140","Over 140"))))</f>
        <v/>
      </c>
      <c r="Q880" s="28">
        <f>INT(C880/10)*10</f>
        <v/>
      </c>
    </row>
    <row r="881">
      <c r="A881" s="21" t="n">
        <v>904</v>
      </c>
      <c r="B881" s="21" t="inlineStr">
        <is>
          <t>The Nutty Professor</t>
        </is>
      </c>
      <c r="C881" s="21" t="n">
        <v>1996</v>
      </c>
      <c r="D881" s="21" t="inlineStr">
        <is>
          <t>USA</t>
        </is>
      </c>
      <c r="E881" s="21" t="n">
        <v>95</v>
      </c>
      <c r="F881" s="21" t="inlineStr">
        <is>
          <t>English</t>
        </is>
      </c>
      <c r="G881" s="21" t="inlineStr">
        <is>
          <t>PG-13</t>
        </is>
      </c>
      <c r="H881" s="22" t="n">
        <v>128769345</v>
      </c>
      <c r="I881" s="22" t="n">
        <v>54000000</v>
      </c>
      <c r="J881" s="21">
        <f>IF(OR(H881="",H881=25529689.5),"Yes","No")</f>
        <v/>
      </c>
      <c r="K881" s="21">
        <f>IF(AND(D881="USA",C881&gt;=1980,J881="No"),"Yes","No")</f>
        <v/>
      </c>
      <c r="L881" s="26">
        <f>IF(J881="Yes","",H881-I881)</f>
        <v/>
      </c>
      <c r="M881" s="27">
        <f>IF(OR(J881="Yes",I881=0),"",H881/I881)</f>
        <v/>
      </c>
      <c r="N881" s="21">
        <f>IF(J881="Yes","",IF(H881&gt;=I881,1,0))</f>
        <v/>
      </c>
      <c r="O881" s="21">
        <f>IF(I881&lt;=5000000,"Under $5M",IF(I881&lt;=20000000,"$5M-20M",IF(I881&lt;=50000000,"$20M-50M",IF(I881&lt;=100000000,"$50M-100M","$100M+"))))</f>
        <v/>
      </c>
      <c r="P881" s="21">
        <f>IF(E881&lt;=90,"90 or less",IF(E881&lt;=105,"91-105",IF(E881&lt;=120,"106-120",IF(E881&lt;=140,"121-140","Over 140"))))</f>
        <v/>
      </c>
      <c r="Q881" s="28">
        <f>INT(C881/10)*10</f>
        <v/>
      </c>
    </row>
    <row r="882">
      <c r="A882" s="21" t="n">
        <v>905</v>
      </c>
      <c r="B882" s="21" t="inlineStr">
        <is>
          <t>The Pallbearer</t>
        </is>
      </c>
      <c r="C882" s="21" t="n">
        <v>1996</v>
      </c>
      <c r="D882" s="21" t="inlineStr">
        <is>
          <t>USA</t>
        </is>
      </c>
      <c r="E882" s="21" t="n">
        <v>98</v>
      </c>
      <c r="F882" s="21" t="inlineStr">
        <is>
          <t>English</t>
        </is>
      </c>
      <c r="G882" s="21" t="inlineStr">
        <is>
          <t>PG-13</t>
        </is>
      </c>
      <c r="H882" s="22" t="n">
        <v>25529689.5</v>
      </c>
      <c r="I882" s="22" t="n">
        <v>8000000</v>
      </c>
      <c r="J882" s="21">
        <f>IF(OR(H882="",H882=25529689.5),"Yes","No")</f>
        <v/>
      </c>
      <c r="K882" s="21">
        <f>IF(AND(D882="USA",C882&gt;=1980,J882="No"),"Yes","No")</f>
        <v/>
      </c>
      <c r="L882" s="26">
        <f>IF(J882="Yes","",H882-I882)</f>
        <v/>
      </c>
      <c r="M882" s="27">
        <f>IF(OR(J882="Yes",I882=0),"",H882/I882)</f>
        <v/>
      </c>
      <c r="N882" s="21">
        <f>IF(J882="Yes","",IF(H882&gt;=I882,1,0))</f>
        <v/>
      </c>
      <c r="O882" s="21">
        <f>IF(I882&lt;=5000000,"Under $5M",IF(I882&lt;=20000000,"$5M-20M",IF(I882&lt;=50000000,"$20M-50M",IF(I882&lt;=100000000,"$50M-100M","$100M+"))))</f>
        <v/>
      </c>
      <c r="P882" s="21">
        <f>IF(E882&lt;=90,"90 or less",IF(E882&lt;=105,"91-105",IF(E882&lt;=120,"106-120",IF(E882&lt;=140,"121-140","Over 140"))))</f>
        <v/>
      </c>
      <c r="Q882" s="28">
        <f>INT(C882/10)*10</f>
        <v/>
      </c>
    </row>
    <row r="883">
      <c r="A883" s="21" t="n">
        <v>906</v>
      </c>
      <c r="B883" s="21" t="inlineStr">
        <is>
          <t>The Phantom</t>
        </is>
      </c>
      <c r="C883" s="21" t="n">
        <v>1996</v>
      </c>
      <c r="D883" s="21" t="inlineStr">
        <is>
          <t>Australia</t>
        </is>
      </c>
      <c r="E883" s="21" t="n">
        <v>100</v>
      </c>
      <c r="F883" s="21" t="inlineStr">
        <is>
          <t>English</t>
        </is>
      </c>
      <c r="G883" s="21" t="inlineStr">
        <is>
          <t>PG</t>
        </is>
      </c>
      <c r="H883" s="22" t="n">
        <v>17300889</v>
      </c>
      <c r="I883" s="22" t="n">
        <v>45000000</v>
      </c>
      <c r="J883" s="21">
        <f>IF(OR(H883="",H883=25529689.5),"Yes","No")</f>
        <v/>
      </c>
      <c r="K883" s="21">
        <f>IF(AND(D883="USA",C883&gt;=1980,J883="No"),"Yes","No")</f>
        <v/>
      </c>
      <c r="L883" s="26">
        <f>IF(J883="Yes","",H883-I883)</f>
        <v/>
      </c>
      <c r="M883" s="27">
        <f>IF(OR(J883="Yes",I883=0),"",H883/I883)</f>
        <v/>
      </c>
      <c r="N883" s="21">
        <f>IF(J883="Yes","",IF(H883&gt;=I883,1,0))</f>
        <v/>
      </c>
      <c r="O883" s="21">
        <f>IF(I883&lt;=5000000,"Under $5M",IF(I883&lt;=20000000,"$5M-20M",IF(I883&lt;=50000000,"$20M-50M",IF(I883&lt;=100000000,"$50M-100M","$100M+"))))</f>
        <v/>
      </c>
      <c r="P883" s="21">
        <f>IF(E883&lt;=90,"90 or less",IF(E883&lt;=105,"91-105",IF(E883&lt;=120,"106-120",IF(E883&lt;=140,"121-140","Over 140"))))</f>
        <v/>
      </c>
      <c r="Q883" s="28">
        <f>INT(C883/10)*10</f>
        <v/>
      </c>
    </row>
    <row r="884">
      <c r="A884" s="21" t="n">
        <v>907</v>
      </c>
      <c r="B884" s="21" t="inlineStr">
        <is>
          <t>The Rock</t>
        </is>
      </c>
      <c r="C884" s="21" t="n">
        <v>1996</v>
      </c>
      <c r="D884" s="21" t="inlineStr">
        <is>
          <t>USA</t>
        </is>
      </c>
      <c r="E884" s="21" t="n">
        <v>136</v>
      </c>
      <c r="F884" s="21" t="inlineStr">
        <is>
          <t>English</t>
        </is>
      </c>
      <c r="G884" s="21" t="inlineStr">
        <is>
          <t>R</t>
        </is>
      </c>
      <c r="H884" s="22" t="n">
        <v>134006721</v>
      </c>
      <c r="I884" s="22" t="n">
        <v>75000000</v>
      </c>
      <c r="J884" s="21">
        <f>IF(OR(H884="",H884=25529689.5),"Yes","No")</f>
        <v/>
      </c>
      <c r="K884" s="21">
        <f>IF(AND(D884="USA",C884&gt;=1980,J884="No"),"Yes","No")</f>
        <v/>
      </c>
      <c r="L884" s="26">
        <f>IF(J884="Yes","",H884-I884)</f>
        <v/>
      </c>
      <c r="M884" s="27">
        <f>IF(OR(J884="Yes",I884=0),"",H884/I884)</f>
        <v/>
      </c>
      <c r="N884" s="21">
        <f>IF(J884="Yes","",IF(H884&gt;=I884,1,0))</f>
        <v/>
      </c>
      <c r="O884" s="21">
        <f>IF(I884&lt;=5000000,"Under $5M",IF(I884&lt;=20000000,"$5M-20M",IF(I884&lt;=50000000,"$20M-50M",IF(I884&lt;=100000000,"$50M-100M","$100M+"))))</f>
        <v/>
      </c>
      <c r="P884" s="21">
        <f>IF(E884&lt;=90,"90 or less",IF(E884&lt;=105,"91-105",IF(E884&lt;=120,"106-120",IF(E884&lt;=140,"121-140","Over 140"))))</f>
        <v/>
      </c>
      <c r="Q884" s="28">
        <f>INT(C884/10)*10</f>
        <v/>
      </c>
    </row>
    <row r="885">
      <c r="A885" s="21" t="n">
        <v>908</v>
      </c>
      <c r="B885" s="21" t="inlineStr">
        <is>
          <t>Thinner</t>
        </is>
      </c>
      <c r="C885" s="21" t="n">
        <v>1996</v>
      </c>
      <c r="D885" s="21" t="inlineStr">
        <is>
          <t>USA</t>
        </is>
      </c>
      <c r="E885" s="21" t="n">
        <v>93</v>
      </c>
      <c r="F885" s="21" t="inlineStr">
        <is>
          <t>English</t>
        </is>
      </c>
      <c r="G885" s="21" t="inlineStr">
        <is>
          <t>R</t>
        </is>
      </c>
      <c r="H885" s="22" t="n">
        <v>15171475</v>
      </c>
      <c r="I885" s="22" t="n">
        <v>8500000</v>
      </c>
      <c r="J885" s="21">
        <f>IF(OR(H885="",H885=25529689.5),"Yes","No")</f>
        <v/>
      </c>
      <c r="K885" s="21">
        <f>IF(AND(D885="USA",C885&gt;=1980,J885="No"),"Yes","No")</f>
        <v/>
      </c>
      <c r="L885" s="26">
        <f>IF(J885="Yes","",H885-I885)</f>
        <v/>
      </c>
      <c r="M885" s="27">
        <f>IF(OR(J885="Yes",I885=0),"",H885/I885)</f>
        <v/>
      </c>
      <c r="N885" s="21">
        <f>IF(J885="Yes","",IF(H885&gt;=I885,1,0))</f>
        <v/>
      </c>
      <c r="O885" s="21">
        <f>IF(I885&lt;=5000000,"Under $5M",IF(I885&lt;=20000000,"$5M-20M",IF(I885&lt;=50000000,"$20M-50M",IF(I885&lt;=100000000,"$50M-100M","$100M+"))))</f>
        <v/>
      </c>
      <c r="P885" s="21">
        <f>IF(E885&lt;=90,"90 or less",IF(E885&lt;=105,"91-105",IF(E885&lt;=120,"106-120",IF(E885&lt;=140,"121-140","Over 140"))))</f>
        <v/>
      </c>
      <c r="Q885" s="28">
        <f>INT(C885/10)*10</f>
        <v/>
      </c>
    </row>
    <row r="886">
      <c r="A886" s="21" t="n">
        <v>909</v>
      </c>
      <c r="B886" s="21" t="inlineStr">
        <is>
          <t>Tin Cup</t>
        </is>
      </c>
      <c r="C886" s="21" t="n">
        <v>1996</v>
      </c>
      <c r="D886" s="21" t="inlineStr">
        <is>
          <t>USA</t>
        </is>
      </c>
      <c r="E886" s="21" t="n">
        <v>135</v>
      </c>
      <c r="F886" s="21" t="inlineStr">
        <is>
          <t>English</t>
        </is>
      </c>
      <c r="G886" s="21" t="inlineStr">
        <is>
          <t>R</t>
        </is>
      </c>
      <c r="H886" s="22" t="n">
        <v>53854588</v>
      </c>
      <c r="I886" s="22" t="n">
        <v>45000000</v>
      </c>
      <c r="J886" s="21">
        <f>IF(OR(H886="",H886=25529689.5),"Yes","No")</f>
        <v/>
      </c>
      <c r="K886" s="21">
        <f>IF(AND(D886="USA",C886&gt;=1980,J886="No"),"Yes","No")</f>
        <v/>
      </c>
      <c r="L886" s="26">
        <f>IF(J886="Yes","",H886-I886)</f>
        <v/>
      </c>
      <c r="M886" s="27">
        <f>IF(OR(J886="Yes",I886=0),"",H886/I886)</f>
        <v/>
      </c>
      <c r="N886" s="21">
        <f>IF(J886="Yes","",IF(H886&gt;=I886,1,0))</f>
        <v/>
      </c>
      <c r="O886" s="21">
        <f>IF(I886&lt;=5000000,"Under $5M",IF(I886&lt;=20000000,"$5M-20M",IF(I886&lt;=50000000,"$20M-50M",IF(I886&lt;=100000000,"$50M-100M","$100M+"))))</f>
        <v/>
      </c>
      <c r="P886" s="21">
        <f>IF(E886&lt;=90,"90 or less",IF(E886&lt;=105,"91-105",IF(E886&lt;=120,"106-120",IF(E886&lt;=140,"121-140","Over 140"))))</f>
        <v/>
      </c>
      <c r="Q886" s="28">
        <f>INT(C886/10)*10</f>
        <v/>
      </c>
    </row>
    <row r="887">
      <c r="A887" s="21" t="n">
        <v>910</v>
      </c>
      <c r="B887" s="21" t="inlineStr">
        <is>
          <t>Trainspotting</t>
        </is>
      </c>
      <c r="C887" s="21" t="n">
        <v>1996</v>
      </c>
      <c r="D887" s="21" t="inlineStr">
        <is>
          <t>UK</t>
        </is>
      </c>
      <c r="E887" s="21" t="n">
        <v>94</v>
      </c>
      <c r="F887" s="21" t="inlineStr">
        <is>
          <t>English</t>
        </is>
      </c>
      <c r="G887" s="21" t="inlineStr">
        <is>
          <t>R</t>
        </is>
      </c>
      <c r="H887" s="22" t="n">
        <v>16501785</v>
      </c>
      <c r="I887" s="22" t="n">
        <v>3500000</v>
      </c>
      <c r="J887" s="21">
        <f>IF(OR(H887="",H887=25529689.5),"Yes","No")</f>
        <v/>
      </c>
      <c r="K887" s="21">
        <f>IF(AND(D887="USA",C887&gt;=1980,J887="No"),"Yes","No")</f>
        <v/>
      </c>
      <c r="L887" s="26">
        <f>IF(J887="Yes","",H887-I887)</f>
        <v/>
      </c>
      <c r="M887" s="27">
        <f>IF(OR(J887="Yes",I887=0),"",H887/I887)</f>
        <v/>
      </c>
      <c r="N887" s="21">
        <f>IF(J887="Yes","",IF(H887&gt;=I887,1,0))</f>
        <v/>
      </c>
      <c r="O887" s="21">
        <f>IF(I887&lt;=5000000,"Under $5M",IF(I887&lt;=20000000,"$5M-20M",IF(I887&lt;=50000000,"$20M-50M",IF(I887&lt;=100000000,"$50M-100M","$100M+"))))</f>
        <v/>
      </c>
      <c r="P887" s="21">
        <f>IF(E887&lt;=90,"90 or less",IF(E887&lt;=105,"91-105",IF(E887&lt;=120,"106-120",IF(E887&lt;=140,"121-140","Over 140"))))</f>
        <v/>
      </c>
      <c r="Q887" s="28">
        <f>INT(C887/10)*10</f>
        <v/>
      </c>
    </row>
    <row r="888">
      <c r="A888" s="21" t="n">
        <v>911</v>
      </c>
      <c r="B888" s="21" t="inlineStr">
        <is>
          <t>Trees Lounge</t>
        </is>
      </c>
      <c r="C888" s="21" t="n">
        <v>1996</v>
      </c>
      <c r="D888" s="21" t="inlineStr">
        <is>
          <t>USA</t>
        </is>
      </c>
      <c r="E888" s="21" t="n">
        <v>95</v>
      </c>
      <c r="F888" s="21" t="inlineStr">
        <is>
          <t>English</t>
        </is>
      </c>
      <c r="G888" s="21" t="inlineStr">
        <is>
          <t>R</t>
        </is>
      </c>
      <c r="H888" s="22" t="n">
        <v>695229</v>
      </c>
      <c r="I888" s="22" t="n">
        <v>1300000</v>
      </c>
      <c r="J888" s="21">
        <f>IF(OR(H888="",H888=25529689.5),"Yes","No")</f>
        <v/>
      </c>
      <c r="K888" s="21">
        <f>IF(AND(D888="USA",C888&gt;=1980,J888="No"),"Yes","No")</f>
        <v/>
      </c>
      <c r="L888" s="26">
        <f>IF(J888="Yes","",H888-I888)</f>
        <v/>
      </c>
      <c r="M888" s="27">
        <f>IF(OR(J888="Yes",I888=0),"",H888/I888)</f>
        <v/>
      </c>
      <c r="N888" s="21">
        <f>IF(J888="Yes","",IF(H888&gt;=I888,1,0))</f>
        <v/>
      </c>
      <c r="O888" s="21">
        <f>IF(I888&lt;=5000000,"Under $5M",IF(I888&lt;=20000000,"$5M-20M",IF(I888&lt;=50000000,"$20M-50M",IF(I888&lt;=100000000,"$50M-100M","$100M+"))))</f>
        <v/>
      </c>
      <c r="P888" s="21">
        <f>IF(E888&lt;=90,"90 or less",IF(E888&lt;=105,"91-105",IF(E888&lt;=120,"106-120",IF(E888&lt;=140,"121-140","Over 140"))))</f>
        <v/>
      </c>
      <c r="Q888" s="28">
        <f>INT(C888/10)*10</f>
        <v/>
      </c>
    </row>
    <row r="889">
      <c r="A889" s="21" t="n">
        <v>912</v>
      </c>
      <c r="B889" s="21" t="inlineStr">
        <is>
          <t>Twister</t>
        </is>
      </c>
      <c r="C889" s="21" t="n">
        <v>1996</v>
      </c>
      <c r="D889" s="21" t="inlineStr">
        <is>
          <t>USA</t>
        </is>
      </c>
      <c r="E889" s="21" t="n">
        <v>113</v>
      </c>
      <c r="F889" s="21" t="inlineStr">
        <is>
          <t>English</t>
        </is>
      </c>
      <c r="G889" s="21" t="inlineStr">
        <is>
          <t>PG-13</t>
        </is>
      </c>
      <c r="H889" s="22" t="n">
        <v>241688385</v>
      </c>
      <c r="I889" s="22" t="n">
        <v>92000000</v>
      </c>
      <c r="J889" s="21">
        <f>IF(OR(H889="",H889=25529689.5),"Yes","No")</f>
        <v/>
      </c>
      <c r="K889" s="21">
        <f>IF(AND(D889="USA",C889&gt;=1980,J889="No"),"Yes","No")</f>
        <v/>
      </c>
      <c r="L889" s="26">
        <f>IF(J889="Yes","",H889-I889)</f>
        <v/>
      </c>
      <c r="M889" s="27">
        <f>IF(OR(J889="Yes",I889=0),"",H889/I889)</f>
        <v/>
      </c>
      <c r="N889" s="21">
        <f>IF(J889="Yes","",IF(H889&gt;=I889,1,0))</f>
        <v/>
      </c>
      <c r="O889" s="21">
        <f>IF(I889&lt;=5000000,"Under $5M",IF(I889&lt;=20000000,"$5M-20M",IF(I889&lt;=50000000,"$20M-50M",IF(I889&lt;=100000000,"$50M-100M","$100M+"))))</f>
        <v/>
      </c>
      <c r="P889" s="21">
        <f>IF(E889&lt;=90,"90 or less",IF(E889&lt;=105,"91-105",IF(E889&lt;=120,"106-120",IF(E889&lt;=140,"121-140","Over 140"))))</f>
        <v/>
      </c>
      <c r="Q889" s="28">
        <f>INT(C889/10)*10</f>
        <v/>
      </c>
    </row>
    <row r="890">
      <c r="A890" s="21" t="n">
        <v>913</v>
      </c>
      <c r="B890" s="21" t="inlineStr">
        <is>
          <t>Up Close &amp; Personal</t>
        </is>
      </c>
      <c r="C890" s="21" t="n">
        <v>1996</v>
      </c>
      <c r="D890" s="21" t="inlineStr">
        <is>
          <t>USA</t>
        </is>
      </c>
      <c r="E890" s="21" t="n">
        <v>124</v>
      </c>
      <c r="F890" s="21" t="inlineStr">
        <is>
          <t>English</t>
        </is>
      </c>
      <c r="G890" s="21" t="inlineStr">
        <is>
          <t>PG-13</t>
        </is>
      </c>
      <c r="H890" s="22" t="n">
        <v>51045801</v>
      </c>
      <c r="I890" s="22" t="n">
        <v>60000000</v>
      </c>
      <c r="J890" s="21">
        <f>IF(OR(H890="",H890=25529689.5),"Yes","No")</f>
        <v/>
      </c>
      <c r="K890" s="21">
        <f>IF(AND(D890="USA",C890&gt;=1980,J890="No"),"Yes","No")</f>
        <v/>
      </c>
      <c r="L890" s="26">
        <f>IF(J890="Yes","",H890-I890)</f>
        <v/>
      </c>
      <c r="M890" s="27">
        <f>IF(OR(J890="Yes",I890=0),"",H890/I890)</f>
        <v/>
      </c>
      <c r="N890" s="21">
        <f>IF(J890="Yes","",IF(H890&gt;=I890,1,0))</f>
        <v/>
      </c>
      <c r="O890" s="21">
        <f>IF(I890&lt;=5000000,"Under $5M",IF(I890&lt;=20000000,"$5M-20M",IF(I890&lt;=50000000,"$20M-50M",IF(I890&lt;=100000000,"$50M-100M","$100M+"))))</f>
        <v/>
      </c>
      <c r="P890" s="21">
        <f>IF(E890&lt;=90,"90 or less",IF(E890&lt;=105,"91-105",IF(E890&lt;=120,"106-120",IF(E890&lt;=140,"121-140","Over 140"))))</f>
        <v/>
      </c>
      <c r="Q890" s="28">
        <f>INT(C890/10)*10</f>
        <v/>
      </c>
    </row>
    <row r="891">
      <c r="A891" s="21" t="n">
        <v>914</v>
      </c>
      <c r="B891" s="21" t="inlineStr">
        <is>
          <t>Waiting for Guffman</t>
        </is>
      </c>
      <c r="C891" s="21" t="n">
        <v>1996</v>
      </c>
      <c r="D891" s="21" t="inlineStr">
        <is>
          <t>USA</t>
        </is>
      </c>
      <c r="E891" s="21" t="n">
        <v>84</v>
      </c>
      <c r="F891" s="21" t="inlineStr">
        <is>
          <t>English</t>
        </is>
      </c>
      <c r="G891" s="21" t="inlineStr">
        <is>
          <t>R</t>
        </is>
      </c>
      <c r="H891" s="22" t="n">
        <v>2892582</v>
      </c>
      <c r="I891" s="22" t="n">
        <v>4000000</v>
      </c>
      <c r="J891" s="21">
        <f>IF(OR(H891="",H891=25529689.5),"Yes","No")</f>
        <v/>
      </c>
      <c r="K891" s="21">
        <f>IF(AND(D891="USA",C891&gt;=1980,J891="No"),"Yes","No")</f>
        <v/>
      </c>
      <c r="L891" s="26">
        <f>IF(J891="Yes","",H891-I891)</f>
        <v/>
      </c>
      <c r="M891" s="27">
        <f>IF(OR(J891="Yes",I891=0),"",H891/I891)</f>
        <v/>
      </c>
      <c r="N891" s="21">
        <f>IF(J891="Yes","",IF(H891&gt;=I891,1,0))</f>
        <v/>
      </c>
      <c r="O891" s="21">
        <f>IF(I891&lt;=5000000,"Under $5M",IF(I891&lt;=20000000,"$5M-20M",IF(I891&lt;=50000000,"$20M-50M",IF(I891&lt;=100000000,"$50M-100M","$100M+"))))</f>
        <v/>
      </c>
      <c r="P891" s="21">
        <f>IF(E891&lt;=90,"90 or less",IF(E891&lt;=105,"91-105",IF(E891&lt;=120,"106-120",IF(E891&lt;=140,"121-140","Over 140"))))</f>
        <v/>
      </c>
      <c r="Q891" s="28">
        <f>INT(C891/10)*10</f>
        <v/>
      </c>
    </row>
    <row r="892">
      <c r="A892" s="21" t="n">
        <v>915</v>
      </c>
      <c r="B892" s="21" t="inlineStr">
        <is>
          <t>Walking and Talking</t>
        </is>
      </c>
      <c r="C892" s="21" t="n">
        <v>1996</v>
      </c>
      <c r="D892" s="21" t="inlineStr">
        <is>
          <t>UK</t>
        </is>
      </c>
      <c r="E892" s="21" t="n">
        <v>86</v>
      </c>
      <c r="F892" s="21" t="inlineStr">
        <is>
          <t>English</t>
        </is>
      </c>
      <c r="G892" s="21" t="inlineStr">
        <is>
          <t>R</t>
        </is>
      </c>
      <c r="H892" s="22" t="n">
        <v>1277257</v>
      </c>
      <c r="I892" s="22" t="n">
        <v>1000000</v>
      </c>
      <c r="J892" s="21">
        <f>IF(OR(H892="",H892=25529689.5),"Yes","No")</f>
        <v/>
      </c>
      <c r="K892" s="21">
        <f>IF(AND(D892="USA",C892&gt;=1980,J892="No"),"Yes","No")</f>
        <v/>
      </c>
      <c r="L892" s="26">
        <f>IF(J892="Yes","",H892-I892)</f>
        <v/>
      </c>
      <c r="M892" s="27">
        <f>IF(OR(J892="Yes",I892=0),"",H892/I892)</f>
        <v/>
      </c>
      <c r="N892" s="21">
        <f>IF(J892="Yes","",IF(H892&gt;=I892,1,0))</f>
        <v/>
      </c>
      <c r="O892" s="21">
        <f>IF(I892&lt;=5000000,"Under $5M",IF(I892&lt;=20000000,"$5M-20M",IF(I892&lt;=50000000,"$20M-50M",IF(I892&lt;=100000000,"$50M-100M","$100M+"))))</f>
        <v/>
      </c>
      <c r="P892" s="21">
        <f>IF(E892&lt;=90,"90 or less",IF(E892&lt;=105,"91-105",IF(E892&lt;=120,"106-120",IF(E892&lt;=140,"121-140","Over 140"))))</f>
        <v/>
      </c>
      <c r="Q892" s="28">
        <f>INT(C892/10)*10</f>
        <v/>
      </c>
    </row>
    <row r="893">
      <c r="A893" s="21" t="n">
        <v>916</v>
      </c>
      <c r="B893" s="21" t="inlineStr">
        <is>
          <t>When the Cat's Away</t>
        </is>
      </c>
      <c r="C893" s="21" t="n">
        <v>1996</v>
      </c>
      <c r="D893" s="21" t="inlineStr">
        <is>
          <t>France</t>
        </is>
      </c>
      <c r="E893" s="21" t="n">
        <v>91</v>
      </c>
      <c r="F893" s="21" t="inlineStr">
        <is>
          <t>French</t>
        </is>
      </c>
      <c r="G893" s="21" t="inlineStr">
        <is>
          <t>R</t>
        </is>
      </c>
      <c r="H893" s="22" t="n">
        <v>1652472</v>
      </c>
      <c r="I893" s="22" t="n">
        <v>300000</v>
      </c>
      <c r="J893" s="21">
        <f>IF(OR(H893="",H893=25529689.5),"Yes","No")</f>
        <v/>
      </c>
      <c r="K893" s="21">
        <f>IF(AND(D893="USA",C893&gt;=1980,J893="No"),"Yes","No")</f>
        <v/>
      </c>
      <c r="L893" s="26">
        <f>IF(J893="Yes","",H893-I893)</f>
        <v/>
      </c>
      <c r="M893" s="27">
        <f>IF(OR(J893="Yes",I893=0),"",H893/I893)</f>
        <v/>
      </c>
      <c r="N893" s="21">
        <f>IF(J893="Yes","",IF(H893&gt;=I893,1,0))</f>
        <v/>
      </c>
      <c r="O893" s="21">
        <f>IF(I893&lt;=5000000,"Under $5M",IF(I893&lt;=20000000,"$5M-20M",IF(I893&lt;=50000000,"$20M-50M",IF(I893&lt;=100000000,"$50M-100M","$100M+"))))</f>
        <v/>
      </c>
      <c r="P893" s="21">
        <f>IF(E893&lt;=90,"90 or less",IF(E893&lt;=105,"91-105",IF(E893&lt;=120,"106-120",IF(E893&lt;=140,"121-140","Over 140"))))</f>
        <v/>
      </c>
      <c r="Q893" s="28">
        <f>INT(C893/10)*10</f>
        <v/>
      </c>
    </row>
    <row r="894">
      <c r="A894" s="21" t="n">
        <v>917</v>
      </c>
      <c r="B894" s="21" t="inlineStr">
        <is>
          <t>White Squall</t>
        </is>
      </c>
      <c r="C894" s="21" t="n">
        <v>1996</v>
      </c>
      <c r="D894" s="21" t="inlineStr">
        <is>
          <t>USA</t>
        </is>
      </c>
      <c r="E894" s="21" t="n">
        <v>129</v>
      </c>
      <c r="F894" s="21" t="inlineStr">
        <is>
          <t>English</t>
        </is>
      </c>
      <c r="G894" s="21" t="inlineStr">
        <is>
          <t>PG-13</t>
        </is>
      </c>
      <c r="H894" s="22" t="n">
        <v>10300000</v>
      </c>
      <c r="I894" s="22" t="n">
        <v>38000000</v>
      </c>
      <c r="J894" s="21">
        <f>IF(OR(H894="",H894=25529689.5),"Yes","No")</f>
        <v/>
      </c>
      <c r="K894" s="21">
        <f>IF(AND(D894="USA",C894&gt;=1980,J894="No"),"Yes","No")</f>
        <v/>
      </c>
      <c r="L894" s="26">
        <f>IF(J894="Yes","",H894-I894)</f>
        <v/>
      </c>
      <c r="M894" s="27">
        <f>IF(OR(J894="Yes",I894=0),"",H894/I894)</f>
        <v/>
      </c>
      <c r="N894" s="21">
        <f>IF(J894="Yes","",IF(H894&gt;=I894,1,0))</f>
        <v/>
      </c>
      <c r="O894" s="21">
        <f>IF(I894&lt;=5000000,"Under $5M",IF(I894&lt;=20000000,"$5M-20M",IF(I894&lt;=50000000,"$20M-50M",IF(I894&lt;=100000000,"$50M-100M","$100M+"))))</f>
        <v/>
      </c>
      <c r="P894" s="21">
        <f>IF(E894&lt;=90,"90 or less",IF(E894&lt;=105,"91-105",IF(E894&lt;=120,"106-120",IF(E894&lt;=140,"121-140","Over 140"))))</f>
        <v/>
      </c>
      <c r="Q894" s="28">
        <f>INT(C894/10)*10</f>
        <v/>
      </c>
    </row>
    <row r="895">
      <c r="A895" s="21" t="n">
        <v>918</v>
      </c>
      <c r="B895" s="21" t="inlineStr">
        <is>
          <t>24 7: Twenty Four Seven</t>
        </is>
      </c>
      <c r="C895" s="21" t="n">
        <v>1997</v>
      </c>
      <c r="D895" s="21" t="inlineStr">
        <is>
          <t>UK</t>
        </is>
      </c>
      <c r="E895" s="21" t="n">
        <v>96</v>
      </c>
      <c r="F895" s="21" t="inlineStr">
        <is>
          <t>English</t>
        </is>
      </c>
      <c r="G895" s="21" t="inlineStr">
        <is>
          <t>R</t>
        </is>
      </c>
      <c r="H895" s="22" t="n">
        <v>25529689.5</v>
      </c>
      <c r="I895" s="22" t="n">
        <v>20000000</v>
      </c>
      <c r="J895" s="21">
        <f>IF(OR(H895="",H895=25529689.5),"Yes","No")</f>
        <v/>
      </c>
      <c r="K895" s="21">
        <f>IF(AND(D895="USA",C895&gt;=1980,J895="No"),"Yes","No")</f>
        <v/>
      </c>
      <c r="L895" s="26">
        <f>IF(J895="Yes","",H895-I895)</f>
        <v/>
      </c>
      <c r="M895" s="27">
        <f>IF(OR(J895="Yes",I895=0),"",H895/I895)</f>
        <v/>
      </c>
      <c r="N895" s="21">
        <f>IF(J895="Yes","",IF(H895&gt;=I895,1,0))</f>
        <v/>
      </c>
      <c r="O895" s="21">
        <f>IF(I895&lt;=5000000,"Under $5M",IF(I895&lt;=20000000,"$5M-20M",IF(I895&lt;=50000000,"$20M-50M",IF(I895&lt;=100000000,"$50M-100M","$100M+"))))</f>
        <v/>
      </c>
      <c r="P895" s="21">
        <f>IF(E895&lt;=90,"90 or less",IF(E895&lt;=105,"91-105",IF(E895&lt;=120,"106-120",IF(E895&lt;=140,"121-140","Over 140"))))</f>
        <v/>
      </c>
      <c r="Q895" s="28">
        <f>INT(C895/10)*10</f>
        <v/>
      </c>
    </row>
    <row r="896">
      <c r="A896" s="21" t="n">
        <v>919</v>
      </c>
      <c r="B896" s="21" t="inlineStr">
        <is>
          <t>8 Heads in a Duffel Bag</t>
        </is>
      </c>
      <c r="C896" s="21" t="n">
        <v>1997</v>
      </c>
      <c r="D896" s="21" t="inlineStr">
        <is>
          <t>USA</t>
        </is>
      </c>
      <c r="E896" s="21" t="n">
        <v>95</v>
      </c>
      <c r="F896" s="21" t="inlineStr">
        <is>
          <t>English</t>
        </is>
      </c>
      <c r="G896" s="21" t="inlineStr">
        <is>
          <t>R</t>
        </is>
      </c>
      <c r="H896" s="22" t="n">
        <v>3559990</v>
      </c>
      <c r="I896" s="22" t="n">
        <v>3000000</v>
      </c>
      <c r="J896" s="21">
        <f>IF(OR(H896="",H896=25529689.5),"Yes","No")</f>
        <v/>
      </c>
      <c r="K896" s="21">
        <f>IF(AND(D896="USA",C896&gt;=1980,J896="No"),"Yes","No")</f>
        <v/>
      </c>
      <c r="L896" s="26">
        <f>IF(J896="Yes","",H896-I896)</f>
        <v/>
      </c>
      <c r="M896" s="27">
        <f>IF(OR(J896="Yes",I896=0),"",H896/I896)</f>
        <v/>
      </c>
      <c r="N896" s="21">
        <f>IF(J896="Yes","",IF(H896&gt;=I896,1,0))</f>
        <v/>
      </c>
      <c r="O896" s="21">
        <f>IF(I896&lt;=5000000,"Under $5M",IF(I896&lt;=20000000,"$5M-20M",IF(I896&lt;=50000000,"$20M-50M",IF(I896&lt;=100000000,"$50M-100M","$100M+"))))</f>
        <v/>
      </c>
      <c r="P896" s="21">
        <f>IF(E896&lt;=90,"90 or less",IF(E896&lt;=105,"91-105",IF(E896&lt;=120,"106-120",IF(E896&lt;=140,"121-140","Over 140"))))</f>
        <v/>
      </c>
      <c r="Q896" s="28">
        <f>INT(C896/10)*10</f>
        <v/>
      </c>
    </row>
    <row r="897">
      <c r="A897" s="21" t="n">
        <v>920</v>
      </c>
      <c r="B897" s="21" t="inlineStr">
        <is>
          <t>A Simple Wish</t>
        </is>
      </c>
      <c r="C897" s="21" t="n">
        <v>1997</v>
      </c>
      <c r="D897" s="21" t="inlineStr">
        <is>
          <t>USA</t>
        </is>
      </c>
      <c r="E897" s="21" t="n">
        <v>89</v>
      </c>
      <c r="F897" s="21" t="inlineStr">
        <is>
          <t>English</t>
        </is>
      </c>
      <c r="G897" s="21" t="inlineStr">
        <is>
          <t>PG</t>
        </is>
      </c>
      <c r="H897" s="22" t="n">
        <v>8119205</v>
      </c>
      <c r="I897" s="22" t="n">
        <v>28000000</v>
      </c>
      <c r="J897" s="21">
        <f>IF(OR(H897="",H897=25529689.5),"Yes","No")</f>
        <v/>
      </c>
      <c r="K897" s="21">
        <f>IF(AND(D897="USA",C897&gt;=1980,J897="No"),"Yes","No")</f>
        <v/>
      </c>
      <c r="L897" s="26">
        <f>IF(J897="Yes","",H897-I897)</f>
        <v/>
      </c>
      <c r="M897" s="27">
        <f>IF(OR(J897="Yes",I897=0),"",H897/I897)</f>
        <v/>
      </c>
      <c r="N897" s="21">
        <f>IF(J897="Yes","",IF(H897&gt;=I897,1,0))</f>
        <v/>
      </c>
      <c r="O897" s="21">
        <f>IF(I897&lt;=5000000,"Under $5M",IF(I897&lt;=20000000,"$5M-20M",IF(I897&lt;=50000000,"$20M-50M",IF(I897&lt;=100000000,"$50M-100M","$100M+"))))</f>
        <v/>
      </c>
      <c r="P897" s="21">
        <f>IF(E897&lt;=90,"90 or less",IF(E897&lt;=105,"91-105",IF(E897&lt;=120,"106-120",IF(E897&lt;=140,"121-140","Over 140"))))</f>
        <v/>
      </c>
      <c r="Q897" s="28">
        <f>INT(C897/10)*10</f>
        <v/>
      </c>
    </row>
    <row r="898">
      <c r="A898" s="21" t="n">
        <v>921</v>
      </c>
      <c r="B898" s="21" t="inlineStr">
        <is>
          <t>Absolute Power</t>
        </is>
      </c>
      <c r="C898" s="21" t="n">
        <v>1997</v>
      </c>
      <c r="D898" s="21" t="inlineStr">
        <is>
          <t>USA</t>
        </is>
      </c>
      <c r="E898" s="21" t="n">
        <v>121</v>
      </c>
      <c r="F898" s="21" t="inlineStr">
        <is>
          <t>English</t>
        </is>
      </c>
      <c r="G898" s="21" t="inlineStr">
        <is>
          <t>R</t>
        </is>
      </c>
      <c r="H898" s="22" t="n">
        <v>50007168</v>
      </c>
      <c r="I898" s="22" t="n">
        <v>50000000</v>
      </c>
      <c r="J898" s="21">
        <f>IF(OR(H898="",H898=25529689.5),"Yes","No")</f>
        <v/>
      </c>
      <c r="K898" s="21">
        <f>IF(AND(D898="USA",C898&gt;=1980,J898="No"),"Yes","No")</f>
        <v/>
      </c>
      <c r="L898" s="26">
        <f>IF(J898="Yes","",H898-I898)</f>
        <v/>
      </c>
      <c r="M898" s="27">
        <f>IF(OR(J898="Yes",I898=0),"",H898/I898)</f>
        <v/>
      </c>
      <c r="N898" s="21">
        <f>IF(J898="Yes","",IF(H898&gt;=I898,1,0))</f>
        <v/>
      </c>
      <c r="O898" s="21">
        <f>IF(I898&lt;=5000000,"Under $5M",IF(I898&lt;=20000000,"$5M-20M",IF(I898&lt;=50000000,"$20M-50M",IF(I898&lt;=100000000,"$50M-100M","$100M+"))))</f>
        <v/>
      </c>
      <c r="P898" s="21">
        <f>IF(E898&lt;=90,"90 or less",IF(E898&lt;=105,"91-105",IF(E898&lt;=120,"106-120",IF(E898&lt;=140,"121-140","Over 140"))))</f>
        <v/>
      </c>
      <c r="Q898" s="28">
        <f>INT(C898/10)*10</f>
        <v/>
      </c>
    </row>
    <row r="899">
      <c r="A899" s="21" t="n">
        <v>922</v>
      </c>
      <c r="B899" s="21" t="inlineStr">
        <is>
          <t>Air Bud</t>
        </is>
      </c>
      <c r="C899" s="21" t="n">
        <v>1997</v>
      </c>
      <c r="D899" s="21" t="inlineStr">
        <is>
          <t>USA</t>
        </is>
      </c>
      <c r="E899" s="21" t="n">
        <v>98</v>
      </c>
      <c r="F899" s="21" t="inlineStr">
        <is>
          <t>English</t>
        </is>
      </c>
      <c r="G899" s="21" t="inlineStr">
        <is>
          <t>PG</t>
        </is>
      </c>
      <c r="H899" s="22" t="n">
        <v>24629916</v>
      </c>
      <c r="I899" s="22" t="n">
        <v>3000000</v>
      </c>
      <c r="J899" s="21">
        <f>IF(OR(H899="",H899=25529689.5),"Yes","No")</f>
        <v/>
      </c>
      <c r="K899" s="21">
        <f>IF(AND(D899="USA",C899&gt;=1980,J899="No"),"Yes","No")</f>
        <v/>
      </c>
      <c r="L899" s="26">
        <f>IF(J899="Yes","",H899-I899)</f>
        <v/>
      </c>
      <c r="M899" s="27">
        <f>IF(OR(J899="Yes",I899=0),"",H899/I899)</f>
        <v/>
      </c>
      <c r="N899" s="21">
        <f>IF(J899="Yes","",IF(H899&gt;=I899,1,0))</f>
        <v/>
      </c>
      <c r="O899" s="21">
        <f>IF(I899&lt;=5000000,"Under $5M",IF(I899&lt;=20000000,"$5M-20M",IF(I899&lt;=50000000,"$20M-50M",IF(I899&lt;=100000000,"$50M-100M","$100M+"))))</f>
        <v/>
      </c>
      <c r="P899" s="21">
        <f>IF(E899&lt;=90,"90 or less",IF(E899&lt;=105,"91-105",IF(E899&lt;=120,"106-120",IF(E899&lt;=140,"121-140","Over 140"))))</f>
        <v/>
      </c>
      <c r="Q899" s="28">
        <f>INT(C899/10)*10</f>
        <v/>
      </c>
    </row>
    <row r="900">
      <c r="A900" s="21" t="n">
        <v>923</v>
      </c>
      <c r="B900" s="21" t="inlineStr">
        <is>
          <t>Air Force One</t>
        </is>
      </c>
      <c r="C900" s="21" t="n">
        <v>1997</v>
      </c>
      <c r="D900" s="21" t="inlineStr">
        <is>
          <t>USA</t>
        </is>
      </c>
      <c r="E900" s="21" t="n">
        <v>124</v>
      </c>
      <c r="F900" s="21" t="inlineStr">
        <is>
          <t>English</t>
        </is>
      </c>
      <c r="G900" s="21" t="inlineStr">
        <is>
          <t>R</t>
        </is>
      </c>
      <c r="H900" s="22" t="n">
        <v>172620724</v>
      </c>
      <c r="I900" s="22" t="n">
        <v>85000000</v>
      </c>
      <c r="J900" s="21">
        <f>IF(OR(H900="",H900=25529689.5),"Yes","No")</f>
        <v/>
      </c>
      <c r="K900" s="21">
        <f>IF(AND(D900="USA",C900&gt;=1980,J900="No"),"Yes","No")</f>
        <v/>
      </c>
      <c r="L900" s="26">
        <f>IF(J900="Yes","",H900-I900)</f>
        <v/>
      </c>
      <c r="M900" s="27">
        <f>IF(OR(J900="Yes",I900=0),"",H900/I900)</f>
        <v/>
      </c>
      <c r="N900" s="21">
        <f>IF(J900="Yes","",IF(H900&gt;=I900,1,0))</f>
        <v/>
      </c>
      <c r="O900" s="21">
        <f>IF(I900&lt;=5000000,"Under $5M",IF(I900&lt;=20000000,"$5M-20M",IF(I900&lt;=50000000,"$20M-50M",IF(I900&lt;=100000000,"$50M-100M","$100M+"))))</f>
        <v/>
      </c>
      <c r="P900" s="21">
        <f>IF(E900&lt;=90,"90 or less",IF(E900&lt;=105,"91-105",IF(E900&lt;=120,"106-120",IF(E900&lt;=140,"121-140","Over 140"))))</f>
        <v/>
      </c>
      <c r="Q900" s="28">
        <f>INT(C900/10)*10</f>
        <v/>
      </c>
    </row>
    <row r="901">
      <c r="A901" s="21" t="n">
        <v>924</v>
      </c>
      <c r="B901" s="21" t="inlineStr">
        <is>
          <t>Alien: Resurrection</t>
        </is>
      </c>
      <c r="C901" s="21" t="n">
        <v>1997</v>
      </c>
      <c r="D901" s="21" t="inlineStr">
        <is>
          <t>USA</t>
        </is>
      </c>
      <c r="E901" s="21" t="n">
        <v>116</v>
      </c>
      <c r="F901" s="21" t="inlineStr">
        <is>
          <t>English</t>
        </is>
      </c>
      <c r="G901" s="21" t="inlineStr">
        <is>
          <t>R</t>
        </is>
      </c>
      <c r="H901" s="22" t="n">
        <v>47748610</v>
      </c>
      <c r="I901" s="22" t="n">
        <v>75000000</v>
      </c>
      <c r="J901" s="21">
        <f>IF(OR(H901="",H901=25529689.5),"Yes","No")</f>
        <v/>
      </c>
      <c r="K901" s="21">
        <f>IF(AND(D901="USA",C901&gt;=1980,J901="No"),"Yes","No")</f>
        <v/>
      </c>
      <c r="L901" s="26">
        <f>IF(J901="Yes","",H901-I901)</f>
        <v/>
      </c>
      <c r="M901" s="27">
        <f>IF(OR(J901="Yes",I901=0),"",H901/I901)</f>
        <v/>
      </c>
      <c r="N901" s="21">
        <f>IF(J901="Yes","",IF(H901&gt;=I901,1,0))</f>
        <v/>
      </c>
      <c r="O901" s="21">
        <f>IF(I901&lt;=5000000,"Under $5M",IF(I901&lt;=20000000,"$5M-20M",IF(I901&lt;=50000000,"$20M-50M",IF(I901&lt;=100000000,"$50M-100M","$100M+"))))</f>
        <v/>
      </c>
      <c r="P901" s="21">
        <f>IF(E901&lt;=90,"90 or less",IF(E901&lt;=105,"91-105",IF(E901&lt;=120,"106-120",IF(E901&lt;=140,"121-140","Over 140"))))</f>
        <v/>
      </c>
      <c r="Q901" s="28">
        <f>INT(C901/10)*10</f>
        <v/>
      </c>
    </row>
    <row r="902">
      <c r="A902" s="21" t="n">
        <v>925</v>
      </c>
      <c r="B902" s="21" t="inlineStr">
        <is>
          <t>Amistad</t>
        </is>
      </c>
      <c r="C902" s="21" t="n">
        <v>1997</v>
      </c>
      <c r="D902" s="21" t="inlineStr">
        <is>
          <t>USA</t>
        </is>
      </c>
      <c r="E902" s="21" t="n">
        <v>155</v>
      </c>
      <c r="F902" s="21" t="inlineStr">
        <is>
          <t>English</t>
        </is>
      </c>
      <c r="G902" s="21" t="inlineStr">
        <is>
          <t>R</t>
        </is>
      </c>
      <c r="H902" s="22" t="n">
        <v>44175394</v>
      </c>
      <c r="I902" s="22" t="n">
        <v>36000000</v>
      </c>
      <c r="J902" s="21">
        <f>IF(OR(H902="",H902=25529689.5),"Yes","No")</f>
        <v/>
      </c>
      <c r="K902" s="21">
        <f>IF(AND(D902="USA",C902&gt;=1980,J902="No"),"Yes","No")</f>
        <v/>
      </c>
      <c r="L902" s="26">
        <f>IF(J902="Yes","",H902-I902)</f>
        <v/>
      </c>
      <c r="M902" s="27">
        <f>IF(OR(J902="Yes",I902=0),"",H902/I902)</f>
        <v/>
      </c>
      <c r="N902" s="21">
        <f>IF(J902="Yes","",IF(H902&gt;=I902,1,0))</f>
        <v/>
      </c>
      <c r="O902" s="21">
        <f>IF(I902&lt;=5000000,"Under $5M",IF(I902&lt;=20000000,"$5M-20M",IF(I902&lt;=50000000,"$20M-50M",IF(I902&lt;=100000000,"$50M-100M","$100M+"))))</f>
        <v/>
      </c>
      <c r="P902" s="21">
        <f>IF(E902&lt;=90,"90 or less",IF(E902&lt;=105,"91-105",IF(E902&lt;=120,"106-120",IF(E902&lt;=140,"121-140","Over 140"))))</f>
        <v/>
      </c>
      <c r="Q902" s="28">
        <f>INT(C902/10)*10</f>
        <v/>
      </c>
    </row>
    <row r="903">
      <c r="A903" s="21" t="n">
        <v>926</v>
      </c>
      <c r="B903" s="21" t="inlineStr">
        <is>
          <t>An Alan Smithee Film: Burn Hollywood Burn</t>
        </is>
      </c>
      <c r="C903" s="21" t="n">
        <v>1997</v>
      </c>
      <c r="D903" s="21" t="inlineStr">
        <is>
          <t>USA</t>
        </is>
      </c>
      <c r="E903" s="21" t="n">
        <v>86</v>
      </c>
      <c r="F903" s="21" t="inlineStr">
        <is>
          <t>English</t>
        </is>
      </c>
      <c r="G903" s="21" t="inlineStr">
        <is>
          <t>R</t>
        </is>
      </c>
      <c r="H903" s="22" t="n">
        <v>15447</v>
      </c>
      <c r="I903" s="22" t="n">
        <v>10000000</v>
      </c>
      <c r="J903" s="21">
        <f>IF(OR(H903="",H903=25529689.5),"Yes","No")</f>
        <v/>
      </c>
      <c r="K903" s="21">
        <f>IF(AND(D903="USA",C903&gt;=1980,J903="No"),"Yes","No")</f>
        <v/>
      </c>
      <c r="L903" s="26">
        <f>IF(J903="Yes","",H903-I903)</f>
        <v/>
      </c>
      <c r="M903" s="27">
        <f>IF(OR(J903="Yes",I903=0),"",H903/I903)</f>
        <v/>
      </c>
      <c r="N903" s="21">
        <f>IF(J903="Yes","",IF(H903&gt;=I903,1,0))</f>
        <v/>
      </c>
      <c r="O903" s="21">
        <f>IF(I903&lt;=5000000,"Under $5M",IF(I903&lt;=20000000,"$5M-20M",IF(I903&lt;=50000000,"$20M-50M",IF(I903&lt;=100000000,"$50M-100M","$100M+"))))</f>
        <v/>
      </c>
      <c r="P903" s="21">
        <f>IF(E903&lt;=90,"90 or less",IF(E903&lt;=105,"91-105",IF(E903&lt;=120,"106-120",IF(E903&lt;=140,"121-140","Over 140"))))</f>
        <v/>
      </c>
      <c r="Q903" s="28">
        <f>INT(C903/10)*10</f>
        <v/>
      </c>
    </row>
    <row r="904">
      <c r="A904" s="21" t="n">
        <v>927</v>
      </c>
      <c r="B904" s="21" t="inlineStr">
        <is>
          <t>Anaconda</t>
        </is>
      </c>
      <c r="C904" s="21" t="n">
        <v>1997</v>
      </c>
      <c r="D904" s="21" t="inlineStr">
        <is>
          <t>USA</t>
        </is>
      </c>
      <c r="E904" s="21" t="n">
        <v>89</v>
      </c>
      <c r="F904" s="21" t="inlineStr">
        <is>
          <t>English</t>
        </is>
      </c>
      <c r="G904" s="21" t="inlineStr">
        <is>
          <t>PG-13</t>
        </is>
      </c>
      <c r="H904" s="22" t="n">
        <v>65557989</v>
      </c>
      <c r="I904" s="22" t="n">
        <v>45000000</v>
      </c>
      <c r="J904" s="21">
        <f>IF(OR(H904="",H904=25529689.5),"Yes","No")</f>
        <v/>
      </c>
      <c r="K904" s="21">
        <f>IF(AND(D904="USA",C904&gt;=1980,J904="No"),"Yes","No")</f>
        <v/>
      </c>
      <c r="L904" s="26">
        <f>IF(J904="Yes","",H904-I904)</f>
        <v/>
      </c>
      <c r="M904" s="27">
        <f>IF(OR(J904="Yes",I904=0),"",H904/I904)</f>
        <v/>
      </c>
      <c r="N904" s="21">
        <f>IF(J904="Yes","",IF(H904&gt;=I904,1,0))</f>
        <v/>
      </c>
      <c r="O904" s="21">
        <f>IF(I904&lt;=5000000,"Under $5M",IF(I904&lt;=20000000,"$5M-20M",IF(I904&lt;=50000000,"$20M-50M",IF(I904&lt;=100000000,"$50M-100M","$100M+"))))</f>
        <v/>
      </c>
      <c r="P904" s="21">
        <f>IF(E904&lt;=90,"90 or less",IF(E904&lt;=105,"91-105",IF(E904&lt;=120,"106-120",IF(E904&lt;=140,"121-140","Over 140"))))</f>
        <v/>
      </c>
      <c r="Q904" s="28">
        <f>INT(C904/10)*10</f>
        <v/>
      </c>
    </row>
    <row r="905">
      <c r="A905" s="21" t="n">
        <v>928</v>
      </c>
      <c r="B905" s="21" t="inlineStr">
        <is>
          <t>Anastasia</t>
        </is>
      </c>
      <c r="C905" s="21" t="n">
        <v>1997</v>
      </c>
      <c r="D905" s="21" t="inlineStr">
        <is>
          <t>USA</t>
        </is>
      </c>
      <c r="E905" s="21" t="n">
        <v>94</v>
      </c>
      <c r="F905" s="21" t="inlineStr">
        <is>
          <t>English</t>
        </is>
      </c>
      <c r="G905" s="21" t="inlineStr">
        <is>
          <t>G</t>
        </is>
      </c>
      <c r="H905" s="22" t="n">
        <v>58297830</v>
      </c>
      <c r="I905" s="22" t="n">
        <v>50000000</v>
      </c>
      <c r="J905" s="21">
        <f>IF(OR(H905="",H905=25529689.5),"Yes","No")</f>
        <v/>
      </c>
      <c r="K905" s="21">
        <f>IF(AND(D905="USA",C905&gt;=1980,J905="No"),"Yes","No")</f>
        <v/>
      </c>
      <c r="L905" s="26">
        <f>IF(J905="Yes","",H905-I905)</f>
        <v/>
      </c>
      <c r="M905" s="27">
        <f>IF(OR(J905="Yes",I905=0),"",H905/I905)</f>
        <v/>
      </c>
      <c r="N905" s="21">
        <f>IF(J905="Yes","",IF(H905&gt;=I905,1,0))</f>
        <v/>
      </c>
      <c r="O905" s="21">
        <f>IF(I905&lt;=5000000,"Under $5M",IF(I905&lt;=20000000,"$5M-20M",IF(I905&lt;=50000000,"$20M-50M",IF(I905&lt;=100000000,"$50M-100M","$100M+"))))</f>
        <v/>
      </c>
      <c r="P905" s="21">
        <f>IF(E905&lt;=90,"90 or less",IF(E905&lt;=105,"91-105",IF(E905&lt;=120,"106-120",IF(E905&lt;=140,"121-140","Over 140"))))</f>
        <v/>
      </c>
      <c r="Q905" s="28">
        <f>INT(C905/10)*10</f>
        <v/>
      </c>
    </row>
    <row r="906">
      <c r="A906" s="21" t="n">
        <v>929</v>
      </c>
      <c r="B906" s="21" t="inlineStr">
        <is>
          <t>As Good as It Gets</t>
        </is>
      </c>
      <c r="C906" s="21" t="n">
        <v>1997</v>
      </c>
      <c r="D906" s="21" t="inlineStr">
        <is>
          <t>USA</t>
        </is>
      </c>
      <c r="E906" s="21" t="n">
        <v>139</v>
      </c>
      <c r="F906" s="21" t="inlineStr">
        <is>
          <t>English</t>
        </is>
      </c>
      <c r="G906" s="21" t="inlineStr">
        <is>
          <t>PG-13</t>
        </is>
      </c>
      <c r="H906" s="22" t="n">
        <v>147637474</v>
      </c>
      <c r="I906" s="22" t="n">
        <v>50000000</v>
      </c>
      <c r="J906" s="21">
        <f>IF(OR(H906="",H906=25529689.5),"Yes","No")</f>
        <v/>
      </c>
      <c r="K906" s="21">
        <f>IF(AND(D906="USA",C906&gt;=1980,J906="No"),"Yes","No")</f>
        <v/>
      </c>
      <c r="L906" s="26">
        <f>IF(J906="Yes","",H906-I906)</f>
        <v/>
      </c>
      <c r="M906" s="27">
        <f>IF(OR(J906="Yes",I906=0),"",H906/I906)</f>
        <v/>
      </c>
      <c r="N906" s="21">
        <f>IF(J906="Yes","",IF(H906&gt;=I906,1,0))</f>
        <v/>
      </c>
      <c r="O906" s="21">
        <f>IF(I906&lt;=5000000,"Under $5M",IF(I906&lt;=20000000,"$5M-20M",IF(I906&lt;=50000000,"$20M-50M",IF(I906&lt;=100000000,"$50M-100M","$100M+"))))</f>
        <v/>
      </c>
      <c r="P906" s="21">
        <f>IF(E906&lt;=90,"90 or less",IF(E906&lt;=105,"91-105",IF(E906&lt;=120,"106-120",IF(E906&lt;=140,"121-140","Over 140"))))</f>
        <v/>
      </c>
      <c r="Q906" s="28">
        <f>INT(C906/10)*10</f>
        <v/>
      </c>
    </row>
    <row r="907">
      <c r="A907" s="21" t="n">
        <v>930</v>
      </c>
      <c r="B907" s="21" t="inlineStr">
        <is>
          <t>Austin Powers: International Man of Mystery</t>
        </is>
      </c>
      <c r="C907" s="21" t="n">
        <v>1997</v>
      </c>
      <c r="D907" s="21" t="inlineStr">
        <is>
          <t>USA</t>
        </is>
      </c>
      <c r="E907" s="21" t="n">
        <v>68</v>
      </c>
      <c r="F907" s="21" t="inlineStr">
        <is>
          <t>English</t>
        </is>
      </c>
      <c r="G907" s="21" t="inlineStr">
        <is>
          <t>PG-13</t>
        </is>
      </c>
      <c r="H907" s="22" t="n">
        <v>53868030</v>
      </c>
      <c r="I907" s="22" t="n">
        <v>17000000</v>
      </c>
      <c r="J907" s="21">
        <f>IF(OR(H907="",H907=25529689.5),"Yes","No")</f>
        <v/>
      </c>
      <c r="K907" s="21">
        <f>IF(AND(D907="USA",C907&gt;=1980,J907="No"),"Yes","No")</f>
        <v/>
      </c>
      <c r="L907" s="26">
        <f>IF(J907="Yes","",H907-I907)</f>
        <v/>
      </c>
      <c r="M907" s="27">
        <f>IF(OR(J907="Yes",I907=0),"",H907/I907)</f>
        <v/>
      </c>
      <c r="N907" s="21">
        <f>IF(J907="Yes","",IF(H907&gt;=I907,1,0))</f>
        <v/>
      </c>
      <c r="O907" s="21">
        <f>IF(I907&lt;=5000000,"Under $5M",IF(I907&lt;=20000000,"$5M-20M",IF(I907&lt;=50000000,"$20M-50M",IF(I907&lt;=100000000,"$50M-100M","$100M+"))))</f>
        <v/>
      </c>
      <c r="P907" s="21">
        <f>IF(E907&lt;=90,"90 or less",IF(E907&lt;=105,"91-105",IF(E907&lt;=120,"106-120",IF(E907&lt;=140,"121-140","Over 140"))))</f>
        <v/>
      </c>
      <c r="Q907" s="28">
        <f>INT(C907/10)*10</f>
        <v/>
      </c>
    </row>
    <row r="908">
      <c r="A908" s="21" t="n">
        <v>931</v>
      </c>
      <c r="B908" s="21" t="inlineStr">
        <is>
          <t>Batman &amp; Robin</t>
        </is>
      </c>
      <c r="C908" s="21" t="n">
        <v>1997</v>
      </c>
      <c r="D908" s="21" t="inlineStr">
        <is>
          <t>USA</t>
        </is>
      </c>
      <c r="E908" s="21" t="n">
        <v>125</v>
      </c>
      <c r="F908" s="21" t="inlineStr">
        <is>
          <t>English</t>
        </is>
      </c>
      <c r="G908" s="21" t="inlineStr">
        <is>
          <t>PG-13</t>
        </is>
      </c>
      <c r="H908" s="22" t="n">
        <v>107285004</v>
      </c>
      <c r="I908" s="22" t="n">
        <v>125000000</v>
      </c>
      <c r="J908" s="21">
        <f>IF(OR(H908="",H908=25529689.5),"Yes","No")</f>
        <v/>
      </c>
      <c r="K908" s="21">
        <f>IF(AND(D908="USA",C908&gt;=1980,J908="No"),"Yes","No")</f>
        <v/>
      </c>
      <c r="L908" s="26">
        <f>IF(J908="Yes","",H908-I908)</f>
        <v/>
      </c>
      <c r="M908" s="27">
        <f>IF(OR(J908="Yes",I908=0),"",H908/I908)</f>
        <v/>
      </c>
      <c r="N908" s="21">
        <f>IF(J908="Yes","",IF(H908&gt;=I908,1,0))</f>
        <v/>
      </c>
      <c r="O908" s="21">
        <f>IF(I908&lt;=5000000,"Under $5M",IF(I908&lt;=20000000,"$5M-20M",IF(I908&lt;=50000000,"$20M-50M",IF(I908&lt;=100000000,"$50M-100M","$100M+"))))</f>
        <v/>
      </c>
      <c r="P908" s="21">
        <f>IF(E908&lt;=90,"90 or less",IF(E908&lt;=105,"91-105",IF(E908&lt;=120,"106-120",IF(E908&lt;=140,"121-140","Over 140"))))</f>
        <v/>
      </c>
      <c r="Q908" s="28">
        <f>INT(C908/10)*10</f>
        <v/>
      </c>
    </row>
    <row r="909">
      <c r="A909" s="21" t="n">
        <v>932</v>
      </c>
      <c r="B909" s="21" t="inlineStr">
        <is>
          <t>Boogie Nights</t>
        </is>
      </c>
      <c r="C909" s="21" t="n">
        <v>1997</v>
      </c>
      <c r="D909" s="21" t="inlineStr">
        <is>
          <t>USA</t>
        </is>
      </c>
      <c r="E909" s="21" t="n">
        <v>155</v>
      </c>
      <c r="F909" s="21" t="inlineStr">
        <is>
          <t>English</t>
        </is>
      </c>
      <c r="G909" s="21" t="inlineStr">
        <is>
          <t>R</t>
        </is>
      </c>
      <c r="H909" s="22" t="n">
        <v>26384919</v>
      </c>
      <c r="I909" s="22" t="n">
        <v>15000000</v>
      </c>
      <c r="J909" s="21">
        <f>IF(OR(H909="",H909=25529689.5),"Yes","No")</f>
        <v/>
      </c>
      <c r="K909" s="21">
        <f>IF(AND(D909="USA",C909&gt;=1980,J909="No"),"Yes","No")</f>
        <v/>
      </c>
      <c r="L909" s="26">
        <f>IF(J909="Yes","",H909-I909)</f>
        <v/>
      </c>
      <c r="M909" s="27">
        <f>IF(OR(J909="Yes",I909=0),"",H909/I909)</f>
        <v/>
      </c>
      <c r="N909" s="21">
        <f>IF(J909="Yes","",IF(H909&gt;=I909,1,0))</f>
        <v/>
      </c>
      <c r="O909" s="21">
        <f>IF(I909&lt;=5000000,"Under $5M",IF(I909&lt;=20000000,"$5M-20M",IF(I909&lt;=50000000,"$20M-50M",IF(I909&lt;=100000000,"$50M-100M","$100M+"))))</f>
        <v/>
      </c>
      <c r="P909" s="21">
        <f>IF(E909&lt;=90,"90 or less",IF(E909&lt;=105,"91-105",IF(E909&lt;=120,"106-120",IF(E909&lt;=140,"121-140","Over 140"))))</f>
        <v/>
      </c>
      <c r="Q909" s="28">
        <f>INT(C909/10)*10</f>
        <v/>
      </c>
    </row>
    <row r="910">
      <c r="A910" s="21" t="n">
        <v>933</v>
      </c>
      <c r="B910" s="21" t="inlineStr">
        <is>
          <t>Breakdown</t>
        </is>
      </c>
      <c r="C910" s="21" t="n">
        <v>1997</v>
      </c>
      <c r="D910" s="21" t="inlineStr">
        <is>
          <t>USA</t>
        </is>
      </c>
      <c r="E910" s="21" t="n">
        <v>93</v>
      </c>
      <c r="F910" s="21" t="inlineStr">
        <is>
          <t>English</t>
        </is>
      </c>
      <c r="G910" s="21" t="inlineStr">
        <is>
          <t>R</t>
        </is>
      </c>
      <c r="H910" s="22" t="n">
        <v>50129186</v>
      </c>
      <c r="I910" s="22" t="n">
        <v>36000000</v>
      </c>
      <c r="J910" s="21">
        <f>IF(OR(H910="",H910=25529689.5),"Yes","No")</f>
        <v/>
      </c>
      <c r="K910" s="21">
        <f>IF(AND(D910="USA",C910&gt;=1980,J910="No"),"Yes","No")</f>
        <v/>
      </c>
      <c r="L910" s="26">
        <f>IF(J910="Yes","",H910-I910)</f>
        <v/>
      </c>
      <c r="M910" s="27">
        <f>IF(OR(J910="Yes",I910=0),"",H910/I910)</f>
        <v/>
      </c>
      <c r="N910" s="21">
        <f>IF(J910="Yes","",IF(H910&gt;=I910,1,0))</f>
        <v/>
      </c>
      <c r="O910" s="21">
        <f>IF(I910&lt;=5000000,"Under $5M",IF(I910&lt;=20000000,"$5M-20M",IF(I910&lt;=50000000,"$20M-50M",IF(I910&lt;=100000000,"$50M-100M","$100M+"))))</f>
        <v/>
      </c>
      <c r="P910" s="21">
        <f>IF(E910&lt;=90,"90 or less",IF(E910&lt;=105,"91-105",IF(E910&lt;=120,"106-120",IF(E910&lt;=140,"121-140","Over 140"))))</f>
        <v/>
      </c>
      <c r="Q910" s="28">
        <f>INT(C910/10)*10</f>
        <v/>
      </c>
    </row>
    <row r="911">
      <c r="A911" s="21" t="n">
        <v>934</v>
      </c>
      <c r="B911" s="21" t="inlineStr">
        <is>
          <t>Cats Don't Dance</t>
        </is>
      </c>
      <c r="C911" s="21" t="n">
        <v>1997</v>
      </c>
      <c r="D911" s="21" t="inlineStr">
        <is>
          <t>USA</t>
        </is>
      </c>
      <c r="E911" s="21" t="n">
        <v>75</v>
      </c>
      <c r="F911" s="21" t="inlineStr">
        <is>
          <t>English</t>
        </is>
      </c>
      <c r="G911" s="21" t="inlineStr">
        <is>
          <t>G</t>
        </is>
      </c>
      <c r="H911" s="22" t="n">
        <v>3562749</v>
      </c>
      <c r="I911" s="22" t="n">
        <v>32000000</v>
      </c>
      <c r="J911" s="21">
        <f>IF(OR(H911="",H911=25529689.5),"Yes","No")</f>
        <v/>
      </c>
      <c r="K911" s="21">
        <f>IF(AND(D911="USA",C911&gt;=1980,J911="No"),"Yes","No")</f>
        <v/>
      </c>
      <c r="L911" s="26">
        <f>IF(J911="Yes","",H911-I911)</f>
        <v/>
      </c>
      <c r="M911" s="27">
        <f>IF(OR(J911="Yes",I911=0),"",H911/I911)</f>
        <v/>
      </c>
      <c r="N911" s="21">
        <f>IF(J911="Yes","",IF(H911&gt;=I911,1,0))</f>
        <v/>
      </c>
      <c r="O911" s="21">
        <f>IF(I911&lt;=5000000,"Under $5M",IF(I911&lt;=20000000,"$5M-20M",IF(I911&lt;=50000000,"$20M-50M",IF(I911&lt;=100000000,"$50M-100M","$100M+"))))</f>
        <v/>
      </c>
      <c r="P911" s="21">
        <f>IF(E911&lt;=90,"90 or less",IF(E911&lt;=105,"91-105",IF(E911&lt;=120,"106-120",IF(E911&lt;=140,"121-140","Over 140"))))</f>
        <v/>
      </c>
      <c r="Q911" s="28">
        <f>INT(C911/10)*10</f>
        <v/>
      </c>
    </row>
    <row r="912">
      <c r="A912" s="21" t="n">
        <v>935</v>
      </c>
      <c r="B912" s="21" t="inlineStr">
        <is>
          <t>Character</t>
        </is>
      </c>
      <c r="C912" s="21" t="n">
        <v>1997</v>
      </c>
      <c r="D912" s="21" t="inlineStr">
        <is>
          <t>Netherlands</t>
        </is>
      </c>
      <c r="E912" s="21" t="n">
        <v>122</v>
      </c>
      <c r="F912" s="21" t="inlineStr">
        <is>
          <t>Dutch</t>
        </is>
      </c>
      <c r="G912" s="21" t="inlineStr">
        <is>
          <t>R</t>
        </is>
      </c>
      <c r="H912" s="22" t="n">
        <v>713413</v>
      </c>
      <c r="I912" s="22" t="n">
        <v>4500000</v>
      </c>
      <c r="J912" s="21">
        <f>IF(OR(H912="",H912=25529689.5),"Yes","No")</f>
        <v/>
      </c>
      <c r="K912" s="21">
        <f>IF(AND(D912="USA",C912&gt;=1980,J912="No"),"Yes","No")</f>
        <v/>
      </c>
      <c r="L912" s="26">
        <f>IF(J912="Yes","",H912-I912)</f>
        <v/>
      </c>
      <c r="M912" s="27">
        <f>IF(OR(J912="Yes",I912=0),"",H912/I912)</f>
        <v/>
      </c>
      <c r="N912" s="21">
        <f>IF(J912="Yes","",IF(H912&gt;=I912,1,0))</f>
        <v/>
      </c>
      <c r="O912" s="21">
        <f>IF(I912&lt;=5000000,"Under $5M",IF(I912&lt;=20000000,"$5M-20M",IF(I912&lt;=50000000,"$20M-50M",IF(I912&lt;=100000000,"$50M-100M","$100M+"))))</f>
        <v/>
      </c>
      <c r="P912" s="21">
        <f>IF(E912&lt;=90,"90 or less",IF(E912&lt;=105,"91-105",IF(E912&lt;=120,"106-120",IF(E912&lt;=140,"121-140","Over 140"))))</f>
        <v/>
      </c>
      <c r="Q912" s="28">
        <f>INT(C912/10)*10</f>
        <v/>
      </c>
    </row>
    <row r="913">
      <c r="A913" s="21" t="n">
        <v>936</v>
      </c>
      <c r="B913" s="21" t="inlineStr">
        <is>
          <t>Chasing Amy</t>
        </is>
      </c>
      <c r="C913" s="21" t="n">
        <v>1997</v>
      </c>
      <c r="D913" s="21" t="inlineStr">
        <is>
          <t>USA</t>
        </is>
      </c>
      <c r="E913" s="21" t="n">
        <v>113</v>
      </c>
      <c r="F913" s="21" t="inlineStr">
        <is>
          <t>English</t>
        </is>
      </c>
      <c r="G913" s="21" t="inlineStr">
        <is>
          <t>R</t>
        </is>
      </c>
      <c r="H913" s="22" t="n">
        <v>12006514</v>
      </c>
      <c r="I913" s="22" t="n">
        <v>250000</v>
      </c>
      <c r="J913" s="21">
        <f>IF(OR(H913="",H913=25529689.5),"Yes","No")</f>
        <v/>
      </c>
      <c r="K913" s="21">
        <f>IF(AND(D913="USA",C913&gt;=1980,J913="No"),"Yes","No")</f>
        <v/>
      </c>
      <c r="L913" s="26">
        <f>IF(J913="Yes","",H913-I913)</f>
        <v/>
      </c>
      <c r="M913" s="27">
        <f>IF(OR(J913="Yes",I913=0),"",H913/I913)</f>
        <v/>
      </c>
      <c r="N913" s="21">
        <f>IF(J913="Yes","",IF(H913&gt;=I913,1,0))</f>
        <v/>
      </c>
      <c r="O913" s="21">
        <f>IF(I913&lt;=5000000,"Under $5M",IF(I913&lt;=20000000,"$5M-20M",IF(I913&lt;=50000000,"$20M-50M",IF(I913&lt;=100000000,"$50M-100M","$100M+"))))</f>
        <v/>
      </c>
      <c r="P913" s="21">
        <f>IF(E913&lt;=90,"90 or less",IF(E913&lt;=105,"91-105",IF(E913&lt;=120,"106-120",IF(E913&lt;=140,"121-140","Over 140"))))</f>
        <v/>
      </c>
      <c r="Q913" s="28">
        <f>INT(C913/10)*10</f>
        <v/>
      </c>
    </row>
    <row r="914">
      <c r="A914" s="21" t="n">
        <v>937</v>
      </c>
      <c r="B914" s="21" t="inlineStr">
        <is>
          <t>Children of Heaven</t>
        </is>
      </c>
      <c r="C914" s="21" t="n">
        <v>1997</v>
      </c>
      <c r="D914" s="21" t="inlineStr">
        <is>
          <t>Iran</t>
        </is>
      </c>
      <c r="E914" s="21" t="n">
        <v>89</v>
      </c>
      <c r="F914" s="21" t="inlineStr">
        <is>
          <t>Persian</t>
        </is>
      </c>
      <c r="G914" s="21" t="inlineStr">
        <is>
          <t>PG</t>
        </is>
      </c>
      <c r="H914" s="22" t="n">
        <v>925402</v>
      </c>
      <c r="I914" s="22" t="n">
        <v>180000</v>
      </c>
      <c r="J914" s="21">
        <f>IF(OR(H914="",H914=25529689.5),"Yes","No")</f>
        <v/>
      </c>
      <c r="K914" s="21">
        <f>IF(AND(D914="USA",C914&gt;=1980,J914="No"),"Yes","No")</f>
        <v/>
      </c>
      <c r="L914" s="26">
        <f>IF(J914="Yes","",H914-I914)</f>
        <v/>
      </c>
      <c r="M914" s="27">
        <f>IF(OR(J914="Yes",I914=0),"",H914/I914)</f>
        <v/>
      </c>
      <c r="N914" s="21">
        <f>IF(J914="Yes","",IF(H914&gt;=I914,1,0))</f>
        <v/>
      </c>
      <c r="O914" s="21">
        <f>IF(I914&lt;=5000000,"Under $5M",IF(I914&lt;=20000000,"$5M-20M",IF(I914&lt;=50000000,"$20M-50M",IF(I914&lt;=100000000,"$50M-100M","$100M+"))))</f>
        <v/>
      </c>
      <c r="P914" s="21">
        <f>IF(E914&lt;=90,"90 or less",IF(E914&lt;=105,"91-105",IF(E914&lt;=120,"106-120",IF(E914&lt;=140,"121-140","Over 140"))))</f>
        <v/>
      </c>
      <c r="Q914" s="28">
        <f>INT(C914/10)*10</f>
        <v/>
      </c>
    </row>
    <row r="915">
      <c r="A915" s="21" t="n">
        <v>938</v>
      </c>
      <c r="B915" s="21" t="inlineStr">
        <is>
          <t>Clockwatchers</t>
        </is>
      </c>
      <c r="C915" s="21" t="n">
        <v>1997</v>
      </c>
      <c r="D915" s="21" t="inlineStr">
        <is>
          <t>UK</t>
        </is>
      </c>
      <c r="E915" s="21" t="n">
        <v>96</v>
      </c>
      <c r="F915" s="21" t="inlineStr">
        <is>
          <t>English</t>
        </is>
      </c>
      <c r="G915" s="21" t="inlineStr">
        <is>
          <t>PG-13</t>
        </is>
      </c>
      <c r="H915" s="22" t="n">
        <v>444354</v>
      </c>
      <c r="I915" s="22" t="n">
        <v>20000000</v>
      </c>
      <c r="J915" s="21">
        <f>IF(OR(H915="",H915=25529689.5),"Yes","No")</f>
        <v/>
      </c>
      <c r="K915" s="21">
        <f>IF(AND(D915="USA",C915&gt;=1980,J915="No"),"Yes","No")</f>
        <v/>
      </c>
      <c r="L915" s="26">
        <f>IF(J915="Yes","",H915-I915)</f>
        <v/>
      </c>
      <c r="M915" s="27">
        <f>IF(OR(J915="Yes",I915=0),"",H915/I915)</f>
        <v/>
      </c>
      <c r="N915" s="21">
        <f>IF(J915="Yes","",IF(H915&gt;=I915,1,0))</f>
        <v/>
      </c>
      <c r="O915" s="21">
        <f>IF(I915&lt;=5000000,"Under $5M",IF(I915&lt;=20000000,"$5M-20M",IF(I915&lt;=50000000,"$20M-50M",IF(I915&lt;=100000000,"$50M-100M","$100M+"))))</f>
        <v/>
      </c>
      <c r="P915" s="21">
        <f>IF(E915&lt;=90,"90 or less",IF(E915&lt;=105,"91-105",IF(E915&lt;=120,"106-120",IF(E915&lt;=140,"121-140","Over 140"))))</f>
        <v/>
      </c>
      <c r="Q915" s="28">
        <f>INT(C915/10)*10</f>
        <v/>
      </c>
    </row>
    <row r="916">
      <c r="A916" s="21" t="n">
        <v>939</v>
      </c>
      <c r="B916" s="21" t="inlineStr">
        <is>
          <t>Con Air</t>
        </is>
      </c>
      <c r="C916" s="21" t="n">
        <v>1997</v>
      </c>
      <c r="D916" s="21" t="inlineStr">
        <is>
          <t>USA</t>
        </is>
      </c>
      <c r="E916" s="21" t="n">
        <v>123</v>
      </c>
      <c r="F916" s="21" t="inlineStr">
        <is>
          <t>English</t>
        </is>
      </c>
      <c r="G916" s="21" t="inlineStr">
        <is>
          <t>R</t>
        </is>
      </c>
      <c r="H916" s="22" t="n">
        <v>101087161</v>
      </c>
      <c r="I916" s="22" t="n">
        <v>75000000</v>
      </c>
      <c r="J916" s="21">
        <f>IF(OR(H916="",H916=25529689.5),"Yes","No")</f>
        <v/>
      </c>
      <c r="K916" s="21">
        <f>IF(AND(D916="USA",C916&gt;=1980,J916="No"),"Yes","No")</f>
        <v/>
      </c>
      <c r="L916" s="26">
        <f>IF(J916="Yes","",H916-I916)</f>
        <v/>
      </c>
      <c r="M916" s="27">
        <f>IF(OR(J916="Yes",I916=0),"",H916/I916)</f>
        <v/>
      </c>
      <c r="N916" s="21">
        <f>IF(J916="Yes","",IF(H916&gt;=I916,1,0))</f>
        <v/>
      </c>
      <c r="O916" s="21">
        <f>IF(I916&lt;=5000000,"Under $5M",IF(I916&lt;=20000000,"$5M-20M",IF(I916&lt;=50000000,"$20M-50M",IF(I916&lt;=100000000,"$50M-100M","$100M+"))))</f>
        <v/>
      </c>
      <c r="P916" s="21">
        <f>IF(E916&lt;=90,"90 or less",IF(E916&lt;=105,"91-105",IF(E916&lt;=120,"106-120",IF(E916&lt;=140,"121-140","Over 140"))))</f>
        <v/>
      </c>
      <c r="Q916" s="28">
        <f>INT(C916/10)*10</f>
        <v/>
      </c>
    </row>
    <row r="917">
      <c r="A917" s="21" t="n">
        <v>940</v>
      </c>
      <c r="B917" s="21" t="inlineStr">
        <is>
          <t>Conspiracy Theory</t>
        </is>
      </c>
      <c r="C917" s="21" t="n">
        <v>1997</v>
      </c>
      <c r="D917" s="21" t="inlineStr">
        <is>
          <t>USA</t>
        </is>
      </c>
      <c r="E917" s="21" t="n">
        <v>135</v>
      </c>
      <c r="F917" s="21" t="inlineStr">
        <is>
          <t>English</t>
        </is>
      </c>
      <c r="G917" s="21" t="inlineStr">
        <is>
          <t>R</t>
        </is>
      </c>
      <c r="H917" s="22" t="n">
        <v>76081498</v>
      </c>
      <c r="I917" s="22" t="n">
        <v>75000000</v>
      </c>
      <c r="J917" s="21">
        <f>IF(OR(H917="",H917=25529689.5),"Yes","No")</f>
        <v/>
      </c>
      <c r="K917" s="21">
        <f>IF(AND(D917="USA",C917&gt;=1980,J917="No"),"Yes","No")</f>
        <v/>
      </c>
      <c r="L917" s="26">
        <f>IF(J917="Yes","",H917-I917)</f>
        <v/>
      </c>
      <c r="M917" s="27">
        <f>IF(OR(J917="Yes",I917=0),"",H917/I917)</f>
        <v/>
      </c>
      <c r="N917" s="21">
        <f>IF(J917="Yes","",IF(H917&gt;=I917,1,0))</f>
        <v/>
      </c>
      <c r="O917" s="21">
        <f>IF(I917&lt;=5000000,"Under $5M",IF(I917&lt;=20000000,"$5M-20M",IF(I917&lt;=50000000,"$20M-50M",IF(I917&lt;=100000000,"$50M-100M","$100M+"))))</f>
        <v/>
      </c>
      <c r="P917" s="21">
        <f>IF(E917&lt;=90,"90 or less",IF(E917&lt;=105,"91-105",IF(E917&lt;=120,"106-120",IF(E917&lt;=140,"121-140","Over 140"))))</f>
        <v/>
      </c>
      <c r="Q917" s="28">
        <f>INT(C917/10)*10</f>
        <v/>
      </c>
    </row>
    <row r="918">
      <c r="A918" s="21" t="n">
        <v>941</v>
      </c>
      <c r="B918" s="21" t="inlineStr">
        <is>
          <t>Contact</t>
        </is>
      </c>
      <c r="C918" s="21" t="n">
        <v>1997</v>
      </c>
      <c r="D918" s="21" t="inlineStr">
        <is>
          <t>USA</t>
        </is>
      </c>
      <c r="E918" s="21" t="n">
        <v>150</v>
      </c>
      <c r="F918" s="21" t="inlineStr">
        <is>
          <t>English</t>
        </is>
      </c>
      <c r="G918" s="21" t="inlineStr">
        <is>
          <t>PG</t>
        </is>
      </c>
      <c r="H918" s="22" t="n">
        <v>100853835</v>
      </c>
      <c r="I918" s="22" t="n">
        <v>90000000</v>
      </c>
      <c r="J918" s="21">
        <f>IF(OR(H918="",H918=25529689.5),"Yes","No")</f>
        <v/>
      </c>
      <c r="K918" s="21">
        <f>IF(AND(D918="USA",C918&gt;=1980,J918="No"),"Yes","No")</f>
        <v/>
      </c>
      <c r="L918" s="26">
        <f>IF(J918="Yes","",H918-I918)</f>
        <v/>
      </c>
      <c r="M918" s="27">
        <f>IF(OR(J918="Yes",I918=0),"",H918/I918)</f>
        <v/>
      </c>
      <c r="N918" s="21">
        <f>IF(J918="Yes","",IF(H918&gt;=I918,1,0))</f>
        <v/>
      </c>
      <c r="O918" s="21">
        <f>IF(I918&lt;=5000000,"Under $5M",IF(I918&lt;=20000000,"$5M-20M",IF(I918&lt;=50000000,"$20M-50M",IF(I918&lt;=100000000,"$50M-100M","$100M+"))))</f>
        <v/>
      </c>
      <c r="P918" s="21">
        <f>IF(E918&lt;=90,"90 or less",IF(E918&lt;=105,"91-105",IF(E918&lt;=120,"106-120",IF(E918&lt;=140,"121-140","Over 140"))))</f>
        <v/>
      </c>
      <c r="Q918" s="28">
        <f>INT(C918/10)*10</f>
        <v/>
      </c>
    </row>
    <row r="919">
      <c r="A919" s="21" t="n">
        <v>942</v>
      </c>
      <c r="B919" s="21" t="inlineStr">
        <is>
          <t>Cop Land</t>
        </is>
      </c>
      <c r="C919" s="21" t="n">
        <v>1997</v>
      </c>
      <c r="D919" s="21" t="inlineStr">
        <is>
          <t>USA</t>
        </is>
      </c>
      <c r="E919" s="21" t="n">
        <v>120</v>
      </c>
      <c r="F919" s="21" t="inlineStr">
        <is>
          <t>English</t>
        </is>
      </c>
      <c r="G919" s="21" t="inlineStr">
        <is>
          <t>R</t>
        </is>
      </c>
      <c r="H919" s="22" t="n">
        <v>44886089</v>
      </c>
      <c r="I919" s="22" t="n">
        <v>10000000</v>
      </c>
      <c r="J919" s="21">
        <f>IF(OR(H919="",H919=25529689.5),"Yes","No")</f>
        <v/>
      </c>
      <c r="K919" s="21">
        <f>IF(AND(D919="USA",C919&gt;=1980,J919="No"),"Yes","No")</f>
        <v/>
      </c>
      <c r="L919" s="26">
        <f>IF(J919="Yes","",H919-I919)</f>
        <v/>
      </c>
      <c r="M919" s="27">
        <f>IF(OR(J919="Yes",I919=0),"",H919/I919)</f>
        <v/>
      </c>
      <c r="N919" s="21">
        <f>IF(J919="Yes","",IF(H919&gt;=I919,1,0))</f>
        <v/>
      </c>
      <c r="O919" s="21">
        <f>IF(I919&lt;=5000000,"Under $5M",IF(I919&lt;=20000000,"$5M-20M",IF(I919&lt;=50000000,"$20M-50M",IF(I919&lt;=100000000,"$50M-100M","$100M+"))))</f>
        <v/>
      </c>
      <c r="P919" s="21">
        <f>IF(E919&lt;=90,"90 or less",IF(E919&lt;=105,"91-105",IF(E919&lt;=120,"106-120",IF(E919&lt;=140,"121-140","Over 140"))))</f>
        <v/>
      </c>
      <c r="Q919" s="28">
        <f>INT(C919/10)*10</f>
        <v/>
      </c>
    </row>
    <row r="920">
      <c r="A920" s="21" t="n">
        <v>943</v>
      </c>
      <c r="B920" s="21" t="inlineStr">
        <is>
          <t>Critical Care</t>
        </is>
      </c>
      <c r="C920" s="21" t="n">
        <v>1997</v>
      </c>
      <c r="D920" s="21" t="inlineStr">
        <is>
          <t>Australia</t>
        </is>
      </c>
      <c r="E920" s="21" t="n">
        <v>107</v>
      </c>
      <c r="F920" s="21" t="inlineStr">
        <is>
          <t>English</t>
        </is>
      </c>
      <c r="G920" s="21" t="inlineStr">
        <is>
          <t>R</t>
        </is>
      </c>
      <c r="H920" s="22" t="n">
        <v>141853</v>
      </c>
      <c r="I920" s="22" t="n">
        <v>12000000</v>
      </c>
      <c r="J920" s="21">
        <f>IF(OR(H920="",H920=25529689.5),"Yes","No")</f>
        <v/>
      </c>
      <c r="K920" s="21">
        <f>IF(AND(D920="USA",C920&gt;=1980,J920="No"),"Yes","No")</f>
        <v/>
      </c>
      <c r="L920" s="26">
        <f>IF(J920="Yes","",H920-I920)</f>
        <v/>
      </c>
      <c r="M920" s="27">
        <f>IF(OR(J920="Yes",I920=0),"",H920/I920)</f>
        <v/>
      </c>
      <c r="N920" s="21">
        <f>IF(J920="Yes","",IF(H920&gt;=I920,1,0))</f>
        <v/>
      </c>
      <c r="O920" s="21">
        <f>IF(I920&lt;=5000000,"Under $5M",IF(I920&lt;=20000000,"$5M-20M",IF(I920&lt;=50000000,"$20M-50M",IF(I920&lt;=100000000,"$50M-100M","$100M+"))))</f>
        <v/>
      </c>
      <c r="P920" s="21">
        <f>IF(E920&lt;=90,"90 or less",IF(E920&lt;=105,"91-105",IF(E920&lt;=120,"106-120",IF(E920&lt;=140,"121-140","Over 140"))))</f>
        <v/>
      </c>
      <c r="Q920" s="28">
        <f>INT(C920/10)*10</f>
        <v/>
      </c>
    </row>
    <row r="921">
      <c r="A921" s="21" t="n">
        <v>944</v>
      </c>
      <c r="B921" s="21" t="inlineStr">
        <is>
          <t>Cube</t>
        </is>
      </c>
      <c r="C921" s="21" t="n">
        <v>1997</v>
      </c>
      <c r="D921" s="21" t="inlineStr">
        <is>
          <t>Canada</t>
        </is>
      </c>
      <c r="E921" s="21" t="n">
        <v>90</v>
      </c>
      <c r="F921" s="21" t="inlineStr">
        <is>
          <t>English</t>
        </is>
      </c>
      <c r="G921" s="21" t="inlineStr">
        <is>
          <t>R</t>
        </is>
      </c>
      <c r="H921" s="22" t="n">
        <v>489220</v>
      </c>
      <c r="I921" s="22" t="n">
        <v>365000</v>
      </c>
      <c r="J921" s="21">
        <f>IF(OR(H921="",H921=25529689.5),"Yes","No")</f>
        <v/>
      </c>
      <c r="K921" s="21">
        <f>IF(AND(D921="USA",C921&gt;=1980,J921="No"),"Yes","No")</f>
        <v/>
      </c>
      <c r="L921" s="26">
        <f>IF(J921="Yes","",H921-I921)</f>
        <v/>
      </c>
      <c r="M921" s="27">
        <f>IF(OR(J921="Yes",I921=0),"",H921/I921)</f>
        <v/>
      </c>
      <c r="N921" s="21">
        <f>IF(J921="Yes","",IF(H921&gt;=I921,1,0))</f>
        <v/>
      </c>
      <c r="O921" s="21">
        <f>IF(I921&lt;=5000000,"Under $5M",IF(I921&lt;=20000000,"$5M-20M",IF(I921&lt;=50000000,"$20M-50M",IF(I921&lt;=100000000,"$50M-100M","$100M+"))))</f>
        <v/>
      </c>
      <c r="P921" s="21">
        <f>IF(E921&lt;=90,"90 or less",IF(E921&lt;=105,"91-105",IF(E921&lt;=120,"106-120",IF(E921&lt;=140,"121-140","Over 140"))))</f>
        <v/>
      </c>
      <c r="Q921" s="28">
        <f>INT(C921/10)*10</f>
        <v/>
      </c>
    </row>
    <row r="922">
      <c r="A922" s="21" t="n">
        <v>945</v>
      </c>
      <c r="B922" s="21" t="inlineStr">
        <is>
          <t>Dante's Peak</t>
        </is>
      </c>
      <c r="C922" s="21" t="n">
        <v>1997</v>
      </c>
      <c r="D922" s="21" t="inlineStr">
        <is>
          <t>USA</t>
        </is>
      </c>
      <c r="E922" s="21" t="n">
        <v>108</v>
      </c>
      <c r="F922" s="21" t="inlineStr">
        <is>
          <t>English</t>
        </is>
      </c>
      <c r="G922" s="21" t="inlineStr">
        <is>
          <t>PG-13</t>
        </is>
      </c>
      <c r="H922" s="22" t="n">
        <v>67155742</v>
      </c>
      <c r="I922" s="22" t="n">
        <v>116000000</v>
      </c>
      <c r="J922" s="21">
        <f>IF(OR(H922="",H922=25529689.5),"Yes","No")</f>
        <v/>
      </c>
      <c r="K922" s="21">
        <f>IF(AND(D922="USA",C922&gt;=1980,J922="No"),"Yes","No")</f>
        <v/>
      </c>
      <c r="L922" s="26">
        <f>IF(J922="Yes","",H922-I922)</f>
        <v/>
      </c>
      <c r="M922" s="27">
        <f>IF(OR(J922="Yes",I922=0),"",H922/I922)</f>
        <v/>
      </c>
      <c r="N922" s="21">
        <f>IF(J922="Yes","",IF(H922&gt;=I922,1,0))</f>
        <v/>
      </c>
      <c r="O922" s="21">
        <f>IF(I922&lt;=5000000,"Under $5M",IF(I922&lt;=20000000,"$5M-20M",IF(I922&lt;=50000000,"$20M-50M",IF(I922&lt;=100000000,"$50M-100M","$100M+"))))</f>
        <v/>
      </c>
      <c r="P922" s="21">
        <f>IF(E922&lt;=90,"90 or less",IF(E922&lt;=105,"91-105",IF(E922&lt;=120,"106-120",IF(E922&lt;=140,"121-140","Over 140"))))</f>
        <v/>
      </c>
      <c r="Q922" s="28">
        <f>INT(C922/10)*10</f>
        <v/>
      </c>
    </row>
    <row r="923">
      <c r="A923" s="21" t="n">
        <v>946</v>
      </c>
      <c r="B923" s="21" t="inlineStr">
        <is>
          <t>Deconstructing Harry</t>
        </is>
      </c>
      <c r="C923" s="21" t="n">
        <v>1997</v>
      </c>
      <c r="D923" s="21" t="inlineStr">
        <is>
          <t>USA</t>
        </is>
      </c>
      <c r="E923" s="21" t="n">
        <v>96</v>
      </c>
      <c r="F923" s="21" t="inlineStr">
        <is>
          <t>English</t>
        </is>
      </c>
      <c r="G923" s="21" t="inlineStr">
        <is>
          <t>R</t>
        </is>
      </c>
      <c r="H923" s="22" t="n">
        <v>10569071</v>
      </c>
      <c r="I923" s="22" t="n">
        <v>20000000</v>
      </c>
      <c r="J923" s="21">
        <f>IF(OR(H923="",H923=25529689.5),"Yes","No")</f>
        <v/>
      </c>
      <c r="K923" s="21">
        <f>IF(AND(D923="USA",C923&gt;=1980,J923="No"),"Yes","No")</f>
        <v/>
      </c>
      <c r="L923" s="26">
        <f>IF(J923="Yes","",H923-I923)</f>
        <v/>
      </c>
      <c r="M923" s="27">
        <f>IF(OR(J923="Yes",I923=0),"",H923/I923)</f>
        <v/>
      </c>
      <c r="N923" s="21">
        <f>IF(J923="Yes","",IF(H923&gt;=I923,1,0))</f>
        <v/>
      </c>
      <c r="O923" s="21">
        <f>IF(I923&lt;=5000000,"Under $5M",IF(I923&lt;=20000000,"$5M-20M",IF(I923&lt;=50000000,"$20M-50M",IF(I923&lt;=100000000,"$50M-100M","$100M+"))))</f>
        <v/>
      </c>
      <c r="P923" s="21">
        <f>IF(E923&lt;=90,"90 or less",IF(E923&lt;=105,"91-105",IF(E923&lt;=120,"106-120",IF(E923&lt;=140,"121-140","Over 140"))))</f>
        <v/>
      </c>
      <c r="Q923" s="28">
        <f>INT(C923/10)*10</f>
        <v/>
      </c>
    </row>
    <row r="924">
      <c r="A924" s="21" t="n">
        <v>947</v>
      </c>
      <c r="B924" s="21" t="inlineStr">
        <is>
          <t>DÃ©jÃ  Vu</t>
        </is>
      </c>
      <c r="C924" s="21" t="n">
        <v>1997</v>
      </c>
      <c r="D924" s="21" t="inlineStr">
        <is>
          <t>USA</t>
        </is>
      </c>
      <c r="E924" s="21" t="n">
        <v>117</v>
      </c>
      <c r="F924" s="21" t="inlineStr">
        <is>
          <t>English</t>
        </is>
      </c>
      <c r="G924" s="21" t="inlineStr">
        <is>
          <t>PG-13</t>
        </is>
      </c>
      <c r="H924" s="22" t="n">
        <v>821997</v>
      </c>
      <c r="I924" s="22" t="n">
        <v>20000000</v>
      </c>
      <c r="J924" s="21">
        <f>IF(OR(H924="",H924=25529689.5),"Yes","No")</f>
        <v/>
      </c>
      <c r="K924" s="21">
        <f>IF(AND(D924="USA",C924&gt;=1980,J924="No"),"Yes","No")</f>
        <v/>
      </c>
      <c r="L924" s="26">
        <f>IF(J924="Yes","",H924-I924)</f>
        <v/>
      </c>
      <c r="M924" s="27">
        <f>IF(OR(J924="Yes",I924=0),"",H924/I924)</f>
        <v/>
      </c>
      <c r="N924" s="21">
        <f>IF(J924="Yes","",IF(H924&gt;=I924,1,0))</f>
        <v/>
      </c>
      <c r="O924" s="21">
        <f>IF(I924&lt;=5000000,"Under $5M",IF(I924&lt;=20000000,"$5M-20M",IF(I924&lt;=50000000,"$20M-50M",IF(I924&lt;=100000000,"$50M-100M","$100M+"))))</f>
        <v/>
      </c>
      <c r="P924" s="21">
        <f>IF(E924&lt;=90,"90 or less",IF(E924&lt;=105,"91-105",IF(E924&lt;=120,"106-120",IF(E924&lt;=140,"121-140","Over 140"))))</f>
        <v/>
      </c>
      <c r="Q924" s="28">
        <f>INT(C924/10)*10</f>
        <v/>
      </c>
    </row>
    <row r="925">
      <c r="A925" s="21" t="n">
        <v>948</v>
      </c>
      <c r="B925" s="21" t="inlineStr">
        <is>
          <t>Donnie Brasco</t>
        </is>
      </c>
      <c r="C925" s="21" t="n">
        <v>1997</v>
      </c>
      <c r="D925" s="21" t="inlineStr">
        <is>
          <t>USA</t>
        </is>
      </c>
      <c r="E925" s="21" t="n">
        <v>147</v>
      </c>
      <c r="F925" s="21" t="inlineStr">
        <is>
          <t>English</t>
        </is>
      </c>
      <c r="G925" s="21" t="inlineStr">
        <is>
          <t>R</t>
        </is>
      </c>
      <c r="H925" s="22" t="n">
        <v>41954997</v>
      </c>
      <c r="I925" s="22" t="n">
        <v>35000000</v>
      </c>
      <c r="J925" s="21">
        <f>IF(OR(H925="",H925=25529689.5),"Yes","No")</f>
        <v/>
      </c>
      <c r="K925" s="21">
        <f>IF(AND(D925="USA",C925&gt;=1980,J925="No"),"Yes","No")</f>
        <v/>
      </c>
      <c r="L925" s="26">
        <f>IF(J925="Yes","",H925-I925)</f>
        <v/>
      </c>
      <c r="M925" s="27">
        <f>IF(OR(J925="Yes",I925=0),"",H925/I925)</f>
        <v/>
      </c>
      <c r="N925" s="21">
        <f>IF(J925="Yes","",IF(H925&gt;=I925,1,0))</f>
        <v/>
      </c>
      <c r="O925" s="21">
        <f>IF(I925&lt;=5000000,"Under $5M",IF(I925&lt;=20000000,"$5M-20M",IF(I925&lt;=50000000,"$20M-50M",IF(I925&lt;=100000000,"$50M-100M","$100M+"))))</f>
        <v/>
      </c>
      <c r="P925" s="21">
        <f>IF(E925&lt;=90,"90 or less",IF(E925&lt;=105,"91-105",IF(E925&lt;=120,"106-120",IF(E925&lt;=140,"121-140","Over 140"))))</f>
        <v/>
      </c>
      <c r="Q925" s="28">
        <f>INT(C925/10)*10</f>
        <v/>
      </c>
    </row>
    <row r="926">
      <c r="A926" s="21" t="n">
        <v>949</v>
      </c>
      <c r="B926" s="21" t="inlineStr">
        <is>
          <t>Dream with the Fishes</t>
        </is>
      </c>
      <c r="C926" s="21" t="n">
        <v>1997</v>
      </c>
      <c r="D926" s="21" t="inlineStr">
        <is>
          <t>USA</t>
        </is>
      </c>
      <c r="E926" s="21" t="n">
        <v>97</v>
      </c>
      <c r="F926" s="21" t="inlineStr">
        <is>
          <t>English</t>
        </is>
      </c>
      <c r="G926" s="21" t="inlineStr">
        <is>
          <t>R</t>
        </is>
      </c>
      <c r="H926" s="22" t="n">
        <v>464655</v>
      </c>
      <c r="I926" s="22" t="n">
        <v>1000000</v>
      </c>
      <c r="J926" s="21">
        <f>IF(OR(H926="",H926=25529689.5),"Yes","No")</f>
        <v/>
      </c>
      <c r="K926" s="21">
        <f>IF(AND(D926="USA",C926&gt;=1980,J926="No"),"Yes","No")</f>
        <v/>
      </c>
      <c r="L926" s="26">
        <f>IF(J926="Yes","",H926-I926)</f>
        <v/>
      </c>
      <c r="M926" s="27">
        <f>IF(OR(J926="Yes",I926=0),"",H926/I926)</f>
        <v/>
      </c>
      <c r="N926" s="21">
        <f>IF(J926="Yes","",IF(H926&gt;=I926,1,0))</f>
        <v/>
      </c>
      <c r="O926" s="21">
        <f>IF(I926&lt;=5000000,"Under $5M",IF(I926&lt;=20000000,"$5M-20M",IF(I926&lt;=50000000,"$20M-50M",IF(I926&lt;=100000000,"$50M-100M","$100M+"))))</f>
        <v/>
      </c>
      <c r="P926" s="21">
        <f>IF(E926&lt;=90,"90 or less",IF(E926&lt;=105,"91-105",IF(E926&lt;=120,"106-120",IF(E926&lt;=140,"121-140","Over 140"))))</f>
        <v/>
      </c>
      <c r="Q926" s="28">
        <f>INT(C926/10)*10</f>
        <v/>
      </c>
    </row>
    <row r="927">
      <c r="A927" s="21" t="n">
        <v>950</v>
      </c>
      <c r="B927" s="21" t="inlineStr">
        <is>
          <t>Eve's Bayou</t>
        </is>
      </c>
      <c r="C927" s="21" t="n">
        <v>1997</v>
      </c>
      <c r="D927" s="21" t="inlineStr">
        <is>
          <t>USA</t>
        </is>
      </c>
      <c r="E927" s="21" t="n">
        <v>109</v>
      </c>
      <c r="F927" s="21" t="inlineStr">
        <is>
          <t>English</t>
        </is>
      </c>
      <c r="G927" s="21" t="inlineStr">
        <is>
          <t>R</t>
        </is>
      </c>
      <c r="H927" s="22" t="n">
        <v>14821531</v>
      </c>
      <c r="I927" s="22" t="n">
        <v>6000000</v>
      </c>
      <c r="J927" s="21">
        <f>IF(OR(H927="",H927=25529689.5),"Yes","No")</f>
        <v/>
      </c>
      <c r="K927" s="21">
        <f>IF(AND(D927="USA",C927&gt;=1980,J927="No"),"Yes","No")</f>
        <v/>
      </c>
      <c r="L927" s="26">
        <f>IF(J927="Yes","",H927-I927)</f>
        <v/>
      </c>
      <c r="M927" s="27">
        <f>IF(OR(J927="Yes",I927=0),"",H927/I927)</f>
        <v/>
      </c>
      <c r="N927" s="21">
        <f>IF(J927="Yes","",IF(H927&gt;=I927,1,0))</f>
        <v/>
      </c>
      <c r="O927" s="21">
        <f>IF(I927&lt;=5000000,"Under $5M",IF(I927&lt;=20000000,"$5M-20M",IF(I927&lt;=50000000,"$20M-50M",IF(I927&lt;=100000000,"$50M-100M","$100M+"))))</f>
        <v/>
      </c>
      <c r="P927" s="21">
        <f>IF(E927&lt;=90,"90 or less",IF(E927&lt;=105,"91-105",IF(E927&lt;=120,"106-120",IF(E927&lt;=140,"121-140","Over 140"))))</f>
        <v/>
      </c>
      <c r="Q927" s="28">
        <f>INT(C927/10)*10</f>
        <v/>
      </c>
    </row>
    <row r="928">
      <c r="A928" s="21" t="n">
        <v>951</v>
      </c>
      <c r="B928" s="21" t="inlineStr">
        <is>
          <t>Event Horizon</t>
        </is>
      </c>
      <c r="C928" s="21" t="n">
        <v>1997</v>
      </c>
      <c r="D928" s="21" t="inlineStr">
        <is>
          <t>UK</t>
        </is>
      </c>
      <c r="E928" s="21" t="n">
        <v>130</v>
      </c>
      <c r="F928" s="21" t="inlineStr">
        <is>
          <t>English</t>
        </is>
      </c>
      <c r="G928" s="21" t="inlineStr">
        <is>
          <t>R</t>
        </is>
      </c>
      <c r="H928" s="22" t="n">
        <v>26616590</v>
      </c>
      <c r="I928" s="22" t="n">
        <v>60000000</v>
      </c>
      <c r="J928" s="21">
        <f>IF(OR(H928="",H928=25529689.5),"Yes","No")</f>
        <v/>
      </c>
      <c r="K928" s="21">
        <f>IF(AND(D928="USA",C928&gt;=1980,J928="No"),"Yes","No")</f>
        <v/>
      </c>
      <c r="L928" s="26">
        <f>IF(J928="Yes","",H928-I928)</f>
        <v/>
      </c>
      <c r="M928" s="27">
        <f>IF(OR(J928="Yes",I928=0),"",H928/I928)</f>
        <v/>
      </c>
      <c r="N928" s="21">
        <f>IF(J928="Yes","",IF(H928&gt;=I928,1,0))</f>
        <v/>
      </c>
      <c r="O928" s="21">
        <f>IF(I928&lt;=5000000,"Under $5M",IF(I928&lt;=20000000,"$5M-20M",IF(I928&lt;=50000000,"$20M-50M",IF(I928&lt;=100000000,"$50M-100M","$100M+"))))</f>
        <v/>
      </c>
      <c r="P928" s="21">
        <f>IF(E928&lt;=90,"90 or less",IF(E928&lt;=105,"91-105",IF(E928&lt;=120,"106-120",IF(E928&lt;=140,"121-140","Over 140"))))</f>
        <v/>
      </c>
      <c r="Q928" s="28">
        <f>INT(C928/10)*10</f>
        <v/>
      </c>
    </row>
    <row r="929">
      <c r="A929" s="21" t="n">
        <v>952</v>
      </c>
      <c r="B929" s="21" t="inlineStr">
        <is>
          <t>Face/Off</t>
        </is>
      </c>
      <c r="C929" s="21" t="n">
        <v>1997</v>
      </c>
      <c r="D929" s="21" t="inlineStr">
        <is>
          <t>USA</t>
        </is>
      </c>
      <c r="E929" s="21" t="n">
        <v>138</v>
      </c>
      <c r="F929" s="21" t="inlineStr">
        <is>
          <t>English</t>
        </is>
      </c>
      <c r="G929" s="21" t="inlineStr">
        <is>
          <t>R</t>
        </is>
      </c>
      <c r="H929" s="22" t="n">
        <v>112225777</v>
      </c>
      <c r="I929" s="22" t="n">
        <v>80000000</v>
      </c>
      <c r="J929" s="21">
        <f>IF(OR(H929="",H929=25529689.5),"Yes","No")</f>
        <v/>
      </c>
      <c r="K929" s="21">
        <f>IF(AND(D929="USA",C929&gt;=1980,J929="No"),"Yes","No")</f>
        <v/>
      </c>
      <c r="L929" s="26">
        <f>IF(J929="Yes","",H929-I929)</f>
        <v/>
      </c>
      <c r="M929" s="27">
        <f>IF(OR(J929="Yes",I929=0),"",H929/I929)</f>
        <v/>
      </c>
      <c r="N929" s="21">
        <f>IF(J929="Yes","",IF(H929&gt;=I929,1,0))</f>
        <v/>
      </c>
      <c r="O929" s="21">
        <f>IF(I929&lt;=5000000,"Under $5M",IF(I929&lt;=20000000,"$5M-20M",IF(I929&lt;=50000000,"$20M-50M",IF(I929&lt;=100000000,"$50M-100M","$100M+"))))</f>
        <v/>
      </c>
      <c r="P929" s="21">
        <f>IF(E929&lt;=90,"90 or less",IF(E929&lt;=105,"91-105",IF(E929&lt;=120,"106-120",IF(E929&lt;=140,"121-140","Over 140"))))</f>
        <v/>
      </c>
      <c r="Q929" s="28">
        <f>INT(C929/10)*10</f>
        <v/>
      </c>
    </row>
    <row r="930">
      <c r="A930" s="21" t="n">
        <v>953</v>
      </c>
      <c r="B930" s="21" t="inlineStr">
        <is>
          <t>First Love, Last Rites</t>
        </is>
      </c>
      <c r="C930" s="21" t="n">
        <v>1997</v>
      </c>
      <c r="D930" s="21" t="inlineStr">
        <is>
          <t>USA</t>
        </is>
      </c>
      <c r="E930" s="21" t="n">
        <v>94</v>
      </c>
      <c r="F930" s="21" t="inlineStr">
        <is>
          <t>English</t>
        </is>
      </c>
      <c r="G930" s="21" t="inlineStr">
        <is>
          <t>R</t>
        </is>
      </c>
      <c r="H930" s="22" t="n">
        <v>40542</v>
      </c>
      <c r="I930" s="22" t="n">
        <v>300000</v>
      </c>
      <c r="J930" s="21">
        <f>IF(OR(H930="",H930=25529689.5),"Yes","No")</f>
        <v/>
      </c>
      <c r="K930" s="21">
        <f>IF(AND(D930="USA",C930&gt;=1980,J930="No"),"Yes","No")</f>
        <v/>
      </c>
      <c r="L930" s="26">
        <f>IF(J930="Yes","",H930-I930)</f>
        <v/>
      </c>
      <c r="M930" s="27">
        <f>IF(OR(J930="Yes",I930=0),"",H930/I930)</f>
        <v/>
      </c>
      <c r="N930" s="21">
        <f>IF(J930="Yes","",IF(H930&gt;=I930,1,0))</f>
        <v/>
      </c>
      <c r="O930" s="21">
        <f>IF(I930&lt;=5000000,"Under $5M",IF(I930&lt;=20000000,"$5M-20M",IF(I930&lt;=50000000,"$20M-50M",IF(I930&lt;=100000000,"$50M-100M","$100M+"))))</f>
        <v/>
      </c>
      <c r="P930" s="21">
        <f>IF(E930&lt;=90,"90 or less",IF(E930&lt;=105,"91-105",IF(E930&lt;=120,"106-120",IF(E930&lt;=140,"121-140","Over 140"))))</f>
        <v/>
      </c>
      <c r="Q930" s="28">
        <f>INT(C930/10)*10</f>
        <v/>
      </c>
    </row>
    <row r="931">
      <c r="A931" s="21" t="n">
        <v>954</v>
      </c>
      <c r="B931" s="21" t="inlineStr">
        <is>
          <t>Flubber</t>
        </is>
      </c>
      <c r="C931" s="21" t="n">
        <v>1997</v>
      </c>
      <c r="D931" s="21" t="inlineStr">
        <is>
          <t>USA</t>
        </is>
      </c>
      <c r="E931" s="21" t="n">
        <v>90</v>
      </c>
      <c r="F931" s="21" t="inlineStr">
        <is>
          <t>English</t>
        </is>
      </c>
      <c r="G931" s="21" t="inlineStr">
        <is>
          <t>PG</t>
        </is>
      </c>
      <c r="H931" s="22" t="n">
        <v>92969824</v>
      </c>
      <c r="I931" s="22" t="n">
        <v>80000000</v>
      </c>
      <c r="J931" s="21">
        <f>IF(OR(H931="",H931=25529689.5),"Yes","No")</f>
        <v/>
      </c>
      <c r="K931" s="21">
        <f>IF(AND(D931="USA",C931&gt;=1980,J931="No"),"Yes","No")</f>
        <v/>
      </c>
      <c r="L931" s="26">
        <f>IF(J931="Yes","",H931-I931)</f>
        <v/>
      </c>
      <c r="M931" s="27">
        <f>IF(OR(J931="Yes",I931=0),"",H931/I931)</f>
        <v/>
      </c>
      <c r="N931" s="21">
        <f>IF(J931="Yes","",IF(H931&gt;=I931,1,0))</f>
        <v/>
      </c>
      <c r="O931" s="21">
        <f>IF(I931&lt;=5000000,"Under $5M",IF(I931&lt;=20000000,"$5M-20M",IF(I931&lt;=50000000,"$20M-50M",IF(I931&lt;=100000000,"$50M-100M","$100M+"))))</f>
        <v/>
      </c>
      <c r="P931" s="21">
        <f>IF(E931&lt;=90,"90 or less",IF(E931&lt;=105,"91-105",IF(E931&lt;=120,"106-120",IF(E931&lt;=140,"121-140","Over 140"))))</f>
        <v/>
      </c>
      <c r="Q931" s="28">
        <f>INT(C931/10)*10</f>
        <v/>
      </c>
    </row>
    <row r="932">
      <c r="A932" s="21" t="n">
        <v>955</v>
      </c>
      <c r="B932" s="21" t="inlineStr">
        <is>
          <t>G.I. Jane</t>
        </is>
      </c>
      <c r="C932" s="21" t="n">
        <v>1997</v>
      </c>
      <c r="D932" s="21" t="inlineStr">
        <is>
          <t>USA</t>
        </is>
      </c>
      <c r="E932" s="21" t="n">
        <v>125</v>
      </c>
      <c r="F932" s="21" t="inlineStr">
        <is>
          <t>English</t>
        </is>
      </c>
      <c r="G932" s="21" t="inlineStr">
        <is>
          <t>R</t>
        </is>
      </c>
      <c r="H932" s="22" t="n">
        <v>48154732</v>
      </c>
      <c r="I932" s="22" t="n">
        <v>50000000</v>
      </c>
      <c r="J932" s="21">
        <f>IF(OR(H932="",H932=25529689.5),"Yes","No")</f>
        <v/>
      </c>
      <c r="K932" s="21">
        <f>IF(AND(D932="USA",C932&gt;=1980,J932="No"),"Yes","No")</f>
        <v/>
      </c>
      <c r="L932" s="26">
        <f>IF(J932="Yes","",H932-I932)</f>
        <v/>
      </c>
      <c r="M932" s="27">
        <f>IF(OR(J932="Yes",I932=0),"",H932/I932)</f>
        <v/>
      </c>
      <c r="N932" s="21">
        <f>IF(J932="Yes","",IF(H932&gt;=I932,1,0))</f>
        <v/>
      </c>
      <c r="O932" s="21">
        <f>IF(I932&lt;=5000000,"Under $5M",IF(I932&lt;=20000000,"$5M-20M",IF(I932&lt;=50000000,"$20M-50M",IF(I932&lt;=100000000,"$50M-100M","$100M+"))))</f>
        <v/>
      </c>
      <c r="P932" s="21">
        <f>IF(E932&lt;=90,"90 or less",IF(E932&lt;=105,"91-105",IF(E932&lt;=120,"106-120",IF(E932&lt;=140,"121-140","Over 140"))))</f>
        <v/>
      </c>
      <c r="Q932" s="28">
        <f>INT(C932/10)*10</f>
        <v/>
      </c>
    </row>
    <row r="933">
      <c r="A933" s="21" t="n">
        <v>956</v>
      </c>
      <c r="B933" s="21" t="inlineStr">
        <is>
          <t>Gattaca</t>
        </is>
      </c>
      <c r="C933" s="21" t="n">
        <v>1997</v>
      </c>
      <c r="D933" s="21" t="inlineStr">
        <is>
          <t>USA</t>
        </is>
      </c>
      <c r="E933" s="21" t="n">
        <v>106</v>
      </c>
      <c r="F933" s="21" t="inlineStr">
        <is>
          <t>English</t>
        </is>
      </c>
      <c r="G933" s="21" t="inlineStr">
        <is>
          <t>PG-13</t>
        </is>
      </c>
      <c r="H933" s="22" t="n">
        <v>12339633</v>
      </c>
      <c r="I933" s="22" t="n">
        <v>36000000</v>
      </c>
      <c r="J933" s="21">
        <f>IF(OR(H933="",H933=25529689.5),"Yes","No")</f>
        <v/>
      </c>
      <c r="K933" s="21">
        <f>IF(AND(D933="USA",C933&gt;=1980,J933="No"),"Yes","No")</f>
        <v/>
      </c>
      <c r="L933" s="26">
        <f>IF(J933="Yes","",H933-I933)</f>
        <v/>
      </c>
      <c r="M933" s="27">
        <f>IF(OR(J933="Yes",I933=0),"",H933/I933)</f>
        <v/>
      </c>
      <c r="N933" s="21">
        <f>IF(J933="Yes","",IF(H933&gt;=I933,1,0))</f>
        <v/>
      </c>
      <c r="O933" s="21">
        <f>IF(I933&lt;=5000000,"Under $5M",IF(I933&lt;=20000000,"$5M-20M",IF(I933&lt;=50000000,"$20M-50M",IF(I933&lt;=100000000,"$50M-100M","$100M+"))))</f>
        <v/>
      </c>
      <c r="P933" s="21">
        <f>IF(E933&lt;=90,"90 or less",IF(E933&lt;=105,"91-105",IF(E933&lt;=120,"106-120",IF(E933&lt;=140,"121-140","Over 140"))))</f>
        <v/>
      </c>
      <c r="Q933" s="28">
        <f>INT(C933/10)*10</f>
        <v/>
      </c>
    </row>
    <row r="934">
      <c r="A934" s="21" t="n">
        <v>957</v>
      </c>
      <c r="B934" s="21" t="inlineStr">
        <is>
          <t>George of the Jungle</t>
        </is>
      </c>
      <c r="C934" s="21" t="n">
        <v>1997</v>
      </c>
      <c r="D934" s="21" t="inlineStr">
        <is>
          <t>USA</t>
        </is>
      </c>
      <c r="E934" s="21" t="n">
        <v>92</v>
      </c>
      <c r="F934" s="21" t="inlineStr">
        <is>
          <t>English</t>
        </is>
      </c>
      <c r="G934" s="21" t="inlineStr">
        <is>
          <t>PG</t>
        </is>
      </c>
      <c r="H934" s="22" t="n">
        <v>105263257</v>
      </c>
      <c r="I934" s="22" t="n">
        <v>55000000</v>
      </c>
      <c r="J934" s="21">
        <f>IF(OR(H934="",H934=25529689.5),"Yes","No")</f>
        <v/>
      </c>
      <c r="K934" s="21">
        <f>IF(AND(D934="USA",C934&gt;=1980,J934="No"),"Yes","No")</f>
        <v/>
      </c>
      <c r="L934" s="26">
        <f>IF(J934="Yes","",H934-I934)</f>
        <v/>
      </c>
      <c r="M934" s="27">
        <f>IF(OR(J934="Yes",I934=0),"",H934/I934)</f>
        <v/>
      </c>
      <c r="N934" s="21">
        <f>IF(J934="Yes","",IF(H934&gt;=I934,1,0))</f>
        <v/>
      </c>
      <c r="O934" s="21">
        <f>IF(I934&lt;=5000000,"Under $5M",IF(I934&lt;=20000000,"$5M-20M",IF(I934&lt;=50000000,"$20M-50M",IF(I934&lt;=100000000,"$50M-100M","$100M+"))))</f>
        <v/>
      </c>
      <c r="P934" s="21">
        <f>IF(E934&lt;=90,"90 or less",IF(E934&lt;=105,"91-105",IF(E934&lt;=120,"106-120",IF(E934&lt;=140,"121-140","Over 140"))))</f>
        <v/>
      </c>
      <c r="Q934" s="28">
        <f>INT(C934/10)*10</f>
        <v/>
      </c>
    </row>
    <row r="935">
      <c r="A935" s="21" t="n">
        <v>958</v>
      </c>
      <c r="B935" s="21" t="inlineStr">
        <is>
          <t>Good Will Hunting</t>
        </is>
      </c>
      <c r="C935" s="21" t="n">
        <v>1997</v>
      </c>
      <c r="D935" s="21" t="inlineStr">
        <is>
          <t>USA</t>
        </is>
      </c>
      <c r="E935" s="21" t="n">
        <v>126</v>
      </c>
      <c r="F935" s="21" t="inlineStr">
        <is>
          <t>English</t>
        </is>
      </c>
      <c r="G935" s="21" t="inlineStr">
        <is>
          <t>R</t>
        </is>
      </c>
      <c r="H935" s="22" t="n">
        <v>138339411</v>
      </c>
      <c r="I935" s="22" t="n">
        <v>10000000</v>
      </c>
      <c r="J935" s="21">
        <f>IF(OR(H935="",H935=25529689.5),"Yes","No")</f>
        <v/>
      </c>
      <c r="K935" s="21">
        <f>IF(AND(D935="USA",C935&gt;=1980,J935="No"),"Yes","No")</f>
        <v/>
      </c>
      <c r="L935" s="26">
        <f>IF(J935="Yes","",H935-I935)</f>
        <v/>
      </c>
      <c r="M935" s="27">
        <f>IF(OR(J935="Yes",I935=0),"",H935/I935)</f>
        <v/>
      </c>
      <c r="N935" s="21">
        <f>IF(J935="Yes","",IF(H935&gt;=I935,1,0))</f>
        <v/>
      </c>
      <c r="O935" s="21">
        <f>IF(I935&lt;=5000000,"Under $5M",IF(I935&lt;=20000000,"$5M-20M",IF(I935&lt;=50000000,"$20M-50M",IF(I935&lt;=100000000,"$50M-100M","$100M+"))))</f>
        <v/>
      </c>
      <c r="P935" s="21">
        <f>IF(E935&lt;=90,"90 or less",IF(E935&lt;=105,"91-105",IF(E935&lt;=120,"106-120",IF(E935&lt;=140,"121-140","Over 140"))))</f>
        <v/>
      </c>
      <c r="Q935" s="28">
        <f>INT(C935/10)*10</f>
        <v/>
      </c>
    </row>
    <row r="936">
      <c r="A936" s="21" t="n">
        <v>959</v>
      </c>
      <c r="B936" s="21" t="inlineStr">
        <is>
          <t>Grosse Pointe Blank</t>
        </is>
      </c>
      <c r="C936" s="21" t="n">
        <v>1997</v>
      </c>
      <c r="D936" s="21" t="inlineStr">
        <is>
          <t>USA</t>
        </is>
      </c>
      <c r="E936" s="21" t="n">
        <v>107</v>
      </c>
      <c r="F936" s="21" t="inlineStr">
        <is>
          <t>English</t>
        </is>
      </c>
      <c r="G936" s="21" t="inlineStr">
        <is>
          <t>R</t>
        </is>
      </c>
      <c r="H936" s="22" t="n">
        <v>28014536</v>
      </c>
      <c r="I936" s="22" t="n">
        <v>15000000</v>
      </c>
      <c r="J936" s="21">
        <f>IF(OR(H936="",H936=25529689.5),"Yes","No")</f>
        <v/>
      </c>
      <c r="K936" s="21">
        <f>IF(AND(D936="USA",C936&gt;=1980,J936="No"),"Yes","No")</f>
        <v/>
      </c>
      <c r="L936" s="26">
        <f>IF(J936="Yes","",H936-I936)</f>
        <v/>
      </c>
      <c r="M936" s="27">
        <f>IF(OR(J936="Yes",I936=0),"",H936/I936)</f>
        <v/>
      </c>
      <c r="N936" s="21">
        <f>IF(J936="Yes","",IF(H936&gt;=I936,1,0))</f>
        <v/>
      </c>
      <c r="O936" s="21">
        <f>IF(I936&lt;=5000000,"Under $5M",IF(I936&lt;=20000000,"$5M-20M",IF(I936&lt;=50000000,"$20M-50M",IF(I936&lt;=100000000,"$50M-100M","$100M+"))))</f>
        <v/>
      </c>
      <c r="P936" s="21">
        <f>IF(E936&lt;=90,"90 or less",IF(E936&lt;=105,"91-105",IF(E936&lt;=120,"106-120",IF(E936&lt;=140,"121-140","Over 140"))))</f>
        <v/>
      </c>
      <c r="Q936" s="28">
        <f>INT(C936/10)*10</f>
        <v/>
      </c>
    </row>
    <row r="937">
      <c r="A937" s="21" t="n">
        <v>960</v>
      </c>
      <c r="B937" s="21" t="inlineStr">
        <is>
          <t>Hav Plenty</t>
        </is>
      </c>
      <c r="C937" s="21" t="n">
        <v>1997</v>
      </c>
      <c r="D937" s="21" t="inlineStr">
        <is>
          <t>USA</t>
        </is>
      </c>
      <c r="E937" s="21" t="n">
        <v>84</v>
      </c>
      <c r="F937" s="21" t="inlineStr">
        <is>
          <t>English</t>
        </is>
      </c>
      <c r="G937" s="21" t="inlineStr">
        <is>
          <t>R</t>
        </is>
      </c>
      <c r="H937" s="22" t="n">
        <v>2301777</v>
      </c>
      <c r="I937" s="22" t="n">
        <v>650000</v>
      </c>
      <c r="J937" s="21">
        <f>IF(OR(H937="",H937=25529689.5),"Yes","No")</f>
        <v/>
      </c>
      <c r="K937" s="21">
        <f>IF(AND(D937="USA",C937&gt;=1980,J937="No"),"Yes","No")</f>
        <v/>
      </c>
      <c r="L937" s="26">
        <f>IF(J937="Yes","",H937-I937)</f>
        <v/>
      </c>
      <c r="M937" s="27">
        <f>IF(OR(J937="Yes",I937=0),"",H937/I937)</f>
        <v/>
      </c>
      <c r="N937" s="21">
        <f>IF(J937="Yes","",IF(H937&gt;=I937,1,0))</f>
        <v/>
      </c>
      <c r="O937" s="21">
        <f>IF(I937&lt;=5000000,"Under $5M",IF(I937&lt;=20000000,"$5M-20M",IF(I937&lt;=50000000,"$20M-50M",IF(I937&lt;=100000000,"$50M-100M","$100M+"))))</f>
        <v/>
      </c>
      <c r="P937" s="21">
        <f>IF(E937&lt;=90,"90 or less",IF(E937&lt;=105,"91-105",IF(E937&lt;=120,"106-120",IF(E937&lt;=140,"121-140","Over 140"))))</f>
        <v/>
      </c>
      <c r="Q937" s="28">
        <f>INT(C937/10)*10</f>
        <v/>
      </c>
    </row>
    <row r="938">
      <c r="A938" s="21" t="n">
        <v>961</v>
      </c>
      <c r="B938" s="21" t="inlineStr">
        <is>
          <t>How to Be a Player</t>
        </is>
      </c>
      <c r="C938" s="21" t="n">
        <v>1997</v>
      </c>
      <c r="D938" s="21" t="inlineStr">
        <is>
          <t>USA</t>
        </is>
      </c>
      <c r="E938" s="21" t="n">
        <v>93</v>
      </c>
      <c r="F938" s="21" t="inlineStr">
        <is>
          <t>English</t>
        </is>
      </c>
      <c r="G938" s="21" t="inlineStr">
        <is>
          <t>R</t>
        </is>
      </c>
      <c r="H938" s="22" t="n">
        <v>13960203</v>
      </c>
      <c r="I938" s="22" t="n">
        <v>20000000</v>
      </c>
      <c r="J938" s="21">
        <f>IF(OR(H938="",H938=25529689.5),"Yes","No")</f>
        <v/>
      </c>
      <c r="K938" s="21">
        <f>IF(AND(D938="USA",C938&gt;=1980,J938="No"),"Yes","No")</f>
        <v/>
      </c>
      <c r="L938" s="26">
        <f>IF(J938="Yes","",H938-I938)</f>
        <v/>
      </c>
      <c r="M938" s="27">
        <f>IF(OR(J938="Yes",I938=0),"",H938/I938)</f>
        <v/>
      </c>
      <c r="N938" s="21">
        <f>IF(J938="Yes","",IF(H938&gt;=I938,1,0))</f>
        <v/>
      </c>
      <c r="O938" s="21">
        <f>IF(I938&lt;=5000000,"Under $5M",IF(I938&lt;=20000000,"$5M-20M",IF(I938&lt;=50000000,"$20M-50M",IF(I938&lt;=100000000,"$50M-100M","$100M+"))))</f>
        <v/>
      </c>
      <c r="P938" s="21">
        <f>IF(E938&lt;=90,"90 or less",IF(E938&lt;=105,"91-105",IF(E938&lt;=120,"106-120",IF(E938&lt;=140,"121-140","Over 140"))))</f>
        <v/>
      </c>
      <c r="Q938" s="28">
        <f>INT(C938/10)*10</f>
        <v/>
      </c>
    </row>
    <row r="939">
      <c r="A939" s="21" t="n">
        <v>962</v>
      </c>
      <c r="B939" s="21" t="inlineStr">
        <is>
          <t>Hurricane Streets</t>
        </is>
      </c>
      <c r="C939" s="21" t="n">
        <v>1997</v>
      </c>
      <c r="D939" s="21" t="inlineStr">
        <is>
          <t>USA</t>
        </is>
      </c>
      <c r="E939" s="21" t="n">
        <v>86</v>
      </c>
      <c r="F939" s="21" t="inlineStr">
        <is>
          <t>English</t>
        </is>
      </c>
      <c r="G939" s="21" t="inlineStr">
        <is>
          <t>R</t>
        </is>
      </c>
      <c r="H939" s="22" t="n">
        <v>334041</v>
      </c>
      <c r="I939" s="22" t="n">
        <v>500000</v>
      </c>
      <c r="J939" s="21">
        <f>IF(OR(H939="",H939=25529689.5),"Yes","No")</f>
        <v/>
      </c>
      <c r="K939" s="21">
        <f>IF(AND(D939="USA",C939&gt;=1980,J939="No"),"Yes","No")</f>
        <v/>
      </c>
      <c r="L939" s="26">
        <f>IF(J939="Yes","",H939-I939)</f>
        <v/>
      </c>
      <c r="M939" s="27">
        <f>IF(OR(J939="Yes",I939=0),"",H939/I939)</f>
        <v/>
      </c>
      <c r="N939" s="21">
        <f>IF(J939="Yes","",IF(H939&gt;=I939,1,0))</f>
        <v/>
      </c>
      <c r="O939" s="21">
        <f>IF(I939&lt;=5000000,"Under $5M",IF(I939&lt;=20000000,"$5M-20M",IF(I939&lt;=50000000,"$20M-50M",IF(I939&lt;=100000000,"$50M-100M","$100M+"))))</f>
        <v/>
      </c>
      <c r="P939" s="21">
        <f>IF(E939&lt;=90,"90 or less",IF(E939&lt;=105,"91-105",IF(E939&lt;=120,"106-120",IF(E939&lt;=140,"121-140","Over 140"))))</f>
        <v/>
      </c>
      <c r="Q939" s="28">
        <f>INT(C939/10)*10</f>
        <v/>
      </c>
    </row>
    <row r="940">
      <c r="A940" s="21" t="n">
        <v>963</v>
      </c>
      <c r="B940" s="21" t="inlineStr">
        <is>
          <t>I Know What You Did Last Summer</t>
        </is>
      </c>
      <c r="C940" s="21" t="n">
        <v>1997</v>
      </c>
      <c r="D940" s="21" t="inlineStr">
        <is>
          <t>USA</t>
        </is>
      </c>
      <c r="E940" s="21" t="n">
        <v>99</v>
      </c>
      <c r="F940" s="21" t="inlineStr">
        <is>
          <t>English</t>
        </is>
      </c>
      <c r="G940" s="21" t="inlineStr">
        <is>
          <t>R</t>
        </is>
      </c>
      <c r="H940" s="22" t="n">
        <v>72219395</v>
      </c>
      <c r="I940" s="22" t="n">
        <v>17000000</v>
      </c>
      <c r="J940" s="21">
        <f>IF(OR(H940="",H940=25529689.5),"Yes","No")</f>
        <v/>
      </c>
      <c r="K940" s="21">
        <f>IF(AND(D940="USA",C940&gt;=1980,J940="No"),"Yes","No")</f>
        <v/>
      </c>
      <c r="L940" s="26">
        <f>IF(J940="Yes","",H940-I940)</f>
        <v/>
      </c>
      <c r="M940" s="27">
        <f>IF(OR(J940="Yes",I940=0),"",H940/I940)</f>
        <v/>
      </c>
      <c r="N940" s="21">
        <f>IF(J940="Yes","",IF(H940&gt;=I940,1,0))</f>
        <v/>
      </c>
      <c r="O940" s="21">
        <f>IF(I940&lt;=5000000,"Under $5M",IF(I940&lt;=20000000,"$5M-20M",IF(I940&lt;=50000000,"$20M-50M",IF(I940&lt;=100000000,"$50M-100M","$100M+"))))</f>
        <v/>
      </c>
      <c r="P940" s="21">
        <f>IF(E940&lt;=90,"90 or less",IF(E940&lt;=105,"91-105",IF(E940&lt;=120,"106-120",IF(E940&lt;=140,"121-140","Over 140"))))</f>
        <v/>
      </c>
      <c r="Q940" s="28">
        <f>INT(C940/10)*10</f>
        <v/>
      </c>
    </row>
    <row r="941">
      <c r="A941" s="21" t="n">
        <v>964</v>
      </c>
      <c r="B941" s="21" t="inlineStr">
        <is>
          <t>I Love You, Don't Touch Me!</t>
        </is>
      </c>
      <c r="C941" s="21" t="n">
        <v>1997</v>
      </c>
      <c r="D941" s="21" t="inlineStr">
        <is>
          <t>USA</t>
        </is>
      </c>
      <c r="E941" s="21" t="n">
        <v>86</v>
      </c>
      <c r="F941" s="21" t="inlineStr">
        <is>
          <t>English</t>
        </is>
      </c>
      <c r="G941" s="21" t="inlineStr">
        <is>
          <t>R</t>
        </is>
      </c>
      <c r="H941" s="22" t="n">
        <v>33598</v>
      </c>
      <c r="I941" s="22" t="n">
        <v>20000000</v>
      </c>
      <c r="J941" s="21">
        <f>IF(OR(H941="",H941=25529689.5),"Yes","No")</f>
        <v/>
      </c>
      <c r="K941" s="21">
        <f>IF(AND(D941="USA",C941&gt;=1980,J941="No"),"Yes","No")</f>
        <v/>
      </c>
      <c r="L941" s="26">
        <f>IF(J941="Yes","",H941-I941)</f>
        <v/>
      </c>
      <c r="M941" s="27">
        <f>IF(OR(J941="Yes",I941=0),"",H941/I941)</f>
        <v/>
      </c>
      <c r="N941" s="21">
        <f>IF(J941="Yes","",IF(H941&gt;=I941,1,0))</f>
        <v/>
      </c>
      <c r="O941" s="21">
        <f>IF(I941&lt;=5000000,"Under $5M",IF(I941&lt;=20000000,"$5M-20M",IF(I941&lt;=50000000,"$20M-50M",IF(I941&lt;=100000000,"$50M-100M","$100M+"))))</f>
        <v/>
      </c>
      <c r="P941" s="21">
        <f>IF(E941&lt;=90,"90 or less",IF(E941&lt;=105,"91-105",IF(E941&lt;=120,"106-120",IF(E941&lt;=140,"121-140","Over 140"))))</f>
        <v/>
      </c>
      <c r="Q941" s="28">
        <f>INT(C941/10)*10</f>
        <v/>
      </c>
    </row>
    <row r="942">
      <c r="A942" s="21" t="n">
        <v>965</v>
      </c>
      <c r="B942" s="21" t="inlineStr">
        <is>
          <t>I Married a Strange Person!</t>
        </is>
      </c>
      <c r="C942" s="21" t="n">
        <v>1997</v>
      </c>
      <c r="D942" s="21" t="inlineStr">
        <is>
          <t>USA</t>
        </is>
      </c>
      <c r="E942" s="21" t="n">
        <v>75</v>
      </c>
      <c r="F942" s="21" t="inlineStr">
        <is>
          <t>English</t>
        </is>
      </c>
      <c r="G942" s="21" t="inlineStr">
        <is>
          <t>R</t>
        </is>
      </c>
      <c r="H942" s="22" t="n">
        <v>203134</v>
      </c>
      <c r="I942" s="22" t="n">
        <v>250000</v>
      </c>
      <c r="J942" s="21">
        <f>IF(OR(H942="",H942=25529689.5),"Yes","No")</f>
        <v/>
      </c>
      <c r="K942" s="21">
        <f>IF(AND(D942="USA",C942&gt;=1980,J942="No"),"Yes","No")</f>
        <v/>
      </c>
      <c r="L942" s="26">
        <f>IF(J942="Yes","",H942-I942)</f>
        <v/>
      </c>
      <c r="M942" s="27">
        <f>IF(OR(J942="Yes",I942=0),"",H942/I942)</f>
        <v/>
      </c>
      <c r="N942" s="21">
        <f>IF(J942="Yes","",IF(H942&gt;=I942,1,0))</f>
        <v/>
      </c>
      <c r="O942" s="21">
        <f>IF(I942&lt;=5000000,"Under $5M",IF(I942&lt;=20000000,"$5M-20M",IF(I942&lt;=50000000,"$20M-50M",IF(I942&lt;=100000000,"$50M-100M","$100M+"))))</f>
        <v/>
      </c>
      <c r="P942" s="21">
        <f>IF(E942&lt;=90,"90 or less",IF(E942&lt;=105,"91-105",IF(E942&lt;=120,"106-120",IF(E942&lt;=140,"121-140","Over 140"))))</f>
        <v/>
      </c>
      <c r="Q942" s="28">
        <f>INT(C942/10)*10</f>
        <v/>
      </c>
    </row>
    <row r="943">
      <c r="A943" s="21" t="n">
        <v>966</v>
      </c>
      <c r="B943" s="21" t="inlineStr">
        <is>
          <t>In &amp; Out</t>
        </is>
      </c>
      <c r="C943" s="21" t="n">
        <v>1997</v>
      </c>
      <c r="D943" s="21" t="inlineStr">
        <is>
          <t>USA</t>
        </is>
      </c>
      <c r="E943" s="21" t="n">
        <v>90</v>
      </c>
      <c r="F943" s="21" t="inlineStr">
        <is>
          <t>English</t>
        </is>
      </c>
      <c r="G943" s="21" t="inlineStr">
        <is>
          <t>PG-13</t>
        </is>
      </c>
      <c r="H943" s="22" t="n">
        <v>63826569</v>
      </c>
      <c r="I943" s="22" t="n">
        <v>35000000</v>
      </c>
      <c r="J943" s="21">
        <f>IF(OR(H943="",H943=25529689.5),"Yes","No")</f>
        <v/>
      </c>
      <c r="K943" s="21">
        <f>IF(AND(D943="USA",C943&gt;=1980,J943="No"),"Yes","No")</f>
        <v/>
      </c>
      <c r="L943" s="26">
        <f>IF(J943="Yes","",H943-I943)</f>
        <v/>
      </c>
      <c r="M943" s="27">
        <f>IF(OR(J943="Yes",I943=0),"",H943/I943)</f>
        <v/>
      </c>
      <c r="N943" s="21">
        <f>IF(J943="Yes","",IF(H943&gt;=I943,1,0))</f>
        <v/>
      </c>
      <c r="O943" s="21">
        <f>IF(I943&lt;=5000000,"Under $5M",IF(I943&lt;=20000000,"$5M-20M",IF(I943&lt;=50000000,"$20M-50M",IF(I943&lt;=100000000,"$50M-100M","$100M+"))))</f>
        <v/>
      </c>
      <c r="P943" s="21">
        <f>IF(E943&lt;=90,"90 or less",IF(E943&lt;=105,"91-105",IF(E943&lt;=120,"106-120",IF(E943&lt;=140,"121-140","Over 140"))))</f>
        <v/>
      </c>
      <c r="Q943" s="28">
        <f>INT(C943/10)*10</f>
        <v/>
      </c>
    </row>
    <row r="944">
      <c r="A944" s="21" t="n">
        <v>967</v>
      </c>
      <c r="B944" s="21" t="inlineStr">
        <is>
          <t>In the Company of Men</t>
        </is>
      </c>
      <c r="C944" s="21" t="n">
        <v>1997</v>
      </c>
      <c r="D944" s="21" t="inlineStr">
        <is>
          <t>Canada</t>
        </is>
      </c>
      <c r="E944" s="21" t="n">
        <v>97</v>
      </c>
      <c r="F944" s="21" t="inlineStr">
        <is>
          <t>English</t>
        </is>
      </c>
      <c r="G944" s="21" t="inlineStr">
        <is>
          <t>R</t>
        </is>
      </c>
      <c r="H944" s="22" t="n">
        <v>2856622</v>
      </c>
      <c r="I944" s="22" t="n">
        <v>25000</v>
      </c>
      <c r="J944" s="21">
        <f>IF(OR(H944="",H944=25529689.5),"Yes","No")</f>
        <v/>
      </c>
      <c r="K944" s="21">
        <f>IF(AND(D944="USA",C944&gt;=1980,J944="No"),"Yes","No")</f>
        <v/>
      </c>
      <c r="L944" s="26">
        <f>IF(J944="Yes","",H944-I944)</f>
        <v/>
      </c>
      <c r="M944" s="27">
        <f>IF(OR(J944="Yes",I944=0),"",H944/I944)</f>
        <v/>
      </c>
      <c r="N944" s="21">
        <f>IF(J944="Yes","",IF(H944&gt;=I944,1,0))</f>
        <v/>
      </c>
      <c r="O944" s="21">
        <f>IF(I944&lt;=5000000,"Under $5M",IF(I944&lt;=20000000,"$5M-20M",IF(I944&lt;=50000000,"$20M-50M",IF(I944&lt;=100000000,"$50M-100M","$100M+"))))</f>
        <v/>
      </c>
      <c r="P944" s="21">
        <f>IF(E944&lt;=90,"90 or less",IF(E944&lt;=105,"91-105",IF(E944&lt;=120,"106-120",IF(E944&lt;=140,"121-140","Over 140"))))</f>
        <v/>
      </c>
      <c r="Q944" s="28">
        <f>INT(C944/10)*10</f>
        <v/>
      </c>
    </row>
    <row r="945">
      <c r="A945" s="21" t="n">
        <v>968</v>
      </c>
      <c r="B945" s="21" t="inlineStr">
        <is>
          <t>Jackie Brown</t>
        </is>
      </c>
      <c r="C945" s="21" t="n">
        <v>1997</v>
      </c>
      <c r="D945" s="21" t="inlineStr">
        <is>
          <t>USA</t>
        </is>
      </c>
      <c r="E945" s="21" t="n">
        <v>154</v>
      </c>
      <c r="F945" s="21" t="inlineStr">
        <is>
          <t>English</t>
        </is>
      </c>
      <c r="G945" s="21" t="inlineStr">
        <is>
          <t>R</t>
        </is>
      </c>
      <c r="H945" s="22" t="n">
        <v>39647595</v>
      </c>
      <c r="I945" s="22" t="n">
        <v>12000000</v>
      </c>
      <c r="J945" s="21">
        <f>IF(OR(H945="",H945=25529689.5),"Yes","No")</f>
        <v/>
      </c>
      <c r="K945" s="21">
        <f>IF(AND(D945="USA",C945&gt;=1980,J945="No"),"Yes","No")</f>
        <v/>
      </c>
      <c r="L945" s="26">
        <f>IF(J945="Yes","",H945-I945)</f>
        <v/>
      </c>
      <c r="M945" s="27">
        <f>IF(OR(J945="Yes",I945=0),"",H945/I945)</f>
        <v/>
      </c>
      <c r="N945" s="21">
        <f>IF(J945="Yes","",IF(H945&gt;=I945,1,0))</f>
        <v/>
      </c>
      <c r="O945" s="21">
        <f>IF(I945&lt;=5000000,"Under $5M",IF(I945&lt;=20000000,"$5M-20M",IF(I945&lt;=50000000,"$20M-50M",IF(I945&lt;=100000000,"$50M-100M","$100M+"))))</f>
        <v/>
      </c>
      <c r="P945" s="21">
        <f>IF(E945&lt;=90,"90 or less",IF(E945&lt;=105,"91-105",IF(E945&lt;=120,"106-120",IF(E945&lt;=140,"121-140","Over 140"))))</f>
        <v/>
      </c>
      <c r="Q945" s="28">
        <f>INT(C945/10)*10</f>
        <v/>
      </c>
    </row>
    <row r="946">
      <c r="A946" s="21" t="n">
        <v>969</v>
      </c>
      <c r="B946" s="21" t="inlineStr">
        <is>
          <t>Kiss the Girls</t>
        </is>
      </c>
      <c r="C946" s="21" t="n">
        <v>1997</v>
      </c>
      <c r="D946" s="21" t="inlineStr">
        <is>
          <t>USA</t>
        </is>
      </c>
      <c r="E946" s="21" t="n">
        <v>115</v>
      </c>
      <c r="F946" s="21" t="inlineStr">
        <is>
          <t>English</t>
        </is>
      </c>
      <c r="G946" s="21" t="inlineStr">
        <is>
          <t>R</t>
        </is>
      </c>
      <c r="H946" s="22" t="n">
        <v>60491560</v>
      </c>
      <c r="I946" s="22" t="n">
        <v>27000000</v>
      </c>
      <c r="J946" s="21">
        <f>IF(OR(H946="",H946=25529689.5),"Yes","No")</f>
        <v/>
      </c>
      <c r="K946" s="21">
        <f>IF(AND(D946="USA",C946&gt;=1980,J946="No"),"Yes","No")</f>
        <v/>
      </c>
      <c r="L946" s="26">
        <f>IF(J946="Yes","",H946-I946)</f>
        <v/>
      </c>
      <c r="M946" s="27">
        <f>IF(OR(J946="Yes",I946=0),"",H946/I946)</f>
        <v/>
      </c>
      <c r="N946" s="21">
        <f>IF(J946="Yes","",IF(H946&gt;=I946,1,0))</f>
        <v/>
      </c>
      <c r="O946" s="21">
        <f>IF(I946&lt;=5000000,"Under $5M",IF(I946&lt;=20000000,"$5M-20M",IF(I946&lt;=50000000,"$20M-50M",IF(I946&lt;=100000000,"$50M-100M","$100M+"))))</f>
        <v/>
      </c>
      <c r="P946" s="21">
        <f>IF(E946&lt;=90,"90 or less",IF(E946&lt;=105,"91-105",IF(E946&lt;=120,"106-120",IF(E946&lt;=140,"121-140","Over 140"))))</f>
        <v/>
      </c>
      <c r="Q946" s="28">
        <f>INT(C946/10)*10</f>
        <v/>
      </c>
    </row>
    <row r="947">
      <c r="A947" s="21" t="n">
        <v>970</v>
      </c>
      <c r="B947" s="21" t="inlineStr">
        <is>
          <t>Kundun</t>
        </is>
      </c>
      <c r="C947" s="21" t="n">
        <v>1997</v>
      </c>
      <c r="D947" s="21" t="inlineStr">
        <is>
          <t>USA</t>
        </is>
      </c>
      <c r="E947" s="21" t="n">
        <v>134</v>
      </c>
      <c r="F947" s="21" t="inlineStr">
        <is>
          <t>English</t>
        </is>
      </c>
      <c r="G947" s="21" t="inlineStr">
        <is>
          <t>PG-13</t>
        </is>
      </c>
      <c r="H947" s="22" t="n">
        <v>5532301</v>
      </c>
      <c r="I947" s="22" t="n">
        <v>28000000</v>
      </c>
      <c r="J947" s="21">
        <f>IF(OR(H947="",H947=25529689.5),"Yes","No")</f>
        <v/>
      </c>
      <c r="K947" s="21">
        <f>IF(AND(D947="USA",C947&gt;=1980,J947="No"),"Yes","No")</f>
        <v/>
      </c>
      <c r="L947" s="26">
        <f>IF(J947="Yes","",H947-I947)</f>
        <v/>
      </c>
      <c r="M947" s="27">
        <f>IF(OR(J947="Yes",I947=0),"",H947/I947)</f>
        <v/>
      </c>
      <c r="N947" s="21">
        <f>IF(J947="Yes","",IF(H947&gt;=I947,1,0))</f>
        <v/>
      </c>
      <c r="O947" s="21">
        <f>IF(I947&lt;=5000000,"Under $5M",IF(I947&lt;=20000000,"$5M-20M",IF(I947&lt;=50000000,"$20M-50M",IF(I947&lt;=100000000,"$50M-100M","$100M+"))))</f>
        <v/>
      </c>
      <c r="P947" s="21">
        <f>IF(E947&lt;=90,"90 or less",IF(E947&lt;=105,"91-105",IF(E947&lt;=120,"106-120",IF(E947&lt;=140,"121-140","Over 140"))))</f>
        <v/>
      </c>
      <c r="Q947" s="28">
        <f>INT(C947/10)*10</f>
        <v/>
      </c>
    </row>
    <row r="948">
      <c r="A948" s="21" t="n">
        <v>971</v>
      </c>
      <c r="B948" s="21" t="inlineStr">
        <is>
          <t>L.A. Confidential</t>
        </is>
      </c>
      <c r="C948" s="21" t="n">
        <v>1997</v>
      </c>
      <c r="D948" s="21" t="inlineStr">
        <is>
          <t>USA</t>
        </is>
      </c>
      <c r="E948" s="21" t="n">
        <v>138</v>
      </c>
      <c r="F948" s="21" t="inlineStr">
        <is>
          <t>English</t>
        </is>
      </c>
      <c r="G948" s="21" t="inlineStr">
        <is>
          <t>R</t>
        </is>
      </c>
      <c r="H948" s="22" t="n">
        <v>64604977</v>
      </c>
      <c r="I948" s="22" t="n">
        <v>35000000</v>
      </c>
      <c r="J948" s="21">
        <f>IF(OR(H948="",H948=25529689.5),"Yes","No")</f>
        <v/>
      </c>
      <c r="K948" s="21">
        <f>IF(AND(D948="USA",C948&gt;=1980,J948="No"),"Yes","No")</f>
        <v/>
      </c>
      <c r="L948" s="26">
        <f>IF(J948="Yes","",H948-I948)</f>
        <v/>
      </c>
      <c r="M948" s="27">
        <f>IF(OR(J948="Yes",I948=0),"",H948/I948)</f>
        <v/>
      </c>
      <c r="N948" s="21">
        <f>IF(J948="Yes","",IF(H948&gt;=I948,1,0))</f>
        <v/>
      </c>
      <c r="O948" s="21">
        <f>IF(I948&lt;=5000000,"Under $5M",IF(I948&lt;=20000000,"$5M-20M",IF(I948&lt;=50000000,"$20M-50M",IF(I948&lt;=100000000,"$50M-100M","$100M+"))))</f>
        <v/>
      </c>
      <c r="P948" s="21">
        <f>IF(E948&lt;=90,"90 or less",IF(E948&lt;=105,"91-105",IF(E948&lt;=120,"106-120",IF(E948&lt;=140,"121-140","Over 140"))))</f>
        <v/>
      </c>
      <c r="Q948" s="28">
        <f>INT(C948/10)*10</f>
        <v/>
      </c>
    </row>
    <row r="949">
      <c r="A949" s="21" t="n">
        <v>972</v>
      </c>
      <c r="B949" s="21" t="inlineStr">
        <is>
          <t>Liar Liar</t>
        </is>
      </c>
      <c r="C949" s="21" t="n">
        <v>1997</v>
      </c>
      <c r="D949" s="21" t="inlineStr">
        <is>
          <t>USA</t>
        </is>
      </c>
      <c r="E949" s="21" t="n">
        <v>86</v>
      </c>
      <c r="F949" s="21" t="inlineStr">
        <is>
          <t>English</t>
        </is>
      </c>
      <c r="G949" s="21" t="inlineStr">
        <is>
          <t>PG-13</t>
        </is>
      </c>
      <c r="H949" s="22" t="n">
        <v>181395380</v>
      </c>
      <c r="I949" s="22" t="n">
        <v>45000000</v>
      </c>
      <c r="J949" s="21">
        <f>IF(OR(H949="",H949=25529689.5),"Yes","No")</f>
        <v/>
      </c>
      <c r="K949" s="21">
        <f>IF(AND(D949="USA",C949&gt;=1980,J949="No"),"Yes","No")</f>
        <v/>
      </c>
      <c r="L949" s="26">
        <f>IF(J949="Yes","",H949-I949)</f>
        <v/>
      </c>
      <c r="M949" s="27">
        <f>IF(OR(J949="Yes",I949=0),"",H949/I949)</f>
        <v/>
      </c>
      <c r="N949" s="21">
        <f>IF(J949="Yes","",IF(H949&gt;=I949,1,0))</f>
        <v/>
      </c>
      <c r="O949" s="21">
        <f>IF(I949&lt;=5000000,"Under $5M",IF(I949&lt;=20000000,"$5M-20M",IF(I949&lt;=50000000,"$20M-50M",IF(I949&lt;=100000000,"$50M-100M","$100M+"))))</f>
        <v/>
      </c>
      <c r="P949" s="21">
        <f>IF(E949&lt;=90,"90 or less",IF(E949&lt;=105,"91-105",IF(E949&lt;=120,"106-120",IF(E949&lt;=140,"121-140","Over 140"))))</f>
        <v/>
      </c>
      <c r="Q949" s="28">
        <f>INT(C949/10)*10</f>
        <v/>
      </c>
    </row>
    <row r="950">
      <c r="A950" s="21" t="n">
        <v>973</v>
      </c>
      <c r="B950" s="21" t="inlineStr">
        <is>
          <t>Love and Death on Long Island</t>
        </is>
      </c>
      <c r="C950" s="21" t="n">
        <v>1997</v>
      </c>
      <c r="D950" s="21" t="inlineStr">
        <is>
          <t>UK</t>
        </is>
      </c>
      <c r="E950" s="21" t="n">
        <v>93</v>
      </c>
      <c r="F950" s="21" t="inlineStr">
        <is>
          <t>English</t>
        </is>
      </c>
      <c r="G950" s="21" t="inlineStr">
        <is>
          <t>PG-13</t>
        </is>
      </c>
      <c r="H950" s="22" t="n">
        <v>2542264</v>
      </c>
      <c r="I950" s="22" t="n">
        <v>20000000</v>
      </c>
      <c r="J950" s="21">
        <f>IF(OR(H950="",H950=25529689.5),"Yes","No")</f>
        <v/>
      </c>
      <c r="K950" s="21">
        <f>IF(AND(D950="USA",C950&gt;=1980,J950="No"),"Yes","No")</f>
        <v/>
      </c>
      <c r="L950" s="26">
        <f>IF(J950="Yes","",H950-I950)</f>
        <v/>
      </c>
      <c r="M950" s="27">
        <f>IF(OR(J950="Yes",I950=0),"",H950/I950)</f>
        <v/>
      </c>
      <c r="N950" s="21">
        <f>IF(J950="Yes","",IF(H950&gt;=I950,1,0))</f>
        <v/>
      </c>
      <c r="O950" s="21">
        <f>IF(I950&lt;=5000000,"Under $5M",IF(I950&lt;=20000000,"$5M-20M",IF(I950&lt;=50000000,"$20M-50M",IF(I950&lt;=100000000,"$50M-100M","$100M+"))))</f>
        <v/>
      </c>
      <c r="P950" s="21">
        <f>IF(E950&lt;=90,"90 or less",IF(E950&lt;=105,"91-105",IF(E950&lt;=120,"106-120",IF(E950&lt;=140,"121-140","Over 140"))))</f>
        <v/>
      </c>
      <c r="Q950" s="28">
        <f>INT(C950/10)*10</f>
        <v/>
      </c>
    </row>
    <row r="951">
      <c r="A951" s="21" t="n">
        <v>974</v>
      </c>
      <c r="B951" s="21" t="inlineStr">
        <is>
          <t>Love Jones</t>
        </is>
      </c>
      <c r="C951" s="21" t="n">
        <v>1997</v>
      </c>
      <c r="D951" s="21" t="inlineStr">
        <is>
          <t>USA</t>
        </is>
      </c>
      <c r="E951" s="21" t="n">
        <v>104</v>
      </c>
      <c r="F951" s="21" t="inlineStr">
        <is>
          <t>English</t>
        </is>
      </c>
      <c r="G951" s="21" t="inlineStr">
        <is>
          <t>R</t>
        </is>
      </c>
      <c r="H951" s="22" t="n">
        <v>12514138</v>
      </c>
      <c r="I951" s="22" t="n">
        <v>10000000</v>
      </c>
      <c r="J951" s="21">
        <f>IF(OR(H951="",H951=25529689.5),"Yes","No")</f>
        <v/>
      </c>
      <c r="K951" s="21">
        <f>IF(AND(D951="USA",C951&gt;=1980,J951="No"),"Yes","No")</f>
        <v/>
      </c>
      <c r="L951" s="26">
        <f>IF(J951="Yes","",H951-I951)</f>
        <v/>
      </c>
      <c r="M951" s="27">
        <f>IF(OR(J951="Yes",I951=0),"",H951/I951)</f>
        <v/>
      </c>
      <c r="N951" s="21">
        <f>IF(J951="Yes","",IF(H951&gt;=I951,1,0))</f>
        <v/>
      </c>
      <c r="O951" s="21">
        <f>IF(I951&lt;=5000000,"Under $5M",IF(I951&lt;=20000000,"$5M-20M",IF(I951&lt;=50000000,"$20M-50M",IF(I951&lt;=100000000,"$50M-100M","$100M+"))))</f>
        <v/>
      </c>
      <c r="P951" s="21">
        <f>IF(E951&lt;=90,"90 or less",IF(E951&lt;=105,"91-105",IF(E951&lt;=120,"106-120",IF(E951&lt;=140,"121-140","Over 140"))))</f>
        <v/>
      </c>
      <c r="Q951" s="28">
        <f>INT(C951/10)*10</f>
        <v/>
      </c>
    </row>
    <row r="952">
      <c r="A952" s="21" t="n">
        <v>975</v>
      </c>
      <c r="B952" s="21" t="inlineStr">
        <is>
          <t>Mad City</t>
        </is>
      </c>
      <c r="C952" s="21" t="n">
        <v>1997</v>
      </c>
      <c r="D952" s="21" t="inlineStr">
        <is>
          <t>USA</t>
        </is>
      </c>
      <c r="E952" s="21" t="n">
        <v>115</v>
      </c>
      <c r="F952" s="21" t="inlineStr">
        <is>
          <t>English</t>
        </is>
      </c>
      <c r="G952" s="21" t="inlineStr">
        <is>
          <t>PG-13</t>
        </is>
      </c>
      <c r="H952" s="22" t="n">
        <v>10556196</v>
      </c>
      <c r="I952" s="22" t="n">
        <v>50000000</v>
      </c>
      <c r="J952" s="21">
        <f>IF(OR(H952="",H952=25529689.5),"Yes","No")</f>
        <v/>
      </c>
      <c r="K952" s="21">
        <f>IF(AND(D952="USA",C952&gt;=1980,J952="No"),"Yes","No")</f>
        <v/>
      </c>
      <c r="L952" s="26">
        <f>IF(J952="Yes","",H952-I952)</f>
        <v/>
      </c>
      <c r="M952" s="27">
        <f>IF(OR(J952="Yes",I952=0),"",H952/I952)</f>
        <v/>
      </c>
      <c r="N952" s="21">
        <f>IF(J952="Yes","",IF(H952&gt;=I952,1,0))</f>
        <v/>
      </c>
      <c r="O952" s="21">
        <f>IF(I952&lt;=5000000,"Under $5M",IF(I952&lt;=20000000,"$5M-20M",IF(I952&lt;=50000000,"$20M-50M",IF(I952&lt;=100000000,"$50M-100M","$100M+"))))</f>
        <v/>
      </c>
      <c r="P952" s="21">
        <f>IF(E952&lt;=90,"90 or less",IF(E952&lt;=105,"91-105",IF(E952&lt;=120,"106-120",IF(E952&lt;=140,"121-140","Over 140"))))</f>
        <v/>
      </c>
      <c r="Q952" s="28">
        <f>INT(C952/10)*10</f>
        <v/>
      </c>
    </row>
    <row r="953">
      <c r="A953" s="21" t="n">
        <v>976</v>
      </c>
      <c r="B953" s="21" t="inlineStr">
        <is>
          <t>Men in Black</t>
        </is>
      </c>
      <c r="C953" s="21" t="n">
        <v>1997</v>
      </c>
      <c r="D953" s="21" t="inlineStr">
        <is>
          <t>USA</t>
        </is>
      </c>
      <c r="E953" s="21" t="n">
        <v>98</v>
      </c>
      <c r="F953" s="21" t="inlineStr">
        <is>
          <t>English</t>
        </is>
      </c>
      <c r="G953" s="21" t="inlineStr">
        <is>
          <t>PG-13</t>
        </is>
      </c>
      <c r="H953" s="22" t="n">
        <v>250147615</v>
      </c>
      <c r="I953" s="22" t="n">
        <v>90000000</v>
      </c>
      <c r="J953" s="21">
        <f>IF(OR(H953="",H953=25529689.5),"Yes","No")</f>
        <v/>
      </c>
      <c r="K953" s="21">
        <f>IF(AND(D953="USA",C953&gt;=1980,J953="No"),"Yes","No")</f>
        <v/>
      </c>
      <c r="L953" s="26">
        <f>IF(J953="Yes","",H953-I953)</f>
        <v/>
      </c>
      <c r="M953" s="27">
        <f>IF(OR(J953="Yes",I953=0),"",H953/I953)</f>
        <v/>
      </c>
      <c r="N953" s="21">
        <f>IF(J953="Yes","",IF(H953&gt;=I953,1,0))</f>
        <v/>
      </c>
      <c r="O953" s="21">
        <f>IF(I953&lt;=5000000,"Under $5M",IF(I953&lt;=20000000,"$5M-20M",IF(I953&lt;=50000000,"$20M-50M",IF(I953&lt;=100000000,"$50M-100M","$100M+"))))</f>
        <v/>
      </c>
      <c r="P953" s="21">
        <f>IF(E953&lt;=90,"90 or less",IF(E953&lt;=105,"91-105",IF(E953&lt;=120,"106-120",IF(E953&lt;=140,"121-140","Over 140"))))</f>
        <v/>
      </c>
      <c r="Q953" s="28">
        <f>INT(C953/10)*10</f>
        <v/>
      </c>
    </row>
    <row r="954">
      <c r="A954" s="21" t="n">
        <v>977</v>
      </c>
      <c r="B954" s="21" t="inlineStr">
        <is>
          <t>Midnight in the Garden of Good and Evil</t>
        </is>
      </c>
      <c r="C954" s="21" t="n">
        <v>1997</v>
      </c>
      <c r="D954" s="21" t="inlineStr">
        <is>
          <t>USA</t>
        </is>
      </c>
      <c r="E954" s="21" t="n">
        <v>155</v>
      </c>
      <c r="F954" s="21" t="inlineStr">
        <is>
          <t>English</t>
        </is>
      </c>
      <c r="G954" s="21" t="inlineStr">
        <is>
          <t>R</t>
        </is>
      </c>
      <c r="H954" s="22" t="n">
        <v>25078937</v>
      </c>
      <c r="I954" s="22" t="n">
        <v>30000000</v>
      </c>
      <c r="J954" s="21">
        <f>IF(OR(H954="",H954=25529689.5),"Yes","No")</f>
        <v/>
      </c>
      <c r="K954" s="21">
        <f>IF(AND(D954="USA",C954&gt;=1980,J954="No"),"Yes","No")</f>
        <v/>
      </c>
      <c r="L954" s="26">
        <f>IF(J954="Yes","",H954-I954)</f>
        <v/>
      </c>
      <c r="M954" s="27">
        <f>IF(OR(J954="Yes",I954=0),"",H954/I954)</f>
        <v/>
      </c>
      <c r="N954" s="21">
        <f>IF(J954="Yes","",IF(H954&gt;=I954,1,0))</f>
        <v/>
      </c>
      <c r="O954" s="21">
        <f>IF(I954&lt;=5000000,"Under $5M",IF(I954&lt;=20000000,"$5M-20M",IF(I954&lt;=50000000,"$20M-50M",IF(I954&lt;=100000000,"$50M-100M","$100M+"))))</f>
        <v/>
      </c>
      <c r="P954" s="21">
        <f>IF(E954&lt;=90,"90 or less",IF(E954&lt;=105,"91-105",IF(E954&lt;=120,"106-120",IF(E954&lt;=140,"121-140","Over 140"))))</f>
        <v/>
      </c>
      <c r="Q954" s="28">
        <f>INT(C954/10)*10</f>
        <v/>
      </c>
    </row>
    <row r="955">
      <c r="A955" s="21" t="n">
        <v>978</v>
      </c>
      <c r="B955" s="21" t="inlineStr">
        <is>
          <t>Money Talks</t>
        </is>
      </c>
      <c r="C955" s="21" t="n">
        <v>1997</v>
      </c>
      <c r="D955" s="21" t="inlineStr">
        <is>
          <t>USA</t>
        </is>
      </c>
      <c r="E955" s="21" t="n">
        <v>97</v>
      </c>
      <c r="F955" s="21" t="inlineStr">
        <is>
          <t>English</t>
        </is>
      </c>
      <c r="G955" s="21" t="inlineStr">
        <is>
          <t>R</t>
        </is>
      </c>
      <c r="H955" s="22" t="n">
        <v>41067398</v>
      </c>
      <c r="I955" s="22" t="n">
        <v>25000000</v>
      </c>
      <c r="J955" s="21">
        <f>IF(OR(H955="",H955=25529689.5),"Yes","No")</f>
        <v/>
      </c>
      <c r="K955" s="21">
        <f>IF(AND(D955="USA",C955&gt;=1980,J955="No"),"Yes","No")</f>
        <v/>
      </c>
      <c r="L955" s="26">
        <f>IF(J955="Yes","",H955-I955)</f>
        <v/>
      </c>
      <c r="M955" s="27">
        <f>IF(OR(J955="Yes",I955=0),"",H955/I955)</f>
        <v/>
      </c>
      <c r="N955" s="21">
        <f>IF(J955="Yes","",IF(H955&gt;=I955,1,0))</f>
        <v/>
      </c>
      <c r="O955" s="21">
        <f>IF(I955&lt;=5000000,"Under $5M",IF(I955&lt;=20000000,"$5M-20M",IF(I955&lt;=50000000,"$20M-50M",IF(I955&lt;=100000000,"$50M-100M","$100M+"))))</f>
        <v/>
      </c>
      <c r="P955" s="21">
        <f>IF(E955&lt;=90,"90 or less",IF(E955&lt;=105,"91-105",IF(E955&lt;=120,"106-120",IF(E955&lt;=140,"121-140","Over 140"))))</f>
        <v/>
      </c>
      <c r="Q955" s="28">
        <f>INT(C955/10)*10</f>
        <v/>
      </c>
    </row>
    <row r="956">
      <c r="A956" s="21" t="n">
        <v>979</v>
      </c>
      <c r="B956" s="21" t="inlineStr">
        <is>
          <t>Mortal Kombat: Annihilation</t>
        </is>
      </c>
      <c r="C956" s="21" t="n">
        <v>1997</v>
      </c>
      <c r="D956" s="21" t="inlineStr">
        <is>
          <t>USA</t>
        </is>
      </c>
      <c r="E956" s="21" t="n">
        <v>95</v>
      </c>
      <c r="F956" s="21" t="inlineStr">
        <is>
          <t>English</t>
        </is>
      </c>
      <c r="G956" s="21" t="inlineStr">
        <is>
          <t>PG-13</t>
        </is>
      </c>
      <c r="H956" s="22" t="n">
        <v>35927406</v>
      </c>
      <c r="I956" s="22" t="n">
        <v>30000000</v>
      </c>
      <c r="J956" s="21">
        <f>IF(OR(H956="",H956=25529689.5),"Yes","No")</f>
        <v/>
      </c>
      <c r="K956" s="21">
        <f>IF(AND(D956="USA",C956&gt;=1980,J956="No"),"Yes","No")</f>
        <v/>
      </c>
      <c r="L956" s="26">
        <f>IF(J956="Yes","",H956-I956)</f>
        <v/>
      </c>
      <c r="M956" s="27">
        <f>IF(OR(J956="Yes",I956=0),"",H956/I956)</f>
        <v/>
      </c>
      <c r="N956" s="21">
        <f>IF(J956="Yes","",IF(H956&gt;=I956,1,0))</f>
        <v/>
      </c>
      <c r="O956" s="21">
        <f>IF(I956&lt;=5000000,"Under $5M",IF(I956&lt;=20000000,"$5M-20M",IF(I956&lt;=50000000,"$20M-50M",IF(I956&lt;=100000000,"$50M-100M","$100M+"))))</f>
        <v/>
      </c>
      <c r="P956" s="21">
        <f>IF(E956&lt;=90,"90 or less",IF(E956&lt;=105,"91-105",IF(E956&lt;=120,"106-120",IF(E956&lt;=140,"121-140","Over 140"))))</f>
        <v/>
      </c>
      <c r="Q956" s="28">
        <f>INT(C956/10)*10</f>
        <v/>
      </c>
    </row>
    <row r="957">
      <c r="A957" s="21" t="n">
        <v>980</v>
      </c>
      <c r="B957" s="21" t="inlineStr">
        <is>
          <t>Mr. Nice Guy</t>
        </is>
      </c>
      <c r="C957" s="21" t="n">
        <v>1997</v>
      </c>
      <c r="D957" s="21" t="inlineStr">
        <is>
          <t>Hong Kong</t>
        </is>
      </c>
      <c r="E957" s="21" t="n">
        <v>86</v>
      </c>
      <c r="F957" s="21" t="inlineStr">
        <is>
          <t>English</t>
        </is>
      </c>
      <c r="G957" s="21" t="inlineStr">
        <is>
          <t>PG-13</t>
        </is>
      </c>
      <c r="H957" s="22" t="n">
        <v>12674183</v>
      </c>
      <c r="I957" s="22" t="n">
        <v>20000000</v>
      </c>
      <c r="J957" s="21">
        <f>IF(OR(H957="",H957=25529689.5),"Yes","No")</f>
        <v/>
      </c>
      <c r="K957" s="21">
        <f>IF(AND(D957="USA",C957&gt;=1980,J957="No"),"Yes","No")</f>
        <v/>
      </c>
      <c r="L957" s="26">
        <f>IF(J957="Yes","",H957-I957)</f>
        <v/>
      </c>
      <c r="M957" s="27">
        <f>IF(OR(J957="Yes",I957=0),"",H957/I957)</f>
        <v/>
      </c>
      <c r="N957" s="21">
        <f>IF(J957="Yes","",IF(H957&gt;=I957,1,0))</f>
        <v/>
      </c>
      <c r="O957" s="21">
        <f>IF(I957&lt;=5000000,"Under $5M",IF(I957&lt;=20000000,"$5M-20M",IF(I957&lt;=50000000,"$20M-50M",IF(I957&lt;=100000000,"$50M-100M","$100M+"))))</f>
        <v/>
      </c>
      <c r="P957" s="21">
        <f>IF(E957&lt;=90,"90 or less",IF(E957&lt;=105,"91-105",IF(E957&lt;=120,"106-120",IF(E957&lt;=140,"121-140","Over 140"))))</f>
        <v/>
      </c>
      <c r="Q957" s="28">
        <f>INT(C957/10)*10</f>
        <v/>
      </c>
    </row>
    <row r="958">
      <c r="A958" s="21" t="n">
        <v>981</v>
      </c>
      <c r="B958" s="21" t="inlineStr">
        <is>
          <t>My Best Friend's Wedding</t>
        </is>
      </c>
      <c r="C958" s="21" t="n">
        <v>1997</v>
      </c>
      <c r="D958" s="21" t="inlineStr">
        <is>
          <t>USA</t>
        </is>
      </c>
      <c r="E958" s="21" t="n">
        <v>105</v>
      </c>
      <c r="F958" s="21" t="inlineStr">
        <is>
          <t>English</t>
        </is>
      </c>
      <c r="G958" s="21" t="inlineStr">
        <is>
          <t>PG-13</t>
        </is>
      </c>
      <c r="H958" s="22" t="n">
        <v>126805112</v>
      </c>
      <c r="I958" s="22" t="n">
        <v>46000000</v>
      </c>
      <c r="J958" s="21">
        <f>IF(OR(H958="",H958=25529689.5),"Yes","No")</f>
        <v/>
      </c>
      <c r="K958" s="21">
        <f>IF(AND(D958="USA",C958&gt;=1980,J958="No"),"Yes","No")</f>
        <v/>
      </c>
      <c r="L958" s="26">
        <f>IF(J958="Yes","",H958-I958)</f>
        <v/>
      </c>
      <c r="M958" s="27">
        <f>IF(OR(J958="Yes",I958=0),"",H958/I958)</f>
        <v/>
      </c>
      <c r="N958" s="21">
        <f>IF(J958="Yes","",IF(H958&gt;=I958,1,0))</f>
        <v/>
      </c>
      <c r="O958" s="21">
        <f>IF(I958&lt;=5000000,"Under $5M",IF(I958&lt;=20000000,"$5M-20M",IF(I958&lt;=50000000,"$20M-50M",IF(I958&lt;=100000000,"$50M-100M","$100M+"))))</f>
        <v/>
      </c>
      <c r="P958" s="21">
        <f>IF(E958&lt;=90,"90 or less",IF(E958&lt;=105,"91-105",IF(E958&lt;=120,"106-120",IF(E958&lt;=140,"121-140","Over 140"))))</f>
        <v/>
      </c>
      <c r="Q958" s="28">
        <f>INT(C958/10)*10</f>
        <v/>
      </c>
    </row>
    <row r="959">
      <c r="A959" s="21" t="n">
        <v>982</v>
      </c>
      <c r="B959" s="21" t="inlineStr">
        <is>
          <t>Nothing to Lose</t>
        </is>
      </c>
      <c r="C959" s="21" t="n">
        <v>1997</v>
      </c>
      <c r="D959" s="21" t="inlineStr">
        <is>
          <t>USA</t>
        </is>
      </c>
      <c r="E959" s="21" t="n">
        <v>98</v>
      </c>
      <c r="F959" s="21" t="inlineStr">
        <is>
          <t>English</t>
        </is>
      </c>
      <c r="G959" s="21" t="inlineStr">
        <is>
          <t>R</t>
        </is>
      </c>
      <c r="H959" s="22" t="n">
        <v>44455658</v>
      </c>
      <c r="I959" s="22" t="n">
        <v>25000000</v>
      </c>
      <c r="J959" s="21">
        <f>IF(OR(H959="",H959=25529689.5),"Yes","No")</f>
        <v/>
      </c>
      <c r="K959" s="21">
        <f>IF(AND(D959="USA",C959&gt;=1980,J959="No"),"Yes","No")</f>
        <v/>
      </c>
      <c r="L959" s="26">
        <f>IF(J959="Yes","",H959-I959)</f>
        <v/>
      </c>
      <c r="M959" s="27">
        <f>IF(OR(J959="Yes",I959=0),"",H959/I959)</f>
        <v/>
      </c>
      <c r="N959" s="21">
        <f>IF(J959="Yes","",IF(H959&gt;=I959,1,0))</f>
        <v/>
      </c>
      <c r="O959" s="21">
        <f>IF(I959&lt;=5000000,"Under $5M",IF(I959&lt;=20000000,"$5M-20M",IF(I959&lt;=50000000,"$20M-50M",IF(I959&lt;=100000000,"$50M-100M","$100M+"))))</f>
        <v/>
      </c>
      <c r="P959" s="21">
        <f>IF(E959&lt;=90,"90 or less",IF(E959&lt;=105,"91-105",IF(E959&lt;=120,"106-120",IF(E959&lt;=140,"121-140","Over 140"))))</f>
        <v/>
      </c>
      <c r="Q959" s="28">
        <f>INT(C959/10)*10</f>
        <v/>
      </c>
    </row>
    <row r="960">
      <c r="A960" s="21" t="n">
        <v>983</v>
      </c>
      <c r="B960" s="21" t="inlineStr">
        <is>
          <t>Orgazmo</t>
        </is>
      </c>
      <c r="C960" s="21" t="n">
        <v>1997</v>
      </c>
      <c r="D960" s="21" t="inlineStr">
        <is>
          <t>USA</t>
        </is>
      </c>
      <c r="E960" s="21" t="n">
        <v>92</v>
      </c>
      <c r="F960" s="21" t="inlineStr">
        <is>
          <t>English</t>
        </is>
      </c>
      <c r="G960" s="21" t="inlineStr">
        <is>
          <t>NC-17</t>
        </is>
      </c>
      <c r="H960" s="22" t="n">
        <v>582024</v>
      </c>
      <c r="I960" s="22" t="n">
        <v>1000000</v>
      </c>
      <c r="J960" s="21">
        <f>IF(OR(H960="",H960=25529689.5),"Yes","No")</f>
        <v/>
      </c>
      <c r="K960" s="21">
        <f>IF(AND(D960="USA",C960&gt;=1980,J960="No"),"Yes","No")</f>
        <v/>
      </c>
      <c r="L960" s="26">
        <f>IF(J960="Yes","",H960-I960)</f>
        <v/>
      </c>
      <c r="M960" s="27">
        <f>IF(OR(J960="Yes",I960=0),"",H960/I960)</f>
        <v/>
      </c>
      <c r="N960" s="21">
        <f>IF(J960="Yes","",IF(H960&gt;=I960,1,0))</f>
        <v/>
      </c>
      <c r="O960" s="21">
        <f>IF(I960&lt;=5000000,"Under $5M",IF(I960&lt;=20000000,"$5M-20M",IF(I960&lt;=50000000,"$20M-50M",IF(I960&lt;=100000000,"$50M-100M","$100M+"))))</f>
        <v/>
      </c>
      <c r="P960" s="21">
        <f>IF(E960&lt;=90,"90 or less",IF(E960&lt;=105,"91-105",IF(E960&lt;=120,"106-120",IF(E960&lt;=140,"121-140","Over 140"))))</f>
        <v/>
      </c>
      <c r="Q960" s="28">
        <f>INT(C960/10)*10</f>
        <v/>
      </c>
    </row>
    <row r="961">
      <c r="A961" s="21" t="n">
        <v>984</v>
      </c>
      <c r="B961" s="21" t="inlineStr">
        <is>
          <t>Oscar and Lucinda</t>
        </is>
      </c>
      <c r="C961" s="21" t="n">
        <v>1997</v>
      </c>
      <c r="D961" s="21" t="inlineStr">
        <is>
          <t>USA</t>
        </is>
      </c>
      <c r="E961" s="21" t="n">
        <v>132</v>
      </c>
      <c r="F961" s="21" t="inlineStr">
        <is>
          <t>English</t>
        </is>
      </c>
      <c r="G961" s="21" t="inlineStr">
        <is>
          <t>R</t>
        </is>
      </c>
      <c r="H961" s="22" t="n">
        <v>1508689</v>
      </c>
      <c r="I961" s="22" t="n">
        <v>16000000</v>
      </c>
      <c r="J961" s="21">
        <f>IF(OR(H961="",H961=25529689.5),"Yes","No")</f>
        <v/>
      </c>
      <c r="K961" s="21">
        <f>IF(AND(D961="USA",C961&gt;=1980,J961="No"),"Yes","No")</f>
        <v/>
      </c>
      <c r="L961" s="26">
        <f>IF(J961="Yes","",H961-I961)</f>
        <v/>
      </c>
      <c r="M961" s="27">
        <f>IF(OR(J961="Yes",I961=0),"",H961/I961)</f>
        <v/>
      </c>
      <c r="N961" s="21">
        <f>IF(J961="Yes","",IF(H961&gt;=I961,1,0))</f>
        <v/>
      </c>
      <c r="O961" s="21">
        <f>IF(I961&lt;=5000000,"Under $5M",IF(I961&lt;=20000000,"$5M-20M",IF(I961&lt;=50000000,"$20M-50M",IF(I961&lt;=100000000,"$50M-100M","$100M+"))))</f>
        <v/>
      </c>
      <c r="P961" s="21">
        <f>IF(E961&lt;=90,"90 or less",IF(E961&lt;=105,"91-105",IF(E961&lt;=120,"106-120",IF(E961&lt;=140,"121-140","Over 140"))))</f>
        <v/>
      </c>
      <c r="Q961" s="28">
        <f>INT(C961/10)*10</f>
        <v/>
      </c>
    </row>
    <row r="962">
      <c r="A962" s="21" t="n">
        <v>985</v>
      </c>
      <c r="B962" s="21" t="inlineStr">
        <is>
          <t>Prefontaine</t>
        </is>
      </c>
      <c r="C962" s="21" t="n">
        <v>1997</v>
      </c>
      <c r="D962" s="21" t="inlineStr">
        <is>
          <t>USA</t>
        </is>
      </c>
      <c r="E962" s="21" t="n">
        <v>106</v>
      </c>
      <c r="F962" s="21" t="inlineStr">
        <is>
          <t>English</t>
        </is>
      </c>
      <c r="G962" s="21" t="inlineStr">
        <is>
          <t>PG-13</t>
        </is>
      </c>
      <c r="H962" s="22" t="n">
        <v>532190</v>
      </c>
      <c r="I962" s="22" t="n">
        <v>8000000</v>
      </c>
      <c r="J962" s="21">
        <f>IF(OR(H962="",H962=25529689.5),"Yes","No")</f>
        <v/>
      </c>
      <c r="K962" s="21">
        <f>IF(AND(D962="USA",C962&gt;=1980,J962="No"),"Yes","No")</f>
        <v/>
      </c>
      <c r="L962" s="26">
        <f>IF(J962="Yes","",H962-I962)</f>
        <v/>
      </c>
      <c r="M962" s="27">
        <f>IF(OR(J962="Yes",I962=0),"",H962/I962)</f>
        <v/>
      </c>
      <c r="N962" s="21">
        <f>IF(J962="Yes","",IF(H962&gt;=I962,1,0))</f>
        <v/>
      </c>
      <c r="O962" s="21">
        <f>IF(I962&lt;=5000000,"Under $5M",IF(I962&lt;=20000000,"$5M-20M",IF(I962&lt;=50000000,"$20M-50M",IF(I962&lt;=100000000,"$50M-100M","$100M+"))))</f>
        <v/>
      </c>
      <c r="P962" s="21">
        <f>IF(E962&lt;=90,"90 or less",IF(E962&lt;=105,"91-105",IF(E962&lt;=120,"106-120",IF(E962&lt;=140,"121-140","Over 140"))))</f>
        <v/>
      </c>
      <c r="Q962" s="28">
        <f>INT(C962/10)*10</f>
        <v/>
      </c>
    </row>
    <row r="963">
      <c r="A963" s="21" t="n">
        <v>986</v>
      </c>
      <c r="B963" s="21" t="inlineStr">
        <is>
          <t>Princess Mononoke</t>
        </is>
      </c>
      <c r="C963" s="21" t="n">
        <v>1997</v>
      </c>
      <c r="D963" s="21" t="inlineStr">
        <is>
          <t>Japan</t>
        </is>
      </c>
      <c r="E963" s="21" t="n">
        <v>134</v>
      </c>
      <c r="F963" s="21" t="inlineStr">
        <is>
          <t>Japanese</t>
        </is>
      </c>
      <c r="G963" s="21" t="inlineStr">
        <is>
          <t>PG-13</t>
        </is>
      </c>
      <c r="H963" s="22" t="n">
        <v>2298191</v>
      </c>
      <c r="I963" s="22" t="n">
        <v>2400000000</v>
      </c>
      <c r="J963" s="21">
        <f>IF(OR(H963="",H963=25529689.5),"Yes","No")</f>
        <v/>
      </c>
      <c r="K963" s="21">
        <f>IF(AND(D963="USA",C963&gt;=1980,J963="No"),"Yes","No")</f>
        <v/>
      </c>
      <c r="L963" s="26">
        <f>IF(J963="Yes","",H963-I963)</f>
        <v/>
      </c>
      <c r="M963" s="27">
        <f>IF(OR(J963="Yes",I963=0),"",H963/I963)</f>
        <v/>
      </c>
      <c r="N963" s="21">
        <f>IF(J963="Yes","",IF(H963&gt;=I963,1,0))</f>
        <v/>
      </c>
      <c r="O963" s="21">
        <f>IF(I963&lt;=5000000,"Under $5M",IF(I963&lt;=20000000,"$5M-20M",IF(I963&lt;=50000000,"$20M-50M",IF(I963&lt;=100000000,"$50M-100M","$100M+"))))</f>
        <v/>
      </c>
      <c r="P963" s="21">
        <f>IF(E963&lt;=90,"90 or less",IF(E963&lt;=105,"91-105",IF(E963&lt;=120,"106-120",IF(E963&lt;=140,"121-140","Over 140"))))</f>
        <v/>
      </c>
      <c r="Q963" s="28">
        <f>INT(C963/10)*10</f>
        <v/>
      </c>
    </row>
    <row r="964">
      <c r="A964" s="21" t="n">
        <v>987</v>
      </c>
      <c r="B964" s="21" t="inlineStr">
        <is>
          <t>Scream 2</t>
        </is>
      </c>
      <c r="C964" s="21" t="n">
        <v>1997</v>
      </c>
      <c r="D964" s="21" t="inlineStr">
        <is>
          <t>USA</t>
        </is>
      </c>
      <c r="E964" s="21" t="n">
        <v>120</v>
      </c>
      <c r="F964" s="21" t="inlineStr">
        <is>
          <t>English</t>
        </is>
      </c>
      <c r="G964" s="21" t="inlineStr">
        <is>
          <t>R</t>
        </is>
      </c>
      <c r="H964" s="22" t="n">
        <v>101334374</v>
      </c>
      <c r="I964" s="22" t="n">
        <v>24000000</v>
      </c>
      <c r="J964" s="21">
        <f>IF(OR(H964="",H964=25529689.5),"Yes","No")</f>
        <v/>
      </c>
      <c r="K964" s="21">
        <f>IF(AND(D964="USA",C964&gt;=1980,J964="No"),"Yes","No")</f>
        <v/>
      </c>
      <c r="L964" s="26">
        <f>IF(J964="Yes","",H964-I964)</f>
        <v/>
      </c>
      <c r="M964" s="27">
        <f>IF(OR(J964="Yes",I964=0),"",H964/I964)</f>
        <v/>
      </c>
      <c r="N964" s="21">
        <f>IF(J964="Yes","",IF(H964&gt;=I964,1,0))</f>
        <v/>
      </c>
      <c r="O964" s="21">
        <f>IF(I964&lt;=5000000,"Under $5M",IF(I964&lt;=20000000,"$5M-20M",IF(I964&lt;=50000000,"$20M-50M",IF(I964&lt;=100000000,"$50M-100M","$100M+"))))</f>
        <v/>
      </c>
      <c r="P964" s="21">
        <f>IF(E964&lt;=90,"90 or less",IF(E964&lt;=105,"91-105",IF(E964&lt;=120,"106-120",IF(E964&lt;=140,"121-140","Over 140"))))</f>
        <v/>
      </c>
      <c r="Q964" s="28">
        <f>INT(C964/10)*10</f>
        <v/>
      </c>
    </row>
    <row r="965">
      <c r="A965" s="21" t="n">
        <v>988</v>
      </c>
      <c r="B965" s="21" t="inlineStr">
        <is>
          <t>Selena</t>
        </is>
      </c>
      <c r="C965" s="21" t="n">
        <v>1997</v>
      </c>
      <c r="D965" s="21" t="inlineStr">
        <is>
          <t>USA</t>
        </is>
      </c>
      <c r="E965" s="21" t="n">
        <v>127</v>
      </c>
      <c r="F965" s="21" t="inlineStr">
        <is>
          <t>English</t>
        </is>
      </c>
      <c r="G965" s="21" t="inlineStr">
        <is>
          <t>PG</t>
        </is>
      </c>
      <c r="H965" s="22" t="n">
        <v>35422828</v>
      </c>
      <c r="I965" s="22" t="n">
        <v>20000000</v>
      </c>
      <c r="J965" s="21">
        <f>IF(OR(H965="",H965=25529689.5),"Yes","No")</f>
        <v/>
      </c>
      <c r="K965" s="21">
        <f>IF(AND(D965="USA",C965&gt;=1980,J965="No"),"Yes","No")</f>
        <v/>
      </c>
      <c r="L965" s="26">
        <f>IF(J965="Yes","",H965-I965)</f>
        <v/>
      </c>
      <c r="M965" s="27">
        <f>IF(OR(J965="Yes",I965=0),"",H965/I965)</f>
        <v/>
      </c>
      <c r="N965" s="21">
        <f>IF(J965="Yes","",IF(H965&gt;=I965,1,0))</f>
        <v/>
      </c>
      <c r="O965" s="21">
        <f>IF(I965&lt;=5000000,"Under $5M",IF(I965&lt;=20000000,"$5M-20M",IF(I965&lt;=50000000,"$20M-50M",IF(I965&lt;=100000000,"$50M-100M","$100M+"))))</f>
        <v/>
      </c>
      <c r="P965" s="21">
        <f>IF(E965&lt;=90,"90 or less",IF(E965&lt;=105,"91-105",IF(E965&lt;=120,"106-120",IF(E965&lt;=140,"121-140","Over 140"))))</f>
        <v/>
      </c>
      <c r="Q965" s="28">
        <f>INT(C965/10)*10</f>
        <v/>
      </c>
    </row>
    <row r="966">
      <c r="A966" s="21" t="n">
        <v>989</v>
      </c>
      <c r="B966" s="21" t="inlineStr">
        <is>
          <t>Seven Years in Tibet</t>
        </is>
      </c>
      <c r="C966" s="21" t="n">
        <v>1997</v>
      </c>
      <c r="D966" s="21" t="inlineStr">
        <is>
          <t>USA</t>
        </is>
      </c>
      <c r="E966" s="21" t="n">
        <v>136</v>
      </c>
      <c r="F966" s="21" t="inlineStr">
        <is>
          <t>English</t>
        </is>
      </c>
      <c r="G966" s="21" t="inlineStr">
        <is>
          <t>PG-13</t>
        </is>
      </c>
      <c r="H966" s="22" t="n">
        <v>37901509</v>
      </c>
      <c r="I966" s="22" t="n">
        <v>70000000</v>
      </c>
      <c r="J966" s="21">
        <f>IF(OR(H966="",H966=25529689.5),"Yes","No")</f>
        <v/>
      </c>
      <c r="K966" s="21">
        <f>IF(AND(D966="USA",C966&gt;=1980,J966="No"),"Yes","No")</f>
        <v/>
      </c>
      <c r="L966" s="26">
        <f>IF(J966="Yes","",H966-I966)</f>
        <v/>
      </c>
      <c r="M966" s="27">
        <f>IF(OR(J966="Yes",I966=0),"",H966/I966)</f>
        <v/>
      </c>
      <c r="N966" s="21">
        <f>IF(J966="Yes","",IF(H966&gt;=I966,1,0))</f>
        <v/>
      </c>
      <c r="O966" s="21">
        <f>IF(I966&lt;=5000000,"Under $5M",IF(I966&lt;=20000000,"$5M-20M",IF(I966&lt;=50000000,"$20M-50M",IF(I966&lt;=100000000,"$50M-100M","$100M+"))))</f>
        <v/>
      </c>
      <c r="P966" s="21">
        <f>IF(E966&lt;=90,"90 or less",IF(E966&lt;=105,"91-105",IF(E966&lt;=120,"106-120",IF(E966&lt;=140,"121-140","Over 140"))))</f>
        <v/>
      </c>
      <c r="Q966" s="28">
        <f>INT(C966/10)*10</f>
        <v/>
      </c>
    </row>
    <row r="967">
      <c r="A967" s="21" t="n">
        <v>990</v>
      </c>
      <c r="B967" s="21" t="inlineStr">
        <is>
          <t>Shadow Conspiracy</t>
        </is>
      </c>
      <c r="C967" s="21" t="n">
        <v>1997</v>
      </c>
      <c r="D967" s="21" t="inlineStr">
        <is>
          <t>USA</t>
        </is>
      </c>
      <c r="E967" s="21" t="n">
        <v>103</v>
      </c>
      <c r="F967" s="21" t="inlineStr">
        <is>
          <t>English</t>
        </is>
      </c>
      <c r="G967" s="21" t="inlineStr">
        <is>
          <t>R</t>
        </is>
      </c>
      <c r="H967" s="22" t="n">
        <v>2154540</v>
      </c>
      <c r="I967" s="22" t="n">
        <v>45000000</v>
      </c>
      <c r="J967" s="21">
        <f>IF(OR(H967="",H967=25529689.5),"Yes","No")</f>
        <v/>
      </c>
      <c r="K967" s="21">
        <f>IF(AND(D967="USA",C967&gt;=1980,J967="No"),"Yes","No")</f>
        <v/>
      </c>
      <c r="L967" s="26">
        <f>IF(J967="Yes","",H967-I967)</f>
        <v/>
      </c>
      <c r="M967" s="27">
        <f>IF(OR(J967="Yes",I967=0),"",H967/I967)</f>
        <v/>
      </c>
      <c r="N967" s="21">
        <f>IF(J967="Yes","",IF(H967&gt;=I967,1,0))</f>
        <v/>
      </c>
      <c r="O967" s="21">
        <f>IF(I967&lt;=5000000,"Under $5M",IF(I967&lt;=20000000,"$5M-20M",IF(I967&lt;=50000000,"$20M-50M",IF(I967&lt;=100000000,"$50M-100M","$100M+"))))</f>
        <v/>
      </c>
      <c r="P967" s="21">
        <f>IF(E967&lt;=90,"90 or less",IF(E967&lt;=105,"91-105",IF(E967&lt;=120,"106-120",IF(E967&lt;=140,"121-140","Over 140"))))</f>
        <v/>
      </c>
      <c r="Q967" s="28">
        <f>INT(C967/10)*10</f>
        <v/>
      </c>
    </row>
    <row r="968">
      <c r="A968" s="21" t="n">
        <v>991</v>
      </c>
      <c r="B968" s="21" t="inlineStr">
        <is>
          <t>Shooting Fish</t>
        </is>
      </c>
      <c r="C968" s="21" t="n">
        <v>1997</v>
      </c>
      <c r="D968" s="21" t="inlineStr">
        <is>
          <t>UK</t>
        </is>
      </c>
      <c r="E968" s="21" t="n">
        <v>99</v>
      </c>
      <c r="F968" s="21" t="inlineStr">
        <is>
          <t>English</t>
        </is>
      </c>
      <c r="G968" s="21" t="inlineStr">
        <is>
          <t>PG</t>
        </is>
      </c>
      <c r="H968" s="22" t="n">
        <v>302204</v>
      </c>
      <c r="I968" s="22" t="n">
        <v>3000000</v>
      </c>
      <c r="J968" s="21">
        <f>IF(OR(H968="",H968=25529689.5),"Yes","No")</f>
        <v/>
      </c>
      <c r="K968" s="21">
        <f>IF(AND(D968="USA",C968&gt;=1980,J968="No"),"Yes","No")</f>
        <v/>
      </c>
      <c r="L968" s="26">
        <f>IF(J968="Yes","",H968-I968)</f>
        <v/>
      </c>
      <c r="M968" s="27">
        <f>IF(OR(J968="Yes",I968=0),"",H968/I968)</f>
        <v/>
      </c>
      <c r="N968" s="21">
        <f>IF(J968="Yes","",IF(H968&gt;=I968,1,0))</f>
        <v/>
      </c>
      <c r="O968" s="21">
        <f>IF(I968&lt;=5000000,"Under $5M",IF(I968&lt;=20000000,"$5M-20M",IF(I968&lt;=50000000,"$20M-50M",IF(I968&lt;=100000000,"$50M-100M","$100M+"))))</f>
        <v/>
      </c>
      <c r="P968" s="21">
        <f>IF(E968&lt;=90,"90 or less",IF(E968&lt;=105,"91-105",IF(E968&lt;=120,"106-120",IF(E968&lt;=140,"121-140","Over 140"))))</f>
        <v/>
      </c>
      <c r="Q968" s="28">
        <f>INT(C968/10)*10</f>
        <v/>
      </c>
    </row>
    <row r="969">
      <c r="A969" s="21" t="n">
        <v>992</v>
      </c>
      <c r="B969" s="21" t="inlineStr">
        <is>
          <t>Smilla's Sense of Snow</t>
        </is>
      </c>
      <c r="C969" s="21" t="n">
        <v>1997</v>
      </c>
      <c r="D969" s="21" t="inlineStr">
        <is>
          <t>Denmark</t>
        </is>
      </c>
      <c r="E969" s="21" t="n">
        <v>121</v>
      </c>
      <c r="F969" s="21" t="inlineStr">
        <is>
          <t>English</t>
        </is>
      </c>
      <c r="G969" s="21" t="inlineStr">
        <is>
          <t>R</t>
        </is>
      </c>
      <c r="H969" s="22" t="n">
        <v>2221994</v>
      </c>
      <c r="I969" s="22" t="n">
        <v>35000000</v>
      </c>
      <c r="J969" s="21">
        <f>IF(OR(H969="",H969=25529689.5),"Yes","No")</f>
        <v/>
      </c>
      <c r="K969" s="21">
        <f>IF(AND(D969="USA",C969&gt;=1980,J969="No"),"Yes","No")</f>
        <v/>
      </c>
      <c r="L969" s="26">
        <f>IF(J969="Yes","",H969-I969)</f>
        <v/>
      </c>
      <c r="M969" s="27">
        <f>IF(OR(J969="Yes",I969=0),"",H969/I969)</f>
        <v/>
      </c>
      <c r="N969" s="21">
        <f>IF(J969="Yes","",IF(H969&gt;=I969,1,0))</f>
        <v/>
      </c>
      <c r="O969" s="21">
        <f>IF(I969&lt;=5000000,"Under $5M",IF(I969&lt;=20000000,"$5M-20M",IF(I969&lt;=50000000,"$20M-50M",IF(I969&lt;=100000000,"$50M-100M","$100M+"))))</f>
        <v/>
      </c>
      <c r="P969" s="21">
        <f>IF(E969&lt;=90,"90 or less",IF(E969&lt;=105,"91-105",IF(E969&lt;=120,"106-120",IF(E969&lt;=140,"121-140","Over 140"))))</f>
        <v/>
      </c>
      <c r="Q969" s="28">
        <f>INT(C969/10)*10</f>
        <v/>
      </c>
    </row>
    <row r="970">
      <c r="A970" s="21" t="n">
        <v>993</v>
      </c>
      <c r="B970" s="21" t="inlineStr">
        <is>
          <t>Snow White: A Tale of Terror</t>
        </is>
      </c>
      <c r="C970" s="21" t="n">
        <v>1997</v>
      </c>
      <c r="D970" s="21" t="inlineStr">
        <is>
          <t>USA</t>
        </is>
      </c>
      <c r="E970" s="21" t="n">
        <v>100</v>
      </c>
      <c r="F970" s="21" t="inlineStr">
        <is>
          <t>English</t>
        </is>
      </c>
      <c r="G970" s="21" t="inlineStr">
        <is>
          <t>R</t>
        </is>
      </c>
      <c r="H970" s="22" t="n">
        <v>25529689.5</v>
      </c>
      <c r="I970" s="22" t="n">
        <v>26000000</v>
      </c>
      <c r="J970" s="21">
        <f>IF(OR(H970="",H970=25529689.5),"Yes","No")</f>
        <v/>
      </c>
      <c r="K970" s="21">
        <f>IF(AND(D970="USA",C970&gt;=1980,J970="No"),"Yes","No")</f>
        <v/>
      </c>
      <c r="L970" s="26">
        <f>IF(J970="Yes","",H970-I970)</f>
        <v/>
      </c>
      <c r="M970" s="27">
        <f>IF(OR(J970="Yes",I970=0),"",H970/I970)</f>
        <v/>
      </c>
      <c r="N970" s="21">
        <f>IF(J970="Yes","",IF(H970&gt;=I970,1,0))</f>
        <v/>
      </c>
      <c r="O970" s="21">
        <f>IF(I970&lt;=5000000,"Under $5M",IF(I970&lt;=20000000,"$5M-20M",IF(I970&lt;=50000000,"$20M-50M",IF(I970&lt;=100000000,"$50M-100M","$100M+"))))</f>
        <v/>
      </c>
      <c r="P970" s="21">
        <f>IF(E970&lt;=90,"90 or less",IF(E970&lt;=105,"91-105",IF(E970&lt;=120,"106-120",IF(E970&lt;=140,"121-140","Over 140"))))</f>
        <v/>
      </c>
      <c r="Q970" s="28">
        <f>INT(C970/10)*10</f>
        <v/>
      </c>
    </row>
    <row r="971">
      <c r="A971" s="21" t="n">
        <v>994</v>
      </c>
      <c r="B971" s="21" t="inlineStr">
        <is>
          <t>Soul Food</t>
        </is>
      </c>
      <c r="C971" s="21" t="n">
        <v>1997</v>
      </c>
      <c r="D971" s="21" t="inlineStr">
        <is>
          <t>USA</t>
        </is>
      </c>
      <c r="E971" s="21" t="n">
        <v>115</v>
      </c>
      <c r="F971" s="21" t="inlineStr">
        <is>
          <t>English</t>
        </is>
      </c>
      <c r="G971" s="21" t="inlineStr">
        <is>
          <t>R</t>
        </is>
      </c>
      <c r="H971" s="22" t="n">
        <v>43490057</v>
      </c>
      <c r="I971" s="22" t="n">
        <v>7500000</v>
      </c>
      <c r="J971" s="21">
        <f>IF(OR(H971="",H971=25529689.5),"Yes","No")</f>
        <v/>
      </c>
      <c r="K971" s="21">
        <f>IF(AND(D971="USA",C971&gt;=1980,J971="No"),"Yes","No")</f>
        <v/>
      </c>
      <c r="L971" s="26">
        <f>IF(J971="Yes","",H971-I971)</f>
        <v/>
      </c>
      <c r="M971" s="27">
        <f>IF(OR(J971="Yes",I971=0),"",H971/I971)</f>
        <v/>
      </c>
      <c r="N971" s="21">
        <f>IF(J971="Yes","",IF(H971&gt;=I971,1,0))</f>
        <v/>
      </c>
      <c r="O971" s="21">
        <f>IF(I971&lt;=5000000,"Under $5M",IF(I971&lt;=20000000,"$5M-20M",IF(I971&lt;=50000000,"$20M-50M",IF(I971&lt;=100000000,"$50M-100M","$100M+"))))</f>
        <v/>
      </c>
      <c r="P971" s="21">
        <f>IF(E971&lt;=90,"90 or less",IF(E971&lt;=105,"91-105",IF(E971&lt;=120,"106-120",IF(E971&lt;=140,"121-140","Over 140"))))</f>
        <v/>
      </c>
      <c r="Q971" s="28">
        <f>INT(C971/10)*10</f>
        <v/>
      </c>
    </row>
    <row r="972">
      <c r="A972" s="21" t="n">
        <v>995</v>
      </c>
      <c r="B972" s="21" t="inlineStr">
        <is>
          <t>Sparkler</t>
        </is>
      </c>
      <c r="C972" s="21" t="n">
        <v>1997</v>
      </c>
      <c r="D972" s="21" t="inlineStr">
        <is>
          <t>USA</t>
        </is>
      </c>
      <c r="E972" s="21" t="n">
        <v>90</v>
      </c>
      <c r="F972" s="21" t="inlineStr">
        <is>
          <t>English</t>
        </is>
      </c>
      <c r="G972" s="21" t="inlineStr">
        <is>
          <t>R</t>
        </is>
      </c>
      <c r="H972" s="22" t="n">
        <v>5494</v>
      </c>
      <c r="I972" s="22" t="n">
        <v>20000000</v>
      </c>
      <c r="J972" s="21">
        <f>IF(OR(H972="",H972=25529689.5),"Yes","No")</f>
        <v/>
      </c>
      <c r="K972" s="21">
        <f>IF(AND(D972="USA",C972&gt;=1980,J972="No"),"Yes","No")</f>
        <v/>
      </c>
      <c r="L972" s="26">
        <f>IF(J972="Yes","",H972-I972)</f>
        <v/>
      </c>
      <c r="M972" s="27">
        <f>IF(OR(J972="Yes",I972=0),"",H972/I972)</f>
        <v/>
      </c>
      <c r="N972" s="21">
        <f>IF(J972="Yes","",IF(H972&gt;=I972,1,0))</f>
        <v/>
      </c>
      <c r="O972" s="21">
        <f>IF(I972&lt;=5000000,"Under $5M",IF(I972&lt;=20000000,"$5M-20M",IF(I972&lt;=50000000,"$20M-50M",IF(I972&lt;=100000000,"$50M-100M","$100M+"))))</f>
        <v/>
      </c>
      <c r="P972" s="21">
        <f>IF(E972&lt;=90,"90 or less",IF(E972&lt;=105,"91-105",IF(E972&lt;=120,"106-120",IF(E972&lt;=140,"121-140","Over 140"))))</f>
        <v/>
      </c>
      <c r="Q972" s="28">
        <f>INT(C972/10)*10</f>
        <v/>
      </c>
    </row>
    <row r="973">
      <c r="A973" s="21" t="n">
        <v>996</v>
      </c>
      <c r="B973" s="21" t="inlineStr">
        <is>
          <t>Spawn</t>
        </is>
      </c>
      <c r="C973" s="21" t="n">
        <v>1997</v>
      </c>
      <c r="D973" s="21" t="inlineStr">
        <is>
          <t>USA</t>
        </is>
      </c>
      <c r="E973" s="21" t="n">
        <v>98</v>
      </c>
      <c r="F973" s="21" t="inlineStr">
        <is>
          <t>English</t>
        </is>
      </c>
      <c r="G973" s="21" t="inlineStr">
        <is>
          <t>R</t>
        </is>
      </c>
      <c r="H973" s="22" t="n">
        <v>54967359</v>
      </c>
      <c r="I973" s="22" t="n">
        <v>40000000</v>
      </c>
      <c r="J973" s="21">
        <f>IF(OR(H973="",H973=25529689.5),"Yes","No")</f>
        <v/>
      </c>
      <c r="K973" s="21">
        <f>IF(AND(D973="USA",C973&gt;=1980,J973="No"),"Yes","No")</f>
        <v/>
      </c>
      <c r="L973" s="26">
        <f>IF(J973="Yes","",H973-I973)</f>
        <v/>
      </c>
      <c r="M973" s="27">
        <f>IF(OR(J973="Yes",I973=0),"",H973/I973)</f>
        <v/>
      </c>
      <c r="N973" s="21">
        <f>IF(J973="Yes","",IF(H973&gt;=I973,1,0))</f>
        <v/>
      </c>
      <c r="O973" s="21">
        <f>IF(I973&lt;=5000000,"Under $5M",IF(I973&lt;=20000000,"$5M-20M",IF(I973&lt;=50000000,"$20M-50M",IF(I973&lt;=100000000,"$50M-100M","$100M+"))))</f>
        <v/>
      </c>
      <c r="P973" s="21">
        <f>IF(E973&lt;=90,"90 or less",IF(E973&lt;=105,"91-105",IF(E973&lt;=120,"106-120",IF(E973&lt;=140,"121-140","Over 140"))))</f>
        <v/>
      </c>
      <c r="Q973" s="28">
        <f>INT(C973/10)*10</f>
        <v/>
      </c>
    </row>
    <row r="974">
      <c r="A974" s="21" t="n">
        <v>997</v>
      </c>
      <c r="B974" s="21" t="inlineStr">
        <is>
          <t>Speed 2: Cruise Control</t>
        </is>
      </c>
      <c r="C974" s="21" t="n">
        <v>1997</v>
      </c>
      <c r="D974" s="21" t="inlineStr">
        <is>
          <t>USA</t>
        </is>
      </c>
      <c r="E974" s="21" t="n">
        <v>121</v>
      </c>
      <c r="F974" s="21" t="inlineStr">
        <is>
          <t>English</t>
        </is>
      </c>
      <c r="G974" s="21" t="inlineStr">
        <is>
          <t>PG-13</t>
        </is>
      </c>
      <c r="H974" s="22" t="n">
        <v>48068396</v>
      </c>
      <c r="I974" s="22" t="n">
        <v>160000000</v>
      </c>
      <c r="J974" s="21">
        <f>IF(OR(H974="",H974=25529689.5),"Yes","No")</f>
        <v/>
      </c>
      <c r="K974" s="21">
        <f>IF(AND(D974="USA",C974&gt;=1980,J974="No"),"Yes","No")</f>
        <v/>
      </c>
      <c r="L974" s="26">
        <f>IF(J974="Yes","",H974-I974)</f>
        <v/>
      </c>
      <c r="M974" s="27">
        <f>IF(OR(J974="Yes",I974=0),"",H974/I974)</f>
        <v/>
      </c>
      <c r="N974" s="21">
        <f>IF(J974="Yes","",IF(H974&gt;=I974,1,0))</f>
        <v/>
      </c>
      <c r="O974" s="21">
        <f>IF(I974&lt;=5000000,"Under $5M",IF(I974&lt;=20000000,"$5M-20M",IF(I974&lt;=50000000,"$20M-50M",IF(I974&lt;=100000000,"$50M-100M","$100M+"))))</f>
        <v/>
      </c>
      <c r="P974" s="21">
        <f>IF(E974&lt;=90,"90 or less",IF(E974&lt;=105,"91-105",IF(E974&lt;=120,"106-120",IF(E974&lt;=140,"121-140","Over 140"))))</f>
        <v/>
      </c>
      <c r="Q974" s="28">
        <f>INT(C974/10)*10</f>
        <v/>
      </c>
    </row>
    <row r="975">
      <c r="A975" s="21" t="n">
        <v>998</v>
      </c>
      <c r="B975" s="21" t="inlineStr">
        <is>
          <t>Spice World</t>
        </is>
      </c>
      <c r="C975" s="21" t="n">
        <v>1997</v>
      </c>
      <c r="D975" s="21" t="inlineStr">
        <is>
          <t>UK</t>
        </is>
      </c>
      <c r="E975" s="21" t="n">
        <v>93</v>
      </c>
      <c r="F975" s="21" t="inlineStr">
        <is>
          <t>English</t>
        </is>
      </c>
      <c r="G975" s="21" t="inlineStr">
        <is>
          <t>PG</t>
        </is>
      </c>
      <c r="H975" s="22" t="n">
        <v>29247405</v>
      </c>
      <c r="I975" s="22" t="n">
        <v>25000000</v>
      </c>
      <c r="J975" s="21">
        <f>IF(OR(H975="",H975=25529689.5),"Yes","No")</f>
        <v/>
      </c>
      <c r="K975" s="21">
        <f>IF(AND(D975="USA",C975&gt;=1980,J975="No"),"Yes","No")</f>
        <v/>
      </c>
      <c r="L975" s="26">
        <f>IF(J975="Yes","",H975-I975)</f>
        <v/>
      </c>
      <c r="M975" s="27">
        <f>IF(OR(J975="Yes",I975=0),"",H975/I975)</f>
        <v/>
      </c>
      <c r="N975" s="21">
        <f>IF(J975="Yes","",IF(H975&gt;=I975,1,0))</f>
        <v/>
      </c>
      <c r="O975" s="21">
        <f>IF(I975&lt;=5000000,"Under $5M",IF(I975&lt;=20000000,"$5M-20M",IF(I975&lt;=50000000,"$20M-50M",IF(I975&lt;=100000000,"$50M-100M","$100M+"))))</f>
        <v/>
      </c>
      <c r="P975" s="21">
        <f>IF(E975&lt;=90,"90 or less",IF(E975&lt;=105,"91-105",IF(E975&lt;=120,"106-120",IF(E975&lt;=140,"121-140","Over 140"))))</f>
        <v/>
      </c>
      <c r="Q975" s="28">
        <f>INT(C975/10)*10</f>
        <v/>
      </c>
    </row>
    <row r="976">
      <c r="A976" s="21" t="n">
        <v>999</v>
      </c>
      <c r="B976" s="21" t="inlineStr">
        <is>
          <t>Starship Troopers</t>
        </is>
      </c>
      <c r="C976" s="21" t="n">
        <v>1997</v>
      </c>
      <c r="D976" s="21" t="inlineStr">
        <is>
          <t>USA</t>
        </is>
      </c>
      <c r="E976" s="21" t="n">
        <v>129</v>
      </c>
      <c r="F976" s="21" t="inlineStr">
        <is>
          <t>English</t>
        </is>
      </c>
      <c r="G976" s="21" t="inlineStr">
        <is>
          <t>R</t>
        </is>
      </c>
      <c r="H976" s="22" t="n">
        <v>54700065</v>
      </c>
      <c r="I976" s="22" t="n">
        <v>105000000</v>
      </c>
      <c r="J976" s="21">
        <f>IF(OR(H976="",H976=25529689.5),"Yes","No")</f>
        <v/>
      </c>
      <c r="K976" s="21">
        <f>IF(AND(D976="USA",C976&gt;=1980,J976="No"),"Yes","No")</f>
        <v/>
      </c>
      <c r="L976" s="26">
        <f>IF(J976="Yes","",H976-I976)</f>
        <v/>
      </c>
      <c r="M976" s="27">
        <f>IF(OR(J976="Yes",I976=0),"",H976/I976)</f>
        <v/>
      </c>
      <c r="N976" s="21">
        <f>IF(J976="Yes","",IF(H976&gt;=I976,1,0))</f>
        <v/>
      </c>
      <c r="O976" s="21">
        <f>IF(I976&lt;=5000000,"Under $5M",IF(I976&lt;=20000000,"$5M-20M",IF(I976&lt;=50000000,"$20M-50M",IF(I976&lt;=100000000,"$50M-100M","$100M+"))))</f>
        <v/>
      </c>
      <c r="P976" s="21">
        <f>IF(E976&lt;=90,"90 or less",IF(E976&lt;=105,"91-105",IF(E976&lt;=120,"106-120",IF(E976&lt;=140,"121-140","Over 140"))))</f>
        <v/>
      </c>
      <c r="Q976" s="28">
        <f>INT(C976/10)*10</f>
        <v/>
      </c>
    </row>
    <row r="977">
      <c r="A977" s="21" t="n">
        <v>1000</v>
      </c>
      <c r="B977" s="21" t="inlineStr">
        <is>
          <t>Steel</t>
        </is>
      </c>
      <c r="C977" s="21" t="n">
        <v>1997</v>
      </c>
      <c r="D977" s="21" t="inlineStr">
        <is>
          <t>USA</t>
        </is>
      </c>
      <c r="E977" s="21" t="n">
        <v>97</v>
      </c>
      <c r="F977" s="21" t="inlineStr">
        <is>
          <t>English</t>
        </is>
      </c>
      <c r="G977" s="21" t="inlineStr">
        <is>
          <t>PG-13</t>
        </is>
      </c>
      <c r="H977" s="22" t="n">
        <v>1686429</v>
      </c>
      <c r="I977" s="22" t="n">
        <v>16000000</v>
      </c>
      <c r="J977" s="21">
        <f>IF(OR(H977="",H977=25529689.5),"Yes","No")</f>
        <v/>
      </c>
      <c r="K977" s="21">
        <f>IF(AND(D977="USA",C977&gt;=1980,J977="No"),"Yes","No")</f>
        <v/>
      </c>
      <c r="L977" s="26">
        <f>IF(J977="Yes","",H977-I977)</f>
        <v/>
      </c>
      <c r="M977" s="27">
        <f>IF(OR(J977="Yes",I977=0),"",H977/I977)</f>
        <v/>
      </c>
      <c r="N977" s="21">
        <f>IF(J977="Yes","",IF(H977&gt;=I977,1,0))</f>
        <v/>
      </c>
      <c r="O977" s="21">
        <f>IF(I977&lt;=5000000,"Under $5M",IF(I977&lt;=20000000,"$5M-20M",IF(I977&lt;=50000000,"$20M-50M",IF(I977&lt;=100000000,"$50M-100M","$100M+"))))</f>
        <v/>
      </c>
      <c r="P977" s="21">
        <f>IF(E977&lt;=90,"90 or less",IF(E977&lt;=105,"91-105",IF(E977&lt;=120,"106-120",IF(E977&lt;=140,"121-140","Over 140"))))</f>
        <v/>
      </c>
      <c r="Q977" s="28">
        <f>INT(C977/10)*10</f>
        <v/>
      </c>
    </row>
    <row r="978">
      <c r="A978" s="21" t="n">
        <v>1001</v>
      </c>
      <c r="B978" s="21" t="inlineStr">
        <is>
          <t>Switchback</t>
        </is>
      </c>
      <c r="C978" s="21" t="n">
        <v>1997</v>
      </c>
      <c r="D978" s="21" t="inlineStr">
        <is>
          <t>USA</t>
        </is>
      </c>
      <c r="E978" s="21" t="n">
        <v>118</v>
      </c>
      <c r="F978" s="21" t="inlineStr">
        <is>
          <t>English</t>
        </is>
      </c>
      <c r="G978" s="21" t="inlineStr">
        <is>
          <t>R</t>
        </is>
      </c>
      <c r="H978" s="22" t="n">
        <v>6482195</v>
      </c>
      <c r="I978" s="22" t="n">
        <v>37000000</v>
      </c>
      <c r="J978" s="21">
        <f>IF(OR(H978="",H978=25529689.5),"Yes","No")</f>
        <v/>
      </c>
      <c r="K978" s="21">
        <f>IF(AND(D978="USA",C978&gt;=1980,J978="No"),"Yes","No")</f>
        <v/>
      </c>
      <c r="L978" s="26">
        <f>IF(J978="Yes","",H978-I978)</f>
        <v/>
      </c>
      <c r="M978" s="27">
        <f>IF(OR(J978="Yes",I978=0),"",H978/I978)</f>
        <v/>
      </c>
      <c r="N978" s="21">
        <f>IF(J978="Yes","",IF(H978&gt;=I978,1,0))</f>
        <v/>
      </c>
      <c r="O978" s="21">
        <f>IF(I978&lt;=5000000,"Under $5M",IF(I978&lt;=20000000,"$5M-20M",IF(I978&lt;=50000000,"$20M-50M",IF(I978&lt;=100000000,"$50M-100M","$100M+"))))</f>
        <v/>
      </c>
      <c r="P978" s="21">
        <f>IF(E978&lt;=90,"90 or less",IF(E978&lt;=105,"91-105",IF(E978&lt;=120,"106-120",IF(E978&lt;=140,"121-140","Over 140"))))</f>
        <v/>
      </c>
      <c r="Q978" s="28">
        <f>INT(C978/10)*10</f>
        <v/>
      </c>
    </row>
    <row r="979">
      <c r="A979" s="21" t="n">
        <v>1002</v>
      </c>
      <c r="B979" s="21" t="inlineStr">
        <is>
          <t>The Apostle</t>
        </is>
      </c>
      <c r="C979" s="21" t="n">
        <v>1997</v>
      </c>
      <c r="D979" s="21" t="inlineStr">
        <is>
          <t>USA</t>
        </is>
      </c>
      <c r="E979" s="21" t="n">
        <v>134</v>
      </c>
      <c r="F979" s="21" t="inlineStr">
        <is>
          <t>English</t>
        </is>
      </c>
      <c r="G979" s="21" t="inlineStr">
        <is>
          <t>PG-13</t>
        </is>
      </c>
      <c r="H979" s="22" t="n">
        <v>20733485</v>
      </c>
      <c r="I979" s="22" t="n">
        <v>5000000</v>
      </c>
      <c r="J979" s="21">
        <f>IF(OR(H979="",H979=25529689.5),"Yes","No")</f>
        <v/>
      </c>
      <c r="K979" s="21">
        <f>IF(AND(D979="USA",C979&gt;=1980,J979="No"),"Yes","No")</f>
        <v/>
      </c>
      <c r="L979" s="26">
        <f>IF(J979="Yes","",H979-I979)</f>
        <v/>
      </c>
      <c r="M979" s="27">
        <f>IF(OR(J979="Yes",I979=0),"",H979/I979)</f>
        <v/>
      </c>
      <c r="N979" s="21">
        <f>IF(J979="Yes","",IF(H979&gt;=I979,1,0))</f>
        <v/>
      </c>
      <c r="O979" s="21">
        <f>IF(I979&lt;=5000000,"Under $5M",IF(I979&lt;=20000000,"$5M-20M",IF(I979&lt;=50000000,"$20M-50M",IF(I979&lt;=100000000,"$50M-100M","$100M+"))))</f>
        <v/>
      </c>
      <c r="P979" s="21">
        <f>IF(E979&lt;=90,"90 or less",IF(E979&lt;=105,"91-105",IF(E979&lt;=120,"106-120",IF(E979&lt;=140,"121-140","Over 140"))))</f>
        <v/>
      </c>
      <c r="Q979" s="28">
        <f>INT(C979/10)*10</f>
        <v/>
      </c>
    </row>
    <row r="980">
      <c r="A980" s="21" t="n">
        <v>1003</v>
      </c>
      <c r="B980" s="21" t="inlineStr">
        <is>
          <t>The Borrowers</t>
        </is>
      </c>
      <c r="C980" s="21" t="n">
        <v>1997</v>
      </c>
      <c r="D980" s="21" t="inlineStr">
        <is>
          <t>UK</t>
        </is>
      </c>
      <c r="E980" s="21" t="n">
        <v>89</v>
      </c>
      <c r="F980" s="21" t="inlineStr">
        <is>
          <t>English</t>
        </is>
      </c>
      <c r="G980" s="21" t="inlineStr">
        <is>
          <t>PG</t>
        </is>
      </c>
      <c r="H980" s="22" t="n">
        <v>22359293</v>
      </c>
      <c r="I980" s="22" t="n">
        <v>29000000</v>
      </c>
      <c r="J980" s="21">
        <f>IF(OR(H980="",H980=25529689.5),"Yes","No")</f>
        <v/>
      </c>
      <c r="K980" s="21">
        <f>IF(AND(D980="USA",C980&gt;=1980,J980="No"),"Yes","No")</f>
        <v/>
      </c>
      <c r="L980" s="26">
        <f>IF(J980="Yes","",H980-I980)</f>
        <v/>
      </c>
      <c r="M980" s="27">
        <f>IF(OR(J980="Yes",I980=0),"",H980/I980)</f>
        <v/>
      </c>
      <c r="N980" s="21">
        <f>IF(J980="Yes","",IF(H980&gt;=I980,1,0))</f>
        <v/>
      </c>
      <c r="O980" s="21">
        <f>IF(I980&lt;=5000000,"Under $5M",IF(I980&lt;=20000000,"$5M-20M",IF(I980&lt;=50000000,"$20M-50M",IF(I980&lt;=100000000,"$50M-100M","$100M+"))))</f>
        <v/>
      </c>
      <c r="P980" s="21">
        <f>IF(E980&lt;=90,"90 or less",IF(E980&lt;=105,"91-105",IF(E980&lt;=120,"106-120",IF(E980&lt;=140,"121-140","Over 140"))))</f>
        <v/>
      </c>
      <c r="Q980" s="28">
        <f>INT(C980/10)*10</f>
        <v/>
      </c>
    </row>
    <row r="981">
      <c r="A981" s="21" t="n">
        <v>1004</v>
      </c>
      <c r="B981" s="21" t="inlineStr">
        <is>
          <t>The Chambermaid on the Titanic</t>
        </is>
      </c>
      <c r="C981" s="21" t="n">
        <v>1997</v>
      </c>
      <c r="D981" s="21" t="inlineStr">
        <is>
          <t>France</t>
        </is>
      </c>
      <c r="E981" s="21" t="n">
        <v>101</v>
      </c>
      <c r="F981" s="21" t="inlineStr">
        <is>
          <t>French</t>
        </is>
      </c>
      <c r="G981" s="21" t="n"/>
      <c r="H981" s="22" t="n">
        <v>244465</v>
      </c>
      <c r="I981" s="22" t="n">
        <v>20000000</v>
      </c>
      <c r="J981" s="21">
        <f>IF(OR(H981="",H981=25529689.5),"Yes","No")</f>
        <v/>
      </c>
      <c r="K981" s="21">
        <f>IF(AND(D981="USA",C981&gt;=1980,J981="No"),"Yes","No")</f>
        <v/>
      </c>
      <c r="L981" s="26">
        <f>IF(J981="Yes","",H981-I981)</f>
        <v/>
      </c>
      <c r="M981" s="27">
        <f>IF(OR(J981="Yes",I981=0),"",H981/I981)</f>
        <v/>
      </c>
      <c r="N981" s="21">
        <f>IF(J981="Yes","",IF(H981&gt;=I981,1,0))</f>
        <v/>
      </c>
      <c r="O981" s="21">
        <f>IF(I981&lt;=5000000,"Under $5M",IF(I981&lt;=20000000,"$5M-20M",IF(I981&lt;=50000000,"$20M-50M",IF(I981&lt;=100000000,"$50M-100M","$100M+"))))</f>
        <v/>
      </c>
      <c r="P981" s="21">
        <f>IF(E981&lt;=90,"90 or less",IF(E981&lt;=105,"91-105",IF(E981&lt;=120,"106-120",IF(E981&lt;=140,"121-140","Over 140"))))</f>
        <v/>
      </c>
      <c r="Q981" s="28">
        <f>INT(C981/10)*10</f>
        <v/>
      </c>
    </row>
    <row r="982">
      <c r="A982" s="21" t="n">
        <v>1005</v>
      </c>
      <c r="B982" s="21" t="inlineStr">
        <is>
          <t>The Cure</t>
        </is>
      </c>
      <c r="C982" s="21" t="n">
        <v>1997</v>
      </c>
      <c r="D982" s="21" t="inlineStr">
        <is>
          <t>Japan</t>
        </is>
      </c>
      <c r="E982" s="21" t="n">
        <v>111</v>
      </c>
      <c r="F982" s="21" t="inlineStr">
        <is>
          <t>Japanese</t>
        </is>
      </c>
      <c r="G982" s="21" t="n"/>
      <c r="H982" s="22" t="n">
        <v>94596</v>
      </c>
      <c r="I982" s="22" t="n">
        <v>1000000</v>
      </c>
      <c r="J982" s="21">
        <f>IF(OR(H982="",H982=25529689.5),"Yes","No")</f>
        <v/>
      </c>
      <c r="K982" s="21">
        <f>IF(AND(D982="USA",C982&gt;=1980,J982="No"),"Yes","No")</f>
        <v/>
      </c>
      <c r="L982" s="26">
        <f>IF(J982="Yes","",H982-I982)</f>
        <v/>
      </c>
      <c r="M982" s="27">
        <f>IF(OR(J982="Yes",I982=0),"",H982/I982)</f>
        <v/>
      </c>
      <c r="N982" s="21">
        <f>IF(J982="Yes","",IF(H982&gt;=I982,1,0))</f>
        <v/>
      </c>
      <c r="O982" s="21">
        <f>IF(I982&lt;=5000000,"Under $5M",IF(I982&lt;=20000000,"$5M-20M",IF(I982&lt;=50000000,"$20M-50M",IF(I982&lt;=100000000,"$50M-100M","$100M+"))))</f>
        <v/>
      </c>
      <c r="P982" s="21">
        <f>IF(E982&lt;=90,"90 or less",IF(E982&lt;=105,"91-105",IF(E982&lt;=120,"106-120",IF(E982&lt;=140,"121-140","Over 140"))))</f>
        <v/>
      </c>
      <c r="Q982" s="28">
        <f>INT(C982/10)*10</f>
        <v/>
      </c>
    </row>
    <row r="983">
      <c r="A983" s="21" t="n">
        <v>1006</v>
      </c>
      <c r="B983" s="21" t="inlineStr">
        <is>
          <t>The Devil's Advocate</t>
        </is>
      </c>
      <c r="C983" s="21" t="n">
        <v>1997</v>
      </c>
      <c r="D983" s="21" t="inlineStr">
        <is>
          <t>USA</t>
        </is>
      </c>
      <c r="E983" s="21" t="n">
        <v>136</v>
      </c>
      <c r="F983" s="21" t="inlineStr">
        <is>
          <t>English</t>
        </is>
      </c>
      <c r="G983" s="21" t="inlineStr">
        <is>
          <t>R</t>
        </is>
      </c>
      <c r="H983" s="22" t="n">
        <v>60984028</v>
      </c>
      <c r="I983" s="22" t="n">
        <v>57000000</v>
      </c>
      <c r="J983" s="21">
        <f>IF(OR(H983="",H983=25529689.5),"Yes","No")</f>
        <v/>
      </c>
      <c r="K983" s="21">
        <f>IF(AND(D983="USA",C983&gt;=1980,J983="No"),"Yes","No")</f>
        <v/>
      </c>
      <c r="L983" s="26">
        <f>IF(J983="Yes","",H983-I983)</f>
        <v/>
      </c>
      <c r="M983" s="27">
        <f>IF(OR(J983="Yes",I983=0),"",H983/I983)</f>
        <v/>
      </c>
      <c r="N983" s="21">
        <f>IF(J983="Yes","",IF(H983&gt;=I983,1,0))</f>
        <v/>
      </c>
      <c r="O983" s="21">
        <f>IF(I983&lt;=5000000,"Under $5M",IF(I983&lt;=20000000,"$5M-20M",IF(I983&lt;=50000000,"$20M-50M",IF(I983&lt;=100000000,"$50M-100M","$100M+"))))</f>
        <v/>
      </c>
      <c r="P983" s="21">
        <f>IF(E983&lt;=90,"90 or less",IF(E983&lt;=105,"91-105",IF(E983&lt;=120,"106-120",IF(E983&lt;=140,"121-140","Over 140"))))</f>
        <v/>
      </c>
      <c r="Q983" s="28">
        <f>INT(C983/10)*10</f>
        <v/>
      </c>
    </row>
    <row r="984">
      <c r="A984" s="21" t="n">
        <v>1007</v>
      </c>
      <c r="B984" s="21" t="inlineStr">
        <is>
          <t>The Devil's Own</t>
        </is>
      </c>
      <c r="C984" s="21" t="n">
        <v>1997</v>
      </c>
      <c r="D984" s="21" t="inlineStr">
        <is>
          <t>USA</t>
        </is>
      </c>
      <c r="E984" s="21" t="n">
        <v>111</v>
      </c>
      <c r="F984" s="21" t="inlineStr">
        <is>
          <t>English</t>
        </is>
      </c>
      <c r="G984" s="21" t="inlineStr">
        <is>
          <t>R</t>
        </is>
      </c>
      <c r="H984" s="22" t="n">
        <v>42877165</v>
      </c>
      <c r="I984" s="22" t="n">
        <v>86000000</v>
      </c>
      <c r="J984" s="21">
        <f>IF(OR(H984="",H984=25529689.5),"Yes","No")</f>
        <v/>
      </c>
      <c r="K984" s="21">
        <f>IF(AND(D984="USA",C984&gt;=1980,J984="No"),"Yes","No")</f>
        <v/>
      </c>
      <c r="L984" s="26">
        <f>IF(J984="Yes","",H984-I984)</f>
        <v/>
      </c>
      <c r="M984" s="27">
        <f>IF(OR(J984="Yes",I984=0),"",H984/I984)</f>
        <v/>
      </c>
      <c r="N984" s="21">
        <f>IF(J984="Yes","",IF(H984&gt;=I984,1,0))</f>
        <v/>
      </c>
      <c r="O984" s="21">
        <f>IF(I984&lt;=5000000,"Under $5M",IF(I984&lt;=20000000,"$5M-20M",IF(I984&lt;=50000000,"$20M-50M",IF(I984&lt;=100000000,"$50M-100M","$100M+"))))</f>
        <v/>
      </c>
      <c r="P984" s="21">
        <f>IF(E984&lt;=90,"90 or less",IF(E984&lt;=105,"91-105",IF(E984&lt;=120,"106-120",IF(E984&lt;=140,"121-140","Over 140"))))</f>
        <v/>
      </c>
      <c r="Q984" s="28">
        <f>INT(C984/10)*10</f>
        <v/>
      </c>
    </row>
    <row r="985">
      <c r="A985" s="21" t="n">
        <v>1008</v>
      </c>
      <c r="B985" s="21" t="inlineStr">
        <is>
          <t>The Edge</t>
        </is>
      </c>
      <c r="C985" s="21" t="n">
        <v>1997</v>
      </c>
      <c r="D985" s="21" t="inlineStr">
        <is>
          <t>USA</t>
        </is>
      </c>
      <c r="E985" s="21" t="n">
        <v>117</v>
      </c>
      <c r="F985" s="21" t="inlineStr">
        <is>
          <t>English</t>
        </is>
      </c>
      <c r="G985" s="21" t="inlineStr">
        <is>
          <t>R</t>
        </is>
      </c>
      <c r="H985" s="22" t="n">
        <v>27779888</v>
      </c>
      <c r="I985" s="22" t="n">
        <v>20000000</v>
      </c>
      <c r="J985" s="21">
        <f>IF(OR(H985="",H985=25529689.5),"Yes","No")</f>
        <v/>
      </c>
      <c r="K985" s="21">
        <f>IF(AND(D985="USA",C985&gt;=1980,J985="No"),"Yes","No")</f>
        <v/>
      </c>
      <c r="L985" s="26">
        <f>IF(J985="Yes","",H985-I985)</f>
        <v/>
      </c>
      <c r="M985" s="27">
        <f>IF(OR(J985="Yes",I985=0),"",H985/I985)</f>
        <v/>
      </c>
      <c r="N985" s="21">
        <f>IF(J985="Yes","",IF(H985&gt;=I985,1,0))</f>
        <v/>
      </c>
      <c r="O985" s="21">
        <f>IF(I985&lt;=5000000,"Under $5M",IF(I985&lt;=20000000,"$5M-20M",IF(I985&lt;=50000000,"$20M-50M",IF(I985&lt;=100000000,"$50M-100M","$100M+"))))</f>
        <v/>
      </c>
      <c r="P985" s="21">
        <f>IF(E985&lt;=90,"90 or less",IF(E985&lt;=105,"91-105",IF(E985&lt;=120,"106-120",IF(E985&lt;=140,"121-140","Over 140"))))</f>
        <v/>
      </c>
      <c r="Q985" s="28">
        <f>INT(C985/10)*10</f>
        <v/>
      </c>
    </row>
    <row r="986">
      <c r="A986" s="21" t="n">
        <v>1009</v>
      </c>
      <c r="B986" s="21" t="inlineStr">
        <is>
          <t>The Fifth Element</t>
        </is>
      </c>
      <c r="C986" s="21" t="n">
        <v>1997</v>
      </c>
      <c r="D986" s="21" t="inlineStr">
        <is>
          <t>France</t>
        </is>
      </c>
      <c r="E986" s="21" t="n">
        <v>126</v>
      </c>
      <c r="F986" s="21" t="inlineStr">
        <is>
          <t>English</t>
        </is>
      </c>
      <c r="G986" s="21" t="inlineStr">
        <is>
          <t>PG-13</t>
        </is>
      </c>
      <c r="H986" s="22" t="n">
        <v>63540020</v>
      </c>
      <c r="I986" s="22" t="n">
        <v>93000000</v>
      </c>
      <c r="J986" s="21">
        <f>IF(OR(H986="",H986=25529689.5),"Yes","No")</f>
        <v/>
      </c>
      <c r="K986" s="21">
        <f>IF(AND(D986="USA",C986&gt;=1980,J986="No"),"Yes","No")</f>
        <v/>
      </c>
      <c r="L986" s="26">
        <f>IF(J986="Yes","",H986-I986)</f>
        <v/>
      </c>
      <c r="M986" s="27">
        <f>IF(OR(J986="Yes",I986=0),"",H986/I986)</f>
        <v/>
      </c>
      <c r="N986" s="21">
        <f>IF(J986="Yes","",IF(H986&gt;=I986,1,0))</f>
        <v/>
      </c>
      <c r="O986" s="21">
        <f>IF(I986&lt;=5000000,"Under $5M",IF(I986&lt;=20000000,"$5M-20M",IF(I986&lt;=50000000,"$20M-50M",IF(I986&lt;=100000000,"$50M-100M","$100M+"))))</f>
        <v/>
      </c>
      <c r="P986" s="21">
        <f>IF(E986&lt;=90,"90 or less",IF(E986&lt;=105,"91-105",IF(E986&lt;=120,"106-120",IF(E986&lt;=140,"121-140","Over 140"))))</f>
        <v/>
      </c>
      <c r="Q986" s="28">
        <f>INT(C986/10)*10</f>
        <v/>
      </c>
    </row>
    <row r="987">
      <c r="A987" s="21" t="n">
        <v>1010</v>
      </c>
      <c r="B987" s="21" t="inlineStr">
        <is>
          <t>The Full Monty</t>
        </is>
      </c>
      <c r="C987" s="21" t="n">
        <v>1997</v>
      </c>
      <c r="D987" s="21" t="inlineStr">
        <is>
          <t>UK</t>
        </is>
      </c>
      <c r="E987" s="21" t="n">
        <v>91</v>
      </c>
      <c r="F987" s="21" t="inlineStr">
        <is>
          <t>English</t>
        </is>
      </c>
      <c r="G987" s="21" t="inlineStr">
        <is>
          <t>R</t>
        </is>
      </c>
      <c r="H987" s="22" t="n">
        <v>45857453</v>
      </c>
      <c r="I987" s="22" t="n">
        <v>3500000</v>
      </c>
      <c r="J987" s="21">
        <f>IF(OR(H987="",H987=25529689.5),"Yes","No")</f>
        <v/>
      </c>
      <c r="K987" s="21">
        <f>IF(AND(D987="USA",C987&gt;=1980,J987="No"),"Yes","No")</f>
        <v/>
      </c>
      <c r="L987" s="26">
        <f>IF(J987="Yes","",H987-I987)</f>
        <v/>
      </c>
      <c r="M987" s="27">
        <f>IF(OR(J987="Yes",I987=0),"",H987/I987)</f>
        <v/>
      </c>
      <c r="N987" s="21">
        <f>IF(J987="Yes","",IF(H987&gt;=I987,1,0))</f>
        <v/>
      </c>
      <c r="O987" s="21">
        <f>IF(I987&lt;=5000000,"Under $5M",IF(I987&lt;=20000000,"$5M-20M",IF(I987&lt;=50000000,"$20M-50M",IF(I987&lt;=100000000,"$50M-100M","$100M+"))))</f>
        <v/>
      </c>
      <c r="P987" s="21">
        <f>IF(E987&lt;=90,"90 or less",IF(E987&lt;=105,"91-105",IF(E987&lt;=120,"106-120",IF(E987&lt;=140,"121-140","Over 140"))))</f>
        <v/>
      </c>
      <c r="Q987" s="28">
        <f>INT(C987/10)*10</f>
        <v/>
      </c>
    </row>
    <row r="988">
      <c r="A988" s="21" t="n">
        <v>1012</v>
      </c>
      <c r="B988" s="21" t="inlineStr">
        <is>
          <t>The Game</t>
        </is>
      </c>
      <c r="C988" s="21" t="n">
        <v>1997</v>
      </c>
      <c r="D988" s="21" t="inlineStr">
        <is>
          <t>USA</t>
        </is>
      </c>
      <c r="E988" s="21" t="n">
        <v>129</v>
      </c>
      <c r="F988" s="21" t="inlineStr">
        <is>
          <t>English</t>
        </is>
      </c>
      <c r="G988" s="21" t="inlineStr">
        <is>
          <t>R</t>
        </is>
      </c>
      <c r="H988" s="22" t="n">
        <v>48265581</v>
      </c>
      <c r="I988" s="22" t="n">
        <v>50000000</v>
      </c>
      <c r="J988" s="21">
        <f>IF(OR(H988="",H988=25529689.5),"Yes","No")</f>
        <v/>
      </c>
      <c r="K988" s="21">
        <f>IF(AND(D988="USA",C988&gt;=1980,J988="No"),"Yes","No")</f>
        <v/>
      </c>
      <c r="L988" s="26">
        <f>IF(J988="Yes","",H988-I988)</f>
        <v/>
      </c>
      <c r="M988" s="27">
        <f>IF(OR(J988="Yes",I988=0),"",H988/I988)</f>
        <v/>
      </c>
      <c r="N988" s="21">
        <f>IF(J988="Yes","",IF(H988&gt;=I988,1,0))</f>
        <v/>
      </c>
      <c r="O988" s="21">
        <f>IF(I988&lt;=5000000,"Under $5M",IF(I988&lt;=20000000,"$5M-20M",IF(I988&lt;=50000000,"$20M-50M",IF(I988&lt;=100000000,"$50M-100M","$100M+"))))</f>
        <v/>
      </c>
      <c r="P988" s="21">
        <f>IF(E988&lt;=90,"90 or less",IF(E988&lt;=105,"91-105",IF(E988&lt;=120,"106-120",IF(E988&lt;=140,"121-140","Over 140"))))</f>
        <v/>
      </c>
      <c r="Q988" s="28">
        <f>INT(C988/10)*10</f>
        <v/>
      </c>
    </row>
    <row r="989">
      <c r="A989" s="21" t="n">
        <v>1013</v>
      </c>
      <c r="B989" s="21" t="inlineStr">
        <is>
          <t>The Ice Storm</t>
        </is>
      </c>
      <c r="C989" s="21" t="n">
        <v>1997</v>
      </c>
      <c r="D989" s="21" t="inlineStr">
        <is>
          <t>USA</t>
        </is>
      </c>
      <c r="E989" s="21" t="n">
        <v>112</v>
      </c>
      <c r="F989" s="21" t="inlineStr">
        <is>
          <t>English</t>
        </is>
      </c>
      <c r="G989" s="21" t="inlineStr">
        <is>
          <t>R</t>
        </is>
      </c>
      <c r="H989" s="22" t="n">
        <v>7837632</v>
      </c>
      <c r="I989" s="22" t="n">
        <v>18000000</v>
      </c>
      <c r="J989" s="21">
        <f>IF(OR(H989="",H989=25529689.5),"Yes","No")</f>
        <v/>
      </c>
      <c r="K989" s="21">
        <f>IF(AND(D989="USA",C989&gt;=1980,J989="No"),"Yes","No")</f>
        <v/>
      </c>
      <c r="L989" s="26">
        <f>IF(J989="Yes","",H989-I989)</f>
        <v/>
      </c>
      <c r="M989" s="27">
        <f>IF(OR(J989="Yes",I989=0),"",H989/I989)</f>
        <v/>
      </c>
      <c r="N989" s="21">
        <f>IF(J989="Yes","",IF(H989&gt;=I989,1,0))</f>
        <v/>
      </c>
      <c r="O989" s="21">
        <f>IF(I989&lt;=5000000,"Under $5M",IF(I989&lt;=20000000,"$5M-20M",IF(I989&lt;=50000000,"$20M-50M",IF(I989&lt;=100000000,"$50M-100M","$100M+"))))</f>
        <v/>
      </c>
      <c r="P989" s="21">
        <f>IF(E989&lt;=90,"90 or less",IF(E989&lt;=105,"91-105",IF(E989&lt;=120,"106-120",IF(E989&lt;=140,"121-140","Over 140"))))</f>
        <v/>
      </c>
      <c r="Q989" s="28">
        <f>INT(C989/10)*10</f>
        <v/>
      </c>
    </row>
    <row r="990">
      <c r="A990" s="21" t="n">
        <v>1014</v>
      </c>
      <c r="B990" s="21" t="inlineStr">
        <is>
          <t>The Jackal</t>
        </is>
      </c>
      <c r="C990" s="21" t="n">
        <v>1997</v>
      </c>
      <c r="D990" s="21" t="inlineStr">
        <is>
          <t>USA</t>
        </is>
      </c>
      <c r="E990" s="21" t="n">
        <v>124</v>
      </c>
      <c r="F990" s="21" t="inlineStr">
        <is>
          <t>English</t>
        </is>
      </c>
      <c r="G990" s="21" t="inlineStr">
        <is>
          <t>R</t>
        </is>
      </c>
      <c r="H990" s="22" t="n">
        <v>54910560</v>
      </c>
      <c r="I990" s="22" t="n">
        <v>60000000</v>
      </c>
      <c r="J990" s="21">
        <f>IF(OR(H990="",H990=25529689.5),"Yes","No")</f>
        <v/>
      </c>
      <c r="K990" s="21">
        <f>IF(AND(D990="USA",C990&gt;=1980,J990="No"),"Yes","No")</f>
        <v/>
      </c>
      <c r="L990" s="26">
        <f>IF(J990="Yes","",H990-I990)</f>
        <v/>
      </c>
      <c r="M990" s="27">
        <f>IF(OR(J990="Yes",I990=0),"",H990/I990)</f>
        <v/>
      </c>
      <c r="N990" s="21">
        <f>IF(J990="Yes","",IF(H990&gt;=I990,1,0))</f>
        <v/>
      </c>
      <c r="O990" s="21">
        <f>IF(I990&lt;=5000000,"Under $5M",IF(I990&lt;=20000000,"$5M-20M",IF(I990&lt;=50000000,"$20M-50M",IF(I990&lt;=100000000,"$50M-100M","$100M+"))))</f>
        <v/>
      </c>
      <c r="P990" s="21">
        <f>IF(E990&lt;=90,"90 or less",IF(E990&lt;=105,"91-105",IF(E990&lt;=120,"106-120",IF(E990&lt;=140,"121-140","Over 140"))))</f>
        <v/>
      </c>
      <c r="Q990" s="28">
        <f>INT(C990/10)*10</f>
        <v/>
      </c>
    </row>
    <row r="991">
      <c r="A991" s="21" t="n">
        <v>1015</v>
      </c>
      <c r="B991" s="21" t="inlineStr">
        <is>
          <t>The Last Time I Committed Suicide</t>
        </is>
      </c>
      <c r="C991" s="21" t="n">
        <v>1997</v>
      </c>
      <c r="D991" s="21" t="inlineStr">
        <is>
          <t>USA</t>
        </is>
      </c>
      <c r="E991" s="21" t="n">
        <v>92</v>
      </c>
      <c r="F991" s="21" t="inlineStr">
        <is>
          <t>English</t>
        </is>
      </c>
      <c r="G991" s="21" t="inlineStr">
        <is>
          <t>R</t>
        </is>
      </c>
      <c r="H991" s="22" t="n">
        <v>12836</v>
      </c>
      <c r="I991" s="22" t="n">
        <v>4000000</v>
      </c>
      <c r="J991" s="21">
        <f>IF(OR(H991="",H991=25529689.5),"Yes","No")</f>
        <v/>
      </c>
      <c r="K991" s="21">
        <f>IF(AND(D991="USA",C991&gt;=1980,J991="No"),"Yes","No")</f>
        <v/>
      </c>
      <c r="L991" s="26">
        <f>IF(J991="Yes","",H991-I991)</f>
        <v/>
      </c>
      <c r="M991" s="27">
        <f>IF(OR(J991="Yes",I991=0),"",H991/I991)</f>
        <v/>
      </c>
      <c r="N991" s="21">
        <f>IF(J991="Yes","",IF(H991&gt;=I991,1,0))</f>
        <v/>
      </c>
      <c r="O991" s="21">
        <f>IF(I991&lt;=5000000,"Under $5M",IF(I991&lt;=20000000,"$5M-20M",IF(I991&lt;=50000000,"$20M-50M",IF(I991&lt;=100000000,"$50M-100M","$100M+"))))</f>
        <v/>
      </c>
      <c r="P991" s="21">
        <f>IF(E991&lt;=90,"90 or less",IF(E991&lt;=105,"91-105",IF(E991&lt;=120,"106-120",IF(E991&lt;=140,"121-140","Over 140"))))</f>
        <v/>
      </c>
      <c r="Q991" s="28">
        <f>INT(C991/10)*10</f>
        <v/>
      </c>
    </row>
    <row r="992">
      <c r="A992" s="21" t="n">
        <v>1016</v>
      </c>
      <c r="B992" s="21" t="inlineStr">
        <is>
          <t>The Lost World: Jurassic Park</t>
        </is>
      </c>
      <c r="C992" s="21" t="n">
        <v>1997</v>
      </c>
      <c r="D992" s="21" t="inlineStr">
        <is>
          <t>USA</t>
        </is>
      </c>
      <c r="E992" s="21" t="n">
        <v>129</v>
      </c>
      <c r="F992" s="21" t="inlineStr">
        <is>
          <t>English</t>
        </is>
      </c>
      <c r="G992" s="21" t="inlineStr">
        <is>
          <t>PG-13</t>
        </is>
      </c>
      <c r="H992" s="22" t="n">
        <v>229074524</v>
      </c>
      <c r="I992" s="22" t="n">
        <v>73000000</v>
      </c>
      <c r="J992" s="21">
        <f>IF(OR(H992="",H992=25529689.5),"Yes","No")</f>
        <v/>
      </c>
      <c r="K992" s="21">
        <f>IF(AND(D992="USA",C992&gt;=1980,J992="No"),"Yes","No")</f>
        <v/>
      </c>
      <c r="L992" s="26">
        <f>IF(J992="Yes","",H992-I992)</f>
        <v/>
      </c>
      <c r="M992" s="27">
        <f>IF(OR(J992="Yes",I992=0),"",H992/I992)</f>
        <v/>
      </c>
      <c r="N992" s="21">
        <f>IF(J992="Yes","",IF(H992&gt;=I992,1,0))</f>
        <v/>
      </c>
      <c r="O992" s="21">
        <f>IF(I992&lt;=5000000,"Under $5M",IF(I992&lt;=20000000,"$5M-20M",IF(I992&lt;=50000000,"$20M-50M",IF(I992&lt;=100000000,"$50M-100M","$100M+"))))</f>
        <v/>
      </c>
      <c r="P992" s="21">
        <f>IF(E992&lt;=90,"90 or less",IF(E992&lt;=105,"91-105",IF(E992&lt;=120,"106-120",IF(E992&lt;=140,"121-140","Over 140"))))</f>
        <v/>
      </c>
      <c r="Q992" s="28">
        <f>INT(C992/10)*10</f>
        <v/>
      </c>
    </row>
    <row r="993">
      <c r="A993" s="21" t="n">
        <v>1017</v>
      </c>
      <c r="B993" s="21" t="inlineStr">
        <is>
          <t>The Man Who Knew Too Little</t>
        </is>
      </c>
      <c r="C993" s="21" t="n">
        <v>1997</v>
      </c>
      <c r="D993" s="21" t="inlineStr">
        <is>
          <t>USA</t>
        </is>
      </c>
      <c r="E993" s="21" t="n">
        <v>94</v>
      </c>
      <c r="F993" s="21" t="inlineStr">
        <is>
          <t>English</t>
        </is>
      </c>
      <c r="G993" s="21" t="inlineStr">
        <is>
          <t>PG</t>
        </is>
      </c>
      <c r="H993" s="22" t="n">
        <v>13801755</v>
      </c>
      <c r="I993" s="22" t="n">
        <v>20000000</v>
      </c>
      <c r="J993" s="21">
        <f>IF(OR(H993="",H993=25529689.5),"Yes","No")</f>
        <v/>
      </c>
      <c r="K993" s="21">
        <f>IF(AND(D993="USA",C993&gt;=1980,J993="No"),"Yes","No")</f>
        <v/>
      </c>
      <c r="L993" s="26">
        <f>IF(J993="Yes","",H993-I993)</f>
        <v/>
      </c>
      <c r="M993" s="27">
        <f>IF(OR(J993="Yes",I993=0),"",H993/I993)</f>
        <v/>
      </c>
      <c r="N993" s="21">
        <f>IF(J993="Yes","",IF(H993&gt;=I993,1,0))</f>
        <v/>
      </c>
      <c r="O993" s="21">
        <f>IF(I993&lt;=5000000,"Under $5M",IF(I993&lt;=20000000,"$5M-20M",IF(I993&lt;=50000000,"$20M-50M",IF(I993&lt;=100000000,"$50M-100M","$100M+"))))</f>
        <v/>
      </c>
      <c r="P993" s="21">
        <f>IF(E993&lt;=90,"90 or less",IF(E993&lt;=105,"91-105",IF(E993&lt;=120,"106-120",IF(E993&lt;=140,"121-140","Over 140"))))</f>
        <v/>
      </c>
      <c r="Q993" s="28">
        <f>INT(C993/10)*10</f>
        <v/>
      </c>
    </row>
    <row r="994">
      <c r="A994" s="21" t="n">
        <v>1018</v>
      </c>
      <c r="B994" s="21" t="inlineStr">
        <is>
          <t>The Peacemaker</t>
        </is>
      </c>
      <c r="C994" s="21" t="n">
        <v>1997</v>
      </c>
      <c r="D994" s="21" t="inlineStr">
        <is>
          <t>USA</t>
        </is>
      </c>
      <c r="E994" s="21" t="n">
        <v>124</v>
      </c>
      <c r="F994" s="21" t="inlineStr">
        <is>
          <t>English</t>
        </is>
      </c>
      <c r="G994" s="21" t="inlineStr">
        <is>
          <t>R</t>
        </is>
      </c>
      <c r="H994" s="22" t="n">
        <v>41256277</v>
      </c>
      <c r="I994" s="22" t="n">
        <v>50000000</v>
      </c>
      <c r="J994" s="21">
        <f>IF(OR(H994="",H994=25529689.5),"Yes","No")</f>
        <v/>
      </c>
      <c r="K994" s="21">
        <f>IF(AND(D994="USA",C994&gt;=1980,J994="No"),"Yes","No")</f>
        <v/>
      </c>
      <c r="L994" s="26">
        <f>IF(J994="Yes","",H994-I994)</f>
        <v/>
      </c>
      <c r="M994" s="27">
        <f>IF(OR(J994="Yes",I994=0),"",H994/I994)</f>
        <v/>
      </c>
      <c r="N994" s="21">
        <f>IF(J994="Yes","",IF(H994&gt;=I994,1,0))</f>
        <v/>
      </c>
      <c r="O994" s="21">
        <f>IF(I994&lt;=5000000,"Under $5M",IF(I994&lt;=20000000,"$5M-20M",IF(I994&lt;=50000000,"$20M-50M",IF(I994&lt;=100000000,"$50M-100M","$100M+"))))</f>
        <v/>
      </c>
      <c r="P994" s="21">
        <f>IF(E994&lt;=90,"90 or less",IF(E994&lt;=105,"91-105",IF(E994&lt;=120,"106-120",IF(E994&lt;=140,"121-140","Over 140"))))</f>
        <v/>
      </c>
      <c r="Q994" s="28">
        <f>INT(C994/10)*10</f>
        <v/>
      </c>
    </row>
    <row r="995">
      <c r="A995" s="21" t="n">
        <v>1019</v>
      </c>
      <c r="B995" s="21" t="inlineStr">
        <is>
          <t>The Postman</t>
        </is>
      </c>
      <c r="C995" s="21" t="n">
        <v>1997</v>
      </c>
      <c r="D995" s="21" t="inlineStr">
        <is>
          <t>USA</t>
        </is>
      </c>
      <c r="E995" s="21" t="n">
        <v>177</v>
      </c>
      <c r="F995" s="21" t="inlineStr">
        <is>
          <t>English</t>
        </is>
      </c>
      <c r="G995" s="21" t="inlineStr">
        <is>
          <t>R</t>
        </is>
      </c>
      <c r="H995" s="22" t="n">
        <v>17593391</v>
      </c>
      <c r="I995" s="22" t="n">
        <v>80000000</v>
      </c>
      <c r="J995" s="21">
        <f>IF(OR(H995="",H995=25529689.5),"Yes","No")</f>
        <v/>
      </c>
      <c r="K995" s="21">
        <f>IF(AND(D995="USA",C995&gt;=1980,J995="No"),"Yes","No")</f>
        <v/>
      </c>
      <c r="L995" s="26">
        <f>IF(J995="Yes","",H995-I995)</f>
        <v/>
      </c>
      <c r="M995" s="27">
        <f>IF(OR(J995="Yes",I995=0),"",H995/I995)</f>
        <v/>
      </c>
      <c r="N995" s="21">
        <f>IF(J995="Yes","",IF(H995&gt;=I995,1,0))</f>
        <v/>
      </c>
      <c r="O995" s="21">
        <f>IF(I995&lt;=5000000,"Under $5M",IF(I995&lt;=20000000,"$5M-20M",IF(I995&lt;=50000000,"$20M-50M",IF(I995&lt;=100000000,"$50M-100M","$100M+"))))</f>
        <v/>
      </c>
      <c r="P995" s="21">
        <f>IF(E995&lt;=90,"90 or less",IF(E995&lt;=105,"91-105",IF(E995&lt;=120,"106-120",IF(E995&lt;=140,"121-140","Over 140"))))</f>
        <v/>
      </c>
      <c r="Q995" s="28">
        <f>INT(C995/10)*10</f>
        <v/>
      </c>
    </row>
    <row r="996">
      <c r="A996" s="21" t="n">
        <v>1020</v>
      </c>
      <c r="B996" s="21" t="inlineStr">
        <is>
          <t>The Rainmaker</t>
        </is>
      </c>
      <c r="C996" s="21" t="n">
        <v>1997</v>
      </c>
      <c r="D996" s="21" t="inlineStr">
        <is>
          <t>USA</t>
        </is>
      </c>
      <c r="E996" s="21" t="n">
        <v>135</v>
      </c>
      <c r="F996" s="21" t="inlineStr">
        <is>
          <t>English</t>
        </is>
      </c>
      <c r="G996" s="21" t="inlineStr">
        <is>
          <t>PG-13</t>
        </is>
      </c>
      <c r="H996" s="22" t="n">
        <v>45856732</v>
      </c>
      <c r="I996" s="22" t="n">
        <v>40000000</v>
      </c>
      <c r="J996" s="21">
        <f>IF(OR(H996="",H996=25529689.5),"Yes","No")</f>
        <v/>
      </c>
      <c r="K996" s="21">
        <f>IF(AND(D996="USA",C996&gt;=1980,J996="No"),"Yes","No")</f>
        <v/>
      </c>
      <c r="L996" s="26">
        <f>IF(J996="Yes","",H996-I996)</f>
        <v/>
      </c>
      <c r="M996" s="27">
        <f>IF(OR(J996="Yes",I996=0),"",H996/I996)</f>
        <v/>
      </c>
      <c r="N996" s="21">
        <f>IF(J996="Yes","",IF(H996&gt;=I996,1,0))</f>
        <v/>
      </c>
      <c r="O996" s="21">
        <f>IF(I996&lt;=5000000,"Under $5M",IF(I996&lt;=20000000,"$5M-20M",IF(I996&lt;=50000000,"$20M-50M",IF(I996&lt;=100000000,"$50M-100M","$100M+"))))</f>
        <v/>
      </c>
      <c r="P996" s="21">
        <f>IF(E996&lt;=90,"90 or less",IF(E996&lt;=105,"91-105",IF(E996&lt;=120,"106-120",IF(E996&lt;=140,"121-140","Over 140"))))</f>
        <v/>
      </c>
      <c r="Q996" s="28">
        <f>INT(C996/10)*10</f>
        <v/>
      </c>
    </row>
    <row r="997">
      <c r="A997" s="21" t="n">
        <v>1021</v>
      </c>
      <c r="B997" s="21" t="inlineStr">
        <is>
          <t>The Relic</t>
        </is>
      </c>
      <c r="C997" s="21" t="n">
        <v>1997</v>
      </c>
      <c r="D997" s="21" t="inlineStr">
        <is>
          <t>UK</t>
        </is>
      </c>
      <c r="E997" s="21" t="n">
        <v>110</v>
      </c>
      <c r="F997" s="21" t="inlineStr">
        <is>
          <t>English</t>
        </is>
      </c>
      <c r="G997" s="21" t="inlineStr">
        <is>
          <t>R</t>
        </is>
      </c>
      <c r="H997" s="22" t="n">
        <v>33927476</v>
      </c>
      <c r="I997" s="22" t="n">
        <v>40000000</v>
      </c>
      <c r="J997" s="21">
        <f>IF(OR(H997="",H997=25529689.5),"Yes","No")</f>
        <v/>
      </c>
      <c r="K997" s="21">
        <f>IF(AND(D997="USA",C997&gt;=1980,J997="No"),"Yes","No")</f>
        <v/>
      </c>
      <c r="L997" s="26">
        <f>IF(J997="Yes","",H997-I997)</f>
        <v/>
      </c>
      <c r="M997" s="27">
        <f>IF(OR(J997="Yes",I997=0),"",H997/I997)</f>
        <v/>
      </c>
      <c r="N997" s="21">
        <f>IF(J997="Yes","",IF(H997&gt;=I997,1,0))</f>
        <v/>
      </c>
      <c r="O997" s="21">
        <f>IF(I997&lt;=5000000,"Under $5M",IF(I997&lt;=20000000,"$5M-20M",IF(I997&lt;=50000000,"$20M-50M",IF(I997&lt;=100000000,"$50M-100M","$100M+"))))</f>
        <v/>
      </c>
      <c r="P997" s="21">
        <f>IF(E997&lt;=90,"90 or less",IF(E997&lt;=105,"91-105",IF(E997&lt;=120,"106-120",IF(E997&lt;=140,"121-140","Over 140"))))</f>
        <v/>
      </c>
      <c r="Q997" s="28">
        <f>INT(C997/10)*10</f>
        <v/>
      </c>
    </row>
    <row r="998">
      <c r="A998" s="21" t="n">
        <v>1022</v>
      </c>
      <c r="B998" s="21" t="inlineStr">
        <is>
          <t>The Saint</t>
        </is>
      </c>
      <c r="C998" s="21" t="n">
        <v>1997</v>
      </c>
      <c r="D998" s="21" t="inlineStr">
        <is>
          <t>USA</t>
        </is>
      </c>
      <c r="E998" s="21" t="n">
        <v>116</v>
      </c>
      <c r="F998" s="21" t="inlineStr">
        <is>
          <t>English</t>
        </is>
      </c>
      <c r="G998" s="21" t="inlineStr">
        <is>
          <t>PG-13</t>
        </is>
      </c>
      <c r="H998" s="22" t="n">
        <v>61355436</v>
      </c>
      <c r="I998" s="22" t="n">
        <v>68000000</v>
      </c>
      <c r="J998" s="21">
        <f>IF(OR(H998="",H998=25529689.5),"Yes","No")</f>
        <v/>
      </c>
      <c r="K998" s="21">
        <f>IF(AND(D998="USA",C998&gt;=1980,J998="No"),"Yes","No")</f>
        <v/>
      </c>
      <c r="L998" s="26">
        <f>IF(J998="Yes","",H998-I998)</f>
        <v/>
      </c>
      <c r="M998" s="27">
        <f>IF(OR(J998="Yes",I998=0),"",H998/I998)</f>
        <v/>
      </c>
      <c r="N998" s="21">
        <f>IF(J998="Yes","",IF(H998&gt;=I998,1,0))</f>
        <v/>
      </c>
      <c r="O998" s="21">
        <f>IF(I998&lt;=5000000,"Under $5M",IF(I998&lt;=20000000,"$5M-20M",IF(I998&lt;=50000000,"$20M-50M",IF(I998&lt;=100000000,"$50M-100M","$100M+"))))</f>
        <v/>
      </c>
      <c r="P998" s="21">
        <f>IF(E998&lt;=90,"90 or less",IF(E998&lt;=105,"91-105",IF(E998&lt;=120,"106-120",IF(E998&lt;=140,"121-140","Over 140"))))</f>
        <v/>
      </c>
      <c r="Q998" s="28">
        <f>INT(C998/10)*10</f>
        <v/>
      </c>
    </row>
    <row r="999">
      <c r="A999" s="21" t="n">
        <v>1023</v>
      </c>
      <c r="B999" s="21" t="inlineStr">
        <is>
          <t>The Spanish Prisoner</t>
        </is>
      </c>
      <c r="C999" s="21" t="n">
        <v>1997</v>
      </c>
      <c r="D999" s="21" t="inlineStr">
        <is>
          <t>USA</t>
        </is>
      </c>
      <c r="E999" s="21" t="n">
        <v>110</v>
      </c>
      <c r="F999" s="21" t="inlineStr">
        <is>
          <t>English</t>
        </is>
      </c>
      <c r="G999" s="21" t="inlineStr">
        <is>
          <t>PG</t>
        </is>
      </c>
      <c r="H999" s="22" t="n">
        <v>10200000</v>
      </c>
      <c r="I999" s="22" t="n">
        <v>10000000</v>
      </c>
      <c r="J999" s="21">
        <f>IF(OR(H999="",H999=25529689.5),"Yes","No")</f>
        <v/>
      </c>
      <c r="K999" s="21">
        <f>IF(AND(D999="USA",C999&gt;=1980,J999="No"),"Yes","No")</f>
        <v/>
      </c>
      <c r="L999" s="26">
        <f>IF(J999="Yes","",H999-I999)</f>
        <v/>
      </c>
      <c r="M999" s="27">
        <f>IF(OR(J999="Yes",I999=0),"",H999/I999)</f>
        <v/>
      </c>
      <c r="N999" s="21">
        <f>IF(J999="Yes","",IF(H999&gt;=I999,1,0))</f>
        <v/>
      </c>
      <c r="O999" s="21">
        <f>IF(I999&lt;=5000000,"Under $5M",IF(I999&lt;=20000000,"$5M-20M",IF(I999&lt;=50000000,"$20M-50M",IF(I999&lt;=100000000,"$50M-100M","$100M+"))))</f>
        <v/>
      </c>
      <c r="P999" s="21">
        <f>IF(E999&lt;=90,"90 or less",IF(E999&lt;=105,"91-105",IF(E999&lt;=120,"106-120",IF(E999&lt;=140,"121-140","Over 140"))))</f>
        <v/>
      </c>
      <c r="Q999" s="28">
        <f>INT(C999/10)*10</f>
        <v/>
      </c>
    </row>
    <row r="1000">
      <c r="A1000" s="21" t="n">
        <v>1024</v>
      </c>
      <c r="B1000" s="21" t="inlineStr">
        <is>
          <t>The Sticky Fingers of Time</t>
        </is>
      </c>
      <c r="C1000" s="21" t="n">
        <v>1997</v>
      </c>
      <c r="D1000" s="21" t="inlineStr">
        <is>
          <t>USA</t>
        </is>
      </c>
      <c r="E1000" s="21" t="n">
        <v>81</v>
      </c>
      <c r="F1000" s="21" t="inlineStr">
        <is>
          <t>English</t>
        </is>
      </c>
      <c r="G1000" s="21" t="n"/>
      <c r="H1000" s="22" t="n">
        <v>18195</v>
      </c>
      <c r="I1000" s="22" t="n">
        <v>250000</v>
      </c>
      <c r="J1000" s="21">
        <f>IF(OR(H1000="",H1000=25529689.5),"Yes","No")</f>
        <v/>
      </c>
      <c r="K1000" s="21">
        <f>IF(AND(D1000="USA",C1000&gt;=1980,J1000="No"),"Yes","No")</f>
        <v/>
      </c>
      <c r="L1000" s="26">
        <f>IF(J1000="Yes","",H1000-I1000)</f>
        <v/>
      </c>
      <c r="M1000" s="27">
        <f>IF(OR(J1000="Yes",I1000=0),"",H1000/I1000)</f>
        <v/>
      </c>
      <c r="N1000" s="21">
        <f>IF(J1000="Yes","",IF(H1000&gt;=I1000,1,0))</f>
        <v/>
      </c>
      <c r="O1000" s="21">
        <f>IF(I1000&lt;=5000000,"Under $5M",IF(I1000&lt;=20000000,"$5M-20M",IF(I1000&lt;=50000000,"$20M-50M",IF(I1000&lt;=100000000,"$50M-100M","$100M+"))))</f>
        <v/>
      </c>
      <c r="P1000" s="21">
        <f>IF(E1000&lt;=90,"90 or less",IF(E1000&lt;=105,"91-105",IF(E1000&lt;=120,"106-120",IF(E1000&lt;=140,"121-140","Over 140"))))</f>
        <v/>
      </c>
      <c r="Q1000" s="28">
        <f>INT(C1000/10)*10</f>
        <v/>
      </c>
    </row>
    <row r="1001">
      <c r="A1001" s="21" t="n">
        <v>1025</v>
      </c>
      <c r="B1001" s="21" t="inlineStr">
        <is>
          <t>The Sweet Hereafter</t>
        </is>
      </c>
      <c r="C1001" s="21" t="n">
        <v>1997</v>
      </c>
      <c r="D1001" s="21" t="inlineStr">
        <is>
          <t>Canada</t>
        </is>
      </c>
      <c r="E1001" s="21" t="n">
        <v>112</v>
      </c>
      <c r="F1001" s="21" t="inlineStr">
        <is>
          <t>English</t>
        </is>
      </c>
      <c r="G1001" s="21" t="inlineStr">
        <is>
          <t>R</t>
        </is>
      </c>
      <c r="H1001" s="22" t="n">
        <v>4306697</v>
      </c>
      <c r="I1001" s="22" t="n">
        <v>5000000</v>
      </c>
      <c r="J1001" s="21">
        <f>IF(OR(H1001="",H1001=25529689.5),"Yes","No")</f>
        <v/>
      </c>
      <c r="K1001" s="21">
        <f>IF(AND(D1001="USA",C1001&gt;=1980,J1001="No"),"Yes","No")</f>
        <v/>
      </c>
      <c r="L1001" s="26">
        <f>IF(J1001="Yes","",H1001-I1001)</f>
        <v/>
      </c>
      <c r="M1001" s="27">
        <f>IF(OR(J1001="Yes",I1001=0),"",H1001/I1001)</f>
        <v/>
      </c>
      <c r="N1001" s="21">
        <f>IF(J1001="Yes","",IF(H1001&gt;=I1001,1,0))</f>
        <v/>
      </c>
      <c r="O1001" s="21">
        <f>IF(I1001&lt;=5000000,"Under $5M",IF(I1001&lt;=20000000,"$5M-20M",IF(I1001&lt;=50000000,"$20M-50M",IF(I1001&lt;=100000000,"$50M-100M","$100M+"))))</f>
        <v/>
      </c>
      <c r="P1001" s="21">
        <f>IF(E1001&lt;=90,"90 or less",IF(E1001&lt;=105,"91-105",IF(E1001&lt;=120,"106-120",IF(E1001&lt;=140,"121-140","Over 140"))))</f>
        <v/>
      </c>
      <c r="Q1001" s="28">
        <f>INT(C1001/10)*10</f>
        <v/>
      </c>
    </row>
    <row r="1002">
      <c r="A1002" s="21" t="n">
        <v>1026</v>
      </c>
      <c r="B1002" s="21" t="inlineStr">
        <is>
          <t>The Swindle</t>
        </is>
      </c>
      <c r="C1002" s="21" t="n">
        <v>1997</v>
      </c>
      <c r="D1002" s="21" t="inlineStr">
        <is>
          <t>France</t>
        </is>
      </c>
      <c r="E1002" s="21" t="n">
        <v>101</v>
      </c>
      <c r="F1002" s="21" t="inlineStr">
        <is>
          <t>French</t>
        </is>
      </c>
      <c r="G1002" s="21" t="n"/>
      <c r="H1002" s="22" t="n">
        <v>231417</v>
      </c>
      <c r="I1002" s="22" t="n">
        <v>60000000</v>
      </c>
      <c r="J1002" s="21">
        <f>IF(OR(H1002="",H1002=25529689.5),"Yes","No")</f>
        <v/>
      </c>
      <c r="K1002" s="21">
        <f>IF(AND(D1002="USA",C1002&gt;=1980,J1002="No"),"Yes","No")</f>
        <v/>
      </c>
      <c r="L1002" s="26">
        <f>IF(J1002="Yes","",H1002-I1002)</f>
        <v/>
      </c>
      <c r="M1002" s="27">
        <f>IF(OR(J1002="Yes",I1002=0),"",H1002/I1002)</f>
        <v/>
      </c>
      <c r="N1002" s="21">
        <f>IF(J1002="Yes","",IF(H1002&gt;=I1002,1,0))</f>
        <v/>
      </c>
      <c r="O1002" s="21">
        <f>IF(I1002&lt;=5000000,"Under $5M",IF(I1002&lt;=20000000,"$5M-20M",IF(I1002&lt;=50000000,"$20M-50M",IF(I1002&lt;=100000000,"$50M-100M","$100M+"))))</f>
        <v/>
      </c>
      <c r="P1002" s="21">
        <f>IF(E1002&lt;=90,"90 or less",IF(E1002&lt;=105,"91-105",IF(E1002&lt;=120,"106-120",IF(E1002&lt;=140,"121-140","Over 140"))))</f>
        <v/>
      </c>
      <c r="Q1002" s="28">
        <f>INT(C1002/10)*10</f>
        <v/>
      </c>
    </row>
    <row r="1003">
      <c r="A1003" s="21" t="n">
        <v>1027</v>
      </c>
      <c r="B1003" s="21" t="inlineStr">
        <is>
          <t>Titanic</t>
        </is>
      </c>
      <c r="C1003" s="21" t="n">
        <v>1997</v>
      </c>
      <c r="D1003" s="21" t="inlineStr">
        <is>
          <t>USA</t>
        </is>
      </c>
      <c r="E1003" s="21" t="n">
        <v>194</v>
      </c>
      <c r="F1003" s="21" t="inlineStr">
        <is>
          <t>English</t>
        </is>
      </c>
      <c r="G1003" s="21" t="inlineStr">
        <is>
          <t>PG-13</t>
        </is>
      </c>
      <c r="H1003" s="22" t="n">
        <v>658672302</v>
      </c>
      <c r="I1003" s="22" t="n">
        <v>200000000</v>
      </c>
      <c r="J1003" s="21">
        <f>IF(OR(H1003="",H1003=25529689.5),"Yes","No")</f>
        <v/>
      </c>
      <c r="K1003" s="21">
        <f>IF(AND(D1003="USA",C1003&gt;=1980,J1003="No"),"Yes","No")</f>
        <v/>
      </c>
      <c r="L1003" s="26">
        <f>IF(J1003="Yes","",H1003-I1003)</f>
        <v/>
      </c>
      <c r="M1003" s="27">
        <f>IF(OR(J1003="Yes",I1003=0),"",H1003/I1003)</f>
        <v/>
      </c>
      <c r="N1003" s="21">
        <f>IF(J1003="Yes","",IF(H1003&gt;=I1003,1,0))</f>
        <v/>
      </c>
      <c r="O1003" s="21">
        <f>IF(I1003&lt;=5000000,"Under $5M",IF(I1003&lt;=20000000,"$5M-20M",IF(I1003&lt;=50000000,"$20M-50M",IF(I1003&lt;=100000000,"$50M-100M","$100M+"))))</f>
        <v/>
      </c>
      <c r="P1003" s="21">
        <f>IF(E1003&lt;=90,"90 or less",IF(E1003&lt;=105,"91-105",IF(E1003&lt;=120,"106-120",IF(E1003&lt;=140,"121-140","Over 140"))))</f>
        <v/>
      </c>
      <c r="Q1003" s="28">
        <f>INT(C1003/10)*10</f>
        <v/>
      </c>
    </row>
    <row r="1004">
      <c r="A1004" s="21" t="n">
        <v>1028</v>
      </c>
      <c r="B1004" s="21" t="inlineStr">
        <is>
          <t>Tomorrow Never Dies</t>
        </is>
      </c>
      <c r="C1004" s="21" t="n">
        <v>1997</v>
      </c>
      <c r="D1004" s="21" t="inlineStr">
        <is>
          <t>UK</t>
        </is>
      </c>
      <c r="E1004" s="21" t="n">
        <v>119</v>
      </c>
      <c r="F1004" s="21" t="inlineStr">
        <is>
          <t>English</t>
        </is>
      </c>
      <c r="G1004" s="21" t="inlineStr">
        <is>
          <t>PG-13</t>
        </is>
      </c>
      <c r="H1004" s="22" t="n">
        <v>125332007</v>
      </c>
      <c r="I1004" s="22" t="n">
        <v>110000000</v>
      </c>
      <c r="J1004" s="21">
        <f>IF(OR(H1004="",H1004=25529689.5),"Yes","No")</f>
        <v/>
      </c>
      <c r="K1004" s="21">
        <f>IF(AND(D1004="USA",C1004&gt;=1980,J1004="No"),"Yes","No")</f>
        <v/>
      </c>
      <c r="L1004" s="26">
        <f>IF(J1004="Yes","",H1004-I1004)</f>
        <v/>
      </c>
      <c r="M1004" s="27">
        <f>IF(OR(J1004="Yes",I1004=0),"",H1004/I1004)</f>
        <v/>
      </c>
      <c r="N1004" s="21">
        <f>IF(J1004="Yes","",IF(H1004&gt;=I1004,1,0))</f>
        <v/>
      </c>
      <c r="O1004" s="21">
        <f>IF(I1004&lt;=5000000,"Under $5M",IF(I1004&lt;=20000000,"$5M-20M",IF(I1004&lt;=50000000,"$20M-50M",IF(I1004&lt;=100000000,"$50M-100M","$100M+"))))</f>
        <v/>
      </c>
      <c r="P1004" s="21">
        <f>IF(E1004&lt;=90,"90 or less",IF(E1004&lt;=105,"91-105",IF(E1004&lt;=120,"106-120",IF(E1004&lt;=140,"121-140","Over 140"))))</f>
        <v/>
      </c>
      <c r="Q1004" s="28">
        <f>INT(C1004/10)*10</f>
        <v/>
      </c>
    </row>
    <row r="1005">
      <c r="A1005" s="21" t="n">
        <v>1029</v>
      </c>
      <c r="B1005" s="21" t="inlineStr">
        <is>
          <t>Trekkies</t>
        </is>
      </c>
      <c r="C1005" s="21" t="n">
        <v>1997</v>
      </c>
      <c r="D1005" s="21" t="inlineStr">
        <is>
          <t>USA</t>
        </is>
      </c>
      <c r="E1005" s="21" t="n">
        <v>86</v>
      </c>
      <c r="F1005" s="21" t="inlineStr">
        <is>
          <t>English</t>
        </is>
      </c>
      <c r="G1005" s="21" t="inlineStr">
        <is>
          <t>PG</t>
        </is>
      </c>
      <c r="H1005" s="22" t="n">
        <v>617172</v>
      </c>
      <c r="I1005" s="22" t="n">
        <v>375000</v>
      </c>
      <c r="J1005" s="21">
        <f>IF(OR(H1005="",H1005=25529689.5),"Yes","No")</f>
        <v/>
      </c>
      <c r="K1005" s="21">
        <f>IF(AND(D1005="USA",C1005&gt;=1980,J1005="No"),"Yes","No")</f>
        <v/>
      </c>
      <c r="L1005" s="26">
        <f>IF(J1005="Yes","",H1005-I1005)</f>
        <v/>
      </c>
      <c r="M1005" s="27">
        <f>IF(OR(J1005="Yes",I1005=0),"",H1005/I1005)</f>
        <v/>
      </c>
      <c r="N1005" s="21">
        <f>IF(J1005="Yes","",IF(H1005&gt;=I1005,1,0))</f>
        <v/>
      </c>
      <c r="O1005" s="21">
        <f>IF(I1005&lt;=5000000,"Under $5M",IF(I1005&lt;=20000000,"$5M-20M",IF(I1005&lt;=50000000,"$20M-50M",IF(I1005&lt;=100000000,"$50M-100M","$100M+"))))</f>
        <v/>
      </c>
      <c r="P1005" s="21">
        <f>IF(E1005&lt;=90,"90 or less",IF(E1005&lt;=105,"91-105",IF(E1005&lt;=120,"106-120",IF(E1005&lt;=140,"121-140","Over 140"))))</f>
        <v/>
      </c>
      <c r="Q1005" s="28">
        <f>INT(C1005/10)*10</f>
        <v/>
      </c>
    </row>
    <row r="1006">
      <c r="A1006" s="21" t="n">
        <v>1030</v>
      </c>
      <c r="B1006" s="21" t="inlineStr">
        <is>
          <t>Turbulence</t>
        </is>
      </c>
      <c r="C1006" s="21" t="n">
        <v>1997</v>
      </c>
      <c r="D1006" s="21" t="inlineStr">
        <is>
          <t>USA</t>
        </is>
      </c>
      <c r="E1006" s="21" t="n">
        <v>100</v>
      </c>
      <c r="F1006" s="21" t="inlineStr">
        <is>
          <t>English</t>
        </is>
      </c>
      <c r="G1006" s="21" t="inlineStr">
        <is>
          <t>R</t>
        </is>
      </c>
      <c r="H1006" s="22" t="n">
        <v>11466088</v>
      </c>
      <c r="I1006" s="22" t="n">
        <v>71000000</v>
      </c>
      <c r="J1006" s="21">
        <f>IF(OR(H1006="",H1006=25529689.5),"Yes","No")</f>
        <v/>
      </c>
      <c r="K1006" s="21">
        <f>IF(AND(D1006="USA",C1006&gt;=1980,J1006="No"),"Yes","No")</f>
        <v/>
      </c>
      <c r="L1006" s="26">
        <f>IF(J1006="Yes","",H1006-I1006)</f>
        <v/>
      </c>
      <c r="M1006" s="27">
        <f>IF(OR(J1006="Yes",I1006=0),"",H1006/I1006)</f>
        <v/>
      </c>
      <c r="N1006" s="21">
        <f>IF(J1006="Yes","",IF(H1006&gt;=I1006,1,0))</f>
        <v/>
      </c>
      <c r="O1006" s="21">
        <f>IF(I1006&lt;=5000000,"Under $5M",IF(I1006&lt;=20000000,"$5M-20M",IF(I1006&lt;=50000000,"$20M-50M",IF(I1006&lt;=100000000,"$50M-100M","$100M+"))))</f>
        <v/>
      </c>
      <c r="P1006" s="21">
        <f>IF(E1006&lt;=90,"90 or less",IF(E1006&lt;=105,"91-105",IF(E1006&lt;=120,"106-120",IF(E1006&lt;=140,"121-140","Over 140"))))</f>
        <v/>
      </c>
      <c r="Q1006" s="28">
        <f>INT(C1006/10)*10</f>
        <v/>
      </c>
    </row>
    <row r="1007">
      <c r="A1007" s="21" t="n">
        <v>1031</v>
      </c>
      <c r="B1007" s="21" t="inlineStr">
        <is>
          <t>Two Girls and a Guy</t>
        </is>
      </c>
      <c r="C1007" s="21" t="n">
        <v>1997</v>
      </c>
      <c r="D1007" s="21" t="inlineStr">
        <is>
          <t>USA</t>
        </is>
      </c>
      <c r="E1007" s="21" t="n">
        <v>84</v>
      </c>
      <c r="F1007" s="21" t="inlineStr">
        <is>
          <t>English</t>
        </is>
      </c>
      <c r="G1007" s="21" t="inlineStr">
        <is>
          <t>R</t>
        </is>
      </c>
      <c r="H1007" s="22" t="n">
        <v>1950218</v>
      </c>
      <c r="I1007" s="22" t="n">
        <v>1000000</v>
      </c>
      <c r="J1007" s="21">
        <f>IF(OR(H1007="",H1007=25529689.5),"Yes","No")</f>
        <v/>
      </c>
      <c r="K1007" s="21">
        <f>IF(AND(D1007="USA",C1007&gt;=1980,J1007="No"),"Yes","No")</f>
        <v/>
      </c>
      <c r="L1007" s="26">
        <f>IF(J1007="Yes","",H1007-I1007)</f>
        <v/>
      </c>
      <c r="M1007" s="27">
        <f>IF(OR(J1007="Yes",I1007=0),"",H1007/I1007)</f>
        <v/>
      </c>
      <c r="N1007" s="21">
        <f>IF(J1007="Yes","",IF(H1007&gt;=I1007,1,0))</f>
        <v/>
      </c>
      <c r="O1007" s="21">
        <f>IF(I1007&lt;=5000000,"Under $5M",IF(I1007&lt;=20000000,"$5M-20M",IF(I1007&lt;=50000000,"$20M-50M",IF(I1007&lt;=100000000,"$50M-100M","$100M+"))))</f>
        <v/>
      </c>
      <c r="P1007" s="21">
        <f>IF(E1007&lt;=90,"90 or less",IF(E1007&lt;=105,"91-105",IF(E1007&lt;=120,"106-120",IF(E1007&lt;=140,"121-140","Over 140"))))</f>
        <v/>
      </c>
      <c r="Q1007" s="28">
        <f>INT(C1007/10)*10</f>
        <v/>
      </c>
    </row>
    <row r="1008">
      <c r="A1008" s="21" t="n">
        <v>1032</v>
      </c>
      <c r="B1008" s="21" t="inlineStr">
        <is>
          <t>Ulee's Gold</t>
        </is>
      </c>
      <c r="C1008" s="21" t="n">
        <v>1997</v>
      </c>
      <c r="D1008" s="21" t="inlineStr">
        <is>
          <t>USA</t>
        </is>
      </c>
      <c r="E1008" s="21" t="n">
        <v>113</v>
      </c>
      <c r="F1008" s="21" t="inlineStr">
        <is>
          <t>English</t>
        </is>
      </c>
      <c r="G1008" s="21" t="inlineStr">
        <is>
          <t>R</t>
        </is>
      </c>
      <c r="H1008" s="22" t="n">
        <v>9054736</v>
      </c>
      <c r="I1008" s="22" t="n">
        <v>2700000</v>
      </c>
      <c r="J1008" s="21">
        <f>IF(OR(H1008="",H1008=25529689.5),"Yes","No")</f>
        <v/>
      </c>
      <c r="K1008" s="21">
        <f>IF(AND(D1008="USA",C1008&gt;=1980,J1008="No"),"Yes","No")</f>
        <v/>
      </c>
      <c r="L1008" s="26">
        <f>IF(J1008="Yes","",H1008-I1008)</f>
        <v/>
      </c>
      <c r="M1008" s="27">
        <f>IF(OR(J1008="Yes",I1008=0),"",H1008/I1008)</f>
        <v/>
      </c>
      <c r="N1008" s="21">
        <f>IF(J1008="Yes","",IF(H1008&gt;=I1008,1,0))</f>
        <v/>
      </c>
      <c r="O1008" s="21">
        <f>IF(I1008&lt;=5000000,"Under $5M",IF(I1008&lt;=20000000,"$5M-20M",IF(I1008&lt;=50000000,"$20M-50M",IF(I1008&lt;=100000000,"$50M-100M","$100M+"))))</f>
        <v/>
      </c>
      <c r="P1008" s="21">
        <f>IF(E1008&lt;=90,"90 or less",IF(E1008&lt;=105,"91-105",IF(E1008&lt;=120,"106-120",IF(E1008&lt;=140,"121-140","Over 140"))))</f>
        <v/>
      </c>
      <c r="Q1008" s="28">
        <f>INT(C1008/10)*10</f>
        <v/>
      </c>
    </row>
    <row r="1009">
      <c r="A1009" s="21" t="n">
        <v>1033</v>
      </c>
      <c r="B1009" s="21" t="inlineStr">
        <is>
          <t>Volcano</t>
        </is>
      </c>
      <c r="C1009" s="21" t="n">
        <v>1997</v>
      </c>
      <c r="D1009" s="21" t="inlineStr">
        <is>
          <t>USA</t>
        </is>
      </c>
      <c r="E1009" s="21" t="n">
        <v>104</v>
      </c>
      <c r="F1009" s="21" t="inlineStr">
        <is>
          <t>English</t>
        </is>
      </c>
      <c r="G1009" s="21" t="inlineStr">
        <is>
          <t>PG-13</t>
        </is>
      </c>
      <c r="H1009" s="22" t="n">
        <v>47474112</v>
      </c>
      <c r="I1009" s="22" t="n">
        <v>90000000</v>
      </c>
      <c r="J1009" s="21">
        <f>IF(OR(H1009="",H1009=25529689.5),"Yes","No")</f>
        <v/>
      </c>
      <c r="K1009" s="21">
        <f>IF(AND(D1009="USA",C1009&gt;=1980,J1009="No"),"Yes","No")</f>
        <v/>
      </c>
      <c r="L1009" s="26">
        <f>IF(J1009="Yes","",H1009-I1009)</f>
        <v/>
      </c>
      <c r="M1009" s="27">
        <f>IF(OR(J1009="Yes",I1009=0),"",H1009/I1009)</f>
        <v/>
      </c>
      <c r="N1009" s="21">
        <f>IF(J1009="Yes","",IF(H1009&gt;=I1009,1,0))</f>
        <v/>
      </c>
      <c r="O1009" s="21">
        <f>IF(I1009&lt;=5000000,"Under $5M",IF(I1009&lt;=20000000,"$5M-20M",IF(I1009&lt;=50000000,"$20M-50M",IF(I1009&lt;=100000000,"$50M-100M","$100M+"))))</f>
        <v/>
      </c>
      <c r="P1009" s="21">
        <f>IF(E1009&lt;=90,"90 or less",IF(E1009&lt;=105,"91-105",IF(E1009&lt;=120,"106-120",IF(E1009&lt;=140,"121-140","Over 140"))))</f>
        <v/>
      </c>
      <c r="Q1009" s="28">
        <f>INT(C1009/10)*10</f>
        <v/>
      </c>
    </row>
    <row r="1010">
      <c r="A1010" s="21" t="n">
        <v>1034</v>
      </c>
      <c r="B1010" s="21" t="inlineStr">
        <is>
          <t>Wag the Dog</t>
        </is>
      </c>
      <c r="C1010" s="21" t="n">
        <v>1997</v>
      </c>
      <c r="D1010" s="21" t="inlineStr">
        <is>
          <t>USA</t>
        </is>
      </c>
      <c r="E1010" s="21" t="n">
        <v>97</v>
      </c>
      <c r="F1010" s="21" t="inlineStr">
        <is>
          <t>English</t>
        </is>
      </c>
      <c r="G1010" s="21" t="inlineStr">
        <is>
          <t>R</t>
        </is>
      </c>
      <c r="H1010" s="22" t="n">
        <v>43022524</v>
      </c>
      <c r="I1010" s="22" t="n">
        <v>15000000</v>
      </c>
      <c r="J1010" s="21">
        <f>IF(OR(H1010="",H1010=25529689.5),"Yes","No")</f>
        <v/>
      </c>
      <c r="K1010" s="21">
        <f>IF(AND(D1010="USA",C1010&gt;=1980,J1010="No"),"Yes","No")</f>
        <v/>
      </c>
      <c r="L1010" s="26">
        <f>IF(J1010="Yes","",H1010-I1010)</f>
        <v/>
      </c>
      <c r="M1010" s="27">
        <f>IF(OR(J1010="Yes",I1010=0),"",H1010/I1010)</f>
        <v/>
      </c>
      <c r="N1010" s="21">
        <f>IF(J1010="Yes","",IF(H1010&gt;=I1010,1,0))</f>
        <v/>
      </c>
      <c r="O1010" s="21">
        <f>IF(I1010&lt;=5000000,"Under $5M",IF(I1010&lt;=20000000,"$5M-20M",IF(I1010&lt;=50000000,"$20M-50M",IF(I1010&lt;=100000000,"$50M-100M","$100M+"))))</f>
        <v/>
      </c>
      <c r="P1010" s="21">
        <f>IF(E1010&lt;=90,"90 or less",IF(E1010&lt;=105,"91-105",IF(E1010&lt;=120,"106-120",IF(E1010&lt;=140,"121-140","Over 140"))))</f>
        <v/>
      </c>
      <c r="Q1010" s="28">
        <f>INT(C1010/10)*10</f>
        <v/>
      </c>
    </row>
    <row r="1011">
      <c r="A1011" s="21" t="n">
        <v>1035</v>
      </c>
      <c r="B1011" s="21" t="inlineStr">
        <is>
          <t>Warriors of Virtue</t>
        </is>
      </c>
      <c r="C1011" s="21" t="n">
        <v>1997</v>
      </c>
      <c r="D1011" s="21" t="inlineStr">
        <is>
          <t>USA</t>
        </is>
      </c>
      <c r="E1011" s="21" t="n">
        <v>101</v>
      </c>
      <c r="F1011" s="21" t="inlineStr">
        <is>
          <t>English</t>
        </is>
      </c>
      <c r="G1011" s="21" t="inlineStr">
        <is>
          <t>PG</t>
        </is>
      </c>
      <c r="H1011" s="22" t="n">
        <v>6448817</v>
      </c>
      <c r="I1011" s="22" t="n">
        <v>35000000</v>
      </c>
      <c r="J1011" s="21">
        <f>IF(OR(H1011="",H1011=25529689.5),"Yes","No")</f>
        <v/>
      </c>
      <c r="K1011" s="21">
        <f>IF(AND(D1011="USA",C1011&gt;=1980,J1011="No"),"Yes","No")</f>
        <v/>
      </c>
      <c r="L1011" s="26">
        <f>IF(J1011="Yes","",H1011-I1011)</f>
        <v/>
      </c>
      <c r="M1011" s="27">
        <f>IF(OR(J1011="Yes",I1011=0),"",H1011/I1011)</f>
        <v/>
      </c>
      <c r="N1011" s="21">
        <f>IF(J1011="Yes","",IF(H1011&gt;=I1011,1,0))</f>
        <v/>
      </c>
      <c r="O1011" s="21">
        <f>IF(I1011&lt;=5000000,"Under $5M",IF(I1011&lt;=20000000,"$5M-20M",IF(I1011&lt;=50000000,"$20M-50M",IF(I1011&lt;=100000000,"$50M-100M","$100M+"))))</f>
        <v/>
      </c>
      <c r="P1011" s="21">
        <f>IF(E1011&lt;=90,"90 or less",IF(E1011&lt;=105,"91-105",IF(E1011&lt;=120,"106-120",IF(E1011&lt;=140,"121-140","Over 140"))))</f>
        <v/>
      </c>
      <c r="Q1011" s="28">
        <f>INT(C1011/10)*10</f>
        <v/>
      </c>
    </row>
    <row r="1012">
      <c r="A1012" s="21" t="n">
        <v>1036</v>
      </c>
      <c r="B1012" s="21" t="inlineStr">
        <is>
          <t>20 Dates</t>
        </is>
      </c>
      <c r="C1012" s="21" t="n">
        <v>1998</v>
      </c>
      <c r="D1012" s="21" t="inlineStr">
        <is>
          <t>USA</t>
        </is>
      </c>
      <c r="E1012" s="21" t="n">
        <v>87</v>
      </c>
      <c r="F1012" s="21" t="inlineStr">
        <is>
          <t>English</t>
        </is>
      </c>
      <c r="G1012" s="21" t="inlineStr">
        <is>
          <t>R</t>
        </is>
      </c>
      <c r="H1012" s="22" t="n">
        <v>536767</v>
      </c>
      <c r="I1012" s="22" t="n">
        <v>60000</v>
      </c>
      <c r="J1012" s="21">
        <f>IF(OR(H1012="",H1012=25529689.5),"Yes","No")</f>
        <v/>
      </c>
      <c r="K1012" s="21">
        <f>IF(AND(D1012="USA",C1012&gt;=1980,J1012="No"),"Yes","No")</f>
        <v/>
      </c>
      <c r="L1012" s="26">
        <f>IF(J1012="Yes","",H1012-I1012)</f>
        <v/>
      </c>
      <c r="M1012" s="27">
        <f>IF(OR(J1012="Yes",I1012=0),"",H1012/I1012)</f>
        <v/>
      </c>
      <c r="N1012" s="21">
        <f>IF(J1012="Yes","",IF(H1012&gt;=I1012,1,0))</f>
        <v/>
      </c>
      <c r="O1012" s="21">
        <f>IF(I1012&lt;=5000000,"Under $5M",IF(I1012&lt;=20000000,"$5M-20M",IF(I1012&lt;=50000000,"$20M-50M",IF(I1012&lt;=100000000,"$50M-100M","$100M+"))))</f>
        <v/>
      </c>
      <c r="P1012" s="21">
        <f>IF(E1012&lt;=90,"90 or less",IF(E1012&lt;=105,"91-105",IF(E1012&lt;=120,"106-120",IF(E1012&lt;=140,"121-140","Over 140"))))</f>
        <v/>
      </c>
      <c r="Q1012" s="28">
        <f>INT(C1012/10)*10</f>
        <v/>
      </c>
    </row>
    <row r="1013">
      <c r="A1013" s="21" t="n">
        <v>1037</v>
      </c>
      <c r="B1013" s="21" t="inlineStr">
        <is>
          <t>54</t>
        </is>
      </c>
      <c r="C1013" s="21" t="n">
        <v>1998</v>
      </c>
      <c r="D1013" s="21" t="inlineStr">
        <is>
          <t>USA</t>
        </is>
      </c>
      <c r="E1013" s="21" t="n">
        <v>121</v>
      </c>
      <c r="F1013" s="21" t="inlineStr">
        <is>
          <t>English</t>
        </is>
      </c>
      <c r="G1013" s="21" t="inlineStr">
        <is>
          <t>R</t>
        </is>
      </c>
      <c r="H1013" s="22" t="n">
        <v>16574731</v>
      </c>
      <c r="I1013" s="22" t="n">
        <v>13000000</v>
      </c>
      <c r="J1013" s="21">
        <f>IF(OR(H1013="",H1013=25529689.5),"Yes","No")</f>
        <v/>
      </c>
      <c r="K1013" s="21">
        <f>IF(AND(D1013="USA",C1013&gt;=1980,J1013="No"),"Yes","No")</f>
        <v/>
      </c>
      <c r="L1013" s="26">
        <f>IF(J1013="Yes","",H1013-I1013)</f>
        <v/>
      </c>
      <c r="M1013" s="27">
        <f>IF(OR(J1013="Yes",I1013=0),"",H1013/I1013)</f>
        <v/>
      </c>
      <c r="N1013" s="21">
        <f>IF(J1013="Yes","",IF(H1013&gt;=I1013,1,0))</f>
        <v/>
      </c>
      <c r="O1013" s="21">
        <f>IF(I1013&lt;=5000000,"Under $5M",IF(I1013&lt;=20000000,"$5M-20M",IF(I1013&lt;=50000000,"$20M-50M",IF(I1013&lt;=100000000,"$50M-100M","$100M+"))))</f>
        <v/>
      </c>
      <c r="P1013" s="21">
        <f>IF(E1013&lt;=90,"90 or less",IF(E1013&lt;=105,"91-105",IF(E1013&lt;=120,"106-120",IF(E1013&lt;=140,"121-140","Over 140"))))</f>
        <v/>
      </c>
      <c r="Q1013" s="28">
        <f>INT(C1013/10)*10</f>
        <v/>
      </c>
    </row>
    <row r="1014">
      <c r="A1014" s="21" t="n">
        <v>1038</v>
      </c>
      <c r="B1014" s="21" t="inlineStr">
        <is>
          <t>A Bug's Life</t>
        </is>
      </c>
      <c r="C1014" s="21" t="n">
        <v>1998</v>
      </c>
      <c r="D1014" s="21" t="inlineStr">
        <is>
          <t>USA</t>
        </is>
      </c>
      <c r="E1014" s="21" t="n">
        <v>95</v>
      </c>
      <c r="F1014" s="21" t="inlineStr">
        <is>
          <t>English</t>
        </is>
      </c>
      <c r="G1014" s="21" t="inlineStr">
        <is>
          <t>G</t>
        </is>
      </c>
      <c r="H1014" s="22" t="n">
        <v>162792677</v>
      </c>
      <c r="I1014" s="22" t="n">
        <v>120000000</v>
      </c>
      <c r="J1014" s="21">
        <f>IF(OR(H1014="",H1014=25529689.5),"Yes","No")</f>
        <v/>
      </c>
      <c r="K1014" s="21">
        <f>IF(AND(D1014="USA",C1014&gt;=1980,J1014="No"),"Yes","No")</f>
        <v/>
      </c>
      <c r="L1014" s="26">
        <f>IF(J1014="Yes","",H1014-I1014)</f>
        <v/>
      </c>
      <c r="M1014" s="27">
        <f>IF(OR(J1014="Yes",I1014=0),"",H1014/I1014)</f>
        <v/>
      </c>
      <c r="N1014" s="21">
        <f>IF(J1014="Yes","",IF(H1014&gt;=I1014,1,0))</f>
        <v/>
      </c>
      <c r="O1014" s="21">
        <f>IF(I1014&lt;=5000000,"Under $5M",IF(I1014&lt;=20000000,"$5M-20M",IF(I1014&lt;=50000000,"$20M-50M",IF(I1014&lt;=100000000,"$50M-100M","$100M+"))))</f>
        <v/>
      </c>
      <c r="P1014" s="21">
        <f>IF(E1014&lt;=90,"90 or less",IF(E1014&lt;=105,"91-105",IF(E1014&lt;=120,"106-120",IF(E1014&lt;=140,"121-140","Over 140"))))</f>
        <v/>
      </c>
      <c r="Q1014" s="28">
        <f>INT(C1014/10)*10</f>
        <v/>
      </c>
    </row>
    <row r="1015">
      <c r="A1015" s="21" t="n">
        <v>1039</v>
      </c>
      <c r="B1015" s="21" t="inlineStr">
        <is>
          <t>A Civil Action</t>
        </is>
      </c>
      <c r="C1015" s="21" t="n">
        <v>1998</v>
      </c>
      <c r="D1015" s="21" t="inlineStr">
        <is>
          <t>USA</t>
        </is>
      </c>
      <c r="E1015" s="21" t="n">
        <v>115</v>
      </c>
      <c r="F1015" s="21" t="inlineStr">
        <is>
          <t>English</t>
        </is>
      </c>
      <c r="G1015" s="21" t="inlineStr">
        <is>
          <t>PG-13</t>
        </is>
      </c>
      <c r="H1015" s="22" t="n">
        <v>56702901</v>
      </c>
      <c r="I1015" s="22" t="n">
        <v>60000000</v>
      </c>
      <c r="J1015" s="21">
        <f>IF(OR(H1015="",H1015=25529689.5),"Yes","No")</f>
        <v/>
      </c>
      <c r="K1015" s="21">
        <f>IF(AND(D1015="USA",C1015&gt;=1980,J1015="No"),"Yes","No")</f>
        <v/>
      </c>
      <c r="L1015" s="26">
        <f>IF(J1015="Yes","",H1015-I1015)</f>
        <v/>
      </c>
      <c r="M1015" s="27">
        <f>IF(OR(J1015="Yes",I1015=0),"",H1015/I1015)</f>
        <v/>
      </c>
      <c r="N1015" s="21">
        <f>IF(J1015="Yes","",IF(H1015&gt;=I1015,1,0))</f>
        <v/>
      </c>
      <c r="O1015" s="21">
        <f>IF(I1015&lt;=5000000,"Under $5M",IF(I1015&lt;=20000000,"$5M-20M",IF(I1015&lt;=50000000,"$20M-50M",IF(I1015&lt;=100000000,"$50M-100M","$100M+"))))</f>
        <v/>
      </c>
      <c r="P1015" s="21">
        <f>IF(E1015&lt;=90,"90 or less",IF(E1015&lt;=105,"91-105",IF(E1015&lt;=120,"106-120",IF(E1015&lt;=140,"121-140","Over 140"))))</f>
        <v/>
      </c>
      <c r="Q1015" s="28">
        <f>INT(C1015/10)*10</f>
        <v/>
      </c>
    </row>
    <row r="1016">
      <c r="A1016" s="21" t="n">
        <v>1040</v>
      </c>
      <c r="B1016" s="21" t="inlineStr">
        <is>
          <t>A Night at the Roxbury</t>
        </is>
      </c>
      <c r="C1016" s="21" t="n">
        <v>1998</v>
      </c>
      <c r="D1016" s="21" t="inlineStr">
        <is>
          <t>USA</t>
        </is>
      </c>
      <c r="E1016" s="21" t="n">
        <v>82</v>
      </c>
      <c r="F1016" s="21" t="inlineStr">
        <is>
          <t>English</t>
        </is>
      </c>
      <c r="G1016" s="21" t="inlineStr">
        <is>
          <t>PG-13</t>
        </is>
      </c>
      <c r="H1016" s="22" t="n">
        <v>30324946</v>
      </c>
      <c r="I1016" s="22" t="n">
        <v>17000000</v>
      </c>
      <c r="J1016" s="21">
        <f>IF(OR(H1016="",H1016=25529689.5),"Yes","No")</f>
        <v/>
      </c>
      <c r="K1016" s="21">
        <f>IF(AND(D1016="USA",C1016&gt;=1980,J1016="No"),"Yes","No")</f>
        <v/>
      </c>
      <c r="L1016" s="26">
        <f>IF(J1016="Yes","",H1016-I1016)</f>
        <v/>
      </c>
      <c r="M1016" s="27">
        <f>IF(OR(J1016="Yes",I1016=0),"",H1016/I1016)</f>
        <v/>
      </c>
      <c r="N1016" s="21">
        <f>IF(J1016="Yes","",IF(H1016&gt;=I1016,1,0))</f>
        <v/>
      </c>
      <c r="O1016" s="21">
        <f>IF(I1016&lt;=5000000,"Under $5M",IF(I1016&lt;=20000000,"$5M-20M",IF(I1016&lt;=50000000,"$20M-50M",IF(I1016&lt;=100000000,"$50M-100M","$100M+"))))</f>
        <v/>
      </c>
      <c r="P1016" s="21">
        <f>IF(E1016&lt;=90,"90 or less",IF(E1016&lt;=105,"91-105",IF(E1016&lt;=120,"106-120",IF(E1016&lt;=140,"121-140","Over 140"))))</f>
        <v/>
      </c>
      <c r="Q1016" s="28">
        <f>INT(C1016/10)*10</f>
        <v/>
      </c>
    </row>
    <row r="1017">
      <c r="A1017" s="21" t="n">
        <v>1041</v>
      </c>
      <c r="B1017" s="21" t="inlineStr">
        <is>
          <t>A Simple Plan</t>
        </is>
      </c>
      <c r="C1017" s="21" t="n">
        <v>1998</v>
      </c>
      <c r="D1017" s="21" t="inlineStr">
        <is>
          <t>UK</t>
        </is>
      </c>
      <c r="E1017" s="21" t="n">
        <v>121</v>
      </c>
      <c r="F1017" s="21" t="inlineStr">
        <is>
          <t>English</t>
        </is>
      </c>
      <c r="G1017" s="21" t="inlineStr">
        <is>
          <t>R</t>
        </is>
      </c>
      <c r="H1017" s="22" t="n">
        <v>16311763</v>
      </c>
      <c r="I1017" s="22" t="n">
        <v>17000000</v>
      </c>
      <c r="J1017" s="21">
        <f>IF(OR(H1017="",H1017=25529689.5),"Yes","No")</f>
        <v/>
      </c>
      <c r="K1017" s="21">
        <f>IF(AND(D1017="USA",C1017&gt;=1980,J1017="No"),"Yes","No")</f>
        <v/>
      </c>
      <c r="L1017" s="26">
        <f>IF(J1017="Yes","",H1017-I1017)</f>
        <v/>
      </c>
      <c r="M1017" s="27">
        <f>IF(OR(J1017="Yes",I1017=0),"",H1017/I1017)</f>
        <v/>
      </c>
      <c r="N1017" s="21">
        <f>IF(J1017="Yes","",IF(H1017&gt;=I1017,1,0))</f>
        <v/>
      </c>
      <c r="O1017" s="21">
        <f>IF(I1017&lt;=5000000,"Under $5M",IF(I1017&lt;=20000000,"$5M-20M",IF(I1017&lt;=50000000,"$20M-50M",IF(I1017&lt;=100000000,"$50M-100M","$100M+"))))</f>
        <v/>
      </c>
      <c r="P1017" s="21">
        <f>IF(E1017&lt;=90,"90 or less",IF(E1017&lt;=105,"91-105",IF(E1017&lt;=120,"106-120",IF(E1017&lt;=140,"121-140","Over 140"))))</f>
        <v/>
      </c>
      <c r="Q1017" s="28">
        <f>INT(C1017/10)*10</f>
        <v/>
      </c>
    </row>
    <row r="1018">
      <c r="A1018" s="21" t="n">
        <v>1042</v>
      </c>
      <c r="B1018" s="21" t="inlineStr">
        <is>
          <t>American History X</t>
        </is>
      </c>
      <c r="C1018" s="21" t="n">
        <v>1998</v>
      </c>
      <c r="D1018" s="21" t="inlineStr">
        <is>
          <t>USA</t>
        </is>
      </c>
      <c r="E1018" s="21" t="n">
        <v>101</v>
      </c>
      <c r="F1018" s="21" t="inlineStr">
        <is>
          <t>English</t>
        </is>
      </c>
      <c r="G1018" s="21" t="inlineStr">
        <is>
          <t>R</t>
        </is>
      </c>
      <c r="H1018" s="22" t="n">
        <v>6712241</v>
      </c>
      <c r="I1018" s="22" t="n">
        <v>7500000</v>
      </c>
      <c r="J1018" s="21">
        <f>IF(OR(H1018="",H1018=25529689.5),"Yes","No")</f>
        <v/>
      </c>
      <c r="K1018" s="21">
        <f>IF(AND(D1018="USA",C1018&gt;=1980,J1018="No"),"Yes","No")</f>
        <v/>
      </c>
      <c r="L1018" s="26">
        <f>IF(J1018="Yes","",H1018-I1018)</f>
        <v/>
      </c>
      <c r="M1018" s="27">
        <f>IF(OR(J1018="Yes",I1018=0),"",H1018/I1018)</f>
        <v/>
      </c>
      <c r="N1018" s="21">
        <f>IF(J1018="Yes","",IF(H1018&gt;=I1018,1,0))</f>
        <v/>
      </c>
      <c r="O1018" s="21">
        <f>IF(I1018&lt;=5000000,"Under $5M",IF(I1018&lt;=20000000,"$5M-20M",IF(I1018&lt;=50000000,"$20M-50M",IF(I1018&lt;=100000000,"$50M-100M","$100M+"))))</f>
        <v/>
      </c>
      <c r="P1018" s="21">
        <f>IF(E1018&lt;=90,"90 or less",IF(E1018&lt;=105,"91-105",IF(E1018&lt;=120,"106-120",IF(E1018&lt;=140,"121-140","Over 140"))))</f>
        <v/>
      </c>
      <c r="Q1018" s="28">
        <f>INT(C1018/10)*10</f>
        <v/>
      </c>
    </row>
    <row r="1019">
      <c r="A1019" s="21" t="n">
        <v>1043</v>
      </c>
      <c r="B1019" s="21" t="inlineStr">
        <is>
          <t>Among Giants</t>
        </is>
      </c>
      <c r="C1019" s="21" t="n">
        <v>1998</v>
      </c>
      <c r="D1019" s="21" t="inlineStr">
        <is>
          <t>UK</t>
        </is>
      </c>
      <c r="E1019" s="21" t="n">
        <v>93</v>
      </c>
      <c r="F1019" s="21" t="inlineStr">
        <is>
          <t>English</t>
        </is>
      </c>
      <c r="G1019" s="21" t="inlineStr">
        <is>
          <t>R</t>
        </is>
      </c>
      <c r="H1019" s="22" t="n">
        <v>64359</v>
      </c>
      <c r="I1019" s="22" t="n">
        <v>2500000</v>
      </c>
      <c r="J1019" s="21">
        <f>IF(OR(H1019="",H1019=25529689.5),"Yes","No")</f>
        <v/>
      </c>
      <c r="K1019" s="21">
        <f>IF(AND(D1019="USA",C1019&gt;=1980,J1019="No"),"Yes","No")</f>
        <v/>
      </c>
      <c r="L1019" s="26">
        <f>IF(J1019="Yes","",H1019-I1019)</f>
        <v/>
      </c>
      <c r="M1019" s="27">
        <f>IF(OR(J1019="Yes",I1019=0),"",H1019/I1019)</f>
        <v/>
      </c>
      <c r="N1019" s="21">
        <f>IF(J1019="Yes","",IF(H1019&gt;=I1019,1,0))</f>
        <v/>
      </c>
      <c r="O1019" s="21">
        <f>IF(I1019&lt;=5000000,"Under $5M",IF(I1019&lt;=20000000,"$5M-20M",IF(I1019&lt;=50000000,"$20M-50M",IF(I1019&lt;=100000000,"$50M-100M","$100M+"))))</f>
        <v/>
      </c>
      <c r="P1019" s="21">
        <f>IF(E1019&lt;=90,"90 or less",IF(E1019&lt;=105,"91-105",IF(E1019&lt;=120,"106-120",IF(E1019&lt;=140,"121-140","Over 140"))))</f>
        <v/>
      </c>
      <c r="Q1019" s="28">
        <f>INT(C1019/10)*10</f>
        <v/>
      </c>
    </row>
    <row r="1020">
      <c r="A1020" s="21" t="n">
        <v>1044</v>
      </c>
      <c r="B1020" s="21" t="inlineStr">
        <is>
          <t>Antz</t>
        </is>
      </c>
      <c r="C1020" s="21" t="n">
        <v>1998</v>
      </c>
      <c r="D1020" s="21" t="inlineStr">
        <is>
          <t>USA</t>
        </is>
      </c>
      <c r="E1020" s="21" t="n">
        <v>83</v>
      </c>
      <c r="F1020" s="21" t="inlineStr">
        <is>
          <t>English</t>
        </is>
      </c>
      <c r="G1020" s="21" t="inlineStr">
        <is>
          <t>PG</t>
        </is>
      </c>
      <c r="H1020" s="22" t="n">
        <v>90646554</v>
      </c>
      <c r="I1020" s="22" t="n">
        <v>105000000</v>
      </c>
      <c r="J1020" s="21">
        <f>IF(OR(H1020="",H1020=25529689.5),"Yes","No")</f>
        <v/>
      </c>
      <c r="K1020" s="21">
        <f>IF(AND(D1020="USA",C1020&gt;=1980,J1020="No"),"Yes","No")</f>
        <v/>
      </c>
      <c r="L1020" s="26">
        <f>IF(J1020="Yes","",H1020-I1020)</f>
        <v/>
      </c>
      <c r="M1020" s="27">
        <f>IF(OR(J1020="Yes",I1020=0),"",H1020/I1020)</f>
        <v/>
      </c>
      <c r="N1020" s="21">
        <f>IF(J1020="Yes","",IF(H1020&gt;=I1020,1,0))</f>
        <v/>
      </c>
      <c r="O1020" s="21">
        <f>IF(I1020&lt;=5000000,"Under $5M",IF(I1020&lt;=20000000,"$5M-20M",IF(I1020&lt;=50000000,"$20M-50M",IF(I1020&lt;=100000000,"$50M-100M","$100M+"))))</f>
        <v/>
      </c>
      <c r="P1020" s="21">
        <f>IF(E1020&lt;=90,"90 or less",IF(E1020&lt;=105,"91-105",IF(E1020&lt;=120,"106-120",IF(E1020&lt;=140,"121-140","Over 140"))))</f>
        <v/>
      </c>
      <c r="Q1020" s="28">
        <f>INT(C1020/10)*10</f>
        <v/>
      </c>
    </row>
    <row r="1021">
      <c r="A1021" s="21" t="n">
        <v>1045</v>
      </c>
      <c r="B1021" s="21" t="inlineStr">
        <is>
          <t>Armageddon</t>
        </is>
      </c>
      <c r="C1021" s="21" t="n">
        <v>1998</v>
      </c>
      <c r="D1021" s="21" t="inlineStr">
        <is>
          <t>USA</t>
        </is>
      </c>
      <c r="E1021" s="21" t="n">
        <v>153</v>
      </c>
      <c r="F1021" s="21" t="inlineStr">
        <is>
          <t>English</t>
        </is>
      </c>
      <c r="G1021" s="21" t="inlineStr">
        <is>
          <t>PG-13</t>
        </is>
      </c>
      <c r="H1021" s="22" t="n">
        <v>201573391</v>
      </c>
      <c r="I1021" s="22" t="n">
        <v>140000000</v>
      </c>
      <c r="J1021" s="21">
        <f>IF(OR(H1021="",H1021=25529689.5),"Yes","No")</f>
        <v/>
      </c>
      <c r="K1021" s="21">
        <f>IF(AND(D1021="USA",C1021&gt;=1980,J1021="No"),"Yes","No")</f>
        <v/>
      </c>
      <c r="L1021" s="26">
        <f>IF(J1021="Yes","",H1021-I1021)</f>
        <v/>
      </c>
      <c r="M1021" s="27">
        <f>IF(OR(J1021="Yes",I1021=0),"",H1021/I1021)</f>
        <v/>
      </c>
      <c r="N1021" s="21">
        <f>IF(J1021="Yes","",IF(H1021&gt;=I1021,1,0))</f>
        <v/>
      </c>
      <c r="O1021" s="21">
        <f>IF(I1021&lt;=5000000,"Under $5M",IF(I1021&lt;=20000000,"$5M-20M",IF(I1021&lt;=50000000,"$20M-50M",IF(I1021&lt;=100000000,"$50M-100M","$100M+"))))</f>
        <v/>
      </c>
      <c r="P1021" s="21">
        <f>IF(E1021&lt;=90,"90 or less",IF(E1021&lt;=105,"91-105",IF(E1021&lt;=120,"106-120",IF(E1021&lt;=140,"121-140","Over 140"))))</f>
        <v/>
      </c>
      <c r="Q1021" s="28">
        <f>INT(C1021/10)*10</f>
        <v/>
      </c>
    </row>
    <row r="1022">
      <c r="A1022" s="21" t="n">
        <v>1046</v>
      </c>
      <c r="B1022" s="21" t="inlineStr">
        <is>
          <t>Babe: Pig in the City</t>
        </is>
      </c>
      <c r="C1022" s="21" t="n">
        <v>1998</v>
      </c>
      <c r="D1022" s="21" t="inlineStr">
        <is>
          <t>Australia</t>
        </is>
      </c>
      <c r="E1022" s="21" t="n">
        <v>97</v>
      </c>
      <c r="F1022" s="21" t="inlineStr">
        <is>
          <t>English</t>
        </is>
      </c>
      <c r="G1022" s="21" t="inlineStr">
        <is>
          <t>G</t>
        </is>
      </c>
      <c r="H1022" s="22" t="n">
        <v>18318000</v>
      </c>
      <c r="I1022" s="22" t="n">
        <v>80000000</v>
      </c>
      <c r="J1022" s="21">
        <f>IF(OR(H1022="",H1022=25529689.5),"Yes","No")</f>
        <v/>
      </c>
      <c r="K1022" s="21">
        <f>IF(AND(D1022="USA",C1022&gt;=1980,J1022="No"),"Yes","No")</f>
        <v/>
      </c>
      <c r="L1022" s="26">
        <f>IF(J1022="Yes","",H1022-I1022)</f>
        <v/>
      </c>
      <c r="M1022" s="27">
        <f>IF(OR(J1022="Yes",I1022=0),"",H1022/I1022)</f>
        <v/>
      </c>
      <c r="N1022" s="21">
        <f>IF(J1022="Yes","",IF(H1022&gt;=I1022,1,0))</f>
        <v/>
      </c>
      <c r="O1022" s="21">
        <f>IF(I1022&lt;=5000000,"Under $5M",IF(I1022&lt;=20000000,"$5M-20M",IF(I1022&lt;=50000000,"$20M-50M",IF(I1022&lt;=100000000,"$50M-100M","$100M+"))))</f>
        <v/>
      </c>
      <c r="P1022" s="21">
        <f>IF(E1022&lt;=90,"90 or less",IF(E1022&lt;=105,"91-105",IF(E1022&lt;=120,"106-120",IF(E1022&lt;=140,"121-140","Over 140"))))</f>
        <v/>
      </c>
      <c r="Q1022" s="28">
        <f>INT(C1022/10)*10</f>
        <v/>
      </c>
    </row>
    <row r="1023">
      <c r="A1023" s="21" t="n">
        <v>1047</v>
      </c>
      <c r="B1023" s="21" t="inlineStr">
        <is>
          <t>Barney's Great Adventure</t>
        </is>
      </c>
      <c r="C1023" s="21" t="n">
        <v>1998</v>
      </c>
      <c r="D1023" s="21" t="inlineStr">
        <is>
          <t>Canada</t>
        </is>
      </c>
      <c r="E1023" s="21" t="n">
        <v>76</v>
      </c>
      <c r="F1023" s="21" t="inlineStr">
        <is>
          <t>English</t>
        </is>
      </c>
      <c r="G1023" s="21" t="inlineStr">
        <is>
          <t>G</t>
        </is>
      </c>
      <c r="H1023" s="22" t="n">
        <v>11144518</v>
      </c>
      <c r="I1023" s="22" t="n">
        <v>15000000</v>
      </c>
      <c r="J1023" s="21">
        <f>IF(OR(H1023="",H1023=25529689.5),"Yes","No")</f>
        <v/>
      </c>
      <c r="K1023" s="21">
        <f>IF(AND(D1023="USA",C1023&gt;=1980,J1023="No"),"Yes","No")</f>
        <v/>
      </c>
      <c r="L1023" s="26">
        <f>IF(J1023="Yes","",H1023-I1023)</f>
        <v/>
      </c>
      <c r="M1023" s="27">
        <f>IF(OR(J1023="Yes",I1023=0),"",H1023/I1023)</f>
        <v/>
      </c>
      <c r="N1023" s="21">
        <f>IF(J1023="Yes","",IF(H1023&gt;=I1023,1,0))</f>
        <v/>
      </c>
      <c r="O1023" s="21">
        <f>IF(I1023&lt;=5000000,"Under $5M",IF(I1023&lt;=20000000,"$5M-20M",IF(I1023&lt;=50000000,"$20M-50M",IF(I1023&lt;=100000000,"$50M-100M","$100M+"))))</f>
        <v/>
      </c>
      <c r="P1023" s="21">
        <f>IF(E1023&lt;=90,"90 or less",IF(E1023&lt;=105,"91-105",IF(E1023&lt;=120,"106-120",IF(E1023&lt;=140,"121-140","Over 140"))))</f>
        <v/>
      </c>
      <c r="Q1023" s="28">
        <f>INT(C1023/10)*10</f>
        <v/>
      </c>
    </row>
    <row r="1024">
      <c r="A1024" s="21" t="n">
        <v>1048</v>
      </c>
      <c r="B1024" s="21" t="inlineStr">
        <is>
          <t>Beloved</t>
        </is>
      </c>
      <c r="C1024" s="21" t="n">
        <v>1998</v>
      </c>
      <c r="D1024" s="21" t="inlineStr">
        <is>
          <t>USA</t>
        </is>
      </c>
      <c r="E1024" s="21" t="n">
        <v>172</v>
      </c>
      <c r="F1024" s="21" t="inlineStr">
        <is>
          <t>English</t>
        </is>
      </c>
      <c r="G1024" s="21" t="inlineStr">
        <is>
          <t>R</t>
        </is>
      </c>
      <c r="H1024" s="22" t="n">
        <v>22843047</v>
      </c>
      <c r="I1024" s="22" t="n">
        <v>55000000</v>
      </c>
      <c r="J1024" s="21">
        <f>IF(OR(H1024="",H1024=25529689.5),"Yes","No")</f>
        <v/>
      </c>
      <c r="K1024" s="21">
        <f>IF(AND(D1024="USA",C1024&gt;=1980,J1024="No"),"Yes","No")</f>
        <v/>
      </c>
      <c r="L1024" s="26">
        <f>IF(J1024="Yes","",H1024-I1024)</f>
        <v/>
      </c>
      <c r="M1024" s="27">
        <f>IF(OR(J1024="Yes",I1024=0),"",H1024/I1024)</f>
        <v/>
      </c>
      <c r="N1024" s="21">
        <f>IF(J1024="Yes","",IF(H1024&gt;=I1024,1,0))</f>
        <v/>
      </c>
      <c r="O1024" s="21">
        <f>IF(I1024&lt;=5000000,"Under $5M",IF(I1024&lt;=20000000,"$5M-20M",IF(I1024&lt;=50000000,"$20M-50M",IF(I1024&lt;=100000000,"$50M-100M","$100M+"))))</f>
        <v/>
      </c>
      <c r="P1024" s="21">
        <f>IF(E1024&lt;=90,"90 or less",IF(E1024&lt;=105,"91-105",IF(E1024&lt;=120,"106-120",IF(E1024&lt;=140,"121-140","Over 140"))))</f>
        <v/>
      </c>
      <c r="Q1024" s="28">
        <f>INT(C1024/10)*10</f>
        <v/>
      </c>
    </row>
    <row r="1025">
      <c r="A1025" s="21" t="n">
        <v>1049</v>
      </c>
      <c r="B1025" s="21" t="inlineStr">
        <is>
          <t>Blade</t>
        </is>
      </c>
      <c r="C1025" s="21" t="n">
        <v>1998</v>
      </c>
      <c r="D1025" s="21" t="inlineStr">
        <is>
          <t>USA</t>
        </is>
      </c>
      <c r="E1025" s="21" t="n">
        <v>110</v>
      </c>
      <c r="F1025" s="21" t="inlineStr">
        <is>
          <t>English</t>
        </is>
      </c>
      <c r="G1025" s="21" t="inlineStr">
        <is>
          <t>R</t>
        </is>
      </c>
      <c r="H1025" s="22" t="n">
        <v>70001065</v>
      </c>
      <c r="I1025" s="22" t="n">
        <v>45000000</v>
      </c>
      <c r="J1025" s="21">
        <f>IF(OR(H1025="",H1025=25529689.5),"Yes","No")</f>
        <v/>
      </c>
      <c r="K1025" s="21">
        <f>IF(AND(D1025="USA",C1025&gt;=1980,J1025="No"),"Yes","No")</f>
        <v/>
      </c>
      <c r="L1025" s="26">
        <f>IF(J1025="Yes","",H1025-I1025)</f>
        <v/>
      </c>
      <c r="M1025" s="27">
        <f>IF(OR(J1025="Yes",I1025=0),"",H1025/I1025)</f>
        <v/>
      </c>
      <c r="N1025" s="21">
        <f>IF(J1025="Yes","",IF(H1025&gt;=I1025,1,0))</f>
        <v/>
      </c>
      <c r="O1025" s="21">
        <f>IF(I1025&lt;=5000000,"Under $5M",IF(I1025&lt;=20000000,"$5M-20M",IF(I1025&lt;=50000000,"$20M-50M",IF(I1025&lt;=100000000,"$50M-100M","$100M+"))))</f>
        <v/>
      </c>
      <c r="P1025" s="21">
        <f>IF(E1025&lt;=90,"90 or less",IF(E1025&lt;=105,"91-105",IF(E1025&lt;=120,"106-120",IF(E1025&lt;=140,"121-140","Over 140"))))</f>
        <v/>
      </c>
      <c r="Q1025" s="28">
        <f>INT(C1025/10)*10</f>
        <v/>
      </c>
    </row>
    <row r="1026">
      <c r="A1026" s="21" t="n">
        <v>1050</v>
      </c>
      <c r="B1026" s="21" t="inlineStr">
        <is>
          <t>Bride of Chucky</t>
        </is>
      </c>
      <c r="C1026" s="21" t="n">
        <v>1998</v>
      </c>
      <c r="D1026" s="21" t="inlineStr">
        <is>
          <t>Canada</t>
        </is>
      </c>
      <c r="E1026" s="21" t="n">
        <v>89</v>
      </c>
      <c r="F1026" s="21" t="inlineStr">
        <is>
          <t>English</t>
        </is>
      </c>
      <c r="G1026" s="21" t="inlineStr">
        <is>
          <t>R</t>
        </is>
      </c>
      <c r="H1026" s="22" t="n">
        <v>32368960</v>
      </c>
      <c r="I1026" s="22" t="n">
        <v>25000000</v>
      </c>
      <c r="J1026" s="21">
        <f>IF(OR(H1026="",H1026=25529689.5),"Yes","No")</f>
        <v/>
      </c>
      <c r="K1026" s="21">
        <f>IF(AND(D1026="USA",C1026&gt;=1980,J1026="No"),"Yes","No")</f>
        <v/>
      </c>
      <c r="L1026" s="26">
        <f>IF(J1026="Yes","",H1026-I1026)</f>
        <v/>
      </c>
      <c r="M1026" s="27">
        <f>IF(OR(J1026="Yes",I1026=0),"",H1026/I1026)</f>
        <v/>
      </c>
      <c r="N1026" s="21">
        <f>IF(J1026="Yes","",IF(H1026&gt;=I1026,1,0))</f>
        <v/>
      </c>
      <c r="O1026" s="21">
        <f>IF(I1026&lt;=5000000,"Under $5M",IF(I1026&lt;=20000000,"$5M-20M",IF(I1026&lt;=50000000,"$20M-50M",IF(I1026&lt;=100000000,"$50M-100M","$100M+"))))</f>
        <v/>
      </c>
      <c r="P1026" s="21">
        <f>IF(E1026&lt;=90,"90 or less",IF(E1026&lt;=105,"91-105",IF(E1026&lt;=120,"106-120",IF(E1026&lt;=140,"121-140","Over 140"))))</f>
        <v/>
      </c>
      <c r="Q1026" s="28">
        <f>INT(C1026/10)*10</f>
        <v/>
      </c>
    </row>
    <row r="1027">
      <c r="A1027" s="21" t="n">
        <v>1051</v>
      </c>
      <c r="B1027" s="21" t="inlineStr">
        <is>
          <t>Broken Vessels</t>
        </is>
      </c>
      <c r="C1027" s="21" t="n">
        <v>1998</v>
      </c>
      <c r="D1027" s="21" t="inlineStr">
        <is>
          <t>USA</t>
        </is>
      </c>
      <c r="E1027" s="21" t="n">
        <v>90</v>
      </c>
      <c r="F1027" s="21" t="inlineStr">
        <is>
          <t>English</t>
        </is>
      </c>
      <c r="G1027" s="21" t="inlineStr">
        <is>
          <t>R</t>
        </is>
      </c>
      <c r="H1027" s="22" t="n">
        <v>13493</v>
      </c>
      <c r="I1027" s="22" t="n">
        <v>600000</v>
      </c>
      <c r="J1027" s="21">
        <f>IF(OR(H1027="",H1027=25529689.5),"Yes","No")</f>
        <v/>
      </c>
      <c r="K1027" s="21">
        <f>IF(AND(D1027="USA",C1027&gt;=1980,J1027="No"),"Yes","No")</f>
        <v/>
      </c>
      <c r="L1027" s="26">
        <f>IF(J1027="Yes","",H1027-I1027)</f>
        <v/>
      </c>
      <c r="M1027" s="27">
        <f>IF(OR(J1027="Yes",I1027=0),"",H1027/I1027)</f>
        <v/>
      </c>
      <c r="N1027" s="21">
        <f>IF(J1027="Yes","",IF(H1027&gt;=I1027,1,0))</f>
        <v/>
      </c>
      <c r="O1027" s="21">
        <f>IF(I1027&lt;=5000000,"Under $5M",IF(I1027&lt;=20000000,"$5M-20M",IF(I1027&lt;=50000000,"$20M-50M",IF(I1027&lt;=100000000,"$50M-100M","$100M+"))))</f>
        <v/>
      </c>
      <c r="P1027" s="21">
        <f>IF(E1027&lt;=90,"90 or less",IF(E1027&lt;=105,"91-105",IF(E1027&lt;=120,"106-120",IF(E1027&lt;=140,"121-140","Over 140"))))</f>
        <v/>
      </c>
      <c r="Q1027" s="28">
        <f>INT(C1027/10)*10</f>
        <v/>
      </c>
    </row>
    <row r="1028">
      <c r="A1028" s="21" t="n">
        <v>1052</v>
      </c>
      <c r="B1028" s="21" t="inlineStr">
        <is>
          <t>Buffalo '66</t>
        </is>
      </c>
      <c r="C1028" s="21" t="n">
        <v>1998</v>
      </c>
      <c r="D1028" s="21" t="inlineStr">
        <is>
          <t>USA</t>
        </is>
      </c>
      <c r="E1028" s="21" t="n">
        <v>110</v>
      </c>
      <c r="F1028" s="21" t="inlineStr">
        <is>
          <t>English</t>
        </is>
      </c>
      <c r="G1028" s="21" t="inlineStr">
        <is>
          <t>R</t>
        </is>
      </c>
      <c r="H1028" s="22" t="n">
        <v>2365931</v>
      </c>
      <c r="I1028" s="22" t="n">
        <v>1500000</v>
      </c>
      <c r="J1028" s="21">
        <f>IF(OR(H1028="",H1028=25529689.5),"Yes","No")</f>
        <v/>
      </c>
      <c r="K1028" s="21">
        <f>IF(AND(D1028="USA",C1028&gt;=1980,J1028="No"),"Yes","No")</f>
        <v/>
      </c>
      <c r="L1028" s="26">
        <f>IF(J1028="Yes","",H1028-I1028)</f>
        <v/>
      </c>
      <c r="M1028" s="27">
        <f>IF(OR(J1028="Yes",I1028=0),"",H1028/I1028)</f>
        <v/>
      </c>
      <c r="N1028" s="21">
        <f>IF(J1028="Yes","",IF(H1028&gt;=I1028,1,0))</f>
        <v/>
      </c>
      <c r="O1028" s="21">
        <f>IF(I1028&lt;=5000000,"Under $5M",IF(I1028&lt;=20000000,"$5M-20M",IF(I1028&lt;=50000000,"$20M-50M",IF(I1028&lt;=100000000,"$50M-100M","$100M+"))))</f>
        <v/>
      </c>
      <c r="P1028" s="21">
        <f>IF(E1028&lt;=90,"90 or less",IF(E1028&lt;=105,"91-105",IF(E1028&lt;=120,"106-120",IF(E1028&lt;=140,"121-140","Over 140"))))</f>
        <v/>
      </c>
      <c r="Q1028" s="28">
        <f>INT(C1028/10)*10</f>
        <v/>
      </c>
    </row>
    <row r="1029">
      <c r="A1029" s="21" t="n">
        <v>1053</v>
      </c>
      <c r="B1029" s="21" t="inlineStr">
        <is>
          <t>Bulworth</t>
        </is>
      </c>
      <c r="C1029" s="21" t="n">
        <v>1998</v>
      </c>
      <c r="D1029" s="21" t="inlineStr">
        <is>
          <t>USA</t>
        </is>
      </c>
      <c r="E1029" s="21" t="n">
        <v>108</v>
      </c>
      <c r="F1029" s="21" t="inlineStr">
        <is>
          <t>English</t>
        </is>
      </c>
      <c r="G1029" s="21" t="inlineStr">
        <is>
          <t>R</t>
        </is>
      </c>
      <c r="H1029" s="22" t="n">
        <v>26525834</v>
      </c>
      <c r="I1029" s="22" t="n">
        <v>30000000</v>
      </c>
      <c r="J1029" s="21">
        <f>IF(OR(H1029="",H1029=25529689.5),"Yes","No")</f>
        <v/>
      </c>
      <c r="K1029" s="21">
        <f>IF(AND(D1029="USA",C1029&gt;=1980,J1029="No"),"Yes","No")</f>
        <v/>
      </c>
      <c r="L1029" s="26">
        <f>IF(J1029="Yes","",H1029-I1029)</f>
        <v/>
      </c>
      <c r="M1029" s="27">
        <f>IF(OR(J1029="Yes",I1029=0),"",H1029/I1029)</f>
        <v/>
      </c>
      <c r="N1029" s="21">
        <f>IF(J1029="Yes","",IF(H1029&gt;=I1029,1,0))</f>
        <v/>
      </c>
      <c r="O1029" s="21">
        <f>IF(I1029&lt;=5000000,"Under $5M",IF(I1029&lt;=20000000,"$5M-20M",IF(I1029&lt;=50000000,"$20M-50M",IF(I1029&lt;=100000000,"$50M-100M","$100M+"))))</f>
        <v/>
      </c>
      <c r="P1029" s="21">
        <f>IF(E1029&lt;=90,"90 or less",IF(E1029&lt;=105,"91-105",IF(E1029&lt;=120,"106-120",IF(E1029&lt;=140,"121-140","Over 140"))))</f>
        <v/>
      </c>
      <c r="Q1029" s="28">
        <f>INT(C1029/10)*10</f>
        <v/>
      </c>
    </row>
    <row r="1030">
      <c r="A1030" s="21" t="n">
        <v>1054</v>
      </c>
      <c r="B1030" s="21" t="inlineStr">
        <is>
          <t>Can't Hardly Wait</t>
        </is>
      </c>
      <c r="C1030" s="21" t="n">
        <v>1998</v>
      </c>
      <c r="D1030" s="21" t="inlineStr">
        <is>
          <t>USA</t>
        </is>
      </c>
      <c r="E1030" s="21" t="n">
        <v>100</v>
      </c>
      <c r="F1030" s="21" t="inlineStr">
        <is>
          <t>English</t>
        </is>
      </c>
      <c r="G1030" s="21" t="inlineStr">
        <is>
          <t>PG-13</t>
        </is>
      </c>
      <c r="H1030" s="22" t="n">
        <v>25339117</v>
      </c>
      <c r="I1030" s="22" t="n">
        <v>10000000</v>
      </c>
      <c r="J1030" s="21">
        <f>IF(OR(H1030="",H1030=25529689.5),"Yes","No")</f>
        <v/>
      </c>
      <c r="K1030" s="21">
        <f>IF(AND(D1030="USA",C1030&gt;=1980,J1030="No"),"Yes","No")</f>
        <v/>
      </c>
      <c r="L1030" s="26">
        <f>IF(J1030="Yes","",H1030-I1030)</f>
        <v/>
      </c>
      <c r="M1030" s="27">
        <f>IF(OR(J1030="Yes",I1030=0),"",H1030/I1030)</f>
        <v/>
      </c>
      <c r="N1030" s="21">
        <f>IF(J1030="Yes","",IF(H1030&gt;=I1030,1,0))</f>
        <v/>
      </c>
      <c r="O1030" s="21">
        <f>IF(I1030&lt;=5000000,"Under $5M",IF(I1030&lt;=20000000,"$5M-20M",IF(I1030&lt;=50000000,"$20M-50M",IF(I1030&lt;=100000000,"$50M-100M","$100M+"))))</f>
        <v/>
      </c>
      <c r="P1030" s="21">
        <f>IF(E1030&lt;=90,"90 or less",IF(E1030&lt;=105,"91-105",IF(E1030&lt;=120,"106-120",IF(E1030&lt;=140,"121-140","Over 140"))))</f>
        <v/>
      </c>
      <c r="Q1030" s="28">
        <f>INT(C1030/10)*10</f>
        <v/>
      </c>
    </row>
    <row r="1031">
      <c r="A1031" s="21" t="n">
        <v>1055</v>
      </c>
      <c r="B1031" s="21" t="inlineStr">
        <is>
          <t>Celebrity</t>
        </is>
      </c>
      <c r="C1031" s="21" t="n">
        <v>1998</v>
      </c>
      <c r="D1031" s="21" t="inlineStr">
        <is>
          <t>USA</t>
        </is>
      </c>
      <c r="E1031" s="21" t="n">
        <v>113</v>
      </c>
      <c r="F1031" s="21" t="inlineStr">
        <is>
          <t>English</t>
        </is>
      </c>
      <c r="G1031" s="21" t="inlineStr">
        <is>
          <t>R</t>
        </is>
      </c>
      <c r="H1031" s="22" t="n">
        <v>5032496</v>
      </c>
      <c r="I1031" s="22" t="n">
        <v>12000000</v>
      </c>
      <c r="J1031" s="21">
        <f>IF(OR(H1031="",H1031=25529689.5),"Yes","No")</f>
        <v/>
      </c>
      <c r="K1031" s="21">
        <f>IF(AND(D1031="USA",C1031&gt;=1980,J1031="No"),"Yes","No")</f>
        <v/>
      </c>
      <c r="L1031" s="26">
        <f>IF(J1031="Yes","",H1031-I1031)</f>
        <v/>
      </c>
      <c r="M1031" s="27">
        <f>IF(OR(J1031="Yes",I1031=0),"",H1031/I1031)</f>
        <v/>
      </c>
      <c r="N1031" s="21">
        <f>IF(J1031="Yes","",IF(H1031&gt;=I1031,1,0))</f>
        <v/>
      </c>
      <c r="O1031" s="21">
        <f>IF(I1031&lt;=5000000,"Under $5M",IF(I1031&lt;=20000000,"$5M-20M",IF(I1031&lt;=50000000,"$20M-50M",IF(I1031&lt;=100000000,"$50M-100M","$100M+"))))</f>
        <v/>
      </c>
      <c r="P1031" s="21">
        <f>IF(E1031&lt;=90,"90 or less",IF(E1031&lt;=105,"91-105",IF(E1031&lt;=120,"106-120",IF(E1031&lt;=140,"121-140","Over 140"))))</f>
        <v/>
      </c>
      <c r="Q1031" s="28">
        <f>INT(C1031/10)*10</f>
        <v/>
      </c>
    </row>
    <row r="1032">
      <c r="A1032" s="21" t="n">
        <v>1056</v>
      </c>
      <c r="B1032" s="21" t="inlineStr">
        <is>
          <t>Central Station</t>
        </is>
      </c>
      <c r="C1032" s="21" t="n">
        <v>1998</v>
      </c>
      <c r="D1032" s="21" t="inlineStr">
        <is>
          <t>Brazil</t>
        </is>
      </c>
      <c r="E1032" s="21" t="n">
        <v>113</v>
      </c>
      <c r="F1032" s="21" t="inlineStr">
        <is>
          <t>Portuguese</t>
        </is>
      </c>
      <c r="G1032" s="21" t="inlineStr">
        <is>
          <t>R</t>
        </is>
      </c>
      <c r="H1032" s="22" t="n">
        <v>5595428</v>
      </c>
      <c r="I1032" s="22" t="n">
        <v>2900000</v>
      </c>
      <c r="J1032" s="21">
        <f>IF(OR(H1032="",H1032=25529689.5),"Yes","No")</f>
        <v/>
      </c>
      <c r="K1032" s="21">
        <f>IF(AND(D1032="USA",C1032&gt;=1980,J1032="No"),"Yes","No")</f>
        <v/>
      </c>
      <c r="L1032" s="26">
        <f>IF(J1032="Yes","",H1032-I1032)</f>
        <v/>
      </c>
      <c r="M1032" s="27">
        <f>IF(OR(J1032="Yes",I1032=0),"",H1032/I1032)</f>
        <v/>
      </c>
      <c r="N1032" s="21">
        <f>IF(J1032="Yes","",IF(H1032&gt;=I1032,1,0))</f>
        <v/>
      </c>
      <c r="O1032" s="21">
        <f>IF(I1032&lt;=5000000,"Under $5M",IF(I1032&lt;=20000000,"$5M-20M",IF(I1032&lt;=50000000,"$20M-50M",IF(I1032&lt;=100000000,"$50M-100M","$100M+"))))</f>
        <v/>
      </c>
      <c r="P1032" s="21">
        <f>IF(E1032&lt;=90,"90 or less",IF(E1032&lt;=105,"91-105",IF(E1032&lt;=120,"106-120",IF(E1032&lt;=140,"121-140","Over 140"))))</f>
        <v/>
      </c>
      <c r="Q1032" s="28">
        <f>INT(C1032/10)*10</f>
        <v/>
      </c>
    </row>
    <row r="1033">
      <c r="A1033" s="21" t="n">
        <v>1057</v>
      </c>
      <c r="B1033" s="21" t="inlineStr">
        <is>
          <t>Chairman of the Board</t>
        </is>
      </c>
      <c r="C1033" s="21" t="n">
        <v>1998</v>
      </c>
      <c r="D1033" s="21" t="inlineStr">
        <is>
          <t>USA</t>
        </is>
      </c>
      <c r="E1033" s="21" t="n">
        <v>95</v>
      </c>
      <c r="F1033" s="21" t="inlineStr">
        <is>
          <t>English</t>
        </is>
      </c>
      <c r="G1033" s="21" t="inlineStr">
        <is>
          <t>PG-13</t>
        </is>
      </c>
      <c r="H1033" s="22" t="n">
        <v>306715</v>
      </c>
      <c r="I1033" s="22" t="n">
        <v>10000000</v>
      </c>
      <c r="J1033" s="21">
        <f>IF(OR(H1033="",H1033=25529689.5),"Yes","No")</f>
        <v/>
      </c>
      <c r="K1033" s="21">
        <f>IF(AND(D1033="USA",C1033&gt;=1980,J1033="No"),"Yes","No")</f>
        <v/>
      </c>
      <c r="L1033" s="26">
        <f>IF(J1033="Yes","",H1033-I1033)</f>
        <v/>
      </c>
      <c r="M1033" s="27">
        <f>IF(OR(J1033="Yes",I1033=0),"",H1033/I1033)</f>
        <v/>
      </c>
      <c r="N1033" s="21">
        <f>IF(J1033="Yes","",IF(H1033&gt;=I1033,1,0))</f>
        <v/>
      </c>
      <c r="O1033" s="21">
        <f>IF(I1033&lt;=5000000,"Under $5M",IF(I1033&lt;=20000000,"$5M-20M",IF(I1033&lt;=50000000,"$20M-50M",IF(I1033&lt;=100000000,"$50M-100M","$100M+"))))</f>
        <v/>
      </c>
      <c r="P1033" s="21">
        <f>IF(E1033&lt;=90,"90 or less",IF(E1033&lt;=105,"91-105",IF(E1033&lt;=120,"106-120",IF(E1033&lt;=140,"121-140","Over 140"))))</f>
        <v/>
      </c>
      <c r="Q1033" s="28">
        <f>INT(C1033/10)*10</f>
        <v/>
      </c>
    </row>
    <row r="1034">
      <c r="A1034" s="21" t="n">
        <v>1058</v>
      </c>
      <c r="B1034" s="21" t="inlineStr">
        <is>
          <t>City of Angels</t>
        </is>
      </c>
      <c r="C1034" s="21" t="n">
        <v>1998</v>
      </c>
      <c r="D1034" s="21" t="inlineStr">
        <is>
          <t>Germany</t>
        </is>
      </c>
      <c r="E1034" s="21" t="n">
        <v>114</v>
      </c>
      <c r="F1034" s="21" t="inlineStr">
        <is>
          <t>English</t>
        </is>
      </c>
      <c r="G1034" s="21" t="inlineStr">
        <is>
          <t>PG-13</t>
        </is>
      </c>
      <c r="H1034" s="22" t="n">
        <v>78745923</v>
      </c>
      <c r="I1034" s="22" t="n">
        <v>55000000</v>
      </c>
      <c r="J1034" s="21">
        <f>IF(OR(H1034="",H1034=25529689.5),"Yes","No")</f>
        <v/>
      </c>
      <c r="K1034" s="21">
        <f>IF(AND(D1034="USA",C1034&gt;=1980,J1034="No"),"Yes","No")</f>
        <v/>
      </c>
      <c r="L1034" s="26">
        <f>IF(J1034="Yes","",H1034-I1034)</f>
        <v/>
      </c>
      <c r="M1034" s="27">
        <f>IF(OR(J1034="Yes",I1034=0),"",H1034/I1034)</f>
        <v/>
      </c>
      <c r="N1034" s="21">
        <f>IF(J1034="Yes","",IF(H1034&gt;=I1034,1,0))</f>
        <v/>
      </c>
      <c r="O1034" s="21">
        <f>IF(I1034&lt;=5000000,"Under $5M",IF(I1034&lt;=20000000,"$5M-20M",IF(I1034&lt;=50000000,"$20M-50M",IF(I1034&lt;=100000000,"$50M-100M","$100M+"))))</f>
        <v/>
      </c>
      <c r="P1034" s="21">
        <f>IF(E1034&lt;=90,"90 or less",IF(E1034&lt;=105,"91-105",IF(E1034&lt;=120,"106-120",IF(E1034&lt;=140,"121-140","Over 140"))))</f>
        <v/>
      </c>
      <c r="Q1034" s="28">
        <f>INT(C1034/10)*10</f>
        <v/>
      </c>
    </row>
    <row r="1035">
      <c r="A1035" s="21" t="n">
        <v>1059</v>
      </c>
      <c r="B1035" s="21" t="inlineStr">
        <is>
          <t>Clay Pigeons</t>
        </is>
      </c>
      <c r="C1035" s="21" t="n">
        <v>1998</v>
      </c>
      <c r="D1035" s="21" t="inlineStr">
        <is>
          <t>Germany</t>
        </is>
      </c>
      <c r="E1035" s="21" t="n">
        <v>104</v>
      </c>
      <c r="F1035" s="21" t="inlineStr">
        <is>
          <t>English</t>
        </is>
      </c>
      <c r="G1035" s="21" t="inlineStr">
        <is>
          <t>R</t>
        </is>
      </c>
      <c r="H1035" s="22" t="n">
        <v>1789892</v>
      </c>
      <c r="I1035" s="22" t="n">
        <v>8000000</v>
      </c>
      <c r="J1035" s="21">
        <f>IF(OR(H1035="",H1035=25529689.5),"Yes","No")</f>
        <v/>
      </c>
      <c r="K1035" s="21">
        <f>IF(AND(D1035="USA",C1035&gt;=1980,J1035="No"),"Yes","No")</f>
        <v/>
      </c>
      <c r="L1035" s="26">
        <f>IF(J1035="Yes","",H1035-I1035)</f>
        <v/>
      </c>
      <c r="M1035" s="27">
        <f>IF(OR(J1035="Yes",I1035=0),"",H1035/I1035)</f>
        <v/>
      </c>
      <c r="N1035" s="21">
        <f>IF(J1035="Yes","",IF(H1035&gt;=I1035,1,0))</f>
        <v/>
      </c>
      <c r="O1035" s="21">
        <f>IF(I1035&lt;=5000000,"Under $5M",IF(I1035&lt;=20000000,"$5M-20M",IF(I1035&lt;=50000000,"$20M-50M",IF(I1035&lt;=100000000,"$50M-100M","$100M+"))))</f>
        <v/>
      </c>
      <c r="P1035" s="21">
        <f>IF(E1035&lt;=90,"90 or less",IF(E1035&lt;=105,"91-105",IF(E1035&lt;=120,"106-120",IF(E1035&lt;=140,"121-140","Over 140"))))</f>
        <v/>
      </c>
      <c r="Q1035" s="28">
        <f>INT(C1035/10)*10</f>
        <v/>
      </c>
    </row>
    <row r="1036">
      <c r="A1036" s="21" t="n">
        <v>1060</v>
      </c>
      <c r="B1036" s="21" t="inlineStr">
        <is>
          <t>Dancer, Texas Pop. 81</t>
        </is>
      </c>
      <c r="C1036" s="21" t="n">
        <v>1998</v>
      </c>
      <c r="D1036" s="21" t="inlineStr">
        <is>
          <t>USA</t>
        </is>
      </c>
      <c r="E1036" s="21" t="n">
        <v>97</v>
      </c>
      <c r="F1036" s="21" t="inlineStr">
        <is>
          <t>English</t>
        </is>
      </c>
      <c r="G1036" s="21" t="inlineStr">
        <is>
          <t>PG</t>
        </is>
      </c>
      <c r="H1036" s="22" t="n">
        <v>565592</v>
      </c>
      <c r="I1036" s="22" t="n">
        <v>20000000</v>
      </c>
      <c r="J1036" s="21">
        <f>IF(OR(H1036="",H1036=25529689.5),"Yes","No")</f>
        <v/>
      </c>
      <c r="K1036" s="21">
        <f>IF(AND(D1036="USA",C1036&gt;=1980,J1036="No"),"Yes","No")</f>
        <v/>
      </c>
      <c r="L1036" s="26">
        <f>IF(J1036="Yes","",H1036-I1036)</f>
        <v/>
      </c>
      <c r="M1036" s="27">
        <f>IF(OR(J1036="Yes",I1036=0),"",H1036/I1036)</f>
        <v/>
      </c>
      <c r="N1036" s="21">
        <f>IF(J1036="Yes","",IF(H1036&gt;=I1036,1,0))</f>
        <v/>
      </c>
      <c r="O1036" s="21">
        <f>IF(I1036&lt;=5000000,"Under $5M",IF(I1036&lt;=20000000,"$5M-20M",IF(I1036&lt;=50000000,"$20M-50M",IF(I1036&lt;=100000000,"$50M-100M","$100M+"))))</f>
        <v/>
      </c>
      <c r="P1036" s="21">
        <f>IF(E1036&lt;=90,"90 or less",IF(E1036&lt;=105,"91-105",IF(E1036&lt;=120,"106-120",IF(E1036&lt;=140,"121-140","Over 140"))))</f>
        <v/>
      </c>
      <c r="Q1036" s="28">
        <f>INT(C1036/10)*10</f>
        <v/>
      </c>
    </row>
    <row r="1037">
      <c r="A1037" s="21" t="n">
        <v>1061</v>
      </c>
      <c r="B1037" s="21" t="inlineStr">
        <is>
          <t>Dark City</t>
        </is>
      </c>
      <c r="C1037" s="21" t="n">
        <v>1998</v>
      </c>
      <c r="D1037" s="21" t="inlineStr">
        <is>
          <t>Australia</t>
        </is>
      </c>
      <c r="E1037" s="21" t="n">
        <v>111</v>
      </c>
      <c r="F1037" s="21" t="inlineStr">
        <is>
          <t>English</t>
        </is>
      </c>
      <c r="G1037" s="21" t="inlineStr">
        <is>
          <t>R</t>
        </is>
      </c>
      <c r="H1037" s="22" t="n">
        <v>14337579</v>
      </c>
      <c r="I1037" s="22" t="n">
        <v>27000000</v>
      </c>
      <c r="J1037" s="21">
        <f>IF(OR(H1037="",H1037=25529689.5),"Yes","No")</f>
        <v/>
      </c>
      <c r="K1037" s="21">
        <f>IF(AND(D1037="USA",C1037&gt;=1980,J1037="No"),"Yes","No")</f>
        <v/>
      </c>
      <c r="L1037" s="26">
        <f>IF(J1037="Yes","",H1037-I1037)</f>
        <v/>
      </c>
      <c r="M1037" s="27">
        <f>IF(OR(J1037="Yes",I1037=0),"",H1037/I1037)</f>
        <v/>
      </c>
      <c r="N1037" s="21">
        <f>IF(J1037="Yes","",IF(H1037&gt;=I1037,1,0))</f>
        <v/>
      </c>
      <c r="O1037" s="21">
        <f>IF(I1037&lt;=5000000,"Under $5M",IF(I1037&lt;=20000000,"$5M-20M",IF(I1037&lt;=50000000,"$20M-50M",IF(I1037&lt;=100000000,"$50M-100M","$100M+"))))</f>
        <v/>
      </c>
      <c r="P1037" s="21">
        <f>IF(E1037&lt;=90,"90 or less",IF(E1037&lt;=105,"91-105",IF(E1037&lt;=120,"106-120",IF(E1037&lt;=140,"121-140","Over 140"))))</f>
        <v/>
      </c>
      <c r="Q1037" s="28">
        <f>INT(C1037/10)*10</f>
        <v/>
      </c>
    </row>
    <row r="1038">
      <c r="A1038" s="21" t="n">
        <v>1062</v>
      </c>
      <c r="B1038" s="21" t="inlineStr">
        <is>
          <t>Dead Man on Campus</t>
        </is>
      </c>
      <c r="C1038" s="21" t="n">
        <v>1998</v>
      </c>
      <c r="D1038" s="21" t="inlineStr">
        <is>
          <t>USA</t>
        </is>
      </c>
      <c r="E1038" s="21" t="n">
        <v>96</v>
      </c>
      <c r="F1038" s="21" t="inlineStr">
        <is>
          <t>English</t>
        </is>
      </c>
      <c r="G1038" s="21" t="inlineStr">
        <is>
          <t>R</t>
        </is>
      </c>
      <c r="H1038" s="22" t="n">
        <v>15062898</v>
      </c>
      <c r="I1038" s="22" t="n">
        <v>14000000</v>
      </c>
      <c r="J1038" s="21">
        <f>IF(OR(H1038="",H1038=25529689.5),"Yes","No")</f>
        <v/>
      </c>
      <c r="K1038" s="21">
        <f>IF(AND(D1038="USA",C1038&gt;=1980,J1038="No"),"Yes","No")</f>
        <v/>
      </c>
      <c r="L1038" s="26">
        <f>IF(J1038="Yes","",H1038-I1038)</f>
        <v/>
      </c>
      <c r="M1038" s="27">
        <f>IF(OR(J1038="Yes",I1038=0),"",H1038/I1038)</f>
        <v/>
      </c>
      <c r="N1038" s="21">
        <f>IF(J1038="Yes","",IF(H1038&gt;=I1038,1,0))</f>
        <v/>
      </c>
      <c r="O1038" s="21">
        <f>IF(I1038&lt;=5000000,"Under $5M",IF(I1038&lt;=20000000,"$5M-20M",IF(I1038&lt;=50000000,"$20M-50M",IF(I1038&lt;=100000000,"$50M-100M","$100M+"))))</f>
        <v/>
      </c>
      <c r="P1038" s="21">
        <f>IF(E1038&lt;=90,"90 or less",IF(E1038&lt;=105,"91-105",IF(E1038&lt;=120,"106-120",IF(E1038&lt;=140,"121-140","Over 140"))))</f>
        <v/>
      </c>
      <c r="Q1038" s="28">
        <f>INT(C1038/10)*10</f>
        <v/>
      </c>
    </row>
    <row r="1039">
      <c r="A1039" s="21" t="n">
        <v>1063</v>
      </c>
      <c r="B1039" s="21" t="inlineStr">
        <is>
          <t>Deep Impact</t>
        </is>
      </c>
      <c r="C1039" s="21" t="n">
        <v>1998</v>
      </c>
      <c r="D1039" s="21" t="inlineStr">
        <is>
          <t>USA</t>
        </is>
      </c>
      <c r="E1039" s="21" t="n">
        <v>120</v>
      </c>
      <c r="F1039" s="21" t="inlineStr">
        <is>
          <t>English</t>
        </is>
      </c>
      <c r="G1039" s="21" t="inlineStr">
        <is>
          <t>PG-13</t>
        </is>
      </c>
      <c r="H1039" s="22" t="n">
        <v>140459099</v>
      </c>
      <c r="I1039" s="22" t="n">
        <v>75000000</v>
      </c>
      <c r="J1039" s="21">
        <f>IF(OR(H1039="",H1039=25529689.5),"Yes","No")</f>
        <v/>
      </c>
      <c r="K1039" s="21">
        <f>IF(AND(D1039="USA",C1039&gt;=1980,J1039="No"),"Yes","No")</f>
        <v/>
      </c>
      <c r="L1039" s="26">
        <f>IF(J1039="Yes","",H1039-I1039)</f>
        <v/>
      </c>
      <c r="M1039" s="27">
        <f>IF(OR(J1039="Yes",I1039=0),"",H1039/I1039)</f>
        <v/>
      </c>
      <c r="N1039" s="21">
        <f>IF(J1039="Yes","",IF(H1039&gt;=I1039,1,0))</f>
        <v/>
      </c>
      <c r="O1039" s="21">
        <f>IF(I1039&lt;=5000000,"Under $5M",IF(I1039&lt;=20000000,"$5M-20M",IF(I1039&lt;=50000000,"$20M-50M",IF(I1039&lt;=100000000,"$50M-100M","$100M+"))))</f>
        <v/>
      </c>
      <c r="P1039" s="21">
        <f>IF(E1039&lt;=90,"90 or less",IF(E1039&lt;=105,"91-105",IF(E1039&lt;=120,"106-120",IF(E1039&lt;=140,"121-140","Over 140"))))</f>
        <v/>
      </c>
      <c r="Q1039" s="28">
        <f>INT(C1039/10)*10</f>
        <v/>
      </c>
    </row>
    <row r="1040">
      <c r="A1040" s="21" t="n">
        <v>1064</v>
      </c>
      <c r="B1040" s="21" t="inlineStr">
        <is>
          <t>Deep Rising</t>
        </is>
      </c>
      <c r="C1040" s="21" t="n">
        <v>1998</v>
      </c>
      <c r="D1040" s="21" t="inlineStr">
        <is>
          <t>USA</t>
        </is>
      </c>
      <c r="E1040" s="21" t="n">
        <v>106</v>
      </c>
      <c r="F1040" s="21" t="inlineStr">
        <is>
          <t>English</t>
        </is>
      </c>
      <c r="G1040" s="21" t="inlineStr">
        <is>
          <t>R</t>
        </is>
      </c>
      <c r="H1040" s="22" t="n">
        <v>11146409</v>
      </c>
      <c r="I1040" s="22" t="n">
        <v>45000000</v>
      </c>
      <c r="J1040" s="21">
        <f>IF(OR(H1040="",H1040=25529689.5),"Yes","No")</f>
        <v/>
      </c>
      <c r="K1040" s="21">
        <f>IF(AND(D1040="USA",C1040&gt;=1980,J1040="No"),"Yes","No")</f>
        <v/>
      </c>
      <c r="L1040" s="26">
        <f>IF(J1040="Yes","",H1040-I1040)</f>
        <v/>
      </c>
      <c r="M1040" s="27">
        <f>IF(OR(J1040="Yes",I1040=0),"",H1040/I1040)</f>
        <v/>
      </c>
      <c r="N1040" s="21">
        <f>IF(J1040="Yes","",IF(H1040&gt;=I1040,1,0))</f>
        <v/>
      </c>
      <c r="O1040" s="21">
        <f>IF(I1040&lt;=5000000,"Under $5M",IF(I1040&lt;=20000000,"$5M-20M",IF(I1040&lt;=50000000,"$20M-50M",IF(I1040&lt;=100000000,"$50M-100M","$100M+"))))</f>
        <v/>
      </c>
      <c r="P1040" s="21">
        <f>IF(E1040&lt;=90,"90 or less",IF(E1040&lt;=105,"91-105",IF(E1040&lt;=120,"106-120",IF(E1040&lt;=140,"121-140","Over 140"))))</f>
        <v/>
      </c>
      <c r="Q1040" s="28">
        <f>INT(C1040/10)*10</f>
        <v/>
      </c>
    </row>
    <row r="1041">
      <c r="A1041" s="21" t="n">
        <v>1065</v>
      </c>
      <c r="B1041" s="21" t="inlineStr">
        <is>
          <t>Desert Blue</t>
        </is>
      </c>
      <c r="C1041" s="21" t="n">
        <v>1998</v>
      </c>
      <c r="D1041" s="21" t="inlineStr">
        <is>
          <t>USA</t>
        </is>
      </c>
      <c r="E1041" s="21" t="n">
        <v>90</v>
      </c>
      <c r="F1041" s="21" t="inlineStr">
        <is>
          <t>English</t>
        </is>
      </c>
      <c r="G1041" s="21" t="inlineStr">
        <is>
          <t>R</t>
        </is>
      </c>
      <c r="H1041" s="22" t="n">
        <v>99147</v>
      </c>
      <c r="I1041" s="22" t="n">
        <v>2000000</v>
      </c>
      <c r="J1041" s="21">
        <f>IF(OR(H1041="",H1041=25529689.5),"Yes","No")</f>
        <v/>
      </c>
      <c r="K1041" s="21">
        <f>IF(AND(D1041="USA",C1041&gt;=1980,J1041="No"),"Yes","No")</f>
        <v/>
      </c>
      <c r="L1041" s="26">
        <f>IF(J1041="Yes","",H1041-I1041)</f>
        <v/>
      </c>
      <c r="M1041" s="27">
        <f>IF(OR(J1041="Yes",I1041=0),"",H1041/I1041)</f>
        <v/>
      </c>
      <c r="N1041" s="21">
        <f>IF(J1041="Yes","",IF(H1041&gt;=I1041,1,0))</f>
        <v/>
      </c>
      <c r="O1041" s="21">
        <f>IF(I1041&lt;=5000000,"Under $5M",IF(I1041&lt;=20000000,"$5M-20M",IF(I1041&lt;=50000000,"$20M-50M",IF(I1041&lt;=100000000,"$50M-100M","$100M+"))))</f>
        <v/>
      </c>
      <c r="P1041" s="21">
        <f>IF(E1041&lt;=90,"90 or less",IF(E1041&lt;=105,"91-105",IF(E1041&lt;=120,"106-120",IF(E1041&lt;=140,"121-140","Over 140"))))</f>
        <v/>
      </c>
      <c r="Q1041" s="28">
        <f>INT(C1041/10)*10</f>
        <v/>
      </c>
    </row>
    <row r="1042">
      <c r="A1042" s="21" t="n">
        <v>1066</v>
      </c>
      <c r="B1042" s="21" t="inlineStr">
        <is>
          <t>Dirty Work</t>
        </is>
      </c>
      <c r="C1042" s="21" t="n">
        <v>1998</v>
      </c>
      <c r="D1042" s="21" t="inlineStr">
        <is>
          <t>Canada</t>
        </is>
      </c>
      <c r="E1042" s="21" t="n">
        <v>82</v>
      </c>
      <c r="F1042" s="21" t="inlineStr">
        <is>
          <t>English</t>
        </is>
      </c>
      <c r="G1042" s="21" t="inlineStr">
        <is>
          <t>PG-13</t>
        </is>
      </c>
      <c r="H1042" s="22" t="n">
        <v>9975684</v>
      </c>
      <c r="I1042" s="22" t="n">
        <v>13000000</v>
      </c>
      <c r="J1042" s="21">
        <f>IF(OR(H1042="",H1042=25529689.5),"Yes","No")</f>
        <v/>
      </c>
      <c r="K1042" s="21">
        <f>IF(AND(D1042="USA",C1042&gt;=1980,J1042="No"),"Yes","No")</f>
        <v/>
      </c>
      <c r="L1042" s="26">
        <f>IF(J1042="Yes","",H1042-I1042)</f>
        <v/>
      </c>
      <c r="M1042" s="27">
        <f>IF(OR(J1042="Yes",I1042=0),"",H1042/I1042)</f>
        <v/>
      </c>
      <c r="N1042" s="21">
        <f>IF(J1042="Yes","",IF(H1042&gt;=I1042,1,0))</f>
        <v/>
      </c>
      <c r="O1042" s="21">
        <f>IF(I1042&lt;=5000000,"Under $5M",IF(I1042&lt;=20000000,"$5M-20M",IF(I1042&lt;=50000000,"$20M-50M",IF(I1042&lt;=100000000,"$50M-100M","$100M+"))))</f>
        <v/>
      </c>
      <c r="P1042" s="21">
        <f>IF(E1042&lt;=90,"90 or less",IF(E1042&lt;=105,"91-105",IF(E1042&lt;=120,"106-120",IF(E1042&lt;=140,"121-140","Over 140"))))</f>
        <v/>
      </c>
      <c r="Q1042" s="28">
        <f>INT(C1042/10)*10</f>
        <v/>
      </c>
    </row>
    <row r="1043">
      <c r="A1043" s="21" t="n">
        <v>1067</v>
      </c>
      <c r="B1043" s="21" t="inlineStr">
        <is>
          <t>Disturbing Behavior</t>
        </is>
      </c>
      <c r="C1043" s="21" t="n">
        <v>1998</v>
      </c>
      <c r="D1043" s="21" t="inlineStr">
        <is>
          <t>Australia</t>
        </is>
      </c>
      <c r="E1043" s="21" t="n">
        <v>84</v>
      </c>
      <c r="F1043" s="21" t="inlineStr">
        <is>
          <t>English</t>
        </is>
      </c>
      <c r="G1043" s="21" t="inlineStr">
        <is>
          <t>R</t>
        </is>
      </c>
      <c r="H1043" s="22" t="n">
        <v>17411331</v>
      </c>
      <c r="I1043" s="22" t="n">
        <v>15000000</v>
      </c>
      <c r="J1043" s="21">
        <f>IF(OR(H1043="",H1043=25529689.5),"Yes","No")</f>
        <v/>
      </c>
      <c r="K1043" s="21">
        <f>IF(AND(D1043="USA",C1043&gt;=1980,J1043="No"),"Yes","No")</f>
        <v/>
      </c>
      <c r="L1043" s="26">
        <f>IF(J1043="Yes","",H1043-I1043)</f>
        <v/>
      </c>
      <c r="M1043" s="27">
        <f>IF(OR(J1043="Yes",I1043=0),"",H1043/I1043)</f>
        <v/>
      </c>
      <c r="N1043" s="21">
        <f>IF(J1043="Yes","",IF(H1043&gt;=I1043,1,0))</f>
        <v/>
      </c>
      <c r="O1043" s="21">
        <f>IF(I1043&lt;=5000000,"Under $5M",IF(I1043&lt;=20000000,"$5M-20M",IF(I1043&lt;=50000000,"$20M-50M",IF(I1043&lt;=100000000,"$50M-100M","$100M+"))))</f>
        <v/>
      </c>
      <c r="P1043" s="21">
        <f>IF(E1043&lt;=90,"90 or less",IF(E1043&lt;=105,"91-105",IF(E1043&lt;=120,"106-120",IF(E1043&lt;=140,"121-140","Over 140"))))</f>
        <v/>
      </c>
      <c r="Q1043" s="28">
        <f>INT(C1043/10)*10</f>
        <v/>
      </c>
    </row>
    <row r="1044">
      <c r="A1044" s="21" t="n">
        <v>1068</v>
      </c>
      <c r="B1044" s="21" t="inlineStr">
        <is>
          <t>Doctor Dolittle</t>
        </is>
      </c>
      <c r="C1044" s="21" t="n">
        <v>1998</v>
      </c>
      <c r="D1044" s="21" t="inlineStr">
        <is>
          <t>USA</t>
        </is>
      </c>
      <c r="E1044" s="21" t="n">
        <v>85</v>
      </c>
      <c r="F1044" s="21" t="inlineStr">
        <is>
          <t>English</t>
        </is>
      </c>
      <c r="G1044" s="21" t="inlineStr">
        <is>
          <t>PG-13</t>
        </is>
      </c>
      <c r="H1044" s="22" t="n">
        <v>144156464</v>
      </c>
      <c r="I1044" s="22" t="n">
        <v>71500000</v>
      </c>
      <c r="J1044" s="21">
        <f>IF(OR(H1044="",H1044=25529689.5),"Yes","No")</f>
        <v/>
      </c>
      <c r="K1044" s="21">
        <f>IF(AND(D1044="USA",C1044&gt;=1980,J1044="No"),"Yes","No")</f>
        <v/>
      </c>
      <c r="L1044" s="26">
        <f>IF(J1044="Yes","",H1044-I1044)</f>
        <v/>
      </c>
      <c r="M1044" s="27">
        <f>IF(OR(J1044="Yes",I1044=0),"",H1044/I1044)</f>
        <v/>
      </c>
      <c r="N1044" s="21">
        <f>IF(J1044="Yes","",IF(H1044&gt;=I1044,1,0))</f>
        <v/>
      </c>
      <c r="O1044" s="21">
        <f>IF(I1044&lt;=5000000,"Under $5M",IF(I1044&lt;=20000000,"$5M-20M",IF(I1044&lt;=50000000,"$20M-50M",IF(I1044&lt;=100000000,"$50M-100M","$100M+"))))</f>
        <v/>
      </c>
      <c r="P1044" s="21">
        <f>IF(E1044&lt;=90,"90 or less",IF(E1044&lt;=105,"91-105",IF(E1044&lt;=120,"106-120",IF(E1044&lt;=140,"121-140","Over 140"))))</f>
        <v/>
      </c>
      <c r="Q1044" s="28">
        <f>INT(C1044/10)*10</f>
        <v/>
      </c>
    </row>
    <row r="1045">
      <c r="A1045" s="21" t="n">
        <v>1069</v>
      </c>
      <c r="B1045" s="21" t="inlineStr">
        <is>
          <t>Earth</t>
        </is>
      </c>
      <c r="C1045" s="21" t="n">
        <v>1998</v>
      </c>
      <c r="D1045" s="21" t="inlineStr">
        <is>
          <t>India</t>
        </is>
      </c>
      <c r="E1045" s="21" t="n">
        <v>110</v>
      </c>
      <c r="F1045" s="21" t="inlineStr">
        <is>
          <t>Hindi</t>
        </is>
      </c>
      <c r="G1045" s="21" t="inlineStr">
        <is>
          <t>Unrated</t>
        </is>
      </c>
      <c r="H1045" s="22" t="n">
        <v>528972</v>
      </c>
      <c r="I1045" s="22" t="n">
        <v>20000000</v>
      </c>
      <c r="J1045" s="21">
        <f>IF(OR(H1045="",H1045=25529689.5),"Yes","No")</f>
        <v/>
      </c>
      <c r="K1045" s="21">
        <f>IF(AND(D1045="USA",C1045&gt;=1980,J1045="No"),"Yes","No")</f>
        <v/>
      </c>
      <c r="L1045" s="26">
        <f>IF(J1045="Yes","",H1045-I1045)</f>
        <v/>
      </c>
      <c r="M1045" s="27">
        <f>IF(OR(J1045="Yes",I1045=0),"",H1045/I1045)</f>
        <v/>
      </c>
      <c r="N1045" s="21">
        <f>IF(J1045="Yes","",IF(H1045&gt;=I1045,1,0))</f>
        <v/>
      </c>
      <c r="O1045" s="21">
        <f>IF(I1045&lt;=5000000,"Under $5M",IF(I1045&lt;=20000000,"$5M-20M",IF(I1045&lt;=50000000,"$20M-50M",IF(I1045&lt;=100000000,"$50M-100M","$100M+"))))</f>
        <v/>
      </c>
      <c r="P1045" s="21">
        <f>IF(E1045&lt;=90,"90 or less",IF(E1045&lt;=105,"91-105",IF(E1045&lt;=120,"106-120",IF(E1045&lt;=140,"121-140","Over 140"))))</f>
        <v/>
      </c>
      <c r="Q1045" s="28">
        <f>INT(C1045/10)*10</f>
        <v/>
      </c>
    </row>
    <row r="1046">
      <c r="A1046" s="21" t="n">
        <v>1070</v>
      </c>
      <c r="B1046" s="21" t="inlineStr">
        <is>
          <t>Elizabeth</t>
        </is>
      </c>
      <c r="C1046" s="21" t="n">
        <v>1998</v>
      </c>
      <c r="D1046" s="21" t="inlineStr">
        <is>
          <t>UK</t>
        </is>
      </c>
      <c r="E1046" s="21" t="n">
        <v>124</v>
      </c>
      <c r="F1046" s="21" t="inlineStr">
        <is>
          <t>English</t>
        </is>
      </c>
      <c r="G1046" s="21" t="inlineStr">
        <is>
          <t>R</t>
        </is>
      </c>
      <c r="H1046" s="22" t="n">
        <v>30012990</v>
      </c>
      <c r="I1046" s="22" t="n">
        <v>25000000</v>
      </c>
      <c r="J1046" s="21">
        <f>IF(OR(H1046="",H1046=25529689.5),"Yes","No")</f>
        <v/>
      </c>
      <c r="K1046" s="21">
        <f>IF(AND(D1046="USA",C1046&gt;=1980,J1046="No"),"Yes","No")</f>
        <v/>
      </c>
      <c r="L1046" s="26">
        <f>IF(J1046="Yes","",H1046-I1046)</f>
        <v/>
      </c>
      <c r="M1046" s="27">
        <f>IF(OR(J1046="Yes",I1046=0),"",H1046/I1046)</f>
        <v/>
      </c>
      <c r="N1046" s="21">
        <f>IF(J1046="Yes","",IF(H1046&gt;=I1046,1,0))</f>
        <v/>
      </c>
      <c r="O1046" s="21">
        <f>IF(I1046&lt;=5000000,"Under $5M",IF(I1046&lt;=20000000,"$5M-20M",IF(I1046&lt;=50000000,"$20M-50M",IF(I1046&lt;=100000000,"$50M-100M","$100M+"))))</f>
        <v/>
      </c>
      <c r="P1046" s="21">
        <f>IF(E1046&lt;=90,"90 or less",IF(E1046&lt;=105,"91-105",IF(E1046&lt;=120,"106-120",IF(E1046&lt;=140,"121-140","Over 140"))))</f>
        <v/>
      </c>
      <c r="Q1046" s="28">
        <f>INT(C1046/10)*10</f>
        <v/>
      </c>
    </row>
    <row r="1047">
      <c r="A1047" s="21" t="n">
        <v>1071</v>
      </c>
      <c r="B1047" s="21" t="inlineStr">
        <is>
          <t>Enemy of the State</t>
        </is>
      </c>
      <c r="C1047" s="21" t="n">
        <v>1998</v>
      </c>
      <c r="D1047" s="21" t="inlineStr">
        <is>
          <t>USA</t>
        </is>
      </c>
      <c r="E1047" s="21" t="n">
        <v>140</v>
      </c>
      <c r="F1047" s="21" t="inlineStr">
        <is>
          <t>English</t>
        </is>
      </c>
      <c r="G1047" s="21" t="inlineStr">
        <is>
          <t>R</t>
        </is>
      </c>
      <c r="H1047" s="22" t="n">
        <v>111544445</v>
      </c>
      <c r="I1047" s="22" t="n">
        <v>90000000</v>
      </c>
      <c r="J1047" s="21">
        <f>IF(OR(H1047="",H1047=25529689.5),"Yes","No")</f>
        <v/>
      </c>
      <c r="K1047" s="21">
        <f>IF(AND(D1047="USA",C1047&gt;=1980,J1047="No"),"Yes","No")</f>
        <v/>
      </c>
      <c r="L1047" s="26">
        <f>IF(J1047="Yes","",H1047-I1047)</f>
        <v/>
      </c>
      <c r="M1047" s="27">
        <f>IF(OR(J1047="Yes",I1047=0),"",H1047/I1047)</f>
        <v/>
      </c>
      <c r="N1047" s="21">
        <f>IF(J1047="Yes","",IF(H1047&gt;=I1047,1,0))</f>
        <v/>
      </c>
      <c r="O1047" s="21">
        <f>IF(I1047&lt;=5000000,"Under $5M",IF(I1047&lt;=20000000,"$5M-20M",IF(I1047&lt;=50000000,"$20M-50M",IF(I1047&lt;=100000000,"$50M-100M","$100M+"))))</f>
        <v/>
      </c>
      <c r="P1047" s="21">
        <f>IF(E1047&lt;=90,"90 or less",IF(E1047&lt;=105,"91-105",IF(E1047&lt;=120,"106-120",IF(E1047&lt;=140,"121-140","Over 140"))))</f>
        <v/>
      </c>
      <c r="Q1047" s="28">
        <f>INT(C1047/10)*10</f>
        <v/>
      </c>
    </row>
    <row r="1048">
      <c r="A1048" s="21" t="n">
        <v>1072</v>
      </c>
      <c r="B1048" s="21" t="inlineStr">
        <is>
          <t>Ever After: A Cinderella Story</t>
        </is>
      </c>
      <c r="C1048" s="21" t="n">
        <v>1998</v>
      </c>
      <c r="D1048" s="21" t="inlineStr">
        <is>
          <t>USA</t>
        </is>
      </c>
      <c r="E1048" s="21" t="n">
        <v>121</v>
      </c>
      <c r="F1048" s="21" t="inlineStr">
        <is>
          <t>English</t>
        </is>
      </c>
      <c r="G1048" s="21" t="inlineStr">
        <is>
          <t>PG-13</t>
        </is>
      </c>
      <c r="H1048" s="22" t="n">
        <v>65703412</v>
      </c>
      <c r="I1048" s="22" t="n">
        <v>26000000</v>
      </c>
      <c r="J1048" s="21">
        <f>IF(OR(H1048="",H1048=25529689.5),"Yes","No")</f>
        <v/>
      </c>
      <c r="K1048" s="21">
        <f>IF(AND(D1048="USA",C1048&gt;=1980,J1048="No"),"Yes","No")</f>
        <v/>
      </c>
      <c r="L1048" s="26">
        <f>IF(J1048="Yes","",H1048-I1048)</f>
        <v/>
      </c>
      <c r="M1048" s="27">
        <f>IF(OR(J1048="Yes",I1048=0),"",H1048/I1048)</f>
        <v/>
      </c>
      <c r="N1048" s="21">
        <f>IF(J1048="Yes","",IF(H1048&gt;=I1048,1,0))</f>
        <v/>
      </c>
      <c r="O1048" s="21">
        <f>IF(I1048&lt;=5000000,"Under $5M",IF(I1048&lt;=20000000,"$5M-20M",IF(I1048&lt;=50000000,"$20M-50M",IF(I1048&lt;=100000000,"$50M-100M","$100M+"))))</f>
        <v/>
      </c>
      <c r="P1048" s="21">
        <f>IF(E1048&lt;=90,"90 or less",IF(E1048&lt;=105,"91-105",IF(E1048&lt;=120,"106-120",IF(E1048&lt;=140,"121-140","Over 140"))))</f>
        <v/>
      </c>
      <c r="Q1048" s="28">
        <f>INT(C1048/10)*10</f>
        <v/>
      </c>
    </row>
    <row r="1049">
      <c r="A1049" s="21" t="n">
        <v>1073</v>
      </c>
      <c r="B1049" s="21" t="inlineStr">
        <is>
          <t>Fear and Loathing in Las Vegas</t>
        </is>
      </c>
      <c r="C1049" s="21" t="n">
        <v>1998</v>
      </c>
      <c r="D1049" s="21" t="inlineStr">
        <is>
          <t>USA</t>
        </is>
      </c>
      <c r="E1049" s="21" t="n">
        <v>118</v>
      </c>
      <c r="F1049" s="21" t="inlineStr">
        <is>
          <t>English</t>
        </is>
      </c>
      <c r="G1049" s="21" t="inlineStr">
        <is>
          <t>R</t>
        </is>
      </c>
      <c r="H1049" s="22" t="n">
        <v>10562387</v>
      </c>
      <c r="I1049" s="22" t="n">
        <v>18500000</v>
      </c>
      <c r="J1049" s="21">
        <f>IF(OR(H1049="",H1049=25529689.5),"Yes","No")</f>
        <v/>
      </c>
      <c r="K1049" s="21">
        <f>IF(AND(D1049="USA",C1049&gt;=1980,J1049="No"),"Yes","No")</f>
        <v/>
      </c>
      <c r="L1049" s="26">
        <f>IF(J1049="Yes","",H1049-I1049)</f>
        <v/>
      </c>
      <c r="M1049" s="27">
        <f>IF(OR(J1049="Yes",I1049=0),"",H1049/I1049)</f>
        <v/>
      </c>
      <c r="N1049" s="21">
        <f>IF(J1049="Yes","",IF(H1049&gt;=I1049,1,0))</f>
        <v/>
      </c>
      <c r="O1049" s="21">
        <f>IF(I1049&lt;=5000000,"Under $5M",IF(I1049&lt;=20000000,"$5M-20M",IF(I1049&lt;=50000000,"$20M-50M",IF(I1049&lt;=100000000,"$50M-100M","$100M+"))))</f>
        <v/>
      </c>
      <c r="P1049" s="21">
        <f>IF(E1049&lt;=90,"90 or less",IF(E1049&lt;=105,"91-105",IF(E1049&lt;=120,"106-120",IF(E1049&lt;=140,"121-140","Over 140"))))</f>
        <v/>
      </c>
      <c r="Q1049" s="28">
        <f>INT(C1049/10)*10</f>
        <v/>
      </c>
    </row>
    <row r="1050">
      <c r="A1050" s="21" t="n">
        <v>1074</v>
      </c>
      <c r="B1050" s="21" t="inlineStr">
        <is>
          <t>Gods and Monsters</t>
        </is>
      </c>
      <c r="C1050" s="21" t="n">
        <v>1998</v>
      </c>
      <c r="D1050" s="21" t="inlineStr">
        <is>
          <t>USA</t>
        </is>
      </c>
      <c r="E1050" s="21" t="n">
        <v>105</v>
      </c>
      <c r="F1050" s="21" t="inlineStr">
        <is>
          <t>English</t>
        </is>
      </c>
      <c r="G1050" s="21" t="inlineStr">
        <is>
          <t>R</t>
        </is>
      </c>
      <c r="H1050" s="22" t="n">
        <v>6390032</v>
      </c>
      <c r="I1050" s="22" t="n">
        <v>3500000</v>
      </c>
      <c r="J1050" s="21">
        <f>IF(OR(H1050="",H1050=25529689.5),"Yes","No")</f>
        <v/>
      </c>
      <c r="K1050" s="21">
        <f>IF(AND(D1050="USA",C1050&gt;=1980,J1050="No"),"Yes","No")</f>
        <v/>
      </c>
      <c r="L1050" s="26">
        <f>IF(J1050="Yes","",H1050-I1050)</f>
        <v/>
      </c>
      <c r="M1050" s="27">
        <f>IF(OR(J1050="Yes",I1050=0),"",H1050/I1050)</f>
        <v/>
      </c>
      <c r="N1050" s="21">
        <f>IF(J1050="Yes","",IF(H1050&gt;=I1050,1,0))</f>
        <v/>
      </c>
      <c r="O1050" s="21">
        <f>IF(I1050&lt;=5000000,"Under $5M",IF(I1050&lt;=20000000,"$5M-20M",IF(I1050&lt;=50000000,"$20M-50M",IF(I1050&lt;=100000000,"$50M-100M","$100M+"))))</f>
        <v/>
      </c>
      <c r="P1050" s="21">
        <f>IF(E1050&lt;=90,"90 or less",IF(E1050&lt;=105,"91-105",IF(E1050&lt;=120,"106-120",IF(E1050&lt;=140,"121-140","Over 140"))))</f>
        <v/>
      </c>
      <c r="Q1050" s="28">
        <f>INT(C1050/10)*10</f>
        <v/>
      </c>
    </row>
    <row r="1051">
      <c r="A1051" s="21" t="n">
        <v>1075</v>
      </c>
      <c r="B1051" s="21" t="inlineStr">
        <is>
          <t>Half Baked</t>
        </is>
      </c>
      <c r="C1051" s="21" t="n">
        <v>1998</v>
      </c>
      <c r="D1051" s="21" t="inlineStr">
        <is>
          <t>USA</t>
        </is>
      </c>
      <c r="E1051" s="21" t="n">
        <v>82</v>
      </c>
      <c r="F1051" s="21" t="inlineStr">
        <is>
          <t>English</t>
        </is>
      </c>
      <c r="G1051" s="21" t="inlineStr">
        <is>
          <t>R</t>
        </is>
      </c>
      <c r="H1051" s="22" t="n">
        <v>17278980</v>
      </c>
      <c r="I1051" s="22" t="n">
        <v>8000000</v>
      </c>
      <c r="J1051" s="21">
        <f>IF(OR(H1051="",H1051=25529689.5),"Yes","No")</f>
        <v/>
      </c>
      <c r="K1051" s="21">
        <f>IF(AND(D1051="USA",C1051&gt;=1980,J1051="No"),"Yes","No")</f>
        <v/>
      </c>
      <c r="L1051" s="26">
        <f>IF(J1051="Yes","",H1051-I1051)</f>
        <v/>
      </c>
      <c r="M1051" s="27">
        <f>IF(OR(J1051="Yes",I1051=0),"",H1051/I1051)</f>
        <v/>
      </c>
      <c r="N1051" s="21">
        <f>IF(J1051="Yes","",IF(H1051&gt;=I1051,1,0))</f>
        <v/>
      </c>
      <c r="O1051" s="21">
        <f>IF(I1051&lt;=5000000,"Under $5M",IF(I1051&lt;=20000000,"$5M-20M",IF(I1051&lt;=50000000,"$20M-50M",IF(I1051&lt;=100000000,"$50M-100M","$100M+"))))</f>
        <v/>
      </c>
      <c r="P1051" s="21">
        <f>IF(E1051&lt;=90,"90 or less",IF(E1051&lt;=105,"91-105",IF(E1051&lt;=120,"106-120",IF(E1051&lt;=140,"121-140","Over 140"))))</f>
        <v/>
      </c>
      <c r="Q1051" s="28">
        <f>INT(C1051/10)*10</f>
        <v/>
      </c>
    </row>
    <row r="1052">
      <c r="A1052" s="21" t="n">
        <v>1076</v>
      </c>
      <c r="B1052" s="21" t="inlineStr">
        <is>
          <t>Happiness</t>
        </is>
      </c>
      <c r="C1052" s="21" t="n">
        <v>1998</v>
      </c>
      <c r="D1052" s="21" t="inlineStr">
        <is>
          <t>USA</t>
        </is>
      </c>
      <c r="E1052" s="21" t="n">
        <v>134</v>
      </c>
      <c r="F1052" s="21" t="inlineStr">
        <is>
          <t>English</t>
        </is>
      </c>
      <c r="G1052" s="21" t="n"/>
      <c r="H1052" s="22" t="n">
        <v>3000000</v>
      </c>
      <c r="I1052" s="22" t="n">
        <v>3000000</v>
      </c>
      <c r="J1052" s="21">
        <f>IF(OR(H1052="",H1052=25529689.5),"Yes","No")</f>
        <v/>
      </c>
      <c r="K1052" s="21">
        <f>IF(AND(D1052="USA",C1052&gt;=1980,J1052="No"),"Yes","No")</f>
        <v/>
      </c>
      <c r="L1052" s="26">
        <f>IF(J1052="Yes","",H1052-I1052)</f>
        <v/>
      </c>
      <c r="M1052" s="27">
        <f>IF(OR(J1052="Yes",I1052=0),"",H1052/I1052)</f>
        <v/>
      </c>
      <c r="N1052" s="21">
        <f>IF(J1052="Yes","",IF(H1052&gt;=I1052,1,0))</f>
        <v/>
      </c>
      <c r="O1052" s="21">
        <f>IF(I1052&lt;=5000000,"Under $5M",IF(I1052&lt;=20000000,"$5M-20M",IF(I1052&lt;=50000000,"$20M-50M",IF(I1052&lt;=100000000,"$50M-100M","$100M+"))))</f>
        <v/>
      </c>
      <c r="P1052" s="21">
        <f>IF(E1052&lt;=90,"90 or less",IF(E1052&lt;=105,"91-105",IF(E1052&lt;=120,"106-120",IF(E1052&lt;=140,"121-140","Over 140"))))</f>
        <v/>
      </c>
      <c r="Q1052" s="28">
        <f>INT(C1052/10)*10</f>
        <v/>
      </c>
    </row>
    <row r="1053">
      <c r="A1053" s="21" t="n">
        <v>1077</v>
      </c>
      <c r="B1053" s="21" t="inlineStr">
        <is>
          <t>Hard Rain</t>
        </is>
      </c>
      <c r="C1053" s="21" t="n">
        <v>1998</v>
      </c>
      <c r="D1053" s="21" t="inlineStr">
        <is>
          <t>USA</t>
        </is>
      </c>
      <c r="E1053" s="21" t="n">
        <v>97</v>
      </c>
      <c r="F1053" s="21" t="inlineStr">
        <is>
          <t>English</t>
        </is>
      </c>
      <c r="G1053" s="21" t="inlineStr">
        <is>
          <t>R</t>
        </is>
      </c>
      <c r="H1053" s="22" t="n">
        <v>19819494</v>
      </c>
      <c r="I1053" s="22" t="n">
        <v>70000000</v>
      </c>
      <c r="J1053" s="21">
        <f>IF(OR(H1053="",H1053=25529689.5),"Yes","No")</f>
        <v/>
      </c>
      <c r="K1053" s="21">
        <f>IF(AND(D1053="USA",C1053&gt;=1980,J1053="No"),"Yes","No")</f>
        <v/>
      </c>
      <c r="L1053" s="26">
        <f>IF(J1053="Yes","",H1053-I1053)</f>
        <v/>
      </c>
      <c r="M1053" s="27">
        <f>IF(OR(J1053="Yes",I1053=0),"",H1053/I1053)</f>
        <v/>
      </c>
      <c r="N1053" s="21">
        <f>IF(J1053="Yes","",IF(H1053&gt;=I1053,1,0))</f>
        <v/>
      </c>
      <c r="O1053" s="21">
        <f>IF(I1053&lt;=5000000,"Under $5M",IF(I1053&lt;=20000000,"$5M-20M",IF(I1053&lt;=50000000,"$20M-50M",IF(I1053&lt;=100000000,"$50M-100M","$100M+"))))</f>
        <v/>
      </c>
      <c r="P1053" s="21">
        <f>IF(E1053&lt;=90,"90 or less",IF(E1053&lt;=105,"91-105",IF(E1053&lt;=120,"106-120",IF(E1053&lt;=140,"121-140","Over 140"))))</f>
        <v/>
      </c>
      <c r="Q1053" s="28">
        <f>INT(C1053/10)*10</f>
        <v/>
      </c>
    </row>
    <row r="1054">
      <c r="A1054" s="21" t="n">
        <v>1078</v>
      </c>
      <c r="B1054" s="21" t="inlineStr">
        <is>
          <t>He Got Game</t>
        </is>
      </c>
      <c r="C1054" s="21" t="n">
        <v>1998</v>
      </c>
      <c r="D1054" s="21" t="inlineStr">
        <is>
          <t>USA</t>
        </is>
      </c>
      <c r="E1054" s="21" t="n">
        <v>136</v>
      </c>
      <c r="F1054" s="21" t="inlineStr">
        <is>
          <t>English</t>
        </is>
      </c>
      <c r="G1054" s="21" t="inlineStr">
        <is>
          <t>R</t>
        </is>
      </c>
      <c r="H1054" s="22" t="n">
        <v>21554585</v>
      </c>
      <c r="I1054" s="22" t="n">
        <v>25000000</v>
      </c>
      <c r="J1054" s="21">
        <f>IF(OR(H1054="",H1054=25529689.5),"Yes","No")</f>
        <v/>
      </c>
      <c r="K1054" s="21">
        <f>IF(AND(D1054="USA",C1054&gt;=1980,J1054="No"),"Yes","No")</f>
        <v/>
      </c>
      <c r="L1054" s="26">
        <f>IF(J1054="Yes","",H1054-I1054)</f>
        <v/>
      </c>
      <c r="M1054" s="27">
        <f>IF(OR(J1054="Yes",I1054=0),"",H1054/I1054)</f>
        <v/>
      </c>
      <c r="N1054" s="21">
        <f>IF(J1054="Yes","",IF(H1054&gt;=I1054,1,0))</f>
        <v/>
      </c>
      <c r="O1054" s="21">
        <f>IF(I1054&lt;=5000000,"Under $5M",IF(I1054&lt;=20000000,"$5M-20M",IF(I1054&lt;=50000000,"$20M-50M",IF(I1054&lt;=100000000,"$50M-100M","$100M+"))))</f>
        <v/>
      </c>
      <c r="P1054" s="21">
        <f>IF(E1054&lt;=90,"90 or less",IF(E1054&lt;=105,"91-105",IF(E1054&lt;=120,"106-120",IF(E1054&lt;=140,"121-140","Over 140"))))</f>
        <v/>
      </c>
      <c r="Q1054" s="28">
        <f>INT(C1054/10)*10</f>
        <v/>
      </c>
    </row>
    <row r="1055">
      <c r="A1055" s="21" t="n">
        <v>1079</v>
      </c>
      <c r="B1055" s="21" t="inlineStr">
        <is>
          <t>Holy Man</t>
        </is>
      </c>
      <c r="C1055" s="21" t="n">
        <v>1998</v>
      </c>
      <c r="D1055" s="21" t="inlineStr">
        <is>
          <t>USA</t>
        </is>
      </c>
      <c r="E1055" s="21" t="n">
        <v>114</v>
      </c>
      <c r="F1055" s="21" t="inlineStr">
        <is>
          <t>English</t>
        </is>
      </c>
      <c r="G1055" s="21" t="inlineStr">
        <is>
          <t>PG</t>
        </is>
      </c>
      <c r="H1055" s="22" t="n">
        <v>12065985</v>
      </c>
      <c r="I1055" s="22" t="n">
        <v>60000000</v>
      </c>
      <c r="J1055" s="21">
        <f>IF(OR(H1055="",H1055=25529689.5),"Yes","No")</f>
        <v/>
      </c>
      <c r="K1055" s="21">
        <f>IF(AND(D1055="USA",C1055&gt;=1980,J1055="No"),"Yes","No")</f>
        <v/>
      </c>
      <c r="L1055" s="26">
        <f>IF(J1055="Yes","",H1055-I1055)</f>
        <v/>
      </c>
      <c r="M1055" s="27">
        <f>IF(OR(J1055="Yes",I1055=0),"",H1055/I1055)</f>
        <v/>
      </c>
      <c r="N1055" s="21">
        <f>IF(J1055="Yes","",IF(H1055&gt;=I1055,1,0))</f>
        <v/>
      </c>
      <c r="O1055" s="21">
        <f>IF(I1055&lt;=5000000,"Under $5M",IF(I1055&lt;=20000000,"$5M-20M",IF(I1055&lt;=50000000,"$20M-50M",IF(I1055&lt;=100000000,"$50M-100M","$100M+"))))</f>
        <v/>
      </c>
      <c r="P1055" s="21">
        <f>IF(E1055&lt;=90,"90 or less",IF(E1055&lt;=105,"91-105",IF(E1055&lt;=120,"106-120",IF(E1055&lt;=140,"121-140","Over 140"))))</f>
        <v/>
      </c>
      <c r="Q1055" s="28">
        <f>INT(C1055/10)*10</f>
        <v/>
      </c>
    </row>
    <row r="1056">
      <c r="A1056" s="21" t="n">
        <v>1080</v>
      </c>
      <c r="B1056" s="21" t="inlineStr">
        <is>
          <t>Home Fries</t>
        </is>
      </c>
      <c r="C1056" s="21" t="n">
        <v>1998</v>
      </c>
      <c r="D1056" s="21" t="inlineStr">
        <is>
          <t>USA</t>
        </is>
      </c>
      <c r="E1056" s="21" t="n">
        <v>91</v>
      </c>
      <c r="F1056" s="21" t="inlineStr">
        <is>
          <t>English</t>
        </is>
      </c>
      <c r="G1056" s="21" t="inlineStr">
        <is>
          <t>PG-13</t>
        </is>
      </c>
      <c r="H1056" s="22" t="n">
        <v>10443316</v>
      </c>
      <c r="I1056" s="22" t="n">
        <v>15000000</v>
      </c>
      <c r="J1056" s="21">
        <f>IF(OR(H1056="",H1056=25529689.5),"Yes","No")</f>
        <v/>
      </c>
      <c r="K1056" s="21">
        <f>IF(AND(D1056="USA",C1056&gt;=1980,J1056="No"),"Yes","No")</f>
        <v/>
      </c>
      <c r="L1056" s="26">
        <f>IF(J1056="Yes","",H1056-I1056)</f>
        <v/>
      </c>
      <c r="M1056" s="27">
        <f>IF(OR(J1056="Yes",I1056=0),"",H1056/I1056)</f>
        <v/>
      </c>
      <c r="N1056" s="21">
        <f>IF(J1056="Yes","",IF(H1056&gt;=I1056,1,0))</f>
        <v/>
      </c>
      <c r="O1056" s="21">
        <f>IF(I1056&lt;=5000000,"Under $5M",IF(I1056&lt;=20000000,"$5M-20M",IF(I1056&lt;=50000000,"$20M-50M",IF(I1056&lt;=100000000,"$50M-100M","$100M+"))))</f>
        <v/>
      </c>
      <c r="P1056" s="21">
        <f>IF(E1056&lt;=90,"90 or less",IF(E1056&lt;=105,"91-105",IF(E1056&lt;=120,"106-120",IF(E1056&lt;=140,"121-140","Over 140"))))</f>
        <v/>
      </c>
      <c r="Q1056" s="28">
        <f>INT(C1056/10)*10</f>
        <v/>
      </c>
    </row>
    <row r="1057">
      <c r="A1057" s="21" t="n">
        <v>1081</v>
      </c>
      <c r="B1057" s="21" t="inlineStr">
        <is>
          <t>Hope Floats</t>
        </is>
      </c>
      <c r="C1057" s="21" t="n">
        <v>1998</v>
      </c>
      <c r="D1057" s="21" t="inlineStr">
        <is>
          <t>USA</t>
        </is>
      </c>
      <c r="E1057" s="21" t="n">
        <v>114</v>
      </c>
      <c r="F1057" s="21" t="inlineStr">
        <is>
          <t>English</t>
        </is>
      </c>
      <c r="G1057" s="21" t="inlineStr">
        <is>
          <t>PG-13</t>
        </is>
      </c>
      <c r="H1057" s="22" t="n">
        <v>60033780</v>
      </c>
      <c r="I1057" s="22" t="n">
        <v>30000000</v>
      </c>
      <c r="J1057" s="21">
        <f>IF(OR(H1057="",H1057=25529689.5),"Yes","No")</f>
        <v/>
      </c>
      <c r="K1057" s="21">
        <f>IF(AND(D1057="USA",C1057&gt;=1980,J1057="No"),"Yes","No")</f>
        <v/>
      </c>
      <c r="L1057" s="26">
        <f>IF(J1057="Yes","",H1057-I1057)</f>
        <v/>
      </c>
      <c r="M1057" s="27">
        <f>IF(OR(J1057="Yes",I1057=0),"",H1057/I1057)</f>
        <v/>
      </c>
      <c r="N1057" s="21">
        <f>IF(J1057="Yes","",IF(H1057&gt;=I1057,1,0))</f>
        <v/>
      </c>
      <c r="O1057" s="21">
        <f>IF(I1057&lt;=5000000,"Under $5M",IF(I1057&lt;=20000000,"$5M-20M",IF(I1057&lt;=50000000,"$20M-50M",IF(I1057&lt;=100000000,"$50M-100M","$100M+"))))</f>
        <v/>
      </c>
      <c r="P1057" s="21">
        <f>IF(E1057&lt;=90,"90 or less",IF(E1057&lt;=105,"91-105",IF(E1057&lt;=120,"106-120",IF(E1057&lt;=140,"121-140","Over 140"))))</f>
        <v/>
      </c>
      <c r="Q1057" s="28">
        <f>INT(C1057/10)*10</f>
        <v/>
      </c>
    </row>
    <row r="1058">
      <c r="A1058" s="21" t="n">
        <v>1082</v>
      </c>
      <c r="B1058" s="21" t="inlineStr">
        <is>
          <t>How Stella Got Her Groove Back</t>
        </is>
      </c>
      <c r="C1058" s="21" t="n">
        <v>1998</v>
      </c>
      <c r="D1058" s="21" t="inlineStr">
        <is>
          <t>USA</t>
        </is>
      </c>
      <c r="E1058" s="21" t="n">
        <v>124</v>
      </c>
      <c r="F1058" s="21" t="inlineStr">
        <is>
          <t>English</t>
        </is>
      </c>
      <c r="G1058" s="21" t="inlineStr">
        <is>
          <t>R</t>
        </is>
      </c>
      <c r="H1058" s="22" t="n">
        <v>37672350</v>
      </c>
      <c r="I1058" s="22" t="n">
        <v>20000000</v>
      </c>
      <c r="J1058" s="21">
        <f>IF(OR(H1058="",H1058=25529689.5),"Yes","No")</f>
        <v/>
      </c>
      <c r="K1058" s="21">
        <f>IF(AND(D1058="USA",C1058&gt;=1980,J1058="No"),"Yes","No")</f>
        <v/>
      </c>
      <c r="L1058" s="26">
        <f>IF(J1058="Yes","",H1058-I1058)</f>
        <v/>
      </c>
      <c r="M1058" s="27">
        <f>IF(OR(J1058="Yes",I1058=0),"",H1058/I1058)</f>
        <v/>
      </c>
      <c r="N1058" s="21">
        <f>IF(J1058="Yes","",IF(H1058&gt;=I1058,1,0))</f>
        <v/>
      </c>
      <c r="O1058" s="21">
        <f>IF(I1058&lt;=5000000,"Under $5M",IF(I1058&lt;=20000000,"$5M-20M",IF(I1058&lt;=50000000,"$20M-50M",IF(I1058&lt;=100000000,"$50M-100M","$100M+"))))</f>
        <v/>
      </c>
      <c r="P1058" s="21">
        <f>IF(E1058&lt;=90,"90 or less",IF(E1058&lt;=105,"91-105",IF(E1058&lt;=120,"106-120",IF(E1058&lt;=140,"121-140","Over 140"))))</f>
        <v/>
      </c>
      <c r="Q1058" s="28">
        <f>INT(C1058/10)*10</f>
        <v/>
      </c>
    </row>
    <row r="1059">
      <c r="A1059" s="21" t="n">
        <v>1083</v>
      </c>
      <c r="B1059" s="21" t="inlineStr">
        <is>
          <t>I Got the Hook Up</t>
        </is>
      </c>
      <c r="C1059" s="21" t="n">
        <v>1998</v>
      </c>
      <c r="D1059" s="21" t="inlineStr">
        <is>
          <t>USA</t>
        </is>
      </c>
      <c r="E1059" s="21" t="n">
        <v>93</v>
      </c>
      <c r="F1059" s="21" t="inlineStr">
        <is>
          <t>English</t>
        </is>
      </c>
      <c r="G1059" s="21" t="inlineStr">
        <is>
          <t>R</t>
        </is>
      </c>
      <c r="H1059" s="22" t="n">
        <v>10305534</v>
      </c>
      <c r="I1059" s="22" t="n">
        <v>3500000</v>
      </c>
      <c r="J1059" s="21">
        <f>IF(OR(H1059="",H1059=25529689.5),"Yes","No")</f>
        <v/>
      </c>
      <c r="K1059" s="21">
        <f>IF(AND(D1059="USA",C1059&gt;=1980,J1059="No"),"Yes","No")</f>
        <v/>
      </c>
      <c r="L1059" s="26">
        <f>IF(J1059="Yes","",H1059-I1059)</f>
        <v/>
      </c>
      <c r="M1059" s="27">
        <f>IF(OR(J1059="Yes",I1059=0),"",H1059/I1059)</f>
        <v/>
      </c>
      <c r="N1059" s="21">
        <f>IF(J1059="Yes","",IF(H1059&gt;=I1059,1,0))</f>
        <v/>
      </c>
      <c r="O1059" s="21">
        <f>IF(I1059&lt;=5000000,"Under $5M",IF(I1059&lt;=20000000,"$5M-20M",IF(I1059&lt;=50000000,"$20M-50M",IF(I1059&lt;=100000000,"$50M-100M","$100M+"))))</f>
        <v/>
      </c>
      <c r="P1059" s="21">
        <f>IF(E1059&lt;=90,"90 or less",IF(E1059&lt;=105,"91-105",IF(E1059&lt;=120,"106-120",IF(E1059&lt;=140,"121-140","Over 140"))))</f>
        <v/>
      </c>
      <c r="Q1059" s="28">
        <f>INT(C1059/10)*10</f>
        <v/>
      </c>
    </row>
    <row r="1060">
      <c r="A1060" s="21" t="n">
        <v>1084</v>
      </c>
      <c r="B1060" s="21" t="inlineStr">
        <is>
          <t>I Still Know What You Did Last Summer</t>
        </is>
      </c>
      <c r="C1060" s="21" t="n">
        <v>1998</v>
      </c>
      <c r="D1060" s="21" t="inlineStr">
        <is>
          <t>USA</t>
        </is>
      </c>
      <c r="E1060" s="21" t="n">
        <v>100</v>
      </c>
      <c r="F1060" s="21" t="inlineStr">
        <is>
          <t>English</t>
        </is>
      </c>
      <c r="G1060" s="21" t="inlineStr">
        <is>
          <t>R</t>
        </is>
      </c>
      <c r="H1060" s="22" t="n">
        <v>39989008</v>
      </c>
      <c r="I1060" s="22" t="n">
        <v>24000000</v>
      </c>
      <c r="J1060" s="21">
        <f>IF(OR(H1060="",H1060=25529689.5),"Yes","No")</f>
        <v/>
      </c>
      <c r="K1060" s="21">
        <f>IF(AND(D1060="USA",C1060&gt;=1980,J1060="No"),"Yes","No")</f>
        <v/>
      </c>
      <c r="L1060" s="26">
        <f>IF(J1060="Yes","",H1060-I1060)</f>
        <v/>
      </c>
      <c r="M1060" s="27">
        <f>IF(OR(J1060="Yes",I1060=0),"",H1060/I1060)</f>
        <v/>
      </c>
      <c r="N1060" s="21">
        <f>IF(J1060="Yes","",IF(H1060&gt;=I1060,1,0))</f>
        <v/>
      </c>
      <c r="O1060" s="21">
        <f>IF(I1060&lt;=5000000,"Under $5M",IF(I1060&lt;=20000000,"$5M-20M",IF(I1060&lt;=50000000,"$20M-50M",IF(I1060&lt;=100000000,"$50M-100M","$100M+"))))</f>
        <v/>
      </c>
      <c r="P1060" s="21">
        <f>IF(E1060&lt;=90,"90 or less",IF(E1060&lt;=105,"91-105",IF(E1060&lt;=120,"106-120",IF(E1060&lt;=140,"121-140","Over 140"))))</f>
        <v/>
      </c>
      <c r="Q1060" s="28">
        <f>INT(C1060/10)*10</f>
        <v/>
      </c>
    </row>
    <row r="1061">
      <c r="A1061" s="21" t="n">
        <v>1085</v>
      </c>
      <c r="B1061" s="21" t="inlineStr">
        <is>
          <t>Illuminata</t>
        </is>
      </c>
      <c r="C1061" s="21" t="n">
        <v>1998</v>
      </c>
      <c r="D1061" s="21" t="inlineStr">
        <is>
          <t>Spain</t>
        </is>
      </c>
      <c r="E1061" s="21" t="n">
        <v>119</v>
      </c>
      <c r="F1061" s="21" t="inlineStr">
        <is>
          <t>English</t>
        </is>
      </c>
      <c r="G1061" s="21" t="inlineStr">
        <is>
          <t>R</t>
        </is>
      </c>
      <c r="H1061" s="22" t="n">
        <v>836641</v>
      </c>
      <c r="I1061" s="22" t="n">
        <v>20000000</v>
      </c>
      <c r="J1061" s="21">
        <f>IF(OR(H1061="",H1061=25529689.5),"Yes","No")</f>
        <v/>
      </c>
      <c r="K1061" s="21">
        <f>IF(AND(D1061="USA",C1061&gt;=1980,J1061="No"),"Yes","No")</f>
        <v/>
      </c>
      <c r="L1061" s="26">
        <f>IF(J1061="Yes","",H1061-I1061)</f>
        <v/>
      </c>
      <c r="M1061" s="27">
        <f>IF(OR(J1061="Yes",I1061=0),"",H1061/I1061)</f>
        <v/>
      </c>
      <c r="N1061" s="21">
        <f>IF(J1061="Yes","",IF(H1061&gt;=I1061,1,0))</f>
        <v/>
      </c>
      <c r="O1061" s="21">
        <f>IF(I1061&lt;=5000000,"Under $5M",IF(I1061&lt;=20000000,"$5M-20M",IF(I1061&lt;=50000000,"$20M-50M",IF(I1061&lt;=100000000,"$50M-100M","$100M+"))))</f>
        <v/>
      </c>
      <c r="P1061" s="21">
        <f>IF(E1061&lt;=90,"90 or less",IF(E1061&lt;=105,"91-105",IF(E1061&lt;=120,"106-120",IF(E1061&lt;=140,"121-140","Over 140"))))</f>
        <v/>
      </c>
      <c r="Q1061" s="28">
        <f>INT(C1061/10)*10</f>
        <v/>
      </c>
    </row>
    <row r="1062">
      <c r="A1062" s="21" t="n">
        <v>1086</v>
      </c>
      <c r="B1062" s="21" t="inlineStr">
        <is>
          <t>Knock Off</t>
        </is>
      </c>
      <c r="C1062" s="21" t="n">
        <v>1998</v>
      </c>
      <c r="D1062" s="21" t="inlineStr">
        <is>
          <t>Aruba</t>
        </is>
      </c>
      <c r="E1062" s="21" t="n">
        <v>91</v>
      </c>
      <c r="F1062" s="21" t="inlineStr">
        <is>
          <t>English</t>
        </is>
      </c>
      <c r="G1062" s="21" t="inlineStr">
        <is>
          <t>R</t>
        </is>
      </c>
      <c r="H1062" s="22" t="n">
        <v>10076136</v>
      </c>
      <c r="I1062" s="22" t="n">
        <v>35000000</v>
      </c>
      <c r="J1062" s="21">
        <f>IF(OR(H1062="",H1062=25529689.5),"Yes","No")</f>
        <v/>
      </c>
      <c r="K1062" s="21">
        <f>IF(AND(D1062="USA",C1062&gt;=1980,J1062="No"),"Yes","No")</f>
        <v/>
      </c>
      <c r="L1062" s="26">
        <f>IF(J1062="Yes","",H1062-I1062)</f>
        <v/>
      </c>
      <c r="M1062" s="27">
        <f>IF(OR(J1062="Yes",I1062=0),"",H1062/I1062)</f>
        <v/>
      </c>
      <c r="N1062" s="21">
        <f>IF(J1062="Yes","",IF(H1062&gt;=I1062,1,0))</f>
        <v/>
      </c>
      <c r="O1062" s="21">
        <f>IF(I1062&lt;=5000000,"Under $5M",IF(I1062&lt;=20000000,"$5M-20M",IF(I1062&lt;=50000000,"$20M-50M",IF(I1062&lt;=100000000,"$50M-100M","$100M+"))))</f>
        <v/>
      </c>
      <c r="P1062" s="21">
        <f>IF(E1062&lt;=90,"90 or less",IF(E1062&lt;=105,"91-105",IF(E1062&lt;=120,"106-120",IF(E1062&lt;=140,"121-140","Over 140"))))</f>
        <v/>
      </c>
      <c r="Q1062" s="28">
        <f>INT(C1062/10)*10</f>
        <v/>
      </c>
    </row>
    <row r="1063">
      <c r="A1063" s="21" t="n">
        <v>1087</v>
      </c>
      <c r="B1063" s="21" t="inlineStr">
        <is>
          <t>La otra conquista</t>
        </is>
      </c>
      <c r="C1063" s="21" t="n">
        <v>1998</v>
      </c>
      <c r="D1063" s="21" t="inlineStr">
        <is>
          <t>Mexico</t>
        </is>
      </c>
      <c r="E1063" s="21" t="n">
        <v>106</v>
      </c>
      <c r="F1063" s="21" t="inlineStr">
        <is>
          <t>Spanish</t>
        </is>
      </c>
      <c r="G1063" s="21" t="inlineStr">
        <is>
          <t>R</t>
        </is>
      </c>
      <c r="H1063" s="22" t="n">
        <v>886410</v>
      </c>
      <c r="I1063" s="22" t="n">
        <v>3500000</v>
      </c>
      <c r="J1063" s="21">
        <f>IF(OR(H1063="",H1063=25529689.5),"Yes","No")</f>
        <v/>
      </c>
      <c r="K1063" s="21">
        <f>IF(AND(D1063="USA",C1063&gt;=1980,J1063="No"),"Yes","No")</f>
        <v/>
      </c>
      <c r="L1063" s="26">
        <f>IF(J1063="Yes","",H1063-I1063)</f>
        <v/>
      </c>
      <c r="M1063" s="27">
        <f>IF(OR(J1063="Yes",I1063=0),"",H1063/I1063)</f>
        <v/>
      </c>
      <c r="N1063" s="21">
        <f>IF(J1063="Yes","",IF(H1063&gt;=I1063,1,0))</f>
        <v/>
      </c>
      <c r="O1063" s="21">
        <f>IF(I1063&lt;=5000000,"Under $5M",IF(I1063&lt;=20000000,"$5M-20M",IF(I1063&lt;=50000000,"$20M-50M",IF(I1063&lt;=100000000,"$50M-100M","$100M+"))))</f>
        <v/>
      </c>
      <c r="P1063" s="21">
        <f>IF(E1063&lt;=90,"90 or less",IF(E1063&lt;=105,"91-105",IF(E1063&lt;=120,"106-120",IF(E1063&lt;=140,"121-140","Over 140"))))</f>
        <v/>
      </c>
      <c r="Q1063" s="28">
        <f>INT(C1063/10)*10</f>
        <v/>
      </c>
    </row>
    <row r="1064">
      <c r="A1064" s="21" t="n">
        <v>1088</v>
      </c>
      <c r="B1064" s="21" t="inlineStr">
        <is>
          <t>Les couloirs du temps: Les visiteurs II</t>
        </is>
      </c>
      <c r="C1064" s="21" t="n">
        <v>1998</v>
      </c>
      <c r="D1064" s="21" t="inlineStr">
        <is>
          <t>France</t>
        </is>
      </c>
      <c r="E1064" s="21" t="n">
        <v>118</v>
      </c>
      <c r="F1064" s="21" t="inlineStr">
        <is>
          <t>French</t>
        </is>
      </c>
      <c r="G1064" s="21" t="n"/>
      <c r="H1064" s="22" t="n">
        <v>146072</v>
      </c>
      <c r="I1064" s="22" t="n">
        <v>140000000</v>
      </c>
      <c r="J1064" s="21">
        <f>IF(OR(H1064="",H1064=25529689.5),"Yes","No")</f>
        <v/>
      </c>
      <c r="K1064" s="21">
        <f>IF(AND(D1064="USA",C1064&gt;=1980,J1064="No"),"Yes","No")</f>
        <v/>
      </c>
      <c r="L1064" s="26">
        <f>IF(J1064="Yes","",H1064-I1064)</f>
        <v/>
      </c>
      <c r="M1064" s="27">
        <f>IF(OR(J1064="Yes",I1064=0),"",H1064/I1064)</f>
        <v/>
      </c>
      <c r="N1064" s="21">
        <f>IF(J1064="Yes","",IF(H1064&gt;=I1064,1,0))</f>
        <v/>
      </c>
      <c r="O1064" s="21">
        <f>IF(I1064&lt;=5000000,"Under $5M",IF(I1064&lt;=20000000,"$5M-20M",IF(I1064&lt;=50000000,"$20M-50M",IF(I1064&lt;=100000000,"$50M-100M","$100M+"))))</f>
        <v/>
      </c>
      <c r="P1064" s="21">
        <f>IF(E1064&lt;=90,"90 or less",IF(E1064&lt;=105,"91-105",IF(E1064&lt;=120,"106-120",IF(E1064&lt;=140,"121-140","Over 140"))))</f>
        <v/>
      </c>
      <c r="Q1064" s="28">
        <f>INT(C1064/10)*10</f>
        <v/>
      </c>
    </row>
    <row r="1065">
      <c r="A1065" s="21" t="n">
        <v>1089</v>
      </c>
      <c r="B1065" s="21" t="inlineStr">
        <is>
          <t>Lethal Weapon 4</t>
        </is>
      </c>
      <c r="C1065" s="21" t="n">
        <v>1998</v>
      </c>
      <c r="D1065" s="21" t="inlineStr">
        <is>
          <t>USA</t>
        </is>
      </c>
      <c r="E1065" s="21" t="n">
        <v>127</v>
      </c>
      <c r="F1065" s="21" t="inlineStr">
        <is>
          <t>English</t>
        </is>
      </c>
      <c r="G1065" s="21" t="inlineStr">
        <is>
          <t>R</t>
        </is>
      </c>
      <c r="H1065" s="22" t="n">
        <v>129734803</v>
      </c>
      <c r="I1065" s="22" t="n">
        <v>140000000</v>
      </c>
      <c r="J1065" s="21">
        <f>IF(OR(H1065="",H1065=25529689.5),"Yes","No")</f>
        <v/>
      </c>
      <c r="K1065" s="21">
        <f>IF(AND(D1065="USA",C1065&gt;=1980,J1065="No"),"Yes","No")</f>
        <v/>
      </c>
      <c r="L1065" s="26">
        <f>IF(J1065="Yes","",H1065-I1065)</f>
        <v/>
      </c>
      <c r="M1065" s="27">
        <f>IF(OR(J1065="Yes",I1065=0),"",H1065/I1065)</f>
        <v/>
      </c>
      <c r="N1065" s="21">
        <f>IF(J1065="Yes","",IF(H1065&gt;=I1065,1,0))</f>
        <v/>
      </c>
      <c r="O1065" s="21">
        <f>IF(I1065&lt;=5000000,"Under $5M",IF(I1065&lt;=20000000,"$5M-20M",IF(I1065&lt;=50000000,"$20M-50M",IF(I1065&lt;=100000000,"$50M-100M","$100M+"))))</f>
        <v/>
      </c>
      <c r="P1065" s="21">
        <f>IF(E1065&lt;=90,"90 or less",IF(E1065&lt;=105,"91-105",IF(E1065&lt;=120,"106-120",IF(E1065&lt;=140,"121-140","Over 140"))))</f>
        <v/>
      </c>
      <c r="Q1065" s="28">
        <f>INT(C1065/10)*10</f>
        <v/>
      </c>
    </row>
    <row r="1066">
      <c r="A1066" s="21" t="n">
        <v>1090</v>
      </c>
      <c r="B1066" s="21" t="inlineStr">
        <is>
          <t>Little Voice</t>
        </is>
      </c>
      <c r="C1066" s="21" t="n">
        <v>1998</v>
      </c>
      <c r="D1066" s="21" t="inlineStr">
        <is>
          <t>UK</t>
        </is>
      </c>
      <c r="E1066" s="21" t="n">
        <v>97</v>
      </c>
      <c r="F1066" s="21" t="inlineStr">
        <is>
          <t>English</t>
        </is>
      </c>
      <c r="G1066" s="21" t="inlineStr">
        <is>
          <t>R</t>
        </is>
      </c>
      <c r="H1066" s="22" t="n">
        <v>4595000</v>
      </c>
      <c r="I1066" s="22" t="n">
        <v>20000000</v>
      </c>
      <c r="J1066" s="21">
        <f>IF(OR(H1066="",H1066=25529689.5),"Yes","No")</f>
        <v/>
      </c>
      <c r="K1066" s="21">
        <f>IF(AND(D1066="USA",C1066&gt;=1980,J1066="No"),"Yes","No")</f>
        <v/>
      </c>
      <c r="L1066" s="26">
        <f>IF(J1066="Yes","",H1066-I1066)</f>
        <v/>
      </c>
      <c r="M1066" s="27">
        <f>IF(OR(J1066="Yes",I1066=0),"",H1066/I1066)</f>
        <v/>
      </c>
      <c r="N1066" s="21">
        <f>IF(J1066="Yes","",IF(H1066&gt;=I1066,1,0))</f>
        <v/>
      </c>
      <c r="O1066" s="21">
        <f>IF(I1066&lt;=5000000,"Under $5M",IF(I1066&lt;=20000000,"$5M-20M",IF(I1066&lt;=50000000,"$20M-50M",IF(I1066&lt;=100000000,"$50M-100M","$100M+"))))</f>
        <v/>
      </c>
      <c r="P1066" s="21">
        <f>IF(E1066&lt;=90,"90 or less",IF(E1066&lt;=105,"91-105",IF(E1066&lt;=120,"106-120",IF(E1066&lt;=140,"121-140","Over 140"))))</f>
        <v/>
      </c>
      <c r="Q1066" s="28">
        <f>INT(C1066/10)*10</f>
        <v/>
      </c>
    </row>
    <row r="1067">
      <c r="A1067" s="21" t="n">
        <v>1091</v>
      </c>
      <c r="B1067" s="21" t="inlineStr">
        <is>
          <t>Living Out Loud</t>
        </is>
      </c>
      <c r="C1067" s="21" t="n">
        <v>1998</v>
      </c>
      <c r="D1067" s="21" t="inlineStr">
        <is>
          <t>USA</t>
        </is>
      </c>
      <c r="E1067" s="21" t="n">
        <v>100</v>
      </c>
      <c r="F1067" s="21" t="inlineStr">
        <is>
          <t>English</t>
        </is>
      </c>
      <c r="G1067" s="21" t="inlineStr">
        <is>
          <t>R</t>
        </is>
      </c>
      <c r="H1067" s="22" t="n">
        <v>12902790</v>
      </c>
      <c r="I1067" s="22" t="n">
        <v>12000000</v>
      </c>
      <c r="J1067" s="21">
        <f>IF(OR(H1067="",H1067=25529689.5),"Yes","No")</f>
        <v/>
      </c>
      <c r="K1067" s="21">
        <f>IF(AND(D1067="USA",C1067&gt;=1980,J1067="No"),"Yes","No")</f>
        <v/>
      </c>
      <c r="L1067" s="26">
        <f>IF(J1067="Yes","",H1067-I1067)</f>
        <v/>
      </c>
      <c r="M1067" s="27">
        <f>IF(OR(J1067="Yes",I1067=0),"",H1067/I1067)</f>
        <v/>
      </c>
      <c r="N1067" s="21">
        <f>IF(J1067="Yes","",IF(H1067&gt;=I1067,1,0))</f>
        <v/>
      </c>
      <c r="O1067" s="21">
        <f>IF(I1067&lt;=5000000,"Under $5M",IF(I1067&lt;=20000000,"$5M-20M",IF(I1067&lt;=50000000,"$20M-50M",IF(I1067&lt;=100000000,"$50M-100M","$100M+"))))</f>
        <v/>
      </c>
      <c r="P1067" s="21">
        <f>IF(E1067&lt;=90,"90 or less",IF(E1067&lt;=105,"91-105",IF(E1067&lt;=120,"106-120",IF(E1067&lt;=140,"121-140","Over 140"))))</f>
        <v/>
      </c>
      <c r="Q1067" s="28">
        <f>INT(C1067/10)*10</f>
        <v/>
      </c>
    </row>
    <row r="1068">
      <c r="A1068" s="21" t="n">
        <v>1092</v>
      </c>
      <c r="B1068" s="21" t="inlineStr">
        <is>
          <t>Lock, Stock and Two Smoking Barrels</t>
        </is>
      </c>
      <c r="C1068" s="21" t="n">
        <v>1998</v>
      </c>
      <c r="D1068" s="21" t="inlineStr">
        <is>
          <t>UK</t>
        </is>
      </c>
      <c r="E1068" s="21" t="n">
        <v>120</v>
      </c>
      <c r="F1068" s="21" t="inlineStr">
        <is>
          <t>English</t>
        </is>
      </c>
      <c r="G1068" s="21" t="inlineStr">
        <is>
          <t>R</t>
        </is>
      </c>
      <c r="H1068" s="22" t="n">
        <v>3650677</v>
      </c>
      <c r="I1068" s="22" t="n">
        <v>960000</v>
      </c>
      <c r="J1068" s="21">
        <f>IF(OR(H1068="",H1068=25529689.5),"Yes","No")</f>
        <v/>
      </c>
      <c r="K1068" s="21">
        <f>IF(AND(D1068="USA",C1068&gt;=1980,J1068="No"),"Yes","No")</f>
        <v/>
      </c>
      <c r="L1068" s="26">
        <f>IF(J1068="Yes","",H1068-I1068)</f>
        <v/>
      </c>
      <c r="M1068" s="27">
        <f>IF(OR(J1068="Yes",I1068=0),"",H1068/I1068)</f>
        <v/>
      </c>
      <c r="N1068" s="21">
        <f>IF(J1068="Yes","",IF(H1068&gt;=I1068,1,0))</f>
        <v/>
      </c>
      <c r="O1068" s="21">
        <f>IF(I1068&lt;=5000000,"Under $5M",IF(I1068&lt;=20000000,"$5M-20M",IF(I1068&lt;=50000000,"$20M-50M",IF(I1068&lt;=100000000,"$50M-100M","$100M+"))))</f>
        <v/>
      </c>
      <c r="P1068" s="21">
        <f>IF(E1068&lt;=90,"90 or less",IF(E1068&lt;=105,"91-105",IF(E1068&lt;=120,"106-120",IF(E1068&lt;=140,"121-140","Over 140"))))</f>
        <v/>
      </c>
      <c r="Q1068" s="28">
        <f>INT(C1068/10)*10</f>
        <v/>
      </c>
    </row>
    <row r="1069">
      <c r="A1069" s="21" t="n">
        <v>1093</v>
      </c>
      <c r="B1069" s="21" t="inlineStr">
        <is>
          <t>Lost in Space</t>
        </is>
      </c>
      <c r="C1069" s="21" t="n">
        <v>1998</v>
      </c>
      <c r="D1069" s="21" t="inlineStr">
        <is>
          <t>USA</t>
        </is>
      </c>
      <c r="E1069" s="21" t="n">
        <v>130</v>
      </c>
      <c r="F1069" s="21" t="inlineStr">
        <is>
          <t>English</t>
        </is>
      </c>
      <c r="G1069" s="21" t="inlineStr">
        <is>
          <t>PG-13</t>
        </is>
      </c>
      <c r="H1069" s="22" t="n">
        <v>69102910</v>
      </c>
      <c r="I1069" s="22" t="n">
        <v>80000000</v>
      </c>
      <c r="J1069" s="21">
        <f>IF(OR(H1069="",H1069=25529689.5),"Yes","No")</f>
        <v/>
      </c>
      <c r="K1069" s="21">
        <f>IF(AND(D1069="USA",C1069&gt;=1980,J1069="No"),"Yes","No")</f>
        <v/>
      </c>
      <c r="L1069" s="26">
        <f>IF(J1069="Yes","",H1069-I1069)</f>
        <v/>
      </c>
      <c r="M1069" s="27">
        <f>IF(OR(J1069="Yes",I1069=0),"",H1069/I1069)</f>
        <v/>
      </c>
      <c r="N1069" s="21">
        <f>IF(J1069="Yes","",IF(H1069&gt;=I1069,1,0))</f>
        <v/>
      </c>
      <c r="O1069" s="21">
        <f>IF(I1069&lt;=5000000,"Under $5M",IF(I1069&lt;=20000000,"$5M-20M",IF(I1069&lt;=50000000,"$20M-50M",IF(I1069&lt;=100000000,"$50M-100M","$100M+"))))</f>
        <v/>
      </c>
      <c r="P1069" s="21">
        <f>IF(E1069&lt;=90,"90 or less",IF(E1069&lt;=105,"91-105",IF(E1069&lt;=120,"106-120",IF(E1069&lt;=140,"121-140","Over 140"))))</f>
        <v/>
      </c>
      <c r="Q1069" s="28">
        <f>INT(C1069/10)*10</f>
        <v/>
      </c>
    </row>
    <row r="1070">
      <c r="A1070" s="21" t="n">
        <v>1094</v>
      </c>
      <c r="B1070" s="21" t="inlineStr">
        <is>
          <t>Meet Joe Black</t>
        </is>
      </c>
      <c r="C1070" s="21" t="n">
        <v>1998</v>
      </c>
      <c r="D1070" s="21" t="inlineStr">
        <is>
          <t>USA</t>
        </is>
      </c>
      <c r="E1070" s="21" t="n">
        <v>178</v>
      </c>
      <c r="F1070" s="21" t="inlineStr">
        <is>
          <t>English</t>
        </is>
      </c>
      <c r="G1070" s="21" t="inlineStr">
        <is>
          <t>PG-13</t>
        </is>
      </c>
      <c r="H1070" s="22" t="n">
        <v>44606335</v>
      </c>
      <c r="I1070" s="22" t="n">
        <v>90000000</v>
      </c>
      <c r="J1070" s="21">
        <f>IF(OR(H1070="",H1070=25529689.5),"Yes","No")</f>
        <v/>
      </c>
      <c r="K1070" s="21">
        <f>IF(AND(D1070="USA",C1070&gt;=1980,J1070="No"),"Yes","No")</f>
        <v/>
      </c>
      <c r="L1070" s="26">
        <f>IF(J1070="Yes","",H1070-I1070)</f>
        <v/>
      </c>
      <c r="M1070" s="27">
        <f>IF(OR(J1070="Yes",I1070=0),"",H1070/I1070)</f>
        <v/>
      </c>
      <c r="N1070" s="21">
        <f>IF(J1070="Yes","",IF(H1070&gt;=I1070,1,0))</f>
        <v/>
      </c>
      <c r="O1070" s="21">
        <f>IF(I1070&lt;=5000000,"Under $5M",IF(I1070&lt;=20000000,"$5M-20M",IF(I1070&lt;=50000000,"$20M-50M",IF(I1070&lt;=100000000,"$50M-100M","$100M+"))))</f>
        <v/>
      </c>
      <c r="P1070" s="21">
        <f>IF(E1070&lt;=90,"90 or less",IF(E1070&lt;=105,"91-105",IF(E1070&lt;=120,"106-120",IF(E1070&lt;=140,"121-140","Over 140"))))</f>
        <v/>
      </c>
      <c r="Q1070" s="28">
        <f>INT(C1070/10)*10</f>
        <v/>
      </c>
    </row>
    <row r="1071">
      <c r="A1071" s="21" t="n">
        <v>1095</v>
      </c>
      <c r="B1071" s="21" t="inlineStr">
        <is>
          <t>Meet the Deedles</t>
        </is>
      </c>
      <c r="C1071" s="21" t="n">
        <v>1998</v>
      </c>
      <c r="D1071" s="21" t="inlineStr">
        <is>
          <t>USA</t>
        </is>
      </c>
      <c r="E1071" s="21" t="n">
        <v>93</v>
      </c>
      <c r="F1071" s="21" t="inlineStr">
        <is>
          <t>English</t>
        </is>
      </c>
      <c r="G1071" s="21" t="inlineStr">
        <is>
          <t>PG</t>
        </is>
      </c>
      <c r="H1071" s="22" t="n">
        <v>4308981</v>
      </c>
      <c r="I1071" s="22" t="n">
        <v>24000000</v>
      </c>
      <c r="J1071" s="21">
        <f>IF(OR(H1071="",H1071=25529689.5),"Yes","No")</f>
        <v/>
      </c>
      <c r="K1071" s="21">
        <f>IF(AND(D1071="USA",C1071&gt;=1980,J1071="No"),"Yes","No")</f>
        <v/>
      </c>
      <c r="L1071" s="26">
        <f>IF(J1071="Yes","",H1071-I1071)</f>
        <v/>
      </c>
      <c r="M1071" s="27">
        <f>IF(OR(J1071="Yes",I1071=0),"",H1071/I1071)</f>
        <v/>
      </c>
      <c r="N1071" s="21">
        <f>IF(J1071="Yes","",IF(H1071&gt;=I1071,1,0))</f>
        <v/>
      </c>
      <c r="O1071" s="21">
        <f>IF(I1071&lt;=5000000,"Under $5M",IF(I1071&lt;=20000000,"$5M-20M",IF(I1071&lt;=50000000,"$20M-50M",IF(I1071&lt;=100000000,"$50M-100M","$100M+"))))</f>
        <v/>
      </c>
      <c r="P1071" s="21">
        <f>IF(E1071&lt;=90,"90 or less",IF(E1071&lt;=105,"91-105",IF(E1071&lt;=120,"106-120",IF(E1071&lt;=140,"121-140","Over 140"))))</f>
        <v/>
      </c>
      <c r="Q1071" s="28">
        <f>INT(C1071/10)*10</f>
        <v/>
      </c>
    </row>
    <row r="1072">
      <c r="A1072" s="21" t="n">
        <v>1096</v>
      </c>
      <c r="B1072" s="21" t="inlineStr">
        <is>
          <t>Mercury Rising</t>
        </is>
      </c>
      <c r="C1072" s="21" t="n">
        <v>1998</v>
      </c>
      <c r="D1072" s="21" t="inlineStr">
        <is>
          <t>USA</t>
        </is>
      </c>
      <c r="E1072" s="21" t="n">
        <v>111</v>
      </c>
      <c r="F1072" s="21" t="inlineStr">
        <is>
          <t>English</t>
        </is>
      </c>
      <c r="G1072" s="21" t="inlineStr">
        <is>
          <t>R</t>
        </is>
      </c>
      <c r="H1072" s="22" t="n">
        <v>32940507</v>
      </c>
      <c r="I1072" s="22" t="n">
        <v>60000000</v>
      </c>
      <c r="J1072" s="21">
        <f>IF(OR(H1072="",H1072=25529689.5),"Yes","No")</f>
        <v/>
      </c>
      <c r="K1072" s="21">
        <f>IF(AND(D1072="USA",C1072&gt;=1980,J1072="No"),"Yes","No")</f>
        <v/>
      </c>
      <c r="L1072" s="26">
        <f>IF(J1072="Yes","",H1072-I1072)</f>
        <v/>
      </c>
      <c r="M1072" s="27">
        <f>IF(OR(J1072="Yes",I1072=0),"",H1072/I1072)</f>
        <v/>
      </c>
      <c r="N1072" s="21">
        <f>IF(J1072="Yes","",IF(H1072&gt;=I1072,1,0))</f>
        <v/>
      </c>
      <c r="O1072" s="21">
        <f>IF(I1072&lt;=5000000,"Under $5M",IF(I1072&lt;=20000000,"$5M-20M",IF(I1072&lt;=50000000,"$20M-50M",IF(I1072&lt;=100000000,"$50M-100M","$100M+"))))</f>
        <v/>
      </c>
      <c r="P1072" s="21">
        <f>IF(E1072&lt;=90,"90 or less",IF(E1072&lt;=105,"91-105",IF(E1072&lt;=120,"106-120",IF(E1072&lt;=140,"121-140","Over 140"))))</f>
        <v/>
      </c>
      <c r="Q1072" s="28">
        <f>INT(C1072/10)*10</f>
        <v/>
      </c>
    </row>
    <row r="1073">
      <c r="A1073" s="21" t="n">
        <v>1098</v>
      </c>
      <c r="B1073" s="21" t="inlineStr">
        <is>
          <t>Mighty Joe Young</t>
        </is>
      </c>
      <c r="C1073" s="21" t="n">
        <v>1998</v>
      </c>
      <c r="D1073" s="21" t="inlineStr">
        <is>
          <t>USA</t>
        </is>
      </c>
      <c r="E1073" s="21" t="n">
        <v>114</v>
      </c>
      <c r="F1073" s="21" t="inlineStr">
        <is>
          <t>English</t>
        </is>
      </c>
      <c r="G1073" s="21" t="inlineStr">
        <is>
          <t>PG</t>
        </is>
      </c>
      <c r="H1073" s="22" t="n">
        <v>50628009</v>
      </c>
      <c r="I1073" s="22" t="n">
        <v>90000000</v>
      </c>
      <c r="J1073" s="21">
        <f>IF(OR(H1073="",H1073=25529689.5),"Yes","No")</f>
        <v/>
      </c>
      <c r="K1073" s="21">
        <f>IF(AND(D1073="USA",C1073&gt;=1980,J1073="No"),"Yes","No")</f>
        <v/>
      </c>
      <c r="L1073" s="26">
        <f>IF(J1073="Yes","",H1073-I1073)</f>
        <v/>
      </c>
      <c r="M1073" s="27">
        <f>IF(OR(J1073="Yes",I1073=0),"",H1073/I1073)</f>
        <v/>
      </c>
      <c r="N1073" s="21">
        <f>IF(J1073="Yes","",IF(H1073&gt;=I1073,1,0))</f>
        <v/>
      </c>
      <c r="O1073" s="21">
        <f>IF(I1073&lt;=5000000,"Under $5M",IF(I1073&lt;=20000000,"$5M-20M",IF(I1073&lt;=50000000,"$20M-50M",IF(I1073&lt;=100000000,"$50M-100M","$100M+"))))</f>
        <v/>
      </c>
      <c r="P1073" s="21">
        <f>IF(E1073&lt;=90,"90 or less",IF(E1073&lt;=105,"91-105",IF(E1073&lt;=120,"106-120",IF(E1073&lt;=140,"121-140","Over 140"))))</f>
        <v/>
      </c>
      <c r="Q1073" s="28">
        <f>INT(C1073/10)*10</f>
        <v/>
      </c>
    </row>
    <row r="1074">
      <c r="A1074" s="21" t="n">
        <v>1099</v>
      </c>
      <c r="B1074" s="21" t="inlineStr">
        <is>
          <t>Mulan</t>
        </is>
      </c>
      <c r="C1074" s="21" t="n">
        <v>1998</v>
      </c>
      <c r="D1074" s="21" t="inlineStr">
        <is>
          <t>USA</t>
        </is>
      </c>
      <c r="E1074" s="21" t="n">
        <v>88</v>
      </c>
      <c r="F1074" s="21" t="inlineStr">
        <is>
          <t>English</t>
        </is>
      </c>
      <c r="G1074" s="21" t="inlineStr">
        <is>
          <t>G</t>
        </is>
      </c>
      <c r="H1074" s="22" t="n">
        <v>120618403</v>
      </c>
      <c r="I1074" s="22" t="n">
        <v>90000000</v>
      </c>
      <c r="J1074" s="21">
        <f>IF(OR(H1074="",H1074=25529689.5),"Yes","No")</f>
        <v/>
      </c>
      <c r="K1074" s="21">
        <f>IF(AND(D1074="USA",C1074&gt;=1980,J1074="No"),"Yes","No")</f>
        <v/>
      </c>
      <c r="L1074" s="26">
        <f>IF(J1074="Yes","",H1074-I1074)</f>
        <v/>
      </c>
      <c r="M1074" s="27">
        <f>IF(OR(J1074="Yes",I1074=0),"",H1074/I1074)</f>
        <v/>
      </c>
      <c r="N1074" s="21">
        <f>IF(J1074="Yes","",IF(H1074&gt;=I1074,1,0))</f>
        <v/>
      </c>
      <c r="O1074" s="21">
        <f>IF(I1074&lt;=5000000,"Under $5M",IF(I1074&lt;=20000000,"$5M-20M",IF(I1074&lt;=50000000,"$20M-50M",IF(I1074&lt;=100000000,"$50M-100M","$100M+"))))</f>
        <v/>
      </c>
      <c r="P1074" s="21">
        <f>IF(E1074&lt;=90,"90 or less",IF(E1074&lt;=105,"91-105",IF(E1074&lt;=120,"106-120",IF(E1074&lt;=140,"121-140","Over 140"))))</f>
        <v/>
      </c>
      <c r="Q1074" s="28">
        <f>INT(C1074/10)*10</f>
        <v/>
      </c>
    </row>
    <row r="1075">
      <c r="A1075" s="21" t="n">
        <v>1100</v>
      </c>
      <c r="B1075" s="21" t="inlineStr">
        <is>
          <t>Naturally Native</t>
        </is>
      </c>
      <c r="C1075" s="21" t="n">
        <v>1998</v>
      </c>
      <c r="D1075" s="21" t="inlineStr">
        <is>
          <t>USA</t>
        </is>
      </c>
      <c r="E1075" s="21" t="n">
        <v>107</v>
      </c>
      <c r="F1075" s="21" t="inlineStr">
        <is>
          <t>English</t>
        </is>
      </c>
      <c r="G1075" s="21" t="inlineStr">
        <is>
          <t>PG-13</t>
        </is>
      </c>
      <c r="H1075" s="22" t="n">
        <v>10508</v>
      </c>
      <c r="I1075" s="22" t="n">
        <v>700000</v>
      </c>
      <c r="J1075" s="21">
        <f>IF(OR(H1075="",H1075=25529689.5),"Yes","No")</f>
        <v/>
      </c>
      <c r="K1075" s="21">
        <f>IF(AND(D1075="USA",C1075&gt;=1980,J1075="No"),"Yes","No")</f>
        <v/>
      </c>
      <c r="L1075" s="26">
        <f>IF(J1075="Yes","",H1075-I1075)</f>
        <v/>
      </c>
      <c r="M1075" s="27">
        <f>IF(OR(J1075="Yes",I1075=0),"",H1075/I1075)</f>
        <v/>
      </c>
      <c r="N1075" s="21">
        <f>IF(J1075="Yes","",IF(H1075&gt;=I1075,1,0))</f>
        <v/>
      </c>
      <c r="O1075" s="21">
        <f>IF(I1075&lt;=5000000,"Under $5M",IF(I1075&lt;=20000000,"$5M-20M",IF(I1075&lt;=50000000,"$20M-50M",IF(I1075&lt;=100000000,"$50M-100M","$100M+"))))</f>
        <v/>
      </c>
      <c r="P1075" s="21">
        <f>IF(E1075&lt;=90,"90 or less",IF(E1075&lt;=105,"91-105",IF(E1075&lt;=120,"106-120",IF(E1075&lt;=140,"121-140","Over 140"))))</f>
        <v/>
      </c>
      <c r="Q1075" s="28">
        <f>INT(C1075/10)*10</f>
        <v/>
      </c>
    </row>
    <row r="1076">
      <c r="A1076" s="21" t="n">
        <v>1101</v>
      </c>
      <c r="B1076" s="21" t="inlineStr">
        <is>
          <t>Next Stop Wonderland</t>
        </is>
      </c>
      <c r="C1076" s="21" t="n">
        <v>1998</v>
      </c>
      <c r="D1076" s="21" t="inlineStr">
        <is>
          <t>USA</t>
        </is>
      </c>
      <c r="E1076" s="21" t="n">
        <v>104</v>
      </c>
      <c r="F1076" s="21" t="inlineStr">
        <is>
          <t>English</t>
        </is>
      </c>
      <c r="G1076" s="21" t="inlineStr">
        <is>
          <t>R</t>
        </is>
      </c>
      <c r="H1076" s="22" t="n">
        <v>3386698</v>
      </c>
      <c r="I1076" s="22" t="n">
        <v>1000000</v>
      </c>
      <c r="J1076" s="21">
        <f>IF(OR(H1076="",H1076=25529689.5),"Yes","No")</f>
        <v/>
      </c>
      <c r="K1076" s="21">
        <f>IF(AND(D1076="USA",C1076&gt;=1980,J1076="No"),"Yes","No")</f>
        <v/>
      </c>
      <c r="L1076" s="26">
        <f>IF(J1076="Yes","",H1076-I1076)</f>
        <v/>
      </c>
      <c r="M1076" s="27">
        <f>IF(OR(J1076="Yes",I1076=0),"",H1076/I1076)</f>
        <v/>
      </c>
      <c r="N1076" s="21">
        <f>IF(J1076="Yes","",IF(H1076&gt;=I1076,1,0))</f>
        <v/>
      </c>
      <c r="O1076" s="21">
        <f>IF(I1076&lt;=5000000,"Under $5M",IF(I1076&lt;=20000000,"$5M-20M",IF(I1076&lt;=50000000,"$20M-50M",IF(I1076&lt;=100000000,"$50M-100M","$100M+"))))</f>
        <v/>
      </c>
      <c r="P1076" s="21">
        <f>IF(E1076&lt;=90,"90 or less",IF(E1076&lt;=105,"91-105",IF(E1076&lt;=120,"106-120",IF(E1076&lt;=140,"121-140","Over 140"))))</f>
        <v/>
      </c>
      <c r="Q1076" s="28">
        <f>INT(C1076/10)*10</f>
        <v/>
      </c>
    </row>
    <row r="1077">
      <c r="A1077" s="21" t="n">
        <v>1102</v>
      </c>
      <c r="B1077" s="21" t="inlineStr">
        <is>
          <t>One True Thing</t>
        </is>
      </c>
      <c r="C1077" s="21" t="n">
        <v>1998</v>
      </c>
      <c r="D1077" s="21" t="inlineStr">
        <is>
          <t>USA</t>
        </is>
      </c>
      <c r="E1077" s="21" t="n">
        <v>127</v>
      </c>
      <c r="F1077" s="21" t="inlineStr">
        <is>
          <t>English</t>
        </is>
      </c>
      <c r="G1077" s="21" t="inlineStr">
        <is>
          <t>R</t>
        </is>
      </c>
      <c r="H1077" s="22" t="n">
        <v>23209440</v>
      </c>
      <c r="I1077" s="22" t="n">
        <v>30000000</v>
      </c>
      <c r="J1077" s="21">
        <f>IF(OR(H1077="",H1077=25529689.5),"Yes","No")</f>
        <v/>
      </c>
      <c r="K1077" s="21">
        <f>IF(AND(D1077="USA",C1077&gt;=1980,J1077="No"),"Yes","No")</f>
        <v/>
      </c>
      <c r="L1077" s="26">
        <f>IF(J1077="Yes","",H1077-I1077)</f>
        <v/>
      </c>
      <c r="M1077" s="27">
        <f>IF(OR(J1077="Yes",I1077=0),"",H1077/I1077)</f>
        <v/>
      </c>
      <c r="N1077" s="21">
        <f>IF(J1077="Yes","",IF(H1077&gt;=I1077,1,0))</f>
        <v/>
      </c>
      <c r="O1077" s="21">
        <f>IF(I1077&lt;=5000000,"Under $5M",IF(I1077&lt;=20000000,"$5M-20M",IF(I1077&lt;=50000000,"$20M-50M",IF(I1077&lt;=100000000,"$50M-100M","$100M+"))))</f>
        <v/>
      </c>
      <c r="P1077" s="21">
        <f>IF(E1077&lt;=90,"90 or less",IF(E1077&lt;=105,"91-105",IF(E1077&lt;=120,"106-120",IF(E1077&lt;=140,"121-140","Over 140"))))</f>
        <v/>
      </c>
      <c r="Q1077" s="28">
        <f>INT(C1077/10)*10</f>
        <v/>
      </c>
    </row>
    <row r="1078">
      <c r="A1078" s="21" t="n">
        <v>1103</v>
      </c>
      <c r="B1078" s="21" t="inlineStr">
        <is>
          <t>Out of Sight</t>
        </is>
      </c>
      <c r="C1078" s="21" t="n">
        <v>1998</v>
      </c>
      <c r="D1078" s="21" t="inlineStr">
        <is>
          <t>USA</t>
        </is>
      </c>
      <c r="E1078" s="21" t="n">
        <v>123</v>
      </c>
      <c r="F1078" s="21" t="inlineStr">
        <is>
          <t>English</t>
        </is>
      </c>
      <c r="G1078" s="21" t="inlineStr">
        <is>
          <t>R</t>
        </is>
      </c>
      <c r="H1078" s="22" t="n">
        <v>37339525</v>
      </c>
      <c r="I1078" s="22" t="n">
        <v>48000000</v>
      </c>
      <c r="J1078" s="21">
        <f>IF(OR(H1078="",H1078=25529689.5),"Yes","No")</f>
        <v/>
      </c>
      <c r="K1078" s="21">
        <f>IF(AND(D1078="USA",C1078&gt;=1980,J1078="No"),"Yes","No")</f>
        <v/>
      </c>
      <c r="L1078" s="26">
        <f>IF(J1078="Yes","",H1078-I1078)</f>
        <v/>
      </c>
      <c r="M1078" s="27">
        <f>IF(OR(J1078="Yes",I1078=0),"",H1078/I1078)</f>
        <v/>
      </c>
      <c r="N1078" s="21">
        <f>IF(J1078="Yes","",IF(H1078&gt;=I1078,1,0))</f>
        <v/>
      </c>
      <c r="O1078" s="21">
        <f>IF(I1078&lt;=5000000,"Under $5M",IF(I1078&lt;=20000000,"$5M-20M",IF(I1078&lt;=50000000,"$20M-50M",IF(I1078&lt;=100000000,"$50M-100M","$100M+"))))</f>
        <v/>
      </c>
      <c r="P1078" s="21">
        <f>IF(E1078&lt;=90,"90 or less",IF(E1078&lt;=105,"91-105",IF(E1078&lt;=120,"106-120",IF(E1078&lt;=140,"121-140","Over 140"))))</f>
        <v/>
      </c>
      <c r="Q1078" s="28">
        <f>INT(C1078/10)*10</f>
        <v/>
      </c>
    </row>
    <row r="1079">
      <c r="A1079" s="21" t="n">
        <v>1104</v>
      </c>
      <c r="B1079" s="21" t="inlineStr">
        <is>
          <t>Patch Adams</t>
        </is>
      </c>
      <c r="C1079" s="21" t="n">
        <v>1998</v>
      </c>
      <c r="D1079" s="21" t="inlineStr">
        <is>
          <t>USA</t>
        </is>
      </c>
      <c r="E1079" s="21" t="n">
        <v>115</v>
      </c>
      <c r="F1079" s="21" t="inlineStr">
        <is>
          <t>English</t>
        </is>
      </c>
      <c r="G1079" s="21" t="inlineStr">
        <is>
          <t>PG-13</t>
        </is>
      </c>
      <c r="H1079" s="22" t="n">
        <v>135014968</v>
      </c>
      <c r="I1079" s="22" t="n">
        <v>50000000</v>
      </c>
      <c r="J1079" s="21">
        <f>IF(OR(H1079="",H1079=25529689.5),"Yes","No")</f>
        <v/>
      </c>
      <c r="K1079" s="21">
        <f>IF(AND(D1079="USA",C1079&gt;=1980,J1079="No"),"Yes","No")</f>
        <v/>
      </c>
      <c r="L1079" s="26">
        <f>IF(J1079="Yes","",H1079-I1079)</f>
        <v/>
      </c>
      <c r="M1079" s="27">
        <f>IF(OR(J1079="Yes",I1079=0),"",H1079/I1079)</f>
        <v/>
      </c>
      <c r="N1079" s="21">
        <f>IF(J1079="Yes","",IF(H1079&gt;=I1079,1,0))</f>
        <v/>
      </c>
      <c r="O1079" s="21">
        <f>IF(I1079&lt;=5000000,"Under $5M",IF(I1079&lt;=20000000,"$5M-20M",IF(I1079&lt;=50000000,"$20M-50M",IF(I1079&lt;=100000000,"$50M-100M","$100M+"))))</f>
        <v/>
      </c>
      <c r="P1079" s="21">
        <f>IF(E1079&lt;=90,"90 or less",IF(E1079&lt;=105,"91-105",IF(E1079&lt;=120,"106-120",IF(E1079&lt;=140,"121-140","Over 140"))))</f>
        <v/>
      </c>
      <c r="Q1079" s="28">
        <f>INT(C1079/10)*10</f>
        <v/>
      </c>
    </row>
    <row r="1080">
      <c r="A1080" s="21" t="n">
        <v>1105</v>
      </c>
      <c r="B1080" s="21" t="inlineStr">
        <is>
          <t>Pi</t>
        </is>
      </c>
      <c r="C1080" s="21" t="n">
        <v>1998</v>
      </c>
      <c r="D1080" s="21" t="inlineStr">
        <is>
          <t>USA</t>
        </is>
      </c>
      <c r="E1080" s="21" t="n">
        <v>84</v>
      </c>
      <c r="F1080" s="21" t="inlineStr">
        <is>
          <t>English</t>
        </is>
      </c>
      <c r="G1080" s="21" t="inlineStr">
        <is>
          <t>R</t>
        </is>
      </c>
      <c r="H1080" s="22" t="n">
        <v>3216970</v>
      </c>
      <c r="I1080" s="22" t="n">
        <v>60000</v>
      </c>
      <c r="J1080" s="21">
        <f>IF(OR(H1080="",H1080=25529689.5),"Yes","No")</f>
        <v/>
      </c>
      <c r="K1080" s="21">
        <f>IF(AND(D1080="USA",C1080&gt;=1980,J1080="No"),"Yes","No")</f>
        <v/>
      </c>
      <c r="L1080" s="26">
        <f>IF(J1080="Yes","",H1080-I1080)</f>
        <v/>
      </c>
      <c r="M1080" s="27">
        <f>IF(OR(J1080="Yes",I1080=0),"",H1080/I1080)</f>
        <v/>
      </c>
      <c r="N1080" s="21">
        <f>IF(J1080="Yes","",IF(H1080&gt;=I1080,1,0))</f>
        <v/>
      </c>
      <c r="O1080" s="21">
        <f>IF(I1080&lt;=5000000,"Under $5M",IF(I1080&lt;=20000000,"$5M-20M",IF(I1080&lt;=50000000,"$20M-50M",IF(I1080&lt;=100000000,"$50M-100M","$100M+"))))</f>
        <v/>
      </c>
      <c r="P1080" s="21">
        <f>IF(E1080&lt;=90,"90 or less",IF(E1080&lt;=105,"91-105",IF(E1080&lt;=120,"106-120",IF(E1080&lt;=140,"121-140","Over 140"))))</f>
        <v/>
      </c>
      <c r="Q1080" s="28">
        <f>INT(C1080/10)*10</f>
        <v/>
      </c>
    </row>
    <row r="1081">
      <c r="A1081" s="21" t="n">
        <v>1106</v>
      </c>
      <c r="B1081" s="21" t="inlineStr">
        <is>
          <t>Practical Magic</t>
        </is>
      </c>
      <c r="C1081" s="21" t="n">
        <v>1998</v>
      </c>
      <c r="D1081" s="21" t="inlineStr">
        <is>
          <t>USA</t>
        </is>
      </c>
      <c r="E1081" s="21" t="n">
        <v>104</v>
      </c>
      <c r="F1081" s="21" t="inlineStr">
        <is>
          <t>English</t>
        </is>
      </c>
      <c r="G1081" s="21" t="inlineStr">
        <is>
          <t>PG-13</t>
        </is>
      </c>
      <c r="H1081" s="22" t="n">
        <v>46611204</v>
      </c>
      <c r="I1081" s="22" t="n">
        <v>48000000</v>
      </c>
      <c r="J1081" s="21">
        <f>IF(OR(H1081="",H1081=25529689.5),"Yes","No")</f>
        <v/>
      </c>
      <c r="K1081" s="21">
        <f>IF(AND(D1081="USA",C1081&gt;=1980,J1081="No"),"Yes","No")</f>
        <v/>
      </c>
      <c r="L1081" s="26">
        <f>IF(J1081="Yes","",H1081-I1081)</f>
        <v/>
      </c>
      <c r="M1081" s="27">
        <f>IF(OR(J1081="Yes",I1081=0),"",H1081/I1081)</f>
        <v/>
      </c>
      <c r="N1081" s="21">
        <f>IF(J1081="Yes","",IF(H1081&gt;=I1081,1,0))</f>
        <v/>
      </c>
      <c r="O1081" s="21">
        <f>IF(I1081&lt;=5000000,"Under $5M",IF(I1081&lt;=20000000,"$5M-20M",IF(I1081&lt;=50000000,"$20M-50M",IF(I1081&lt;=100000000,"$50M-100M","$100M+"))))</f>
        <v/>
      </c>
      <c r="P1081" s="21">
        <f>IF(E1081&lt;=90,"90 or less",IF(E1081&lt;=105,"91-105",IF(E1081&lt;=120,"106-120",IF(E1081&lt;=140,"121-140","Over 140"))))</f>
        <v/>
      </c>
      <c r="Q1081" s="28">
        <f>INT(C1081/10)*10</f>
        <v/>
      </c>
    </row>
    <row r="1082">
      <c r="A1082" s="21" t="n">
        <v>1107</v>
      </c>
      <c r="B1082" s="21" t="inlineStr">
        <is>
          <t>Primary Colors</t>
        </is>
      </c>
      <c r="C1082" s="21" t="n">
        <v>1998</v>
      </c>
      <c r="D1082" s="21" t="inlineStr">
        <is>
          <t>France</t>
        </is>
      </c>
      <c r="E1082" s="21" t="n">
        <v>143</v>
      </c>
      <c r="F1082" s="21" t="inlineStr">
        <is>
          <t>English</t>
        </is>
      </c>
      <c r="G1082" s="21" t="inlineStr">
        <is>
          <t>R</t>
        </is>
      </c>
      <c r="H1082" s="22" t="n">
        <v>38966057</v>
      </c>
      <c r="I1082" s="22" t="n">
        <v>65000000</v>
      </c>
      <c r="J1082" s="21">
        <f>IF(OR(H1082="",H1082=25529689.5),"Yes","No")</f>
        <v/>
      </c>
      <c r="K1082" s="21">
        <f>IF(AND(D1082="USA",C1082&gt;=1980,J1082="No"),"Yes","No")</f>
        <v/>
      </c>
      <c r="L1082" s="26">
        <f>IF(J1082="Yes","",H1082-I1082)</f>
        <v/>
      </c>
      <c r="M1082" s="27">
        <f>IF(OR(J1082="Yes",I1082=0),"",H1082/I1082)</f>
        <v/>
      </c>
      <c r="N1082" s="21">
        <f>IF(J1082="Yes","",IF(H1082&gt;=I1082,1,0))</f>
        <v/>
      </c>
      <c r="O1082" s="21">
        <f>IF(I1082&lt;=5000000,"Under $5M",IF(I1082&lt;=20000000,"$5M-20M",IF(I1082&lt;=50000000,"$20M-50M",IF(I1082&lt;=100000000,"$50M-100M","$100M+"))))</f>
        <v/>
      </c>
      <c r="P1082" s="21">
        <f>IF(E1082&lt;=90,"90 or less",IF(E1082&lt;=105,"91-105",IF(E1082&lt;=120,"106-120",IF(E1082&lt;=140,"121-140","Over 140"))))</f>
        <v/>
      </c>
      <c r="Q1082" s="28">
        <f>INT(C1082/10)*10</f>
        <v/>
      </c>
    </row>
    <row r="1083">
      <c r="A1083" s="21" t="n">
        <v>1108</v>
      </c>
      <c r="B1083" s="21" t="inlineStr">
        <is>
          <t>Ronin</t>
        </is>
      </c>
      <c r="C1083" s="21" t="n">
        <v>1998</v>
      </c>
      <c r="D1083" s="21" t="inlineStr">
        <is>
          <t>UK</t>
        </is>
      </c>
      <c r="E1083" s="21" t="n">
        <v>122</v>
      </c>
      <c r="F1083" s="21" t="inlineStr">
        <is>
          <t>English</t>
        </is>
      </c>
      <c r="G1083" s="21" t="inlineStr">
        <is>
          <t>R</t>
        </is>
      </c>
      <c r="H1083" s="22" t="n">
        <v>41609593</v>
      </c>
      <c r="I1083" s="22" t="n">
        <v>55000000</v>
      </c>
      <c r="J1083" s="21">
        <f>IF(OR(H1083="",H1083=25529689.5),"Yes","No")</f>
        <v/>
      </c>
      <c r="K1083" s="21">
        <f>IF(AND(D1083="USA",C1083&gt;=1980,J1083="No"),"Yes","No")</f>
        <v/>
      </c>
      <c r="L1083" s="26">
        <f>IF(J1083="Yes","",H1083-I1083)</f>
        <v/>
      </c>
      <c r="M1083" s="27">
        <f>IF(OR(J1083="Yes",I1083=0),"",H1083/I1083)</f>
        <v/>
      </c>
      <c r="N1083" s="21">
        <f>IF(J1083="Yes","",IF(H1083&gt;=I1083,1,0))</f>
        <v/>
      </c>
      <c r="O1083" s="21">
        <f>IF(I1083&lt;=5000000,"Under $5M",IF(I1083&lt;=20000000,"$5M-20M",IF(I1083&lt;=50000000,"$20M-50M",IF(I1083&lt;=100000000,"$50M-100M","$100M+"))))</f>
        <v/>
      </c>
      <c r="P1083" s="21">
        <f>IF(E1083&lt;=90,"90 or less",IF(E1083&lt;=105,"91-105",IF(E1083&lt;=120,"106-120",IF(E1083&lt;=140,"121-140","Over 140"))))</f>
        <v/>
      </c>
      <c r="Q1083" s="28">
        <f>INT(C1083/10)*10</f>
        <v/>
      </c>
    </row>
    <row r="1084">
      <c r="A1084" s="21" t="n">
        <v>1109</v>
      </c>
      <c r="B1084" s="21" t="inlineStr">
        <is>
          <t>Rounders</t>
        </is>
      </c>
      <c r="C1084" s="21" t="n">
        <v>1998</v>
      </c>
      <c r="D1084" s="21" t="inlineStr">
        <is>
          <t>USA</t>
        </is>
      </c>
      <c r="E1084" s="21" t="n">
        <v>121</v>
      </c>
      <c r="F1084" s="21" t="inlineStr">
        <is>
          <t>English</t>
        </is>
      </c>
      <c r="G1084" s="21" t="inlineStr">
        <is>
          <t>R</t>
        </is>
      </c>
      <c r="H1084" s="22" t="n">
        <v>22905674</v>
      </c>
      <c r="I1084" s="22" t="n">
        <v>12000000</v>
      </c>
      <c r="J1084" s="21">
        <f>IF(OR(H1084="",H1084=25529689.5),"Yes","No")</f>
        <v/>
      </c>
      <c r="K1084" s="21">
        <f>IF(AND(D1084="USA",C1084&gt;=1980,J1084="No"),"Yes","No")</f>
        <v/>
      </c>
      <c r="L1084" s="26">
        <f>IF(J1084="Yes","",H1084-I1084)</f>
        <v/>
      </c>
      <c r="M1084" s="27">
        <f>IF(OR(J1084="Yes",I1084=0),"",H1084/I1084)</f>
        <v/>
      </c>
      <c r="N1084" s="21">
        <f>IF(J1084="Yes","",IF(H1084&gt;=I1084,1,0))</f>
        <v/>
      </c>
      <c r="O1084" s="21">
        <f>IF(I1084&lt;=5000000,"Under $5M",IF(I1084&lt;=20000000,"$5M-20M",IF(I1084&lt;=50000000,"$20M-50M",IF(I1084&lt;=100000000,"$50M-100M","$100M+"))))</f>
        <v/>
      </c>
      <c r="P1084" s="21">
        <f>IF(E1084&lt;=90,"90 or less",IF(E1084&lt;=105,"91-105",IF(E1084&lt;=120,"106-120",IF(E1084&lt;=140,"121-140","Over 140"))))</f>
        <v/>
      </c>
      <c r="Q1084" s="28">
        <f>INT(C1084/10)*10</f>
        <v/>
      </c>
    </row>
    <row r="1085">
      <c r="A1085" s="21" t="n">
        <v>1110</v>
      </c>
      <c r="B1085" s="21" t="inlineStr">
        <is>
          <t>Run Lola Run</t>
        </is>
      </c>
      <c r="C1085" s="21" t="n">
        <v>1998</v>
      </c>
      <c r="D1085" s="21" t="inlineStr">
        <is>
          <t>Germany</t>
        </is>
      </c>
      <c r="E1085" s="21" t="n">
        <v>81</v>
      </c>
      <c r="F1085" s="21" t="inlineStr">
        <is>
          <t>German</t>
        </is>
      </c>
      <c r="G1085" s="21" t="inlineStr">
        <is>
          <t>R</t>
        </is>
      </c>
      <c r="H1085" s="22" t="n">
        <v>7267324</v>
      </c>
      <c r="I1085" s="22" t="n">
        <v>3500000</v>
      </c>
      <c r="J1085" s="21">
        <f>IF(OR(H1085="",H1085=25529689.5),"Yes","No")</f>
        <v/>
      </c>
      <c r="K1085" s="21">
        <f>IF(AND(D1085="USA",C1085&gt;=1980,J1085="No"),"Yes","No")</f>
        <v/>
      </c>
      <c r="L1085" s="26">
        <f>IF(J1085="Yes","",H1085-I1085)</f>
        <v/>
      </c>
      <c r="M1085" s="27">
        <f>IF(OR(J1085="Yes",I1085=0),"",H1085/I1085)</f>
        <v/>
      </c>
      <c r="N1085" s="21">
        <f>IF(J1085="Yes","",IF(H1085&gt;=I1085,1,0))</f>
        <v/>
      </c>
      <c r="O1085" s="21">
        <f>IF(I1085&lt;=5000000,"Under $5M",IF(I1085&lt;=20000000,"$5M-20M",IF(I1085&lt;=50000000,"$20M-50M",IF(I1085&lt;=100000000,"$50M-100M","$100M+"))))</f>
        <v/>
      </c>
      <c r="P1085" s="21">
        <f>IF(E1085&lt;=90,"90 or less",IF(E1085&lt;=105,"91-105",IF(E1085&lt;=120,"106-120",IF(E1085&lt;=140,"121-140","Over 140"))))</f>
        <v/>
      </c>
      <c r="Q1085" s="28">
        <f>INT(C1085/10)*10</f>
        <v/>
      </c>
    </row>
    <row r="1086">
      <c r="A1086" s="21" t="n">
        <v>1111</v>
      </c>
      <c r="B1086" s="21" t="inlineStr">
        <is>
          <t>Rushmore</t>
        </is>
      </c>
      <c r="C1086" s="21" t="n">
        <v>1998</v>
      </c>
      <c r="D1086" s="21" t="inlineStr">
        <is>
          <t>USA</t>
        </is>
      </c>
      <c r="E1086" s="21" t="n">
        <v>93</v>
      </c>
      <c r="F1086" s="21" t="inlineStr">
        <is>
          <t>English</t>
        </is>
      </c>
      <c r="G1086" s="21" t="inlineStr">
        <is>
          <t>R</t>
        </is>
      </c>
      <c r="H1086" s="22" t="n">
        <v>17096053</v>
      </c>
      <c r="I1086" s="22" t="n">
        <v>9000000</v>
      </c>
      <c r="J1086" s="21">
        <f>IF(OR(H1086="",H1086=25529689.5),"Yes","No")</f>
        <v/>
      </c>
      <c r="K1086" s="21">
        <f>IF(AND(D1086="USA",C1086&gt;=1980,J1086="No"),"Yes","No")</f>
        <v/>
      </c>
      <c r="L1086" s="26">
        <f>IF(J1086="Yes","",H1086-I1086)</f>
        <v/>
      </c>
      <c r="M1086" s="27">
        <f>IF(OR(J1086="Yes",I1086=0),"",H1086/I1086)</f>
        <v/>
      </c>
      <c r="N1086" s="21">
        <f>IF(J1086="Yes","",IF(H1086&gt;=I1086,1,0))</f>
        <v/>
      </c>
      <c r="O1086" s="21">
        <f>IF(I1086&lt;=5000000,"Under $5M",IF(I1086&lt;=20000000,"$5M-20M",IF(I1086&lt;=50000000,"$20M-50M",IF(I1086&lt;=100000000,"$50M-100M","$100M+"))))</f>
        <v/>
      </c>
      <c r="P1086" s="21">
        <f>IF(E1086&lt;=90,"90 or less",IF(E1086&lt;=105,"91-105",IF(E1086&lt;=120,"106-120",IF(E1086&lt;=140,"121-140","Over 140"))))</f>
        <v/>
      </c>
      <c r="Q1086" s="28">
        <f>INT(C1086/10)*10</f>
        <v/>
      </c>
    </row>
    <row r="1087">
      <c r="A1087" s="21" t="n">
        <v>1112</v>
      </c>
      <c r="B1087" s="21" t="inlineStr">
        <is>
          <t>Safe Men</t>
        </is>
      </c>
      <c r="C1087" s="21" t="n">
        <v>1998</v>
      </c>
      <c r="D1087" s="21" t="inlineStr">
        <is>
          <t>USA</t>
        </is>
      </c>
      <c r="E1087" s="21" t="n">
        <v>88</v>
      </c>
      <c r="F1087" s="21" t="inlineStr">
        <is>
          <t>English</t>
        </is>
      </c>
      <c r="G1087" s="21" t="inlineStr">
        <is>
          <t>R</t>
        </is>
      </c>
      <c r="H1087" s="22" t="n">
        <v>21210</v>
      </c>
      <c r="I1087" s="22" t="n">
        <v>1000000</v>
      </c>
      <c r="J1087" s="21">
        <f>IF(OR(H1087="",H1087=25529689.5),"Yes","No")</f>
        <v/>
      </c>
      <c r="K1087" s="21">
        <f>IF(AND(D1087="USA",C1087&gt;=1980,J1087="No"),"Yes","No")</f>
        <v/>
      </c>
      <c r="L1087" s="26">
        <f>IF(J1087="Yes","",H1087-I1087)</f>
        <v/>
      </c>
      <c r="M1087" s="27">
        <f>IF(OR(J1087="Yes",I1087=0),"",H1087/I1087)</f>
        <v/>
      </c>
      <c r="N1087" s="21">
        <f>IF(J1087="Yes","",IF(H1087&gt;=I1087,1,0))</f>
        <v/>
      </c>
      <c r="O1087" s="21">
        <f>IF(I1087&lt;=5000000,"Under $5M",IF(I1087&lt;=20000000,"$5M-20M",IF(I1087&lt;=50000000,"$20M-50M",IF(I1087&lt;=100000000,"$50M-100M","$100M+"))))</f>
        <v/>
      </c>
      <c r="P1087" s="21">
        <f>IF(E1087&lt;=90,"90 or less",IF(E1087&lt;=105,"91-105",IF(E1087&lt;=120,"106-120",IF(E1087&lt;=140,"121-140","Over 140"))))</f>
        <v/>
      </c>
      <c r="Q1087" s="28">
        <f>INT(C1087/10)*10</f>
        <v/>
      </c>
    </row>
    <row r="1088">
      <c r="A1088" s="21" t="n">
        <v>1113</v>
      </c>
      <c r="B1088" s="21" t="inlineStr">
        <is>
          <t>Saving Private Ryan</t>
        </is>
      </c>
      <c r="C1088" s="21" t="n">
        <v>1998</v>
      </c>
      <c r="D1088" s="21" t="inlineStr">
        <is>
          <t>USA</t>
        </is>
      </c>
      <c r="E1088" s="21" t="n">
        <v>169</v>
      </c>
      <c r="F1088" s="21" t="inlineStr">
        <is>
          <t>English</t>
        </is>
      </c>
      <c r="G1088" s="21" t="inlineStr">
        <is>
          <t>R</t>
        </is>
      </c>
      <c r="H1088" s="22" t="n">
        <v>216119491</v>
      </c>
      <c r="I1088" s="22" t="n">
        <v>70000000</v>
      </c>
      <c r="J1088" s="21">
        <f>IF(OR(H1088="",H1088=25529689.5),"Yes","No")</f>
        <v/>
      </c>
      <c r="K1088" s="21">
        <f>IF(AND(D1088="USA",C1088&gt;=1980,J1088="No"),"Yes","No")</f>
        <v/>
      </c>
      <c r="L1088" s="26">
        <f>IF(J1088="Yes","",H1088-I1088)</f>
        <v/>
      </c>
      <c r="M1088" s="27">
        <f>IF(OR(J1088="Yes",I1088=0),"",H1088/I1088)</f>
        <v/>
      </c>
      <c r="N1088" s="21">
        <f>IF(J1088="Yes","",IF(H1088&gt;=I1088,1,0))</f>
        <v/>
      </c>
      <c r="O1088" s="21">
        <f>IF(I1088&lt;=5000000,"Under $5M",IF(I1088&lt;=20000000,"$5M-20M",IF(I1088&lt;=50000000,"$20M-50M",IF(I1088&lt;=100000000,"$50M-100M","$100M+"))))</f>
        <v/>
      </c>
      <c r="P1088" s="21">
        <f>IF(E1088&lt;=90,"90 or less",IF(E1088&lt;=105,"91-105",IF(E1088&lt;=120,"106-120",IF(E1088&lt;=140,"121-140","Over 140"))))</f>
        <v/>
      </c>
      <c r="Q1088" s="28">
        <f>INT(C1088/10)*10</f>
        <v/>
      </c>
    </row>
    <row r="1089">
      <c r="A1089" s="21" t="n">
        <v>1114</v>
      </c>
      <c r="B1089" s="21" t="inlineStr">
        <is>
          <t>Shakespeare in Love</t>
        </is>
      </c>
      <c r="C1089" s="21" t="n">
        <v>1998</v>
      </c>
      <c r="D1089" s="21" t="inlineStr">
        <is>
          <t>USA</t>
        </is>
      </c>
      <c r="E1089" s="21" t="n">
        <v>123</v>
      </c>
      <c r="F1089" s="21" t="inlineStr">
        <is>
          <t>English</t>
        </is>
      </c>
      <c r="G1089" s="21" t="inlineStr">
        <is>
          <t>R</t>
        </is>
      </c>
      <c r="H1089" s="22" t="n">
        <v>100241322</v>
      </c>
      <c r="I1089" s="22" t="n">
        <v>25000000</v>
      </c>
      <c r="J1089" s="21">
        <f>IF(OR(H1089="",H1089=25529689.5),"Yes","No")</f>
        <v/>
      </c>
      <c r="K1089" s="21">
        <f>IF(AND(D1089="USA",C1089&gt;=1980,J1089="No"),"Yes","No")</f>
        <v/>
      </c>
      <c r="L1089" s="26">
        <f>IF(J1089="Yes","",H1089-I1089)</f>
        <v/>
      </c>
      <c r="M1089" s="27">
        <f>IF(OR(J1089="Yes",I1089=0),"",H1089/I1089)</f>
        <v/>
      </c>
      <c r="N1089" s="21">
        <f>IF(J1089="Yes","",IF(H1089&gt;=I1089,1,0))</f>
        <v/>
      </c>
      <c r="O1089" s="21">
        <f>IF(I1089&lt;=5000000,"Under $5M",IF(I1089&lt;=20000000,"$5M-20M",IF(I1089&lt;=50000000,"$20M-50M",IF(I1089&lt;=100000000,"$50M-100M","$100M+"))))</f>
        <v/>
      </c>
      <c r="P1089" s="21">
        <f>IF(E1089&lt;=90,"90 or less",IF(E1089&lt;=105,"91-105",IF(E1089&lt;=120,"106-120",IF(E1089&lt;=140,"121-140","Over 140"))))</f>
        <v/>
      </c>
      <c r="Q1089" s="28">
        <f>INT(C1089/10)*10</f>
        <v/>
      </c>
    </row>
    <row r="1090">
      <c r="A1090" s="21" t="n">
        <v>1115</v>
      </c>
      <c r="B1090" s="21" t="inlineStr">
        <is>
          <t>Simon Birch</t>
        </is>
      </c>
      <c r="C1090" s="21" t="n">
        <v>1998</v>
      </c>
      <c r="D1090" s="21" t="inlineStr">
        <is>
          <t>USA</t>
        </is>
      </c>
      <c r="E1090" s="21" t="n">
        <v>114</v>
      </c>
      <c r="F1090" s="21" t="inlineStr">
        <is>
          <t>English</t>
        </is>
      </c>
      <c r="G1090" s="21" t="inlineStr">
        <is>
          <t>PG</t>
        </is>
      </c>
      <c r="H1090" s="22" t="n">
        <v>18252684</v>
      </c>
      <c r="I1090" s="22" t="n">
        <v>30000000</v>
      </c>
      <c r="J1090" s="21">
        <f>IF(OR(H1090="",H1090=25529689.5),"Yes","No")</f>
        <v/>
      </c>
      <c r="K1090" s="21">
        <f>IF(AND(D1090="USA",C1090&gt;=1980,J1090="No"),"Yes","No")</f>
        <v/>
      </c>
      <c r="L1090" s="26">
        <f>IF(J1090="Yes","",H1090-I1090)</f>
        <v/>
      </c>
      <c r="M1090" s="27">
        <f>IF(OR(J1090="Yes",I1090=0),"",H1090/I1090)</f>
        <v/>
      </c>
      <c r="N1090" s="21">
        <f>IF(J1090="Yes","",IF(H1090&gt;=I1090,1,0))</f>
        <v/>
      </c>
      <c r="O1090" s="21">
        <f>IF(I1090&lt;=5000000,"Under $5M",IF(I1090&lt;=20000000,"$5M-20M",IF(I1090&lt;=50000000,"$20M-50M",IF(I1090&lt;=100000000,"$50M-100M","$100M+"))))</f>
        <v/>
      </c>
      <c r="P1090" s="21">
        <f>IF(E1090&lt;=90,"90 or less",IF(E1090&lt;=105,"91-105",IF(E1090&lt;=120,"106-120",IF(E1090&lt;=140,"121-140","Over 140"))))</f>
        <v/>
      </c>
      <c r="Q1090" s="28">
        <f>INT(C1090/10)*10</f>
        <v/>
      </c>
    </row>
    <row r="1091">
      <c r="A1091" s="21" t="n">
        <v>1116</v>
      </c>
      <c r="B1091" s="21" t="inlineStr">
        <is>
          <t>Six Days Seven Nights</t>
        </is>
      </c>
      <c r="C1091" s="21" t="n">
        <v>1998</v>
      </c>
      <c r="D1091" s="21" t="inlineStr">
        <is>
          <t>USA</t>
        </is>
      </c>
      <c r="E1091" s="21" t="n">
        <v>98</v>
      </c>
      <c r="F1091" s="21" t="inlineStr">
        <is>
          <t>English</t>
        </is>
      </c>
      <c r="G1091" s="21" t="inlineStr">
        <is>
          <t>PG-13</t>
        </is>
      </c>
      <c r="H1091" s="22" t="n">
        <v>74329966</v>
      </c>
      <c r="I1091" s="22" t="n">
        <v>70000000</v>
      </c>
      <c r="J1091" s="21">
        <f>IF(OR(H1091="",H1091=25529689.5),"Yes","No")</f>
        <v/>
      </c>
      <c r="K1091" s="21">
        <f>IF(AND(D1091="USA",C1091&gt;=1980,J1091="No"),"Yes","No")</f>
        <v/>
      </c>
      <c r="L1091" s="26">
        <f>IF(J1091="Yes","",H1091-I1091)</f>
        <v/>
      </c>
      <c r="M1091" s="27">
        <f>IF(OR(J1091="Yes",I1091=0),"",H1091/I1091)</f>
        <v/>
      </c>
      <c r="N1091" s="21">
        <f>IF(J1091="Yes","",IF(H1091&gt;=I1091,1,0))</f>
        <v/>
      </c>
      <c r="O1091" s="21">
        <f>IF(I1091&lt;=5000000,"Under $5M",IF(I1091&lt;=20000000,"$5M-20M",IF(I1091&lt;=50000000,"$20M-50M",IF(I1091&lt;=100000000,"$50M-100M","$100M+"))))</f>
        <v/>
      </c>
      <c r="P1091" s="21">
        <f>IF(E1091&lt;=90,"90 or less",IF(E1091&lt;=105,"91-105",IF(E1091&lt;=120,"106-120",IF(E1091&lt;=140,"121-140","Over 140"))))</f>
        <v/>
      </c>
      <c r="Q1091" s="28">
        <f>INT(C1091/10)*10</f>
        <v/>
      </c>
    </row>
    <row r="1092">
      <c r="A1092" s="21" t="n">
        <v>1117</v>
      </c>
      <c r="B1092" s="21" t="inlineStr">
        <is>
          <t>Six-String Samurai</t>
        </is>
      </c>
      <c r="C1092" s="21" t="n">
        <v>1998</v>
      </c>
      <c r="D1092" s="21" t="inlineStr">
        <is>
          <t>USA</t>
        </is>
      </c>
      <c r="E1092" s="21" t="n">
        <v>91</v>
      </c>
      <c r="F1092" s="21" t="inlineStr">
        <is>
          <t>English</t>
        </is>
      </c>
      <c r="G1092" s="21" t="inlineStr">
        <is>
          <t>PG-13</t>
        </is>
      </c>
      <c r="H1092" s="22" t="n">
        <v>124494</v>
      </c>
      <c r="I1092" s="22" t="n">
        <v>2000000</v>
      </c>
      <c r="J1092" s="21">
        <f>IF(OR(H1092="",H1092=25529689.5),"Yes","No")</f>
        <v/>
      </c>
      <c r="K1092" s="21">
        <f>IF(AND(D1092="USA",C1092&gt;=1980,J1092="No"),"Yes","No")</f>
        <v/>
      </c>
      <c r="L1092" s="26">
        <f>IF(J1092="Yes","",H1092-I1092)</f>
        <v/>
      </c>
      <c r="M1092" s="27">
        <f>IF(OR(J1092="Yes",I1092=0),"",H1092/I1092)</f>
        <v/>
      </c>
      <c r="N1092" s="21">
        <f>IF(J1092="Yes","",IF(H1092&gt;=I1092,1,0))</f>
        <v/>
      </c>
      <c r="O1092" s="21">
        <f>IF(I1092&lt;=5000000,"Under $5M",IF(I1092&lt;=20000000,"$5M-20M",IF(I1092&lt;=50000000,"$20M-50M",IF(I1092&lt;=100000000,"$50M-100M","$100M+"))))</f>
        <v/>
      </c>
      <c r="P1092" s="21">
        <f>IF(E1092&lt;=90,"90 or less",IF(E1092&lt;=105,"91-105",IF(E1092&lt;=120,"106-120",IF(E1092&lt;=140,"121-140","Over 140"))))</f>
        <v/>
      </c>
      <c r="Q1092" s="28">
        <f>INT(C1092/10)*10</f>
        <v/>
      </c>
    </row>
    <row r="1093">
      <c r="A1093" s="21" t="n">
        <v>1118</v>
      </c>
      <c r="B1093" s="21" t="inlineStr">
        <is>
          <t>Slam</t>
        </is>
      </c>
      <c r="C1093" s="21" t="n">
        <v>1998</v>
      </c>
      <c r="D1093" s="21" t="inlineStr">
        <is>
          <t>USA</t>
        </is>
      </c>
      <c r="E1093" s="21" t="n">
        <v>100</v>
      </c>
      <c r="F1093" s="21" t="inlineStr">
        <is>
          <t>English</t>
        </is>
      </c>
      <c r="G1093" s="21" t="inlineStr">
        <is>
          <t>R</t>
        </is>
      </c>
      <c r="H1093" s="22" t="n">
        <v>982214</v>
      </c>
      <c r="I1093" s="22" t="n">
        <v>1000000</v>
      </c>
      <c r="J1093" s="21">
        <f>IF(OR(H1093="",H1093=25529689.5),"Yes","No")</f>
        <v/>
      </c>
      <c r="K1093" s="21">
        <f>IF(AND(D1093="USA",C1093&gt;=1980,J1093="No"),"Yes","No")</f>
        <v/>
      </c>
      <c r="L1093" s="26">
        <f>IF(J1093="Yes","",H1093-I1093)</f>
        <v/>
      </c>
      <c r="M1093" s="27">
        <f>IF(OR(J1093="Yes",I1093=0),"",H1093/I1093)</f>
        <v/>
      </c>
      <c r="N1093" s="21">
        <f>IF(J1093="Yes","",IF(H1093&gt;=I1093,1,0))</f>
        <v/>
      </c>
      <c r="O1093" s="21">
        <f>IF(I1093&lt;=5000000,"Under $5M",IF(I1093&lt;=20000000,"$5M-20M",IF(I1093&lt;=50000000,"$20M-50M",IF(I1093&lt;=100000000,"$50M-100M","$100M+"))))</f>
        <v/>
      </c>
      <c r="P1093" s="21">
        <f>IF(E1093&lt;=90,"90 or less",IF(E1093&lt;=105,"91-105",IF(E1093&lt;=120,"106-120",IF(E1093&lt;=140,"121-140","Over 140"))))</f>
        <v/>
      </c>
      <c r="Q1093" s="28">
        <f>INT(C1093/10)*10</f>
        <v/>
      </c>
    </row>
    <row r="1094">
      <c r="A1094" s="21" t="n">
        <v>1119</v>
      </c>
      <c r="B1094" s="21" t="inlineStr">
        <is>
          <t>Sliding Doors</t>
        </is>
      </c>
      <c r="C1094" s="21" t="n">
        <v>1998</v>
      </c>
      <c r="D1094" s="21" t="inlineStr">
        <is>
          <t>UK</t>
        </is>
      </c>
      <c r="E1094" s="21" t="n">
        <v>99</v>
      </c>
      <c r="F1094" s="21" t="inlineStr">
        <is>
          <t>English</t>
        </is>
      </c>
      <c r="G1094" s="21" t="inlineStr">
        <is>
          <t>R</t>
        </is>
      </c>
      <c r="H1094" s="22" t="n">
        <v>11883495</v>
      </c>
      <c r="I1094" s="22" t="n">
        <v>9000000</v>
      </c>
      <c r="J1094" s="21">
        <f>IF(OR(H1094="",H1094=25529689.5),"Yes","No")</f>
        <v/>
      </c>
      <c r="K1094" s="21">
        <f>IF(AND(D1094="USA",C1094&gt;=1980,J1094="No"),"Yes","No")</f>
        <v/>
      </c>
      <c r="L1094" s="26">
        <f>IF(J1094="Yes","",H1094-I1094)</f>
        <v/>
      </c>
      <c r="M1094" s="27">
        <f>IF(OR(J1094="Yes",I1094=0),"",H1094/I1094)</f>
        <v/>
      </c>
      <c r="N1094" s="21">
        <f>IF(J1094="Yes","",IF(H1094&gt;=I1094,1,0))</f>
        <v/>
      </c>
      <c r="O1094" s="21">
        <f>IF(I1094&lt;=5000000,"Under $5M",IF(I1094&lt;=20000000,"$5M-20M",IF(I1094&lt;=50000000,"$20M-50M",IF(I1094&lt;=100000000,"$50M-100M","$100M+"))))</f>
        <v/>
      </c>
      <c r="P1094" s="21">
        <f>IF(E1094&lt;=90,"90 or less",IF(E1094&lt;=105,"91-105",IF(E1094&lt;=120,"106-120",IF(E1094&lt;=140,"121-140","Over 140"))))</f>
        <v/>
      </c>
      <c r="Q1094" s="28">
        <f>INT(C1094/10)*10</f>
        <v/>
      </c>
    </row>
    <row r="1095">
      <c r="A1095" s="21" t="n">
        <v>1120</v>
      </c>
      <c r="B1095" s="21" t="inlineStr">
        <is>
          <t>Slums of Beverly Hills</t>
        </is>
      </c>
      <c r="C1095" s="21" t="n">
        <v>1998</v>
      </c>
      <c r="D1095" s="21" t="inlineStr">
        <is>
          <t>USA</t>
        </is>
      </c>
      <c r="E1095" s="21" t="n">
        <v>91</v>
      </c>
      <c r="F1095" s="21" t="inlineStr">
        <is>
          <t>English</t>
        </is>
      </c>
      <c r="G1095" s="21" t="inlineStr">
        <is>
          <t>R</t>
        </is>
      </c>
      <c r="H1095" s="22" t="n">
        <v>5480318</v>
      </c>
      <c r="I1095" s="22" t="n">
        <v>5000000</v>
      </c>
      <c r="J1095" s="21">
        <f>IF(OR(H1095="",H1095=25529689.5),"Yes","No")</f>
        <v/>
      </c>
      <c r="K1095" s="21">
        <f>IF(AND(D1095="USA",C1095&gt;=1980,J1095="No"),"Yes","No")</f>
        <v/>
      </c>
      <c r="L1095" s="26">
        <f>IF(J1095="Yes","",H1095-I1095)</f>
        <v/>
      </c>
      <c r="M1095" s="27">
        <f>IF(OR(J1095="Yes",I1095=0),"",H1095/I1095)</f>
        <v/>
      </c>
      <c r="N1095" s="21">
        <f>IF(J1095="Yes","",IF(H1095&gt;=I1095,1,0))</f>
        <v/>
      </c>
      <c r="O1095" s="21">
        <f>IF(I1095&lt;=5000000,"Under $5M",IF(I1095&lt;=20000000,"$5M-20M",IF(I1095&lt;=50000000,"$20M-50M",IF(I1095&lt;=100000000,"$50M-100M","$100M+"))))</f>
        <v/>
      </c>
      <c r="P1095" s="21">
        <f>IF(E1095&lt;=90,"90 or less",IF(E1095&lt;=105,"91-105",IF(E1095&lt;=120,"106-120",IF(E1095&lt;=140,"121-140","Over 140"))))</f>
        <v/>
      </c>
      <c r="Q1095" s="28">
        <f>INT(C1095/10)*10</f>
        <v/>
      </c>
    </row>
    <row r="1096">
      <c r="A1096" s="21" t="n">
        <v>1121</v>
      </c>
      <c r="B1096" s="21" t="inlineStr">
        <is>
          <t>Small Soldiers</t>
        </is>
      </c>
      <c r="C1096" s="21" t="n">
        <v>1998</v>
      </c>
      <c r="D1096" s="21" t="inlineStr">
        <is>
          <t>USA</t>
        </is>
      </c>
      <c r="E1096" s="21" t="n">
        <v>108</v>
      </c>
      <c r="F1096" s="21" t="inlineStr">
        <is>
          <t>English</t>
        </is>
      </c>
      <c r="G1096" s="21" t="inlineStr">
        <is>
          <t>PG-13</t>
        </is>
      </c>
      <c r="H1096" s="22" t="n">
        <v>53955614</v>
      </c>
      <c r="I1096" s="22" t="n">
        <v>40000000</v>
      </c>
      <c r="J1096" s="21">
        <f>IF(OR(H1096="",H1096=25529689.5),"Yes","No")</f>
        <v/>
      </c>
      <c r="K1096" s="21">
        <f>IF(AND(D1096="USA",C1096&gt;=1980,J1096="No"),"Yes","No")</f>
        <v/>
      </c>
      <c r="L1096" s="26">
        <f>IF(J1096="Yes","",H1096-I1096)</f>
        <v/>
      </c>
      <c r="M1096" s="27">
        <f>IF(OR(J1096="Yes",I1096=0),"",H1096/I1096)</f>
        <v/>
      </c>
      <c r="N1096" s="21">
        <f>IF(J1096="Yes","",IF(H1096&gt;=I1096,1,0))</f>
        <v/>
      </c>
      <c r="O1096" s="21">
        <f>IF(I1096&lt;=5000000,"Under $5M",IF(I1096&lt;=20000000,"$5M-20M",IF(I1096&lt;=50000000,"$20M-50M",IF(I1096&lt;=100000000,"$50M-100M","$100M+"))))</f>
        <v/>
      </c>
      <c r="P1096" s="21">
        <f>IF(E1096&lt;=90,"90 or less",IF(E1096&lt;=105,"91-105",IF(E1096&lt;=120,"106-120",IF(E1096&lt;=140,"121-140","Over 140"))))</f>
        <v/>
      </c>
      <c r="Q1096" s="28">
        <f>INT(C1096/10)*10</f>
        <v/>
      </c>
    </row>
    <row r="1097">
      <c r="A1097" s="21" t="n">
        <v>1122</v>
      </c>
      <c r="B1097" s="21" t="inlineStr">
        <is>
          <t>Smoke Signals</t>
        </is>
      </c>
      <c r="C1097" s="21" t="n">
        <v>1998</v>
      </c>
      <c r="D1097" s="21" t="inlineStr">
        <is>
          <t>Canada</t>
        </is>
      </c>
      <c r="E1097" s="21" t="n">
        <v>89</v>
      </c>
      <c r="F1097" s="21" t="inlineStr">
        <is>
          <t>English</t>
        </is>
      </c>
      <c r="G1097" s="21" t="inlineStr">
        <is>
          <t>PG-13</t>
        </is>
      </c>
      <c r="H1097" s="22" t="n">
        <v>6719300</v>
      </c>
      <c r="I1097" s="22" t="n">
        <v>2000000</v>
      </c>
      <c r="J1097" s="21">
        <f>IF(OR(H1097="",H1097=25529689.5),"Yes","No")</f>
        <v/>
      </c>
      <c r="K1097" s="21">
        <f>IF(AND(D1097="USA",C1097&gt;=1980,J1097="No"),"Yes","No")</f>
        <v/>
      </c>
      <c r="L1097" s="26">
        <f>IF(J1097="Yes","",H1097-I1097)</f>
        <v/>
      </c>
      <c r="M1097" s="27">
        <f>IF(OR(J1097="Yes",I1097=0),"",H1097/I1097)</f>
        <v/>
      </c>
      <c r="N1097" s="21">
        <f>IF(J1097="Yes","",IF(H1097&gt;=I1097,1,0))</f>
        <v/>
      </c>
      <c r="O1097" s="21">
        <f>IF(I1097&lt;=5000000,"Under $5M",IF(I1097&lt;=20000000,"$5M-20M",IF(I1097&lt;=50000000,"$20M-50M",IF(I1097&lt;=100000000,"$50M-100M","$100M+"))))</f>
        <v/>
      </c>
      <c r="P1097" s="21">
        <f>IF(E1097&lt;=90,"90 or less",IF(E1097&lt;=105,"91-105",IF(E1097&lt;=120,"106-120",IF(E1097&lt;=140,"121-140","Over 140"))))</f>
        <v/>
      </c>
      <c r="Q1097" s="28">
        <f>INT(C1097/10)*10</f>
        <v/>
      </c>
    </row>
    <row r="1098">
      <c r="A1098" s="21" t="n">
        <v>1123</v>
      </c>
      <c r="B1098" s="21" t="inlineStr">
        <is>
          <t>Snake Eyes</t>
        </is>
      </c>
      <c r="C1098" s="21" t="n">
        <v>1998</v>
      </c>
      <c r="D1098" s="21" t="inlineStr">
        <is>
          <t>USA</t>
        </is>
      </c>
      <c r="E1098" s="21" t="n">
        <v>98</v>
      </c>
      <c r="F1098" s="21" t="inlineStr">
        <is>
          <t>English</t>
        </is>
      </c>
      <c r="G1098" s="21" t="inlineStr">
        <is>
          <t>R</t>
        </is>
      </c>
      <c r="H1098" s="22" t="n">
        <v>55585389</v>
      </c>
      <c r="I1098" s="22" t="n">
        <v>69000000</v>
      </c>
      <c r="J1098" s="21">
        <f>IF(OR(H1098="",H1098=25529689.5),"Yes","No")</f>
        <v/>
      </c>
      <c r="K1098" s="21">
        <f>IF(AND(D1098="USA",C1098&gt;=1980,J1098="No"),"Yes","No")</f>
        <v/>
      </c>
      <c r="L1098" s="26">
        <f>IF(J1098="Yes","",H1098-I1098)</f>
        <v/>
      </c>
      <c r="M1098" s="27">
        <f>IF(OR(J1098="Yes",I1098=0),"",H1098/I1098)</f>
        <v/>
      </c>
      <c r="N1098" s="21">
        <f>IF(J1098="Yes","",IF(H1098&gt;=I1098,1,0))</f>
        <v/>
      </c>
      <c r="O1098" s="21">
        <f>IF(I1098&lt;=5000000,"Under $5M",IF(I1098&lt;=20000000,"$5M-20M",IF(I1098&lt;=50000000,"$20M-50M",IF(I1098&lt;=100000000,"$50M-100M","$100M+"))))</f>
        <v/>
      </c>
      <c r="P1098" s="21">
        <f>IF(E1098&lt;=90,"90 or less",IF(E1098&lt;=105,"91-105",IF(E1098&lt;=120,"106-120",IF(E1098&lt;=140,"121-140","Over 140"))))</f>
        <v/>
      </c>
      <c r="Q1098" s="28">
        <f>INT(C1098/10)*10</f>
        <v/>
      </c>
    </row>
    <row r="1099">
      <c r="A1099" s="21" t="n">
        <v>1124</v>
      </c>
      <c r="B1099" s="21" t="inlineStr">
        <is>
          <t>Soldier</t>
        </is>
      </c>
      <c r="C1099" s="21" t="n">
        <v>1998</v>
      </c>
      <c r="D1099" s="21" t="inlineStr">
        <is>
          <t>UK</t>
        </is>
      </c>
      <c r="E1099" s="21" t="n">
        <v>99</v>
      </c>
      <c r="F1099" s="21" t="inlineStr">
        <is>
          <t>English</t>
        </is>
      </c>
      <c r="G1099" s="21" t="inlineStr">
        <is>
          <t>R</t>
        </is>
      </c>
      <c r="H1099" s="22" t="n">
        <v>14567883</v>
      </c>
      <c r="I1099" s="22" t="n">
        <v>75000000</v>
      </c>
      <c r="J1099" s="21">
        <f>IF(OR(H1099="",H1099=25529689.5),"Yes","No")</f>
        <v/>
      </c>
      <c r="K1099" s="21">
        <f>IF(AND(D1099="USA",C1099&gt;=1980,J1099="No"),"Yes","No")</f>
        <v/>
      </c>
      <c r="L1099" s="26">
        <f>IF(J1099="Yes","",H1099-I1099)</f>
        <v/>
      </c>
      <c r="M1099" s="27">
        <f>IF(OR(J1099="Yes",I1099=0),"",H1099/I1099)</f>
        <v/>
      </c>
      <c r="N1099" s="21">
        <f>IF(J1099="Yes","",IF(H1099&gt;=I1099,1,0))</f>
        <v/>
      </c>
      <c r="O1099" s="21">
        <f>IF(I1099&lt;=5000000,"Under $5M",IF(I1099&lt;=20000000,"$5M-20M",IF(I1099&lt;=50000000,"$20M-50M",IF(I1099&lt;=100000000,"$50M-100M","$100M+"))))</f>
        <v/>
      </c>
      <c r="P1099" s="21">
        <f>IF(E1099&lt;=90,"90 or less",IF(E1099&lt;=105,"91-105",IF(E1099&lt;=120,"106-120",IF(E1099&lt;=140,"121-140","Over 140"))))</f>
        <v/>
      </c>
      <c r="Q1099" s="28">
        <f>INT(C1099/10)*10</f>
        <v/>
      </c>
    </row>
    <row r="1100">
      <c r="A1100" s="21" t="n">
        <v>1125</v>
      </c>
      <c r="B1100" s="21" t="inlineStr">
        <is>
          <t>Sphere</t>
        </is>
      </c>
      <c r="C1100" s="21" t="n">
        <v>1998</v>
      </c>
      <c r="D1100" s="21" t="inlineStr">
        <is>
          <t>USA</t>
        </is>
      </c>
      <c r="E1100" s="21" t="n">
        <v>134</v>
      </c>
      <c r="F1100" s="21" t="inlineStr">
        <is>
          <t>English</t>
        </is>
      </c>
      <c r="G1100" s="21" t="inlineStr">
        <is>
          <t>PG-13</t>
        </is>
      </c>
      <c r="H1100" s="22" t="n">
        <v>36976367</v>
      </c>
      <c r="I1100" s="22" t="n">
        <v>75000000</v>
      </c>
      <c r="J1100" s="21">
        <f>IF(OR(H1100="",H1100=25529689.5),"Yes","No")</f>
        <v/>
      </c>
      <c r="K1100" s="21">
        <f>IF(AND(D1100="USA",C1100&gt;=1980,J1100="No"),"Yes","No")</f>
        <v/>
      </c>
      <c r="L1100" s="26">
        <f>IF(J1100="Yes","",H1100-I1100)</f>
        <v/>
      </c>
      <c r="M1100" s="27">
        <f>IF(OR(J1100="Yes",I1100=0),"",H1100/I1100)</f>
        <v/>
      </c>
      <c r="N1100" s="21">
        <f>IF(J1100="Yes","",IF(H1100&gt;=I1100,1,0))</f>
        <v/>
      </c>
      <c r="O1100" s="21">
        <f>IF(I1100&lt;=5000000,"Under $5M",IF(I1100&lt;=20000000,"$5M-20M",IF(I1100&lt;=50000000,"$20M-50M",IF(I1100&lt;=100000000,"$50M-100M","$100M+"))))</f>
        <v/>
      </c>
      <c r="P1100" s="21">
        <f>IF(E1100&lt;=90,"90 or less",IF(E1100&lt;=105,"91-105",IF(E1100&lt;=120,"106-120",IF(E1100&lt;=140,"121-140","Over 140"))))</f>
        <v/>
      </c>
      <c r="Q1100" s="28">
        <f>INT(C1100/10)*10</f>
        <v/>
      </c>
    </row>
    <row r="1101">
      <c r="A1101" s="21" t="n">
        <v>1126</v>
      </c>
      <c r="B1101" s="21" t="inlineStr">
        <is>
          <t>Star Trek: Insurrection</t>
        </is>
      </c>
      <c r="C1101" s="21" t="n">
        <v>1998</v>
      </c>
      <c r="D1101" s="21" t="inlineStr">
        <is>
          <t>USA</t>
        </is>
      </c>
      <c r="E1101" s="21" t="n">
        <v>103</v>
      </c>
      <c r="F1101" s="21" t="inlineStr">
        <is>
          <t>English</t>
        </is>
      </c>
      <c r="G1101" s="21" t="inlineStr">
        <is>
          <t>PG</t>
        </is>
      </c>
      <c r="H1101" s="22" t="n">
        <v>70117571</v>
      </c>
      <c r="I1101" s="22" t="n">
        <v>58000000</v>
      </c>
      <c r="J1101" s="21">
        <f>IF(OR(H1101="",H1101=25529689.5),"Yes","No")</f>
        <v/>
      </c>
      <c r="K1101" s="21">
        <f>IF(AND(D1101="USA",C1101&gt;=1980,J1101="No"),"Yes","No")</f>
        <v/>
      </c>
      <c r="L1101" s="26">
        <f>IF(J1101="Yes","",H1101-I1101)</f>
        <v/>
      </c>
      <c r="M1101" s="27">
        <f>IF(OR(J1101="Yes",I1101=0),"",H1101/I1101)</f>
        <v/>
      </c>
      <c r="N1101" s="21">
        <f>IF(J1101="Yes","",IF(H1101&gt;=I1101,1,0))</f>
        <v/>
      </c>
      <c r="O1101" s="21">
        <f>IF(I1101&lt;=5000000,"Under $5M",IF(I1101&lt;=20000000,"$5M-20M",IF(I1101&lt;=50000000,"$20M-50M",IF(I1101&lt;=100000000,"$50M-100M","$100M+"))))</f>
        <v/>
      </c>
      <c r="P1101" s="21">
        <f>IF(E1101&lt;=90,"90 or less",IF(E1101&lt;=105,"91-105",IF(E1101&lt;=120,"106-120",IF(E1101&lt;=140,"121-140","Over 140"))))</f>
        <v/>
      </c>
      <c r="Q1101" s="28">
        <f>INT(C1101/10)*10</f>
        <v/>
      </c>
    </row>
    <row r="1102">
      <c r="A1102" s="21" t="n">
        <v>1127</v>
      </c>
      <c r="B1102" s="21" t="inlineStr">
        <is>
          <t>Stepmom</t>
        </is>
      </c>
      <c r="C1102" s="21" t="n">
        <v>1998</v>
      </c>
      <c r="D1102" s="21" t="inlineStr">
        <is>
          <t>USA</t>
        </is>
      </c>
      <c r="E1102" s="21" t="n">
        <v>124</v>
      </c>
      <c r="F1102" s="21" t="inlineStr">
        <is>
          <t>English</t>
        </is>
      </c>
      <c r="G1102" s="21" t="inlineStr">
        <is>
          <t>PG-13</t>
        </is>
      </c>
      <c r="H1102" s="22" t="n">
        <v>91030827</v>
      </c>
      <c r="I1102" s="22" t="n">
        <v>50000000</v>
      </c>
      <c r="J1102" s="21">
        <f>IF(OR(H1102="",H1102=25529689.5),"Yes","No")</f>
        <v/>
      </c>
      <c r="K1102" s="21">
        <f>IF(AND(D1102="USA",C1102&gt;=1980,J1102="No"),"Yes","No")</f>
        <v/>
      </c>
      <c r="L1102" s="26">
        <f>IF(J1102="Yes","",H1102-I1102)</f>
        <v/>
      </c>
      <c r="M1102" s="27">
        <f>IF(OR(J1102="Yes",I1102=0),"",H1102/I1102)</f>
        <v/>
      </c>
      <c r="N1102" s="21">
        <f>IF(J1102="Yes","",IF(H1102&gt;=I1102,1,0))</f>
        <v/>
      </c>
      <c r="O1102" s="21">
        <f>IF(I1102&lt;=5000000,"Under $5M",IF(I1102&lt;=20000000,"$5M-20M",IF(I1102&lt;=50000000,"$20M-50M",IF(I1102&lt;=100000000,"$50M-100M","$100M+"))))</f>
        <v/>
      </c>
      <c r="P1102" s="21">
        <f>IF(E1102&lt;=90,"90 or less",IF(E1102&lt;=105,"91-105",IF(E1102&lt;=120,"106-120",IF(E1102&lt;=140,"121-140","Over 140"))))</f>
        <v/>
      </c>
      <c r="Q1102" s="28">
        <f>INT(C1102/10)*10</f>
        <v/>
      </c>
    </row>
    <row r="1103">
      <c r="A1103" s="21" t="n">
        <v>1128</v>
      </c>
      <c r="B1103" s="21" t="inlineStr">
        <is>
          <t>Stiff Upper Lips</t>
        </is>
      </c>
      <c r="C1103" s="21" t="n">
        <v>1998</v>
      </c>
      <c r="D1103" s="21" t="inlineStr">
        <is>
          <t>UK</t>
        </is>
      </c>
      <c r="E1103" s="21" t="n">
        <v>94</v>
      </c>
      <c r="F1103" s="21" t="inlineStr">
        <is>
          <t>English</t>
        </is>
      </c>
      <c r="G1103" s="21" t="inlineStr">
        <is>
          <t>R</t>
        </is>
      </c>
      <c r="H1103" s="22" t="n">
        <v>69582</v>
      </c>
      <c r="I1103" s="22" t="n">
        <v>20000000</v>
      </c>
      <c r="J1103" s="21">
        <f>IF(OR(H1103="",H1103=25529689.5),"Yes","No")</f>
        <v/>
      </c>
      <c r="K1103" s="21">
        <f>IF(AND(D1103="USA",C1103&gt;=1980,J1103="No"),"Yes","No")</f>
        <v/>
      </c>
      <c r="L1103" s="26">
        <f>IF(J1103="Yes","",H1103-I1103)</f>
        <v/>
      </c>
      <c r="M1103" s="27">
        <f>IF(OR(J1103="Yes",I1103=0),"",H1103/I1103)</f>
        <v/>
      </c>
      <c r="N1103" s="21">
        <f>IF(J1103="Yes","",IF(H1103&gt;=I1103,1,0))</f>
        <v/>
      </c>
      <c r="O1103" s="21">
        <f>IF(I1103&lt;=5000000,"Under $5M",IF(I1103&lt;=20000000,"$5M-20M",IF(I1103&lt;=50000000,"$20M-50M",IF(I1103&lt;=100000000,"$50M-100M","$100M+"))))</f>
        <v/>
      </c>
      <c r="P1103" s="21">
        <f>IF(E1103&lt;=90,"90 or less",IF(E1103&lt;=105,"91-105",IF(E1103&lt;=120,"106-120",IF(E1103&lt;=140,"121-140","Over 140"))))</f>
        <v/>
      </c>
      <c r="Q1103" s="28">
        <f>INT(C1103/10)*10</f>
        <v/>
      </c>
    </row>
    <row r="1104">
      <c r="A1104" s="21" t="n">
        <v>1129</v>
      </c>
      <c r="B1104" s="21" t="inlineStr">
        <is>
          <t>Tango</t>
        </is>
      </c>
      <c r="C1104" s="21" t="n">
        <v>1998</v>
      </c>
      <c r="D1104" s="21" t="inlineStr">
        <is>
          <t>Spain</t>
        </is>
      </c>
      <c r="E1104" s="21" t="n">
        <v>115</v>
      </c>
      <c r="F1104" s="21" t="inlineStr">
        <is>
          <t>Spanish</t>
        </is>
      </c>
      <c r="G1104" s="21" t="inlineStr">
        <is>
          <t>PG-13</t>
        </is>
      </c>
      <c r="H1104" s="22" t="n">
        <v>1687311</v>
      </c>
      <c r="I1104" s="22" t="n">
        <v>700000000</v>
      </c>
      <c r="J1104" s="21">
        <f>IF(OR(H1104="",H1104=25529689.5),"Yes","No")</f>
        <v/>
      </c>
      <c r="K1104" s="21">
        <f>IF(AND(D1104="USA",C1104&gt;=1980,J1104="No"),"Yes","No")</f>
        <v/>
      </c>
      <c r="L1104" s="26">
        <f>IF(J1104="Yes","",H1104-I1104)</f>
        <v/>
      </c>
      <c r="M1104" s="27">
        <f>IF(OR(J1104="Yes",I1104=0),"",H1104/I1104)</f>
        <v/>
      </c>
      <c r="N1104" s="21">
        <f>IF(J1104="Yes","",IF(H1104&gt;=I1104,1,0))</f>
        <v/>
      </c>
      <c r="O1104" s="21">
        <f>IF(I1104&lt;=5000000,"Under $5M",IF(I1104&lt;=20000000,"$5M-20M",IF(I1104&lt;=50000000,"$20M-50M",IF(I1104&lt;=100000000,"$50M-100M","$100M+"))))</f>
        <v/>
      </c>
      <c r="P1104" s="21">
        <f>IF(E1104&lt;=90,"90 or less",IF(E1104&lt;=105,"91-105",IF(E1104&lt;=120,"106-120",IF(E1104&lt;=140,"121-140","Over 140"))))</f>
        <v/>
      </c>
      <c r="Q1104" s="28">
        <f>INT(C1104/10)*10</f>
        <v/>
      </c>
    </row>
    <row r="1105">
      <c r="A1105" s="21" t="n">
        <v>1130</v>
      </c>
      <c r="B1105" s="21" t="inlineStr">
        <is>
          <t>Taxman</t>
        </is>
      </c>
      <c r="C1105" s="21" t="n">
        <v>1998</v>
      </c>
      <c r="D1105" s="21" t="inlineStr">
        <is>
          <t>USA</t>
        </is>
      </c>
      <c r="E1105" s="21" t="n">
        <v>104</v>
      </c>
      <c r="F1105" s="21" t="inlineStr">
        <is>
          <t>English</t>
        </is>
      </c>
      <c r="G1105" s="21" t="inlineStr">
        <is>
          <t>R</t>
        </is>
      </c>
      <c r="H1105" s="22" t="n">
        <v>25529689.5</v>
      </c>
      <c r="I1105" s="22" t="n">
        <v>1000000</v>
      </c>
      <c r="J1105" s="21">
        <f>IF(OR(H1105="",H1105=25529689.5),"Yes","No")</f>
        <v/>
      </c>
      <c r="K1105" s="21">
        <f>IF(AND(D1105="USA",C1105&gt;=1980,J1105="No"),"Yes","No")</f>
        <v/>
      </c>
      <c r="L1105" s="26">
        <f>IF(J1105="Yes","",H1105-I1105)</f>
        <v/>
      </c>
      <c r="M1105" s="27">
        <f>IF(OR(J1105="Yes",I1105=0),"",H1105/I1105)</f>
        <v/>
      </c>
      <c r="N1105" s="21">
        <f>IF(J1105="Yes","",IF(H1105&gt;=I1105,1,0))</f>
        <v/>
      </c>
      <c r="O1105" s="21">
        <f>IF(I1105&lt;=5000000,"Under $5M",IF(I1105&lt;=20000000,"$5M-20M",IF(I1105&lt;=50000000,"$20M-50M",IF(I1105&lt;=100000000,"$50M-100M","$100M+"))))</f>
        <v/>
      </c>
      <c r="P1105" s="21">
        <f>IF(E1105&lt;=90,"90 or less",IF(E1105&lt;=105,"91-105",IF(E1105&lt;=120,"106-120",IF(E1105&lt;=140,"121-140","Over 140"))))</f>
        <v/>
      </c>
      <c r="Q1105" s="28">
        <f>INT(C1105/10)*10</f>
        <v/>
      </c>
    </row>
    <row r="1106">
      <c r="A1106" s="21" t="n">
        <v>1131</v>
      </c>
      <c r="B1106" s="21" t="inlineStr">
        <is>
          <t>The Big Hit</t>
        </is>
      </c>
      <c r="C1106" s="21" t="n">
        <v>1998</v>
      </c>
      <c r="D1106" s="21" t="inlineStr">
        <is>
          <t>USA</t>
        </is>
      </c>
      <c r="E1106" s="21" t="n">
        <v>91</v>
      </c>
      <c r="F1106" s="21" t="inlineStr">
        <is>
          <t>English</t>
        </is>
      </c>
      <c r="G1106" s="21" t="inlineStr">
        <is>
          <t>R</t>
        </is>
      </c>
      <c r="H1106" s="22" t="n">
        <v>27052167</v>
      </c>
      <c r="I1106" s="22" t="n">
        <v>13000000</v>
      </c>
      <c r="J1106" s="21">
        <f>IF(OR(H1106="",H1106=25529689.5),"Yes","No")</f>
        <v/>
      </c>
      <c r="K1106" s="21">
        <f>IF(AND(D1106="USA",C1106&gt;=1980,J1106="No"),"Yes","No")</f>
        <v/>
      </c>
      <c r="L1106" s="26">
        <f>IF(J1106="Yes","",H1106-I1106)</f>
        <v/>
      </c>
      <c r="M1106" s="27">
        <f>IF(OR(J1106="Yes",I1106=0),"",H1106/I1106)</f>
        <v/>
      </c>
      <c r="N1106" s="21">
        <f>IF(J1106="Yes","",IF(H1106&gt;=I1106,1,0))</f>
        <v/>
      </c>
      <c r="O1106" s="21">
        <f>IF(I1106&lt;=5000000,"Under $5M",IF(I1106&lt;=20000000,"$5M-20M",IF(I1106&lt;=50000000,"$20M-50M",IF(I1106&lt;=100000000,"$50M-100M","$100M+"))))</f>
        <v/>
      </c>
      <c r="P1106" s="21">
        <f>IF(E1106&lt;=90,"90 or less",IF(E1106&lt;=105,"91-105",IF(E1106&lt;=120,"106-120",IF(E1106&lt;=140,"121-140","Over 140"))))</f>
        <v/>
      </c>
      <c r="Q1106" s="28">
        <f>INT(C1106/10)*10</f>
        <v/>
      </c>
    </row>
    <row r="1107">
      <c r="A1107" s="21" t="n">
        <v>1132</v>
      </c>
      <c r="B1107" s="21" t="inlineStr">
        <is>
          <t>The Big Lebowski</t>
        </is>
      </c>
      <c r="C1107" s="21" t="n">
        <v>1998</v>
      </c>
      <c r="D1107" s="21" t="inlineStr">
        <is>
          <t>USA</t>
        </is>
      </c>
      <c r="E1107" s="21" t="n">
        <v>117</v>
      </c>
      <c r="F1107" s="21" t="inlineStr">
        <is>
          <t>English</t>
        </is>
      </c>
      <c r="G1107" s="21" t="inlineStr">
        <is>
          <t>R</t>
        </is>
      </c>
      <c r="H1107" s="22" t="n">
        <v>17439163</v>
      </c>
      <c r="I1107" s="22" t="n">
        <v>15000000</v>
      </c>
      <c r="J1107" s="21">
        <f>IF(OR(H1107="",H1107=25529689.5),"Yes","No")</f>
        <v/>
      </c>
      <c r="K1107" s="21">
        <f>IF(AND(D1107="USA",C1107&gt;=1980,J1107="No"),"Yes","No")</f>
        <v/>
      </c>
      <c r="L1107" s="26">
        <f>IF(J1107="Yes","",H1107-I1107)</f>
        <v/>
      </c>
      <c r="M1107" s="27">
        <f>IF(OR(J1107="Yes",I1107=0),"",H1107/I1107)</f>
        <v/>
      </c>
      <c r="N1107" s="21">
        <f>IF(J1107="Yes","",IF(H1107&gt;=I1107,1,0))</f>
        <v/>
      </c>
      <c r="O1107" s="21">
        <f>IF(I1107&lt;=5000000,"Under $5M",IF(I1107&lt;=20000000,"$5M-20M",IF(I1107&lt;=50000000,"$20M-50M",IF(I1107&lt;=100000000,"$50M-100M","$100M+"))))</f>
        <v/>
      </c>
      <c r="P1107" s="21">
        <f>IF(E1107&lt;=90,"90 or less",IF(E1107&lt;=105,"91-105",IF(E1107&lt;=120,"106-120",IF(E1107&lt;=140,"121-140","Over 140"))))</f>
        <v/>
      </c>
      <c r="Q1107" s="28">
        <f>INT(C1107/10)*10</f>
        <v/>
      </c>
    </row>
    <row r="1108">
      <c r="A1108" s="21" t="n">
        <v>1133</v>
      </c>
      <c r="B1108" s="21" t="inlineStr">
        <is>
          <t>The Big Swap</t>
        </is>
      </c>
      <c r="C1108" s="21" t="n">
        <v>1998</v>
      </c>
      <c r="D1108" s="21" t="inlineStr">
        <is>
          <t>UK</t>
        </is>
      </c>
      <c r="E1108" s="21" t="n">
        <v>114</v>
      </c>
      <c r="F1108" s="21" t="inlineStr">
        <is>
          <t>English</t>
        </is>
      </c>
      <c r="G1108" s="21" t="n"/>
      <c r="H1108" s="22" t="n">
        <v>25529689.5</v>
      </c>
      <c r="I1108" s="22" t="n">
        <v>20000000</v>
      </c>
      <c r="J1108" s="21">
        <f>IF(OR(H1108="",H1108=25529689.5),"Yes","No")</f>
        <v/>
      </c>
      <c r="K1108" s="21">
        <f>IF(AND(D1108="USA",C1108&gt;=1980,J1108="No"),"Yes","No")</f>
        <v/>
      </c>
      <c r="L1108" s="26">
        <f>IF(J1108="Yes","",H1108-I1108)</f>
        <v/>
      </c>
      <c r="M1108" s="27">
        <f>IF(OR(J1108="Yes",I1108=0),"",H1108/I1108)</f>
        <v/>
      </c>
      <c r="N1108" s="21">
        <f>IF(J1108="Yes","",IF(H1108&gt;=I1108,1,0))</f>
        <v/>
      </c>
      <c r="O1108" s="21">
        <f>IF(I1108&lt;=5000000,"Under $5M",IF(I1108&lt;=20000000,"$5M-20M",IF(I1108&lt;=50000000,"$20M-50M",IF(I1108&lt;=100000000,"$50M-100M","$100M+"))))</f>
        <v/>
      </c>
      <c r="P1108" s="21">
        <f>IF(E1108&lt;=90,"90 or less",IF(E1108&lt;=105,"91-105",IF(E1108&lt;=120,"106-120",IF(E1108&lt;=140,"121-140","Over 140"))))</f>
        <v/>
      </c>
      <c r="Q1108" s="28">
        <f>INT(C1108/10)*10</f>
        <v/>
      </c>
    </row>
    <row r="1109">
      <c r="A1109" s="21" t="n">
        <v>1134</v>
      </c>
      <c r="B1109" s="21" t="inlineStr">
        <is>
          <t>The Celebration</t>
        </is>
      </c>
      <c r="C1109" s="21" t="n">
        <v>1998</v>
      </c>
      <c r="D1109" s="21" t="inlineStr">
        <is>
          <t>Denmark</t>
        </is>
      </c>
      <c r="E1109" s="21" t="n">
        <v>105</v>
      </c>
      <c r="F1109" s="21" t="inlineStr">
        <is>
          <t>Danish</t>
        </is>
      </c>
      <c r="G1109" s="21" t="inlineStr">
        <is>
          <t>R</t>
        </is>
      </c>
      <c r="H1109" s="22" t="n">
        <v>1647780</v>
      </c>
      <c r="I1109" s="22" t="n">
        <v>1300000</v>
      </c>
      <c r="J1109" s="21">
        <f>IF(OR(H1109="",H1109=25529689.5),"Yes","No")</f>
        <v/>
      </c>
      <c r="K1109" s="21">
        <f>IF(AND(D1109="USA",C1109&gt;=1980,J1109="No"),"Yes","No")</f>
        <v/>
      </c>
      <c r="L1109" s="26">
        <f>IF(J1109="Yes","",H1109-I1109)</f>
        <v/>
      </c>
      <c r="M1109" s="27">
        <f>IF(OR(J1109="Yes",I1109=0),"",H1109/I1109)</f>
        <v/>
      </c>
      <c r="N1109" s="21">
        <f>IF(J1109="Yes","",IF(H1109&gt;=I1109,1,0))</f>
        <v/>
      </c>
      <c r="O1109" s="21">
        <f>IF(I1109&lt;=5000000,"Under $5M",IF(I1109&lt;=20000000,"$5M-20M",IF(I1109&lt;=50000000,"$20M-50M",IF(I1109&lt;=100000000,"$50M-100M","$100M+"))))</f>
        <v/>
      </c>
      <c r="P1109" s="21">
        <f>IF(E1109&lt;=90,"90 or less",IF(E1109&lt;=105,"91-105",IF(E1109&lt;=120,"106-120",IF(E1109&lt;=140,"121-140","Over 140"))))</f>
        <v/>
      </c>
      <c r="Q1109" s="28">
        <f>INT(C1109/10)*10</f>
        <v/>
      </c>
    </row>
    <row r="1110">
      <c r="A1110" s="21" t="n">
        <v>1135</v>
      </c>
      <c r="B1110" s="21" t="inlineStr">
        <is>
          <t>The Faculty</t>
        </is>
      </c>
      <c r="C1110" s="21" t="n">
        <v>1998</v>
      </c>
      <c r="D1110" s="21" t="inlineStr">
        <is>
          <t>USA</t>
        </is>
      </c>
      <c r="E1110" s="21" t="n">
        <v>104</v>
      </c>
      <c r="F1110" s="21" t="inlineStr">
        <is>
          <t>English</t>
        </is>
      </c>
      <c r="G1110" s="21" t="inlineStr">
        <is>
          <t>R</t>
        </is>
      </c>
      <c r="H1110" s="22" t="n">
        <v>40064955</v>
      </c>
      <c r="I1110" s="22" t="n">
        <v>15000000</v>
      </c>
      <c r="J1110" s="21">
        <f>IF(OR(H1110="",H1110=25529689.5),"Yes","No")</f>
        <v/>
      </c>
      <c r="K1110" s="21">
        <f>IF(AND(D1110="USA",C1110&gt;=1980,J1110="No"),"Yes","No")</f>
        <v/>
      </c>
      <c r="L1110" s="26">
        <f>IF(J1110="Yes","",H1110-I1110)</f>
        <v/>
      </c>
      <c r="M1110" s="27">
        <f>IF(OR(J1110="Yes",I1110=0),"",H1110/I1110)</f>
        <v/>
      </c>
      <c r="N1110" s="21">
        <f>IF(J1110="Yes","",IF(H1110&gt;=I1110,1,0))</f>
        <v/>
      </c>
      <c r="O1110" s="21">
        <f>IF(I1110&lt;=5000000,"Under $5M",IF(I1110&lt;=20000000,"$5M-20M",IF(I1110&lt;=50000000,"$20M-50M",IF(I1110&lt;=100000000,"$50M-100M","$100M+"))))</f>
        <v/>
      </c>
      <c r="P1110" s="21">
        <f>IF(E1110&lt;=90,"90 or less",IF(E1110&lt;=105,"91-105",IF(E1110&lt;=120,"106-120",IF(E1110&lt;=140,"121-140","Over 140"))))</f>
        <v/>
      </c>
      <c r="Q1110" s="28">
        <f>INT(C1110/10)*10</f>
        <v/>
      </c>
    </row>
    <row r="1111">
      <c r="A1111" s="21" t="n">
        <v>1136</v>
      </c>
      <c r="B1111" s="21" t="inlineStr">
        <is>
          <t>The Horse Whisperer</t>
        </is>
      </c>
      <c r="C1111" s="21" t="n">
        <v>1998</v>
      </c>
      <c r="D1111" s="21" t="inlineStr">
        <is>
          <t>USA</t>
        </is>
      </c>
      <c r="E1111" s="21" t="n">
        <v>170</v>
      </c>
      <c r="F1111" s="21" t="inlineStr">
        <is>
          <t>English</t>
        </is>
      </c>
      <c r="G1111" s="21" t="inlineStr">
        <is>
          <t>PG-13</t>
        </is>
      </c>
      <c r="H1111" s="22" t="n">
        <v>75370763</v>
      </c>
      <c r="I1111" s="22" t="n">
        <v>60000000</v>
      </c>
      <c r="J1111" s="21">
        <f>IF(OR(H1111="",H1111=25529689.5),"Yes","No")</f>
        <v/>
      </c>
      <c r="K1111" s="21">
        <f>IF(AND(D1111="USA",C1111&gt;=1980,J1111="No"),"Yes","No")</f>
        <v/>
      </c>
      <c r="L1111" s="26">
        <f>IF(J1111="Yes","",H1111-I1111)</f>
        <v/>
      </c>
      <c r="M1111" s="27">
        <f>IF(OR(J1111="Yes",I1111=0),"",H1111/I1111)</f>
        <v/>
      </c>
      <c r="N1111" s="21">
        <f>IF(J1111="Yes","",IF(H1111&gt;=I1111,1,0))</f>
        <v/>
      </c>
      <c r="O1111" s="21">
        <f>IF(I1111&lt;=5000000,"Under $5M",IF(I1111&lt;=20000000,"$5M-20M",IF(I1111&lt;=50000000,"$20M-50M",IF(I1111&lt;=100000000,"$50M-100M","$100M+"))))</f>
        <v/>
      </c>
      <c r="P1111" s="21">
        <f>IF(E1111&lt;=90,"90 or less",IF(E1111&lt;=105,"91-105",IF(E1111&lt;=120,"106-120",IF(E1111&lt;=140,"121-140","Over 140"))))</f>
        <v/>
      </c>
      <c r="Q1111" s="28">
        <f>INT(C1111/10)*10</f>
        <v/>
      </c>
    </row>
    <row r="1112">
      <c r="A1112" s="21" t="n">
        <v>1137</v>
      </c>
      <c r="B1112" s="21" t="inlineStr">
        <is>
          <t>The Land Girls</t>
        </is>
      </c>
      <c r="C1112" s="21" t="n">
        <v>1998</v>
      </c>
      <c r="D1112" s="21" t="inlineStr">
        <is>
          <t>UK</t>
        </is>
      </c>
      <c r="E1112" s="21" t="n">
        <v>111</v>
      </c>
      <c r="F1112" s="21" t="inlineStr">
        <is>
          <t>English</t>
        </is>
      </c>
      <c r="G1112" s="21" t="inlineStr">
        <is>
          <t>R</t>
        </is>
      </c>
      <c r="H1112" s="22" t="n">
        <v>146083</v>
      </c>
      <c r="I1112" s="22" t="n">
        <v>20000000</v>
      </c>
      <c r="J1112" s="21">
        <f>IF(OR(H1112="",H1112=25529689.5),"Yes","No")</f>
        <v/>
      </c>
      <c r="K1112" s="21">
        <f>IF(AND(D1112="USA",C1112&gt;=1980,J1112="No"),"Yes","No")</f>
        <v/>
      </c>
      <c r="L1112" s="26">
        <f>IF(J1112="Yes","",H1112-I1112)</f>
        <v/>
      </c>
      <c r="M1112" s="27">
        <f>IF(OR(J1112="Yes",I1112=0),"",H1112/I1112)</f>
        <v/>
      </c>
      <c r="N1112" s="21">
        <f>IF(J1112="Yes","",IF(H1112&gt;=I1112,1,0))</f>
        <v/>
      </c>
      <c r="O1112" s="21">
        <f>IF(I1112&lt;=5000000,"Under $5M",IF(I1112&lt;=20000000,"$5M-20M",IF(I1112&lt;=50000000,"$20M-50M",IF(I1112&lt;=100000000,"$50M-100M","$100M+"))))</f>
        <v/>
      </c>
      <c r="P1112" s="21">
        <f>IF(E1112&lt;=90,"90 or less",IF(E1112&lt;=105,"91-105",IF(E1112&lt;=120,"106-120",IF(E1112&lt;=140,"121-140","Over 140"))))</f>
        <v/>
      </c>
      <c r="Q1112" s="28">
        <f>INT(C1112/10)*10</f>
        <v/>
      </c>
    </row>
    <row r="1113">
      <c r="A1113" s="21" t="n">
        <v>1138</v>
      </c>
      <c r="B1113" s="21" t="inlineStr">
        <is>
          <t>The Love Letter</t>
        </is>
      </c>
      <c r="C1113" s="21" t="n">
        <v>1998</v>
      </c>
      <c r="D1113" s="21" t="inlineStr">
        <is>
          <t>USA</t>
        </is>
      </c>
      <c r="E1113" s="21" t="n">
        <v>99</v>
      </c>
      <c r="F1113" s="21" t="inlineStr">
        <is>
          <t>English</t>
        </is>
      </c>
      <c r="G1113" s="21" t="inlineStr">
        <is>
          <t>Unrated</t>
        </is>
      </c>
      <c r="H1113" s="22" t="n">
        <v>25529689.5</v>
      </c>
      <c r="I1113" s="22" t="n">
        <v>20000000</v>
      </c>
      <c r="J1113" s="21">
        <f>IF(OR(H1113="",H1113=25529689.5),"Yes","No")</f>
        <v/>
      </c>
      <c r="K1113" s="21">
        <f>IF(AND(D1113="USA",C1113&gt;=1980,J1113="No"),"Yes","No")</f>
        <v/>
      </c>
      <c r="L1113" s="26">
        <f>IF(J1113="Yes","",H1113-I1113)</f>
        <v/>
      </c>
      <c r="M1113" s="27">
        <f>IF(OR(J1113="Yes",I1113=0),"",H1113/I1113)</f>
        <v/>
      </c>
      <c r="N1113" s="21">
        <f>IF(J1113="Yes","",IF(H1113&gt;=I1113,1,0))</f>
        <v/>
      </c>
      <c r="O1113" s="21">
        <f>IF(I1113&lt;=5000000,"Under $5M",IF(I1113&lt;=20000000,"$5M-20M",IF(I1113&lt;=50000000,"$20M-50M",IF(I1113&lt;=100000000,"$50M-100M","$100M+"))))</f>
        <v/>
      </c>
      <c r="P1113" s="21">
        <f>IF(E1113&lt;=90,"90 or less",IF(E1113&lt;=105,"91-105",IF(E1113&lt;=120,"106-120",IF(E1113&lt;=140,"121-140","Over 140"))))</f>
        <v/>
      </c>
      <c r="Q1113" s="28">
        <f>INT(C1113/10)*10</f>
        <v/>
      </c>
    </row>
    <row r="1114">
      <c r="A1114" s="21" t="n">
        <v>1140</v>
      </c>
      <c r="B1114" s="21" t="inlineStr">
        <is>
          <t>The Magic Sword: Quest for Camelot</t>
        </is>
      </c>
      <c r="C1114" s="21" t="n">
        <v>1998</v>
      </c>
      <c r="D1114" s="21" t="inlineStr">
        <is>
          <t>USA</t>
        </is>
      </c>
      <c r="E1114" s="21" t="n">
        <v>86</v>
      </c>
      <c r="F1114" s="21" t="inlineStr">
        <is>
          <t>English</t>
        </is>
      </c>
      <c r="G1114" s="21" t="inlineStr">
        <is>
          <t>G</t>
        </is>
      </c>
      <c r="H1114" s="22" t="n">
        <v>22717758</v>
      </c>
      <c r="I1114" s="22" t="n">
        <v>40000000</v>
      </c>
      <c r="J1114" s="21">
        <f>IF(OR(H1114="",H1114=25529689.5),"Yes","No")</f>
        <v/>
      </c>
      <c r="K1114" s="21">
        <f>IF(AND(D1114="USA",C1114&gt;=1980,J1114="No"),"Yes","No")</f>
        <v/>
      </c>
      <c r="L1114" s="26">
        <f>IF(J1114="Yes","",H1114-I1114)</f>
        <v/>
      </c>
      <c r="M1114" s="27">
        <f>IF(OR(J1114="Yes",I1114=0),"",H1114/I1114)</f>
        <v/>
      </c>
      <c r="N1114" s="21">
        <f>IF(J1114="Yes","",IF(H1114&gt;=I1114,1,0))</f>
        <v/>
      </c>
      <c r="O1114" s="21">
        <f>IF(I1114&lt;=5000000,"Under $5M",IF(I1114&lt;=20000000,"$5M-20M",IF(I1114&lt;=50000000,"$20M-50M",IF(I1114&lt;=100000000,"$50M-100M","$100M+"))))</f>
        <v/>
      </c>
      <c r="P1114" s="21">
        <f>IF(E1114&lt;=90,"90 or less",IF(E1114&lt;=105,"91-105",IF(E1114&lt;=120,"106-120",IF(E1114&lt;=140,"121-140","Over 140"))))</f>
        <v/>
      </c>
      <c r="Q1114" s="28">
        <f>INT(C1114/10)*10</f>
        <v/>
      </c>
    </row>
    <row r="1115">
      <c r="A1115" s="21" t="n">
        <v>1141</v>
      </c>
      <c r="B1115" s="21" t="inlineStr">
        <is>
          <t>The Man in the Iron Mask</t>
        </is>
      </c>
      <c r="C1115" s="21" t="n">
        <v>1998</v>
      </c>
      <c r="D1115" s="21" t="inlineStr">
        <is>
          <t>USA</t>
        </is>
      </c>
      <c r="E1115" s="21" t="n">
        <v>132</v>
      </c>
      <c r="F1115" s="21" t="inlineStr">
        <is>
          <t>English</t>
        </is>
      </c>
      <c r="G1115" s="21" t="inlineStr">
        <is>
          <t>PG-13</t>
        </is>
      </c>
      <c r="H1115" s="22" t="n">
        <v>56876365</v>
      </c>
      <c r="I1115" s="22" t="n">
        <v>35000000</v>
      </c>
      <c r="J1115" s="21">
        <f>IF(OR(H1115="",H1115=25529689.5),"Yes","No")</f>
        <v/>
      </c>
      <c r="K1115" s="21">
        <f>IF(AND(D1115="USA",C1115&gt;=1980,J1115="No"),"Yes","No")</f>
        <v/>
      </c>
      <c r="L1115" s="26">
        <f>IF(J1115="Yes","",H1115-I1115)</f>
        <v/>
      </c>
      <c r="M1115" s="27">
        <f>IF(OR(J1115="Yes",I1115=0),"",H1115/I1115)</f>
        <v/>
      </c>
      <c r="N1115" s="21">
        <f>IF(J1115="Yes","",IF(H1115&gt;=I1115,1,0))</f>
        <v/>
      </c>
      <c r="O1115" s="21">
        <f>IF(I1115&lt;=5000000,"Under $5M",IF(I1115&lt;=20000000,"$5M-20M",IF(I1115&lt;=50000000,"$20M-50M",IF(I1115&lt;=100000000,"$50M-100M","$100M+"))))</f>
        <v/>
      </c>
      <c r="P1115" s="21">
        <f>IF(E1115&lt;=90,"90 or less",IF(E1115&lt;=105,"91-105",IF(E1115&lt;=120,"106-120",IF(E1115&lt;=140,"121-140","Over 140"))))</f>
        <v/>
      </c>
      <c r="Q1115" s="28">
        <f>INT(C1115/10)*10</f>
        <v/>
      </c>
    </row>
    <row r="1116">
      <c r="A1116" s="21" t="n">
        <v>1142</v>
      </c>
      <c r="B1116" s="21" t="inlineStr">
        <is>
          <t>The Mask of Zorro</t>
        </is>
      </c>
      <c r="C1116" s="21" t="n">
        <v>1998</v>
      </c>
      <c r="D1116" s="21" t="inlineStr">
        <is>
          <t>USA</t>
        </is>
      </c>
      <c r="E1116" s="21" t="n">
        <v>136</v>
      </c>
      <c r="F1116" s="21" t="inlineStr">
        <is>
          <t>English</t>
        </is>
      </c>
      <c r="G1116" s="21" t="inlineStr">
        <is>
          <t>PG-13</t>
        </is>
      </c>
      <c r="H1116" s="22" t="n">
        <v>93771072</v>
      </c>
      <c r="I1116" s="22" t="n">
        <v>65000000</v>
      </c>
      <c r="J1116" s="21">
        <f>IF(OR(H1116="",H1116=25529689.5),"Yes","No")</f>
        <v/>
      </c>
      <c r="K1116" s="21">
        <f>IF(AND(D1116="USA",C1116&gt;=1980,J1116="No"),"Yes","No")</f>
        <v/>
      </c>
      <c r="L1116" s="26">
        <f>IF(J1116="Yes","",H1116-I1116)</f>
        <v/>
      </c>
      <c r="M1116" s="27">
        <f>IF(OR(J1116="Yes",I1116=0),"",H1116/I1116)</f>
        <v/>
      </c>
      <c r="N1116" s="21">
        <f>IF(J1116="Yes","",IF(H1116&gt;=I1116,1,0))</f>
        <v/>
      </c>
      <c r="O1116" s="21">
        <f>IF(I1116&lt;=5000000,"Under $5M",IF(I1116&lt;=20000000,"$5M-20M",IF(I1116&lt;=50000000,"$20M-50M",IF(I1116&lt;=100000000,"$50M-100M","$100M+"))))</f>
        <v/>
      </c>
      <c r="P1116" s="21">
        <f>IF(E1116&lt;=90,"90 or less",IF(E1116&lt;=105,"91-105",IF(E1116&lt;=120,"106-120",IF(E1116&lt;=140,"121-140","Over 140"))))</f>
        <v/>
      </c>
      <c r="Q1116" s="28">
        <f>INT(C1116/10)*10</f>
        <v/>
      </c>
    </row>
    <row r="1117">
      <c r="A1117" s="21" t="n">
        <v>1143</v>
      </c>
      <c r="B1117" s="21" t="inlineStr">
        <is>
          <t>The Mighty</t>
        </is>
      </c>
      <c r="C1117" s="21" t="n">
        <v>1998</v>
      </c>
      <c r="D1117" s="21" t="inlineStr">
        <is>
          <t>USA</t>
        </is>
      </c>
      <c r="E1117" s="21" t="n">
        <v>100</v>
      </c>
      <c r="F1117" s="21" t="inlineStr">
        <is>
          <t>English</t>
        </is>
      </c>
      <c r="G1117" s="21" t="inlineStr">
        <is>
          <t>PG-13</t>
        </is>
      </c>
      <c r="H1117" s="22" t="n">
        <v>2643689</v>
      </c>
      <c r="I1117" s="22" t="n">
        <v>20000000</v>
      </c>
      <c r="J1117" s="21">
        <f>IF(OR(H1117="",H1117=25529689.5),"Yes","No")</f>
        <v/>
      </c>
      <c r="K1117" s="21">
        <f>IF(AND(D1117="USA",C1117&gt;=1980,J1117="No"),"Yes","No")</f>
        <v/>
      </c>
      <c r="L1117" s="26">
        <f>IF(J1117="Yes","",H1117-I1117)</f>
        <v/>
      </c>
      <c r="M1117" s="27">
        <f>IF(OR(J1117="Yes",I1117=0),"",H1117/I1117)</f>
        <v/>
      </c>
      <c r="N1117" s="21">
        <f>IF(J1117="Yes","",IF(H1117&gt;=I1117,1,0))</f>
        <v/>
      </c>
      <c r="O1117" s="21">
        <f>IF(I1117&lt;=5000000,"Under $5M",IF(I1117&lt;=20000000,"$5M-20M",IF(I1117&lt;=50000000,"$20M-50M",IF(I1117&lt;=100000000,"$50M-100M","$100M+"))))</f>
        <v/>
      </c>
      <c r="P1117" s="21">
        <f>IF(E1117&lt;=90,"90 or less",IF(E1117&lt;=105,"91-105",IF(E1117&lt;=120,"106-120",IF(E1117&lt;=140,"121-140","Over 140"))))</f>
        <v/>
      </c>
      <c r="Q1117" s="28">
        <f>INT(C1117/10)*10</f>
        <v/>
      </c>
    </row>
    <row r="1118">
      <c r="A1118" s="21" t="n">
        <v>1144</v>
      </c>
      <c r="B1118" s="21" t="inlineStr">
        <is>
          <t>The Negotiator</t>
        </is>
      </c>
      <c r="C1118" s="21" t="n">
        <v>1998</v>
      </c>
      <c r="D1118" s="21" t="inlineStr">
        <is>
          <t>Germany</t>
        </is>
      </c>
      <c r="E1118" s="21" t="n">
        <v>140</v>
      </c>
      <c r="F1118" s="21" t="inlineStr">
        <is>
          <t>English</t>
        </is>
      </c>
      <c r="G1118" s="21" t="inlineStr">
        <is>
          <t>R</t>
        </is>
      </c>
      <c r="H1118" s="22" t="n">
        <v>44484065</v>
      </c>
      <c r="I1118" s="22" t="n">
        <v>50000000</v>
      </c>
      <c r="J1118" s="21">
        <f>IF(OR(H1118="",H1118=25529689.5),"Yes","No")</f>
        <v/>
      </c>
      <c r="K1118" s="21">
        <f>IF(AND(D1118="USA",C1118&gt;=1980,J1118="No"),"Yes","No")</f>
        <v/>
      </c>
      <c r="L1118" s="26">
        <f>IF(J1118="Yes","",H1118-I1118)</f>
        <v/>
      </c>
      <c r="M1118" s="27">
        <f>IF(OR(J1118="Yes",I1118=0),"",H1118/I1118)</f>
        <v/>
      </c>
      <c r="N1118" s="21">
        <f>IF(J1118="Yes","",IF(H1118&gt;=I1118,1,0))</f>
        <v/>
      </c>
      <c r="O1118" s="21">
        <f>IF(I1118&lt;=5000000,"Under $5M",IF(I1118&lt;=20000000,"$5M-20M",IF(I1118&lt;=50000000,"$20M-50M",IF(I1118&lt;=100000000,"$50M-100M","$100M+"))))</f>
        <v/>
      </c>
      <c r="P1118" s="21">
        <f>IF(E1118&lt;=90,"90 or less",IF(E1118&lt;=105,"91-105",IF(E1118&lt;=120,"106-120",IF(E1118&lt;=140,"121-140","Over 140"))))</f>
        <v/>
      </c>
      <c r="Q1118" s="28">
        <f>INT(C1118/10)*10</f>
        <v/>
      </c>
    </row>
    <row r="1119">
      <c r="A1119" s="21" t="n">
        <v>1145</v>
      </c>
      <c r="B1119" s="21" t="inlineStr">
        <is>
          <t>The Newton Boys</t>
        </is>
      </c>
      <c r="C1119" s="21" t="n">
        <v>1998</v>
      </c>
      <c r="D1119" s="21" t="inlineStr">
        <is>
          <t>USA</t>
        </is>
      </c>
      <c r="E1119" s="21" t="n">
        <v>123</v>
      </c>
      <c r="F1119" s="21" t="inlineStr">
        <is>
          <t>English</t>
        </is>
      </c>
      <c r="G1119" s="21" t="inlineStr">
        <is>
          <t>PG-13</t>
        </is>
      </c>
      <c r="H1119" s="22" t="n">
        <v>10297897</v>
      </c>
      <c r="I1119" s="22" t="n">
        <v>27000000</v>
      </c>
      <c r="J1119" s="21">
        <f>IF(OR(H1119="",H1119=25529689.5),"Yes","No")</f>
        <v/>
      </c>
      <c r="K1119" s="21">
        <f>IF(AND(D1119="USA",C1119&gt;=1980,J1119="No"),"Yes","No")</f>
        <v/>
      </c>
      <c r="L1119" s="26">
        <f>IF(J1119="Yes","",H1119-I1119)</f>
        <v/>
      </c>
      <c r="M1119" s="27">
        <f>IF(OR(J1119="Yes",I1119=0),"",H1119/I1119)</f>
        <v/>
      </c>
      <c r="N1119" s="21">
        <f>IF(J1119="Yes","",IF(H1119&gt;=I1119,1,0))</f>
        <v/>
      </c>
      <c r="O1119" s="21">
        <f>IF(I1119&lt;=5000000,"Under $5M",IF(I1119&lt;=20000000,"$5M-20M",IF(I1119&lt;=50000000,"$20M-50M",IF(I1119&lt;=100000000,"$50M-100M","$100M+"))))</f>
        <v/>
      </c>
      <c r="P1119" s="21">
        <f>IF(E1119&lt;=90,"90 or less",IF(E1119&lt;=105,"91-105",IF(E1119&lt;=120,"106-120",IF(E1119&lt;=140,"121-140","Over 140"))))</f>
        <v/>
      </c>
      <c r="Q1119" s="28">
        <f>INT(C1119/10)*10</f>
        <v/>
      </c>
    </row>
    <row r="1120">
      <c r="A1120" s="21" t="n">
        <v>1146</v>
      </c>
      <c r="B1120" s="21" t="inlineStr">
        <is>
          <t>The Object of My Affection</t>
        </is>
      </c>
      <c r="C1120" s="21" t="n">
        <v>1998</v>
      </c>
      <c r="D1120" s="21" t="inlineStr">
        <is>
          <t>USA</t>
        </is>
      </c>
      <c r="E1120" s="21" t="n">
        <v>111</v>
      </c>
      <c r="F1120" s="21" t="inlineStr">
        <is>
          <t>English</t>
        </is>
      </c>
      <c r="G1120" s="21" t="inlineStr">
        <is>
          <t>R</t>
        </is>
      </c>
      <c r="H1120" s="22" t="n">
        <v>29106737</v>
      </c>
      <c r="I1120" s="22" t="n">
        <v>15000000</v>
      </c>
      <c r="J1120" s="21">
        <f>IF(OR(H1120="",H1120=25529689.5),"Yes","No")</f>
        <v/>
      </c>
      <c r="K1120" s="21">
        <f>IF(AND(D1120="USA",C1120&gt;=1980,J1120="No"),"Yes","No")</f>
        <v/>
      </c>
      <c r="L1120" s="26">
        <f>IF(J1120="Yes","",H1120-I1120)</f>
        <v/>
      </c>
      <c r="M1120" s="27">
        <f>IF(OR(J1120="Yes",I1120=0),"",H1120/I1120)</f>
        <v/>
      </c>
      <c r="N1120" s="21">
        <f>IF(J1120="Yes","",IF(H1120&gt;=I1120,1,0))</f>
        <v/>
      </c>
      <c r="O1120" s="21">
        <f>IF(I1120&lt;=5000000,"Under $5M",IF(I1120&lt;=20000000,"$5M-20M",IF(I1120&lt;=50000000,"$20M-50M",IF(I1120&lt;=100000000,"$50M-100M","$100M+"))))</f>
        <v/>
      </c>
      <c r="P1120" s="21">
        <f>IF(E1120&lt;=90,"90 or less",IF(E1120&lt;=105,"91-105",IF(E1120&lt;=120,"106-120",IF(E1120&lt;=140,"121-140","Over 140"))))</f>
        <v/>
      </c>
      <c r="Q1120" s="28">
        <f>INT(C1120/10)*10</f>
        <v/>
      </c>
    </row>
    <row r="1121">
      <c r="A1121" s="21" t="n">
        <v>1147</v>
      </c>
      <c r="B1121" s="21" t="inlineStr">
        <is>
          <t>The Players Club</t>
        </is>
      </c>
      <c r="C1121" s="21" t="n">
        <v>1998</v>
      </c>
      <c r="D1121" s="21" t="inlineStr">
        <is>
          <t>USA</t>
        </is>
      </c>
      <c r="E1121" s="21" t="n">
        <v>104</v>
      </c>
      <c r="F1121" s="21" t="inlineStr">
        <is>
          <t>English</t>
        </is>
      </c>
      <c r="G1121" s="21" t="inlineStr">
        <is>
          <t>R</t>
        </is>
      </c>
      <c r="H1121" s="22" t="n">
        <v>23031390</v>
      </c>
      <c r="I1121" s="22" t="n">
        <v>4500000</v>
      </c>
      <c r="J1121" s="21">
        <f>IF(OR(H1121="",H1121=25529689.5),"Yes","No")</f>
        <v/>
      </c>
      <c r="K1121" s="21">
        <f>IF(AND(D1121="USA",C1121&gt;=1980,J1121="No"),"Yes","No")</f>
        <v/>
      </c>
      <c r="L1121" s="26">
        <f>IF(J1121="Yes","",H1121-I1121)</f>
        <v/>
      </c>
      <c r="M1121" s="27">
        <f>IF(OR(J1121="Yes",I1121=0),"",H1121/I1121)</f>
        <v/>
      </c>
      <c r="N1121" s="21">
        <f>IF(J1121="Yes","",IF(H1121&gt;=I1121,1,0))</f>
        <v/>
      </c>
      <c r="O1121" s="21">
        <f>IF(I1121&lt;=5000000,"Under $5M",IF(I1121&lt;=20000000,"$5M-20M",IF(I1121&lt;=50000000,"$20M-50M",IF(I1121&lt;=100000000,"$50M-100M","$100M+"))))</f>
        <v/>
      </c>
      <c r="P1121" s="21">
        <f>IF(E1121&lt;=90,"90 or less",IF(E1121&lt;=105,"91-105",IF(E1121&lt;=120,"106-120",IF(E1121&lt;=140,"121-140","Over 140"))))</f>
        <v/>
      </c>
      <c r="Q1121" s="28">
        <f>INT(C1121/10)*10</f>
        <v/>
      </c>
    </row>
    <row r="1122">
      <c r="A1122" s="21" t="n">
        <v>1148</v>
      </c>
      <c r="B1122" s="21" t="inlineStr">
        <is>
          <t>The Prince of Egypt</t>
        </is>
      </c>
      <c r="C1122" s="21" t="n">
        <v>1998</v>
      </c>
      <c r="D1122" s="21" t="inlineStr">
        <is>
          <t>USA</t>
        </is>
      </c>
      <c r="E1122" s="21" t="n">
        <v>99</v>
      </c>
      <c r="F1122" s="21" t="inlineStr">
        <is>
          <t>English</t>
        </is>
      </c>
      <c r="G1122" s="21" t="inlineStr">
        <is>
          <t>PG</t>
        </is>
      </c>
      <c r="H1122" s="22" t="n">
        <v>101217900</v>
      </c>
      <c r="I1122" s="22" t="n">
        <v>70000000</v>
      </c>
      <c r="J1122" s="21">
        <f>IF(OR(H1122="",H1122=25529689.5),"Yes","No")</f>
        <v/>
      </c>
      <c r="K1122" s="21">
        <f>IF(AND(D1122="USA",C1122&gt;=1980,J1122="No"),"Yes","No")</f>
        <v/>
      </c>
      <c r="L1122" s="26">
        <f>IF(J1122="Yes","",H1122-I1122)</f>
        <v/>
      </c>
      <c r="M1122" s="27">
        <f>IF(OR(J1122="Yes",I1122=0),"",H1122/I1122)</f>
        <v/>
      </c>
      <c r="N1122" s="21">
        <f>IF(J1122="Yes","",IF(H1122&gt;=I1122,1,0))</f>
        <v/>
      </c>
      <c r="O1122" s="21">
        <f>IF(I1122&lt;=5000000,"Under $5M",IF(I1122&lt;=20000000,"$5M-20M",IF(I1122&lt;=50000000,"$20M-50M",IF(I1122&lt;=100000000,"$50M-100M","$100M+"))))</f>
        <v/>
      </c>
      <c r="P1122" s="21">
        <f>IF(E1122&lt;=90,"90 or less",IF(E1122&lt;=105,"91-105",IF(E1122&lt;=120,"106-120",IF(E1122&lt;=140,"121-140","Over 140"))))</f>
        <v/>
      </c>
      <c r="Q1122" s="28">
        <f>INT(C1122/10)*10</f>
        <v/>
      </c>
    </row>
    <row r="1123">
      <c r="A1123" s="21" t="n">
        <v>1149</v>
      </c>
      <c r="B1123" s="21" t="inlineStr">
        <is>
          <t>The Red Violin</t>
        </is>
      </c>
      <c r="C1123" s="21" t="n">
        <v>1998</v>
      </c>
      <c r="D1123" s="21" t="inlineStr">
        <is>
          <t>Canada</t>
        </is>
      </c>
      <c r="E1123" s="21" t="n">
        <v>130</v>
      </c>
      <c r="F1123" s="21" t="inlineStr">
        <is>
          <t>French</t>
        </is>
      </c>
      <c r="G1123" s="21" t="inlineStr">
        <is>
          <t>R</t>
        </is>
      </c>
      <c r="H1123" s="22" t="n">
        <v>9473382</v>
      </c>
      <c r="I1123" s="22" t="n">
        <v>10000000</v>
      </c>
      <c r="J1123" s="21">
        <f>IF(OR(H1123="",H1123=25529689.5),"Yes","No")</f>
        <v/>
      </c>
      <c r="K1123" s="21">
        <f>IF(AND(D1123="USA",C1123&gt;=1980,J1123="No"),"Yes","No")</f>
        <v/>
      </c>
      <c r="L1123" s="26">
        <f>IF(J1123="Yes","",H1123-I1123)</f>
        <v/>
      </c>
      <c r="M1123" s="27">
        <f>IF(OR(J1123="Yes",I1123=0),"",H1123/I1123)</f>
        <v/>
      </c>
      <c r="N1123" s="21">
        <f>IF(J1123="Yes","",IF(H1123&gt;=I1123,1,0))</f>
        <v/>
      </c>
      <c r="O1123" s="21">
        <f>IF(I1123&lt;=5000000,"Under $5M",IF(I1123&lt;=20000000,"$5M-20M",IF(I1123&lt;=50000000,"$20M-50M",IF(I1123&lt;=100000000,"$50M-100M","$100M+"))))</f>
        <v/>
      </c>
      <c r="P1123" s="21">
        <f>IF(E1123&lt;=90,"90 or less",IF(E1123&lt;=105,"91-105",IF(E1123&lt;=120,"106-120",IF(E1123&lt;=140,"121-140","Over 140"))))</f>
        <v/>
      </c>
      <c r="Q1123" s="28">
        <f>INT(C1123/10)*10</f>
        <v/>
      </c>
    </row>
    <row r="1124">
      <c r="A1124" s="21" t="n">
        <v>1150</v>
      </c>
      <c r="B1124" s="21" t="inlineStr">
        <is>
          <t>The Replacement Killers</t>
        </is>
      </c>
      <c r="C1124" s="21" t="n">
        <v>1998</v>
      </c>
      <c r="D1124" s="21" t="inlineStr">
        <is>
          <t>USA</t>
        </is>
      </c>
      <c r="E1124" s="21" t="n">
        <v>96</v>
      </c>
      <c r="F1124" s="21" t="inlineStr">
        <is>
          <t>English</t>
        </is>
      </c>
      <c r="G1124" s="21" t="inlineStr">
        <is>
          <t>R</t>
        </is>
      </c>
      <c r="H1124" s="22" t="n">
        <v>18967571</v>
      </c>
      <c r="I1124" s="22" t="n">
        <v>30000000</v>
      </c>
      <c r="J1124" s="21">
        <f>IF(OR(H1124="",H1124=25529689.5),"Yes","No")</f>
        <v/>
      </c>
      <c r="K1124" s="21">
        <f>IF(AND(D1124="USA",C1124&gt;=1980,J1124="No"),"Yes","No")</f>
        <v/>
      </c>
      <c r="L1124" s="26">
        <f>IF(J1124="Yes","",H1124-I1124)</f>
        <v/>
      </c>
      <c r="M1124" s="27">
        <f>IF(OR(J1124="Yes",I1124=0),"",H1124/I1124)</f>
        <v/>
      </c>
      <c r="N1124" s="21">
        <f>IF(J1124="Yes","",IF(H1124&gt;=I1124,1,0))</f>
        <v/>
      </c>
      <c r="O1124" s="21">
        <f>IF(I1124&lt;=5000000,"Under $5M",IF(I1124&lt;=20000000,"$5M-20M",IF(I1124&lt;=50000000,"$20M-50M",IF(I1124&lt;=100000000,"$50M-100M","$100M+"))))</f>
        <v/>
      </c>
      <c r="P1124" s="21">
        <f>IF(E1124&lt;=90,"90 or less",IF(E1124&lt;=105,"91-105",IF(E1124&lt;=120,"106-120",IF(E1124&lt;=140,"121-140","Over 140"))))</f>
        <v/>
      </c>
      <c r="Q1124" s="28">
        <f>INT(C1124/10)*10</f>
        <v/>
      </c>
    </row>
    <row r="1125">
      <c r="A1125" s="21" t="n">
        <v>1151</v>
      </c>
      <c r="B1125" s="21" t="inlineStr">
        <is>
          <t>The Rugrats Movie</t>
        </is>
      </c>
      <c r="C1125" s="21" t="n">
        <v>1998</v>
      </c>
      <c r="D1125" s="21" t="inlineStr">
        <is>
          <t>USA</t>
        </is>
      </c>
      <c r="E1125" s="21" t="n">
        <v>83</v>
      </c>
      <c r="F1125" s="21" t="inlineStr">
        <is>
          <t>English</t>
        </is>
      </c>
      <c r="G1125" s="21" t="inlineStr">
        <is>
          <t>G</t>
        </is>
      </c>
      <c r="H1125" s="22" t="n">
        <v>100491683</v>
      </c>
      <c r="I1125" s="22" t="n">
        <v>24000000</v>
      </c>
      <c r="J1125" s="21">
        <f>IF(OR(H1125="",H1125=25529689.5),"Yes","No")</f>
        <v/>
      </c>
      <c r="K1125" s="21">
        <f>IF(AND(D1125="USA",C1125&gt;=1980,J1125="No"),"Yes","No")</f>
        <v/>
      </c>
      <c r="L1125" s="26">
        <f>IF(J1125="Yes","",H1125-I1125)</f>
        <v/>
      </c>
      <c r="M1125" s="27">
        <f>IF(OR(J1125="Yes",I1125=0),"",H1125/I1125)</f>
        <v/>
      </c>
      <c r="N1125" s="21">
        <f>IF(J1125="Yes","",IF(H1125&gt;=I1125,1,0))</f>
        <v/>
      </c>
      <c r="O1125" s="21">
        <f>IF(I1125&lt;=5000000,"Under $5M",IF(I1125&lt;=20000000,"$5M-20M",IF(I1125&lt;=50000000,"$20M-50M",IF(I1125&lt;=100000000,"$50M-100M","$100M+"))))</f>
        <v/>
      </c>
      <c r="P1125" s="21">
        <f>IF(E1125&lt;=90,"90 or less",IF(E1125&lt;=105,"91-105",IF(E1125&lt;=120,"106-120",IF(E1125&lt;=140,"121-140","Over 140"))))</f>
        <v/>
      </c>
      <c r="Q1125" s="28">
        <f>INT(C1125/10)*10</f>
        <v/>
      </c>
    </row>
    <row r="1126">
      <c r="A1126" s="21" t="n">
        <v>1152</v>
      </c>
      <c r="B1126" s="21" t="inlineStr">
        <is>
          <t>The Siege</t>
        </is>
      </c>
      <c r="C1126" s="21" t="n">
        <v>1998</v>
      </c>
      <c r="D1126" s="21" t="inlineStr">
        <is>
          <t>USA</t>
        </is>
      </c>
      <c r="E1126" s="21" t="n">
        <v>116</v>
      </c>
      <c r="F1126" s="21" t="inlineStr">
        <is>
          <t>English</t>
        </is>
      </c>
      <c r="G1126" s="21" t="inlineStr">
        <is>
          <t>R</t>
        </is>
      </c>
      <c r="H1126" s="22" t="n">
        <v>40932372</v>
      </c>
      <c r="I1126" s="22" t="n">
        <v>70000000</v>
      </c>
      <c r="J1126" s="21">
        <f>IF(OR(H1126="",H1126=25529689.5),"Yes","No")</f>
        <v/>
      </c>
      <c r="K1126" s="21">
        <f>IF(AND(D1126="USA",C1126&gt;=1980,J1126="No"),"Yes","No")</f>
        <v/>
      </c>
      <c r="L1126" s="26">
        <f>IF(J1126="Yes","",H1126-I1126)</f>
        <v/>
      </c>
      <c r="M1126" s="27">
        <f>IF(OR(J1126="Yes",I1126=0),"",H1126/I1126)</f>
        <v/>
      </c>
      <c r="N1126" s="21">
        <f>IF(J1126="Yes","",IF(H1126&gt;=I1126,1,0))</f>
        <v/>
      </c>
      <c r="O1126" s="21">
        <f>IF(I1126&lt;=5000000,"Under $5M",IF(I1126&lt;=20000000,"$5M-20M",IF(I1126&lt;=50000000,"$20M-50M",IF(I1126&lt;=100000000,"$50M-100M","$100M+"))))</f>
        <v/>
      </c>
      <c r="P1126" s="21">
        <f>IF(E1126&lt;=90,"90 or less",IF(E1126&lt;=105,"91-105",IF(E1126&lt;=120,"106-120",IF(E1126&lt;=140,"121-140","Over 140"))))</f>
        <v/>
      </c>
      <c r="Q1126" s="28">
        <f>INT(C1126/10)*10</f>
        <v/>
      </c>
    </row>
    <row r="1127">
      <c r="A1127" s="21" t="n">
        <v>1153</v>
      </c>
      <c r="B1127" s="21" t="inlineStr">
        <is>
          <t>The Thin Red Line</t>
        </is>
      </c>
      <c r="C1127" s="21" t="n">
        <v>1998</v>
      </c>
      <c r="D1127" s="21" t="inlineStr">
        <is>
          <t>USA</t>
        </is>
      </c>
      <c r="E1127" s="21" t="n">
        <v>215</v>
      </c>
      <c r="F1127" s="21" t="inlineStr">
        <is>
          <t>English</t>
        </is>
      </c>
      <c r="G1127" s="21" t="inlineStr">
        <is>
          <t>R</t>
        </is>
      </c>
      <c r="H1127" s="22" t="n">
        <v>36385763</v>
      </c>
      <c r="I1127" s="22" t="n">
        <v>52000000</v>
      </c>
      <c r="J1127" s="21">
        <f>IF(OR(H1127="",H1127=25529689.5),"Yes","No")</f>
        <v/>
      </c>
      <c r="K1127" s="21">
        <f>IF(AND(D1127="USA",C1127&gt;=1980,J1127="No"),"Yes","No")</f>
        <v/>
      </c>
      <c r="L1127" s="26">
        <f>IF(J1127="Yes","",H1127-I1127)</f>
        <v/>
      </c>
      <c r="M1127" s="27">
        <f>IF(OR(J1127="Yes",I1127=0),"",H1127/I1127)</f>
        <v/>
      </c>
      <c r="N1127" s="21">
        <f>IF(J1127="Yes","",IF(H1127&gt;=I1127,1,0))</f>
        <v/>
      </c>
      <c r="O1127" s="21">
        <f>IF(I1127&lt;=5000000,"Under $5M",IF(I1127&lt;=20000000,"$5M-20M",IF(I1127&lt;=50000000,"$20M-50M",IF(I1127&lt;=100000000,"$50M-100M","$100M+"))))</f>
        <v/>
      </c>
      <c r="P1127" s="21">
        <f>IF(E1127&lt;=90,"90 or less",IF(E1127&lt;=105,"91-105",IF(E1127&lt;=120,"106-120",IF(E1127&lt;=140,"121-140","Over 140"))))</f>
        <v/>
      </c>
      <c r="Q1127" s="28">
        <f>INT(C1127/10)*10</f>
        <v/>
      </c>
    </row>
    <row r="1128">
      <c r="A1128" s="21" t="n">
        <v>1154</v>
      </c>
      <c r="B1128" s="21" t="inlineStr">
        <is>
          <t>The Truman Show</t>
        </is>
      </c>
      <c r="C1128" s="21" t="n">
        <v>1998</v>
      </c>
      <c r="D1128" s="21" t="inlineStr">
        <is>
          <t>USA</t>
        </is>
      </c>
      <c r="E1128" s="21" t="n">
        <v>103</v>
      </c>
      <c r="F1128" s="21" t="inlineStr">
        <is>
          <t>English</t>
        </is>
      </c>
      <c r="G1128" s="21" t="inlineStr">
        <is>
          <t>PG</t>
        </is>
      </c>
      <c r="H1128" s="22" t="n">
        <v>125603360</v>
      </c>
      <c r="I1128" s="22" t="n">
        <v>60000000</v>
      </c>
      <c r="J1128" s="21">
        <f>IF(OR(H1128="",H1128=25529689.5),"Yes","No")</f>
        <v/>
      </c>
      <c r="K1128" s="21">
        <f>IF(AND(D1128="USA",C1128&gt;=1980,J1128="No"),"Yes","No")</f>
        <v/>
      </c>
      <c r="L1128" s="26">
        <f>IF(J1128="Yes","",H1128-I1128)</f>
        <v/>
      </c>
      <c r="M1128" s="27">
        <f>IF(OR(J1128="Yes",I1128=0),"",H1128/I1128)</f>
        <v/>
      </c>
      <c r="N1128" s="21">
        <f>IF(J1128="Yes","",IF(H1128&gt;=I1128,1,0))</f>
        <v/>
      </c>
      <c r="O1128" s="21">
        <f>IF(I1128&lt;=5000000,"Under $5M",IF(I1128&lt;=20000000,"$5M-20M",IF(I1128&lt;=50000000,"$20M-50M",IF(I1128&lt;=100000000,"$50M-100M","$100M+"))))</f>
        <v/>
      </c>
      <c r="P1128" s="21">
        <f>IF(E1128&lt;=90,"90 or less",IF(E1128&lt;=105,"91-105",IF(E1128&lt;=120,"106-120",IF(E1128&lt;=140,"121-140","Over 140"))))</f>
        <v/>
      </c>
      <c r="Q1128" s="28">
        <f>INT(C1128/10)*10</f>
        <v/>
      </c>
    </row>
    <row r="1129">
      <c r="A1129" s="21" t="n">
        <v>1155</v>
      </c>
      <c r="B1129" s="21" t="inlineStr">
        <is>
          <t>The Velocity of Gary</t>
        </is>
      </c>
      <c r="C1129" s="21" t="n">
        <v>1998</v>
      </c>
      <c r="D1129" s="21" t="inlineStr">
        <is>
          <t>USA</t>
        </is>
      </c>
      <c r="E1129" s="21" t="n">
        <v>100</v>
      </c>
      <c r="F1129" s="21" t="inlineStr">
        <is>
          <t>English</t>
        </is>
      </c>
      <c r="G1129" s="21" t="inlineStr">
        <is>
          <t>R</t>
        </is>
      </c>
      <c r="H1129" s="22" t="n">
        <v>25529689.5</v>
      </c>
      <c r="I1129" s="22" t="n">
        <v>4000000</v>
      </c>
      <c r="J1129" s="21">
        <f>IF(OR(H1129="",H1129=25529689.5),"Yes","No")</f>
        <v/>
      </c>
      <c r="K1129" s="21">
        <f>IF(AND(D1129="USA",C1129&gt;=1980,J1129="No"),"Yes","No")</f>
        <v/>
      </c>
      <c r="L1129" s="26">
        <f>IF(J1129="Yes","",H1129-I1129)</f>
        <v/>
      </c>
      <c r="M1129" s="27">
        <f>IF(OR(J1129="Yes",I1129=0),"",H1129/I1129)</f>
        <v/>
      </c>
      <c r="N1129" s="21">
        <f>IF(J1129="Yes","",IF(H1129&gt;=I1129,1,0))</f>
        <v/>
      </c>
      <c r="O1129" s="21">
        <f>IF(I1129&lt;=5000000,"Under $5M",IF(I1129&lt;=20000000,"$5M-20M",IF(I1129&lt;=50000000,"$20M-50M",IF(I1129&lt;=100000000,"$50M-100M","$100M+"))))</f>
        <v/>
      </c>
      <c r="P1129" s="21">
        <f>IF(E1129&lt;=90,"90 or less",IF(E1129&lt;=105,"91-105",IF(E1129&lt;=120,"106-120",IF(E1129&lt;=140,"121-140","Over 140"))))</f>
        <v/>
      </c>
      <c r="Q1129" s="28">
        <f>INT(C1129/10)*10</f>
        <v/>
      </c>
    </row>
    <row r="1130">
      <c r="A1130" s="21" t="n">
        <v>1156</v>
      </c>
      <c r="B1130" s="21" t="inlineStr">
        <is>
          <t>The Waterboy</t>
        </is>
      </c>
      <c r="C1130" s="21" t="n">
        <v>1998</v>
      </c>
      <c r="D1130" s="21" t="inlineStr">
        <is>
          <t>USA</t>
        </is>
      </c>
      <c r="E1130" s="21" t="n">
        <v>90</v>
      </c>
      <c r="F1130" s="21" t="inlineStr">
        <is>
          <t>English</t>
        </is>
      </c>
      <c r="G1130" s="21" t="inlineStr">
        <is>
          <t>PG-13</t>
        </is>
      </c>
      <c r="H1130" s="22" t="n">
        <v>161487252</v>
      </c>
      <c r="I1130" s="22" t="n">
        <v>20000000</v>
      </c>
      <c r="J1130" s="21">
        <f>IF(OR(H1130="",H1130=25529689.5),"Yes","No")</f>
        <v/>
      </c>
      <c r="K1130" s="21">
        <f>IF(AND(D1130="USA",C1130&gt;=1980,J1130="No"),"Yes","No")</f>
        <v/>
      </c>
      <c r="L1130" s="26">
        <f>IF(J1130="Yes","",H1130-I1130)</f>
        <v/>
      </c>
      <c r="M1130" s="27">
        <f>IF(OR(J1130="Yes",I1130=0),"",H1130/I1130)</f>
        <v/>
      </c>
      <c r="N1130" s="21">
        <f>IF(J1130="Yes","",IF(H1130&gt;=I1130,1,0))</f>
        <v/>
      </c>
      <c r="O1130" s="21">
        <f>IF(I1130&lt;=5000000,"Under $5M",IF(I1130&lt;=20000000,"$5M-20M",IF(I1130&lt;=50000000,"$20M-50M",IF(I1130&lt;=100000000,"$50M-100M","$100M+"))))</f>
        <v/>
      </c>
      <c r="P1130" s="21">
        <f>IF(E1130&lt;=90,"90 or less",IF(E1130&lt;=105,"91-105",IF(E1130&lt;=120,"106-120",IF(E1130&lt;=140,"121-140","Over 140"))))</f>
        <v/>
      </c>
      <c r="Q1130" s="28">
        <f>INT(C1130/10)*10</f>
        <v/>
      </c>
    </row>
    <row r="1131">
      <c r="A1131" s="21" t="n">
        <v>1157</v>
      </c>
      <c r="B1131" s="21" t="inlineStr">
        <is>
          <t>The X Files</t>
        </is>
      </c>
      <c r="C1131" s="21" t="n">
        <v>1998</v>
      </c>
      <c r="D1131" s="21" t="inlineStr">
        <is>
          <t>USA</t>
        </is>
      </c>
      <c r="E1131" s="21" t="n">
        <v>121</v>
      </c>
      <c r="F1131" s="21" t="inlineStr">
        <is>
          <t>English</t>
        </is>
      </c>
      <c r="G1131" s="21" t="inlineStr">
        <is>
          <t>PG-13</t>
        </is>
      </c>
      <c r="H1131" s="22" t="n">
        <v>83892374</v>
      </c>
      <c r="I1131" s="22" t="n">
        <v>66000000</v>
      </c>
      <c r="J1131" s="21">
        <f>IF(OR(H1131="",H1131=25529689.5),"Yes","No")</f>
        <v/>
      </c>
      <c r="K1131" s="21">
        <f>IF(AND(D1131="USA",C1131&gt;=1980,J1131="No"),"Yes","No")</f>
        <v/>
      </c>
      <c r="L1131" s="26">
        <f>IF(J1131="Yes","",H1131-I1131)</f>
        <v/>
      </c>
      <c r="M1131" s="27">
        <f>IF(OR(J1131="Yes",I1131=0),"",H1131/I1131)</f>
        <v/>
      </c>
      <c r="N1131" s="21">
        <f>IF(J1131="Yes","",IF(H1131&gt;=I1131,1,0))</f>
        <v/>
      </c>
      <c r="O1131" s="21">
        <f>IF(I1131&lt;=5000000,"Under $5M",IF(I1131&lt;=20000000,"$5M-20M",IF(I1131&lt;=50000000,"$20M-50M",IF(I1131&lt;=100000000,"$50M-100M","$100M+"))))</f>
        <v/>
      </c>
      <c r="P1131" s="21">
        <f>IF(E1131&lt;=90,"90 or less",IF(E1131&lt;=105,"91-105",IF(E1131&lt;=120,"106-120",IF(E1131&lt;=140,"121-140","Over 140"))))</f>
        <v/>
      </c>
      <c r="Q1131" s="28">
        <f>INT(C1131/10)*10</f>
        <v/>
      </c>
    </row>
    <row r="1132">
      <c r="A1132" s="21" t="n">
        <v>1158</v>
      </c>
      <c r="B1132" s="21" t="inlineStr">
        <is>
          <t>There's Something About Mary</t>
        </is>
      </c>
      <c r="C1132" s="21" t="n">
        <v>1998</v>
      </c>
      <c r="D1132" s="21" t="inlineStr">
        <is>
          <t>USA</t>
        </is>
      </c>
      <c r="E1132" s="21" t="n">
        <v>107</v>
      </c>
      <c r="F1132" s="21" t="inlineStr">
        <is>
          <t>English</t>
        </is>
      </c>
      <c r="G1132" s="21" t="inlineStr">
        <is>
          <t>R</t>
        </is>
      </c>
      <c r="H1132" s="22" t="n">
        <v>176483808</v>
      </c>
      <c r="I1132" s="22" t="n">
        <v>23000000</v>
      </c>
      <c r="J1132" s="21">
        <f>IF(OR(H1132="",H1132=25529689.5),"Yes","No")</f>
        <v/>
      </c>
      <c r="K1132" s="21">
        <f>IF(AND(D1132="USA",C1132&gt;=1980,J1132="No"),"Yes","No")</f>
        <v/>
      </c>
      <c r="L1132" s="26">
        <f>IF(J1132="Yes","",H1132-I1132)</f>
        <v/>
      </c>
      <c r="M1132" s="27">
        <f>IF(OR(J1132="Yes",I1132=0),"",H1132/I1132)</f>
        <v/>
      </c>
      <c r="N1132" s="21">
        <f>IF(J1132="Yes","",IF(H1132&gt;=I1132,1,0))</f>
        <v/>
      </c>
      <c r="O1132" s="21">
        <f>IF(I1132&lt;=5000000,"Under $5M",IF(I1132&lt;=20000000,"$5M-20M",IF(I1132&lt;=50000000,"$20M-50M",IF(I1132&lt;=100000000,"$50M-100M","$100M+"))))</f>
        <v/>
      </c>
      <c r="P1132" s="21">
        <f>IF(E1132&lt;=90,"90 or less",IF(E1132&lt;=105,"91-105",IF(E1132&lt;=120,"106-120",IF(E1132&lt;=140,"121-140","Over 140"))))</f>
        <v/>
      </c>
      <c r="Q1132" s="28">
        <f>INT(C1132/10)*10</f>
        <v/>
      </c>
    </row>
    <row r="1133">
      <c r="A1133" s="21" t="n">
        <v>1159</v>
      </c>
      <c r="B1133" s="21" t="inlineStr">
        <is>
          <t>Urban Legend</t>
        </is>
      </c>
      <c r="C1133" s="21" t="n">
        <v>1998</v>
      </c>
      <c r="D1133" s="21" t="inlineStr">
        <is>
          <t>USA</t>
        </is>
      </c>
      <c r="E1133" s="21" t="n">
        <v>99</v>
      </c>
      <c r="F1133" s="21" t="inlineStr">
        <is>
          <t>English</t>
        </is>
      </c>
      <c r="G1133" s="21" t="inlineStr">
        <is>
          <t>R</t>
        </is>
      </c>
      <c r="H1133" s="22" t="n">
        <v>38048637</v>
      </c>
      <c r="I1133" s="22" t="n">
        <v>14000000</v>
      </c>
      <c r="J1133" s="21">
        <f>IF(OR(H1133="",H1133=25529689.5),"Yes","No")</f>
        <v/>
      </c>
      <c r="K1133" s="21">
        <f>IF(AND(D1133="USA",C1133&gt;=1980,J1133="No"),"Yes","No")</f>
        <v/>
      </c>
      <c r="L1133" s="26">
        <f>IF(J1133="Yes","",H1133-I1133)</f>
        <v/>
      </c>
      <c r="M1133" s="27">
        <f>IF(OR(J1133="Yes",I1133=0),"",H1133/I1133)</f>
        <v/>
      </c>
      <c r="N1133" s="21">
        <f>IF(J1133="Yes","",IF(H1133&gt;=I1133,1,0))</f>
        <v/>
      </c>
      <c r="O1133" s="21">
        <f>IF(I1133&lt;=5000000,"Under $5M",IF(I1133&lt;=20000000,"$5M-20M",IF(I1133&lt;=50000000,"$20M-50M",IF(I1133&lt;=100000000,"$50M-100M","$100M+"))))</f>
        <v/>
      </c>
      <c r="P1133" s="21">
        <f>IF(E1133&lt;=90,"90 or less",IF(E1133&lt;=105,"91-105",IF(E1133&lt;=120,"106-120",IF(E1133&lt;=140,"121-140","Over 140"))))</f>
        <v/>
      </c>
      <c r="Q1133" s="28">
        <f>INT(C1133/10)*10</f>
        <v/>
      </c>
    </row>
    <row r="1134">
      <c r="A1134" s="21" t="n">
        <v>1160</v>
      </c>
      <c r="B1134" s="21" t="inlineStr">
        <is>
          <t>Vampires</t>
        </is>
      </c>
      <c r="C1134" s="21" t="n">
        <v>1998</v>
      </c>
      <c r="D1134" s="21" t="inlineStr">
        <is>
          <t>USA</t>
        </is>
      </c>
      <c r="E1134" s="21" t="n">
        <v>104</v>
      </c>
      <c r="F1134" s="21" t="inlineStr">
        <is>
          <t>English</t>
        </is>
      </c>
      <c r="G1134" s="21" t="inlineStr">
        <is>
          <t>R</t>
        </is>
      </c>
      <c r="H1134" s="22" t="n">
        <v>20241395</v>
      </c>
      <c r="I1134" s="22" t="n">
        <v>20000000</v>
      </c>
      <c r="J1134" s="21">
        <f>IF(OR(H1134="",H1134=25529689.5),"Yes","No")</f>
        <v/>
      </c>
      <c r="K1134" s="21">
        <f>IF(AND(D1134="USA",C1134&gt;=1980,J1134="No"),"Yes","No")</f>
        <v/>
      </c>
      <c r="L1134" s="26">
        <f>IF(J1134="Yes","",H1134-I1134)</f>
        <v/>
      </c>
      <c r="M1134" s="27">
        <f>IF(OR(J1134="Yes",I1134=0),"",H1134/I1134)</f>
        <v/>
      </c>
      <c r="N1134" s="21">
        <f>IF(J1134="Yes","",IF(H1134&gt;=I1134,1,0))</f>
        <v/>
      </c>
      <c r="O1134" s="21">
        <f>IF(I1134&lt;=5000000,"Under $5M",IF(I1134&lt;=20000000,"$5M-20M",IF(I1134&lt;=50000000,"$20M-50M",IF(I1134&lt;=100000000,"$50M-100M","$100M+"))))</f>
        <v/>
      </c>
      <c r="P1134" s="21">
        <f>IF(E1134&lt;=90,"90 or less",IF(E1134&lt;=105,"91-105",IF(E1134&lt;=120,"106-120",IF(E1134&lt;=140,"121-140","Over 140"))))</f>
        <v/>
      </c>
      <c r="Q1134" s="28">
        <f>INT(C1134/10)*10</f>
        <v/>
      </c>
    </row>
    <row r="1135">
      <c r="A1135" s="21" t="n">
        <v>1161</v>
      </c>
      <c r="B1135" s="21" t="inlineStr">
        <is>
          <t>Velvet Goldmine</t>
        </is>
      </c>
      <c r="C1135" s="21" t="n">
        <v>1998</v>
      </c>
      <c r="D1135" s="21" t="inlineStr">
        <is>
          <t>UK</t>
        </is>
      </c>
      <c r="E1135" s="21" t="n">
        <v>124</v>
      </c>
      <c r="F1135" s="21" t="inlineStr">
        <is>
          <t>English</t>
        </is>
      </c>
      <c r="G1135" s="21" t="inlineStr">
        <is>
          <t>R</t>
        </is>
      </c>
      <c r="H1135" s="22" t="n">
        <v>1043487</v>
      </c>
      <c r="I1135" s="22" t="n">
        <v>20000000</v>
      </c>
      <c r="J1135" s="21">
        <f>IF(OR(H1135="",H1135=25529689.5),"Yes","No")</f>
        <v/>
      </c>
      <c r="K1135" s="21">
        <f>IF(AND(D1135="USA",C1135&gt;=1980,J1135="No"),"Yes","No")</f>
        <v/>
      </c>
      <c r="L1135" s="26">
        <f>IF(J1135="Yes","",H1135-I1135)</f>
        <v/>
      </c>
      <c r="M1135" s="27">
        <f>IF(OR(J1135="Yes",I1135=0),"",H1135/I1135)</f>
        <v/>
      </c>
      <c r="N1135" s="21">
        <f>IF(J1135="Yes","",IF(H1135&gt;=I1135,1,0))</f>
        <v/>
      </c>
      <c r="O1135" s="21">
        <f>IF(I1135&lt;=5000000,"Under $5M",IF(I1135&lt;=20000000,"$5M-20M",IF(I1135&lt;=50000000,"$20M-50M",IF(I1135&lt;=100000000,"$50M-100M","$100M+"))))</f>
        <v/>
      </c>
      <c r="P1135" s="21">
        <f>IF(E1135&lt;=90,"90 or less",IF(E1135&lt;=105,"91-105",IF(E1135&lt;=120,"106-120",IF(E1135&lt;=140,"121-140","Over 140"))))</f>
        <v/>
      </c>
      <c r="Q1135" s="28">
        <f>INT(C1135/10)*10</f>
        <v/>
      </c>
    </row>
    <row r="1136">
      <c r="A1136" s="21" t="n">
        <v>1162</v>
      </c>
      <c r="B1136" s="21" t="inlineStr">
        <is>
          <t>Very Bad Things</t>
        </is>
      </c>
      <c r="C1136" s="21" t="n">
        <v>1998</v>
      </c>
      <c r="D1136" s="21" t="inlineStr">
        <is>
          <t>USA</t>
        </is>
      </c>
      <c r="E1136" s="21" t="n">
        <v>100</v>
      </c>
      <c r="F1136" s="21" t="inlineStr">
        <is>
          <t>English</t>
        </is>
      </c>
      <c r="G1136" s="21" t="inlineStr">
        <is>
          <t>R</t>
        </is>
      </c>
      <c r="H1136" s="22" t="n">
        <v>9801782</v>
      </c>
      <c r="I1136" s="22" t="n">
        <v>10000000</v>
      </c>
      <c r="J1136" s="21">
        <f>IF(OR(H1136="",H1136=25529689.5),"Yes","No")</f>
        <v/>
      </c>
      <c r="K1136" s="21">
        <f>IF(AND(D1136="USA",C1136&gt;=1980,J1136="No"),"Yes","No")</f>
        <v/>
      </c>
      <c r="L1136" s="26">
        <f>IF(J1136="Yes","",H1136-I1136)</f>
        <v/>
      </c>
      <c r="M1136" s="27">
        <f>IF(OR(J1136="Yes",I1136=0),"",H1136/I1136)</f>
        <v/>
      </c>
      <c r="N1136" s="21">
        <f>IF(J1136="Yes","",IF(H1136&gt;=I1136,1,0))</f>
        <v/>
      </c>
      <c r="O1136" s="21">
        <f>IF(I1136&lt;=5000000,"Under $5M",IF(I1136&lt;=20000000,"$5M-20M",IF(I1136&lt;=50000000,"$20M-50M",IF(I1136&lt;=100000000,"$50M-100M","$100M+"))))</f>
        <v/>
      </c>
      <c r="P1136" s="21">
        <f>IF(E1136&lt;=90,"90 or less",IF(E1136&lt;=105,"91-105",IF(E1136&lt;=120,"106-120",IF(E1136&lt;=140,"121-140","Over 140"))))</f>
        <v/>
      </c>
      <c r="Q1136" s="28">
        <f>INT(C1136/10)*10</f>
        <v/>
      </c>
    </row>
    <row r="1137">
      <c r="A1137" s="21" t="n">
        <v>1163</v>
      </c>
      <c r="B1137" s="21" t="inlineStr">
        <is>
          <t>Waking Ned Devine</t>
        </is>
      </c>
      <c r="C1137" s="21" t="n">
        <v>1998</v>
      </c>
      <c r="D1137" s="21" t="inlineStr">
        <is>
          <t>UK</t>
        </is>
      </c>
      <c r="E1137" s="21" t="n">
        <v>91</v>
      </c>
      <c r="F1137" s="21" t="inlineStr">
        <is>
          <t>English</t>
        </is>
      </c>
      <c r="G1137" s="21" t="inlineStr">
        <is>
          <t>PG</t>
        </is>
      </c>
      <c r="H1137" s="22" t="n">
        <v>24788807</v>
      </c>
      <c r="I1137" s="22" t="n">
        <v>3000000</v>
      </c>
      <c r="J1137" s="21">
        <f>IF(OR(H1137="",H1137=25529689.5),"Yes","No")</f>
        <v/>
      </c>
      <c r="K1137" s="21">
        <f>IF(AND(D1137="USA",C1137&gt;=1980,J1137="No"),"Yes","No")</f>
        <v/>
      </c>
      <c r="L1137" s="26">
        <f>IF(J1137="Yes","",H1137-I1137)</f>
        <v/>
      </c>
      <c r="M1137" s="27">
        <f>IF(OR(J1137="Yes",I1137=0),"",H1137/I1137)</f>
        <v/>
      </c>
      <c r="N1137" s="21">
        <f>IF(J1137="Yes","",IF(H1137&gt;=I1137,1,0))</f>
        <v/>
      </c>
      <c r="O1137" s="21">
        <f>IF(I1137&lt;=5000000,"Under $5M",IF(I1137&lt;=20000000,"$5M-20M",IF(I1137&lt;=50000000,"$20M-50M",IF(I1137&lt;=100000000,"$50M-100M","$100M+"))))</f>
        <v/>
      </c>
      <c r="P1137" s="21">
        <f>IF(E1137&lt;=90,"90 or less",IF(E1137&lt;=105,"91-105",IF(E1137&lt;=120,"106-120",IF(E1137&lt;=140,"121-140","Over 140"))))</f>
        <v/>
      </c>
      <c r="Q1137" s="28">
        <f>INT(C1137/10)*10</f>
        <v/>
      </c>
    </row>
    <row r="1138">
      <c r="A1138" s="21" t="n">
        <v>1164</v>
      </c>
      <c r="B1138" s="21" t="inlineStr">
        <is>
          <t>What Dreams May Come</t>
        </is>
      </c>
      <c r="C1138" s="21" t="n">
        <v>1998</v>
      </c>
      <c r="D1138" s="21" t="inlineStr">
        <is>
          <t>USA</t>
        </is>
      </c>
      <c r="E1138" s="21" t="n">
        <v>113</v>
      </c>
      <c r="F1138" s="21" t="inlineStr">
        <is>
          <t>English</t>
        </is>
      </c>
      <c r="G1138" s="21" t="inlineStr">
        <is>
          <t>PG-13</t>
        </is>
      </c>
      <c r="H1138" s="22" t="n">
        <v>55350897</v>
      </c>
      <c r="I1138" s="22" t="n">
        <v>85000000</v>
      </c>
      <c r="J1138" s="21">
        <f>IF(OR(H1138="",H1138=25529689.5),"Yes","No")</f>
        <v/>
      </c>
      <c r="K1138" s="21">
        <f>IF(AND(D1138="USA",C1138&gt;=1980,J1138="No"),"Yes","No")</f>
        <v/>
      </c>
      <c r="L1138" s="26">
        <f>IF(J1138="Yes","",H1138-I1138)</f>
        <v/>
      </c>
      <c r="M1138" s="27">
        <f>IF(OR(J1138="Yes",I1138=0),"",H1138/I1138)</f>
        <v/>
      </c>
      <c r="N1138" s="21">
        <f>IF(J1138="Yes","",IF(H1138&gt;=I1138,1,0))</f>
        <v/>
      </c>
      <c r="O1138" s="21">
        <f>IF(I1138&lt;=5000000,"Under $5M",IF(I1138&lt;=20000000,"$5M-20M",IF(I1138&lt;=50000000,"$20M-50M",IF(I1138&lt;=100000000,"$50M-100M","$100M+"))))</f>
        <v/>
      </c>
      <c r="P1138" s="21">
        <f>IF(E1138&lt;=90,"90 or less",IF(E1138&lt;=105,"91-105",IF(E1138&lt;=120,"106-120",IF(E1138&lt;=140,"121-140","Over 140"))))</f>
        <v/>
      </c>
      <c r="Q1138" s="28">
        <f>INT(C1138/10)*10</f>
        <v/>
      </c>
    </row>
    <row r="1139">
      <c r="A1139" s="21" t="n">
        <v>1165</v>
      </c>
      <c r="B1139" s="21" t="inlineStr">
        <is>
          <t>Wild Things</t>
        </is>
      </c>
      <c r="C1139" s="21" t="n">
        <v>1998</v>
      </c>
      <c r="D1139" s="21" t="inlineStr">
        <is>
          <t>USA</t>
        </is>
      </c>
      <c r="E1139" s="21" t="n">
        <v>115</v>
      </c>
      <c r="F1139" s="21" t="inlineStr">
        <is>
          <t>English</t>
        </is>
      </c>
      <c r="G1139" s="21" t="inlineStr">
        <is>
          <t>R</t>
        </is>
      </c>
      <c r="H1139" s="22" t="n">
        <v>29753944</v>
      </c>
      <c r="I1139" s="22" t="n">
        <v>20000000</v>
      </c>
      <c r="J1139" s="21">
        <f>IF(OR(H1139="",H1139=25529689.5),"Yes","No")</f>
        <v/>
      </c>
      <c r="K1139" s="21">
        <f>IF(AND(D1139="USA",C1139&gt;=1980,J1139="No"),"Yes","No")</f>
        <v/>
      </c>
      <c r="L1139" s="26">
        <f>IF(J1139="Yes","",H1139-I1139)</f>
        <v/>
      </c>
      <c r="M1139" s="27">
        <f>IF(OR(J1139="Yes",I1139=0),"",H1139/I1139)</f>
        <v/>
      </c>
      <c r="N1139" s="21">
        <f>IF(J1139="Yes","",IF(H1139&gt;=I1139,1,0))</f>
        <v/>
      </c>
      <c r="O1139" s="21">
        <f>IF(I1139&lt;=5000000,"Under $5M",IF(I1139&lt;=20000000,"$5M-20M",IF(I1139&lt;=50000000,"$20M-50M",IF(I1139&lt;=100000000,"$50M-100M","$100M+"))))</f>
        <v/>
      </c>
      <c r="P1139" s="21">
        <f>IF(E1139&lt;=90,"90 or less",IF(E1139&lt;=105,"91-105",IF(E1139&lt;=120,"106-120",IF(E1139&lt;=140,"121-140","Over 140"))))</f>
        <v/>
      </c>
      <c r="Q1139" s="28">
        <f>INT(C1139/10)*10</f>
        <v/>
      </c>
    </row>
    <row r="1140">
      <c r="A1140" s="21" t="n">
        <v>1166</v>
      </c>
      <c r="B1140" s="21" t="inlineStr">
        <is>
          <t>Without Limits</t>
        </is>
      </c>
      <c r="C1140" s="21" t="n">
        <v>1998</v>
      </c>
      <c r="D1140" s="21" t="inlineStr">
        <is>
          <t>USA</t>
        </is>
      </c>
      <c r="E1140" s="21" t="n">
        <v>117</v>
      </c>
      <c r="F1140" s="21" t="inlineStr">
        <is>
          <t>English</t>
        </is>
      </c>
      <c r="G1140" s="21" t="inlineStr">
        <is>
          <t>PG-13</t>
        </is>
      </c>
      <c r="H1140" s="22" t="n">
        <v>777423</v>
      </c>
      <c r="I1140" s="22" t="n">
        <v>25000000</v>
      </c>
      <c r="J1140" s="21">
        <f>IF(OR(H1140="",H1140=25529689.5),"Yes","No")</f>
        <v/>
      </c>
      <c r="K1140" s="21">
        <f>IF(AND(D1140="USA",C1140&gt;=1980,J1140="No"),"Yes","No")</f>
        <v/>
      </c>
      <c r="L1140" s="26">
        <f>IF(J1140="Yes","",H1140-I1140)</f>
        <v/>
      </c>
      <c r="M1140" s="27">
        <f>IF(OR(J1140="Yes",I1140=0),"",H1140/I1140)</f>
        <v/>
      </c>
      <c r="N1140" s="21">
        <f>IF(J1140="Yes","",IF(H1140&gt;=I1140,1,0))</f>
        <v/>
      </c>
      <c r="O1140" s="21">
        <f>IF(I1140&lt;=5000000,"Under $5M",IF(I1140&lt;=20000000,"$5M-20M",IF(I1140&lt;=50000000,"$20M-50M",IF(I1140&lt;=100000000,"$50M-100M","$100M+"))))</f>
        <v/>
      </c>
      <c r="P1140" s="21">
        <f>IF(E1140&lt;=90,"90 or less",IF(E1140&lt;=105,"91-105",IF(E1140&lt;=120,"106-120",IF(E1140&lt;=140,"121-140","Over 140"))))</f>
        <v/>
      </c>
      <c r="Q1140" s="28">
        <f>INT(C1140/10)*10</f>
        <v/>
      </c>
    </row>
    <row r="1141">
      <c r="A1141" s="21" t="n">
        <v>1167</v>
      </c>
      <c r="B1141" s="21" t="inlineStr">
        <is>
          <t>Woo</t>
        </is>
      </c>
      <c r="C1141" s="21" t="n">
        <v>1998</v>
      </c>
      <c r="D1141" s="21" t="inlineStr">
        <is>
          <t>USA</t>
        </is>
      </c>
      <c r="E1141" s="21" t="n">
        <v>84</v>
      </c>
      <c r="F1141" s="21" t="inlineStr">
        <is>
          <t>English</t>
        </is>
      </c>
      <c r="G1141" s="21" t="inlineStr">
        <is>
          <t>R</t>
        </is>
      </c>
      <c r="H1141" s="22" t="n">
        <v>8026971</v>
      </c>
      <c r="I1141" s="22" t="n">
        <v>13000000</v>
      </c>
      <c r="J1141" s="21">
        <f>IF(OR(H1141="",H1141=25529689.5),"Yes","No")</f>
        <v/>
      </c>
      <c r="K1141" s="21">
        <f>IF(AND(D1141="USA",C1141&gt;=1980,J1141="No"),"Yes","No")</f>
        <v/>
      </c>
      <c r="L1141" s="26">
        <f>IF(J1141="Yes","",H1141-I1141)</f>
        <v/>
      </c>
      <c r="M1141" s="27">
        <f>IF(OR(J1141="Yes",I1141=0),"",H1141/I1141)</f>
        <v/>
      </c>
      <c r="N1141" s="21">
        <f>IF(J1141="Yes","",IF(H1141&gt;=I1141,1,0))</f>
        <v/>
      </c>
      <c r="O1141" s="21">
        <f>IF(I1141&lt;=5000000,"Under $5M",IF(I1141&lt;=20000000,"$5M-20M",IF(I1141&lt;=50000000,"$20M-50M",IF(I1141&lt;=100000000,"$50M-100M","$100M+"))))</f>
        <v/>
      </c>
      <c r="P1141" s="21">
        <f>IF(E1141&lt;=90,"90 or less",IF(E1141&lt;=105,"91-105",IF(E1141&lt;=120,"106-120",IF(E1141&lt;=140,"121-140","Over 140"))))</f>
        <v/>
      </c>
      <c r="Q1141" s="28">
        <f>INT(C1141/10)*10</f>
        <v/>
      </c>
    </row>
    <row r="1142">
      <c r="A1142" s="21" t="n">
        <v>1168</v>
      </c>
      <c r="B1142" s="21" t="inlineStr">
        <is>
          <t>You've Got Mail</t>
        </is>
      </c>
      <c r="C1142" s="21" t="n">
        <v>1998</v>
      </c>
      <c r="D1142" s="21" t="inlineStr">
        <is>
          <t>USA</t>
        </is>
      </c>
      <c r="E1142" s="21" t="n">
        <v>119</v>
      </c>
      <c r="F1142" s="21" t="inlineStr">
        <is>
          <t>English</t>
        </is>
      </c>
      <c r="G1142" s="21" t="inlineStr">
        <is>
          <t>PG</t>
        </is>
      </c>
      <c r="H1142" s="22" t="n">
        <v>115731542</v>
      </c>
      <c r="I1142" s="22" t="n">
        <v>65000000</v>
      </c>
      <c r="J1142" s="21">
        <f>IF(OR(H1142="",H1142=25529689.5),"Yes","No")</f>
        <v/>
      </c>
      <c r="K1142" s="21">
        <f>IF(AND(D1142="USA",C1142&gt;=1980,J1142="No"),"Yes","No")</f>
        <v/>
      </c>
      <c r="L1142" s="26">
        <f>IF(J1142="Yes","",H1142-I1142)</f>
        <v/>
      </c>
      <c r="M1142" s="27">
        <f>IF(OR(J1142="Yes",I1142=0),"",H1142/I1142)</f>
        <v/>
      </c>
      <c r="N1142" s="21">
        <f>IF(J1142="Yes","",IF(H1142&gt;=I1142,1,0))</f>
        <v/>
      </c>
      <c r="O1142" s="21">
        <f>IF(I1142&lt;=5000000,"Under $5M",IF(I1142&lt;=20000000,"$5M-20M",IF(I1142&lt;=50000000,"$20M-50M",IF(I1142&lt;=100000000,"$50M-100M","$100M+"))))</f>
        <v/>
      </c>
      <c r="P1142" s="21">
        <f>IF(E1142&lt;=90,"90 or less",IF(E1142&lt;=105,"91-105",IF(E1142&lt;=120,"106-120",IF(E1142&lt;=140,"121-140","Over 140"))))</f>
        <v/>
      </c>
      <c r="Q1142" s="28">
        <f>INT(C1142/10)*10</f>
        <v/>
      </c>
    </row>
    <row r="1143">
      <c r="A1143" s="21" t="n">
        <v>1169</v>
      </c>
      <c r="B1143" s="21" t="inlineStr">
        <is>
          <t>Zero Effect</t>
        </is>
      </c>
      <c r="C1143" s="21" t="n">
        <v>1998</v>
      </c>
      <c r="D1143" s="21" t="inlineStr">
        <is>
          <t>USA</t>
        </is>
      </c>
      <c r="E1143" s="21" t="n">
        <v>116</v>
      </c>
      <c r="F1143" s="21" t="inlineStr">
        <is>
          <t>English</t>
        </is>
      </c>
      <c r="G1143" s="21" t="inlineStr">
        <is>
          <t>R</t>
        </is>
      </c>
      <c r="H1143" s="22" t="n">
        <v>1980338</v>
      </c>
      <c r="I1143" s="22" t="n">
        <v>5000000</v>
      </c>
      <c r="J1143" s="21">
        <f>IF(OR(H1143="",H1143=25529689.5),"Yes","No")</f>
        <v/>
      </c>
      <c r="K1143" s="21">
        <f>IF(AND(D1143="USA",C1143&gt;=1980,J1143="No"),"Yes","No")</f>
        <v/>
      </c>
      <c r="L1143" s="26">
        <f>IF(J1143="Yes","",H1143-I1143)</f>
        <v/>
      </c>
      <c r="M1143" s="27">
        <f>IF(OR(J1143="Yes",I1143=0),"",H1143/I1143)</f>
        <v/>
      </c>
      <c r="N1143" s="21">
        <f>IF(J1143="Yes","",IF(H1143&gt;=I1143,1,0))</f>
        <v/>
      </c>
      <c r="O1143" s="21">
        <f>IF(I1143&lt;=5000000,"Under $5M",IF(I1143&lt;=20000000,"$5M-20M",IF(I1143&lt;=50000000,"$20M-50M",IF(I1143&lt;=100000000,"$50M-100M","$100M+"))))</f>
        <v/>
      </c>
      <c r="P1143" s="21">
        <f>IF(E1143&lt;=90,"90 or less",IF(E1143&lt;=105,"91-105",IF(E1143&lt;=120,"106-120",IF(E1143&lt;=140,"121-140","Over 140"))))</f>
        <v/>
      </c>
      <c r="Q1143" s="28">
        <f>INT(C1143/10)*10</f>
        <v/>
      </c>
    </row>
    <row r="1144">
      <c r="A1144" s="21" t="n">
        <v>1170</v>
      </c>
      <c r="B1144" s="21" t="inlineStr">
        <is>
          <t>10 Things I Hate About You</t>
        </is>
      </c>
      <c r="C1144" s="21" t="n">
        <v>1999</v>
      </c>
      <c r="D1144" s="21" t="inlineStr">
        <is>
          <t>USA</t>
        </is>
      </c>
      <c r="E1144" s="21" t="n">
        <v>97</v>
      </c>
      <c r="F1144" s="21" t="inlineStr">
        <is>
          <t>English</t>
        </is>
      </c>
      <c r="G1144" s="21" t="inlineStr">
        <is>
          <t>PG-13</t>
        </is>
      </c>
      <c r="H1144" s="22" t="n">
        <v>38176108</v>
      </c>
      <c r="I1144" s="22" t="n">
        <v>16000000</v>
      </c>
      <c r="J1144" s="21">
        <f>IF(OR(H1144="",H1144=25529689.5),"Yes","No")</f>
        <v/>
      </c>
      <c r="K1144" s="21">
        <f>IF(AND(D1144="USA",C1144&gt;=1980,J1144="No"),"Yes","No")</f>
        <v/>
      </c>
      <c r="L1144" s="26">
        <f>IF(J1144="Yes","",H1144-I1144)</f>
        <v/>
      </c>
      <c r="M1144" s="27">
        <f>IF(OR(J1144="Yes",I1144=0),"",H1144/I1144)</f>
        <v/>
      </c>
      <c r="N1144" s="21">
        <f>IF(J1144="Yes","",IF(H1144&gt;=I1144,1,0))</f>
        <v/>
      </c>
      <c r="O1144" s="21">
        <f>IF(I1144&lt;=5000000,"Under $5M",IF(I1144&lt;=20000000,"$5M-20M",IF(I1144&lt;=50000000,"$20M-50M",IF(I1144&lt;=100000000,"$50M-100M","$100M+"))))</f>
        <v/>
      </c>
      <c r="P1144" s="21">
        <f>IF(E1144&lt;=90,"90 or less",IF(E1144&lt;=105,"91-105",IF(E1144&lt;=120,"106-120",IF(E1144&lt;=140,"121-140","Over 140"))))</f>
        <v/>
      </c>
      <c r="Q1144" s="28">
        <f>INT(C1144/10)*10</f>
        <v/>
      </c>
    </row>
    <row r="1145">
      <c r="A1145" s="21" t="n">
        <v>1171</v>
      </c>
      <c r="B1145" s="21" t="inlineStr">
        <is>
          <t>200 Cigarettes</t>
        </is>
      </c>
      <c r="C1145" s="21" t="n">
        <v>1999</v>
      </c>
      <c r="D1145" s="21" t="inlineStr">
        <is>
          <t>USA</t>
        </is>
      </c>
      <c r="E1145" s="21" t="n">
        <v>101</v>
      </c>
      <c r="F1145" s="21" t="inlineStr">
        <is>
          <t>English</t>
        </is>
      </c>
      <c r="G1145" s="21" t="inlineStr">
        <is>
          <t>R</t>
        </is>
      </c>
      <c r="H1145" s="22" t="n">
        <v>6851636</v>
      </c>
      <c r="I1145" s="22" t="n">
        <v>6000000</v>
      </c>
      <c r="J1145" s="21">
        <f>IF(OR(H1145="",H1145=25529689.5),"Yes","No")</f>
        <v/>
      </c>
      <c r="K1145" s="21">
        <f>IF(AND(D1145="USA",C1145&gt;=1980,J1145="No"),"Yes","No")</f>
        <v/>
      </c>
      <c r="L1145" s="26">
        <f>IF(J1145="Yes","",H1145-I1145)</f>
        <v/>
      </c>
      <c r="M1145" s="27">
        <f>IF(OR(J1145="Yes",I1145=0),"",H1145/I1145)</f>
        <v/>
      </c>
      <c r="N1145" s="21">
        <f>IF(J1145="Yes","",IF(H1145&gt;=I1145,1,0))</f>
        <v/>
      </c>
      <c r="O1145" s="21">
        <f>IF(I1145&lt;=5000000,"Under $5M",IF(I1145&lt;=20000000,"$5M-20M",IF(I1145&lt;=50000000,"$20M-50M",IF(I1145&lt;=100000000,"$50M-100M","$100M+"))))</f>
        <v/>
      </c>
      <c r="P1145" s="21">
        <f>IF(E1145&lt;=90,"90 or less",IF(E1145&lt;=105,"91-105",IF(E1145&lt;=120,"106-120",IF(E1145&lt;=140,"121-140","Over 140"))))</f>
        <v/>
      </c>
      <c r="Q1145" s="28">
        <f>INT(C1145/10)*10</f>
        <v/>
      </c>
    </row>
    <row r="1146">
      <c r="A1146" s="21" t="n">
        <v>1172</v>
      </c>
      <c r="B1146" s="21" t="inlineStr">
        <is>
          <t>8MM</t>
        </is>
      </c>
      <c r="C1146" s="21" t="n">
        <v>1999</v>
      </c>
      <c r="D1146" s="21" t="inlineStr">
        <is>
          <t>Germany</t>
        </is>
      </c>
      <c r="E1146" s="21" t="n">
        <v>123</v>
      </c>
      <c r="F1146" s="21" t="inlineStr">
        <is>
          <t>English</t>
        </is>
      </c>
      <c r="G1146" s="21" t="inlineStr">
        <is>
          <t>R</t>
        </is>
      </c>
      <c r="H1146" s="22" t="n">
        <v>36283504</v>
      </c>
      <c r="I1146" s="22" t="n">
        <v>40000000</v>
      </c>
      <c r="J1146" s="21">
        <f>IF(OR(H1146="",H1146=25529689.5),"Yes","No")</f>
        <v/>
      </c>
      <c r="K1146" s="21">
        <f>IF(AND(D1146="USA",C1146&gt;=1980,J1146="No"),"Yes","No")</f>
        <v/>
      </c>
      <c r="L1146" s="26">
        <f>IF(J1146="Yes","",H1146-I1146)</f>
        <v/>
      </c>
      <c r="M1146" s="27">
        <f>IF(OR(J1146="Yes",I1146=0),"",H1146/I1146)</f>
        <v/>
      </c>
      <c r="N1146" s="21">
        <f>IF(J1146="Yes","",IF(H1146&gt;=I1146,1,0))</f>
        <v/>
      </c>
      <c r="O1146" s="21">
        <f>IF(I1146&lt;=5000000,"Under $5M",IF(I1146&lt;=20000000,"$5M-20M",IF(I1146&lt;=50000000,"$20M-50M",IF(I1146&lt;=100000000,"$50M-100M","$100M+"))))</f>
        <v/>
      </c>
      <c r="P1146" s="21">
        <f>IF(E1146&lt;=90,"90 or less",IF(E1146&lt;=105,"91-105",IF(E1146&lt;=120,"106-120",IF(E1146&lt;=140,"121-140","Over 140"))))</f>
        <v/>
      </c>
      <c r="Q1146" s="28">
        <f>INT(C1146/10)*10</f>
        <v/>
      </c>
    </row>
    <row r="1147">
      <c r="A1147" s="21" t="n">
        <v>1173</v>
      </c>
      <c r="B1147" s="21" t="inlineStr">
        <is>
          <t>A Dog of Flanders</t>
        </is>
      </c>
      <c r="C1147" s="21" t="n">
        <v>1999</v>
      </c>
      <c r="D1147" s="21" t="inlineStr">
        <is>
          <t>USA</t>
        </is>
      </c>
      <c r="E1147" s="21" t="n">
        <v>100</v>
      </c>
      <c r="F1147" s="21" t="inlineStr">
        <is>
          <t>English</t>
        </is>
      </c>
      <c r="G1147" s="21" t="inlineStr">
        <is>
          <t>PG</t>
        </is>
      </c>
      <c r="H1147" s="22" t="n">
        <v>2148212</v>
      </c>
      <c r="I1147" s="22" t="n">
        <v>7000000</v>
      </c>
      <c r="J1147" s="21">
        <f>IF(OR(H1147="",H1147=25529689.5),"Yes","No")</f>
        <v/>
      </c>
      <c r="K1147" s="21">
        <f>IF(AND(D1147="USA",C1147&gt;=1980,J1147="No"),"Yes","No")</f>
        <v/>
      </c>
      <c r="L1147" s="26">
        <f>IF(J1147="Yes","",H1147-I1147)</f>
        <v/>
      </c>
      <c r="M1147" s="27">
        <f>IF(OR(J1147="Yes",I1147=0),"",H1147/I1147)</f>
        <v/>
      </c>
      <c r="N1147" s="21">
        <f>IF(J1147="Yes","",IF(H1147&gt;=I1147,1,0))</f>
        <v/>
      </c>
      <c r="O1147" s="21">
        <f>IF(I1147&lt;=5000000,"Under $5M",IF(I1147&lt;=20000000,"$5M-20M",IF(I1147&lt;=50000000,"$20M-50M",IF(I1147&lt;=100000000,"$50M-100M","$100M+"))))</f>
        <v/>
      </c>
      <c r="P1147" s="21">
        <f>IF(E1147&lt;=90,"90 or less",IF(E1147&lt;=105,"91-105",IF(E1147&lt;=120,"106-120",IF(E1147&lt;=140,"121-140","Over 140"))))</f>
        <v/>
      </c>
      <c r="Q1147" s="28">
        <f>INT(C1147/10)*10</f>
        <v/>
      </c>
    </row>
    <row r="1148">
      <c r="A1148" s="21" t="n">
        <v>1174</v>
      </c>
      <c r="B1148" s="21" t="inlineStr">
        <is>
          <t>A Room for Romeo Brass</t>
        </is>
      </c>
      <c r="C1148" s="21" t="n">
        <v>1999</v>
      </c>
      <c r="D1148" s="21" t="inlineStr">
        <is>
          <t>UK</t>
        </is>
      </c>
      <c r="E1148" s="21" t="n">
        <v>90</v>
      </c>
      <c r="F1148" s="21" t="inlineStr">
        <is>
          <t>English</t>
        </is>
      </c>
      <c r="G1148" s="21" t="inlineStr">
        <is>
          <t>R</t>
        </is>
      </c>
      <c r="H1148" s="22" t="n">
        <v>18434</v>
      </c>
      <c r="I1148" s="22" t="n">
        <v>20000000</v>
      </c>
      <c r="J1148" s="21">
        <f>IF(OR(H1148="",H1148=25529689.5),"Yes","No")</f>
        <v/>
      </c>
      <c r="K1148" s="21">
        <f>IF(AND(D1148="USA",C1148&gt;=1980,J1148="No"),"Yes","No")</f>
        <v/>
      </c>
      <c r="L1148" s="26">
        <f>IF(J1148="Yes","",H1148-I1148)</f>
        <v/>
      </c>
      <c r="M1148" s="27">
        <f>IF(OR(J1148="Yes",I1148=0),"",H1148/I1148)</f>
        <v/>
      </c>
      <c r="N1148" s="21">
        <f>IF(J1148="Yes","",IF(H1148&gt;=I1148,1,0))</f>
        <v/>
      </c>
      <c r="O1148" s="21">
        <f>IF(I1148&lt;=5000000,"Under $5M",IF(I1148&lt;=20000000,"$5M-20M",IF(I1148&lt;=50000000,"$20M-50M",IF(I1148&lt;=100000000,"$50M-100M","$100M+"))))</f>
        <v/>
      </c>
      <c r="P1148" s="21">
        <f>IF(E1148&lt;=90,"90 or less",IF(E1148&lt;=105,"91-105",IF(E1148&lt;=120,"106-120",IF(E1148&lt;=140,"121-140","Over 140"))))</f>
        <v/>
      </c>
      <c r="Q1148" s="28">
        <f>INT(C1148/10)*10</f>
        <v/>
      </c>
    </row>
    <row r="1149">
      <c r="A1149" s="21" t="n">
        <v>1175</v>
      </c>
      <c r="B1149" s="21" t="inlineStr">
        <is>
          <t>A Walk on the Moon</t>
        </is>
      </c>
      <c r="C1149" s="21" t="n">
        <v>1999</v>
      </c>
      <c r="D1149" s="21" t="inlineStr">
        <is>
          <t>USA</t>
        </is>
      </c>
      <c r="E1149" s="21" t="n">
        <v>107</v>
      </c>
      <c r="F1149" s="21" t="inlineStr">
        <is>
          <t>English</t>
        </is>
      </c>
      <c r="G1149" s="21" t="inlineStr">
        <is>
          <t>R</t>
        </is>
      </c>
      <c r="H1149" s="22" t="n">
        <v>4741987</v>
      </c>
      <c r="I1149" s="22" t="n">
        <v>14000000</v>
      </c>
      <c r="J1149" s="21">
        <f>IF(OR(H1149="",H1149=25529689.5),"Yes","No")</f>
        <v/>
      </c>
      <c r="K1149" s="21">
        <f>IF(AND(D1149="USA",C1149&gt;=1980,J1149="No"),"Yes","No")</f>
        <v/>
      </c>
      <c r="L1149" s="26">
        <f>IF(J1149="Yes","",H1149-I1149)</f>
        <v/>
      </c>
      <c r="M1149" s="27">
        <f>IF(OR(J1149="Yes",I1149=0),"",H1149/I1149)</f>
        <v/>
      </c>
      <c r="N1149" s="21">
        <f>IF(J1149="Yes","",IF(H1149&gt;=I1149,1,0))</f>
        <v/>
      </c>
      <c r="O1149" s="21">
        <f>IF(I1149&lt;=5000000,"Under $5M",IF(I1149&lt;=20000000,"$5M-20M",IF(I1149&lt;=50000000,"$20M-50M",IF(I1149&lt;=100000000,"$50M-100M","$100M+"))))</f>
        <v/>
      </c>
      <c r="P1149" s="21">
        <f>IF(E1149&lt;=90,"90 or less",IF(E1149&lt;=105,"91-105",IF(E1149&lt;=120,"106-120",IF(E1149&lt;=140,"121-140","Over 140"))))</f>
        <v/>
      </c>
      <c r="Q1149" s="28">
        <f>INT(C1149/10)*10</f>
        <v/>
      </c>
    </row>
    <row r="1150">
      <c r="A1150" s="21" t="n">
        <v>1176</v>
      </c>
      <c r="B1150" s="21" t="inlineStr">
        <is>
          <t>Aimee &amp; Jaguar</t>
        </is>
      </c>
      <c r="C1150" s="21" t="n">
        <v>1999</v>
      </c>
      <c r="D1150" s="21" t="inlineStr">
        <is>
          <t>Germany</t>
        </is>
      </c>
      <c r="E1150" s="21" t="n">
        <v>125</v>
      </c>
      <c r="F1150" s="21" t="inlineStr">
        <is>
          <t>German</t>
        </is>
      </c>
      <c r="G1150" s="21" t="n"/>
      <c r="H1150" s="22" t="n">
        <v>927107</v>
      </c>
      <c r="I1150" s="22" t="n">
        <v>15000000</v>
      </c>
      <c r="J1150" s="21">
        <f>IF(OR(H1150="",H1150=25529689.5),"Yes","No")</f>
        <v/>
      </c>
      <c r="K1150" s="21">
        <f>IF(AND(D1150="USA",C1150&gt;=1980,J1150="No"),"Yes","No")</f>
        <v/>
      </c>
      <c r="L1150" s="26">
        <f>IF(J1150="Yes","",H1150-I1150)</f>
        <v/>
      </c>
      <c r="M1150" s="27">
        <f>IF(OR(J1150="Yes",I1150=0),"",H1150/I1150)</f>
        <v/>
      </c>
      <c r="N1150" s="21">
        <f>IF(J1150="Yes","",IF(H1150&gt;=I1150,1,0))</f>
        <v/>
      </c>
      <c r="O1150" s="21">
        <f>IF(I1150&lt;=5000000,"Under $5M",IF(I1150&lt;=20000000,"$5M-20M",IF(I1150&lt;=50000000,"$20M-50M",IF(I1150&lt;=100000000,"$50M-100M","$100M+"))))</f>
        <v/>
      </c>
      <c r="P1150" s="21">
        <f>IF(E1150&lt;=90,"90 or less",IF(E1150&lt;=105,"91-105",IF(E1150&lt;=120,"106-120",IF(E1150&lt;=140,"121-140","Over 140"))))</f>
        <v/>
      </c>
      <c r="Q1150" s="28">
        <f>INT(C1150/10)*10</f>
        <v/>
      </c>
    </row>
    <row r="1151">
      <c r="A1151" s="21" t="n">
        <v>1177</v>
      </c>
      <c r="B1151" s="21" t="inlineStr">
        <is>
          <t>American Beauty</t>
        </is>
      </c>
      <c r="C1151" s="21" t="n">
        <v>1999</v>
      </c>
      <c r="D1151" s="21" t="inlineStr">
        <is>
          <t>USA</t>
        </is>
      </c>
      <c r="E1151" s="21" t="n">
        <v>122</v>
      </c>
      <c r="F1151" s="21" t="inlineStr">
        <is>
          <t>English</t>
        </is>
      </c>
      <c r="G1151" s="21" t="inlineStr">
        <is>
          <t>R</t>
        </is>
      </c>
      <c r="H1151" s="22" t="n">
        <v>130058047</v>
      </c>
      <c r="I1151" s="22" t="n">
        <v>15000000</v>
      </c>
      <c r="J1151" s="21">
        <f>IF(OR(H1151="",H1151=25529689.5),"Yes","No")</f>
        <v/>
      </c>
      <c r="K1151" s="21">
        <f>IF(AND(D1151="USA",C1151&gt;=1980,J1151="No"),"Yes","No")</f>
        <v/>
      </c>
      <c r="L1151" s="26">
        <f>IF(J1151="Yes","",H1151-I1151)</f>
        <v/>
      </c>
      <c r="M1151" s="27">
        <f>IF(OR(J1151="Yes",I1151=0),"",H1151/I1151)</f>
        <v/>
      </c>
      <c r="N1151" s="21">
        <f>IF(J1151="Yes","",IF(H1151&gt;=I1151,1,0))</f>
        <v/>
      </c>
      <c r="O1151" s="21">
        <f>IF(I1151&lt;=5000000,"Under $5M",IF(I1151&lt;=20000000,"$5M-20M",IF(I1151&lt;=50000000,"$20M-50M",IF(I1151&lt;=100000000,"$50M-100M","$100M+"))))</f>
        <v/>
      </c>
      <c r="P1151" s="21">
        <f>IF(E1151&lt;=90,"90 or less",IF(E1151&lt;=105,"91-105",IF(E1151&lt;=120,"106-120",IF(E1151&lt;=140,"121-140","Over 140"))))</f>
        <v/>
      </c>
      <c r="Q1151" s="28">
        <f>INT(C1151/10)*10</f>
        <v/>
      </c>
    </row>
    <row r="1152">
      <c r="A1152" s="21" t="n">
        <v>1178</v>
      </c>
      <c r="B1152" s="21" t="inlineStr">
        <is>
          <t>American Pie</t>
        </is>
      </c>
      <c r="C1152" s="21" t="n">
        <v>1999</v>
      </c>
      <c r="D1152" s="21" t="inlineStr">
        <is>
          <t>USA</t>
        </is>
      </c>
      <c r="E1152" s="21" t="n">
        <v>95</v>
      </c>
      <c r="F1152" s="21" t="inlineStr">
        <is>
          <t>English</t>
        </is>
      </c>
      <c r="G1152" s="21" t="inlineStr">
        <is>
          <t>R</t>
        </is>
      </c>
      <c r="H1152" s="22" t="n">
        <v>101736215</v>
      </c>
      <c r="I1152" s="22" t="n">
        <v>11000000</v>
      </c>
      <c r="J1152" s="21">
        <f>IF(OR(H1152="",H1152=25529689.5),"Yes","No")</f>
        <v/>
      </c>
      <c r="K1152" s="21">
        <f>IF(AND(D1152="USA",C1152&gt;=1980,J1152="No"),"Yes","No")</f>
        <v/>
      </c>
      <c r="L1152" s="26">
        <f>IF(J1152="Yes","",H1152-I1152)</f>
        <v/>
      </c>
      <c r="M1152" s="27">
        <f>IF(OR(J1152="Yes",I1152=0),"",H1152/I1152)</f>
        <v/>
      </c>
      <c r="N1152" s="21">
        <f>IF(J1152="Yes","",IF(H1152&gt;=I1152,1,0))</f>
        <v/>
      </c>
      <c r="O1152" s="21">
        <f>IF(I1152&lt;=5000000,"Under $5M",IF(I1152&lt;=20000000,"$5M-20M",IF(I1152&lt;=50000000,"$20M-50M",IF(I1152&lt;=100000000,"$50M-100M","$100M+"))))</f>
        <v/>
      </c>
      <c r="P1152" s="21">
        <f>IF(E1152&lt;=90,"90 or less",IF(E1152&lt;=105,"91-105",IF(E1152&lt;=120,"106-120",IF(E1152&lt;=140,"121-140","Over 140"))))</f>
        <v/>
      </c>
      <c r="Q1152" s="28">
        <f>INT(C1152/10)*10</f>
        <v/>
      </c>
    </row>
    <row r="1153">
      <c r="A1153" s="21" t="n">
        <v>1179</v>
      </c>
      <c r="B1153" s="21" t="inlineStr">
        <is>
          <t>An Ideal Husband</t>
        </is>
      </c>
      <c r="C1153" s="21" t="n">
        <v>1999</v>
      </c>
      <c r="D1153" s="21" t="inlineStr">
        <is>
          <t>UK</t>
        </is>
      </c>
      <c r="E1153" s="21" t="n">
        <v>97</v>
      </c>
      <c r="F1153" s="21" t="inlineStr">
        <is>
          <t>English</t>
        </is>
      </c>
      <c r="G1153" s="21" t="inlineStr">
        <is>
          <t>PG-13</t>
        </is>
      </c>
      <c r="H1153" s="22" t="n">
        <v>18535191</v>
      </c>
      <c r="I1153" s="22" t="n">
        <v>14000000</v>
      </c>
      <c r="J1153" s="21">
        <f>IF(OR(H1153="",H1153=25529689.5),"Yes","No")</f>
        <v/>
      </c>
      <c r="K1153" s="21">
        <f>IF(AND(D1153="USA",C1153&gt;=1980,J1153="No"),"Yes","No")</f>
        <v/>
      </c>
      <c r="L1153" s="26">
        <f>IF(J1153="Yes","",H1153-I1153)</f>
        <v/>
      </c>
      <c r="M1153" s="27">
        <f>IF(OR(J1153="Yes",I1153=0),"",H1153/I1153)</f>
        <v/>
      </c>
      <c r="N1153" s="21">
        <f>IF(J1153="Yes","",IF(H1153&gt;=I1153,1,0))</f>
        <v/>
      </c>
      <c r="O1153" s="21">
        <f>IF(I1153&lt;=5000000,"Under $5M",IF(I1153&lt;=20000000,"$5M-20M",IF(I1153&lt;=50000000,"$20M-50M",IF(I1153&lt;=100000000,"$50M-100M","$100M+"))))</f>
        <v/>
      </c>
      <c r="P1153" s="21">
        <f>IF(E1153&lt;=90,"90 or less",IF(E1153&lt;=105,"91-105",IF(E1153&lt;=120,"106-120",IF(E1153&lt;=140,"121-140","Over 140"))))</f>
        <v/>
      </c>
      <c r="Q1153" s="28">
        <f>INT(C1153/10)*10</f>
        <v/>
      </c>
    </row>
    <row r="1154">
      <c r="A1154" s="21" t="n">
        <v>1180</v>
      </c>
      <c r="B1154" s="21" t="inlineStr">
        <is>
          <t>Analyze This</t>
        </is>
      </c>
      <c r="C1154" s="21" t="n">
        <v>1999</v>
      </c>
      <c r="D1154" s="21" t="inlineStr">
        <is>
          <t>USA</t>
        </is>
      </c>
      <c r="E1154" s="21" t="n">
        <v>103</v>
      </c>
      <c r="F1154" s="21" t="inlineStr">
        <is>
          <t>English</t>
        </is>
      </c>
      <c r="G1154" s="21" t="inlineStr">
        <is>
          <t>R</t>
        </is>
      </c>
      <c r="H1154" s="22" t="n">
        <v>106694016</v>
      </c>
      <c r="I1154" s="22" t="n">
        <v>30000000</v>
      </c>
      <c r="J1154" s="21">
        <f>IF(OR(H1154="",H1154=25529689.5),"Yes","No")</f>
        <v/>
      </c>
      <c r="K1154" s="21">
        <f>IF(AND(D1154="USA",C1154&gt;=1980,J1154="No"),"Yes","No")</f>
        <v/>
      </c>
      <c r="L1154" s="26">
        <f>IF(J1154="Yes","",H1154-I1154)</f>
        <v/>
      </c>
      <c r="M1154" s="27">
        <f>IF(OR(J1154="Yes",I1154=0),"",H1154/I1154)</f>
        <v/>
      </c>
      <c r="N1154" s="21">
        <f>IF(J1154="Yes","",IF(H1154&gt;=I1154,1,0))</f>
        <v/>
      </c>
      <c r="O1154" s="21">
        <f>IF(I1154&lt;=5000000,"Under $5M",IF(I1154&lt;=20000000,"$5M-20M",IF(I1154&lt;=50000000,"$20M-50M",IF(I1154&lt;=100000000,"$50M-100M","$100M+"))))</f>
        <v/>
      </c>
      <c r="P1154" s="21">
        <f>IF(E1154&lt;=90,"90 or less",IF(E1154&lt;=105,"91-105",IF(E1154&lt;=120,"106-120",IF(E1154&lt;=140,"121-140","Over 140"))))</f>
        <v/>
      </c>
      <c r="Q1154" s="28">
        <f>INT(C1154/10)*10</f>
        <v/>
      </c>
    </row>
    <row r="1155">
      <c r="A1155" s="21" t="n">
        <v>1181</v>
      </c>
      <c r="B1155" s="21" t="inlineStr">
        <is>
          <t>Angela's Ashes</t>
        </is>
      </c>
      <c r="C1155" s="21" t="n">
        <v>1999</v>
      </c>
      <c r="D1155" s="21" t="inlineStr">
        <is>
          <t>USA</t>
        </is>
      </c>
      <c r="E1155" s="21" t="n">
        <v>145</v>
      </c>
      <c r="F1155" s="21" t="inlineStr">
        <is>
          <t>English</t>
        </is>
      </c>
      <c r="G1155" s="21" t="inlineStr">
        <is>
          <t>R</t>
        </is>
      </c>
      <c r="H1155" s="22" t="n">
        <v>13038660</v>
      </c>
      <c r="I1155" s="22" t="n">
        <v>25000000</v>
      </c>
      <c r="J1155" s="21">
        <f>IF(OR(H1155="",H1155=25529689.5),"Yes","No")</f>
        <v/>
      </c>
      <c r="K1155" s="21">
        <f>IF(AND(D1155="USA",C1155&gt;=1980,J1155="No"),"Yes","No")</f>
        <v/>
      </c>
      <c r="L1155" s="26">
        <f>IF(J1155="Yes","",H1155-I1155)</f>
        <v/>
      </c>
      <c r="M1155" s="27">
        <f>IF(OR(J1155="Yes",I1155=0),"",H1155/I1155)</f>
        <v/>
      </c>
      <c r="N1155" s="21">
        <f>IF(J1155="Yes","",IF(H1155&gt;=I1155,1,0))</f>
        <v/>
      </c>
      <c r="O1155" s="21">
        <f>IF(I1155&lt;=5000000,"Under $5M",IF(I1155&lt;=20000000,"$5M-20M",IF(I1155&lt;=50000000,"$20M-50M",IF(I1155&lt;=100000000,"$50M-100M","$100M+"))))</f>
        <v/>
      </c>
      <c r="P1155" s="21">
        <f>IF(E1155&lt;=90,"90 or less",IF(E1155&lt;=105,"91-105",IF(E1155&lt;=120,"106-120",IF(E1155&lt;=140,"121-140","Over 140"))))</f>
        <v/>
      </c>
      <c r="Q1155" s="28">
        <f>INT(C1155/10)*10</f>
        <v/>
      </c>
    </row>
    <row r="1156">
      <c r="A1156" s="21" t="n">
        <v>1182</v>
      </c>
      <c r="B1156" s="21" t="inlineStr">
        <is>
          <t>Anna and the King</t>
        </is>
      </c>
      <c r="C1156" s="21" t="n">
        <v>1999</v>
      </c>
      <c r="D1156" s="21" t="inlineStr">
        <is>
          <t>USA</t>
        </is>
      </c>
      <c r="E1156" s="21" t="n">
        <v>148</v>
      </c>
      <c r="F1156" s="21" t="inlineStr">
        <is>
          <t>English</t>
        </is>
      </c>
      <c r="G1156" s="21" t="inlineStr">
        <is>
          <t>PG-13</t>
        </is>
      </c>
      <c r="H1156" s="22" t="n">
        <v>39251128</v>
      </c>
      <c r="I1156" s="22" t="n">
        <v>75000000</v>
      </c>
      <c r="J1156" s="21">
        <f>IF(OR(H1156="",H1156=25529689.5),"Yes","No")</f>
        <v/>
      </c>
      <c r="K1156" s="21">
        <f>IF(AND(D1156="USA",C1156&gt;=1980,J1156="No"),"Yes","No")</f>
        <v/>
      </c>
      <c r="L1156" s="26">
        <f>IF(J1156="Yes","",H1156-I1156)</f>
        <v/>
      </c>
      <c r="M1156" s="27">
        <f>IF(OR(J1156="Yes",I1156=0),"",H1156/I1156)</f>
        <v/>
      </c>
      <c r="N1156" s="21">
        <f>IF(J1156="Yes","",IF(H1156&gt;=I1156,1,0))</f>
        <v/>
      </c>
      <c r="O1156" s="21">
        <f>IF(I1156&lt;=5000000,"Under $5M",IF(I1156&lt;=20000000,"$5M-20M",IF(I1156&lt;=50000000,"$20M-50M",IF(I1156&lt;=100000000,"$50M-100M","$100M+"))))</f>
        <v/>
      </c>
      <c r="P1156" s="21">
        <f>IF(E1156&lt;=90,"90 or less",IF(E1156&lt;=105,"91-105",IF(E1156&lt;=120,"106-120",IF(E1156&lt;=140,"121-140","Over 140"))))</f>
        <v/>
      </c>
      <c r="Q1156" s="28">
        <f>INT(C1156/10)*10</f>
        <v/>
      </c>
    </row>
    <row r="1157">
      <c r="A1157" s="21" t="n">
        <v>1183</v>
      </c>
      <c r="B1157" s="21" t="inlineStr">
        <is>
          <t>Any Given Sunday</t>
        </is>
      </c>
      <c r="C1157" s="21" t="n">
        <v>1999</v>
      </c>
      <c r="D1157" s="21" t="inlineStr">
        <is>
          <t>USA</t>
        </is>
      </c>
      <c r="E1157" s="21" t="n">
        <v>156</v>
      </c>
      <c r="F1157" s="21" t="inlineStr">
        <is>
          <t>English</t>
        </is>
      </c>
      <c r="G1157" s="21" t="inlineStr">
        <is>
          <t>R</t>
        </is>
      </c>
      <c r="H1157" s="22" t="n">
        <v>75530832</v>
      </c>
      <c r="I1157" s="22" t="n">
        <v>55000000</v>
      </c>
      <c r="J1157" s="21">
        <f>IF(OR(H1157="",H1157=25529689.5),"Yes","No")</f>
        <v/>
      </c>
      <c r="K1157" s="21">
        <f>IF(AND(D1157="USA",C1157&gt;=1980,J1157="No"),"Yes","No")</f>
        <v/>
      </c>
      <c r="L1157" s="26">
        <f>IF(J1157="Yes","",H1157-I1157)</f>
        <v/>
      </c>
      <c r="M1157" s="27">
        <f>IF(OR(J1157="Yes",I1157=0),"",H1157/I1157)</f>
        <v/>
      </c>
      <c r="N1157" s="21">
        <f>IF(J1157="Yes","",IF(H1157&gt;=I1157,1,0))</f>
        <v/>
      </c>
      <c r="O1157" s="21">
        <f>IF(I1157&lt;=5000000,"Under $5M",IF(I1157&lt;=20000000,"$5M-20M",IF(I1157&lt;=50000000,"$20M-50M",IF(I1157&lt;=100000000,"$50M-100M","$100M+"))))</f>
        <v/>
      </c>
      <c r="P1157" s="21">
        <f>IF(E1157&lt;=90,"90 or less",IF(E1157&lt;=105,"91-105",IF(E1157&lt;=120,"106-120",IF(E1157&lt;=140,"121-140","Over 140"))))</f>
        <v/>
      </c>
      <c r="Q1157" s="28">
        <f>INT(C1157/10)*10</f>
        <v/>
      </c>
    </row>
    <row r="1158">
      <c r="A1158" s="21" t="n">
        <v>1184</v>
      </c>
      <c r="B1158" s="21" t="inlineStr">
        <is>
          <t>Anywhere But Here</t>
        </is>
      </c>
      <c r="C1158" s="21" t="n">
        <v>1999</v>
      </c>
      <c r="D1158" s="21" t="inlineStr">
        <is>
          <t>USA</t>
        </is>
      </c>
      <c r="E1158" s="21" t="n">
        <v>114</v>
      </c>
      <c r="F1158" s="21" t="inlineStr">
        <is>
          <t>English</t>
        </is>
      </c>
      <c r="G1158" s="21" t="inlineStr">
        <is>
          <t>PG-13</t>
        </is>
      </c>
      <c r="H1158" s="22" t="n">
        <v>18653615</v>
      </c>
      <c r="I1158" s="22" t="n">
        <v>23000000</v>
      </c>
      <c r="J1158" s="21">
        <f>IF(OR(H1158="",H1158=25529689.5),"Yes","No")</f>
        <v/>
      </c>
      <c r="K1158" s="21">
        <f>IF(AND(D1158="USA",C1158&gt;=1980,J1158="No"),"Yes","No")</f>
        <v/>
      </c>
      <c r="L1158" s="26">
        <f>IF(J1158="Yes","",H1158-I1158)</f>
        <v/>
      </c>
      <c r="M1158" s="27">
        <f>IF(OR(J1158="Yes",I1158=0),"",H1158/I1158)</f>
        <v/>
      </c>
      <c r="N1158" s="21">
        <f>IF(J1158="Yes","",IF(H1158&gt;=I1158,1,0))</f>
        <v/>
      </c>
      <c r="O1158" s="21">
        <f>IF(I1158&lt;=5000000,"Under $5M",IF(I1158&lt;=20000000,"$5M-20M",IF(I1158&lt;=50000000,"$20M-50M",IF(I1158&lt;=100000000,"$50M-100M","$100M+"))))</f>
        <v/>
      </c>
      <c r="P1158" s="21">
        <f>IF(E1158&lt;=90,"90 or less",IF(E1158&lt;=105,"91-105",IF(E1158&lt;=120,"106-120",IF(E1158&lt;=140,"121-140","Over 140"))))</f>
        <v/>
      </c>
      <c r="Q1158" s="28">
        <f>INT(C1158/10)*10</f>
        <v/>
      </c>
    </row>
    <row r="1159">
      <c r="A1159" s="21" t="n">
        <v>1185</v>
      </c>
      <c r="B1159" s="21" t="inlineStr">
        <is>
          <t>Arlington Road</t>
        </is>
      </c>
      <c r="C1159" s="21" t="n">
        <v>1999</v>
      </c>
      <c r="D1159" s="21" t="inlineStr">
        <is>
          <t>USA</t>
        </is>
      </c>
      <c r="E1159" s="21" t="n">
        <v>117</v>
      </c>
      <c r="F1159" s="21" t="inlineStr">
        <is>
          <t>English</t>
        </is>
      </c>
      <c r="G1159" s="21" t="inlineStr">
        <is>
          <t>R</t>
        </is>
      </c>
      <c r="H1159" s="22" t="n">
        <v>24362501</v>
      </c>
      <c r="I1159" s="22" t="n">
        <v>21500000</v>
      </c>
      <c r="J1159" s="21">
        <f>IF(OR(H1159="",H1159=25529689.5),"Yes","No")</f>
        <v/>
      </c>
      <c r="K1159" s="21">
        <f>IF(AND(D1159="USA",C1159&gt;=1980,J1159="No"),"Yes","No")</f>
        <v/>
      </c>
      <c r="L1159" s="26">
        <f>IF(J1159="Yes","",H1159-I1159)</f>
        <v/>
      </c>
      <c r="M1159" s="27">
        <f>IF(OR(J1159="Yes",I1159=0),"",H1159/I1159)</f>
        <v/>
      </c>
      <c r="N1159" s="21">
        <f>IF(J1159="Yes","",IF(H1159&gt;=I1159,1,0))</f>
        <v/>
      </c>
      <c r="O1159" s="21">
        <f>IF(I1159&lt;=5000000,"Under $5M",IF(I1159&lt;=20000000,"$5M-20M",IF(I1159&lt;=50000000,"$20M-50M",IF(I1159&lt;=100000000,"$50M-100M","$100M+"))))</f>
        <v/>
      </c>
      <c r="P1159" s="21">
        <f>IF(E1159&lt;=90,"90 or less",IF(E1159&lt;=105,"91-105",IF(E1159&lt;=120,"106-120",IF(E1159&lt;=140,"121-140","Over 140"))))</f>
        <v/>
      </c>
      <c r="Q1159" s="28">
        <f>INT(C1159/10)*10</f>
        <v/>
      </c>
    </row>
    <row r="1160">
      <c r="A1160" s="21" t="n">
        <v>1186</v>
      </c>
      <c r="B1160" s="21" t="inlineStr">
        <is>
          <t>At First Sight</t>
        </is>
      </c>
      <c r="C1160" s="21" t="n">
        <v>1999</v>
      </c>
      <c r="D1160" s="21" t="inlineStr">
        <is>
          <t>USA</t>
        </is>
      </c>
      <c r="E1160" s="21" t="n">
        <v>128</v>
      </c>
      <c r="F1160" s="21" t="inlineStr">
        <is>
          <t>English</t>
        </is>
      </c>
      <c r="G1160" s="21" t="inlineStr">
        <is>
          <t>PG-13</t>
        </is>
      </c>
      <c r="H1160" s="22" t="n">
        <v>22326247</v>
      </c>
      <c r="I1160" s="22" t="n">
        <v>60000000</v>
      </c>
      <c r="J1160" s="21">
        <f>IF(OR(H1160="",H1160=25529689.5),"Yes","No")</f>
        <v/>
      </c>
      <c r="K1160" s="21">
        <f>IF(AND(D1160="USA",C1160&gt;=1980,J1160="No"),"Yes","No")</f>
        <v/>
      </c>
      <c r="L1160" s="26">
        <f>IF(J1160="Yes","",H1160-I1160)</f>
        <v/>
      </c>
      <c r="M1160" s="27">
        <f>IF(OR(J1160="Yes",I1160=0),"",H1160/I1160)</f>
        <v/>
      </c>
      <c r="N1160" s="21">
        <f>IF(J1160="Yes","",IF(H1160&gt;=I1160,1,0))</f>
        <v/>
      </c>
      <c r="O1160" s="21">
        <f>IF(I1160&lt;=5000000,"Under $5M",IF(I1160&lt;=20000000,"$5M-20M",IF(I1160&lt;=50000000,"$20M-50M",IF(I1160&lt;=100000000,"$50M-100M","$100M+"))))</f>
        <v/>
      </c>
      <c r="P1160" s="21">
        <f>IF(E1160&lt;=90,"90 or less",IF(E1160&lt;=105,"91-105",IF(E1160&lt;=120,"106-120",IF(E1160&lt;=140,"121-140","Over 140"))))</f>
        <v/>
      </c>
      <c r="Q1160" s="28">
        <f>INT(C1160/10)*10</f>
        <v/>
      </c>
    </row>
    <row r="1161">
      <c r="A1161" s="21" t="n">
        <v>1187</v>
      </c>
      <c r="B1161" s="21" t="inlineStr">
        <is>
          <t>Austin Powers: The Spy Who Shagged Me</t>
        </is>
      </c>
      <c r="C1161" s="21" t="n">
        <v>1999</v>
      </c>
      <c r="D1161" s="21" t="inlineStr">
        <is>
          <t>USA</t>
        </is>
      </c>
      <c r="E1161" s="21" t="n">
        <v>95</v>
      </c>
      <c r="F1161" s="21" t="inlineStr">
        <is>
          <t>English</t>
        </is>
      </c>
      <c r="G1161" s="21" t="inlineStr">
        <is>
          <t>PG-13</t>
        </is>
      </c>
      <c r="H1161" s="22" t="n">
        <v>205399422</v>
      </c>
      <c r="I1161" s="22" t="n">
        <v>33000000</v>
      </c>
      <c r="J1161" s="21">
        <f>IF(OR(H1161="",H1161=25529689.5),"Yes","No")</f>
        <v/>
      </c>
      <c r="K1161" s="21">
        <f>IF(AND(D1161="USA",C1161&gt;=1980,J1161="No"),"Yes","No")</f>
        <v/>
      </c>
      <c r="L1161" s="26">
        <f>IF(J1161="Yes","",H1161-I1161)</f>
        <v/>
      </c>
      <c r="M1161" s="27">
        <f>IF(OR(J1161="Yes",I1161=0),"",H1161/I1161)</f>
        <v/>
      </c>
      <c r="N1161" s="21">
        <f>IF(J1161="Yes","",IF(H1161&gt;=I1161,1,0))</f>
        <v/>
      </c>
      <c r="O1161" s="21">
        <f>IF(I1161&lt;=5000000,"Under $5M",IF(I1161&lt;=20000000,"$5M-20M",IF(I1161&lt;=50000000,"$20M-50M",IF(I1161&lt;=100000000,"$50M-100M","$100M+"))))</f>
        <v/>
      </c>
      <c r="P1161" s="21">
        <f>IF(E1161&lt;=90,"90 or less",IF(E1161&lt;=105,"91-105",IF(E1161&lt;=120,"106-120",IF(E1161&lt;=140,"121-140","Over 140"))))</f>
        <v/>
      </c>
      <c r="Q1161" s="28">
        <f>INT(C1161/10)*10</f>
        <v/>
      </c>
    </row>
    <row r="1162">
      <c r="A1162" s="21" t="n">
        <v>1188</v>
      </c>
      <c r="B1162" s="21" t="inlineStr">
        <is>
          <t>Baby Geniuses</t>
        </is>
      </c>
      <c r="C1162" s="21" t="n">
        <v>1999</v>
      </c>
      <c r="D1162" s="21" t="inlineStr">
        <is>
          <t>USA</t>
        </is>
      </c>
      <c r="E1162" s="21" t="n">
        <v>97</v>
      </c>
      <c r="F1162" s="21" t="inlineStr">
        <is>
          <t>English</t>
        </is>
      </c>
      <c r="G1162" s="21" t="inlineStr">
        <is>
          <t>PG</t>
        </is>
      </c>
      <c r="H1162" s="22" t="n">
        <v>27141959</v>
      </c>
      <c r="I1162" s="22" t="n">
        <v>18000000</v>
      </c>
      <c r="J1162" s="21">
        <f>IF(OR(H1162="",H1162=25529689.5),"Yes","No")</f>
        <v/>
      </c>
      <c r="K1162" s="21">
        <f>IF(AND(D1162="USA",C1162&gt;=1980,J1162="No"),"Yes","No")</f>
        <v/>
      </c>
      <c r="L1162" s="26">
        <f>IF(J1162="Yes","",H1162-I1162)</f>
        <v/>
      </c>
      <c r="M1162" s="27">
        <f>IF(OR(J1162="Yes",I1162=0),"",H1162/I1162)</f>
        <v/>
      </c>
      <c r="N1162" s="21">
        <f>IF(J1162="Yes","",IF(H1162&gt;=I1162,1,0))</f>
        <v/>
      </c>
      <c r="O1162" s="21">
        <f>IF(I1162&lt;=5000000,"Under $5M",IF(I1162&lt;=20000000,"$5M-20M",IF(I1162&lt;=50000000,"$20M-50M",IF(I1162&lt;=100000000,"$50M-100M","$100M+"))))</f>
        <v/>
      </c>
      <c r="P1162" s="21">
        <f>IF(E1162&lt;=90,"90 or less",IF(E1162&lt;=105,"91-105",IF(E1162&lt;=120,"106-120",IF(E1162&lt;=140,"121-140","Over 140"))))</f>
        <v/>
      </c>
      <c r="Q1162" s="28">
        <f>INT(C1162/10)*10</f>
        <v/>
      </c>
    </row>
    <row r="1163">
      <c r="A1163" s="21" t="n">
        <v>1189</v>
      </c>
      <c r="B1163" s="21" t="inlineStr">
        <is>
          <t>Bats</t>
        </is>
      </c>
      <c r="C1163" s="21" t="n">
        <v>1999</v>
      </c>
      <c r="D1163" s="21" t="inlineStr">
        <is>
          <t>USA</t>
        </is>
      </c>
      <c r="E1163" s="21" t="n">
        <v>91</v>
      </c>
      <c r="F1163" s="21" t="inlineStr">
        <is>
          <t>English</t>
        </is>
      </c>
      <c r="G1163" s="21" t="inlineStr">
        <is>
          <t>PG-13</t>
        </is>
      </c>
      <c r="H1163" s="22" t="n">
        <v>10149779</v>
      </c>
      <c r="I1163" s="22" t="n">
        <v>6500000</v>
      </c>
      <c r="J1163" s="21">
        <f>IF(OR(H1163="",H1163=25529689.5),"Yes","No")</f>
        <v/>
      </c>
      <c r="K1163" s="21">
        <f>IF(AND(D1163="USA",C1163&gt;=1980,J1163="No"),"Yes","No")</f>
        <v/>
      </c>
      <c r="L1163" s="26">
        <f>IF(J1163="Yes","",H1163-I1163)</f>
        <v/>
      </c>
      <c r="M1163" s="27">
        <f>IF(OR(J1163="Yes",I1163=0),"",H1163/I1163)</f>
        <v/>
      </c>
      <c r="N1163" s="21">
        <f>IF(J1163="Yes","",IF(H1163&gt;=I1163,1,0))</f>
        <v/>
      </c>
      <c r="O1163" s="21">
        <f>IF(I1163&lt;=5000000,"Under $5M",IF(I1163&lt;=20000000,"$5M-20M",IF(I1163&lt;=50000000,"$20M-50M",IF(I1163&lt;=100000000,"$50M-100M","$100M+"))))</f>
        <v/>
      </c>
      <c r="P1163" s="21">
        <f>IF(E1163&lt;=90,"90 or less",IF(E1163&lt;=105,"91-105",IF(E1163&lt;=120,"106-120",IF(E1163&lt;=140,"121-140","Over 140"))))</f>
        <v/>
      </c>
      <c r="Q1163" s="28">
        <f>INT(C1163/10)*10</f>
        <v/>
      </c>
    </row>
    <row r="1164">
      <c r="A1164" s="21" t="n">
        <v>1190</v>
      </c>
      <c r="B1164" s="21" t="inlineStr">
        <is>
          <t>Being John Malkovich</t>
        </is>
      </c>
      <c r="C1164" s="21" t="n">
        <v>1999</v>
      </c>
      <c r="D1164" s="21" t="inlineStr">
        <is>
          <t>USA</t>
        </is>
      </c>
      <c r="E1164" s="21" t="n">
        <v>112</v>
      </c>
      <c r="F1164" s="21" t="inlineStr">
        <is>
          <t>English</t>
        </is>
      </c>
      <c r="G1164" s="21" t="inlineStr">
        <is>
          <t>R</t>
        </is>
      </c>
      <c r="H1164" s="22" t="n">
        <v>22858926</v>
      </c>
      <c r="I1164" s="22" t="n">
        <v>13000000</v>
      </c>
      <c r="J1164" s="21">
        <f>IF(OR(H1164="",H1164=25529689.5),"Yes","No")</f>
        <v/>
      </c>
      <c r="K1164" s="21">
        <f>IF(AND(D1164="USA",C1164&gt;=1980,J1164="No"),"Yes","No")</f>
        <v/>
      </c>
      <c r="L1164" s="26">
        <f>IF(J1164="Yes","",H1164-I1164)</f>
        <v/>
      </c>
      <c r="M1164" s="27">
        <f>IF(OR(J1164="Yes",I1164=0),"",H1164/I1164)</f>
        <v/>
      </c>
      <c r="N1164" s="21">
        <f>IF(J1164="Yes","",IF(H1164&gt;=I1164,1,0))</f>
        <v/>
      </c>
      <c r="O1164" s="21">
        <f>IF(I1164&lt;=5000000,"Under $5M",IF(I1164&lt;=20000000,"$5M-20M",IF(I1164&lt;=50000000,"$20M-50M",IF(I1164&lt;=100000000,"$50M-100M","$100M+"))))</f>
        <v/>
      </c>
      <c r="P1164" s="21">
        <f>IF(E1164&lt;=90,"90 or less",IF(E1164&lt;=105,"91-105",IF(E1164&lt;=120,"106-120",IF(E1164&lt;=140,"121-140","Over 140"))))</f>
        <v/>
      </c>
      <c r="Q1164" s="28">
        <f>INT(C1164/10)*10</f>
        <v/>
      </c>
    </row>
    <row r="1165">
      <c r="A1165" s="21" t="n">
        <v>1191</v>
      </c>
      <c r="B1165" s="21" t="inlineStr">
        <is>
          <t>Beyond the Mat</t>
        </is>
      </c>
      <c r="C1165" s="21" t="n">
        <v>1999</v>
      </c>
      <c r="D1165" s="21" t="inlineStr">
        <is>
          <t>USA</t>
        </is>
      </c>
      <c r="E1165" s="21" t="n">
        <v>108</v>
      </c>
      <c r="F1165" s="21" t="inlineStr">
        <is>
          <t>English</t>
        </is>
      </c>
      <c r="G1165" s="21" t="inlineStr">
        <is>
          <t>R</t>
        </is>
      </c>
      <c r="H1165" s="22" t="n">
        <v>2047570</v>
      </c>
      <c r="I1165" s="22" t="n">
        <v>500000</v>
      </c>
      <c r="J1165" s="21">
        <f>IF(OR(H1165="",H1165=25529689.5),"Yes","No")</f>
        <v/>
      </c>
      <c r="K1165" s="21">
        <f>IF(AND(D1165="USA",C1165&gt;=1980,J1165="No"),"Yes","No")</f>
        <v/>
      </c>
      <c r="L1165" s="26">
        <f>IF(J1165="Yes","",H1165-I1165)</f>
        <v/>
      </c>
      <c r="M1165" s="27">
        <f>IF(OR(J1165="Yes",I1165=0),"",H1165/I1165)</f>
        <v/>
      </c>
      <c r="N1165" s="21">
        <f>IF(J1165="Yes","",IF(H1165&gt;=I1165,1,0))</f>
        <v/>
      </c>
      <c r="O1165" s="21">
        <f>IF(I1165&lt;=5000000,"Under $5M",IF(I1165&lt;=20000000,"$5M-20M",IF(I1165&lt;=50000000,"$20M-50M",IF(I1165&lt;=100000000,"$50M-100M","$100M+"))))</f>
        <v/>
      </c>
      <c r="P1165" s="21">
        <f>IF(E1165&lt;=90,"90 or less",IF(E1165&lt;=105,"91-105",IF(E1165&lt;=120,"106-120",IF(E1165&lt;=140,"121-140","Over 140"))))</f>
        <v/>
      </c>
      <c r="Q1165" s="28">
        <f>INT(C1165/10)*10</f>
        <v/>
      </c>
    </row>
    <row r="1166">
      <c r="A1166" s="21" t="n">
        <v>1192</v>
      </c>
      <c r="B1166" s="21" t="inlineStr">
        <is>
          <t>Bicentennial Man</t>
        </is>
      </c>
      <c r="C1166" s="21" t="n">
        <v>1999</v>
      </c>
      <c r="D1166" s="21" t="inlineStr">
        <is>
          <t>USA</t>
        </is>
      </c>
      <c r="E1166" s="21" t="n">
        <v>132</v>
      </c>
      <c r="F1166" s="21" t="inlineStr">
        <is>
          <t>English</t>
        </is>
      </c>
      <c r="G1166" s="21" t="inlineStr">
        <is>
          <t>PG</t>
        </is>
      </c>
      <c r="H1166" s="22" t="n">
        <v>58220776</v>
      </c>
      <c r="I1166" s="22" t="n">
        <v>100000000</v>
      </c>
      <c r="J1166" s="21">
        <f>IF(OR(H1166="",H1166=25529689.5),"Yes","No")</f>
        <v/>
      </c>
      <c r="K1166" s="21">
        <f>IF(AND(D1166="USA",C1166&gt;=1980,J1166="No"),"Yes","No")</f>
        <v/>
      </c>
      <c r="L1166" s="26">
        <f>IF(J1166="Yes","",H1166-I1166)</f>
        <v/>
      </c>
      <c r="M1166" s="27">
        <f>IF(OR(J1166="Yes",I1166=0),"",H1166/I1166)</f>
        <v/>
      </c>
      <c r="N1166" s="21">
        <f>IF(J1166="Yes","",IF(H1166&gt;=I1166,1,0))</f>
        <v/>
      </c>
      <c r="O1166" s="21">
        <f>IF(I1166&lt;=5000000,"Under $5M",IF(I1166&lt;=20000000,"$5M-20M",IF(I1166&lt;=50000000,"$20M-50M",IF(I1166&lt;=100000000,"$50M-100M","$100M+"))))</f>
        <v/>
      </c>
      <c r="P1166" s="21">
        <f>IF(E1166&lt;=90,"90 or less",IF(E1166&lt;=105,"91-105",IF(E1166&lt;=120,"106-120",IF(E1166&lt;=140,"121-140","Over 140"))))</f>
        <v/>
      </c>
      <c r="Q1166" s="28">
        <f>INT(C1166/10)*10</f>
        <v/>
      </c>
    </row>
    <row r="1167">
      <c r="A1167" s="21" t="n">
        <v>1193</v>
      </c>
      <c r="B1167" s="21" t="inlineStr">
        <is>
          <t>Big Daddy</t>
        </is>
      </c>
      <c r="C1167" s="21" t="n">
        <v>1999</v>
      </c>
      <c r="D1167" s="21" t="inlineStr">
        <is>
          <t>USA</t>
        </is>
      </c>
      <c r="E1167" s="21" t="n">
        <v>93</v>
      </c>
      <c r="F1167" s="21" t="inlineStr">
        <is>
          <t>English</t>
        </is>
      </c>
      <c r="G1167" s="21" t="inlineStr">
        <is>
          <t>PG-13</t>
        </is>
      </c>
      <c r="H1167" s="22" t="n">
        <v>163479795</v>
      </c>
      <c r="I1167" s="22" t="n">
        <v>34200000</v>
      </c>
      <c r="J1167" s="21">
        <f>IF(OR(H1167="",H1167=25529689.5),"Yes","No")</f>
        <v/>
      </c>
      <c r="K1167" s="21">
        <f>IF(AND(D1167="USA",C1167&gt;=1980,J1167="No"),"Yes","No")</f>
        <v/>
      </c>
      <c r="L1167" s="26">
        <f>IF(J1167="Yes","",H1167-I1167)</f>
        <v/>
      </c>
      <c r="M1167" s="27">
        <f>IF(OR(J1167="Yes",I1167=0),"",H1167/I1167)</f>
        <v/>
      </c>
      <c r="N1167" s="21">
        <f>IF(J1167="Yes","",IF(H1167&gt;=I1167,1,0))</f>
        <v/>
      </c>
      <c r="O1167" s="21">
        <f>IF(I1167&lt;=5000000,"Under $5M",IF(I1167&lt;=20000000,"$5M-20M",IF(I1167&lt;=50000000,"$20M-50M",IF(I1167&lt;=100000000,"$50M-100M","$100M+"))))</f>
        <v/>
      </c>
      <c r="P1167" s="21">
        <f>IF(E1167&lt;=90,"90 or less",IF(E1167&lt;=105,"91-105",IF(E1167&lt;=120,"106-120",IF(E1167&lt;=140,"121-140","Over 140"))))</f>
        <v/>
      </c>
      <c r="Q1167" s="28">
        <f>INT(C1167/10)*10</f>
        <v/>
      </c>
    </row>
    <row r="1168">
      <c r="A1168" s="21" t="n">
        <v>1194</v>
      </c>
      <c r="B1168" s="21" t="inlineStr">
        <is>
          <t>Blast from the Past</t>
        </is>
      </c>
      <c r="C1168" s="21" t="n">
        <v>1999</v>
      </c>
      <c r="D1168" s="21" t="inlineStr">
        <is>
          <t>USA</t>
        </is>
      </c>
      <c r="E1168" s="21" t="n">
        <v>112</v>
      </c>
      <c r="F1168" s="21" t="inlineStr">
        <is>
          <t>English</t>
        </is>
      </c>
      <c r="G1168" s="21" t="inlineStr">
        <is>
          <t>PG-13</t>
        </is>
      </c>
      <c r="H1168" s="22" t="n">
        <v>26494611</v>
      </c>
      <c r="I1168" s="22" t="n">
        <v>35000000</v>
      </c>
      <c r="J1168" s="21">
        <f>IF(OR(H1168="",H1168=25529689.5),"Yes","No")</f>
        <v/>
      </c>
      <c r="K1168" s="21">
        <f>IF(AND(D1168="USA",C1168&gt;=1980,J1168="No"),"Yes","No")</f>
        <v/>
      </c>
      <c r="L1168" s="26">
        <f>IF(J1168="Yes","",H1168-I1168)</f>
        <v/>
      </c>
      <c r="M1168" s="27">
        <f>IF(OR(J1168="Yes",I1168=0),"",H1168/I1168)</f>
        <v/>
      </c>
      <c r="N1168" s="21">
        <f>IF(J1168="Yes","",IF(H1168&gt;=I1168,1,0))</f>
        <v/>
      </c>
      <c r="O1168" s="21">
        <f>IF(I1168&lt;=5000000,"Under $5M",IF(I1168&lt;=20000000,"$5M-20M",IF(I1168&lt;=50000000,"$20M-50M",IF(I1168&lt;=100000000,"$50M-100M","$100M+"))))</f>
        <v/>
      </c>
      <c r="P1168" s="21">
        <f>IF(E1168&lt;=90,"90 or less",IF(E1168&lt;=105,"91-105",IF(E1168&lt;=120,"106-120",IF(E1168&lt;=140,"121-140","Over 140"))))</f>
        <v/>
      </c>
      <c r="Q1168" s="28">
        <f>INT(C1168/10)*10</f>
        <v/>
      </c>
    </row>
    <row r="1169">
      <c r="A1169" s="21" t="n">
        <v>1195</v>
      </c>
      <c r="B1169" s="21" t="inlineStr">
        <is>
          <t>Blue Streak</t>
        </is>
      </c>
      <c r="C1169" s="21" t="n">
        <v>1999</v>
      </c>
      <c r="D1169" s="21" t="inlineStr">
        <is>
          <t>USA</t>
        </is>
      </c>
      <c r="E1169" s="21" t="n">
        <v>93</v>
      </c>
      <c r="F1169" s="21" t="inlineStr">
        <is>
          <t>English</t>
        </is>
      </c>
      <c r="G1169" s="21" t="inlineStr">
        <is>
          <t>PG-13</t>
        </is>
      </c>
      <c r="H1169" s="22" t="n">
        <v>68208190</v>
      </c>
      <c r="I1169" s="22" t="n">
        <v>65000000</v>
      </c>
      <c r="J1169" s="21">
        <f>IF(OR(H1169="",H1169=25529689.5),"Yes","No")</f>
        <v/>
      </c>
      <c r="K1169" s="21">
        <f>IF(AND(D1169="USA",C1169&gt;=1980,J1169="No"),"Yes","No")</f>
        <v/>
      </c>
      <c r="L1169" s="26">
        <f>IF(J1169="Yes","",H1169-I1169)</f>
        <v/>
      </c>
      <c r="M1169" s="27">
        <f>IF(OR(J1169="Yes",I1169=0),"",H1169/I1169)</f>
        <v/>
      </c>
      <c r="N1169" s="21">
        <f>IF(J1169="Yes","",IF(H1169&gt;=I1169,1,0))</f>
        <v/>
      </c>
      <c r="O1169" s="21">
        <f>IF(I1169&lt;=5000000,"Under $5M",IF(I1169&lt;=20000000,"$5M-20M",IF(I1169&lt;=50000000,"$20M-50M",IF(I1169&lt;=100000000,"$50M-100M","$100M+"))))</f>
        <v/>
      </c>
      <c r="P1169" s="21">
        <f>IF(E1169&lt;=90,"90 or less",IF(E1169&lt;=105,"91-105",IF(E1169&lt;=120,"106-120",IF(E1169&lt;=140,"121-140","Over 140"))))</f>
        <v/>
      </c>
      <c r="Q1169" s="28">
        <f>INT(C1169/10)*10</f>
        <v/>
      </c>
    </row>
    <row r="1170">
      <c r="A1170" s="21" t="n">
        <v>1196</v>
      </c>
      <c r="B1170" s="21" t="inlineStr">
        <is>
          <t>Bowfinger</t>
        </is>
      </c>
      <c r="C1170" s="21" t="n">
        <v>1999</v>
      </c>
      <c r="D1170" s="21" t="inlineStr">
        <is>
          <t>USA</t>
        </is>
      </c>
      <c r="E1170" s="21" t="n">
        <v>85</v>
      </c>
      <c r="F1170" s="21" t="inlineStr">
        <is>
          <t>English</t>
        </is>
      </c>
      <c r="G1170" s="21" t="inlineStr">
        <is>
          <t>PG-13</t>
        </is>
      </c>
      <c r="H1170" s="22" t="n">
        <v>66365290</v>
      </c>
      <c r="I1170" s="22" t="n">
        <v>55000000</v>
      </c>
      <c r="J1170" s="21">
        <f>IF(OR(H1170="",H1170=25529689.5),"Yes","No")</f>
        <v/>
      </c>
      <c r="K1170" s="21">
        <f>IF(AND(D1170="USA",C1170&gt;=1980,J1170="No"),"Yes","No")</f>
        <v/>
      </c>
      <c r="L1170" s="26">
        <f>IF(J1170="Yes","",H1170-I1170)</f>
        <v/>
      </c>
      <c r="M1170" s="27">
        <f>IF(OR(J1170="Yes",I1170=0),"",H1170/I1170)</f>
        <v/>
      </c>
      <c r="N1170" s="21">
        <f>IF(J1170="Yes","",IF(H1170&gt;=I1170,1,0))</f>
        <v/>
      </c>
      <c r="O1170" s="21">
        <f>IF(I1170&lt;=5000000,"Under $5M",IF(I1170&lt;=20000000,"$5M-20M",IF(I1170&lt;=50000000,"$20M-50M",IF(I1170&lt;=100000000,"$50M-100M","$100M+"))))</f>
        <v/>
      </c>
      <c r="P1170" s="21">
        <f>IF(E1170&lt;=90,"90 or less",IF(E1170&lt;=105,"91-105",IF(E1170&lt;=120,"106-120",IF(E1170&lt;=140,"121-140","Over 140"))))</f>
        <v/>
      </c>
      <c r="Q1170" s="28">
        <f>INT(C1170/10)*10</f>
        <v/>
      </c>
    </row>
    <row r="1171">
      <c r="A1171" s="21" t="n">
        <v>1197</v>
      </c>
      <c r="B1171" s="21" t="inlineStr">
        <is>
          <t>Boys Don't Cry</t>
        </is>
      </c>
      <c r="C1171" s="21" t="n">
        <v>1999</v>
      </c>
      <c r="D1171" s="21" t="inlineStr">
        <is>
          <t>USA</t>
        </is>
      </c>
      <c r="E1171" s="21" t="n">
        <v>118</v>
      </c>
      <c r="F1171" s="21" t="inlineStr">
        <is>
          <t>English</t>
        </is>
      </c>
      <c r="G1171" s="21" t="inlineStr">
        <is>
          <t>R</t>
        </is>
      </c>
      <c r="H1171" s="22" t="n">
        <v>11533945</v>
      </c>
      <c r="I1171" s="22" t="n">
        <v>2000000</v>
      </c>
      <c r="J1171" s="21">
        <f>IF(OR(H1171="",H1171=25529689.5),"Yes","No")</f>
        <v/>
      </c>
      <c r="K1171" s="21">
        <f>IF(AND(D1171="USA",C1171&gt;=1980,J1171="No"),"Yes","No")</f>
        <v/>
      </c>
      <c r="L1171" s="26">
        <f>IF(J1171="Yes","",H1171-I1171)</f>
        <v/>
      </c>
      <c r="M1171" s="27">
        <f>IF(OR(J1171="Yes",I1171=0),"",H1171/I1171)</f>
        <v/>
      </c>
      <c r="N1171" s="21">
        <f>IF(J1171="Yes","",IF(H1171&gt;=I1171,1,0))</f>
        <v/>
      </c>
      <c r="O1171" s="21">
        <f>IF(I1171&lt;=5000000,"Under $5M",IF(I1171&lt;=20000000,"$5M-20M",IF(I1171&lt;=50000000,"$20M-50M",IF(I1171&lt;=100000000,"$50M-100M","$100M+"))))</f>
        <v/>
      </c>
      <c r="P1171" s="21">
        <f>IF(E1171&lt;=90,"90 or less",IF(E1171&lt;=105,"91-105",IF(E1171&lt;=120,"106-120",IF(E1171&lt;=140,"121-140","Over 140"))))</f>
        <v/>
      </c>
      <c r="Q1171" s="28">
        <f>INT(C1171/10)*10</f>
        <v/>
      </c>
    </row>
    <row r="1172">
      <c r="A1172" s="21" t="n">
        <v>1198</v>
      </c>
      <c r="B1172" s="21" t="inlineStr">
        <is>
          <t>Breakfast of Champions</t>
        </is>
      </c>
      <c r="C1172" s="21" t="n">
        <v>1999</v>
      </c>
      <c r="D1172" s="21" t="inlineStr">
        <is>
          <t>USA</t>
        </is>
      </c>
      <c r="E1172" s="21" t="n">
        <v>110</v>
      </c>
      <c r="F1172" s="21" t="inlineStr">
        <is>
          <t>English</t>
        </is>
      </c>
      <c r="G1172" s="21" t="inlineStr">
        <is>
          <t>R</t>
        </is>
      </c>
      <c r="H1172" s="22" t="n">
        <v>175370</v>
      </c>
      <c r="I1172" s="22" t="n">
        <v>12000000</v>
      </c>
      <c r="J1172" s="21">
        <f>IF(OR(H1172="",H1172=25529689.5),"Yes","No")</f>
        <v/>
      </c>
      <c r="K1172" s="21">
        <f>IF(AND(D1172="USA",C1172&gt;=1980,J1172="No"),"Yes","No")</f>
        <v/>
      </c>
      <c r="L1172" s="26">
        <f>IF(J1172="Yes","",H1172-I1172)</f>
        <v/>
      </c>
      <c r="M1172" s="27">
        <f>IF(OR(J1172="Yes",I1172=0),"",H1172/I1172)</f>
        <v/>
      </c>
      <c r="N1172" s="21">
        <f>IF(J1172="Yes","",IF(H1172&gt;=I1172,1,0))</f>
        <v/>
      </c>
      <c r="O1172" s="21">
        <f>IF(I1172&lt;=5000000,"Under $5M",IF(I1172&lt;=20000000,"$5M-20M",IF(I1172&lt;=50000000,"$20M-50M",IF(I1172&lt;=100000000,"$50M-100M","$100M+"))))</f>
        <v/>
      </c>
      <c r="P1172" s="21">
        <f>IF(E1172&lt;=90,"90 or less",IF(E1172&lt;=105,"91-105",IF(E1172&lt;=120,"106-120",IF(E1172&lt;=140,"121-140","Over 140"))))</f>
        <v/>
      </c>
      <c r="Q1172" s="28">
        <f>INT(C1172/10)*10</f>
        <v/>
      </c>
    </row>
    <row r="1173">
      <c r="A1173" s="21" t="n">
        <v>1199</v>
      </c>
      <c r="B1173" s="21" t="inlineStr">
        <is>
          <t>Bringing Out the Dead</t>
        </is>
      </c>
      <c r="C1173" s="21" t="n">
        <v>1999</v>
      </c>
      <c r="D1173" s="21" t="inlineStr">
        <is>
          <t>USA</t>
        </is>
      </c>
      <c r="E1173" s="21" t="n">
        <v>121</v>
      </c>
      <c r="F1173" s="21" t="inlineStr">
        <is>
          <t>English</t>
        </is>
      </c>
      <c r="G1173" s="21" t="inlineStr">
        <is>
          <t>R</t>
        </is>
      </c>
      <c r="H1173" s="22" t="n">
        <v>16640210</v>
      </c>
      <c r="I1173" s="22" t="n">
        <v>55000000</v>
      </c>
      <c r="J1173" s="21">
        <f>IF(OR(H1173="",H1173=25529689.5),"Yes","No")</f>
        <v/>
      </c>
      <c r="K1173" s="21">
        <f>IF(AND(D1173="USA",C1173&gt;=1980,J1173="No"),"Yes","No")</f>
        <v/>
      </c>
      <c r="L1173" s="26">
        <f>IF(J1173="Yes","",H1173-I1173)</f>
        <v/>
      </c>
      <c r="M1173" s="27">
        <f>IF(OR(J1173="Yes",I1173=0),"",H1173/I1173)</f>
        <v/>
      </c>
      <c r="N1173" s="21">
        <f>IF(J1173="Yes","",IF(H1173&gt;=I1173,1,0))</f>
        <v/>
      </c>
      <c r="O1173" s="21">
        <f>IF(I1173&lt;=5000000,"Under $5M",IF(I1173&lt;=20000000,"$5M-20M",IF(I1173&lt;=50000000,"$20M-50M",IF(I1173&lt;=100000000,"$50M-100M","$100M+"))))</f>
        <v/>
      </c>
      <c r="P1173" s="21">
        <f>IF(E1173&lt;=90,"90 or less",IF(E1173&lt;=105,"91-105",IF(E1173&lt;=120,"106-120",IF(E1173&lt;=140,"121-140","Over 140"))))</f>
        <v/>
      </c>
      <c r="Q1173" s="28">
        <f>INT(C1173/10)*10</f>
        <v/>
      </c>
    </row>
    <row r="1174">
      <c r="A1174" s="21" t="n">
        <v>1200</v>
      </c>
      <c r="B1174" s="21" t="inlineStr">
        <is>
          <t>Brokedown Palace</t>
        </is>
      </c>
      <c r="C1174" s="21" t="n">
        <v>1999</v>
      </c>
      <c r="D1174" s="21" t="inlineStr">
        <is>
          <t>USA</t>
        </is>
      </c>
      <c r="E1174" s="21" t="n">
        <v>100</v>
      </c>
      <c r="F1174" s="21" t="inlineStr">
        <is>
          <t>English</t>
        </is>
      </c>
      <c r="G1174" s="21" t="inlineStr">
        <is>
          <t>PG-13</t>
        </is>
      </c>
      <c r="H1174" s="22" t="n">
        <v>10114315</v>
      </c>
      <c r="I1174" s="22" t="n">
        <v>25000000</v>
      </c>
      <c r="J1174" s="21">
        <f>IF(OR(H1174="",H1174=25529689.5),"Yes","No")</f>
        <v/>
      </c>
      <c r="K1174" s="21">
        <f>IF(AND(D1174="USA",C1174&gt;=1980,J1174="No"),"Yes","No")</f>
        <v/>
      </c>
      <c r="L1174" s="26">
        <f>IF(J1174="Yes","",H1174-I1174)</f>
        <v/>
      </c>
      <c r="M1174" s="27">
        <f>IF(OR(J1174="Yes",I1174=0),"",H1174/I1174)</f>
        <v/>
      </c>
      <c r="N1174" s="21">
        <f>IF(J1174="Yes","",IF(H1174&gt;=I1174,1,0))</f>
        <v/>
      </c>
      <c r="O1174" s="21">
        <f>IF(I1174&lt;=5000000,"Under $5M",IF(I1174&lt;=20000000,"$5M-20M",IF(I1174&lt;=50000000,"$20M-50M",IF(I1174&lt;=100000000,"$50M-100M","$100M+"))))</f>
        <v/>
      </c>
      <c r="P1174" s="21">
        <f>IF(E1174&lt;=90,"90 or less",IF(E1174&lt;=105,"91-105",IF(E1174&lt;=120,"106-120",IF(E1174&lt;=140,"121-140","Over 140"))))</f>
        <v/>
      </c>
      <c r="Q1174" s="28">
        <f>INT(C1174/10)*10</f>
        <v/>
      </c>
    </row>
    <row r="1175">
      <c r="A1175" s="21" t="n">
        <v>1201</v>
      </c>
      <c r="B1175" s="21" t="inlineStr">
        <is>
          <t>But I'm a Cheerleader</t>
        </is>
      </c>
      <c r="C1175" s="21" t="n">
        <v>1999</v>
      </c>
      <c r="D1175" s="21" t="inlineStr">
        <is>
          <t>USA</t>
        </is>
      </c>
      <c r="E1175" s="21" t="n">
        <v>85</v>
      </c>
      <c r="F1175" s="21" t="inlineStr">
        <is>
          <t>English</t>
        </is>
      </c>
      <c r="G1175" s="21" t="inlineStr">
        <is>
          <t>R</t>
        </is>
      </c>
      <c r="H1175" s="22" t="n">
        <v>2199853</v>
      </c>
      <c r="I1175" s="22" t="n">
        <v>1200000</v>
      </c>
      <c r="J1175" s="21">
        <f>IF(OR(H1175="",H1175=25529689.5),"Yes","No")</f>
        <v/>
      </c>
      <c r="K1175" s="21">
        <f>IF(AND(D1175="USA",C1175&gt;=1980,J1175="No"),"Yes","No")</f>
        <v/>
      </c>
      <c r="L1175" s="26">
        <f>IF(J1175="Yes","",H1175-I1175)</f>
        <v/>
      </c>
      <c r="M1175" s="27">
        <f>IF(OR(J1175="Yes",I1175=0),"",H1175/I1175)</f>
        <v/>
      </c>
      <c r="N1175" s="21">
        <f>IF(J1175="Yes","",IF(H1175&gt;=I1175,1,0))</f>
        <v/>
      </c>
      <c r="O1175" s="21">
        <f>IF(I1175&lt;=5000000,"Under $5M",IF(I1175&lt;=20000000,"$5M-20M",IF(I1175&lt;=50000000,"$20M-50M",IF(I1175&lt;=100000000,"$50M-100M","$100M+"))))</f>
        <v/>
      </c>
      <c r="P1175" s="21">
        <f>IF(E1175&lt;=90,"90 or less",IF(E1175&lt;=105,"91-105",IF(E1175&lt;=120,"106-120",IF(E1175&lt;=140,"121-140","Over 140"))))</f>
        <v/>
      </c>
      <c r="Q1175" s="28">
        <f>INT(C1175/10)*10</f>
        <v/>
      </c>
    </row>
    <row r="1176">
      <c r="A1176" s="21" t="n">
        <v>1202</v>
      </c>
      <c r="B1176" s="21" t="inlineStr">
        <is>
          <t>Chill Factor</t>
        </is>
      </c>
      <c r="C1176" s="21" t="n">
        <v>1999</v>
      </c>
      <c r="D1176" s="21" t="inlineStr">
        <is>
          <t>USA</t>
        </is>
      </c>
      <c r="E1176" s="21" t="n">
        <v>102</v>
      </c>
      <c r="F1176" s="21" t="inlineStr">
        <is>
          <t>English</t>
        </is>
      </c>
      <c r="G1176" s="21" t="inlineStr">
        <is>
          <t>R</t>
        </is>
      </c>
      <c r="H1176" s="22" t="n">
        <v>11227940</v>
      </c>
      <c r="I1176" s="22" t="n">
        <v>34000000</v>
      </c>
      <c r="J1176" s="21">
        <f>IF(OR(H1176="",H1176=25529689.5),"Yes","No")</f>
        <v/>
      </c>
      <c r="K1176" s="21">
        <f>IF(AND(D1176="USA",C1176&gt;=1980,J1176="No"),"Yes","No")</f>
        <v/>
      </c>
      <c r="L1176" s="26">
        <f>IF(J1176="Yes","",H1176-I1176)</f>
        <v/>
      </c>
      <c r="M1176" s="27">
        <f>IF(OR(J1176="Yes",I1176=0),"",H1176/I1176)</f>
        <v/>
      </c>
      <c r="N1176" s="21">
        <f>IF(J1176="Yes","",IF(H1176&gt;=I1176,1,0))</f>
        <v/>
      </c>
      <c r="O1176" s="21">
        <f>IF(I1176&lt;=5000000,"Under $5M",IF(I1176&lt;=20000000,"$5M-20M",IF(I1176&lt;=50000000,"$20M-50M",IF(I1176&lt;=100000000,"$50M-100M","$100M+"))))</f>
        <v/>
      </c>
      <c r="P1176" s="21">
        <f>IF(E1176&lt;=90,"90 or less",IF(E1176&lt;=105,"91-105",IF(E1176&lt;=120,"106-120",IF(E1176&lt;=140,"121-140","Over 140"))))</f>
        <v/>
      </c>
      <c r="Q1176" s="28">
        <f>INT(C1176/10)*10</f>
        <v/>
      </c>
    </row>
    <row r="1177">
      <c r="A1177" s="21" t="n">
        <v>1203</v>
      </c>
      <c r="B1177" s="21" t="inlineStr">
        <is>
          <t>Cradle Will Rock</t>
        </is>
      </c>
      <c r="C1177" s="21" t="n">
        <v>1999</v>
      </c>
      <c r="D1177" s="21" t="inlineStr">
        <is>
          <t>USA</t>
        </is>
      </c>
      <c r="E1177" s="21" t="n">
        <v>132</v>
      </c>
      <c r="F1177" s="21" t="inlineStr">
        <is>
          <t>English</t>
        </is>
      </c>
      <c r="G1177" s="21" t="inlineStr">
        <is>
          <t>R</t>
        </is>
      </c>
      <c r="H1177" s="22" t="n">
        <v>2899970</v>
      </c>
      <c r="I1177" s="22" t="n">
        <v>32000000</v>
      </c>
      <c r="J1177" s="21">
        <f>IF(OR(H1177="",H1177=25529689.5),"Yes","No")</f>
        <v/>
      </c>
      <c r="K1177" s="21">
        <f>IF(AND(D1177="USA",C1177&gt;=1980,J1177="No"),"Yes","No")</f>
        <v/>
      </c>
      <c r="L1177" s="26">
        <f>IF(J1177="Yes","",H1177-I1177)</f>
        <v/>
      </c>
      <c r="M1177" s="27">
        <f>IF(OR(J1177="Yes",I1177=0),"",H1177/I1177)</f>
        <v/>
      </c>
      <c r="N1177" s="21">
        <f>IF(J1177="Yes","",IF(H1177&gt;=I1177,1,0))</f>
        <v/>
      </c>
      <c r="O1177" s="21">
        <f>IF(I1177&lt;=5000000,"Under $5M",IF(I1177&lt;=20000000,"$5M-20M",IF(I1177&lt;=50000000,"$20M-50M",IF(I1177&lt;=100000000,"$50M-100M","$100M+"))))</f>
        <v/>
      </c>
      <c r="P1177" s="21">
        <f>IF(E1177&lt;=90,"90 or less",IF(E1177&lt;=105,"91-105",IF(E1177&lt;=120,"106-120",IF(E1177&lt;=140,"121-140","Over 140"))))</f>
        <v/>
      </c>
      <c r="Q1177" s="28">
        <f>INT(C1177/10)*10</f>
        <v/>
      </c>
    </row>
    <row r="1178">
      <c r="A1178" s="21" t="n">
        <v>1204</v>
      </c>
      <c r="B1178" s="21" t="inlineStr">
        <is>
          <t>Crazy in Alabama</t>
        </is>
      </c>
      <c r="C1178" s="21" t="n">
        <v>1999</v>
      </c>
      <c r="D1178" s="21" t="inlineStr">
        <is>
          <t>USA</t>
        </is>
      </c>
      <c r="E1178" s="21" t="n">
        <v>111</v>
      </c>
      <c r="F1178" s="21" t="inlineStr">
        <is>
          <t>English</t>
        </is>
      </c>
      <c r="G1178" s="21" t="inlineStr">
        <is>
          <t>PG-13</t>
        </is>
      </c>
      <c r="H1178" s="22" t="n">
        <v>1954202</v>
      </c>
      <c r="I1178" s="22" t="n">
        <v>15000000</v>
      </c>
      <c r="J1178" s="21">
        <f>IF(OR(H1178="",H1178=25529689.5),"Yes","No")</f>
        <v/>
      </c>
      <c r="K1178" s="21">
        <f>IF(AND(D1178="USA",C1178&gt;=1980,J1178="No"),"Yes","No")</f>
        <v/>
      </c>
      <c r="L1178" s="26">
        <f>IF(J1178="Yes","",H1178-I1178)</f>
        <v/>
      </c>
      <c r="M1178" s="27">
        <f>IF(OR(J1178="Yes",I1178=0),"",H1178/I1178)</f>
        <v/>
      </c>
      <c r="N1178" s="21">
        <f>IF(J1178="Yes","",IF(H1178&gt;=I1178,1,0))</f>
        <v/>
      </c>
      <c r="O1178" s="21">
        <f>IF(I1178&lt;=5000000,"Under $5M",IF(I1178&lt;=20000000,"$5M-20M",IF(I1178&lt;=50000000,"$20M-50M",IF(I1178&lt;=100000000,"$50M-100M","$100M+"))))</f>
        <v/>
      </c>
      <c r="P1178" s="21">
        <f>IF(E1178&lt;=90,"90 or less",IF(E1178&lt;=105,"91-105",IF(E1178&lt;=120,"106-120",IF(E1178&lt;=140,"121-140","Over 140"))))</f>
        <v/>
      </c>
      <c r="Q1178" s="28">
        <f>INT(C1178/10)*10</f>
        <v/>
      </c>
    </row>
    <row r="1179">
      <c r="A1179" s="21" t="n">
        <v>1205</v>
      </c>
      <c r="B1179" s="21" t="inlineStr">
        <is>
          <t>Cruel Intentions</t>
        </is>
      </c>
      <c r="C1179" s="21" t="n">
        <v>1999</v>
      </c>
      <c r="D1179" s="21" t="inlineStr">
        <is>
          <t>USA</t>
        </is>
      </c>
      <c r="E1179" s="21" t="n">
        <v>97</v>
      </c>
      <c r="F1179" s="21" t="inlineStr">
        <is>
          <t>English</t>
        </is>
      </c>
      <c r="G1179" s="21" t="inlineStr">
        <is>
          <t>R</t>
        </is>
      </c>
      <c r="H1179" s="22" t="n">
        <v>38201895</v>
      </c>
      <c r="I1179" s="22" t="n">
        <v>10500000</v>
      </c>
      <c r="J1179" s="21">
        <f>IF(OR(H1179="",H1179=25529689.5),"Yes","No")</f>
        <v/>
      </c>
      <c r="K1179" s="21">
        <f>IF(AND(D1179="USA",C1179&gt;=1980,J1179="No"),"Yes","No")</f>
        <v/>
      </c>
      <c r="L1179" s="26">
        <f>IF(J1179="Yes","",H1179-I1179)</f>
        <v/>
      </c>
      <c r="M1179" s="27">
        <f>IF(OR(J1179="Yes",I1179=0),"",H1179/I1179)</f>
        <v/>
      </c>
      <c r="N1179" s="21">
        <f>IF(J1179="Yes","",IF(H1179&gt;=I1179,1,0))</f>
        <v/>
      </c>
      <c r="O1179" s="21">
        <f>IF(I1179&lt;=5000000,"Under $5M",IF(I1179&lt;=20000000,"$5M-20M",IF(I1179&lt;=50000000,"$20M-50M",IF(I1179&lt;=100000000,"$50M-100M","$100M+"))))</f>
        <v/>
      </c>
      <c r="P1179" s="21">
        <f>IF(E1179&lt;=90,"90 or less",IF(E1179&lt;=105,"91-105",IF(E1179&lt;=120,"106-120",IF(E1179&lt;=140,"121-140","Over 140"))))</f>
        <v/>
      </c>
      <c r="Q1179" s="28">
        <f>INT(C1179/10)*10</f>
        <v/>
      </c>
    </row>
    <row r="1180">
      <c r="A1180" s="21" t="n">
        <v>1206</v>
      </c>
      <c r="B1180" s="21" t="inlineStr">
        <is>
          <t>Deep Blue Sea</t>
        </is>
      </c>
      <c r="C1180" s="21" t="n">
        <v>1999</v>
      </c>
      <c r="D1180" s="21" t="inlineStr">
        <is>
          <t>USA</t>
        </is>
      </c>
      <c r="E1180" s="21" t="n">
        <v>105</v>
      </c>
      <c r="F1180" s="21" t="inlineStr">
        <is>
          <t>English</t>
        </is>
      </c>
      <c r="G1180" s="21" t="inlineStr">
        <is>
          <t>R</t>
        </is>
      </c>
      <c r="H1180" s="22" t="n">
        <v>73648142</v>
      </c>
      <c r="I1180" s="22" t="n">
        <v>60000000</v>
      </c>
      <c r="J1180" s="21">
        <f>IF(OR(H1180="",H1180=25529689.5),"Yes","No")</f>
        <v/>
      </c>
      <c r="K1180" s="21">
        <f>IF(AND(D1180="USA",C1180&gt;=1980,J1180="No"),"Yes","No")</f>
        <v/>
      </c>
      <c r="L1180" s="26">
        <f>IF(J1180="Yes","",H1180-I1180)</f>
        <v/>
      </c>
      <c r="M1180" s="27">
        <f>IF(OR(J1180="Yes",I1180=0),"",H1180/I1180)</f>
        <v/>
      </c>
      <c r="N1180" s="21">
        <f>IF(J1180="Yes","",IF(H1180&gt;=I1180,1,0))</f>
        <v/>
      </c>
      <c r="O1180" s="21">
        <f>IF(I1180&lt;=5000000,"Under $5M",IF(I1180&lt;=20000000,"$5M-20M",IF(I1180&lt;=50000000,"$20M-50M",IF(I1180&lt;=100000000,"$50M-100M","$100M+"))))</f>
        <v/>
      </c>
      <c r="P1180" s="21">
        <f>IF(E1180&lt;=90,"90 or less",IF(E1180&lt;=105,"91-105",IF(E1180&lt;=120,"106-120",IF(E1180&lt;=140,"121-140","Over 140"))))</f>
        <v/>
      </c>
      <c r="Q1180" s="28">
        <f>INT(C1180/10)*10</f>
        <v/>
      </c>
    </row>
    <row r="1181">
      <c r="A1181" s="21" t="n">
        <v>1207</v>
      </c>
      <c r="B1181" s="21" t="inlineStr">
        <is>
          <t>Deterrence</t>
        </is>
      </c>
      <c r="C1181" s="21" t="n">
        <v>1999</v>
      </c>
      <c r="D1181" s="21" t="inlineStr">
        <is>
          <t>France</t>
        </is>
      </c>
      <c r="E1181" s="21" t="n">
        <v>104</v>
      </c>
      <c r="F1181" s="21" t="inlineStr">
        <is>
          <t>English</t>
        </is>
      </c>
      <c r="G1181" s="21" t="inlineStr">
        <is>
          <t>R</t>
        </is>
      </c>
      <c r="H1181" s="22" t="n">
        <v>144583</v>
      </c>
      <c r="I1181" s="22" t="n">
        <v>800000</v>
      </c>
      <c r="J1181" s="21">
        <f>IF(OR(H1181="",H1181=25529689.5),"Yes","No")</f>
        <v/>
      </c>
      <c r="K1181" s="21">
        <f>IF(AND(D1181="USA",C1181&gt;=1980,J1181="No"),"Yes","No")</f>
        <v/>
      </c>
      <c r="L1181" s="26">
        <f>IF(J1181="Yes","",H1181-I1181)</f>
        <v/>
      </c>
      <c r="M1181" s="27">
        <f>IF(OR(J1181="Yes",I1181=0),"",H1181/I1181)</f>
        <v/>
      </c>
      <c r="N1181" s="21">
        <f>IF(J1181="Yes","",IF(H1181&gt;=I1181,1,0))</f>
        <v/>
      </c>
      <c r="O1181" s="21">
        <f>IF(I1181&lt;=5000000,"Under $5M",IF(I1181&lt;=20000000,"$5M-20M",IF(I1181&lt;=50000000,"$20M-50M",IF(I1181&lt;=100000000,"$50M-100M","$100M+"))))</f>
        <v/>
      </c>
      <c r="P1181" s="21">
        <f>IF(E1181&lt;=90,"90 or less",IF(E1181&lt;=105,"91-105",IF(E1181&lt;=120,"106-120",IF(E1181&lt;=140,"121-140","Over 140"))))</f>
        <v/>
      </c>
      <c r="Q1181" s="28">
        <f>INT(C1181/10)*10</f>
        <v/>
      </c>
    </row>
    <row r="1182">
      <c r="A1182" s="21" t="n">
        <v>1208</v>
      </c>
      <c r="B1182" s="21" t="inlineStr">
        <is>
          <t>Detroit Rock City</t>
        </is>
      </c>
      <c r="C1182" s="21" t="n">
        <v>1999</v>
      </c>
      <c r="D1182" s="21" t="inlineStr">
        <is>
          <t>USA</t>
        </is>
      </c>
      <c r="E1182" s="21" t="n">
        <v>95</v>
      </c>
      <c r="F1182" s="21" t="inlineStr">
        <is>
          <t>English</t>
        </is>
      </c>
      <c r="G1182" s="21" t="inlineStr">
        <is>
          <t>R</t>
        </is>
      </c>
      <c r="H1182" s="22" t="n">
        <v>4193025</v>
      </c>
      <c r="I1182" s="22" t="n">
        <v>15000000</v>
      </c>
      <c r="J1182" s="21">
        <f>IF(OR(H1182="",H1182=25529689.5),"Yes","No")</f>
        <v/>
      </c>
      <c r="K1182" s="21">
        <f>IF(AND(D1182="USA",C1182&gt;=1980,J1182="No"),"Yes","No")</f>
        <v/>
      </c>
      <c r="L1182" s="26">
        <f>IF(J1182="Yes","",H1182-I1182)</f>
        <v/>
      </c>
      <c r="M1182" s="27">
        <f>IF(OR(J1182="Yes",I1182=0),"",H1182/I1182)</f>
        <v/>
      </c>
      <c r="N1182" s="21">
        <f>IF(J1182="Yes","",IF(H1182&gt;=I1182,1,0))</f>
        <v/>
      </c>
      <c r="O1182" s="21">
        <f>IF(I1182&lt;=5000000,"Under $5M",IF(I1182&lt;=20000000,"$5M-20M",IF(I1182&lt;=50000000,"$20M-50M",IF(I1182&lt;=100000000,"$50M-100M","$100M+"))))</f>
        <v/>
      </c>
      <c r="P1182" s="21">
        <f>IF(E1182&lt;=90,"90 or less",IF(E1182&lt;=105,"91-105",IF(E1182&lt;=120,"106-120",IF(E1182&lt;=140,"121-140","Over 140"))))</f>
        <v/>
      </c>
      <c r="Q1182" s="28">
        <f>INT(C1182/10)*10</f>
        <v/>
      </c>
    </row>
    <row r="1183">
      <c r="A1183" s="21" t="n">
        <v>1209</v>
      </c>
      <c r="B1183" s="21" t="inlineStr">
        <is>
          <t>Deuce Bigalow: Male Gigolo</t>
        </is>
      </c>
      <c r="C1183" s="21" t="n">
        <v>1999</v>
      </c>
      <c r="D1183" s="21" t="inlineStr">
        <is>
          <t>USA</t>
        </is>
      </c>
      <c r="E1183" s="21" t="n">
        <v>88</v>
      </c>
      <c r="F1183" s="21" t="inlineStr">
        <is>
          <t>English</t>
        </is>
      </c>
      <c r="G1183" s="21" t="inlineStr">
        <is>
          <t>R</t>
        </is>
      </c>
      <c r="H1183" s="22" t="n">
        <v>65535067</v>
      </c>
      <c r="I1183" s="22" t="n">
        <v>17000000</v>
      </c>
      <c r="J1183" s="21">
        <f>IF(OR(H1183="",H1183=25529689.5),"Yes","No")</f>
        <v/>
      </c>
      <c r="K1183" s="21">
        <f>IF(AND(D1183="USA",C1183&gt;=1980,J1183="No"),"Yes","No")</f>
        <v/>
      </c>
      <c r="L1183" s="26">
        <f>IF(J1183="Yes","",H1183-I1183)</f>
        <v/>
      </c>
      <c r="M1183" s="27">
        <f>IF(OR(J1183="Yes",I1183=0),"",H1183/I1183)</f>
        <v/>
      </c>
      <c r="N1183" s="21">
        <f>IF(J1183="Yes","",IF(H1183&gt;=I1183,1,0))</f>
        <v/>
      </c>
      <c r="O1183" s="21">
        <f>IF(I1183&lt;=5000000,"Under $5M",IF(I1183&lt;=20000000,"$5M-20M",IF(I1183&lt;=50000000,"$20M-50M",IF(I1183&lt;=100000000,"$50M-100M","$100M+"))))</f>
        <v/>
      </c>
      <c r="P1183" s="21">
        <f>IF(E1183&lt;=90,"90 or less",IF(E1183&lt;=105,"91-105",IF(E1183&lt;=120,"106-120",IF(E1183&lt;=140,"121-140","Over 140"))))</f>
        <v/>
      </c>
      <c r="Q1183" s="28">
        <f>INT(C1183/10)*10</f>
        <v/>
      </c>
    </row>
    <row r="1184">
      <c r="A1184" s="21" t="n">
        <v>1210</v>
      </c>
      <c r="B1184" s="21" t="inlineStr">
        <is>
          <t>Dick</t>
        </is>
      </c>
      <c r="C1184" s="21" t="n">
        <v>1999</v>
      </c>
      <c r="D1184" s="21" t="inlineStr">
        <is>
          <t>France</t>
        </is>
      </c>
      <c r="E1184" s="21" t="n">
        <v>94</v>
      </c>
      <c r="F1184" s="21" t="inlineStr">
        <is>
          <t>English</t>
        </is>
      </c>
      <c r="G1184" s="21" t="inlineStr">
        <is>
          <t>PG-13</t>
        </is>
      </c>
      <c r="H1184" s="22" t="n">
        <v>6241697</v>
      </c>
      <c r="I1184" s="22" t="n">
        <v>13000000</v>
      </c>
      <c r="J1184" s="21">
        <f>IF(OR(H1184="",H1184=25529689.5),"Yes","No")</f>
        <v/>
      </c>
      <c r="K1184" s="21">
        <f>IF(AND(D1184="USA",C1184&gt;=1980,J1184="No"),"Yes","No")</f>
        <v/>
      </c>
      <c r="L1184" s="26">
        <f>IF(J1184="Yes","",H1184-I1184)</f>
        <v/>
      </c>
      <c r="M1184" s="27">
        <f>IF(OR(J1184="Yes",I1184=0),"",H1184/I1184)</f>
        <v/>
      </c>
      <c r="N1184" s="21">
        <f>IF(J1184="Yes","",IF(H1184&gt;=I1184,1,0))</f>
        <v/>
      </c>
      <c r="O1184" s="21">
        <f>IF(I1184&lt;=5000000,"Under $5M",IF(I1184&lt;=20000000,"$5M-20M",IF(I1184&lt;=50000000,"$20M-50M",IF(I1184&lt;=100000000,"$50M-100M","$100M+"))))</f>
        <v/>
      </c>
      <c r="P1184" s="21">
        <f>IF(E1184&lt;=90,"90 or less",IF(E1184&lt;=105,"91-105",IF(E1184&lt;=120,"106-120",IF(E1184&lt;=140,"121-140","Over 140"))))</f>
        <v/>
      </c>
      <c r="Q1184" s="28">
        <f>INT(C1184/10)*10</f>
        <v/>
      </c>
    </row>
    <row r="1185">
      <c r="A1185" s="21" t="n">
        <v>1211</v>
      </c>
      <c r="B1185" s="21" t="inlineStr">
        <is>
          <t>Dogma</t>
        </is>
      </c>
      <c r="C1185" s="21" t="n">
        <v>1999</v>
      </c>
      <c r="D1185" s="21" t="inlineStr">
        <is>
          <t>USA</t>
        </is>
      </c>
      <c r="E1185" s="21" t="n">
        <v>130</v>
      </c>
      <c r="F1185" s="21" t="inlineStr">
        <is>
          <t>English</t>
        </is>
      </c>
      <c r="G1185" s="21" t="inlineStr">
        <is>
          <t>R</t>
        </is>
      </c>
      <c r="H1185" s="22" t="n">
        <v>30651422</v>
      </c>
      <c r="I1185" s="22" t="n">
        <v>10000000</v>
      </c>
      <c r="J1185" s="21">
        <f>IF(OR(H1185="",H1185=25529689.5),"Yes","No")</f>
        <v/>
      </c>
      <c r="K1185" s="21">
        <f>IF(AND(D1185="USA",C1185&gt;=1980,J1185="No"),"Yes","No")</f>
        <v/>
      </c>
      <c r="L1185" s="26">
        <f>IF(J1185="Yes","",H1185-I1185)</f>
        <v/>
      </c>
      <c r="M1185" s="27">
        <f>IF(OR(J1185="Yes",I1185=0),"",H1185/I1185)</f>
        <v/>
      </c>
      <c r="N1185" s="21">
        <f>IF(J1185="Yes","",IF(H1185&gt;=I1185,1,0))</f>
        <v/>
      </c>
      <c r="O1185" s="21">
        <f>IF(I1185&lt;=5000000,"Under $5M",IF(I1185&lt;=20000000,"$5M-20M",IF(I1185&lt;=50000000,"$20M-50M",IF(I1185&lt;=100000000,"$50M-100M","$100M+"))))</f>
        <v/>
      </c>
      <c r="P1185" s="21">
        <f>IF(E1185&lt;=90,"90 or less",IF(E1185&lt;=105,"91-105",IF(E1185&lt;=120,"106-120",IF(E1185&lt;=140,"121-140","Over 140"))))</f>
        <v/>
      </c>
      <c r="Q1185" s="28">
        <f>INT(C1185/10)*10</f>
        <v/>
      </c>
    </row>
    <row r="1186">
      <c r="A1186" s="21" t="n">
        <v>1212</v>
      </c>
      <c r="B1186" s="21" t="inlineStr">
        <is>
          <t>Double Jeopardy</t>
        </is>
      </c>
      <c r="C1186" s="21" t="n">
        <v>1999</v>
      </c>
      <c r="D1186" s="21" t="inlineStr">
        <is>
          <t>USA</t>
        </is>
      </c>
      <c r="E1186" s="21" t="n">
        <v>105</v>
      </c>
      <c r="F1186" s="21" t="inlineStr">
        <is>
          <t>English</t>
        </is>
      </c>
      <c r="G1186" s="21" t="inlineStr">
        <is>
          <t>R</t>
        </is>
      </c>
      <c r="H1186" s="22" t="n">
        <v>116735231</v>
      </c>
      <c r="I1186" s="22" t="n">
        <v>70000000</v>
      </c>
      <c r="J1186" s="21">
        <f>IF(OR(H1186="",H1186=25529689.5),"Yes","No")</f>
        <v/>
      </c>
      <c r="K1186" s="21">
        <f>IF(AND(D1186="USA",C1186&gt;=1980,J1186="No"),"Yes","No")</f>
        <v/>
      </c>
      <c r="L1186" s="26">
        <f>IF(J1186="Yes","",H1186-I1186)</f>
        <v/>
      </c>
      <c r="M1186" s="27">
        <f>IF(OR(J1186="Yes",I1186=0),"",H1186/I1186)</f>
        <v/>
      </c>
      <c r="N1186" s="21">
        <f>IF(J1186="Yes","",IF(H1186&gt;=I1186,1,0))</f>
        <v/>
      </c>
      <c r="O1186" s="21">
        <f>IF(I1186&lt;=5000000,"Under $5M",IF(I1186&lt;=20000000,"$5M-20M",IF(I1186&lt;=50000000,"$20M-50M",IF(I1186&lt;=100000000,"$50M-100M","$100M+"))))</f>
        <v/>
      </c>
      <c r="P1186" s="21">
        <f>IF(E1186&lt;=90,"90 or less",IF(E1186&lt;=105,"91-105",IF(E1186&lt;=120,"106-120",IF(E1186&lt;=140,"121-140","Over 140"))))</f>
        <v/>
      </c>
      <c r="Q1186" s="28">
        <f>INT(C1186/10)*10</f>
        <v/>
      </c>
    </row>
    <row r="1187">
      <c r="A1187" s="21" t="n">
        <v>1213</v>
      </c>
      <c r="B1187" s="21" t="inlineStr">
        <is>
          <t>Doug's 1st Movie</t>
        </is>
      </c>
      <c r="C1187" s="21" t="n">
        <v>1999</v>
      </c>
      <c r="D1187" s="21" t="inlineStr">
        <is>
          <t>USA</t>
        </is>
      </c>
      <c r="E1187" s="21" t="n">
        <v>77</v>
      </c>
      <c r="F1187" s="21" t="inlineStr">
        <is>
          <t>English</t>
        </is>
      </c>
      <c r="G1187" s="21" t="inlineStr">
        <is>
          <t>G</t>
        </is>
      </c>
      <c r="H1187" s="22" t="n">
        <v>19421271</v>
      </c>
      <c r="I1187" s="22" t="n">
        <v>5000000</v>
      </c>
      <c r="J1187" s="21">
        <f>IF(OR(H1187="",H1187=25529689.5),"Yes","No")</f>
        <v/>
      </c>
      <c r="K1187" s="21">
        <f>IF(AND(D1187="USA",C1187&gt;=1980,J1187="No"),"Yes","No")</f>
        <v/>
      </c>
      <c r="L1187" s="26">
        <f>IF(J1187="Yes","",H1187-I1187)</f>
        <v/>
      </c>
      <c r="M1187" s="27">
        <f>IF(OR(J1187="Yes",I1187=0),"",H1187/I1187)</f>
        <v/>
      </c>
      <c r="N1187" s="21">
        <f>IF(J1187="Yes","",IF(H1187&gt;=I1187,1,0))</f>
        <v/>
      </c>
      <c r="O1187" s="21">
        <f>IF(I1187&lt;=5000000,"Under $5M",IF(I1187&lt;=20000000,"$5M-20M",IF(I1187&lt;=50000000,"$20M-50M",IF(I1187&lt;=100000000,"$50M-100M","$100M+"))))</f>
        <v/>
      </c>
      <c r="P1187" s="21">
        <f>IF(E1187&lt;=90,"90 or less",IF(E1187&lt;=105,"91-105",IF(E1187&lt;=120,"106-120",IF(E1187&lt;=140,"121-140","Over 140"))))</f>
        <v/>
      </c>
      <c r="Q1187" s="28">
        <f>INT(C1187/10)*10</f>
        <v/>
      </c>
    </row>
    <row r="1188">
      <c r="A1188" s="21" t="n">
        <v>1214</v>
      </c>
      <c r="B1188" s="21" t="inlineStr">
        <is>
          <t>Dreaming of Joseph Lees</t>
        </is>
      </c>
      <c r="C1188" s="21" t="n">
        <v>1999</v>
      </c>
      <c r="D1188" s="21" t="inlineStr">
        <is>
          <t>USA</t>
        </is>
      </c>
      <c r="E1188" s="21" t="n">
        <v>92</v>
      </c>
      <c r="F1188" s="21" t="inlineStr">
        <is>
          <t>English</t>
        </is>
      </c>
      <c r="G1188" s="21" t="inlineStr">
        <is>
          <t>R</t>
        </is>
      </c>
      <c r="H1188" s="22" t="n">
        <v>7680</v>
      </c>
      <c r="I1188" s="22" t="n">
        <v>2000000</v>
      </c>
      <c r="J1188" s="21">
        <f>IF(OR(H1188="",H1188=25529689.5),"Yes","No")</f>
        <v/>
      </c>
      <c r="K1188" s="21">
        <f>IF(AND(D1188="USA",C1188&gt;=1980,J1188="No"),"Yes","No")</f>
        <v/>
      </c>
      <c r="L1188" s="26">
        <f>IF(J1188="Yes","",H1188-I1188)</f>
        <v/>
      </c>
      <c r="M1188" s="27">
        <f>IF(OR(J1188="Yes",I1188=0),"",H1188/I1188)</f>
        <v/>
      </c>
      <c r="N1188" s="21">
        <f>IF(J1188="Yes","",IF(H1188&gt;=I1188,1,0))</f>
        <v/>
      </c>
      <c r="O1188" s="21">
        <f>IF(I1188&lt;=5000000,"Under $5M",IF(I1188&lt;=20000000,"$5M-20M",IF(I1188&lt;=50000000,"$20M-50M",IF(I1188&lt;=100000000,"$50M-100M","$100M+"))))</f>
        <v/>
      </c>
      <c r="P1188" s="21">
        <f>IF(E1188&lt;=90,"90 or less",IF(E1188&lt;=105,"91-105",IF(E1188&lt;=120,"106-120",IF(E1188&lt;=140,"121-140","Over 140"))))</f>
        <v/>
      </c>
      <c r="Q1188" s="28">
        <f>INT(C1188/10)*10</f>
        <v/>
      </c>
    </row>
    <row r="1189">
      <c r="A1189" s="21" t="n">
        <v>1215</v>
      </c>
      <c r="B1189" s="21" t="inlineStr">
        <is>
          <t>Drive Me Crazy</t>
        </is>
      </c>
      <c r="C1189" s="21" t="n">
        <v>1999</v>
      </c>
      <c r="D1189" s="21" t="inlineStr">
        <is>
          <t>USA</t>
        </is>
      </c>
      <c r="E1189" s="21" t="n">
        <v>91</v>
      </c>
      <c r="F1189" s="21" t="inlineStr">
        <is>
          <t>English</t>
        </is>
      </c>
      <c r="G1189" s="21" t="inlineStr">
        <is>
          <t>PG-13</t>
        </is>
      </c>
      <c r="H1189" s="22" t="n">
        <v>17843379</v>
      </c>
      <c r="I1189" s="22" t="n">
        <v>8000000</v>
      </c>
      <c r="J1189" s="21">
        <f>IF(OR(H1189="",H1189=25529689.5),"Yes","No")</f>
        <v/>
      </c>
      <c r="K1189" s="21">
        <f>IF(AND(D1189="USA",C1189&gt;=1980,J1189="No"),"Yes","No")</f>
        <v/>
      </c>
      <c r="L1189" s="26">
        <f>IF(J1189="Yes","",H1189-I1189)</f>
        <v/>
      </c>
      <c r="M1189" s="27">
        <f>IF(OR(J1189="Yes",I1189=0),"",H1189/I1189)</f>
        <v/>
      </c>
      <c r="N1189" s="21">
        <f>IF(J1189="Yes","",IF(H1189&gt;=I1189,1,0))</f>
        <v/>
      </c>
      <c r="O1189" s="21">
        <f>IF(I1189&lt;=5000000,"Under $5M",IF(I1189&lt;=20000000,"$5M-20M",IF(I1189&lt;=50000000,"$20M-50M",IF(I1189&lt;=100000000,"$50M-100M","$100M+"))))</f>
        <v/>
      </c>
      <c r="P1189" s="21">
        <f>IF(E1189&lt;=90,"90 or less",IF(E1189&lt;=105,"91-105",IF(E1189&lt;=120,"106-120",IF(E1189&lt;=140,"121-140","Over 140"))))</f>
        <v/>
      </c>
      <c r="Q1189" s="28">
        <f>INT(C1189/10)*10</f>
        <v/>
      </c>
    </row>
    <row r="1190">
      <c r="A1190" s="21" t="n">
        <v>1216</v>
      </c>
      <c r="B1190" s="21" t="inlineStr">
        <is>
          <t>Drop Dead Gorgeous</t>
        </is>
      </c>
      <c r="C1190" s="21" t="n">
        <v>1999</v>
      </c>
      <c r="D1190" s="21" t="inlineStr">
        <is>
          <t>Germany</t>
        </is>
      </c>
      <c r="E1190" s="21" t="n">
        <v>97</v>
      </c>
      <c r="F1190" s="21" t="inlineStr">
        <is>
          <t>English</t>
        </is>
      </c>
      <c r="G1190" s="21" t="inlineStr">
        <is>
          <t>PG-13</t>
        </is>
      </c>
      <c r="H1190" s="22" t="n">
        <v>10561238</v>
      </c>
      <c r="I1190" s="22" t="n">
        <v>10000000</v>
      </c>
      <c r="J1190" s="21">
        <f>IF(OR(H1190="",H1190=25529689.5),"Yes","No")</f>
        <v/>
      </c>
      <c r="K1190" s="21">
        <f>IF(AND(D1190="USA",C1190&gt;=1980,J1190="No"),"Yes","No")</f>
        <v/>
      </c>
      <c r="L1190" s="26">
        <f>IF(J1190="Yes","",H1190-I1190)</f>
        <v/>
      </c>
      <c r="M1190" s="27">
        <f>IF(OR(J1190="Yes",I1190=0),"",H1190/I1190)</f>
        <v/>
      </c>
      <c r="N1190" s="21">
        <f>IF(J1190="Yes","",IF(H1190&gt;=I1190,1,0))</f>
        <v/>
      </c>
      <c r="O1190" s="21">
        <f>IF(I1190&lt;=5000000,"Under $5M",IF(I1190&lt;=20000000,"$5M-20M",IF(I1190&lt;=50000000,"$20M-50M",IF(I1190&lt;=100000000,"$50M-100M","$100M+"))))</f>
        <v/>
      </c>
      <c r="P1190" s="21">
        <f>IF(E1190&lt;=90,"90 or less",IF(E1190&lt;=105,"91-105",IF(E1190&lt;=120,"106-120",IF(E1190&lt;=140,"121-140","Over 140"))))</f>
        <v/>
      </c>
      <c r="Q1190" s="28">
        <f>INT(C1190/10)*10</f>
        <v/>
      </c>
    </row>
    <row r="1191">
      <c r="A1191" s="21" t="n">
        <v>1217</v>
      </c>
      <c r="B1191" s="21" t="inlineStr">
        <is>
          <t>Dudley Do-Right</t>
        </is>
      </c>
      <c r="C1191" s="21" t="n">
        <v>1999</v>
      </c>
      <c r="D1191" s="21" t="inlineStr">
        <is>
          <t>USA</t>
        </is>
      </c>
      <c r="E1191" s="21" t="n">
        <v>77</v>
      </c>
      <c r="F1191" s="21" t="inlineStr">
        <is>
          <t>English</t>
        </is>
      </c>
      <c r="G1191" s="21" t="inlineStr">
        <is>
          <t>PG</t>
        </is>
      </c>
      <c r="H1191" s="22" t="n">
        <v>9694105</v>
      </c>
      <c r="I1191" s="22" t="n">
        <v>22000000</v>
      </c>
      <c r="J1191" s="21">
        <f>IF(OR(H1191="",H1191=25529689.5),"Yes","No")</f>
        <v/>
      </c>
      <c r="K1191" s="21">
        <f>IF(AND(D1191="USA",C1191&gt;=1980,J1191="No"),"Yes","No")</f>
        <v/>
      </c>
      <c r="L1191" s="26">
        <f>IF(J1191="Yes","",H1191-I1191)</f>
        <v/>
      </c>
      <c r="M1191" s="27">
        <f>IF(OR(J1191="Yes",I1191=0),"",H1191/I1191)</f>
        <v/>
      </c>
      <c r="N1191" s="21">
        <f>IF(J1191="Yes","",IF(H1191&gt;=I1191,1,0))</f>
        <v/>
      </c>
      <c r="O1191" s="21">
        <f>IF(I1191&lt;=5000000,"Under $5M",IF(I1191&lt;=20000000,"$5M-20M",IF(I1191&lt;=50000000,"$20M-50M",IF(I1191&lt;=100000000,"$50M-100M","$100M+"))))</f>
        <v/>
      </c>
      <c r="P1191" s="21">
        <f>IF(E1191&lt;=90,"90 or less",IF(E1191&lt;=105,"91-105",IF(E1191&lt;=120,"106-120",IF(E1191&lt;=140,"121-140","Over 140"))))</f>
        <v/>
      </c>
      <c r="Q1191" s="28">
        <f>INT(C1191/10)*10</f>
        <v/>
      </c>
    </row>
    <row r="1192">
      <c r="A1192" s="21" t="n">
        <v>1218</v>
      </c>
      <c r="B1192" s="21" t="inlineStr">
        <is>
          <t>East Is East</t>
        </is>
      </c>
      <c r="C1192" s="21" t="n">
        <v>1999</v>
      </c>
      <c r="D1192" s="21" t="inlineStr">
        <is>
          <t>UK</t>
        </is>
      </c>
      <c r="E1192" s="21" t="n">
        <v>96</v>
      </c>
      <c r="F1192" s="21" t="inlineStr">
        <is>
          <t>English</t>
        </is>
      </c>
      <c r="G1192" s="21" t="inlineStr">
        <is>
          <t>R</t>
        </is>
      </c>
      <c r="H1192" s="22" t="n">
        <v>4170647</v>
      </c>
      <c r="I1192" s="22" t="n">
        <v>1900000</v>
      </c>
      <c r="J1192" s="21">
        <f>IF(OR(H1192="",H1192=25529689.5),"Yes","No")</f>
        <v/>
      </c>
      <c r="K1192" s="21">
        <f>IF(AND(D1192="USA",C1192&gt;=1980,J1192="No"),"Yes","No")</f>
        <v/>
      </c>
      <c r="L1192" s="26">
        <f>IF(J1192="Yes","",H1192-I1192)</f>
        <v/>
      </c>
      <c r="M1192" s="27">
        <f>IF(OR(J1192="Yes",I1192=0),"",H1192/I1192)</f>
        <v/>
      </c>
      <c r="N1192" s="21">
        <f>IF(J1192="Yes","",IF(H1192&gt;=I1192,1,0))</f>
        <v/>
      </c>
      <c r="O1192" s="21">
        <f>IF(I1192&lt;=5000000,"Under $5M",IF(I1192&lt;=20000000,"$5M-20M",IF(I1192&lt;=50000000,"$20M-50M",IF(I1192&lt;=100000000,"$50M-100M","$100M+"))))</f>
        <v/>
      </c>
      <c r="P1192" s="21">
        <f>IF(E1192&lt;=90,"90 or less",IF(E1192&lt;=105,"91-105",IF(E1192&lt;=120,"106-120",IF(E1192&lt;=140,"121-140","Over 140"))))</f>
        <v/>
      </c>
      <c r="Q1192" s="28">
        <f>INT(C1192/10)*10</f>
        <v/>
      </c>
    </row>
    <row r="1193">
      <c r="A1193" s="21" t="n">
        <v>1219</v>
      </c>
      <c r="B1193" s="21" t="inlineStr">
        <is>
          <t>Edtv</t>
        </is>
      </c>
      <c r="C1193" s="21" t="n">
        <v>1999</v>
      </c>
      <c r="D1193" s="21" t="inlineStr">
        <is>
          <t>USA</t>
        </is>
      </c>
      <c r="E1193" s="21" t="n">
        <v>122</v>
      </c>
      <c r="F1193" s="21" t="inlineStr">
        <is>
          <t>English</t>
        </is>
      </c>
      <c r="G1193" s="21" t="inlineStr">
        <is>
          <t>PG-13</t>
        </is>
      </c>
      <c r="H1193" s="22" t="n">
        <v>22362500</v>
      </c>
      <c r="I1193" s="22" t="n">
        <v>55000000</v>
      </c>
      <c r="J1193" s="21">
        <f>IF(OR(H1193="",H1193=25529689.5),"Yes","No")</f>
        <v/>
      </c>
      <c r="K1193" s="21">
        <f>IF(AND(D1193="USA",C1193&gt;=1980,J1193="No"),"Yes","No")</f>
        <v/>
      </c>
      <c r="L1193" s="26">
        <f>IF(J1193="Yes","",H1193-I1193)</f>
        <v/>
      </c>
      <c r="M1193" s="27">
        <f>IF(OR(J1193="Yes",I1193=0),"",H1193/I1193)</f>
        <v/>
      </c>
      <c r="N1193" s="21">
        <f>IF(J1193="Yes","",IF(H1193&gt;=I1193,1,0))</f>
        <v/>
      </c>
      <c r="O1193" s="21">
        <f>IF(I1193&lt;=5000000,"Under $5M",IF(I1193&lt;=20000000,"$5M-20M",IF(I1193&lt;=50000000,"$20M-50M",IF(I1193&lt;=100000000,"$50M-100M","$100M+"))))</f>
        <v/>
      </c>
      <c r="P1193" s="21">
        <f>IF(E1193&lt;=90,"90 or less",IF(E1193&lt;=105,"91-105",IF(E1193&lt;=120,"106-120",IF(E1193&lt;=140,"121-140","Over 140"))))</f>
        <v/>
      </c>
      <c r="Q1193" s="28">
        <f>INT(C1193/10)*10</f>
        <v/>
      </c>
    </row>
    <row r="1194">
      <c r="A1194" s="21" t="n">
        <v>1220</v>
      </c>
      <c r="B1194" s="21" t="inlineStr">
        <is>
          <t>Election</t>
        </is>
      </c>
      <c r="C1194" s="21" t="n">
        <v>1999</v>
      </c>
      <c r="D1194" s="21" t="inlineStr">
        <is>
          <t>USA</t>
        </is>
      </c>
      <c r="E1194" s="21" t="n">
        <v>103</v>
      </c>
      <c r="F1194" s="21" t="inlineStr">
        <is>
          <t>English</t>
        </is>
      </c>
      <c r="G1194" s="21" t="inlineStr">
        <is>
          <t>R</t>
        </is>
      </c>
      <c r="H1194" s="22" t="n">
        <v>14879556</v>
      </c>
      <c r="I1194" s="22" t="n">
        <v>8000000</v>
      </c>
      <c r="J1194" s="21">
        <f>IF(OR(H1194="",H1194=25529689.5),"Yes","No")</f>
        <v/>
      </c>
      <c r="K1194" s="21">
        <f>IF(AND(D1194="USA",C1194&gt;=1980,J1194="No"),"Yes","No")</f>
        <v/>
      </c>
      <c r="L1194" s="26">
        <f>IF(J1194="Yes","",H1194-I1194)</f>
        <v/>
      </c>
      <c r="M1194" s="27">
        <f>IF(OR(J1194="Yes",I1194=0),"",H1194/I1194)</f>
        <v/>
      </c>
      <c r="N1194" s="21">
        <f>IF(J1194="Yes","",IF(H1194&gt;=I1194,1,0))</f>
        <v/>
      </c>
      <c r="O1194" s="21">
        <f>IF(I1194&lt;=5000000,"Under $5M",IF(I1194&lt;=20000000,"$5M-20M",IF(I1194&lt;=50000000,"$20M-50M",IF(I1194&lt;=100000000,"$50M-100M","$100M+"))))</f>
        <v/>
      </c>
      <c r="P1194" s="21">
        <f>IF(E1194&lt;=90,"90 or less",IF(E1194&lt;=105,"91-105",IF(E1194&lt;=120,"106-120",IF(E1194&lt;=140,"121-140","Over 140"))))</f>
        <v/>
      </c>
      <c r="Q1194" s="28">
        <f>INT(C1194/10)*10</f>
        <v/>
      </c>
    </row>
    <row r="1195">
      <c r="A1195" s="21" t="n">
        <v>1221</v>
      </c>
      <c r="B1195" s="21" t="inlineStr">
        <is>
          <t>End of Days</t>
        </is>
      </c>
      <c r="C1195" s="21" t="n">
        <v>1999</v>
      </c>
      <c r="D1195" s="21" t="inlineStr">
        <is>
          <t>USA</t>
        </is>
      </c>
      <c r="E1195" s="21" t="n">
        <v>121</v>
      </c>
      <c r="F1195" s="21" t="inlineStr">
        <is>
          <t>English</t>
        </is>
      </c>
      <c r="G1195" s="21" t="inlineStr">
        <is>
          <t>R</t>
        </is>
      </c>
      <c r="H1195" s="22" t="n">
        <v>66862068</v>
      </c>
      <c r="I1195" s="22" t="n">
        <v>83000000</v>
      </c>
      <c r="J1195" s="21">
        <f>IF(OR(H1195="",H1195=25529689.5),"Yes","No")</f>
        <v/>
      </c>
      <c r="K1195" s="21">
        <f>IF(AND(D1195="USA",C1195&gt;=1980,J1195="No"),"Yes","No")</f>
        <v/>
      </c>
      <c r="L1195" s="26">
        <f>IF(J1195="Yes","",H1195-I1195)</f>
        <v/>
      </c>
      <c r="M1195" s="27">
        <f>IF(OR(J1195="Yes",I1195=0),"",H1195/I1195)</f>
        <v/>
      </c>
      <c r="N1195" s="21">
        <f>IF(J1195="Yes","",IF(H1195&gt;=I1195,1,0))</f>
        <v/>
      </c>
      <c r="O1195" s="21">
        <f>IF(I1195&lt;=5000000,"Under $5M",IF(I1195&lt;=20000000,"$5M-20M",IF(I1195&lt;=50000000,"$20M-50M",IF(I1195&lt;=100000000,"$50M-100M","$100M+"))))</f>
        <v/>
      </c>
      <c r="P1195" s="21">
        <f>IF(E1195&lt;=90,"90 or less",IF(E1195&lt;=105,"91-105",IF(E1195&lt;=120,"106-120",IF(E1195&lt;=140,"121-140","Over 140"))))</f>
        <v/>
      </c>
      <c r="Q1195" s="28">
        <f>INT(C1195/10)*10</f>
        <v/>
      </c>
    </row>
    <row r="1196">
      <c r="A1196" s="21" t="n">
        <v>1222</v>
      </c>
      <c r="B1196" s="21" t="inlineStr">
        <is>
          <t>Entrapment</t>
        </is>
      </c>
      <c r="C1196" s="21" t="n">
        <v>1999</v>
      </c>
      <c r="D1196" s="21" t="inlineStr">
        <is>
          <t>USA</t>
        </is>
      </c>
      <c r="E1196" s="21" t="n">
        <v>113</v>
      </c>
      <c r="F1196" s="21" t="inlineStr">
        <is>
          <t>English</t>
        </is>
      </c>
      <c r="G1196" s="21" t="inlineStr">
        <is>
          <t>PG-13</t>
        </is>
      </c>
      <c r="H1196" s="22" t="n">
        <v>87704396</v>
      </c>
      <c r="I1196" s="22" t="n">
        <v>66000000</v>
      </c>
      <c r="J1196" s="21">
        <f>IF(OR(H1196="",H1196=25529689.5),"Yes","No")</f>
        <v/>
      </c>
      <c r="K1196" s="21">
        <f>IF(AND(D1196="USA",C1196&gt;=1980,J1196="No"),"Yes","No")</f>
        <v/>
      </c>
      <c r="L1196" s="26">
        <f>IF(J1196="Yes","",H1196-I1196)</f>
        <v/>
      </c>
      <c r="M1196" s="27">
        <f>IF(OR(J1196="Yes",I1196=0),"",H1196/I1196)</f>
        <v/>
      </c>
      <c r="N1196" s="21">
        <f>IF(J1196="Yes","",IF(H1196&gt;=I1196,1,0))</f>
        <v/>
      </c>
      <c r="O1196" s="21">
        <f>IF(I1196&lt;=5000000,"Under $5M",IF(I1196&lt;=20000000,"$5M-20M",IF(I1196&lt;=50000000,"$20M-50M",IF(I1196&lt;=100000000,"$50M-100M","$100M+"))))</f>
        <v/>
      </c>
      <c r="P1196" s="21">
        <f>IF(E1196&lt;=90,"90 or less",IF(E1196&lt;=105,"91-105",IF(E1196&lt;=120,"106-120",IF(E1196&lt;=140,"121-140","Over 140"))))</f>
        <v/>
      </c>
      <c r="Q1196" s="28">
        <f>INT(C1196/10)*10</f>
        <v/>
      </c>
    </row>
    <row r="1197">
      <c r="A1197" s="21" t="n">
        <v>1223</v>
      </c>
      <c r="B1197" s="21" t="inlineStr">
        <is>
          <t>eXistenZ</t>
        </is>
      </c>
      <c r="C1197" s="21" t="n">
        <v>1999</v>
      </c>
      <c r="D1197" s="21" t="inlineStr">
        <is>
          <t>Canada</t>
        </is>
      </c>
      <c r="E1197" s="21" t="n">
        <v>115</v>
      </c>
      <c r="F1197" s="21" t="inlineStr">
        <is>
          <t>English</t>
        </is>
      </c>
      <c r="G1197" s="21" t="inlineStr">
        <is>
          <t>R</t>
        </is>
      </c>
      <c r="H1197" s="22" t="n">
        <v>2840417</v>
      </c>
      <c r="I1197" s="22" t="n">
        <v>31000000</v>
      </c>
      <c r="J1197" s="21">
        <f>IF(OR(H1197="",H1197=25529689.5),"Yes","No")</f>
        <v/>
      </c>
      <c r="K1197" s="21">
        <f>IF(AND(D1197="USA",C1197&gt;=1980,J1197="No"),"Yes","No")</f>
        <v/>
      </c>
      <c r="L1197" s="26">
        <f>IF(J1197="Yes","",H1197-I1197)</f>
        <v/>
      </c>
      <c r="M1197" s="27">
        <f>IF(OR(J1197="Yes",I1197=0),"",H1197/I1197)</f>
        <v/>
      </c>
      <c r="N1197" s="21">
        <f>IF(J1197="Yes","",IF(H1197&gt;=I1197,1,0))</f>
        <v/>
      </c>
      <c r="O1197" s="21">
        <f>IF(I1197&lt;=5000000,"Under $5M",IF(I1197&lt;=20000000,"$5M-20M",IF(I1197&lt;=50000000,"$20M-50M",IF(I1197&lt;=100000000,"$50M-100M","$100M+"))))</f>
        <v/>
      </c>
      <c r="P1197" s="21">
        <f>IF(E1197&lt;=90,"90 or less",IF(E1197&lt;=105,"91-105",IF(E1197&lt;=120,"106-120",IF(E1197&lt;=140,"121-140","Over 140"))))</f>
        <v/>
      </c>
      <c r="Q1197" s="28">
        <f>INT(C1197/10)*10</f>
        <v/>
      </c>
    </row>
    <row r="1198">
      <c r="A1198" s="21" t="n">
        <v>1224</v>
      </c>
      <c r="B1198" s="21" t="inlineStr">
        <is>
          <t>Eye of the Beholder</t>
        </is>
      </c>
      <c r="C1198" s="21" t="n">
        <v>1999</v>
      </c>
      <c r="D1198" s="21" t="inlineStr">
        <is>
          <t>Canada</t>
        </is>
      </c>
      <c r="E1198" s="21" t="n">
        <v>109</v>
      </c>
      <c r="F1198" s="21" t="inlineStr">
        <is>
          <t>English</t>
        </is>
      </c>
      <c r="G1198" s="21" t="inlineStr">
        <is>
          <t>R</t>
        </is>
      </c>
      <c r="H1198" s="22" t="n">
        <v>16459004</v>
      </c>
      <c r="I1198" s="22" t="n">
        <v>15000000</v>
      </c>
      <c r="J1198" s="21">
        <f>IF(OR(H1198="",H1198=25529689.5),"Yes","No")</f>
        <v/>
      </c>
      <c r="K1198" s="21">
        <f>IF(AND(D1198="USA",C1198&gt;=1980,J1198="No"),"Yes","No")</f>
        <v/>
      </c>
      <c r="L1198" s="26">
        <f>IF(J1198="Yes","",H1198-I1198)</f>
        <v/>
      </c>
      <c r="M1198" s="27">
        <f>IF(OR(J1198="Yes",I1198=0),"",H1198/I1198)</f>
        <v/>
      </c>
      <c r="N1198" s="21">
        <f>IF(J1198="Yes","",IF(H1198&gt;=I1198,1,0))</f>
        <v/>
      </c>
      <c r="O1198" s="21">
        <f>IF(I1198&lt;=5000000,"Under $5M",IF(I1198&lt;=20000000,"$5M-20M",IF(I1198&lt;=50000000,"$20M-50M",IF(I1198&lt;=100000000,"$50M-100M","$100M+"))))</f>
        <v/>
      </c>
      <c r="P1198" s="21">
        <f>IF(E1198&lt;=90,"90 or less",IF(E1198&lt;=105,"91-105",IF(E1198&lt;=120,"106-120",IF(E1198&lt;=140,"121-140","Over 140"))))</f>
        <v/>
      </c>
      <c r="Q1198" s="28">
        <f>INT(C1198/10)*10</f>
        <v/>
      </c>
    </row>
    <row r="1199">
      <c r="A1199" s="21" t="n">
        <v>1225</v>
      </c>
      <c r="B1199" s="21" t="inlineStr">
        <is>
          <t>Eyes Wide Shut</t>
        </is>
      </c>
      <c r="C1199" s="21" t="n">
        <v>1999</v>
      </c>
      <c r="D1199" s="21" t="inlineStr">
        <is>
          <t>UK</t>
        </is>
      </c>
      <c r="E1199" s="21" t="n">
        <v>159</v>
      </c>
      <c r="F1199" s="21" t="inlineStr">
        <is>
          <t>English</t>
        </is>
      </c>
      <c r="G1199" s="21" t="inlineStr">
        <is>
          <t>R</t>
        </is>
      </c>
      <c r="H1199" s="22" t="n">
        <v>55637680</v>
      </c>
      <c r="I1199" s="22" t="n">
        <v>65000000</v>
      </c>
      <c r="J1199" s="21">
        <f>IF(OR(H1199="",H1199=25529689.5),"Yes","No")</f>
        <v/>
      </c>
      <c r="K1199" s="21">
        <f>IF(AND(D1199="USA",C1199&gt;=1980,J1199="No"),"Yes","No")</f>
        <v/>
      </c>
      <c r="L1199" s="26">
        <f>IF(J1199="Yes","",H1199-I1199)</f>
        <v/>
      </c>
      <c r="M1199" s="27">
        <f>IF(OR(J1199="Yes",I1199=0),"",H1199/I1199)</f>
        <v/>
      </c>
      <c r="N1199" s="21">
        <f>IF(J1199="Yes","",IF(H1199&gt;=I1199,1,0))</f>
        <v/>
      </c>
      <c r="O1199" s="21">
        <f>IF(I1199&lt;=5000000,"Under $5M",IF(I1199&lt;=20000000,"$5M-20M",IF(I1199&lt;=50000000,"$20M-50M",IF(I1199&lt;=100000000,"$50M-100M","$100M+"))))</f>
        <v/>
      </c>
      <c r="P1199" s="21">
        <f>IF(E1199&lt;=90,"90 or less",IF(E1199&lt;=105,"91-105",IF(E1199&lt;=120,"106-120",IF(E1199&lt;=140,"121-140","Over 140"))))</f>
        <v/>
      </c>
      <c r="Q1199" s="28">
        <f>INT(C1199/10)*10</f>
        <v/>
      </c>
    </row>
    <row r="1200">
      <c r="A1200" s="21" t="n">
        <v>1226</v>
      </c>
      <c r="B1200" s="21" t="inlineStr">
        <is>
          <t>Fantasia 2000</t>
        </is>
      </c>
      <c r="C1200" s="21" t="n">
        <v>1999</v>
      </c>
      <c r="D1200" s="21" t="inlineStr">
        <is>
          <t>USA</t>
        </is>
      </c>
      <c r="E1200" s="21" t="n">
        <v>74</v>
      </c>
      <c r="F1200" s="21" t="inlineStr">
        <is>
          <t>English</t>
        </is>
      </c>
      <c r="G1200" s="21" t="inlineStr">
        <is>
          <t>G</t>
        </is>
      </c>
      <c r="H1200" s="22" t="n">
        <v>60507228</v>
      </c>
      <c r="I1200" s="22" t="n">
        <v>80000000</v>
      </c>
      <c r="J1200" s="21">
        <f>IF(OR(H1200="",H1200=25529689.5),"Yes","No")</f>
        <v/>
      </c>
      <c r="K1200" s="21">
        <f>IF(AND(D1200="USA",C1200&gt;=1980,J1200="No"),"Yes","No")</f>
        <v/>
      </c>
      <c r="L1200" s="26">
        <f>IF(J1200="Yes","",H1200-I1200)</f>
        <v/>
      </c>
      <c r="M1200" s="27">
        <f>IF(OR(J1200="Yes",I1200=0),"",H1200/I1200)</f>
        <v/>
      </c>
      <c r="N1200" s="21">
        <f>IF(J1200="Yes","",IF(H1200&gt;=I1200,1,0))</f>
        <v/>
      </c>
      <c r="O1200" s="21">
        <f>IF(I1200&lt;=5000000,"Under $5M",IF(I1200&lt;=20000000,"$5M-20M",IF(I1200&lt;=50000000,"$20M-50M",IF(I1200&lt;=100000000,"$50M-100M","$100M+"))))</f>
        <v/>
      </c>
      <c r="P1200" s="21">
        <f>IF(E1200&lt;=90,"90 or less",IF(E1200&lt;=105,"91-105",IF(E1200&lt;=120,"106-120",IF(E1200&lt;=140,"121-140","Over 140"))))</f>
        <v/>
      </c>
      <c r="Q1200" s="28">
        <f>INT(C1200/10)*10</f>
        <v/>
      </c>
    </row>
    <row r="1201">
      <c r="A1201" s="21" t="n">
        <v>1227</v>
      </c>
      <c r="B1201" s="21" t="inlineStr">
        <is>
          <t>Felicia's Journey</t>
        </is>
      </c>
      <c r="C1201" s="21" t="n">
        <v>1999</v>
      </c>
      <c r="D1201" s="21" t="inlineStr">
        <is>
          <t>Canada</t>
        </is>
      </c>
      <c r="E1201" s="21" t="n">
        <v>116</v>
      </c>
      <c r="F1201" s="21" t="inlineStr">
        <is>
          <t>English</t>
        </is>
      </c>
      <c r="G1201" s="21" t="inlineStr">
        <is>
          <t>PG-13</t>
        </is>
      </c>
      <c r="H1201" s="22" t="n">
        <v>819852</v>
      </c>
      <c r="I1201" s="22" t="n">
        <v>20000000</v>
      </c>
      <c r="J1201" s="21">
        <f>IF(OR(H1201="",H1201=25529689.5),"Yes","No")</f>
        <v/>
      </c>
      <c r="K1201" s="21">
        <f>IF(AND(D1201="USA",C1201&gt;=1980,J1201="No"),"Yes","No")</f>
        <v/>
      </c>
      <c r="L1201" s="26">
        <f>IF(J1201="Yes","",H1201-I1201)</f>
        <v/>
      </c>
      <c r="M1201" s="27">
        <f>IF(OR(J1201="Yes",I1201=0),"",H1201/I1201)</f>
        <v/>
      </c>
      <c r="N1201" s="21">
        <f>IF(J1201="Yes","",IF(H1201&gt;=I1201,1,0))</f>
        <v/>
      </c>
      <c r="O1201" s="21">
        <f>IF(I1201&lt;=5000000,"Under $5M",IF(I1201&lt;=20000000,"$5M-20M",IF(I1201&lt;=50000000,"$20M-50M",IF(I1201&lt;=100000000,"$50M-100M","$100M+"))))</f>
        <v/>
      </c>
      <c r="P1201" s="21">
        <f>IF(E1201&lt;=90,"90 or less",IF(E1201&lt;=105,"91-105",IF(E1201&lt;=120,"106-120",IF(E1201&lt;=140,"121-140","Over 140"))))</f>
        <v/>
      </c>
      <c r="Q1201" s="28">
        <f>INT(C1201/10)*10</f>
        <v/>
      </c>
    </row>
    <row r="1202">
      <c r="A1202" s="21" t="n">
        <v>1228</v>
      </c>
      <c r="B1202" s="21" t="inlineStr">
        <is>
          <t>Fight Club</t>
        </is>
      </c>
      <c r="C1202" s="21" t="n">
        <v>1999</v>
      </c>
      <c r="D1202" s="21" t="inlineStr">
        <is>
          <t>USA</t>
        </is>
      </c>
      <c r="E1202" s="21" t="n">
        <v>151</v>
      </c>
      <c r="F1202" s="21" t="inlineStr">
        <is>
          <t>English</t>
        </is>
      </c>
      <c r="G1202" s="21" t="inlineStr">
        <is>
          <t>R</t>
        </is>
      </c>
      <c r="H1202" s="22" t="n">
        <v>37023395</v>
      </c>
      <c r="I1202" s="22" t="n">
        <v>63000000</v>
      </c>
      <c r="J1202" s="21">
        <f>IF(OR(H1202="",H1202=25529689.5),"Yes","No")</f>
        <v/>
      </c>
      <c r="K1202" s="21">
        <f>IF(AND(D1202="USA",C1202&gt;=1980,J1202="No"),"Yes","No")</f>
        <v/>
      </c>
      <c r="L1202" s="26">
        <f>IF(J1202="Yes","",H1202-I1202)</f>
        <v/>
      </c>
      <c r="M1202" s="27">
        <f>IF(OR(J1202="Yes",I1202=0),"",H1202/I1202)</f>
        <v/>
      </c>
      <c r="N1202" s="21">
        <f>IF(J1202="Yes","",IF(H1202&gt;=I1202,1,0))</f>
        <v/>
      </c>
      <c r="O1202" s="21">
        <f>IF(I1202&lt;=5000000,"Under $5M",IF(I1202&lt;=20000000,"$5M-20M",IF(I1202&lt;=50000000,"$20M-50M",IF(I1202&lt;=100000000,"$50M-100M","$100M+"))))</f>
        <v/>
      </c>
      <c r="P1202" s="21">
        <f>IF(E1202&lt;=90,"90 or less",IF(E1202&lt;=105,"91-105",IF(E1202&lt;=120,"106-120",IF(E1202&lt;=140,"121-140","Over 140"))))</f>
        <v/>
      </c>
      <c r="Q1202" s="28">
        <f>INT(C1202/10)*10</f>
        <v/>
      </c>
    </row>
    <row r="1203">
      <c r="A1203" s="21" t="n">
        <v>1229</v>
      </c>
      <c r="B1203" s="21" t="inlineStr">
        <is>
          <t>Flawless</t>
        </is>
      </c>
      <c r="C1203" s="21" t="n">
        <v>1999</v>
      </c>
      <c r="D1203" s="21" t="inlineStr">
        <is>
          <t>USA</t>
        </is>
      </c>
      <c r="E1203" s="21" t="n">
        <v>112</v>
      </c>
      <c r="F1203" s="21" t="inlineStr">
        <is>
          <t>English</t>
        </is>
      </c>
      <c r="G1203" s="21" t="inlineStr">
        <is>
          <t>R</t>
        </is>
      </c>
      <c r="H1203" s="22" t="n">
        <v>4485485</v>
      </c>
      <c r="I1203" s="22" t="n">
        <v>15000000</v>
      </c>
      <c r="J1203" s="21">
        <f>IF(OR(H1203="",H1203=25529689.5),"Yes","No")</f>
        <v/>
      </c>
      <c r="K1203" s="21">
        <f>IF(AND(D1203="USA",C1203&gt;=1980,J1203="No"),"Yes","No")</f>
        <v/>
      </c>
      <c r="L1203" s="26">
        <f>IF(J1203="Yes","",H1203-I1203)</f>
        <v/>
      </c>
      <c r="M1203" s="27">
        <f>IF(OR(J1203="Yes",I1203=0),"",H1203/I1203)</f>
        <v/>
      </c>
      <c r="N1203" s="21">
        <f>IF(J1203="Yes","",IF(H1203&gt;=I1203,1,0))</f>
        <v/>
      </c>
      <c r="O1203" s="21">
        <f>IF(I1203&lt;=5000000,"Under $5M",IF(I1203&lt;=20000000,"$5M-20M",IF(I1203&lt;=50000000,"$20M-50M",IF(I1203&lt;=100000000,"$50M-100M","$100M+"))))</f>
        <v/>
      </c>
      <c r="P1203" s="21">
        <f>IF(E1203&lt;=90,"90 or less",IF(E1203&lt;=105,"91-105",IF(E1203&lt;=120,"106-120",IF(E1203&lt;=140,"121-140","Over 140"))))</f>
        <v/>
      </c>
      <c r="Q1203" s="28">
        <f>INT(C1203/10)*10</f>
        <v/>
      </c>
    </row>
    <row r="1204">
      <c r="A1204" s="21" t="n">
        <v>1230</v>
      </c>
      <c r="B1204" s="21" t="inlineStr">
        <is>
          <t>Foolish</t>
        </is>
      </c>
      <c r="C1204" s="21" t="n">
        <v>1999</v>
      </c>
      <c r="D1204" s="21" t="inlineStr">
        <is>
          <t>USA</t>
        </is>
      </c>
      <c r="E1204" s="21" t="n">
        <v>84</v>
      </c>
      <c r="F1204" s="21" t="inlineStr">
        <is>
          <t>English</t>
        </is>
      </c>
      <c r="G1204" s="21" t="inlineStr">
        <is>
          <t>R</t>
        </is>
      </c>
      <c r="H1204" s="22" t="n">
        <v>6026908</v>
      </c>
      <c r="I1204" s="22" t="n">
        <v>2000000</v>
      </c>
      <c r="J1204" s="21">
        <f>IF(OR(H1204="",H1204=25529689.5),"Yes","No")</f>
        <v/>
      </c>
      <c r="K1204" s="21">
        <f>IF(AND(D1204="USA",C1204&gt;=1980,J1204="No"),"Yes","No")</f>
        <v/>
      </c>
      <c r="L1204" s="26">
        <f>IF(J1204="Yes","",H1204-I1204)</f>
        <v/>
      </c>
      <c r="M1204" s="27">
        <f>IF(OR(J1204="Yes",I1204=0),"",H1204/I1204)</f>
        <v/>
      </c>
      <c r="N1204" s="21">
        <f>IF(J1204="Yes","",IF(H1204&gt;=I1204,1,0))</f>
        <v/>
      </c>
      <c r="O1204" s="21">
        <f>IF(I1204&lt;=5000000,"Under $5M",IF(I1204&lt;=20000000,"$5M-20M",IF(I1204&lt;=50000000,"$20M-50M",IF(I1204&lt;=100000000,"$50M-100M","$100M+"))))</f>
        <v/>
      </c>
      <c r="P1204" s="21">
        <f>IF(E1204&lt;=90,"90 or less",IF(E1204&lt;=105,"91-105",IF(E1204&lt;=120,"106-120",IF(E1204&lt;=140,"121-140","Over 140"))))</f>
        <v/>
      </c>
      <c r="Q1204" s="28">
        <f>INT(C1204/10)*10</f>
        <v/>
      </c>
    </row>
    <row r="1205">
      <c r="A1205" s="21" t="n">
        <v>1231</v>
      </c>
      <c r="B1205" s="21" t="inlineStr">
        <is>
          <t>For Love of the Game</t>
        </is>
      </c>
      <c r="C1205" s="21" t="n">
        <v>1999</v>
      </c>
      <c r="D1205" s="21" t="inlineStr">
        <is>
          <t>USA</t>
        </is>
      </c>
      <c r="E1205" s="21" t="n">
        <v>137</v>
      </c>
      <c r="F1205" s="21" t="inlineStr">
        <is>
          <t>English</t>
        </is>
      </c>
      <c r="G1205" s="21" t="inlineStr">
        <is>
          <t>PG-13</t>
        </is>
      </c>
      <c r="H1205" s="22" t="n">
        <v>35168395</v>
      </c>
      <c r="I1205" s="22" t="n">
        <v>50000000</v>
      </c>
      <c r="J1205" s="21">
        <f>IF(OR(H1205="",H1205=25529689.5),"Yes","No")</f>
        <v/>
      </c>
      <c r="K1205" s="21">
        <f>IF(AND(D1205="USA",C1205&gt;=1980,J1205="No"),"Yes","No")</f>
        <v/>
      </c>
      <c r="L1205" s="26">
        <f>IF(J1205="Yes","",H1205-I1205)</f>
        <v/>
      </c>
      <c r="M1205" s="27">
        <f>IF(OR(J1205="Yes",I1205=0),"",H1205/I1205)</f>
        <v/>
      </c>
      <c r="N1205" s="21">
        <f>IF(J1205="Yes","",IF(H1205&gt;=I1205,1,0))</f>
        <v/>
      </c>
      <c r="O1205" s="21">
        <f>IF(I1205&lt;=5000000,"Under $5M",IF(I1205&lt;=20000000,"$5M-20M",IF(I1205&lt;=50000000,"$20M-50M",IF(I1205&lt;=100000000,"$50M-100M","$100M+"))))</f>
        <v/>
      </c>
      <c r="P1205" s="21">
        <f>IF(E1205&lt;=90,"90 or less",IF(E1205&lt;=105,"91-105",IF(E1205&lt;=120,"106-120",IF(E1205&lt;=140,"121-140","Over 140"))))</f>
        <v/>
      </c>
      <c r="Q1205" s="28">
        <f>INT(C1205/10)*10</f>
        <v/>
      </c>
    </row>
    <row r="1206">
      <c r="A1206" s="21" t="n">
        <v>1232</v>
      </c>
      <c r="B1206" s="21" t="inlineStr">
        <is>
          <t>Galaxy Quest</t>
        </is>
      </c>
      <c r="C1206" s="21" t="n">
        <v>1999</v>
      </c>
      <c r="D1206" s="21" t="inlineStr">
        <is>
          <t>USA</t>
        </is>
      </c>
      <c r="E1206" s="21" t="n">
        <v>102</v>
      </c>
      <c r="F1206" s="21" t="inlineStr">
        <is>
          <t>English</t>
        </is>
      </c>
      <c r="G1206" s="21" t="inlineStr">
        <is>
          <t>PG</t>
        </is>
      </c>
      <c r="H1206" s="22" t="n">
        <v>71423726</v>
      </c>
      <c r="I1206" s="22" t="n">
        <v>45000000</v>
      </c>
      <c r="J1206" s="21">
        <f>IF(OR(H1206="",H1206=25529689.5),"Yes","No")</f>
        <v/>
      </c>
      <c r="K1206" s="21">
        <f>IF(AND(D1206="USA",C1206&gt;=1980,J1206="No"),"Yes","No")</f>
        <v/>
      </c>
      <c r="L1206" s="26">
        <f>IF(J1206="Yes","",H1206-I1206)</f>
        <v/>
      </c>
      <c r="M1206" s="27">
        <f>IF(OR(J1206="Yes",I1206=0),"",H1206/I1206)</f>
        <v/>
      </c>
      <c r="N1206" s="21">
        <f>IF(J1206="Yes","",IF(H1206&gt;=I1206,1,0))</f>
        <v/>
      </c>
      <c r="O1206" s="21">
        <f>IF(I1206&lt;=5000000,"Under $5M",IF(I1206&lt;=20000000,"$5M-20M",IF(I1206&lt;=50000000,"$20M-50M",IF(I1206&lt;=100000000,"$50M-100M","$100M+"))))</f>
        <v/>
      </c>
      <c r="P1206" s="21">
        <f>IF(E1206&lt;=90,"90 or less",IF(E1206&lt;=105,"91-105",IF(E1206&lt;=120,"106-120",IF(E1206&lt;=140,"121-140","Over 140"))))</f>
        <v/>
      </c>
      <c r="Q1206" s="28">
        <f>INT(C1206/10)*10</f>
        <v/>
      </c>
    </row>
    <row r="1207">
      <c r="A1207" s="21" t="n">
        <v>1233</v>
      </c>
      <c r="B1207" s="21" t="inlineStr">
        <is>
          <t>Ghost Dog: The Way of the Samurai</t>
        </is>
      </c>
      <c r="C1207" s="21" t="n">
        <v>1999</v>
      </c>
      <c r="D1207" s="21" t="inlineStr">
        <is>
          <t>France</t>
        </is>
      </c>
      <c r="E1207" s="21" t="n">
        <v>116</v>
      </c>
      <c r="F1207" s="21" t="inlineStr">
        <is>
          <t>English</t>
        </is>
      </c>
      <c r="G1207" s="21" t="inlineStr">
        <is>
          <t>R</t>
        </is>
      </c>
      <c r="H1207" s="22" t="n">
        <v>3300230</v>
      </c>
      <c r="I1207" s="22" t="n">
        <v>20000000</v>
      </c>
      <c r="J1207" s="21">
        <f>IF(OR(H1207="",H1207=25529689.5),"Yes","No")</f>
        <v/>
      </c>
      <c r="K1207" s="21">
        <f>IF(AND(D1207="USA",C1207&gt;=1980,J1207="No"),"Yes","No")</f>
        <v/>
      </c>
      <c r="L1207" s="26">
        <f>IF(J1207="Yes","",H1207-I1207)</f>
        <v/>
      </c>
      <c r="M1207" s="27">
        <f>IF(OR(J1207="Yes",I1207=0),"",H1207/I1207)</f>
        <v/>
      </c>
      <c r="N1207" s="21">
        <f>IF(J1207="Yes","",IF(H1207&gt;=I1207,1,0))</f>
        <v/>
      </c>
      <c r="O1207" s="21">
        <f>IF(I1207&lt;=5000000,"Under $5M",IF(I1207&lt;=20000000,"$5M-20M",IF(I1207&lt;=50000000,"$20M-50M",IF(I1207&lt;=100000000,"$50M-100M","$100M+"))))</f>
        <v/>
      </c>
      <c r="P1207" s="21">
        <f>IF(E1207&lt;=90,"90 or less",IF(E1207&lt;=105,"91-105",IF(E1207&lt;=120,"106-120",IF(E1207&lt;=140,"121-140","Over 140"))))</f>
        <v/>
      </c>
      <c r="Q1207" s="28">
        <f>INT(C1207/10)*10</f>
        <v/>
      </c>
    </row>
    <row r="1208">
      <c r="A1208" s="21" t="n">
        <v>1234</v>
      </c>
      <c r="B1208" s="21" t="inlineStr">
        <is>
          <t>Girl, Interrupted</t>
        </is>
      </c>
      <c r="C1208" s="21" t="n">
        <v>1999</v>
      </c>
      <c r="D1208" s="21" t="inlineStr">
        <is>
          <t>USA</t>
        </is>
      </c>
      <c r="E1208" s="21" t="n">
        <v>127</v>
      </c>
      <c r="F1208" s="21" t="inlineStr">
        <is>
          <t>English</t>
        </is>
      </c>
      <c r="G1208" s="21" t="inlineStr">
        <is>
          <t>R</t>
        </is>
      </c>
      <c r="H1208" s="22" t="n">
        <v>28871190</v>
      </c>
      <c r="I1208" s="22" t="n">
        <v>24000000</v>
      </c>
      <c r="J1208" s="21">
        <f>IF(OR(H1208="",H1208=25529689.5),"Yes","No")</f>
        <v/>
      </c>
      <c r="K1208" s="21">
        <f>IF(AND(D1208="USA",C1208&gt;=1980,J1208="No"),"Yes","No")</f>
        <v/>
      </c>
      <c r="L1208" s="26">
        <f>IF(J1208="Yes","",H1208-I1208)</f>
        <v/>
      </c>
      <c r="M1208" s="27">
        <f>IF(OR(J1208="Yes",I1208=0),"",H1208/I1208)</f>
        <v/>
      </c>
      <c r="N1208" s="21">
        <f>IF(J1208="Yes","",IF(H1208&gt;=I1208,1,0))</f>
        <v/>
      </c>
      <c r="O1208" s="21">
        <f>IF(I1208&lt;=5000000,"Under $5M",IF(I1208&lt;=20000000,"$5M-20M",IF(I1208&lt;=50000000,"$20M-50M",IF(I1208&lt;=100000000,"$50M-100M","$100M+"))))</f>
        <v/>
      </c>
      <c r="P1208" s="21">
        <f>IF(E1208&lt;=90,"90 or less",IF(E1208&lt;=105,"91-105",IF(E1208&lt;=120,"106-120",IF(E1208&lt;=140,"121-140","Over 140"))))</f>
        <v/>
      </c>
      <c r="Q1208" s="28">
        <f>INT(C1208/10)*10</f>
        <v/>
      </c>
    </row>
    <row r="1209">
      <c r="A1209" s="21" t="n">
        <v>1235</v>
      </c>
      <c r="B1209" s="21" t="inlineStr">
        <is>
          <t>Go</t>
        </is>
      </c>
      <c r="C1209" s="21" t="n">
        <v>1999</v>
      </c>
      <c r="D1209" s="21" t="inlineStr">
        <is>
          <t>USA</t>
        </is>
      </c>
      <c r="E1209" s="21" t="n">
        <v>102</v>
      </c>
      <c r="F1209" s="21" t="inlineStr">
        <is>
          <t>English</t>
        </is>
      </c>
      <c r="G1209" s="21" t="inlineStr">
        <is>
          <t>R</t>
        </is>
      </c>
      <c r="H1209" s="22" t="n">
        <v>16842303</v>
      </c>
      <c r="I1209" s="22" t="n">
        <v>6500000</v>
      </c>
      <c r="J1209" s="21">
        <f>IF(OR(H1209="",H1209=25529689.5),"Yes","No")</f>
        <v/>
      </c>
      <c r="K1209" s="21">
        <f>IF(AND(D1209="USA",C1209&gt;=1980,J1209="No"),"Yes","No")</f>
        <v/>
      </c>
      <c r="L1209" s="26">
        <f>IF(J1209="Yes","",H1209-I1209)</f>
        <v/>
      </c>
      <c r="M1209" s="27">
        <f>IF(OR(J1209="Yes",I1209=0),"",H1209/I1209)</f>
        <v/>
      </c>
      <c r="N1209" s="21">
        <f>IF(J1209="Yes","",IF(H1209&gt;=I1209,1,0))</f>
        <v/>
      </c>
      <c r="O1209" s="21">
        <f>IF(I1209&lt;=5000000,"Under $5M",IF(I1209&lt;=20000000,"$5M-20M",IF(I1209&lt;=50000000,"$20M-50M",IF(I1209&lt;=100000000,"$50M-100M","$100M+"))))</f>
        <v/>
      </c>
      <c r="P1209" s="21">
        <f>IF(E1209&lt;=90,"90 or less",IF(E1209&lt;=105,"91-105",IF(E1209&lt;=120,"106-120",IF(E1209&lt;=140,"121-140","Over 140"))))</f>
        <v/>
      </c>
      <c r="Q1209" s="28">
        <f>INT(C1209/10)*10</f>
        <v/>
      </c>
    </row>
    <row r="1210">
      <c r="A1210" s="21" t="n">
        <v>1236</v>
      </c>
      <c r="B1210" s="21" t="inlineStr">
        <is>
          <t>Godzilla 2000</t>
        </is>
      </c>
      <c r="C1210" s="21" t="n">
        <v>1999</v>
      </c>
      <c r="D1210" s="21" t="inlineStr">
        <is>
          <t>Japan</t>
        </is>
      </c>
      <c r="E1210" s="21" t="n">
        <v>99</v>
      </c>
      <c r="F1210" s="21" t="inlineStr">
        <is>
          <t>Japanese</t>
        </is>
      </c>
      <c r="G1210" s="21" t="inlineStr">
        <is>
          <t>PG</t>
        </is>
      </c>
      <c r="H1210" s="22" t="n">
        <v>10037390</v>
      </c>
      <c r="I1210" s="22" t="n">
        <v>1000000000</v>
      </c>
      <c r="J1210" s="21">
        <f>IF(OR(H1210="",H1210=25529689.5),"Yes","No")</f>
        <v/>
      </c>
      <c r="K1210" s="21">
        <f>IF(AND(D1210="USA",C1210&gt;=1980,J1210="No"),"Yes","No")</f>
        <v/>
      </c>
      <c r="L1210" s="26">
        <f>IF(J1210="Yes","",H1210-I1210)</f>
        <v/>
      </c>
      <c r="M1210" s="27">
        <f>IF(OR(J1210="Yes",I1210=0),"",H1210/I1210)</f>
        <v/>
      </c>
      <c r="N1210" s="21">
        <f>IF(J1210="Yes","",IF(H1210&gt;=I1210,1,0))</f>
        <v/>
      </c>
      <c r="O1210" s="21">
        <f>IF(I1210&lt;=5000000,"Under $5M",IF(I1210&lt;=20000000,"$5M-20M",IF(I1210&lt;=50000000,"$20M-50M",IF(I1210&lt;=100000000,"$50M-100M","$100M+"))))</f>
        <v/>
      </c>
      <c r="P1210" s="21">
        <f>IF(E1210&lt;=90,"90 or less",IF(E1210&lt;=105,"91-105",IF(E1210&lt;=120,"106-120",IF(E1210&lt;=140,"121-140","Over 140"))))</f>
        <v/>
      </c>
      <c r="Q1210" s="28">
        <f>INT(C1210/10)*10</f>
        <v/>
      </c>
    </row>
    <row r="1211">
      <c r="A1211" s="21" t="n">
        <v>1237</v>
      </c>
      <c r="B1211" s="21" t="inlineStr">
        <is>
          <t>Happy, Texas</t>
        </is>
      </c>
      <c r="C1211" s="21" t="n">
        <v>1999</v>
      </c>
      <c r="D1211" s="21" t="inlineStr">
        <is>
          <t>USA</t>
        </is>
      </c>
      <c r="E1211" s="21" t="n">
        <v>98</v>
      </c>
      <c r="F1211" s="21" t="inlineStr">
        <is>
          <t>English</t>
        </is>
      </c>
      <c r="G1211" s="21" t="inlineStr">
        <is>
          <t>PG-13</t>
        </is>
      </c>
      <c r="H1211" s="22" t="n">
        <v>1943649</v>
      </c>
      <c r="I1211" s="22" t="n">
        <v>1700000</v>
      </c>
      <c r="J1211" s="21">
        <f>IF(OR(H1211="",H1211=25529689.5),"Yes","No")</f>
        <v/>
      </c>
      <c r="K1211" s="21">
        <f>IF(AND(D1211="USA",C1211&gt;=1980,J1211="No"),"Yes","No")</f>
        <v/>
      </c>
      <c r="L1211" s="26">
        <f>IF(J1211="Yes","",H1211-I1211)</f>
        <v/>
      </c>
      <c r="M1211" s="27">
        <f>IF(OR(J1211="Yes",I1211=0),"",H1211/I1211)</f>
        <v/>
      </c>
      <c r="N1211" s="21">
        <f>IF(J1211="Yes","",IF(H1211&gt;=I1211,1,0))</f>
        <v/>
      </c>
      <c r="O1211" s="21">
        <f>IF(I1211&lt;=5000000,"Under $5M",IF(I1211&lt;=20000000,"$5M-20M",IF(I1211&lt;=50000000,"$20M-50M",IF(I1211&lt;=100000000,"$50M-100M","$100M+"))))</f>
        <v/>
      </c>
      <c r="P1211" s="21">
        <f>IF(E1211&lt;=90,"90 or less",IF(E1211&lt;=105,"91-105",IF(E1211&lt;=120,"106-120",IF(E1211&lt;=140,"121-140","Over 140"))))</f>
        <v/>
      </c>
      <c r="Q1211" s="28">
        <f>INT(C1211/10)*10</f>
        <v/>
      </c>
    </row>
    <row r="1212">
      <c r="A1212" s="21" t="n">
        <v>1238</v>
      </c>
      <c r="B1212" s="21" t="inlineStr">
        <is>
          <t>Held Up</t>
        </is>
      </c>
      <c r="C1212" s="21" t="n">
        <v>1999</v>
      </c>
      <c r="D1212" s="21" t="inlineStr">
        <is>
          <t>USA</t>
        </is>
      </c>
      <c r="E1212" s="21" t="n">
        <v>89</v>
      </c>
      <c r="F1212" s="21" t="inlineStr">
        <is>
          <t>English</t>
        </is>
      </c>
      <c r="G1212" s="21" t="inlineStr">
        <is>
          <t>PG-13</t>
        </is>
      </c>
      <c r="H1212" s="22" t="n">
        <v>4692814</v>
      </c>
      <c r="I1212" s="22" t="n">
        <v>8000000</v>
      </c>
      <c r="J1212" s="21">
        <f>IF(OR(H1212="",H1212=25529689.5),"Yes","No")</f>
        <v/>
      </c>
      <c r="K1212" s="21">
        <f>IF(AND(D1212="USA",C1212&gt;=1980,J1212="No"),"Yes","No")</f>
        <v/>
      </c>
      <c r="L1212" s="26">
        <f>IF(J1212="Yes","",H1212-I1212)</f>
        <v/>
      </c>
      <c r="M1212" s="27">
        <f>IF(OR(J1212="Yes",I1212=0),"",H1212/I1212)</f>
        <v/>
      </c>
      <c r="N1212" s="21">
        <f>IF(J1212="Yes","",IF(H1212&gt;=I1212,1,0))</f>
        <v/>
      </c>
      <c r="O1212" s="21">
        <f>IF(I1212&lt;=5000000,"Under $5M",IF(I1212&lt;=20000000,"$5M-20M",IF(I1212&lt;=50000000,"$20M-50M",IF(I1212&lt;=100000000,"$50M-100M","$100M+"))))</f>
        <v/>
      </c>
      <c r="P1212" s="21">
        <f>IF(E1212&lt;=90,"90 or less",IF(E1212&lt;=105,"91-105",IF(E1212&lt;=120,"106-120",IF(E1212&lt;=140,"121-140","Over 140"))))</f>
        <v/>
      </c>
      <c r="Q1212" s="28">
        <f>INT(C1212/10)*10</f>
        <v/>
      </c>
    </row>
    <row r="1213">
      <c r="A1213" s="21" t="n">
        <v>1239</v>
      </c>
      <c r="B1213" s="21" t="inlineStr">
        <is>
          <t>House on Haunted Hill</t>
        </is>
      </c>
      <c r="C1213" s="21" t="n">
        <v>1999</v>
      </c>
      <c r="D1213" s="21" t="inlineStr">
        <is>
          <t>USA</t>
        </is>
      </c>
      <c r="E1213" s="21" t="n">
        <v>93</v>
      </c>
      <c r="F1213" s="21" t="inlineStr">
        <is>
          <t>English</t>
        </is>
      </c>
      <c r="G1213" s="21" t="inlineStr">
        <is>
          <t>R</t>
        </is>
      </c>
      <c r="H1213" s="22" t="n">
        <v>40846082</v>
      </c>
      <c r="I1213" s="22" t="n">
        <v>19000000</v>
      </c>
      <c r="J1213" s="21">
        <f>IF(OR(H1213="",H1213=25529689.5),"Yes","No")</f>
        <v/>
      </c>
      <c r="K1213" s="21">
        <f>IF(AND(D1213="USA",C1213&gt;=1980,J1213="No"),"Yes","No")</f>
        <v/>
      </c>
      <c r="L1213" s="26">
        <f>IF(J1213="Yes","",H1213-I1213)</f>
        <v/>
      </c>
      <c r="M1213" s="27">
        <f>IF(OR(J1213="Yes",I1213=0),"",H1213/I1213)</f>
        <v/>
      </c>
      <c r="N1213" s="21">
        <f>IF(J1213="Yes","",IF(H1213&gt;=I1213,1,0))</f>
        <v/>
      </c>
      <c r="O1213" s="21">
        <f>IF(I1213&lt;=5000000,"Under $5M",IF(I1213&lt;=20000000,"$5M-20M",IF(I1213&lt;=50000000,"$20M-50M",IF(I1213&lt;=100000000,"$50M-100M","$100M+"))))</f>
        <v/>
      </c>
      <c r="P1213" s="21">
        <f>IF(E1213&lt;=90,"90 or less",IF(E1213&lt;=105,"91-105",IF(E1213&lt;=120,"106-120",IF(E1213&lt;=140,"121-140","Over 140"))))</f>
        <v/>
      </c>
      <c r="Q1213" s="28">
        <f>INT(C1213/10)*10</f>
        <v/>
      </c>
    </row>
    <row r="1214">
      <c r="A1214" s="21" t="n">
        <v>1240</v>
      </c>
      <c r="B1214" s="21" t="inlineStr">
        <is>
          <t>Human Traffic</t>
        </is>
      </c>
      <c r="C1214" s="21" t="n">
        <v>1999</v>
      </c>
      <c r="D1214" s="21" t="inlineStr">
        <is>
          <t>UK</t>
        </is>
      </c>
      <c r="E1214" s="21" t="n">
        <v>99</v>
      </c>
      <c r="F1214" s="21" t="inlineStr">
        <is>
          <t>English</t>
        </is>
      </c>
      <c r="G1214" s="21" t="inlineStr">
        <is>
          <t>R</t>
        </is>
      </c>
      <c r="H1214" s="22" t="n">
        <v>104257</v>
      </c>
      <c r="I1214" s="22" t="n">
        <v>2200000</v>
      </c>
      <c r="J1214" s="21">
        <f>IF(OR(H1214="",H1214=25529689.5),"Yes","No")</f>
        <v/>
      </c>
      <c r="K1214" s="21">
        <f>IF(AND(D1214="USA",C1214&gt;=1980,J1214="No"),"Yes","No")</f>
        <v/>
      </c>
      <c r="L1214" s="26">
        <f>IF(J1214="Yes","",H1214-I1214)</f>
        <v/>
      </c>
      <c r="M1214" s="27">
        <f>IF(OR(J1214="Yes",I1214=0),"",H1214/I1214)</f>
        <v/>
      </c>
      <c r="N1214" s="21">
        <f>IF(J1214="Yes","",IF(H1214&gt;=I1214,1,0))</f>
        <v/>
      </c>
      <c r="O1214" s="21">
        <f>IF(I1214&lt;=5000000,"Under $5M",IF(I1214&lt;=20000000,"$5M-20M",IF(I1214&lt;=50000000,"$20M-50M",IF(I1214&lt;=100000000,"$50M-100M","$100M+"))))</f>
        <v/>
      </c>
      <c r="P1214" s="21">
        <f>IF(E1214&lt;=90,"90 or less",IF(E1214&lt;=105,"91-105",IF(E1214&lt;=120,"106-120",IF(E1214&lt;=140,"121-140","Over 140"))))</f>
        <v/>
      </c>
      <c r="Q1214" s="28">
        <f>INT(C1214/10)*10</f>
        <v/>
      </c>
    </row>
    <row r="1215">
      <c r="A1215" s="21" t="n">
        <v>1241</v>
      </c>
      <c r="B1215" s="21" t="inlineStr">
        <is>
          <t>Idle Hands</t>
        </is>
      </c>
      <c r="C1215" s="21" t="n">
        <v>1999</v>
      </c>
      <c r="D1215" s="21" t="inlineStr">
        <is>
          <t>USA</t>
        </is>
      </c>
      <c r="E1215" s="21" t="n">
        <v>92</v>
      </c>
      <c r="F1215" s="21" t="inlineStr">
        <is>
          <t>English</t>
        </is>
      </c>
      <c r="G1215" s="21" t="inlineStr">
        <is>
          <t>R</t>
        </is>
      </c>
      <c r="H1215" s="22" t="n">
        <v>4002955</v>
      </c>
      <c r="I1215" s="22" t="n">
        <v>20000000</v>
      </c>
      <c r="J1215" s="21">
        <f>IF(OR(H1215="",H1215=25529689.5),"Yes","No")</f>
        <v/>
      </c>
      <c r="K1215" s="21">
        <f>IF(AND(D1215="USA",C1215&gt;=1980,J1215="No"),"Yes","No")</f>
        <v/>
      </c>
      <c r="L1215" s="26">
        <f>IF(J1215="Yes","",H1215-I1215)</f>
        <v/>
      </c>
      <c r="M1215" s="27">
        <f>IF(OR(J1215="Yes",I1215=0),"",H1215/I1215)</f>
        <v/>
      </c>
      <c r="N1215" s="21">
        <f>IF(J1215="Yes","",IF(H1215&gt;=I1215,1,0))</f>
        <v/>
      </c>
      <c r="O1215" s="21">
        <f>IF(I1215&lt;=5000000,"Under $5M",IF(I1215&lt;=20000000,"$5M-20M",IF(I1215&lt;=50000000,"$20M-50M",IF(I1215&lt;=100000000,"$50M-100M","$100M+"))))</f>
        <v/>
      </c>
      <c r="P1215" s="21">
        <f>IF(E1215&lt;=90,"90 or less",IF(E1215&lt;=105,"91-105",IF(E1215&lt;=120,"106-120",IF(E1215&lt;=140,"121-140","Over 140"))))</f>
        <v/>
      </c>
      <c r="Q1215" s="28">
        <f>INT(C1215/10)*10</f>
        <v/>
      </c>
    </row>
    <row r="1216">
      <c r="A1216" s="21" t="n">
        <v>1242</v>
      </c>
      <c r="B1216" s="21" t="inlineStr">
        <is>
          <t>In Dreams</t>
        </is>
      </c>
      <c r="C1216" s="21" t="n">
        <v>1999</v>
      </c>
      <c r="D1216" s="21" t="inlineStr">
        <is>
          <t>USA</t>
        </is>
      </c>
      <c r="E1216" s="21" t="n">
        <v>100</v>
      </c>
      <c r="F1216" s="21" t="inlineStr">
        <is>
          <t>English</t>
        </is>
      </c>
      <c r="G1216" s="21" t="inlineStr">
        <is>
          <t>R</t>
        </is>
      </c>
      <c r="H1216" s="22" t="n">
        <v>11900000</v>
      </c>
      <c r="I1216" s="22" t="n">
        <v>30000000</v>
      </c>
      <c r="J1216" s="21">
        <f>IF(OR(H1216="",H1216=25529689.5),"Yes","No")</f>
        <v/>
      </c>
      <c r="K1216" s="21">
        <f>IF(AND(D1216="USA",C1216&gt;=1980,J1216="No"),"Yes","No")</f>
        <v/>
      </c>
      <c r="L1216" s="26">
        <f>IF(J1216="Yes","",H1216-I1216)</f>
        <v/>
      </c>
      <c r="M1216" s="27">
        <f>IF(OR(J1216="Yes",I1216=0),"",H1216/I1216)</f>
        <v/>
      </c>
      <c r="N1216" s="21">
        <f>IF(J1216="Yes","",IF(H1216&gt;=I1216,1,0))</f>
        <v/>
      </c>
      <c r="O1216" s="21">
        <f>IF(I1216&lt;=5000000,"Under $5M",IF(I1216&lt;=20000000,"$5M-20M",IF(I1216&lt;=50000000,"$20M-50M",IF(I1216&lt;=100000000,"$50M-100M","$100M+"))))</f>
        <v/>
      </c>
      <c r="P1216" s="21">
        <f>IF(E1216&lt;=90,"90 or less",IF(E1216&lt;=105,"91-105",IF(E1216&lt;=120,"106-120",IF(E1216&lt;=140,"121-140","Over 140"))))</f>
        <v/>
      </c>
      <c r="Q1216" s="28">
        <f>INT(C1216/10)*10</f>
        <v/>
      </c>
    </row>
    <row r="1217">
      <c r="A1217" s="21" t="n">
        <v>1243</v>
      </c>
      <c r="B1217" s="21" t="inlineStr">
        <is>
          <t>In Too Deep</t>
        </is>
      </c>
      <c r="C1217" s="21" t="n">
        <v>1999</v>
      </c>
      <c r="D1217" s="21" t="inlineStr">
        <is>
          <t>USA</t>
        </is>
      </c>
      <c r="E1217" s="21" t="n">
        <v>95</v>
      </c>
      <c r="F1217" s="21" t="inlineStr">
        <is>
          <t>English</t>
        </is>
      </c>
      <c r="G1217" s="21" t="inlineStr">
        <is>
          <t>R</t>
        </is>
      </c>
      <c r="H1217" s="22" t="n">
        <v>14003141</v>
      </c>
      <c r="I1217" s="22" t="n">
        <v>7000000</v>
      </c>
      <c r="J1217" s="21">
        <f>IF(OR(H1217="",H1217=25529689.5),"Yes","No")</f>
        <v/>
      </c>
      <c r="K1217" s="21">
        <f>IF(AND(D1217="USA",C1217&gt;=1980,J1217="No"),"Yes","No")</f>
        <v/>
      </c>
      <c r="L1217" s="26">
        <f>IF(J1217="Yes","",H1217-I1217)</f>
        <v/>
      </c>
      <c r="M1217" s="27">
        <f>IF(OR(J1217="Yes",I1217=0),"",H1217/I1217)</f>
        <v/>
      </c>
      <c r="N1217" s="21">
        <f>IF(J1217="Yes","",IF(H1217&gt;=I1217,1,0))</f>
        <v/>
      </c>
      <c r="O1217" s="21">
        <f>IF(I1217&lt;=5000000,"Under $5M",IF(I1217&lt;=20000000,"$5M-20M",IF(I1217&lt;=50000000,"$20M-50M",IF(I1217&lt;=100000000,"$50M-100M","$100M+"))))</f>
        <v/>
      </c>
      <c r="P1217" s="21">
        <f>IF(E1217&lt;=90,"90 or less",IF(E1217&lt;=105,"91-105",IF(E1217&lt;=120,"106-120",IF(E1217&lt;=140,"121-140","Over 140"))))</f>
        <v/>
      </c>
      <c r="Q1217" s="28">
        <f>INT(C1217/10)*10</f>
        <v/>
      </c>
    </row>
    <row r="1218">
      <c r="A1218" s="21" t="n">
        <v>1244</v>
      </c>
      <c r="B1218" s="21" t="inlineStr">
        <is>
          <t>Inspector Gadget</t>
        </is>
      </c>
      <c r="C1218" s="21" t="n">
        <v>1999</v>
      </c>
      <c r="D1218" s="21" t="inlineStr">
        <is>
          <t>USA</t>
        </is>
      </c>
      <c r="E1218" s="21" t="n">
        <v>110</v>
      </c>
      <c r="F1218" s="21" t="inlineStr">
        <is>
          <t>English</t>
        </is>
      </c>
      <c r="G1218" s="21" t="inlineStr">
        <is>
          <t>PG</t>
        </is>
      </c>
      <c r="H1218" s="22" t="n">
        <v>97360069</v>
      </c>
      <c r="I1218" s="22" t="n">
        <v>75000000</v>
      </c>
      <c r="J1218" s="21">
        <f>IF(OR(H1218="",H1218=25529689.5),"Yes","No")</f>
        <v/>
      </c>
      <c r="K1218" s="21">
        <f>IF(AND(D1218="USA",C1218&gt;=1980,J1218="No"),"Yes","No")</f>
        <v/>
      </c>
      <c r="L1218" s="26">
        <f>IF(J1218="Yes","",H1218-I1218)</f>
        <v/>
      </c>
      <c r="M1218" s="27">
        <f>IF(OR(J1218="Yes",I1218=0),"",H1218/I1218)</f>
        <v/>
      </c>
      <c r="N1218" s="21">
        <f>IF(J1218="Yes","",IF(H1218&gt;=I1218,1,0))</f>
        <v/>
      </c>
      <c r="O1218" s="21">
        <f>IF(I1218&lt;=5000000,"Under $5M",IF(I1218&lt;=20000000,"$5M-20M",IF(I1218&lt;=50000000,"$20M-50M",IF(I1218&lt;=100000000,"$50M-100M","$100M+"))))</f>
        <v/>
      </c>
      <c r="P1218" s="21">
        <f>IF(E1218&lt;=90,"90 or less",IF(E1218&lt;=105,"91-105",IF(E1218&lt;=120,"106-120",IF(E1218&lt;=140,"121-140","Over 140"))))</f>
        <v/>
      </c>
      <c r="Q1218" s="28">
        <f>INT(C1218/10)*10</f>
        <v/>
      </c>
    </row>
    <row r="1219">
      <c r="A1219" s="21" t="n">
        <v>1245</v>
      </c>
      <c r="B1219" s="21" t="inlineStr">
        <is>
          <t>Instinct</t>
        </is>
      </c>
      <c r="C1219" s="21" t="n">
        <v>1999</v>
      </c>
      <c r="D1219" s="21" t="inlineStr">
        <is>
          <t>USA</t>
        </is>
      </c>
      <c r="E1219" s="21" t="n">
        <v>126</v>
      </c>
      <c r="F1219" s="21" t="inlineStr">
        <is>
          <t>English</t>
        </is>
      </c>
      <c r="G1219" s="21" t="inlineStr">
        <is>
          <t>R</t>
        </is>
      </c>
      <c r="H1219" s="22" t="n">
        <v>34098563</v>
      </c>
      <c r="I1219" s="22" t="n">
        <v>55000000</v>
      </c>
      <c r="J1219" s="21">
        <f>IF(OR(H1219="",H1219=25529689.5),"Yes","No")</f>
        <v/>
      </c>
      <c r="K1219" s="21">
        <f>IF(AND(D1219="USA",C1219&gt;=1980,J1219="No"),"Yes","No")</f>
        <v/>
      </c>
      <c r="L1219" s="26">
        <f>IF(J1219="Yes","",H1219-I1219)</f>
        <v/>
      </c>
      <c r="M1219" s="27">
        <f>IF(OR(J1219="Yes",I1219=0),"",H1219/I1219)</f>
        <v/>
      </c>
      <c r="N1219" s="21">
        <f>IF(J1219="Yes","",IF(H1219&gt;=I1219,1,0))</f>
        <v/>
      </c>
      <c r="O1219" s="21">
        <f>IF(I1219&lt;=5000000,"Under $5M",IF(I1219&lt;=20000000,"$5M-20M",IF(I1219&lt;=50000000,"$20M-50M",IF(I1219&lt;=100000000,"$50M-100M","$100M+"))))</f>
        <v/>
      </c>
      <c r="P1219" s="21">
        <f>IF(E1219&lt;=90,"90 or less",IF(E1219&lt;=105,"91-105",IF(E1219&lt;=120,"106-120",IF(E1219&lt;=140,"121-140","Over 140"))))</f>
        <v/>
      </c>
      <c r="Q1219" s="28">
        <f>INT(C1219/10)*10</f>
        <v/>
      </c>
    </row>
    <row r="1220">
      <c r="A1220" s="21" t="n">
        <v>1246</v>
      </c>
      <c r="B1220" s="21" t="inlineStr">
        <is>
          <t>Jakob the Liar</t>
        </is>
      </c>
      <c r="C1220" s="21" t="n">
        <v>1999</v>
      </c>
      <c r="D1220" s="21" t="inlineStr">
        <is>
          <t>France</t>
        </is>
      </c>
      <c r="E1220" s="21" t="n">
        <v>120</v>
      </c>
      <c r="F1220" s="21" t="inlineStr">
        <is>
          <t>English</t>
        </is>
      </c>
      <c r="G1220" s="21" t="inlineStr">
        <is>
          <t>PG-13</t>
        </is>
      </c>
      <c r="H1220" s="22" t="n">
        <v>4956401</v>
      </c>
      <c r="I1220" s="22" t="n">
        <v>15000000</v>
      </c>
      <c r="J1220" s="21">
        <f>IF(OR(H1220="",H1220=25529689.5),"Yes","No")</f>
        <v/>
      </c>
      <c r="K1220" s="21">
        <f>IF(AND(D1220="USA",C1220&gt;=1980,J1220="No"),"Yes","No")</f>
        <v/>
      </c>
      <c r="L1220" s="26">
        <f>IF(J1220="Yes","",H1220-I1220)</f>
        <v/>
      </c>
      <c r="M1220" s="27">
        <f>IF(OR(J1220="Yes",I1220=0),"",H1220/I1220)</f>
        <v/>
      </c>
      <c r="N1220" s="21">
        <f>IF(J1220="Yes","",IF(H1220&gt;=I1220,1,0))</f>
        <v/>
      </c>
      <c r="O1220" s="21">
        <f>IF(I1220&lt;=5000000,"Under $5M",IF(I1220&lt;=20000000,"$5M-20M",IF(I1220&lt;=50000000,"$20M-50M",IF(I1220&lt;=100000000,"$50M-100M","$100M+"))))</f>
        <v/>
      </c>
      <c r="P1220" s="21">
        <f>IF(E1220&lt;=90,"90 or less",IF(E1220&lt;=105,"91-105",IF(E1220&lt;=120,"106-120",IF(E1220&lt;=140,"121-140","Over 140"))))</f>
        <v/>
      </c>
      <c r="Q1220" s="28">
        <f>INT(C1220/10)*10</f>
        <v/>
      </c>
    </row>
    <row r="1221">
      <c r="A1221" s="21" t="n">
        <v>1247</v>
      </c>
      <c r="B1221" s="21" t="inlineStr">
        <is>
          <t>Jawbreaker</t>
        </is>
      </c>
      <c r="C1221" s="21" t="n">
        <v>1999</v>
      </c>
      <c r="D1221" s="21" t="inlineStr">
        <is>
          <t>USA</t>
        </is>
      </c>
      <c r="E1221" s="21" t="n">
        <v>87</v>
      </c>
      <c r="F1221" s="21" t="inlineStr">
        <is>
          <t>English</t>
        </is>
      </c>
      <c r="G1221" s="21" t="inlineStr">
        <is>
          <t>R</t>
        </is>
      </c>
      <c r="H1221" s="22" t="n">
        <v>3071947</v>
      </c>
      <c r="I1221" s="22" t="n">
        <v>3500000</v>
      </c>
      <c r="J1221" s="21">
        <f>IF(OR(H1221="",H1221=25529689.5),"Yes","No")</f>
        <v/>
      </c>
      <c r="K1221" s="21">
        <f>IF(AND(D1221="USA",C1221&gt;=1980,J1221="No"),"Yes","No")</f>
        <v/>
      </c>
      <c r="L1221" s="26">
        <f>IF(J1221="Yes","",H1221-I1221)</f>
        <v/>
      </c>
      <c r="M1221" s="27">
        <f>IF(OR(J1221="Yes",I1221=0),"",H1221/I1221)</f>
        <v/>
      </c>
      <c r="N1221" s="21">
        <f>IF(J1221="Yes","",IF(H1221&gt;=I1221,1,0))</f>
        <v/>
      </c>
      <c r="O1221" s="21">
        <f>IF(I1221&lt;=5000000,"Under $5M",IF(I1221&lt;=20000000,"$5M-20M",IF(I1221&lt;=50000000,"$20M-50M",IF(I1221&lt;=100000000,"$50M-100M","$100M+"))))</f>
        <v/>
      </c>
      <c r="P1221" s="21">
        <f>IF(E1221&lt;=90,"90 or less",IF(E1221&lt;=105,"91-105",IF(E1221&lt;=120,"106-120",IF(E1221&lt;=140,"121-140","Over 140"))))</f>
        <v/>
      </c>
      <c r="Q1221" s="28">
        <f>INT(C1221/10)*10</f>
        <v/>
      </c>
    </row>
    <row r="1222">
      <c r="A1222" s="21" t="n">
        <v>1248</v>
      </c>
      <c r="B1222" s="21" t="inlineStr">
        <is>
          <t>Jesus' Son</t>
        </is>
      </c>
      <c r="C1222" s="21" t="n">
        <v>1999</v>
      </c>
      <c r="D1222" s="21" t="inlineStr">
        <is>
          <t>USA</t>
        </is>
      </c>
      <c r="E1222" s="21" t="n">
        <v>107</v>
      </c>
      <c r="F1222" s="21" t="inlineStr">
        <is>
          <t>English</t>
        </is>
      </c>
      <c r="G1222" s="21" t="inlineStr">
        <is>
          <t>R</t>
        </is>
      </c>
      <c r="H1222" s="22" t="n">
        <v>1282084</v>
      </c>
      <c r="I1222" s="22" t="n">
        <v>2500000</v>
      </c>
      <c r="J1222" s="21">
        <f>IF(OR(H1222="",H1222=25529689.5),"Yes","No")</f>
        <v/>
      </c>
      <c r="K1222" s="21">
        <f>IF(AND(D1222="USA",C1222&gt;=1980,J1222="No"),"Yes","No")</f>
        <v/>
      </c>
      <c r="L1222" s="26">
        <f>IF(J1222="Yes","",H1222-I1222)</f>
        <v/>
      </c>
      <c r="M1222" s="27">
        <f>IF(OR(J1222="Yes",I1222=0),"",H1222/I1222)</f>
        <v/>
      </c>
      <c r="N1222" s="21">
        <f>IF(J1222="Yes","",IF(H1222&gt;=I1222,1,0))</f>
        <v/>
      </c>
      <c r="O1222" s="21">
        <f>IF(I1222&lt;=5000000,"Under $5M",IF(I1222&lt;=20000000,"$5M-20M",IF(I1222&lt;=50000000,"$20M-50M",IF(I1222&lt;=100000000,"$50M-100M","$100M+"))))</f>
        <v/>
      </c>
      <c r="P1222" s="21">
        <f>IF(E1222&lt;=90,"90 or less",IF(E1222&lt;=105,"91-105",IF(E1222&lt;=120,"106-120",IF(E1222&lt;=140,"121-140","Over 140"))))</f>
        <v/>
      </c>
      <c r="Q1222" s="28">
        <f>INT(C1222/10)*10</f>
        <v/>
      </c>
    </row>
    <row r="1223">
      <c r="A1223" s="21" t="n">
        <v>1249</v>
      </c>
      <c r="B1223" s="21" t="inlineStr">
        <is>
          <t>Just Looking</t>
        </is>
      </c>
      <c r="C1223" s="21" t="n">
        <v>1999</v>
      </c>
      <c r="D1223" s="21" t="inlineStr">
        <is>
          <t>USA</t>
        </is>
      </c>
      <c r="E1223" s="21" t="n">
        <v>97</v>
      </c>
      <c r="F1223" s="21" t="inlineStr">
        <is>
          <t>English</t>
        </is>
      </c>
      <c r="G1223" s="21" t="inlineStr">
        <is>
          <t>R</t>
        </is>
      </c>
      <c r="H1223" s="22" t="n">
        <v>39852</v>
      </c>
      <c r="I1223" s="22" t="n">
        <v>3000000</v>
      </c>
      <c r="J1223" s="21">
        <f>IF(OR(H1223="",H1223=25529689.5),"Yes","No")</f>
        <v/>
      </c>
      <c r="K1223" s="21">
        <f>IF(AND(D1223="USA",C1223&gt;=1980,J1223="No"),"Yes","No")</f>
        <v/>
      </c>
      <c r="L1223" s="26">
        <f>IF(J1223="Yes","",H1223-I1223)</f>
        <v/>
      </c>
      <c r="M1223" s="27">
        <f>IF(OR(J1223="Yes",I1223=0),"",H1223/I1223)</f>
        <v/>
      </c>
      <c r="N1223" s="21">
        <f>IF(J1223="Yes","",IF(H1223&gt;=I1223,1,0))</f>
        <v/>
      </c>
      <c r="O1223" s="21">
        <f>IF(I1223&lt;=5000000,"Under $5M",IF(I1223&lt;=20000000,"$5M-20M",IF(I1223&lt;=50000000,"$20M-50M",IF(I1223&lt;=100000000,"$50M-100M","$100M+"))))</f>
        <v/>
      </c>
      <c r="P1223" s="21">
        <f>IF(E1223&lt;=90,"90 or less",IF(E1223&lt;=105,"91-105",IF(E1223&lt;=120,"106-120",IF(E1223&lt;=140,"121-140","Over 140"))))</f>
        <v/>
      </c>
      <c r="Q1223" s="28">
        <f>INT(C1223/10)*10</f>
        <v/>
      </c>
    </row>
    <row r="1224">
      <c r="A1224" s="21" t="n">
        <v>1250</v>
      </c>
      <c r="B1224" s="21" t="inlineStr">
        <is>
          <t>Lake Placid</t>
        </is>
      </c>
      <c r="C1224" s="21" t="n">
        <v>1999</v>
      </c>
      <c r="D1224" s="21" t="inlineStr">
        <is>
          <t>USA</t>
        </is>
      </c>
      <c r="E1224" s="21" t="n">
        <v>82</v>
      </c>
      <c r="F1224" s="21" t="inlineStr">
        <is>
          <t>English</t>
        </is>
      </c>
      <c r="G1224" s="21" t="inlineStr">
        <is>
          <t>R</t>
        </is>
      </c>
      <c r="H1224" s="22" t="n">
        <v>31768374</v>
      </c>
      <c r="I1224" s="22" t="n">
        <v>27000000</v>
      </c>
      <c r="J1224" s="21">
        <f>IF(OR(H1224="",H1224=25529689.5),"Yes","No")</f>
        <v/>
      </c>
      <c r="K1224" s="21">
        <f>IF(AND(D1224="USA",C1224&gt;=1980,J1224="No"),"Yes","No")</f>
        <v/>
      </c>
      <c r="L1224" s="26">
        <f>IF(J1224="Yes","",H1224-I1224)</f>
        <v/>
      </c>
      <c r="M1224" s="27">
        <f>IF(OR(J1224="Yes",I1224=0),"",H1224/I1224)</f>
        <v/>
      </c>
      <c r="N1224" s="21">
        <f>IF(J1224="Yes","",IF(H1224&gt;=I1224,1,0))</f>
        <v/>
      </c>
      <c r="O1224" s="21">
        <f>IF(I1224&lt;=5000000,"Under $5M",IF(I1224&lt;=20000000,"$5M-20M",IF(I1224&lt;=50000000,"$20M-50M",IF(I1224&lt;=100000000,"$50M-100M","$100M+"))))</f>
        <v/>
      </c>
      <c r="P1224" s="21">
        <f>IF(E1224&lt;=90,"90 or less",IF(E1224&lt;=105,"91-105",IF(E1224&lt;=120,"106-120",IF(E1224&lt;=140,"121-140","Over 140"))))</f>
        <v/>
      </c>
      <c r="Q1224" s="28">
        <f>INT(C1224/10)*10</f>
        <v/>
      </c>
    </row>
    <row r="1225">
      <c r="A1225" s="21" t="n">
        <v>1251</v>
      </c>
      <c r="B1225" s="21" t="inlineStr">
        <is>
          <t>Light It Up</t>
        </is>
      </c>
      <c r="C1225" s="21" t="n">
        <v>1999</v>
      </c>
      <c r="D1225" s="21" t="inlineStr">
        <is>
          <t>USA</t>
        </is>
      </c>
      <c r="E1225" s="21" t="n">
        <v>99</v>
      </c>
      <c r="F1225" s="21" t="inlineStr">
        <is>
          <t>English</t>
        </is>
      </c>
      <c r="G1225" s="21" t="inlineStr">
        <is>
          <t>R</t>
        </is>
      </c>
      <c r="H1225" s="22" t="n">
        <v>5871603</v>
      </c>
      <c r="I1225" s="22" t="n">
        <v>13000000</v>
      </c>
      <c r="J1225" s="21">
        <f>IF(OR(H1225="",H1225=25529689.5),"Yes","No")</f>
        <v/>
      </c>
      <c r="K1225" s="21">
        <f>IF(AND(D1225="USA",C1225&gt;=1980,J1225="No"),"Yes","No")</f>
        <v/>
      </c>
      <c r="L1225" s="26">
        <f>IF(J1225="Yes","",H1225-I1225)</f>
        <v/>
      </c>
      <c r="M1225" s="27">
        <f>IF(OR(J1225="Yes",I1225=0),"",H1225/I1225)</f>
        <v/>
      </c>
      <c r="N1225" s="21">
        <f>IF(J1225="Yes","",IF(H1225&gt;=I1225,1,0))</f>
        <v/>
      </c>
      <c r="O1225" s="21">
        <f>IF(I1225&lt;=5000000,"Under $5M",IF(I1225&lt;=20000000,"$5M-20M",IF(I1225&lt;=50000000,"$20M-50M",IF(I1225&lt;=100000000,"$50M-100M","$100M+"))))</f>
        <v/>
      </c>
      <c r="P1225" s="21">
        <f>IF(E1225&lt;=90,"90 or less",IF(E1225&lt;=105,"91-105",IF(E1225&lt;=120,"106-120",IF(E1225&lt;=140,"121-140","Over 140"))))</f>
        <v/>
      </c>
      <c r="Q1225" s="28">
        <f>INT(C1225/10)*10</f>
        <v/>
      </c>
    </row>
    <row r="1226">
      <c r="A1226" s="21" t="n">
        <v>1252</v>
      </c>
      <c r="B1226" s="21" t="inlineStr">
        <is>
          <t>Limbo</t>
        </is>
      </c>
      <c r="C1226" s="21" t="n">
        <v>1999</v>
      </c>
      <c r="D1226" s="21" t="inlineStr">
        <is>
          <t>USA</t>
        </is>
      </c>
      <c r="E1226" s="21" t="n">
        <v>126</v>
      </c>
      <c r="F1226" s="21" t="inlineStr">
        <is>
          <t>English</t>
        </is>
      </c>
      <c r="G1226" s="21" t="inlineStr">
        <is>
          <t>R</t>
        </is>
      </c>
      <c r="H1226" s="22" t="n">
        <v>1997807</v>
      </c>
      <c r="I1226" s="22" t="n">
        <v>8000000</v>
      </c>
      <c r="J1226" s="21">
        <f>IF(OR(H1226="",H1226=25529689.5),"Yes","No")</f>
        <v/>
      </c>
      <c r="K1226" s="21">
        <f>IF(AND(D1226="USA",C1226&gt;=1980,J1226="No"),"Yes","No")</f>
        <v/>
      </c>
      <c r="L1226" s="26">
        <f>IF(J1226="Yes","",H1226-I1226)</f>
        <v/>
      </c>
      <c r="M1226" s="27">
        <f>IF(OR(J1226="Yes",I1226=0),"",H1226/I1226)</f>
        <v/>
      </c>
      <c r="N1226" s="21">
        <f>IF(J1226="Yes","",IF(H1226&gt;=I1226,1,0))</f>
        <v/>
      </c>
      <c r="O1226" s="21">
        <f>IF(I1226&lt;=5000000,"Under $5M",IF(I1226&lt;=20000000,"$5M-20M",IF(I1226&lt;=50000000,"$20M-50M",IF(I1226&lt;=100000000,"$50M-100M","$100M+"))))</f>
        <v/>
      </c>
      <c r="P1226" s="21">
        <f>IF(E1226&lt;=90,"90 or less",IF(E1226&lt;=105,"91-105",IF(E1226&lt;=120,"106-120",IF(E1226&lt;=140,"121-140","Over 140"))))</f>
        <v/>
      </c>
      <c r="Q1226" s="28">
        <f>INT(C1226/10)*10</f>
        <v/>
      </c>
    </row>
    <row r="1227">
      <c r="A1227" s="21" t="n">
        <v>1253</v>
      </c>
      <c r="B1227" s="21" t="inlineStr">
        <is>
          <t>Love Stinks</t>
        </is>
      </c>
      <c r="C1227" s="21" t="n">
        <v>1999</v>
      </c>
      <c r="D1227" s="21" t="inlineStr">
        <is>
          <t>USA</t>
        </is>
      </c>
      <c r="E1227" s="21" t="n">
        <v>94</v>
      </c>
      <c r="F1227" s="21" t="inlineStr">
        <is>
          <t>English</t>
        </is>
      </c>
      <c r="G1227" s="21" t="inlineStr">
        <is>
          <t>R</t>
        </is>
      </c>
      <c r="H1227" s="22" t="n">
        <v>2800000</v>
      </c>
      <c r="I1227" s="22" t="n">
        <v>4000000</v>
      </c>
      <c r="J1227" s="21">
        <f>IF(OR(H1227="",H1227=25529689.5),"Yes","No")</f>
        <v/>
      </c>
      <c r="K1227" s="21">
        <f>IF(AND(D1227="USA",C1227&gt;=1980,J1227="No"),"Yes","No")</f>
        <v/>
      </c>
      <c r="L1227" s="26">
        <f>IF(J1227="Yes","",H1227-I1227)</f>
        <v/>
      </c>
      <c r="M1227" s="27">
        <f>IF(OR(J1227="Yes",I1227=0),"",H1227/I1227)</f>
        <v/>
      </c>
      <c r="N1227" s="21">
        <f>IF(J1227="Yes","",IF(H1227&gt;=I1227,1,0))</f>
        <v/>
      </c>
      <c r="O1227" s="21">
        <f>IF(I1227&lt;=5000000,"Under $5M",IF(I1227&lt;=20000000,"$5M-20M",IF(I1227&lt;=50000000,"$20M-50M",IF(I1227&lt;=100000000,"$50M-100M","$100M+"))))</f>
        <v/>
      </c>
      <c r="P1227" s="21">
        <f>IF(E1227&lt;=90,"90 or less",IF(E1227&lt;=105,"91-105",IF(E1227&lt;=120,"106-120",IF(E1227&lt;=140,"121-140","Over 140"))))</f>
        <v/>
      </c>
      <c r="Q1227" s="28">
        <f>INT(C1227/10)*10</f>
        <v/>
      </c>
    </row>
    <row r="1228">
      <c r="A1228" s="21" t="n">
        <v>1254</v>
      </c>
      <c r="B1228" s="21" t="inlineStr">
        <is>
          <t>Magnolia</t>
        </is>
      </c>
      <c r="C1228" s="21" t="n">
        <v>1999</v>
      </c>
      <c r="D1228" s="21" t="inlineStr">
        <is>
          <t>USA</t>
        </is>
      </c>
      <c r="E1228" s="21" t="n">
        <v>188</v>
      </c>
      <c r="F1228" s="21" t="inlineStr">
        <is>
          <t>English</t>
        </is>
      </c>
      <c r="G1228" s="21" t="inlineStr">
        <is>
          <t>R</t>
        </is>
      </c>
      <c r="H1228" s="22" t="n">
        <v>22450975</v>
      </c>
      <c r="I1228" s="22" t="n">
        <v>37000000</v>
      </c>
      <c r="J1228" s="21">
        <f>IF(OR(H1228="",H1228=25529689.5),"Yes","No")</f>
        <v/>
      </c>
      <c r="K1228" s="21">
        <f>IF(AND(D1228="USA",C1228&gt;=1980,J1228="No"),"Yes","No")</f>
        <v/>
      </c>
      <c r="L1228" s="26">
        <f>IF(J1228="Yes","",H1228-I1228)</f>
        <v/>
      </c>
      <c r="M1228" s="27">
        <f>IF(OR(J1228="Yes",I1228=0),"",H1228/I1228)</f>
        <v/>
      </c>
      <c r="N1228" s="21">
        <f>IF(J1228="Yes","",IF(H1228&gt;=I1228,1,0))</f>
        <v/>
      </c>
      <c r="O1228" s="21">
        <f>IF(I1228&lt;=5000000,"Under $5M",IF(I1228&lt;=20000000,"$5M-20M",IF(I1228&lt;=50000000,"$20M-50M",IF(I1228&lt;=100000000,"$50M-100M","$100M+"))))</f>
        <v/>
      </c>
      <c r="P1228" s="21">
        <f>IF(E1228&lt;=90,"90 or less",IF(E1228&lt;=105,"91-105",IF(E1228&lt;=120,"106-120",IF(E1228&lt;=140,"121-140","Over 140"))))</f>
        <v/>
      </c>
      <c r="Q1228" s="28">
        <f>INT(C1228/10)*10</f>
        <v/>
      </c>
    </row>
    <row r="1229">
      <c r="A1229" s="21" t="n">
        <v>1255</v>
      </c>
      <c r="B1229" s="21" t="inlineStr">
        <is>
          <t>Man on the Moon</t>
        </is>
      </c>
      <c r="C1229" s="21" t="n">
        <v>1999</v>
      </c>
      <c r="D1229" s="21" t="inlineStr">
        <is>
          <t>UK</t>
        </is>
      </c>
      <c r="E1229" s="21" t="n">
        <v>118</v>
      </c>
      <c r="F1229" s="21" t="inlineStr">
        <is>
          <t>English</t>
        </is>
      </c>
      <c r="G1229" s="21" t="inlineStr">
        <is>
          <t>R</t>
        </is>
      </c>
      <c r="H1229" s="22" t="n">
        <v>34580635</v>
      </c>
      <c r="I1229" s="22" t="n">
        <v>52000000</v>
      </c>
      <c r="J1229" s="21">
        <f>IF(OR(H1229="",H1229=25529689.5),"Yes","No")</f>
        <v/>
      </c>
      <c r="K1229" s="21">
        <f>IF(AND(D1229="USA",C1229&gt;=1980,J1229="No"),"Yes","No")</f>
        <v/>
      </c>
      <c r="L1229" s="26">
        <f>IF(J1229="Yes","",H1229-I1229)</f>
        <v/>
      </c>
      <c r="M1229" s="27">
        <f>IF(OR(J1229="Yes",I1229=0),"",H1229/I1229)</f>
        <v/>
      </c>
      <c r="N1229" s="21">
        <f>IF(J1229="Yes","",IF(H1229&gt;=I1229,1,0))</f>
        <v/>
      </c>
      <c r="O1229" s="21">
        <f>IF(I1229&lt;=5000000,"Under $5M",IF(I1229&lt;=20000000,"$5M-20M",IF(I1229&lt;=50000000,"$20M-50M",IF(I1229&lt;=100000000,"$50M-100M","$100M+"))))</f>
        <v/>
      </c>
      <c r="P1229" s="21">
        <f>IF(E1229&lt;=90,"90 or less",IF(E1229&lt;=105,"91-105",IF(E1229&lt;=120,"106-120",IF(E1229&lt;=140,"121-140","Over 140"))))</f>
        <v/>
      </c>
      <c r="Q1229" s="28">
        <f>INT(C1229/10)*10</f>
        <v/>
      </c>
    </row>
    <row r="1230">
      <c r="A1230" s="21" t="n">
        <v>1256</v>
      </c>
      <c r="B1230" s="21" t="inlineStr">
        <is>
          <t>Message in a Bottle</t>
        </is>
      </c>
      <c r="C1230" s="21" t="n">
        <v>1999</v>
      </c>
      <c r="D1230" s="21" t="inlineStr">
        <is>
          <t>USA</t>
        </is>
      </c>
      <c r="E1230" s="21" t="n">
        <v>131</v>
      </c>
      <c r="F1230" s="21" t="inlineStr">
        <is>
          <t>English</t>
        </is>
      </c>
      <c r="G1230" s="21" t="inlineStr">
        <is>
          <t>PG-13</t>
        </is>
      </c>
      <c r="H1230" s="22" t="n">
        <v>52799004</v>
      </c>
      <c r="I1230" s="22" t="n">
        <v>55000000</v>
      </c>
      <c r="J1230" s="21">
        <f>IF(OR(H1230="",H1230=25529689.5),"Yes","No")</f>
        <v/>
      </c>
      <c r="K1230" s="21">
        <f>IF(AND(D1230="USA",C1230&gt;=1980,J1230="No"),"Yes","No")</f>
        <v/>
      </c>
      <c r="L1230" s="26">
        <f>IF(J1230="Yes","",H1230-I1230)</f>
        <v/>
      </c>
      <c r="M1230" s="27">
        <f>IF(OR(J1230="Yes",I1230=0),"",H1230/I1230)</f>
        <v/>
      </c>
      <c r="N1230" s="21">
        <f>IF(J1230="Yes","",IF(H1230&gt;=I1230,1,0))</f>
        <v/>
      </c>
      <c r="O1230" s="21">
        <f>IF(I1230&lt;=5000000,"Under $5M",IF(I1230&lt;=20000000,"$5M-20M",IF(I1230&lt;=50000000,"$20M-50M",IF(I1230&lt;=100000000,"$50M-100M","$100M+"))))</f>
        <v/>
      </c>
      <c r="P1230" s="21">
        <f>IF(E1230&lt;=90,"90 or less",IF(E1230&lt;=105,"91-105",IF(E1230&lt;=120,"106-120",IF(E1230&lt;=140,"121-140","Over 140"))))</f>
        <v/>
      </c>
      <c r="Q1230" s="28">
        <f>INT(C1230/10)*10</f>
        <v/>
      </c>
    </row>
    <row r="1231">
      <c r="A1231" s="21" t="n">
        <v>1257</v>
      </c>
      <c r="B1231" s="21" t="inlineStr">
        <is>
          <t>Mickey Blue Eyes</t>
        </is>
      </c>
      <c r="C1231" s="21" t="n">
        <v>1999</v>
      </c>
      <c r="D1231" s="21" t="inlineStr">
        <is>
          <t>UK</t>
        </is>
      </c>
      <c r="E1231" s="21" t="n">
        <v>102</v>
      </c>
      <c r="F1231" s="21" t="inlineStr">
        <is>
          <t>English</t>
        </is>
      </c>
      <c r="G1231" s="21" t="inlineStr">
        <is>
          <t>PG-13</t>
        </is>
      </c>
      <c r="H1231" s="22" t="n">
        <v>33864342</v>
      </c>
      <c r="I1231" s="22" t="n">
        <v>40000000</v>
      </c>
      <c r="J1231" s="21">
        <f>IF(OR(H1231="",H1231=25529689.5),"Yes","No")</f>
        <v/>
      </c>
      <c r="K1231" s="21">
        <f>IF(AND(D1231="USA",C1231&gt;=1980,J1231="No"),"Yes","No")</f>
        <v/>
      </c>
      <c r="L1231" s="26">
        <f>IF(J1231="Yes","",H1231-I1231)</f>
        <v/>
      </c>
      <c r="M1231" s="27">
        <f>IF(OR(J1231="Yes",I1231=0),"",H1231/I1231)</f>
        <v/>
      </c>
      <c r="N1231" s="21">
        <f>IF(J1231="Yes","",IF(H1231&gt;=I1231,1,0))</f>
        <v/>
      </c>
      <c r="O1231" s="21">
        <f>IF(I1231&lt;=5000000,"Under $5M",IF(I1231&lt;=20000000,"$5M-20M",IF(I1231&lt;=50000000,"$20M-50M",IF(I1231&lt;=100000000,"$50M-100M","$100M+"))))</f>
        <v/>
      </c>
      <c r="P1231" s="21">
        <f>IF(E1231&lt;=90,"90 or less",IF(E1231&lt;=105,"91-105",IF(E1231&lt;=120,"106-120",IF(E1231&lt;=140,"121-140","Over 140"))))</f>
        <v/>
      </c>
      <c r="Q1231" s="28">
        <f>INT(C1231/10)*10</f>
        <v/>
      </c>
    </row>
    <row r="1232">
      <c r="A1232" s="21" t="n">
        <v>1258</v>
      </c>
      <c r="B1232" s="21" t="inlineStr">
        <is>
          <t>Molly</t>
        </is>
      </c>
      <c r="C1232" s="21" t="n">
        <v>1999</v>
      </c>
      <c r="D1232" s="21" t="inlineStr">
        <is>
          <t>USA</t>
        </is>
      </c>
      <c r="E1232" s="21" t="n">
        <v>102</v>
      </c>
      <c r="F1232" s="21" t="inlineStr">
        <is>
          <t>English</t>
        </is>
      </c>
      <c r="G1232" s="21" t="inlineStr">
        <is>
          <t>PG-13</t>
        </is>
      </c>
      <c r="H1232" s="22" t="n">
        <v>15593</v>
      </c>
      <c r="I1232" s="22" t="n">
        <v>21000000</v>
      </c>
      <c r="J1232" s="21">
        <f>IF(OR(H1232="",H1232=25529689.5),"Yes","No")</f>
        <v/>
      </c>
      <c r="K1232" s="21">
        <f>IF(AND(D1232="USA",C1232&gt;=1980,J1232="No"),"Yes","No")</f>
        <v/>
      </c>
      <c r="L1232" s="26">
        <f>IF(J1232="Yes","",H1232-I1232)</f>
        <v/>
      </c>
      <c r="M1232" s="27">
        <f>IF(OR(J1232="Yes",I1232=0),"",H1232/I1232)</f>
        <v/>
      </c>
      <c r="N1232" s="21">
        <f>IF(J1232="Yes","",IF(H1232&gt;=I1232,1,0))</f>
        <v/>
      </c>
      <c r="O1232" s="21">
        <f>IF(I1232&lt;=5000000,"Under $5M",IF(I1232&lt;=20000000,"$5M-20M",IF(I1232&lt;=50000000,"$20M-50M",IF(I1232&lt;=100000000,"$50M-100M","$100M+"))))</f>
        <v/>
      </c>
      <c r="P1232" s="21">
        <f>IF(E1232&lt;=90,"90 or less",IF(E1232&lt;=105,"91-105",IF(E1232&lt;=120,"106-120",IF(E1232&lt;=140,"121-140","Over 140"))))</f>
        <v/>
      </c>
      <c r="Q1232" s="28">
        <f>INT(C1232/10)*10</f>
        <v/>
      </c>
    </row>
    <row r="1233">
      <c r="A1233" s="21" t="n">
        <v>1259</v>
      </c>
      <c r="B1233" s="21" t="inlineStr">
        <is>
          <t>Mumford</t>
        </is>
      </c>
      <c r="C1233" s="21" t="n">
        <v>1999</v>
      </c>
      <c r="D1233" s="21" t="inlineStr">
        <is>
          <t>USA</t>
        </is>
      </c>
      <c r="E1233" s="21" t="n">
        <v>112</v>
      </c>
      <c r="F1233" s="21" t="inlineStr">
        <is>
          <t>English</t>
        </is>
      </c>
      <c r="G1233" s="21" t="inlineStr">
        <is>
          <t>R</t>
        </is>
      </c>
      <c r="H1233" s="22" t="n">
        <v>4554569</v>
      </c>
      <c r="I1233" s="22" t="n">
        <v>28000000</v>
      </c>
      <c r="J1233" s="21">
        <f>IF(OR(H1233="",H1233=25529689.5),"Yes","No")</f>
        <v/>
      </c>
      <c r="K1233" s="21">
        <f>IF(AND(D1233="USA",C1233&gt;=1980,J1233="No"),"Yes","No")</f>
        <v/>
      </c>
      <c r="L1233" s="26">
        <f>IF(J1233="Yes","",H1233-I1233)</f>
        <v/>
      </c>
      <c r="M1233" s="27">
        <f>IF(OR(J1233="Yes",I1233=0),"",H1233/I1233)</f>
        <v/>
      </c>
      <c r="N1233" s="21">
        <f>IF(J1233="Yes","",IF(H1233&gt;=I1233,1,0))</f>
        <v/>
      </c>
      <c r="O1233" s="21">
        <f>IF(I1233&lt;=5000000,"Under $5M",IF(I1233&lt;=20000000,"$5M-20M",IF(I1233&lt;=50000000,"$20M-50M",IF(I1233&lt;=100000000,"$50M-100M","$100M+"))))</f>
        <v/>
      </c>
      <c r="P1233" s="21">
        <f>IF(E1233&lt;=90,"90 or less",IF(E1233&lt;=105,"91-105",IF(E1233&lt;=120,"106-120",IF(E1233&lt;=140,"121-140","Over 140"))))</f>
        <v/>
      </c>
      <c r="Q1233" s="28">
        <f>INT(C1233/10)*10</f>
        <v/>
      </c>
    </row>
    <row r="1234">
      <c r="A1234" s="21" t="n">
        <v>1260</v>
      </c>
      <c r="B1234" s="21" t="inlineStr">
        <is>
          <t>Muppets from Space</t>
        </is>
      </c>
      <c r="C1234" s="21" t="n">
        <v>1999</v>
      </c>
      <c r="D1234" s="21" t="inlineStr">
        <is>
          <t>USA</t>
        </is>
      </c>
      <c r="E1234" s="21" t="n">
        <v>87</v>
      </c>
      <c r="F1234" s="21" t="inlineStr">
        <is>
          <t>English</t>
        </is>
      </c>
      <c r="G1234" s="21" t="inlineStr">
        <is>
          <t>G</t>
        </is>
      </c>
      <c r="H1234" s="22" t="n">
        <v>16290976</v>
      </c>
      <c r="I1234" s="22" t="n">
        <v>24000000</v>
      </c>
      <c r="J1234" s="21">
        <f>IF(OR(H1234="",H1234=25529689.5),"Yes","No")</f>
        <v/>
      </c>
      <c r="K1234" s="21">
        <f>IF(AND(D1234="USA",C1234&gt;=1980,J1234="No"),"Yes","No")</f>
        <v/>
      </c>
      <c r="L1234" s="26">
        <f>IF(J1234="Yes","",H1234-I1234)</f>
        <v/>
      </c>
      <c r="M1234" s="27">
        <f>IF(OR(J1234="Yes",I1234=0),"",H1234/I1234)</f>
        <v/>
      </c>
      <c r="N1234" s="21">
        <f>IF(J1234="Yes","",IF(H1234&gt;=I1234,1,0))</f>
        <v/>
      </c>
      <c r="O1234" s="21">
        <f>IF(I1234&lt;=5000000,"Under $5M",IF(I1234&lt;=20000000,"$5M-20M",IF(I1234&lt;=50000000,"$20M-50M",IF(I1234&lt;=100000000,"$50M-100M","$100M+"))))</f>
        <v/>
      </c>
      <c r="P1234" s="21">
        <f>IF(E1234&lt;=90,"90 or less",IF(E1234&lt;=105,"91-105",IF(E1234&lt;=120,"106-120",IF(E1234&lt;=140,"121-140","Over 140"))))</f>
        <v/>
      </c>
      <c r="Q1234" s="28">
        <f>INT(C1234/10)*10</f>
        <v/>
      </c>
    </row>
    <row r="1235">
      <c r="A1235" s="21" t="n">
        <v>1261</v>
      </c>
      <c r="B1235" s="21" t="inlineStr">
        <is>
          <t>My Favorite Martian</t>
        </is>
      </c>
      <c r="C1235" s="21" t="n">
        <v>1999</v>
      </c>
      <c r="D1235" s="21" t="inlineStr">
        <is>
          <t>USA</t>
        </is>
      </c>
      <c r="E1235" s="21" t="n">
        <v>94</v>
      </c>
      <c r="F1235" s="21" t="inlineStr">
        <is>
          <t>English</t>
        </is>
      </c>
      <c r="G1235" s="21" t="inlineStr">
        <is>
          <t>PG</t>
        </is>
      </c>
      <c r="H1235" s="22" t="n">
        <v>36830057</v>
      </c>
      <c r="I1235" s="22" t="n">
        <v>65000000</v>
      </c>
      <c r="J1235" s="21">
        <f>IF(OR(H1235="",H1235=25529689.5),"Yes","No")</f>
        <v/>
      </c>
      <c r="K1235" s="21">
        <f>IF(AND(D1235="USA",C1235&gt;=1980,J1235="No"),"Yes","No")</f>
        <v/>
      </c>
      <c r="L1235" s="26">
        <f>IF(J1235="Yes","",H1235-I1235)</f>
        <v/>
      </c>
      <c r="M1235" s="27">
        <f>IF(OR(J1235="Yes",I1235=0),"",H1235/I1235)</f>
        <v/>
      </c>
      <c r="N1235" s="21">
        <f>IF(J1235="Yes","",IF(H1235&gt;=I1235,1,0))</f>
        <v/>
      </c>
      <c r="O1235" s="21">
        <f>IF(I1235&lt;=5000000,"Under $5M",IF(I1235&lt;=20000000,"$5M-20M",IF(I1235&lt;=50000000,"$20M-50M",IF(I1235&lt;=100000000,"$50M-100M","$100M+"))))</f>
        <v/>
      </c>
      <c r="P1235" s="21">
        <f>IF(E1235&lt;=90,"90 or less",IF(E1235&lt;=105,"91-105",IF(E1235&lt;=120,"106-120",IF(E1235&lt;=140,"121-140","Over 140"))))</f>
        <v/>
      </c>
      <c r="Q1235" s="28">
        <f>INT(C1235/10)*10</f>
        <v/>
      </c>
    </row>
    <row r="1236">
      <c r="A1236" s="21" t="n">
        <v>1262</v>
      </c>
      <c r="B1236" s="21" t="inlineStr">
        <is>
          <t>Mystery Men</t>
        </is>
      </c>
      <c r="C1236" s="21" t="n">
        <v>1999</v>
      </c>
      <c r="D1236" s="21" t="inlineStr">
        <is>
          <t>USA</t>
        </is>
      </c>
      <c r="E1236" s="21" t="n">
        <v>121</v>
      </c>
      <c r="F1236" s="21" t="inlineStr">
        <is>
          <t>English</t>
        </is>
      </c>
      <c r="G1236" s="21" t="inlineStr">
        <is>
          <t>PG-13</t>
        </is>
      </c>
      <c r="H1236" s="22" t="n">
        <v>29655590</v>
      </c>
      <c r="I1236" s="22" t="n">
        <v>65000000</v>
      </c>
      <c r="J1236" s="21">
        <f>IF(OR(H1236="",H1236=25529689.5),"Yes","No")</f>
        <v/>
      </c>
      <c r="K1236" s="21">
        <f>IF(AND(D1236="USA",C1236&gt;=1980,J1236="No"),"Yes","No")</f>
        <v/>
      </c>
      <c r="L1236" s="26">
        <f>IF(J1236="Yes","",H1236-I1236)</f>
        <v/>
      </c>
      <c r="M1236" s="27">
        <f>IF(OR(J1236="Yes",I1236=0),"",H1236/I1236)</f>
        <v/>
      </c>
      <c r="N1236" s="21">
        <f>IF(J1236="Yes","",IF(H1236&gt;=I1236,1,0))</f>
        <v/>
      </c>
      <c r="O1236" s="21">
        <f>IF(I1236&lt;=5000000,"Under $5M",IF(I1236&lt;=20000000,"$5M-20M",IF(I1236&lt;=50000000,"$20M-50M",IF(I1236&lt;=100000000,"$50M-100M","$100M+"))))</f>
        <v/>
      </c>
      <c r="P1236" s="21">
        <f>IF(E1236&lt;=90,"90 or less",IF(E1236&lt;=105,"91-105",IF(E1236&lt;=120,"106-120",IF(E1236&lt;=140,"121-140","Over 140"))))</f>
        <v/>
      </c>
      <c r="Q1236" s="28">
        <f>INT(C1236/10)*10</f>
        <v/>
      </c>
    </row>
    <row r="1237">
      <c r="A1237" s="21" t="n">
        <v>1263</v>
      </c>
      <c r="B1237" s="21" t="inlineStr">
        <is>
          <t>Mystery, Alaska</t>
        </is>
      </c>
      <c r="C1237" s="21" t="n">
        <v>1999</v>
      </c>
      <c r="D1237" s="21" t="inlineStr">
        <is>
          <t>Canada</t>
        </is>
      </c>
      <c r="E1237" s="21" t="n">
        <v>119</v>
      </c>
      <c r="F1237" s="21" t="inlineStr">
        <is>
          <t>English</t>
        </is>
      </c>
      <c r="G1237" s="21" t="inlineStr">
        <is>
          <t>R</t>
        </is>
      </c>
      <c r="H1237" s="22" t="n">
        <v>8888143</v>
      </c>
      <c r="I1237" s="22" t="n">
        <v>28000000</v>
      </c>
      <c r="J1237" s="21">
        <f>IF(OR(H1237="",H1237=25529689.5),"Yes","No")</f>
        <v/>
      </c>
      <c r="K1237" s="21">
        <f>IF(AND(D1237="USA",C1237&gt;=1980,J1237="No"),"Yes","No")</f>
        <v/>
      </c>
      <c r="L1237" s="26">
        <f>IF(J1237="Yes","",H1237-I1237)</f>
        <v/>
      </c>
      <c r="M1237" s="27">
        <f>IF(OR(J1237="Yes",I1237=0),"",H1237/I1237)</f>
        <v/>
      </c>
      <c r="N1237" s="21">
        <f>IF(J1237="Yes","",IF(H1237&gt;=I1237,1,0))</f>
        <v/>
      </c>
      <c r="O1237" s="21">
        <f>IF(I1237&lt;=5000000,"Under $5M",IF(I1237&lt;=20000000,"$5M-20M",IF(I1237&lt;=50000000,"$20M-50M",IF(I1237&lt;=100000000,"$50M-100M","$100M+"))))</f>
        <v/>
      </c>
      <c r="P1237" s="21">
        <f>IF(E1237&lt;=90,"90 or less",IF(E1237&lt;=105,"91-105",IF(E1237&lt;=120,"106-120",IF(E1237&lt;=140,"121-140","Over 140"))))</f>
        <v/>
      </c>
      <c r="Q1237" s="28">
        <f>INT(C1237/10)*10</f>
        <v/>
      </c>
    </row>
    <row r="1238">
      <c r="A1238" s="21" t="n">
        <v>1264</v>
      </c>
      <c r="B1238" s="21" t="inlineStr">
        <is>
          <t>Notting Hill</t>
        </is>
      </c>
      <c r="C1238" s="21" t="n">
        <v>1999</v>
      </c>
      <c r="D1238" s="21" t="inlineStr">
        <is>
          <t>UK</t>
        </is>
      </c>
      <c r="E1238" s="21" t="n">
        <v>124</v>
      </c>
      <c r="F1238" s="21" t="inlineStr">
        <is>
          <t>English</t>
        </is>
      </c>
      <c r="G1238" s="21" t="inlineStr">
        <is>
          <t>PG-13</t>
        </is>
      </c>
      <c r="H1238" s="22" t="n">
        <v>116006080</v>
      </c>
      <c r="I1238" s="22" t="n">
        <v>42000000</v>
      </c>
      <c r="J1238" s="21">
        <f>IF(OR(H1238="",H1238=25529689.5),"Yes","No")</f>
        <v/>
      </c>
      <c r="K1238" s="21">
        <f>IF(AND(D1238="USA",C1238&gt;=1980,J1238="No"),"Yes","No")</f>
        <v/>
      </c>
      <c r="L1238" s="26">
        <f>IF(J1238="Yes","",H1238-I1238)</f>
        <v/>
      </c>
      <c r="M1238" s="27">
        <f>IF(OR(J1238="Yes",I1238=0),"",H1238/I1238)</f>
        <v/>
      </c>
      <c r="N1238" s="21">
        <f>IF(J1238="Yes","",IF(H1238&gt;=I1238,1,0))</f>
        <v/>
      </c>
      <c r="O1238" s="21">
        <f>IF(I1238&lt;=5000000,"Under $5M",IF(I1238&lt;=20000000,"$5M-20M",IF(I1238&lt;=50000000,"$20M-50M",IF(I1238&lt;=100000000,"$50M-100M","$100M+"))))</f>
        <v/>
      </c>
      <c r="P1238" s="21">
        <f>IF(E1238&lt;=90,"90 or less",IF(E1238&lt;=105,"91-105",IF(E1238&lt;=120,"106-120",IF(E1238&lt;=140,"121-140","Over 140"))))</f>
        <v/>
      </c>
      <c r="Q1238" s="28">
        <f>INT(C1238/10)*10</f>
        <v/>
      </c>
    </row>
    <row r="1239">
      <c r="A1239" s="21" t="n">
        <v>1265</v>
      </c>
      <c r="B1239" s="21" t="inlineStr">
        <is>
          <t>Office Space</t>
        </is>
      </c>
      <c r="C1239" s="21" t="n">
        <v>1999</v>
      </c>
      <c r="D1239" s="21" t="inlineStr">
        <is>
          <t>USA</t>
        </is>
      </c>
      <c r="E1239" s="21" t="n">
        <v>89</v>
      </c>
      <c r="F1239" s="21" t="inlineStr">
        <is>
          <t>English</t>
        </is>
      </c>
      <c r="G1239" s="21" t="inlineStr">
        <is>
          <t>R</t>
        </is>
      </c>
      <c r="H1239" s="22" t="n">
        <v>10824921</v>
      </c>
      <c r="I1239" s="22" t="n">
        <v>10000000</v>
      </c>
      <c r="J1239" s="21">
        <f>IF(OR(H1239="",H1239=25529689.5),"Yes","No")</f>
        <v/>
      </c>
      <c r="K1239" s="21">
        <f>IF(AND(D1239="USA",C1239&gt;=1980,J1239="No"),"Yes","No")</f>
        <v/>
      </c>
      <c r="L1239" s="26">
        <f>IF(J1239="Yes","",H1239-I1239)</f>
        <v/>
      </c>
      <c r="M1239" s="27">
        <f>IF(OR(J1239="Yes",I1239=0),"",H1239/I1239)</f>
        <v/>
      </c>
      <c r="N1239" s="21">
        <f>IF(J1239="Yes","",IF(H1239&gt;=I1239,1,0))</f>
        <v/>
      </c>
      <c r="O1239" s="21">
        <f>IF(I1239&lt;=5000000,"Under $5M",IF(I1239&lt;=20000000,"$5M-20M",IF(I1239&lt;=50000000,"$20M-50M",IF(I1239&lt;=100000000,"$50M-100M","$100M+"))))</f>
        <v/>
      </c>
      <c r="P1239" s="21">
        <f>IF(E1239&lt;=90,"90 or less",IF(E1239&lt;=105,"91-105",IF(E1239&lt;=120,"106-120",IF(E1239&lt;=140,"121-140","Over 140"))))</f>
        <v/>
      </c>
      <c r="Q1239" s="28">
        <f>INT(C1239/10)*10</f>
        <v/>
      </c>
    </row>
    <row r="1240">
      <c r="A1240" s="21" t="n">
        <v>1266</v>
      </c>
      <c r="B1240" s="21" t="inlineStr">
        <is>
          <t>One Man's Hero</t>
        </is>
      </c>
      <c r="C1240" s="21" t="n">
        <v>1999</v>
      </c>
      <c r="D1240" s="21" t="inlineStr">
        <is>
          <t>Spain</t>
        </is>
      </c>
      <c r="E1240" s="21" t="n">
        <v>121</v>
      </c>
      <c r="F1240" s="21" t="inlineStr">
        <is>
          <t>English</t>
        </is>
      </c>
      <c r="G1240" s="21" t="inlineStr">
        <is>
          <t>R</t>
        </is>
      </c>
      <c r="H1240" s="22" t="n">
        <v>229311</v>
      </c>
      <c r="I1240" s="22" t="n">
        <v>11350000</v>
      </c>
      <c r="J1240" s="21">
        <f>IF(OR(H1240="",H1240=25529689.5),"Yes","No")</f>
        <v/>
      </c>
      <c r="K1240" s="21">
        <f>IF(AND(D1240="USA",C1240&gt;=1980,J1240="No"),"Yes","No")</f>
        <v/>
      </c>
      <c r="L1240" s="26">
        <f>IF(J1240="Yes","",H1240-I1240)</f>
        <v/>
      </c>
      <c r="M1240" s="27">
        <f>IF(OR(J1240="Yes",I1240=0),"",H1240/I1240)</f>
        <v/>
      </c>
      <c r="N1240" s="21">
        <f>IF(J1240="Yes","",IF(H1240&gt;=I1240,1,0))</f>
        <v/>
      </c>
      <c r="O1240" s="21">
        <f>IF(I1240&lt;=5000000,"Under $5M",IF(I1240&lt;=20000000,"$5M-20M",IF(I1240&lt;=50000000,"$20M-50M",IF(I1240&lt;=100000000,"$50M-100M","$100M+"))))</f>
        <v/>
      </c>
      <c r="P1240" s="21">
        <f>IF(E1240&lt;=90,"90 or less",IF(E1240&lt;=105,"91-105",IF(E1240&lt;=120,"106-120",IF(E1240&lt;=140,"121-140","Over 140"))))</f>
        <v/>
      </c>
      <c r="Q1240" s="28">
        <f>INT(C1240/10)*10</f>
        <v/>
      </c>
    </row>
    <row r="1241">
      <c r="A1241" s="21" t="n">
        <v>1267</v>
      </c>
      <c r="B1241" s="21" t="inlineStr">
        <is>
          <t>Outside Providence</t>
        </is>
      </c>
      <c r="C1241" s="21" t="n">
        <v>1999</v>
      </c>
      <c r="D1241" s="21" t="inlineStr">
        <is>
          <t>USA</t>
        </is>
      </c>
      <c r="E1241" s="21" t="n">
        <v>96</v>
      </c>
      <c r="F1241" s="21" t="inlineStr">
        <is>
          <t>English</t>
        </is>
      </c>
      <c r="G1241" s="21" t="inlineStr">
        <is>
          <t>R</t>
        </is>
      </c>
      <c r="H1241" s="22" t="n">
        <v>7292175</v>
      </c>
      <c r="I1241" s="22" t="n">
        <v>7000000</v>
      </c>
      <c r="J1241" s="21">
        <f>IF(OR(H1241="",H1241=25529689.5),"Yes","No")</f>
        <v/>
      </c>
      <c r="K1241" s="21">
        <f>IF(AND(D1241="USA",C1241&gt;=1980,J1241="No"),"Yes","No")</f>
        <v/>
      </c>
      <c r="L1241" s="26">
        <f>IF(J1241="Yes","",H1241-I1241)</f>
        <v/>
      </c>
      <c r="M1241" s="27">
        <f>IF(OR(J1241="Yes",I1241=0),"",H1241/I1241)</f>
        <v/>
      </c>
      <c r="N1241" s="21">
        <f>IF(J1241="Yes","",IF(H1241&gt;=I1241,1,0))</f>
        <v/>
      </c>
      <c r="O1241" s="21">
        <f>IF(I1241&lt;=5000000,"Under $5M",IF(I1241&lt;=20000000,"$5M-20M",IF(I1241&lt;=50000000,"$20M-50M",IF(I1241&lt;=100000000,"$50M-100M","$100M+"))))</f>
        <v/>
      </c>
      <c r="P1241" s="21">
        <f>IF(E1241&lt;=90,"90 or less",IF(E1241&lt;=105,"91-105",IF(E1241&lt;=120,"106-120",IF(E1241&lt;=140,"121-140","Over 140"))))</f>
        <v/>
      </c>
      <c r="Q1241" s="28">
        <f>INT(C1241/10)*10</f>
        <v/>
      </c>
    </row>
    <row r="1242">
      <c r="A1242" s="21" t="n">
        <v>1268</v>
      </c>
      <c r="B1242" s="21" t="inlineStr">
        <is>
          <t>Payback</t>
        </is>
      </c>
      <c r="C1242" s="21" t="n">
        <v>1999</v>
      </c>
      <c r="D1242" s="21" t="inlineStr">
        <is>
          <t>USA</t>
        </is>
      </c>
      <c r="E1242" s="21" t="n">
        <v>90</v>
      </c>
      <c r="F1242" s="21" t="inlineStr">
        <is>
          <t>English</t>
        </is>
      </c>
      <c r="G1242" s="21" t="inlineStr">
        <is>
          <t>R</t>
        </is>
      </c>
      <c r="H1242" s="22" t="n">
        <v>81517441</v>
      </c>
      <c r="I1242" s="22" t="n">
        <v>50000000</v>
      </c>
      <c r="J1242" s="21">
        <f>IF(OR(H1242="",H1242=25529689.5),"Yes","No")</f>
        <v/>
      </c>
      <c r="K1242" s="21">
        <f>IF(AND(D1242="USA",C1242&gt;=1980,J1242="No"),"Yes","No")</f>
        <v/>
      </c>
      <c r="L1242" s="26">
        <f>IF(J1242="Yes","",H1242-I1242)</f>
        <v/>
      </c>
      <c r="M1242" s="27">
        <f>IF(OR(J1242="Yes",I1242=0),"",H1242/I1242)</f>
        <v/>
      </c>
      <c r="N1242" s="21">
        <f>IF(J1242="Yes","",IF(H1242&gt;=I1242,1,0))</f>
        <v/>
      </c>
      <c r="O1242" s="21">
        <f>IF(I1242&lt;=5000000,"Under $5M",IF(I1242&lt;=20000000,"$5M-20M",IF(I1242&lt;=50000000,"$20M-50M",IF(I1242&lt;=100000000,"$50M-100M","$100M+"))))</f>
        <v/>
      </c>
      <c r="P1242" s="21">
        <f>IF(E1242&lt;=90,"90 or less",IF(E1242&lt;=105,"91-105",IF(E1242&lt;=120,"106-120",IF(E1242&lt;=140,"121-140","Over 140"))))</f>
        <v/>
      </c>
      <c r="Q1242" s="28">
        <f>INT(C1242/10)*10</f>
        <v/>
      </c>
    </row>
    <row r="1243">
      <c r="A1243" s="21" t="n">
        <v>1269</v>
      </c>
      <c r="B1243" s="21" t="inlineStr">
        <is>
          <t>Play It to the Bone</t>
        </is>
      </c>
      <c r="C1243" s="21" t="n">
        <v>1999</v>
      </c>
      <c r="D1243" s="21" t="inlineStr">
        <is>
          <t>USA</t>
        </is>
      </c>
      <c r="E1243" s="21" t="n">
        <v>124</v>
      </c>
      <c r="F1243" s="21" t="inlineStr">
        <is>
          <t>English</t>
        </is>
      </c>
      <c r="G1243" s="21" t="inlineStr">
        <is>
          <t>R</t>
        </is>
      </c>
      <c r="H1243" s="22" t="n">
        <v>8427204</v>
      </c>
      <c r="I1243" s="22" t="n">
        <v>24000000</v>
      </c>
      <c r="J1243" s="21">
        <f>IF(OR(H1243="",H1243=25529689.5),"Yes","No")</f>
        <v/>
      </c>
      <c r="K1243" s="21">
        <f>IF(AND(D1243="USA",C1243&gt;=1980,J1243="No"),"Yes","No")</f>
        <v/>
      </c>
      <c r="L1243" s="26">
        <f>IF(J1243="Yes","",H1243-I1243)</f>
        <v/>
      </c>
      <c r="M1243" s="27">
        <f>IF(OR(J1243="Yes",I1243=0),"",H1243/I1243)</f>
        <v/>
      </c>
      <c r="N1243" s="21">
        <f>IF(J1243="Yes","",IF(H1243&gt;=I1243,1,0))</f>
        <v/>
      </c>
      <c r="O1243" s="21">
        <f>IF(I1243&lt;=5000000,"Under $5M",IF(I1243&lt;=20000000,"$5M-20M",IF(I1243&lt;=50000000,"$20M-50M",IF(I1243&lt;=100000000,"$50M-100M","$100M+"))))</f>
        <v/>
      </c>
      <c r="P1243" s="21">
        <f>IF(E1243&lt;=90,"90 or less",IF(E1243&lt;=105,"91-105",IF(E1243&lt;=120,"106-120",IF(E1243&lt;=140,"121-140","Over 140"))))</f>
        <v/>
      </c>
      <c r="Q1243" s="28">
        <f>INT(C1243/10)*10</f>
        <v/>
      </c>
    </row>
    <row r="1244">
      <c r="A1244" s="21" t="n">
        <v>1270</v>
      </c>
      <c r="B1244" s="21" t="inlineStr">
        <is>
          <t>Pushing Tin</t>
        </is>
      </c>
      <c r="C1244" s="21" t="n">
        <v>1999</v>
      </c>
      <c r="D1244" s="21" t="inlineStr">
        <is>
          <t>USA</t>
        </is>
      </c>
      <c r="E1244" s="21" t="n">
        <v>124</v>
      </c>
      <c r="F1244" s="21" t="inlineStr">
        <is>
          <t>English</t>
        </is>
      </c>
      <c r="G1244" s="21" t="inlineStr">
        <is>
          <t>R</t>
        </is>
      </c>
      <c r="H1244" s="22" t="n">
        <v>8406264</v>
      </c>
      <c r="I1244" s="22" t="n">
        <v>38000000</v>
      </c>
      <c r="J1244" s="21">
        <f>IF(OR(H1244="",H1244=25529689.5),"Yes","No")</f>
        <v/>
      </c>
      <c r="K1244" s="21">
        <f>IF(AND(D1244="USA",C1244&gt;=1980,J1244="No"),"Yes","No")</f>
        <v/>
      </c>
      <c r="L1244" s="26">
        <f>IF(J1244="Yes","",H1244-I1244)</f>
        <v/>
      </c>
      <c r="M1244" s="27">
        <f>IF(OR(J1244="Yes",I1244=0),"",H1244/I1244)</f>
        <v/>
      </c>
      <c r="N1244" s="21">
        <f>IF(J1244="Yes","",IF(H1244&gt;=I1244,1,0))</f>
        <v/>
      </c>
      <c r="O1244" s="21">
        <f>IF(I1244&lt;=5000000,"Under $5M",IF(I1244&lt;=20000000,"$5M-20M",IF(I1244&lt;=50000000,"$20M-50M",IF(I1244&lt;=100000000,"$50M-100M","$100M+"))))</f>
        <v/>
      </c>
      <c r="P1244" s="21">
        <f>IF(E1244&lt;=90,"90 or less",IF(E1244&lt;=105,"91-105",IF(E1244&lt;=120,"106-120",IF(E1244&lt;=140,"121-140","Over 140"))))</f>
        <v/>
      </c>
      <c r="Q1244" s="28">
        <f>INT(C1244/10)*10</f>
        <v/>
      </c>
    </row>
    <row r="1245">
      <c r="A1245" s="21" t="n">
        <v>1271</v>
      </c>
      <c r="B1245" s="21" t="inlineStr">
        <is>
          <t>Random Hearts</t>
        </is>
      </c>
      <c r="C1245" s="21" t="n">
        <v>1999</v>
      </c>
      <c r="D1245" s="21" t="inlineStr">
        <is>
          <t>USA</t>
        </is>
      </c>
      <c r="E1245" s="21" t="n">
        <v>133</v>
      </c>
      <c r="F1245" s="21" t="inlineStr">
        <is>
          <t>English</t>
        </is>
      </c>
      <c r="G1245" s="21" t="inlineStr">
        <is>
          <t>R</t>
        </is>
      </c>
      <c r="H1245" s="22" t="n">
        <v>31054924</v>
      </c>
      <c r="I1245" s="22" t="n">
        <v>64000000</v>
      </c>
      <c r="J1245" s="21">
        <f>IF(OR(H1245="",H1245=25529689.5),"Yes","No")</f>
        <v/>
      </c>
      <c r="K1245" s="21">
        <f>IF(AND(D1245="USA",C1245&gt;=1980,J1245="No"),"Yes","No")</f>
        <v/>
      </c>
      <c r="L1245" s="26">
        <f>IF(J1245="Yes","",H1245-I1245)</f>
        <v/>
      </c>
      <c r="M1245" s="27">
        <f>IF(OR(J1245="Yes",I1245=0),"",H1245/I1245)</f>
        <v/>
      </c>
      <c r="N1245" s="21">
        <f>IF(J1245="Yes","",IF(H1245&gt;=I1245,1,0))</f>
        <v/>
      </c>
      <c r="O1245" s="21">
        <f>IF(I1245&lt;=5000000,"Under $5M",IF(I1245&lt;=20000000,"$5M-20M",IF(I1245&lt;=50000000,"$20M-50M",IF(I1245&lt;=100000000,"$50M-100M","$100M+"))))</f>
        <v/>
      </c>
      <c r="P1245" s="21">
        <f>IF(E1245&lt;=90,"90 or less",IF(E1245&lt;=105,"91-105",IF(E1245&lt;=120,"106-120",IF(E1245&lt;=140,"121-140","Over 140"))))</f>
        <v/>
      </c>
      <c r="Q1245" s="28">
        <f>INT(C1245/10)*10</f>
        <v/>
      </c>
    </row>
    <row r="1246">
      <c r="A1246" s="21" t="n">
        <v>1272</v>
      </c>
      <c r="B1246" s="21" t="inlineStr">
        <is>
          <t>Ravenous</t>
        </is>
      </c>
      <c r="C1246" s="21" t="n">
        <v>1999</v>
      </c>
      <c r="D1246" s="21" t="inlineStr">
        <is>
          <t>Czech Republic</t>
        </is>
      </c>
      <c r="E1246" s="21" t="n">
        <v>101</v>
      </c>
      <c r="F1246" s="21" t="inlineStr">
        <is>
          <t>English</t>
        </is>
      </c>
      <c r="G1246" s="21" t="inlineStr">
        <is>
          <t>R</t>
        </is>
      </c>
      <c r="H1246" s="22" t="n">
        <v>2060953</v>
      </c>
      <c r="I1246" s="22" t="n">
        <v>12000000</v>
      </c>
      <c r="J1246" s="21">
        <f>IF(OR(H1246="",H1246=25529689.5),"Yes","No")</f>
        <v/>
      </c>
      <c r="K1246" s="21">
        <f>IF(AND(D1246="USA",C1246&gt;=1980,J1246="No"),"Yes","No")</f>
        <v/>
      </c>
      <c r="L1246" s="26">
        <f>IF(J1246="Yes","",H1246-I1246)</f>
        <v/>
      </c>
      <c r="M1246" s="27">
        <f>IF(OR(J1246="Yes",I1246=0),"",H1246/I1246)</f>
        <v/>
      </c>
      <c r="N1246" s="21">
        <f>IF(J1246="Yes","",IF(H1246&gt;=I1246,1,0))</f>
        <v/>
      </c>
      <c r="O1246" s="21">
        <f>IF(I1246&lt;=5000000,"Under $5M",IF(I1246&lt;=20000000,"$5M-20M",IF(I1246&lt;=50000000,"$20M-50M",IF(I1246&lt;=100000000,"$50M-100M","$100M+"))))</f>
        <v/>
      </c>
      <c r="P1246" s="21">
        <f>IF(E1246&lt;=90,"90 or less",IF(E1246&lt;=105,"91-105",IF(E1246&lt;=120,"106-120",IF(E1246&lt;=140,"121-140","Over 140"))))</f>
        <v/>
      </c>
      <c r="Q1246" s="28">
        <f>INT(C1246/10)*10</f>
        <v/>
      </c>
    </row>
    <row r="1247">
      <c r="A1247" s="21" t="n">
        <v>1273</v>
      </c>
      <c r="B1247" s="21" t="inlineStr">
        <is>
          <t>Ride with the Devil</t>
        </is>
      </c>
      <c r="C1247" s="21" t="n">
        <v>1999</v>
      </c>
      <c r="D1247" s="21" t="inlineStr">
        <is>
          <t>USA</t>
        </is>
      </c>
      <c r="E1247" s="21" t="n">
        <v>148</v>
      </c>
      <c r="F1247" s="21" t="inlineStr">
        <is>
          <t>English</t>
        </is>
      </c>
      <c r="G1247" s="21" t="inlineStr">
        <is>
          <t>R</t>
        </is>
      </c>
      <c r="H1247" s="22" t="n">
        <v>630779</v>
      </c>
      <c r="I1247" s="22" t="n">
        <v>35000000</v>
      </c>
      <c r="J1247" s="21">
        <f>IF(OR(H1247="",H1247=25529689.5),"Yes","No")</f>
        <v/>
      </c>
      <c r="K1247" s="21">
        <f>IF(AND(D1247="USA",C1247&gt;=1980,J1247="No"),"Yes","No")</f>
        <v/>
      </c>
      <c r="L1247" s="26">
        <f>IF(J1247="Yes","",H1247-I1247)</f>
        <v/>
      </c>
      <c r="M1247" s="27">
        <f>IF(OR(J1247="Yes",I1247=0),"",H1247/I1247)</f>
        <v/>
      </c>
      <c r="N1247" s="21">
        <f>IF(J1247="Yes","",IF(H1247&gt;=I1247,1,0))</f>
        <v/>
      </c>
      <c r="O1247" s="21">
        <f>IF(I1247&lt;=5000000,"Under $5M",IF(I1247&lt;=20000000,"$5M-20M",IF(I1247&lt;=50000000,"$20M-50M",IF(I1247&lt;=100000000,"$50M-100M","$100M+"))))</f>
        <v/>
      </c>
      <c r="P1247" s="21">
        <f>IF(E1247&lt;=90,"90 or less",IF(E1247&lt;=105,"91-105",IF(E1247&lt;=120,"106-120",IF(E1247&lt;=140,"121-140","Over 140"))))</f>
        <v/>
      </c>
      <c r="Q1247" s="28">
        <f>INT(C1247/10)*10</f>
        <v/>
      </c>
    </row>
    <row r="1248">
      <c r="A1248" s="21" t="n">
        <v>1274</v>
      </c>
      <c r="B1248" s="21" t="inlineStr">
        <is>
          <t>Runaway Bride</t>
        </is>
      </c>
      <c r="C1248" s="21" t="n">
        <v>1999</v>
      </c>
      <c r="D1248" s="21" t="inlineStr">
        <is>
          <t>USA</t>
        </is>
      </c>
      <c r="E1248" s="21" t="n">
        <v>116</v>
      </c>
      <c r="F1248" s="21" t="inlineStr">
        <is>
          <t>English</t>
        </is>
      </c>
      <c r="G1248" s="21" t="inlineStr">
        <is>
          <t>PG</t>
        </is>
      </c>
      <c r="H1248" s="22" t="n">
        <v>152149590</v>
      </c>
      <c r="I1248" s="22" t="n">
        <v>70000000</v>
      </c>
      <c r="J1248" s="21">
        <f>IF(OR(H1248="",H1248=25529689.5),"Yes","No")</f>
        <v/>
      </c>
      <c r="K1248" s="21">
        <f>IF(AND(D1248="USA",C1248&gt;=1980,J1248="No"),"Yes","No")</f>
        <v/>
      </c>
      <c r="L1248" s="26">
        <f>IF(J1248="Yes","",H1248-I1248)</f>
        <v/>
      </c>
      <c r="M1248" s="27">
        <f>IF(OR(J1248="Yes",I1248=0),"",H1248/I1248)</f>
        <v/>
      </c>
      <c r="N1248" s="21">
        <f>IF(J1248="Yes","",IF(H1248&gt;=I1248,1,0))</f>
        <v/>
      </c>
      <c r="O1248" s="21">
        <f>IF(I1248&lt;=5000000,"Under $5M",IF(I1248&lt;=20000000,"$5M-20M",IF(I1248&lt;=50000000,"$20M-50M",IF(I1248&lt;=100000000,"$50M-100M","$100M+"))))</f>
        <v/>
      </c>
      <c r="P1248" s="21">
        <f>IF(E1248&lt;=90,"90 or less",IF(E1248&lt;=105,"91-105",IF(E1248&lt;=120,"106-120",IF(E1248&lt;=140,"121-140","Over 140"))))</f>
        <v/>
      </c>
      <c r="Q1248" s="28">
        <f>INT(C1248/10)*10</f>
        <v/>
      </c>
    </row>
    <row r="1249">
      <c r="A1249" s="21" t="n">
        <v>1275</v>
      </c>
      <c r="B1249" s="21" t="inlineStr">
        <is>
          <t>She's All That</t>
        </is>
      </c>
      <c r="C1249" s="21" t="n">
        <v>1999</v>
      </c>
      <c r="D1249" s="21" t="inlineStr">
        <is>
          <t>USA</t>
        </is>
      </c>
      <c r="E1249" s="21" t="n">
        <v>95</v>
      </c>
      <c r="F1249" s="21" t="inlineStr">
        <is>
          <t>English</t>
        </is>
      </c>
      <c r="G1249" s="21" t="inlineStr">
        <is>
          <t>PG-13</t>
        </is>
      </c>
      <c r="H1249" s="22" t="n">
        <v>63319509</v>
      </c>
      <c r="I1249" s="22" t="n">
        <v>10000000</v>
      </c>
      <c r="J1249" s="21">
        <f>IF(OR(H1249="",H1249=25529689.5),"Yes","No")</f>
        <v/>
      </c>
      <c r="K1249" s="21">
        <f>IF(AND(D1249="USA",C1249&gt;=1980,J1249="No"),"Yes","No")</f>
        <v/>
      </c>
      <c r="L1249" s="26">
        <f>IF(J1249="Yes","",H1249-I1249)</f>
        <v/>
      </c>
      <c r="M1249" s="27">
        <f>IF(OR(J1249="Yes",I1249=0),"",H1249/I1249)</f>
        <v/>
      </c>
      <c r="N1249" s="21">
        <f>IF(J1249="Yes","",IF(H1249&gt;=I1249,1,0))</f>
        <v/>
      </c>
      <c r="O1249" s="21">
        <f>IF(I1249&lt;=5000000,"Under $5M",IF(I1249&lt;=20000000,"$5M-20M",IF(I1249&lt;=50000000,"$20M-50M",IF(I1249&lt;=100000000,"$50M-100M","$100M+"))))</f>
        <v/>
      </c>
      <c r="P1249" s="21">
        <f>IF(E1249&lt;=90,"90 or less",IF(E1249&lt;=105,"91-105",IF(E1249&lt;=120,"106-120",IF(E1249&lt;=140,"121-140","Over 140"))))</f>
        <v/>
      </c>
      <c r="Q1249" s="28">
        <f>INT(C1249/10)*10</f>
        <v/>
      </c>
    </row>
    <row r="1250">
      <c r="A1250" s="21" t="n">
        <v>1276</v>
      </c>
      <c r="B1250" s="21" t="inlineStr">
        <is>
          <t>Simply Irresistible</t>
        </is>
      </c>
      <c r="C1250" s="21" t="n">
        <v>1999</v>
      </c>
      <c r="D1250" s="21" t="inlineStr">
        <is>
          <t>Germany</t>
        </is>
      </c>
      <c r="E1250" s="21" t="n">
        <v>96</v>
      </c>
      <c r="F1250" s="21" t="inlineStr">
        <is>
          <t>English</t>
        </is>
      </c>
      <c r="G1250" s="21" t="inlineStr">
        <is>
          <t>PG-13</t>
        </is>
      </c>
      <c r="H1250" s="22" t="n">
        <v>4394936</v>
      </c>
      <c r="I1250" s="22" t="n">
        <v>6000000</v>
      </c>
      <c r="J1250" s="21">
        <f>IF(OR(H1250="",H1250=25529689.5),"Yes","No")</f>
        <v/>
      </c>
      <c r="K1250" s="21">
        <f>IF(AND(D1250="USA",C1250&gt;=1980,J1250="No"),"Yes","No")</f>
        <v/>
      </c>
      <c r="L1250" s="26">
        <f>IF(J1250="Yes","",H1250-I1250)</f>
        <v/>
      </c>
      <c r="M1250" s="27">
        <f>IF(OR(J1250="Yes",I1250=0),"",H1250/I1250)</f>
        <v/>
      </c>
      <c r="N1250" s="21">
        <f>IF(J1250="Yes","",IF(H1250&gt;=I1250,1,0))</f>
        <v/>
      </c>
      <c r="O1250" s="21">
        <f>IF(I1250&lt;=5000000,"Under $5M",IF(I1250&lt;=20000000,"$5M-20M",IF(I1250&lt;=50000000,"$20M-50M",IF(I1250&lt;=100000000,"$50M-100M","$100M+"))))</f>
        <v/>
      </c>
      <c r="P1250" s="21">
        <f>IF(E1250&lt;=90,"90 or less",IF(E1250&lt;=105,"91-105",IF(E1250&lt;=120,"106-120",IF(E1250&lt;=140,"121-140","Over 140"))))</f>
        <v/>
      </c>
      <c r="Q1250" s="28">
        <f>INT(C1250/10)*10</f>
        <v/>
      </c>
    </row>
    <row r="1251">
      <c r="A1251" s="21" t="n">
        <v>1277</v>
      </c>
      <c r="B1251" s="21" t="inlineStr">
        <is>
          <t>Smiling Fish &amp; Goat on Fire</t>
        </is>
      </c>
      <c r="C1251" s="21" t="n">
        <v>1999</v>
      </c>
      <c r="D1251" s="21" t="inlineStr">
        <is>
          <t>USA</t>
        </is>
      </c>
      <c r="E1251" s="21" t="n">
        <v>90</v>
      </c>
      <c r="F1251" s="21" t="inlineStr">
        <is>
          <t>English</t>
        </is>
      </c>
      <c r="G1251" s="21" t="inlineStr">
        <is>
          <t>R</t>
        </is>
      </c>
      <c r="H1251" s="22" t="n">
        <v>277233</v>
      </c>
      <c r="I1251" s="22" t="n">
        <v>40000</v>
      </c>
      <c r="J1251" s="21">
        <f>IF(OR(H1251="",H1251=25529689.5),"Yes","No")</f>
        <v/>
      </c>
      <c r="K1251" s="21">
        <f>IF(AND(D1251="USA",C1251&gt;=1980,J1251="No"),"Yes","No")</f>
        <v/>
      </c>
      <c r="L1251" s="26">
        <f>IF(J1251="Yes","",H1251-I1251)</f>
        <v/>
      </c>
      <c r="M1251" s="27">
        <f>IF(OR(J1251="Yes",I1251=0),"",H1251/I1251)</f>
        <v/>
      </c>
      <c r="N1251" s="21">
        <f>IF(J1251="Yes","",IF(H1251&gt;=I1251,1,0))</f>
        <v/>
      </c>
      <c r="O1251" s="21">
        <f>IF(I1251&lt;=5000000,"Under $5M",IF(I1251&lt;=20000000,"$5M-20M",IF(I1251&lt;=50000000,"$20M-50M",IF(I1251&lt;=100000000,"$50M-100M","$100M+"))))</f>
        <v/>
      </c>
      <c r="P1251" s="21">
        <f>IF(E1251&lt;=90,"90 or less",IF(E1251&lt;=105,"91-105",IF(E1251&lt;=120,"106-120",IF(E1251&lt;=140,"121-140","Over 140"))))</f>
        <v/>
      </c>
      <c r="Q1251" s="28">
        <f>INT(C1251/10)*10</f>
        <v/>
      </c>
    </row>
    <row r="1252">
      <c r="A1252" s="21" t="n">
        <v>1278</v>
      </c>
      <c r="B1252" s="21" t="inlineStr">
        <is>
          <t>Snow Falling on Cedars</t>
        </is>
      </c>
      <c r="C1252" s="21" t="n">
        <v>1999</v>
      </c>
      <c r="D1252" s="21" t="inlineStr">
        <is>
          <t>USA</t>
        </is>
      </c>
      <c r="E1252" s="21" t="n">
        <v>127</v>
      </c>
      <c r="F1252" s="21" t="inlineStr">
        <is>
          <t>English</t>
        </is>
      </c>
      <c r="G1252" s="21" t="inlineStr">
        <is>
          <t>PG-13</t>
        </is>
      </c>
      <c r="H1252" s="22" t="n">
        <v>14378353</v>
      </c>
      <c r="I1252" s="22" t="n">
        <v>36000000</v>
      </c>
      <c r="J1252" s="21">
        <f>IF(OR(H1252="",H1252=25529689.5),"Yes","No")</f>
        <v/>
      </c>
      <c r="K1252" s="21">
        <f>IF(AND(D1252="USA",C1252&gt;=1980,J1252="No"),"Yes","No")</f>
        <v/>
      </c>
      <c r="L1252" s="26">
        <f>IF(J1252="Yes","",H1252-I1252)</f>
        <v/>
      </c>
      <c r="M1252" s="27">
        <f>IF(OR(J1252="Yes",I1252=0),"",H1252/I1252)</f>
        <v/>
      </c>
      <c r="N1252" s="21">
        <f>IF(J1252="Yes","",IF(H1252&gt;=I1252,1,0))</f>
        <v/>
      </c>
      <c r="O1252" s="21">
        <f>IF(I1252&lt;=5000000,"Under $5M",IF(I1252&lt;=20000000,"$5M-20M",IF(I1252&lt;=50000000,"$20M-50M",IF(I1252&lt;=100000000,"$50M-100M","$100M+"))))</f>
        <v/>
      </c>
      <c r="P1252" s="21">
        <f>IF(E1252&lt;=90,"90 or less",IF(E1252&lt;=105,"91-105",IF(E1252&lt;=120,"106-120",IF(E1252&lt;=140,"121-140","Over 140"))))</f>
        <v/>
      </c>
      <c r="Q1252" s="28">
        <f>INT(C1252/10)*10</f>
        <v/>
      </c>
    </row>
    <row r="1253">
      <c r="A1253" s="21" t="n">
        <v>1279</v>
      </c>
      <c r="B1253" s="21" t="inlineStr">
        <is>
          <t>South Park: Bigger Longer &amp; Uncut</t>
        </is>
      </c>
      <c r="C1253" s="21" t="n">
        <v>1999</v>
      </c>
      <c r="D1253" s="21" t="inlineStr">
        <is>
          <t>USA</t>
        </is>
      </c>
      <c r="E1253" s="21" t="n">
        <v>81</v>
      </c>
      <c r="F1253" s="21" t="inlineStr">
        <is>
          <t>English</t>
        </is>
      </c>
      <c r="G1253" s="21" t="inlineStr">
        <is>
          <t>R</t>
        </is>
      </c>
      <c r="H1253" s="22" t="n">
        <v>52008288</v>
      </c>
      <c r="I1253" s="22" t="n">
        <v>21000000</v>
      </c>
      <c r="J1253" s="21">
        <f>IF(OR(H1253="",H1253=25529689.5),"Yes","No")</f>
        <v/>
      </c>
      <c r="K1253" s="21">
        <f>IF(AND(D1253="USA",C1253&gt;=1980,J1253="No"),"Yes","No")</f>
        <v/>
      </c>
      <c r="L1253" s="26">
        <f>IF(J1253="Yes","",H1253-I1253)</f>
        <v/>
      </c>
      <c r="M1253" s="27">
        <f>IF(OR(J1253="Yes",I1253=0),"",H1253/I1253)</f>
        <v/>
      </c>
      <c r="N1253" s="21">
        <f>IF(J1253="Yes","",IF(H1253&gt;=I1253,1,0))</f>
        <v/>
      </c>
      <c r="O1253" s="21">
        <f>IF(I1253&lt;=5000000,"Under $5M",IF(I1253&lt;=20000000,"$5M-20M",IF(I1253&lt;=50000000,"$20M-50M",IF(I1253&lt;=100000000,"$50M-100M","$100M+"))))</f>
        <v/>
      </c>
      <c r="P1253" s="21">
        <f>IF(E1253&lt;=90,"90 or less",IF(E1253&lt;=105,"91-105",IF(E1253&lt;=120,"106-120",IF(E1253&lt;=140,"121-140","Over 140"))))</f>
        <v/>
      </c>
      <c r="Q1253" s="28">
        <f>INT(C1253/10)*10</f>
        <v/>
      </c>
    </row>
    <row r="1254">
      <c r="A1254" s="21" t="n">
        <v>1280</v>
      </c>
      <c r="B1254" s="21" t="inlineStr">
        <is>
          <t>Speedway Junky</t>
        </is>
      </c>
      <c r="C1254" s="21" t="n">
        <v>1999</v>
      </c>
      <c r="D1254" s="21" t="inlineStr">
        <is>
          <t>USA</t>
        </is>
      </c>
      <c r="E1254" s="21" t="n">
        <v>105</v>
      </c>
      <c r="F1254" s="21" t="inlineStr">
        <is>
          <t>English</t>
        </is>
      </c>
      <c r="G1254" s="21" t="inlineStr">
        <is>
          <t>R</t>
        </is>
      </c>
      <c r="H1254" s="22" t="n">
        <v>25529689.5</v>
      </c>
      <c r="I1254" s="22" t="n">
        <v>1000000</v>
      </c>
      <c r="J1254" s="21">
        <f>IF(OR(H1254="",H1254=25529689.5),"Yes","No")</f>
        <v/>
      </c>
      <c r="K1254" s="21">
        <f>IF(AND(D1254="USA",C1254&gt;=1980,J1254="No"),"Yes","No")</f>
        <v/>
      </c>
      <c r="L1254" s="26">
        <f>IF(J1254="Yes","",H1254-I1254)</f>
        <v/>
      </c>
      <c r="M1254" s="27">
        <f>IF(OR(J1254="Yes",I1254=0),"",H1254/I1254)</f>
        <v/>
      </c>
      <c r="N1254" s="21">
        <f>IF(J1254="Yes","",IF(H1254&gt;=I1254,1,0))</f>
        <v/>
      </c>
      <c r="O1254" s="21">
        <f>IF(I1254&lt;=5000000,"Under $5M",IF(I1254&lt;=20000000,"$5M-20M",IF(I1254&lt;=50000000,"$20M-50M",IF(I1254&lt;=100000000,"$50M-100M","$100M+"))))</f>
        <v/>
      </c>
      <c r="P1254" s="21">
        <f>IF(E1254&lt;=90,"90 or less",IF(E1254&lt;=105,"91-105",IF(E1254&lt;=120,"106-120",IF(E1254&lt;=140,"121-140","Over 140"))))</f>
        <v/>
      </c>
      <c r="Q1254" s="28">
        <f>INT(C1254/10)*10</f>
        <v/>
      </c>
    </row>
    <row r="1255">
      <c r="A1255" s="21" t="n">
        <v>1281</v>
      </c>
      <c r="B1255" s="21" t="inlineStr">
        <is>
          <t>Star Wars: Episode I - The Phantom Menace</t>
        </is>
      </c>
      <c r="C1255" s="21" t="n">
        <v>1999</v>
      </c>
      <c r="D1255" s="21" t="inlineStr">
        <is>
          <t>USA</t>
        </is>
      </c>
      <c r="E1255" s="21" t="n">
        <v>136</v>
      </c>
      <c r="F1255" s="21" t="inlineStr">
        <is>
          <t>English</t>
        </is>
      </c>
      <c r="G1255" s="21" t="inlineStr">
        <is>
          <t>PG</t>
        </is>
      </c>
      <c r="H1255" s="22" t="n">
        <v>474544677</v>
      </c>
      <c r="I1255" s="22" t="n">
        <v>115000000</v>
      </c>
      <c r="J1255" s="21">
        <f>IF(OR(H1255="",H1255=25529689.5),"Yes","No")</f>
        <v/>
      </c>
      <c r="K1255" s="21">
        <f>IF(AND(D1255="USA",C1255&gt;=1980,J1255="No"),"Yes","No")</f>
        <v/>
      </c>
      <c r="L1255" s="26">
        <f>IF(J1255="Yes","",H1255-I1255)</f>
        <v/>
      </c>
      <c r="M1255" s="27">
        <f>IF(OR(J1255="Yes",I1255=0),"",H1255/I1255)</f>
        <v/>
      </c>
      <c r="N1255" s="21">
        <f>IF(J1255="Yes","",IF(H1255&gt;=I1255,1,0))</f>
        <v/>
      </c>
      <c r="O1255" s="21">
        <f>IF(I1255&lt;=5000000,"Under $5M",IF(I1255&lt;=20000000,"$5M-20M",IF(I1255&lt;=50000000,"$20M-50M",IF(I1255&lt;=100000000,"$50M-100M","$100M+"))))</f>
        <v/>
      </c>
      <c r="P1255" s="21">
        <f>IF(E1255&lt;=90,"90 or less",IF(E1255&lt;=105,"91-105",IF(E1255&lt;=120,"106-120",IF(E1255&lt;=140,"121-140","Over 140"))))</f>
        <v/>
      </c>
      <c r="Q1255" s="28">
        <f>INT(C1255/10)*10</f>
        <v/>
      </c>
    </row>
    <row r="1256">
      <c r="A1256" s="21" t="n">
        <v>1282</v>
      </c>
      <c r="B1256" s="21" t="inlineStr">
        <is>
          <t>Stigmata</t>
        </is>
      </c>
      <c r="C1256" s="21" t="n">
        <v>1999</v>
      </c>
      <c r="D1256" s="21" t="inlineStr">
        <is>
          <t>USA</t>
        </is>
      </c>
      <c r="E1256" s="21" t="n">
        <v>103</v>
      </c>
      <c r="F1256" s="21" t="inlineStr">
        <is>
          <t>English</t>
        </is>
      </c>
      <c r="G1256" s="21" t="inlineStr">
        <is>
          <t>R</t>
        </is>
      </c>
      <c r="H1256" s="22" t="n">
        <v>50041732</v>
      </c>
      <c r="I1256" s="22" t="n">
        <v>29000000</v>
      </c>
      <c r="J1256" s="21">
        <f>IF(OR(H1256="",H1256=25529689.5),"Yes","No")</f>
        <v/>
      </c>
      <c r="K1256" s="21">
        <f>IF(AND(D1256="USA",C1256&gt;=1980,J1256="No"),"Yes","No")</f>
        <v/>
      </c>
      <c r="L1256" s="26">
        <f>IF(J1256="Yes","",H1256-I1256)</f>
        <v/>
      </c>
      <c r="M1256" s="27">
        <f>IF(OR(J1256="Yes",I1256=0),"",H1256/I1256)</f>
        <v/>
      </c>
      <c r="N1256" s="21">
        <f>IF(J1256="Yes","",IF(H1256&gt;=I1256,1,0))</f>
        <v/>
      </c>
      <c r="O1256" s="21">
        <f>IF(I1256&lt;=5000000,"Under $5M",IF(I1256&lt;=20000000,"$5M-20M",IF(I1256&lt;=50000000,"$20M-50M",IF(I1256&lt;=100000000,"$50M-100M","$100M+"))))</f>
        <v/>
      </c>
      <c r="P1256" s="21">
        <f>IF(E1256&lt;=90,"90 or less",IF(E1256&lt;=105,"91-105",IF(E1256&lt;=120,"106-120",IF(E1256&lt;=140,"121-140","Over 140"))))</f>
        <v/>
      </c>
      <c r="Q1256" s="28">
        <f>INT(C1256/10)*10</f>
        <v/>
      </c>
    </row>
    <row r="1257">
      <c r="A1257" s="21" t="n">
        <v>1283</v>
      </c>
      <c r="B1257" s="21" t="inlineStr">
        <is>
          <t>Stir of Echoes</t>
        </is>
      </c>
      <c r="C1257" s="21" t="n">
        <v>1999</v>
      </c>
      <c r="D1257" s="21" t="inlineStr">
        <is>
          <t>USA</t>
        </is>
      </c>
      <c r="E1257" s="21" t="n">
        <v>99</v>
      </c>
      <c r="F1257" s="21" t="inlineStr">
        <is>
          <t>English</t>
        </is>
      </c>
      <c r="G1257" s="21" t="inlineStr">
        <is>
          <t>R</t>
        </is>
      </c>
      <c r="H1257" s="22" t="n">
        <v>21133087</v>
      </c>
      <c r="I1257" s="22" t="n">
        <v>12000000</v>
      </c>
      <c r="J1257" s="21">
        <f>IF(OR(H1257="",H1257=25529689.5),"Yes","No")</f>
        <v/>
      </c>
      <c r="K1257" s="21">
        <f>IF(AND(D1257="USA",C1257&gt;=1980,J1257="No"),"Yes","No")</f>
        <v/>
      </c>
      <c r="L1257" s="26">
        <f>IF(J1257="Yes","",H1257-I1257)</f>
        <v/>
      </c>
      <c r="M1257" s="27">
        <f>IF(OR(J1257="Yes",I1257=0),"",H1257/I1257)</f>
        <v/>
      </c>
      <c r="N1257" s="21">
        <f>IF(J1257="Yes","",IF(H1257&gt;=I1257,1,0))</f>
        <v/>
      </c>
      <c r="O1257" s="21">
        <f>IF(I1257&lt;=5000000,"Under $5M",IF(I1257&lt;=20000000,"$5M-20M",IF(I1257&lt;=50000000,"$20M-50M",IF(I1257&lt;=100000000,"$50M-100M","$100M+"))))</f>
        <v/>
      </c>
      <c r="P1257" s="21">
        <f>IF(E1257&lt;=90,"90 or less",IF(E1257&lt;=105,"91-105",IF(E1257&lt;=120,"106-120",IF(E1257&lt;=140,"121-140","Over 140"))))</f>
        <v/>
      </c>
      <c r="Q1257" s="28">
        <f>INT(C1257/10)*10</f>
        <v/>
      </c>
    </row>
    <row r="1258">
      <c r="A1258" s="21" t="n">
        <v>1284</v>
      </c>
      <c r="B1258" s="21" t="inlineStr">
        <is>
          <t>Stuart Little</t>
        </is>
      </c>
      <c r="C1258" s="21" t="n">
        <v>1999</v>
      </c>
      <c r="D1258" s="21" t="inlineStr">
        <is>
          <t>Germany</t>
        </is>
      </c>
      <c r="E1258" s="21" t="n">
        <v>84</v>
      </c>
      <c r="F1258" s="21" t="inlineStr">
        <is>
          <t>English</t>
        </is>
      </c>
      <c r="G1258" s="21" t="inlineStr">
        <is>
          <t>PG</t>
        </is>
      </c>
      <c r="H1258" s="22" t="n">
        <v>140015224</v>
      </c>
      <c r="I1258" s="22" t="n">
        <v>133000000</v>
      </c>
      <c r="J1258" s="21">
        <f>IF(OR(H1258="",H1258=25529689.5),"Yes","No")</f>
        <v/>
      </c>
      <c r="K1258" s="21">
        <f>IF(AND(D1258="USA",C1258&gt;=1980,J1258="No"),"Yes","No")</f>
        <v/>
      </c>
      <c r="L1258" s="26">
        <f>IF(J1258="Yes","",H1258-I1258)</f>
        <v/>
      </c>
      <c r="M1258" s="27">
        <f>IF(OR(J1258="Yes",I1258=0),"",H1258/I1258)</f>
        <v/>
      </c>
      <c r="N1258" s="21">
        <f>IF(J1258="Yes","",IF(H1258&gt;=I1258,1,0))</f>
        <v/>
      </c>
      <c r="O1258" s="21">
        <f>IF(I1258&lt;=5000000,"Under $5M",IF(I1258&lt;=20000000,"$5M-20M",IF(I1258&lt;=50000000,"$20M-50M",IF(I1258&lt;=100000000,"$50M-100M","$100M+"))))</f>
        <v/>
      </c>
      <c r="P1258" s="21">
        <f>IF(E1258&lt;=90,"90 or less",IF(E1258&lt;=105,"91-105",IF(E1258&lt;=120,"106-120",IF(E1258&lt;=140,"121-140","Over 140"))))</f>
        <v/>
      </c>
      <c r="Q1258" s="28">
        <f>INT(C1258/10)*10</f>
        <v/>
      </c>
    </row>
    <row r="1259">
      <c r="A1259" s="21" t="n">
        <v>1285</v>
      </c>
      <c r="B1259" s="21" t="inlineStr">
        <is>
          <t>Sugar Town</t>
        </is>
      </c>
      <c r="C1259" s="21" t="n">
        <v>1999</v>
      </c>
      <c r="D1259" s="21" t="inlineStr">
        <is>
          <t>UK</t>
        </is>
      </c>
      <c r="E1259" s="21" t="n">
        <v>92</v>
      </c>
      <c r="F1259" s="21" t="inlineStr">
        <is>
          <t>English</t>
        </is>
      </c>
      <c r="G1259" s="21" t="inlineStr">
        <is>
          <t>R</t>
        </is>
      </c>
      <c r="H1259" s="22" t="n">
        <v>177840</v>
      </c>
      <c r="I1259" s="22" t="n">
        <v>250000</v>
      </c>
      <c r="J1259" s="21">
        <f>IF(OR(H1259="",H1259=25529689.5),"Yes","No")</f>
        <v/>
      </c>
      <c r="K1259" s="21">
        <f>IF(AND(D1259="USA",C1259&gt;=1980,J1259="No"),"Yes","No")</f>
        <v/>
      </c>
      <c r="L1259" s="26">
        <f>IF(J1259="Yes","",H1259-I1259)</f>
        <v/>
      </c>
      <c r="M1259" s="27">
        <f>IF(OR(J1259="Yes",I1259=0),"",H1259/I1259)</f>
        <v/>
      </c>
      <c r="N1259" s="21">
        <f>IF(J1259="Yes","",IF(H1259&gt;=I1259,1,0))</f>
        <v/>
      </c>
      <c r="O1259" s="21">
        <f>IF(I1259&lt;=5000000,"Under $5M",IF(I1259&lt;=20000000,"$5M-20M",IF(I1259&lt;=50000000,"$20M-50M",IF(I1259&lt;=100000000,"$50M-100M","$100M+"))))</f>
        <v/>
      </c>
      <c r="P1259" s="21">
        <f>IF(E1259&lt;=90,"90 or less",IF(E1259&lt;=105,"91-105",IF(E1259&lt;=120,"106-120",IF(E1259&lt;=140,"121-140","Over 140"))))</f>
        <v/>
      </c>
      <c r="Q1259" s="28">
        <f>INT(C1259/10)*10</f>
        <v/>
      </c>
    </row>
    <row r="1260">
      <c r="A1260" s="21" t="n">
        <v>1286</v>
      </c>
      <c r="B1260" s="21" t="inlineStr">
        <is>
          <t>Summer of Sam</t>
        </is>
      </c>
      <c r="C1260" s="21" t="n">
        <v>1999</v>
      </c>
      <c r="D1260" s="21" t="inlineStr">
        <is>
          <t>USA</t>
        </is>
      </c>
      <c r="E1260" s="21" t="n">
        <v>142</v>
      </c>
      <c r="F1260" s="21" t="inlineStr">
        <is>
          <t>English</t>
        </is>
      </c>
      <c r="G1260" s="21" t="inlineStr">
        <is>
          <t>R</t>
        </is>
      </c>
      <c r="H1260" s="22" t="n">
        <v>19283782</v>
      </c>
      <c r="I1260" s="22" t="n">
        <v>22000000</v>
      </c>
      <c r="J1260" s="21">
        <f>IF(OR(H1260="",H1260=25529689.5),"Yes","No")</f>
        <v/>
      </c>
      <c r="K1260" s="21">
        <f>IF(AND(D1260="USA",C1260&gt;=1980,J1260="No"),"Yes","No")</f>
        <v/>
      </c>
      <c r="L1260" s="26">
        <f>IF(J1260="Yes","",H1260-I1260)</f>
        <v/>
      </c>
      <c r="M1260" s="27">
        <f>IF(OR(J1260="Yes",I1260=0),"",H1260/I1260)</f>
        <v/>
      </c>
      <c r="N1260" s="21">
        <f>IF(J1260="Yes","",IF(H1260&gt;=I1260,1,0))</f>
        <v/>
      </c>
      <c r="O1260" s="21">
        <f>IF(I1260&lt;=5000000,"Under $5M",IF(I1260&lt;=20000000,"$5M-20M",IF(I1260&lt;=50000000,"$20M-50M",IF(I1260&lt;=100000000,"$50M-100M","$100M+"))))</f>
        <v/>
      </c>
      <c r="P1260" s="21">
        <f>IF(E1260&lt;=90,"90 or less",IF(E1260&lt;=105,"91-105",IF(E1260&lt;=120,"106-120",IF(E1260&lt;=140,"121-140","Over 140"))))</f>
        <v/>
      </c>
      <c r="Q1260" s="28">
        <f>INT(C1260/10)*10</f>
        <v/>
      </c>
    </row>
    <row r="1261">
      <c r="A1261" s="21" t="n">
        <v>1287</v>
      </c>
      <c r="B1261" s="21" t="inlineStr">
        <is>
          <t>Superstar</t>
        </is>
      </c>
      <c r="C1261" s="21" t="n">
        <v>1999</v>
      </c>
      <c r="D1261" s="21" t="inlineStr">
        <is>
          <t>USA</t>
        </is>
      </c>
      <c r="E1261" s="21" t="n">
        <v>81</v>
      </c>
      <c r="F1261" s="21" t="inlineStr">
        <is>
          <t>English</t>
        </is>
      </c>
      <c r="G1261" s="21" t="inlineStr">
        <is>
          <t>PG-13</t>
        </is>
      </c>
      <c r="H1261" s="22" t="n">
        <v>30628981</v>
      </c>
      <c r="I1261" s="22" t="n">
        <v>14000000</v>
      </c>
      <c r="J1261" s="21">
        <f>IF(OR(H1261="",H1261=25529689.5),"Yes","No")</f>
        <v/>
      </c>
      <c r="K1261" s="21">
        <f>IF(AND(D1261="USA",C1261&gt;=1980,J1261="No"),"Yes","No")</f>
        <v/>
      </c>
      <c r="L1261" s="26">
        <f>IF(J1261="Yes","",H1261-I1261)</f>
        <v/>
      </c>
      <c r="M1261" s="27">
        <f>IF(OR(J1261="Yes",I1261=0),"",H1261/I1261)</f>
        <v/>
      </c>
      <c r="N1261" s="21">
        <f>IF(J1261="Yes","",IF(H1261&gt;=I1261,1,0))</f>
        <v/>
      </c>
      <c r="O1261" s="21">
        <f>IF(I1261&lt;=5000000,"Under $5M",IF(I1261&lt;=20000000,"$5M-20M",IF(I1261&lt;=50000000,"$20M-50M",IF(I1261&lt;=100000000,"$50M-100M","$100M+"))))</f>
        <v/>
      </c>
      <c r="P1261" s="21">
        <f>IF(E1261&lt;=90,"90 or less",IF(E1261&lt;=105,"91-105",IF(E1261&lt;=120,"106-120",IF(E1261&lt;=140,"121-140","Over 140"))))</f>
        <v/>
      </c>
      <c r="Q1261" s="28">
        <f>INT(C1261/10)*10</f>
        <v/>
      </c>
    </row>
    <row r="1262">
      <c r="A1262" s="21" t="n">
        <v>1288</v>
      </c>
      <c r="B1262" s="21" t="inlineStr">
        <is>
          <t>Tea with Mussolini</t>
        </is>
      </c>
      <c r="C1262" s="21" t="n">
        <v>1999</v>
      </c>
      <c r="D1262" s="21" t="inlineStr">
        <is>
          <t>Italy</t>
        </is>
      </c>
      <c r="E1262" s="21" t="n">
        <v>117</v>
      </c>
      <c r="F1262" s="21" t="inlineStr">
        <is>
          <t>English</t>
        </is>
      </c>
      <c r="G1262" s="21" t="inlineStr">
        <is>
          <t>PG</t>
        </is>
      </c>
      <c r="H1262" s="22" t="n">
        <v>14348123</v>
      </c>
      <c r="I1262" s="22" t="n">
        <v>12000000</v>
      </c>
      <c r="J1262" s="21">
        <f>IF(OR(H1262="",H1262=25529689.5),"Yes","No")</f>
        <v/>
      </c>
      <c r="K1262" s="21">
        <f>IF(AND(D1262="USA",C1262&gt;=1980,J1262="No"),"Yes","No")</f>
        <v/>
      </c>
      <c r="L1262" s="26">
        <f>IF(J1262="Yes","",H1262-I1262)</f>
        <v/>
      </c>
      <c r="M1262" s="27">
        <f>IF(OR(J1262="Yes",I1262=0),"",H1262/I1262)</f>
        <v/>
      </c>
      <c r="N1262" s="21">
        <f>IF(J1262="Yes","",IF(H1262&gt;=I1262,1,0))</f>
        <v/>
      </c>
      <c r="O1262" s="21">
        <f>IF(I1262&lt;=5000000,"Under $5M",IF(I1262&lt;=20000000,"$5M-20M",IF(I1262&lt;=50000000,"$20M-50M",IF(I1262&lt;=100000000,"$50M-100M","$100M+"))))</f>
        <v/>
      </c>
      <c r="P1262" s="21">
        <f>IF(E1262&lt;=90,"90 or less",IF(E1262&lt;=105,"91-105",IF(E1262&lt;=120,"106-120",IF(E1262&lt;=140,"121-140","Over 140"))))</f>
        <v/>
      </c>
      <c r="Q1262" s="28">
        <f>INT(C1262/10)*10</f>
        <v/>
      </c>
    </row>
    <row r="1263">
      <c r="A1263" s="21" t="n">
        <v>1289</v>
      </c>
      <c r="B1263" s="21" t="inlineStr">
        <is>
          <t>The 13th Warrior</t>
        </is>
      </c>
      <c r="C1263" s="21" t="n">
        <v>1999</v>
      </c>
      <c r="D1263" s="21" t="inlineStr">
        <is>
          <t>USA</t>
        </is>
      </c>
      <c r="E1263" s="21" t="n">
        <v>102</v>
      </c>
      <c r="F1263" s="21" t="inlineStr">
        <is>
          <t>English</t>
        </is>
      </c>
      <c r="G1263" s="21" t="inlineStr">
        <is>
          <t>R</t>
        </is>
      </c>
      <c r="H1263" s="22" t="n">
        <v>32694788</v>
      </c>
      <c r="I1263" s="22" t="n">
        <v>85000000</v>
      </c>
      <c r="J1263" s="21">
        <f>IF(OR(H1263="",H1263=25529689.5),"Yes","No")</f>
        <v/>
      </c>
      <c r="K1263" s="21">
        <f>IF(AND(D1263="USA",C1263&gt;=1980,J1263="No"),"Yes","No")</f>
        <v/>
      </c>
      <c r="L1263" s="26">
        <f>IF(J1263="Yes","",H1263-I1263)</f>
        <v/>
      </c>
      <c r="M1263" s="27">
        <f>IF(OR(J1263="Yes",I1263=0),"",H1263/I1263)</f>
        <v/>
      </c>
      <c r="N1263" s="21">
        <f>IF(J1263="Yes","",IF(H1263&gt;=I1263,1,0))</f>
        <v/>
      </c>
      <c r="O1263" s="21">
        <f>IF(I1263&lt;=5000000,"Under $5M",IF(I1263&lt;=20000000,"$5M-20M",IF(I1263&lt;=50000000,"$20M-50M",IF(I1263&lt;=100000000,"$50M-100M","$100M+"))))</f>
        <v/>
      </c>
      <c r="P1263" s="21">
        <f>IF(E1263&lt;=90,"90 or less",IF(E1263&lt;=105,"91-105",IF(E1263&lt;=120,"106-120",IF(E1263&lt;=140,"121-140","Over 140"))))</f>
        <v/>
      </c>
      <c r="Q1263" s="28">
        <f>INT(C1263/10)*10</f>
        <v/>
      </c>
    </row>
    <row r="1264">
      <c r="A1264" s="21" t="n">
        <v>1290</v>
      </c>
      <c r="B1264" s="21" t="inlineStr">
        <is>
          <t>The Adventures of Elmo in Grouchland</t>
        </is>
      </c>
      <c r="C1264" s="21" t="n">
        <v>1999</v>
      </c>
      <c r="D1264" s="21" t="inlineStr">
        <is>
          <t>USA</t>
        </is>
      </c>
      <c r="E1264" s="21" t="n">
        <v>73</v>
      </c>
      <c r="F1264" s="21" t="inlineStr">
        <is>
          <t>English</t>
        </is>
      </c>
      <c r="G1264" s="21" t="inlineStr">
        <is>
          <t>G</t>
        </is>
      </c>
      <c r="H1264" s="22" t="n">
        <v>11634458</v>
      </c>
      <c r="I1264" s="22" t="n">
        <v>17000000</v>
      </c>
      <c r="J1264" s="21">
        <f>IF(OR(H1264="",H1264=25529689.5),"Yes","No")</f>
        <v/>
      </c>
      <c r="K1264" s="21">
        <f>IF(AND(D1264="USA",C1264&gt;=1980,J1264="No"),"Yes","No")</f>
        <v/>
      </c>
      <c r="L1264" s="26">
        <f>IF(J1264="Yes","",H1264-I1264)</f>
        <v/>
      </c>
      <c r="M1264" s="27">
        <f>IF(OR(J1264="Yes",I1264=0),"",H1264/I1264)</f>
        <v/>
      </c>
      <c r="N1264" s="21">
        <f>IF(J1264="Yes","",IF(H1264&gt;=I1264,1,0))</f>
        <v/>
      </c>
      <c r="O1264" s="21">
        <f>IF(I1264&lt;=5000000,"Under $5M",IF(I1264&lt;=20000000,"$5M-20M",IF(I1264&lt;=50000000,"$20M-50M",IF(I1264&lt;=100000000,"$50M-100M","$100M+"))))</f>
        <v/>
      </c>
      <c r="P1264" s="21">
        <f>IF(E1264&lt;=90,"90 or less",IF(E1264&lt;=105,"91-105",IF(E1264&lt;=120,"106-120",IF(E1264&lt;=140,"121-140","Over 140"))))</f>
        <v/>
      </c>
      <c r="Q1264" s="28">
        <f>INT(C1264/10)*10</f>
        <v/>
      </c>
    </row>
    <row r="1265">
      <c r="A1265" s="21" t="n">
        <v>1291</v>
      </c>
      <c r="B1265" s="21" t="inlineStr">
        <is>
          <t>The Astronaut's Wife</t>
        </is>
      </c>
      <c r="C1265" s="21" t="n">
        <v>1999</v>
      </c>
      <c r="D1265" s="21" t="inlineStr">
        <is>
          <t>USA</t>
        </is>
      </c>
      <c r="E1265" s="21" t="n">
        <v>109</v>
      </c>
      <c r="F1265" s="21" t="inlineStr">
        <is>
          <t>English</t>
        </is>
      </c>
      <c r="G1265" s="21" t="inlineStr">
        <is>
          <t>R</t>
        </is>
      </c>
      <c r="H1265" s="22" t="n">
        <v>10654581</v>
      </c>
      <c r="I1265" s="22" t="n">
        <v>34000000</v>
      </c>
      <c r="J1265" s="21">
        <f>IF(OR(H1265="",H1265=25529689.5),"Yes","No")</f>
        <v/>
      </c>
      <c r="K1265" s="21">
        <f>IF(AND(D1265="USA",C1265&gt;=1980,J1265="No"),"Yes","No")</f>
        <v/>
      </c>
      <c r="L1265" s="26">
        <f>IF(J1265="Yes","",H1265-I1265)</f>
        <v/>
      </c>
      <c r="M1265" s="27">
        <f>IF(OR(J1265="Yes",I1265=0),"",H1265/I1265)</f>
        <v/>
      </c>
      <c r="N1265" s="21">
        <f>IF(J1265="Yes","",IF(H1265&gt;=I1265,1,0))</f>
        <v/>
      </c>
      <c r="O1265" s="21">
        <f>IF(I1265&lt;=5000000,"Under $5M",IF(I1265&lt;=20000000,"$5M-20M",IF(I1265&lt;=50000000,"$20M-50M",IF(I1265&lt;=100000000,"$50M-100M","$100M+"))))</f>
        <v/>
      </c>
      <c r="P1265" s="21">
        <f>IF(E1265&lt;=90,"90 or less",IF(E1265&lt;=105,"91-105",IF(E1265&lt;=120,"106-120",IF(E1265&lt;=140,"121-140","Over 140"))))</f>
        <v/>
      </c>
      <c r="Q1265" s="28">
        <f>INT(C1265/10)*10</f>
        <v/>
      </c>
    </row>
    <row r="1266">
      <c r="A1266" s="21" t="n">
        <v>1293</v>
      </c>
      <c r="B1266" s="21" t="inlineStr">
        <is>
          <t>The Basket</t>
        </is>
      </c>
      <c r="C1266" s="21" t="n">
        <v>1999</v>
      </c>
      <c r="D1266" s="21" t="inlineStr">
        <is>
          <t>USA</t>
        </is>
      </c>
      <c r="E1266" s="21" t="n">
        <v>105</v>
      </c>
      <c r="F1266" s="21" t="inlineStr">
        <is>
          <t>English</t>
        </is>
      </c>
      <c r="G1266" s="21" t="inlineStr">
        <is>
          <t>PG</t>
        </is>
      </c>
      <c r="H1266" s="22" t="n">
        <v>609042</v>
      </c>
      <c r="I1266" s="22" t="n">
        <v>1300000</v>
      </c>
      <c r="J1266" s="21">
        <f>IF(OR(H1266="",H1266=25529689.5),"Yes","No")</f>
        <v/>
      </c>
      <c r="K1266" s="21">
        <f>IF(AND(D1266="USA",C1266&gt;=1980,J1266="No"),"Yes","No")</f>
        <v/>
      </c>
      <c r="L1266" s="26">
        <f>IF(J1266="Yes","",H1266-I1266)</f>
        <v/>
      </c>
      <c r="M1266" s="27">
        <f>IF(OR(J1266="Yes",I1266=0),"",H1266/I1266)</f>
        <v/>
      </c>
      <c r="N1266" s="21">
        <f>IF(J1266="Yes","",IF(H1266&gt;=I1266,1,0))</f>
        <v/>
      </c>
      <c r="O1266" s="21">
        <f>IF(I1266&lt;=5000000,"Under $5M",IF(I1266&lt;=20000000,"$5M-20M",IF(I1266&lt;=50000000,"$20M-50M",IF(I1266&lt;=100000000,"$50M-100M","$100M+"))))</f>
        <v/>
      </c>
      <c r="P1266" s="21">
        <f>IF(E1266&lt;=90,"90 or less",IF(E1266&lt;=105,"91-105",IF(E1266&lt;=120,"106-120",IF(E1266&lt;=140,"121-140","Over 140"))))</f>
        <v/>
      </c>
      <c r="Q1266" s="28">
        <f>INT(C1266/10)*10</f>
        <v/>
      </c>
    </row>
    <row r="1267">
      <c r="A1267" s="21" t="n">
        <v>1294</v>
      </c>
      <c r="B1267" s="21" t="inlineStr">
        <is>
          <t>The Best Man</t>
        </is>
      </c>
      <c r="C1267" s="21" t="n">
        <v>1999</v>
      </c>
      <c r="D1267" s="21" t="inlineStr">
        <is>
          <t>USA</t>
        </is>
      </c>
      <c r="E1267" s="21" t="n">
        <v>120</v>
      </c>
      <c r="F1267" s="21" t="inlineStr">
        <is>
          <t>English</t>
        </is>
      </c>
      <c r="G1267" s="21" t="inlineStr">
        <is>
          <t>R</t>
        </is>
      </c>
      <c r="H1267" s="22" t="n">
        <v>34074895</v>
      </c>
      <c r="I1267" s="22" t="n">
        <v>9000000</v>
      </c>
      <c r="J1267" s="21">
        <f>IF(OR(H1267="",H1267=25529689.5),"Yes","No")</f>
        <v/>
      </c>
      <c r="K1267" s="21">
        <f>IF(AND(D1267="USA",C1267&gt;=1980,J1267="No"),"Yes","No")</f>
        <v/>
      </c>
      <c r="L1267" s="26">
        <f>IF(J1267="Yes","",H1267-I1267)</f>
        <v/>
      </c>
      <c r="M1267" s="27">
        <f>IF(OR(J1267="Yes",I1267=0),"",H1267/I1267)</f>
        <v/>
      </c>
      <c r="N1267" s="21">
        <f>IF(J1267="Yes","",IF(H1267&gt;=I1267,1,0))</f>
        <v/>
      </c>
      <c r="O1267" s="21">
        <f>IF(I1267&lt;=5000000,"Under $5M",IF(I1267&lt;=20000000,"$5M-20M",IF(I1267&lt;=50000000,"$20M-50M",IF(I1267&lt;=100000000,"$50M-100M","$100M+"))))</f>
        <v/>
      </c>
      <c r="P1267" s="21">
        <f>IF(E1267&lt;=90,"90 or less",IF(E1267&lt;=105,"91-105",IF(E1267&lt;=120,"106-120",IF(E1267&lt;=140,"121-140","Over 140"))))</f>
        <v/>
      </c>
      <c r="Q1267" s="28">
        <f>INT(C1267/10)*10</f>
        <v/>
      </c>
    </row>
    <row r="1268">
      <c r="A1268" s="21" t="n">
        <v>1295</v>
      </c>
      <c r="B1268" s="21" t="inlineStr">
        <is>
          <t>The Big Tease</t>
        </is>
      </c>
      <c r="C1268" s="21" t="n">
        <v>1999</v>
      </c>
      <c r="D1268" s="21" t="inlineStr">
        <is>
          <t>UK</t>
        </is>
      </c>
      <c r="E1268" s="21" t="n">
        <v>86</v>
      </c>
      <c r="F1268" s="21" t="inlineStr">
        <is>
          <t>English</t>
        </is>
      </c>
      <c r="G1268" s="21" t="inlineStr">
        <is>
          <t>R</t>
        </is>
      </c>
      <c r="H1268" s="22" t="n">
        <v>185577</v>
      </c>
      <c r="I1268" s="22" t="n">
        <v>4000000</v>
      </c>
      <c r="J1268" s="21">
        <f>IF(OR(H1268="",H1268=25529689.5),"Yes","No")</f>
        <v/>
      </c>
      <c r="K1268" s="21">
        <f>IF(AND(D1268="USA",C1268&gt;=1980,J1268="No"),"Yes","No")</f>
        <v/>
      </c>
      <c r="L1268" s="26">
        <f>IF(J1268="Yes","",H1268-I1268)</f>
        <v/>
      </c>
      <c r="M1268" s="27">
        <f>IF(OR(J1268="Yes",I1268=0),"",H1268/I1268)</f>
        <v/>
      </c>
      <c r="N1268" s="21">
        <f>IF(J1268="Yes","",IF(H1268&gt;=I1268,1,0))</f>
        <v/>
      </c>
      <c r="O1268" s="21">
        <f>IF(I1268&lt;=5000000,"Under $5M",IF(I1268&lt;=20000000,"$5M-20M",IF(I1268&lt;=50000000,"$20M-50M",IF(I1268&lt;=100000000,"$50M-100M","$100M+"))))</f>
        <v/>
      </c>
      <c r="P1268" s="21">
        <f>IF(E1268&lt;=90,"90 or less",IF(E1268&lt;=105,"91-105",IF(E1268&lt;=120,"106-120",IF(E1268&lt;=140,"121-140","Over 140"))))</f>
        <v/>
      </c>
      <c r="Q1268" s="28">
        <f>INT(C1268/10)*10</f>
        <v/>
      </c>
    </row>
    <row r="1269">
      <c r="A1269" s="21" t="n">
        <v>1296</v>
      </c>
      <c r="B1269" s="21" t="inlineStr">
        <is>
          <t>The Blair Witch Project</t>
        </is>
      </c>
      <c r="C1269" s="21" t="n">
        <v>1999</v>
      </c>
      <c r="D1269" s="21" t="inlineStr">
        <is>
          <t>USA</t>
        </is>
      </c>
      <c r="E1269" s="21" t="n">
        <v>81</v>
      </c>
      <c r="F1269" s="21" t="inlineStr">
        <is>
          <t>English</t>
        </is>
      </c>
      <c r="G1269" s="21" t="inlineStr">
        <is>
          <t>R</t>
        </is>
      </c>
      <c r="H1269" s="22" t="n">
        <v>140530114</v>
      </c>
      <c r="I1269" s="22" t="n">
        <v>60000</v>
      </c>
      <c r="J1269" s="21">
        <f>IF(OR(H1269="",H1269=25529689.5),"Yes","No")</f>
        <v/>
      </c>
      <c r="K1269" s="21">
        <f>IF(AND(D1269="USA",C1269&gt;=1980,J1269="No"),"Yes","No")</f>
        <v/>
      </c>
      <c r="L1269" s="26">
        <f>IF(J1269="Yes","",H1269-I1269)</f>
        <v/>
      </c>
      <c r="M1269" s="27">
        <f>IF(OR(J1269="Yes",I1269=0),"",H1269/I1269)</f>
        <v/>
      </c>
      <c r="N1269" s="21">
        <f>IF(J1269="Yes","",IF(H1269&gt;=I1269,1,0))</f>
        <v/>
      </c>
      <c r="O1269" s="21">
        <f>IF(I1269&lt;=5000000,"Under $5M",IF(I1269&lt;=20000000,"$5M-20M",IF(I1269&lt;=50000000,"$20M-50M",IF(I1269&lt;=100000000,"$50M-100M","$100M+"))))</f>
        <v/>
      </c>
      <c r="P1269" s="21">
        <f>IF(E1269&lt;=90,"90 or less",IF(E1269&lt;=105,"91-105",IF(E1269&lt;=120,"106-120",IF(E1269&lt;=140,"121-140","Over 140"))))</f>
        <v/>
      </c>
      <c r="Q1269" s="28">
        <f>INT(C1269/10)*10</f>
        <v/>
      </c>
    </row>
    <row r="1270">
      <c r="A1270" s="21" t="n">
        <v>1297</v>
      </c>
      <c r="B1270" s="21" t="inlineStr">
        <is>
          <t>The Bone Collector</t>
        </is>
      </c>
      <c r="C1270" s="21" t="n">
        <v>1999</v>
      </c>
      <c r="D1270" s="21" t="inlineStr">
        <is>
          <t>USA</t>
        </is>
      </c>
      <c r="E1270" s="21" t="n">
        <v>118</v>
      </c>
      <c r="F1270" s="21" t="inlineStr">
        <is>
          <t>English</t>
        </is>
      </c>
      <c r="G1270" s="21" t="inlineStr">
        <is>
          <t>R</t>
        </is>
      </c>
      <c r="H1270" s="22" t="n">
        <v>66488090</v>
      </c>
      <c r="I1270" s="22" t="n">
        <v>48000000</v>
      </c>
      <c r="J1270" s="21">
        <f>IF(OR(H1270="",H1270=25529689.5),"Yes","No")</f>
        <v/>
      </c>
      <c r="K1270" s="21">
        <f>IF(AND(D1270="USA",C1270&gt;=1980,J1270="No"),"Yes","No")</f>
        <v/>
      </c>
      <c r="L1270" s="26">
        <f>IF(J1270="Yes","",H1270-I1270)</f>
        <v/>
      </c>
      <c r="M1270" s="27">
        <f>IF(OR(J1270="Yes",I1270=0),"",H1270/I1270)</f>
        <v/>
      </c>
      <c r="N1270" s="21">
        <f>IF(J1270="Yes","",IF(H1270&gt;=I1270,1,0))</f>
        <v/>
      </c>
      <c r="O1270" s="21">
        <f>IF(I1270&lt;=5000000,"Under $5M",IF(I1270&lt;=20000000,"$5M-20M",IF(I1270&lt;=50000000,"$20M-50M",IF(I1270&lt;=100000000,"$50M-100M","$100M+"))))</f>
        <v/>
      </c>
      <c r="P1270" s="21">
        <f>IF(E1270&lt;=90,"90 or less",IF(E1270&lt;=105,"91-105",IF(E1270&lt;=120,"106-120",IF(E1270&lt;=140,"121-140","Over 140"))))</f>
        <v/>
      </c>
      <c r="Q1270" s="28">
        <f>INT(C1270/10)*10</f>
        <v/>
      </c>
    </row>
    <row r="1271">
      <c r="A1271" s="21" t="n">
        <v>1298</v>
      </c>
      <c r="B1271" s="21" t="inlineStr">
        <is>
          <t>The Boondock Saints</t>
        </is>
      </c>
      <c r="C1271" s="21" t="n">
        <v>1999</v>
      </c>
      <c r="D1271" s="21" t="inlineStr">
        <is>
          <t>Canada</t>
        </is>
      </c>
      <c r="E1271" s="21" t="n">
        <v>102</v>
      </c>
      <c r="F1271" s="21" t="inlineStr">
        <is>
          <t>English</t>
        </is>
      </c>
      <c r="G1271" s="21" t="inlineStr">
        <is>
          <t>R</t>
        </is>
      </c>
      <c r="H1271" s="22" t="n">
        <v>25529689.5</v>
      </c>
      <c r="I1271" s="22" t="n">
        <v>7000000</v>
      </c>
      <c r="J1271" s="21">
        <f>IF(OR(H1271="",H1271=25529689.5),"Yes","No")</f>
        <v/>
      </c>
      <c r="K1271" s="21">
        <f>IF(AND(D1271="USA",C1271&gt;=1980,J1271="No"),"Yes","No")</f>
        <v/>
      </c>
      <c r="L1271" s="26">
        <f>IF(J1271="Yes","",H1271-I1271)</f>
        <v/>
      </c>
      <c r="M1271" s="27">
        <f>IF(OR(J1271="Yes",I1271=0),"",H1271/I1271)</f>
        <v/>
      </c>
      <c r="N1271" s="21">
        <f>IF(J1271="Yes","",IF(H1271&gt;=I1271,1,0))</f>
        <v/>
      </c>
      <c r="O1271" s="21">
        <f>IF(I1271&lt;=5000000,"Under $5M",IF(I1271&lt;=20000000,"$5M-20M",IF(I1271&lt;=50000000,"$20M-50M",IF(I1271&lt;=100000000,"$50M-100M","$100M+"))))</f>
        <v/>
      </c>
      <c r="P1271" s="21">
        <f>IF(E1271&lt;=90,"90 or less",IF(E1271&lt;=105,"91-105",IF(E1271&lt;=120,"106-120",IF(E1271&lt;=140,"121-140","Over 140"))))</f>
        <v/>
      </c>
      <c r="Q1271" s="28">
        <f>INT(C1271/10)*10</f>
        <v/>
      </c>
    </row>
    <row r="1272">
      <c r="A1272" s="21" t="n">
        <v>1299</v>
      </c>
      <c r="B1272" s="21" t="inlineStr">
        <is>
          <t>The Corruptor</t>
        </is>
      </c>
      <c r="C1272" s="21" t="n">
        <v>1999</v>
      </c>
      <c r="D1272" s="21" t="inlineStr">
        <is>
          <t>USA</t>
        </is>
      </c>
      <c r="E1272" s="21" t="n">
        <v>110</v>
      </c>
      <c r="F1272" s="21" t="inlineStr">
        <is>
          <t>English</t>
        </is>
      </c>
      <c r="G1272" s="21" t="inlineStr">
        <is>
          <t>R</t>
        </is>
      </c>
      <c r="H1272" s="22" t="n">
        <v>15156200</v>
      </c>
      <c r="I1272" s="22" t="n">
        <v>30000000</v>
      </c>
      <c r="J1272" s="21">
        <f>IF(OR(H1272="",H1272=25529689.5),"Yes","No")</f>
        <v/>
      </c>
      <c r="K1272" s="21">
        <f>IF(AND(D1272="USA",C1272&gt;=1980,J1272="No"),"Yes","No")</f>
        <v/>
      </c>
      <c r="L1272" s="26">
        <f>IF(J1272="Yes","",H1272-I1272)</f>
        <v/>
      </c>
      <c r="M1272" s="27">
        <f>IF(OR(J1272="Yes",I1272=0),"",H1272/I1272)</f>
        <v/>
      </c>
      <c r="N1272" s="21">
        <f>IF(J1272="Yes","",IF(H1272&gt;=I1272,1,0))</f>
        <v/>
      </c>
      <c r="O1272" s="21">
        <f>IF(I1272&lt;=5000000,"Under $5M",IF(I1272&lt;=20000000,"$5M-20M",IF(I1272&lt;=50000000,"$20M-50M",IF(I1272&lt;=100000000,"$50M-100M","$100M+"))))</f>
        <v/>
      </c>
      <c r="P1272" s="21">
        <f>IF(E1272&lt;=90,"90 or less",IF(E1272&lt;=105,"91-105",IF(E1272&lt;=120,"106-120",IF(E1272&lt;=140,"121-140","Over 140"))))</f>
        <v/>
      </c>
      <c r="Q1272" s="28">
        <f>INT(C1272/10)*10</f>
        <v/>
      </c>
    </row>
    <row r="1273">
      <c r="A1273" s="21" t="n">
        <v>1300</v>
      </c>
      <c r="B1273" s="21" t="inlineStr">
        <is>
          <t>The Deep End of the Ocean</t>
        </is>
      </c>
      <c r="C1273" s="21" t="n">
        <v>1999</v>
      </c>
      <c r="D1273" s="21" t="inlineStr">
        <is>
          <t>USA</t>
        </is>
      </c>
      <c r="E1273" s="21" t="n">
        <v>106</v>
      </c>
      <c r="F1273" s="21" t="inlineStr">
        <is>
          <t>English</t>
        </is>
      </c>
      <c r="G1273" s="21" t="inlineStr">
        <is>
          <t>PG-13</t>
        </is>
      </c>
      <c r="H1273" s="22" t="n">
        <v>13376506</v>
      </c>
      <c r="I1273" s="22" t="n">
        <v>40000000</v>
      </c>
      <c r="J1273" s="21">
        <f>IF(OR(H1273="",H1273=25529689.5),"Yes","No")</f>
        <v/>
      </c>
      <c r="K1273" s="21">
        <f>IF(AND(D1273="USA",C1273&gt;=1980,J1273="No"),"Yes","No")</f>
        <v/>
      </c>
      <c r="L1273" s="26">
        <f>IF(J1273="Yes","",H1273-I1273)</f>
        <v/>
      </c>
      <c r="M1273" s="27">
        <f>IF(OR(J1273="Yes",I1273=0),"",H1273/I1273)</f>
        <v/>
      </c>
      <c r="N1273" s="21">
        <f>IF(J1273="Yes","",IF(H1273&gt;=I1273,1,0))</f>
        <v/>
      </c>
      <c r="O1273" s="21">
        <f>IF(I1273&lt;=5000000,"Under $5M",IF(I1273&lt;=20000000,"$5M-20M",IF(I1273&lt;=50000000,"$20M-50M",IF(I1273&lt;=100000000,"$50M-100M","$100M+"))))</f>
        <v/>
      </c>
      <c r="P1273" s="21">
        <f>IF(E1273&lt;=90,"90 or less",IF(E1273&lt;=105,"91-105",IF(E1273&lt;=120,"106-120",IF(E1273&lt;=140,"121-140","Over 140"))))</f>
        <v/>
      </c>
      <c r="Q1273" s="28">
        <f>INT(C1273/10)*10</f>
        <v/>
      </c>
    </row>
    <row r="1274">
      <c r="A1274" s="21" t="n">
        <v>1301</v>
      </c>
      <c r="B1274" s="21" t="inlineStr">
        <is>
          <t>The End of the Affair</t>
        </is>
      </c>
      <c r="C1274" s="21" t="n">
        <v>1999</v>
      </c>
      <c r="D1274" s="21" t="inlineStr">
        <is>
          <t>UK</t>
        </is>
      </c>
      <c r="E1274" s="21" t="n">
        <v>102</v>
      </c>
      <c r="F1274" s="21" t="inlineStr">
        <is>
          <t>English</t>
        </is>
      </c>
      <c r="G1274" s="21" t="inlineStr">
        <is>
          <t>R</t>
        </is>
      </c>
      <c r="H1274" s="22" t="n">
        <v>10660147</v>
      </c>
      <c r="I1274" s="22" t="n">
        <v>23000000</v>
      </c>
      <c r="J1274" s="21">
        <f>IF(OR(H1274="",H1274=25529689.5),"Yes","No")</f>
        <v/>
      </c>
      <c r="K1274" s="21">
        <f>IF(AND(D1274="USA",C1274&gt;=1980,J1274="No"),"Yes","No")</f>
        <v/>
      </c>
      <c r="L1274" s="26">
        <f>IF(J1274="Yes","",H1274-I1274)</f>
        <v/>
      </c>
      <c r="M1274" s="27">
        <f>IF(OR(J1274="Yes",I1274=0),"",H1274/I1274)</f>
        <v/>
      </c>
      <c r="N1274" s="21">
        <f>IF(J1274="Yes","",IF(H1274&gt;=I1274,1,0))</f>
        <v/>
      </c>
      <c r="O1274" s="21">
        <f>IF(I1274&lt;=5000000,"Under $5M",IF(I1274&lt;=20000000,"$5M-20M",IF(I1274&lt;=50000000,"$20M-50M",IF(I1274&lt;=100000000,"$50M-100M","$100M+"))))</f>
        <v/>
      </c>
      <c r="P1274" s="21">
        <f>IF(E1274&lt;=90,"90 or less",IF(E1274&lt;=105,"91-105",IF(E1274&lt;=120,"106-120",IF(E1274&lt;=140,"121-140","Over 140"))))</f>
        <v/>
      </c>
      <c r="Q1274" s="28">
        <f>INT(C1274/10)*10</f>
        <v/>
      </c>
    </row>
    <row r="1275">
      <c r="A1275" s="21" t="n">
        <v>1302</v>
      </c>
      <c r="B1275" s="21" t="inlineStr">
        <is>
          <t>The General's Daughter</t>
        </is>
      </c>
      <c r="C1275" s="21" t="n">
        <v>1999</v>
      </c>
      <c r="D1275" s="21" t="inlineStr">
        <is>
          <t>USA</t>
        </is>
      </c>
      <c r="E1275" s="21" t="n">
        <v>116</v>
      </c>
      <c r="F1275" s="21" t="inlineStr">
        <is>
          <t>English</t>
        </is>
      </c>
      <c r="G1275" s="21" t="inlineStr">
        <is>
          <t>R</t>
        </is>
      </c>
      <c r="H1275" s="22" t="n">
        <v>102678089</v>
      </c>
      <c r="I1275" s="22" t="n">
        <v>95000000</v>
      </c>
      <c r="J1275" s="21">
        <f>IF(OR(H1275="",H1275=25529689.5),"Yes","No")</f>
        <v/>
      </c>
      <c r="K1275" s="21">
        <f>IF(AND(D1275="USA",C1275&gt;=1980,J1275="No"),"Yes","No")</f>
        <v/>
      </c>
      <c r="L1275" s="26">
        <f>IF(J1275="Yes","",H1275-I1275)</f>
        <v/>
      </c>
      <c r="M1275" s="27">
        <f>IF(OR(J1275="Yes",I1275=0),"",H1275/I1275)</f>
        <v/>
      </c>
      <c r="N1275" s="21">
        <f>IF(J1275="Yes","",IF(H1275&gt;=I1275,1,0))</f>
        <v/>
      </c>
      <c r="O1275" s="21">
        <f>IF(I1275&lt;=5000000,"Under $5M",IF(I1275&lt;=20000000,"$5M-20M",IF(I1275&lt;=50000000,"$20M-50M",IF(I1275&lt;=100000000,"$50M-100M","$100M+"))))</f>
        <v/>
      </c>
      <c r="P1275" s="21">
        <f>IF(E1275&lt;=90,"90 or less",IF(E1275&lt;=105,"91-105",IF(E1275&lt;=120,"106-120",IF(E1275&lt;=140,"121-140","Over 140"))))</f>
        <v/>
      </c>
      <c r="Q1275" s="28">
        <f>INT(C1275/10)*10</f>
        <v/>
      </c>
    </row>
    <row r="1276">
      <c r="A1276" s="21" t="n">
        <v>1303</v>
      </c>
      <c r="B1276" s="21" t="inlineStr">
        <is>
          <t>The Green Mile</t>
        </is>
      </c>
      <c r="C1276" s="21" t="n">
        <v>1999</v>
      </c>
      <c r="D1276" s="21" t="inlineStr">
        <is>
          <t>USA</t>
        </is>
      </c>
      <c r="E1276" s="21" t="n">
        <v>189</v>
      </c>
      <c r="F1276" s="21" t="inlineStr">
        <is>
          <t>English</t>
        </is>
      </c>
      <c r="G1276" s="21" t="inlineStr">
        <is>
          <t>R</t>
        </is>
      </c>
      <c r="H1276" s="22" t="n">
        <v>136801374</v>
      </c>
      <c r="I1276" s="22" t="n">
        <v>60000000</v>
      </c>
      <c r="J1276" s="21">
        <f>IF(OR(H1276="",H1276=25529689.5),"Yes","No")</f>
        <v/>
      </c>
      <c r="K1276" s="21">
        <f>IF(AND(D1276="USA",C1276&gt;=1980,J1276="No"),"Yes","No")</f>
        <v/>
      </c>
      <c r="L1276" s="26">
        <f>IF(J1276="Yes","",H1276-I1276)</f>
        <v/>
      </c>
      <c r="M1276" s="27">
        <f>IF(OR(J1276="Yes",I1276=0),"",H1276/I1276)</f>
        <v/>
      </c>
      <c r="N1276" s="21">
        <f>IF(J1276="Yes","",IF(H1276&gt;=I1276,1,0))</f>
        <v/>
      </c>
      <c r="O1276" s="21">
        <f>IF(I1276&lt;=5000000,"Under $5M",IF(I1276&lt;=20000000,"$5M-20M",IF(I1276&lt;=50000000,"$20M-50M",IF(I1276&lt;=100000000,"$50M-100M","$100M+"))))</f>
        <v/>
      </c>
      <c r="P1276" s="21">
        <f>IF(E1276&lt;=90,"90 or less",IF(E1276&lt;=105,"91-105",IF(E1276&lt;=120,"106-120",IF(E1276&lt;=140,"121-140","Over 140"))))</f>
        <v/>
      </c>
      <c r="Q1276" s="28">
        <f>INT(C1276/10)*10</f>
        <v/>
      </c>
    </row>
    <row r="1277">
      <c r="A1277" s="21" t="n">
        <v>1304</v>
      </c>
      <c r="B1277" s="21" t="inlineStr">
        <is>
          <t>The Haunting</t>
        </is>
      </c>
      <c r="C1277" s="21" t="n">
        <v>1999</v>
      </c>
      <c r="D1277" s="21" t="inlineStr">
        <is>
          <t>USA</t>
        </is>
      </c>
      <c r="E1277" s="21" t="n">
        <v>113</v>
      </c>
      <c r="F1277" s="21" t="inlineStr">
        <is>
          <t>English</t>
        </is>
      </c>
      <c r="G1277" s="21" t="inlineStr">
        <is>
          <t>PG-13</t>
        </is>
      </c>
      <c r="H1277" s="22" t="n">
        <v>91188905</v>
      </c>
      <c r="I1277" s="22" t="n">
        <v>80000000</v>
      </c>
      <c r="J1277" s="21">
        <f>IF(OR(H1277="",H1277=25529689.5),"Yes","No")</f>
        <v/>
      </c>
      <c r="K1277" s="21">
        <f>IF(AND(D1277="USA",C1277&gt;=1980,J1277="No"),"Yes","No")</f>
        <v/>
      </c>
      <c r="L1277" s="26">
        <f>IF(J1277="Yes","",H1277-I1277)</f>
        <v/>
      </c>
      <c r="M1277" s="27">
        <f>IF(OR(J1277="Yes",I1277=0),"",H1277/I1277)</f>
        <v/>
      </c>
      <c r="N1277" s="21">
        <f>IF(J1277="Yes","",IF(H1277&gt;=I1277,1,0))</f>
        <v/>
      </c>
      <c r="O1277" s="21">
        <f>IF(I1277&lt;=5000000,"Under $5M",IF(I1277&lt;=20000000,"$5M-20M",IF(I1277&lt;=50000000,"$20M-50M",IF(I1277&lt;=100000000,"$50M-100M","$100M+"))))</f>
        <v/>
      </c>
      <c r="P1277" s="21">
        <f>IF(E1277&lt;=90,"90 or less",IF(E1277&lt;=105,"91-105",IF(E1277&lt;=120,"106-120",IF(E1277&lt;=140,"121-140","Over 140"))))</f>
        <v/>
      </c>
      <c r="Q1277" s="28">
        <f>INT(C1277/10)*10</f>
        <v/>
      </c>
    </row>
    <row r="1278">
      <c r="A1278" s="21" t="n">
        <v>1305</v>
      </c>
      <c r="B1278" s="21" t="inlineStr">
        <is>
          <t>The Hurricane</t>
        </is>
      </c>
      <c r="C1278" s="21" t="n">
        <v>1999</v>
      </c>
      <c r="D1278" s="21" t="inlineStr">
        <is>
          <t>USA</t>
        </is>
      </c>
      <c r="E1278" s="21" t="n">
        <v>146</v>
      </c>
      <c r="F1278" s="21" t="inlineStr">
        <is>
          <t>English</t>
        </is>
      </c>
      <c r="G1278" s="21" t="inlineStr">
        <is>
          <t>R</t>
        </is>
      </c>
      <c r="H1278" s="22" t="n">
        <v>50668906</v>
      </c>
      <c r="I1278" s="22" t="n">
        <v>38000000</v>
      </c>
      <c r="J1278" s="21">
        <f>IF(OR(H1278="",H1278=25529689.5),"Yes","No")</f>
        <v/>
      </c>
      <c r="K1278" s="21">
        <f>IF(AND(D1278="USA",C1278&gt;=1980,J1278="No"),"Yes","No")</f>
        <v/>
      </c>
      <c r="L1278" s="26">
        <f>IF(J1278="Yes","",H1278-I1278)</f>
        <v/>
      </c>
      <c r="M1278" s="27">
        <f>IF(OR(J1278="Yes",I1278=0),"",H1278/I1278)</f>
        <v/>
      </c>
      <c r="N1278" s="21">
        <f>IF(J1278="Yes","",IF(H1278&gt;=I1278,1,0))</f>
        <v/>
      </c>
      <c r="O1278" s="21">
        <f>IF(I1278&lt;=5000000,"Under $5M",IF(I1278&lt;=20000000,"$5M-20M",IF(I1278&lt;=50000000,"$20M-50M",IF(I1278&lt;=100000000,"$50M-100M","$100M+"))))</f>
        <v/>
      </c>
      <c r="P1278" s="21">
        <f>IF(E1278&lt;=90,"90 or less",IF(E1278&lt;=105,"91-105",IF(E1278&lt;=120,"106-120",IF(E1278&lt;=140,"121-140","Over 140"))))</f>
        <v/>
      </c>
      <c r="Q1278" s="28">
        <f>INT(C1278/10)*10</f>
        <v/>
      </c>
    </row>
    <row r="1279">
      <c r="A1279" s="21" t="n">
        <v>1306</v>
      </c>
      <c r="B1279" s="21" t="inlineStr">
        <is>
          <t>The Insider</t>
        </is>
      </c>
      <c r="C1279" s="21" t="n">
        <v>1999</v>
      </c>
      <c r="D1279" s="21" t="inlineStr">
        <is>
          <t>USA</t>
        </is>
      </c>
      <c r="E1279" s="21" t="n">
        <v>157</v>
      </c>
      <c r="F1279" s="21" t="inlineStr">
        <is>
          <t>English</t>
        </is>
      </c>
      <c r="G1279" s="21" t="inlineStr">
        <is>
          <t>R</t>
        </is>
      </c>
      <c r="H1279" s="22" t="n">
        <v>28965197</v>
      </c>
      <c r="I1279" s="22" t="n">
        <v>68000000</v>
      </c>
      <c r="J1279" s="21">
        <f>IF(OR(H1279="",H1279=25529689.5),"Yes","No")</f>
        <v/>
      </c>
      <c r="K1279" s="21">
        <f>IF(AND(D1279="USA",C1279&gt;=1980,J1279="No"),"Yes","No")</f>
        <v/>
      </c>
      <c r="L1279" s="26">
        <f>IF(J1279="Yes","",H1279-I1279)</f>
        <v/>
      </c>
      <c r="M1279" s="27">
        <f>IF(OR(J1279="Yes",I1279=0),"",H1279/I1279)</f>
        <v/>
      </c>
      <c r="N1279" s="21">
        <f>IF(J1279="Yes","",IF(H1279&gt;=I1279,1,0))</f>
        <v/>
      </c>
      <c r="O1279" s="21">
        <f>IF(I1279&lt;=5000000,"Under $5M",IF(I1279&lt;=20000000,"$5M-20M",IF(I1279&lt;=50000000,"$20M-50M",IF(I1279&lt;=100000000,"$50M-100M","$100M+"))))</f>
        <v/>
      </c>
      <c r="P1279" s="21">
        <f>IF(E1279&lt;=90,"90 or less",IF(E1279&lt;=105,"91-105",IF(E1279&lt;=120,"106-120",IF(E1279&lt;=140,"121-140","Over 140"))))</f>
        <v/>
      </c>
      <c r="Q1279" s="28">
        <f>INT(C1279/10)*10</f>
        <v/>
      </c>
    </row>
    <row r="1280">
      <c r="A1280" s="21" t="n">
        <v>1307</v>
      </c>
      <c r="B1280" s="21" t="inlineStr">
        <is>
          <t>The Iron Giant</t>
        </is>
      </c>
      <c r="C1280" s="21" t="n">
        <v>1999</v>
      </c>
      <c r="D1280" s="21" t="inlineStr">
        <is>
          <t>USA</t>
        </is>
      </c>
      <c r="E1280" s="21" t="n">
        <v>90</v>
      </c>
      <c r="F1280" s="21" t="inlineStr">
        <is>
          <t>English</t>
        </is>
      </c>
      <c r="G1280" s="21" t="inlineStr">
        <is>
          <t>PG</t>
        </is>
      </c>
      <c r="H1280" s="22" t="n">
        <v>23159305</v>
      </c>
      <c r="I1280" s="22" t="n">
        <v>70000000</v>
      </c>
      <c r="J1280" s="21">
        <f>IF(OR(H1280="",H1280=25529689.5),"Yes","No")</f>
        <v/>
      </c>
      <c r="K1280" s="21">
        <f>IF(AND(D1280="USA",C1280&gt;=1980,J1280="No"),"Yes","No")</f>
        <v/>
      </c>
      <c r="L1280" s="26">
        <f>IF(J1280="Yes","",H1280-I1280)</f>
        <v/>
      </c>
      <c r="M1280" s="27">
        <f>IF(OR(J1280="Yes",I1280=0),"",H1280/I1280)</f>
        <v/>
      </c>
      <c r="N1280" s="21">
        <f>IF(J1280="Yes","",IF(H1280&gt;=I1280,1,0))</f>
        <v/>
      </c>
      <c r="O1280" s="21">
        <f>IF(I1280&lt;=5000000,"Under $5M",IF(I1280&lt;=20000000,"$5M-20M",IF(I1280&lt;=50000000,"$20M-50M",IF(I1280&lt;=100000000,"$50M-100M","$100M+"))))</f>
        <v/>
      </c>
      <c r="P1280" s="21">
        <f>IF(E1280&lt;=90,"90 or less",IF(E1280&lt;=105,"91-105",IF(E1280&lt;=120,"106-120",IF(E1280&lt;=140,"121-140","Over 140"))))</f>
        <v/>
      </c>
      <c r="Q1280" s="28">
        <f>INT(C1280/10)*10</f>
        <v/>
      </c>
    </row>
    <row r="1281">
      <c r="A1281" s="21" t="n">
        <v>1308</v>
      </c>
      <c r="B1281" s="21" t="inlineStr">
        <is>
          <t>The Limey</t>
        </is>
      </c>
      <c r="C1281" s="21" t="n">
        <v>1999</v>
      </c>
      <c r="D1281" s="21" t="inlineStr">
        <is>
          <t>USA</t>
        </is>
      </c>
      <c r="E1281" s="21" t="n">
        <v>89</v>
      </c>
      <c r="F1281" s="21" t="inlineStr">
        <is>
          <t>English</t>
        </is>
      </c>
      <c r="G1281" s="21" t="inlineStr">
        <is>
          <t>R</t>
        </is>
      </c>
      <c r="H1281" s="22" t="n">
        <v>3193102</v>
      </c>
      <c r="I1281" s="22" t="n">
        <v>9000000</v>
      </c>
      <c r="J1281" s="21">
        <f>IF(OR(H1281="",H1281=25529689.5),"Yes","No")</f>
        <v/>
      </c>
      <c r="K1281" s="21">
        <f>IF(AND(D1281="USA",C1281&gt;=1980,J1281="No"),"Yes","No")</f>
        <v/>
      </c>
      <c r="L1281" s="26">
        <f>IF(J1281="Yes","",H1281-I1281)</f>
        <v/>
      </c>
      <c r="M1281" s="27">
        <f>IF(OR(J1281="Yes",I1281=0),"",H1281/I1281)</f>
        <v/>
      </c>
      <c r="N1281" s="21">
        <f>IF(J1281="Yes","",IF(H1281&gt;=I1281,1,0))</f>
        <v/>
      </c>
      <c r="O1281" s="21">
        <f>IF(I1281&lt;=5000000,"Under $5M",IF(I1281&lt;=20000000,"$5M-20M",IF(I1281&lt;=50000000,"$20M-50M",IF(I1281&lt;=100000000,"$50M-100M","$100M+"))))</f>
        <v/>
      </c>
      <c r="P1281" s="21">
        <f>IF(E1281&lt;=90,"90 or less",IF(E1281&lt;=105,"91-105",IF(E1281&lt;=120,"106-120",IF(E1281&lt;=140,"121-140","Over 140"))))</f>
        <v/>
      </c>
      <c r="Q1281" s="28">
        <f>INT(C1281/10)*10</f>
        <v/>
      </c>
    </row>
    <row r="1282">
      <c r="A1282" s="21" t="n">
        <v>1309</v>
      </c>
      <c r="B1282" s="21" t="inlineStr">
        <is>
          <t>The Loss of Sexual Innocence</t>
        </is>
      </c>
      <c r="C1282" s="21" t="n">
        <v>1999</v>
      </c>
      <c r="D1282" s="21" t="inlineStr">
        <is>
          <t>USA</t>
        </is>
      </c>
      <c r="E1282" s="21" t="n">
        <v>106</v>
      </c>
      <c r="F1282" s="21" t="inlineStr">
        <is>
          <t>English</t>
        </is>
      </c>
      <c r="G1282" s="21" t="inlineStr">
        <is>
          <t>R</t>
        </is>
      </c>
      <c r="H1282" s="22" t="n">
        <v>399793</v>
      </c>
      <c r="I1282" s="22" t="n">
        <v>4000000</v>
      </c>
      <c r="J1282" s="21">
        <f>IF(OR(H1282="",H1282=25529689.5),"Yes","No")</f>
        <v/>
      </c>
      <c r="K1282" s="21">
        <f>IF(AND(D1282="USA",C1282&gt;=1980,J1282="No"),"Yes","No")</f>
        <v/>
      </c>
      <c r="L1282" s="26">
        <f>IF(J1282="Yes","",H1282-I1282)</f>
        <v/>
      </c>
      <c r="M1282" s="27">
        <f>IF(OR(J1282="Yes",I1282=0),"",H1282/I1282)</f>
        <v/>
      </c>
      <c r="N1282" s="21">
        <f>IF(J1282="Yes","",IF(H1282&gt;=I1282,1,0))</f>
        <v/>
      </c>
      <c r="O1282" s="21">
        <f>IF(I1282&lt;=5000000,"Under $5M",IF(I1282&lt;=20000000,"$5M-20M",IF(I1282&lt;=50000000,"$20M-50M",IF(I1282&lt;=100000000,"$50M-100M","$100M+"))))</f>
        <v/>
      </c>
      <c r="P1282" s="21">
        <f>IF(E1282&lt;=90,"90 or less",IF(E1282&lt;=105,"91-105",IF(E1282&lt;=120,"106-120",IF(E1282&lt;=140,"121-140","Over 140"))))</f>
        <v/>
      </c>
      <c r="Q1282" s="28">
        <f>INT(C1282/10)*10</f>
        <v/>
      </c>
    </row>
    <row r="1283">
      <c r="A1283" s="21" t="n">
        <v>1310</v>
      </c>
      <c r="B1283" s="21" t="inlineStr">
        <is>
          <t>The Matrix</t>
        </is>
      </c>
      <c r="C1283" s="21" t="n">
        <v>1999</v>
      </c>
      <c r="D1283" s="21" t="inlineStr">
        <is>
          <t>USA</t>
        </is>
      </c>
      <c r="E1283" s="21" t="n">
        <v>136</v>
      </c>
      <c r="F1283" s="21" t="inlineStr">
        <is>
          <t>English</t>
        </is>
      </c>
      <c r="G1283" s="21" t="inlineStr">
        <is>
          <t>R</t>
        </is>
      </c>
      <c r="H1283" s="22" t="n">
        <v>171383253</v>
      </c>
      <c r="I1283" s="22" t="n">
        <v>63000000</v>
      </c>
      <c r="J1283" s="21">
        <f>IF(OR(H1283="",H1283=25529689.5),"Yes","No")</f>
        <v/>
      </c>
      <c r="K1283" s="21">
        <f>IF(AND(D1283="USA",C1283&gt;=1980,J1283="No"),"Yes","No")</f>
        <v/>
      </c>
      <c r="L1283" s="26">
        <f>IF(J1283="Yes","",H1283-I1283)</f>
        <v/>
      </c>
      <c r="M1283" s="27">
        <f>IF(OR(J1283="Yes",I1283=0),"",H1283/I1283)</f>
        <v/>
      </c>
      <c r="N1283" s="21">
        <f>IF(J1283="Yes","",IF(H1283&gt;=I1283,1,0))</f>
        <v/>
      </c>
      <c r="O1283" s="21">
        <f>IF(I1283&lt;=5000000,"Under $5M",IF(I1283&lt;=20000000,"$5M-20M",IF(I1283&lt;=50000000,"$20M-50M",IF(I1283&lt;=100000000,"$50M-100M","$100M+"))))</f>
        <v/>
      </c>
      <c r="P1283" s="21">
        <f>IF(E1283&lt;=90,"90 or less",IF(E1283&lt;=105,"91-105",IF(E1283&lt;=120,"106-120",IF(E1283&lt;=140,"121-140","Over 140"))))</f>
        <v/>
      </c>
      <c r="Q1283" s="28">
        <f>INT(C1283/10)*10</f>
        <v/>
      </c>
    </row>
    <row r="1284">
      <c r="A1284" s="21" t="n">
        <v>1311</v>
      </c>
      <c r="B1284" s="21" t="inlineStr">
        <is>
          <t>The Messenger: The Story of Joan of Arc</t>
        </is>
      </c>
      <c r="C1284" s="21" t="n">
        <v>1999</v>
      </c>
      <c r="D1284" s="21" t="inlineStr">
        <is>
          <t>France</t>
        </is>
      </c>
      <c r="E1284" s="21" t="n">
        <v>158</v>
      </c>
      <c r="F1284" s="21" t="inlineStr">
        <is>
          <t>English</t>
        </is>
      </c>
      <c r="G1284" s="21" t="inlineStr">
        <is>
          <t>R</t>
        </is>
      </c>
      <c r="H1284" s="22" t="n">
        <v>14131298</v>
      </c>
      <c r="I1284" s="22" t="n">
        <v>390000000</v>
      </c>
      <c r="J1284" s="21">
        <f>IF(OR(H1284="",H1284=25529689.5),"Yes","No")</f>
        <v/>
      </c>
      <c r="K1284" s="21">
        <f>IF(AND(D1284="USA",C1284&gt;=1980,J1284="No"),"Yes","No")</f>
        <v/>
      </c>
      <c r="L1284" s="26">
        <f>IF(J1284="Yes","",H1284-I1284)</f>
        <v/>
      </c>
      <c r="M1284" s="27">
        <f>IF(OR(J1284="Yes",I1284=0),"",H1284/I1284)</f>
        <v/>
      </c>
      <c r="N1284" s="21">
        <f>IF(J1284="Yes","",IF(H1284&gt;=I1284,1,0))</f>
        <v/>
      </c>
      <c r="O1284" s="21">
        <f>IF(I1284&lt;=5000000,"Under $5M",IF(I1284&lt;=20000000,"$5M-20M",IF(I1284&lt;=50000000,"$20M-50M",IF(I1284&lt;=100000000,"$50M-100M","$100M+"))))</f>
        <v/>
      </c>
      <c r="P1284" s="21">
        <f>IF(E1284&lt;=90,"90 or less",IF(E1284&lt;=105,"91-105",IF(E1284&lt;=120,"106-120",IF(E1284&lt;=140,"121-140","Over 140"))))</f>
        <v/>
      </c>
      <c r="Q1284" s="28">
        <f>INT(C1284/10)*10</f>
        <v/>
      </c>
    </row>
    <row r="1285">
      <c r="A1285" s="21" t="n">
        <v>1312</v>
      </c>
      <c r="B1285" s="21" t="inlineStr">
        <is>
          <t>The Muse</t>
        </is>
      </c>
      <c r="C1285" s="21" t="n">
        <v>1999</v>
      </c>
      <c r="D1285" s="21" t="inlineStr">
        <is>
          <t>USA</t>
        </is>
      </c>
      <c r="E1285" s="21" t="n">
        <v>97</v>
      </c>
      <c r="F1285" s="21" t="inlineStr">
        <is>
          <t>English</t>
        </is>
      </c>
      <c r="G1285" s="21" t="inlineStr">
        <is>
          <t>PG-13</t>
        </is>
      </c>
      <c r="H1285" s="22" t="n">
        <v>11614236</v>
      </c>
      <c r="I1285" s="22" t="n">
        <v>15000000</v>
      </c>
      <c r="J1285" s="21">
        <f>IF(OR(H1285="",H1285=25529689.5),"Yes","No")</f>
        <v/>
      </c>
      <c r="K1285" s="21">
        <f>IF(AND(D1285="USA",C1285&gt;=1980,J1285="No"),"Yes","No")</f>
        <v/>
      </c>
      <c r="L1285" s="26">
        <f>IF(J1285="Yes","",H1285-I1285)</f>
        <v/>
      </c>
      <c r="M1285" s="27">
        <f>IF(OR(J1285="Yes",I1285=0),"",H1285/I1285)</f>
        <v/>
      </c>
      <c r="N1285" s="21">
        <f>IF(J1285="Yes","",IF(H1285&gt;=I1285,1,0))</f>
        <v/>
      </c>
      <c r="O1285" s="21">
        <f>IF(I1285&lt;=5000000,"Under $5M",IF(I1285&lt;=20000000,"$5M-20M",IF(I1285&lt;=50000000,"$20M-50M",IF(I1285&lt;=100000000,"$50M-100M","$100M+"))))</f>
        <v/>
      </c>
      <c r="P1285" s="21">
        <f>IF(E1285&lt;=90,"90 or less",IF(E1285&lt;=105,"91-105",IF(E1285&lt;=120,"106-120",IF(E1285&lt;=140,"121-140","Over 140"))))</f>
        <v/>
      </c>
      <c r="Q1285" s="28">
        <f>INT(C1285/10)*10</f>
        <v/>
      </c>
    </row>
    <row r="1286">
      <c r="A1286" s="21" t="n">
        <v>1313</v>
      </c>
      <c r="B1286" s="21" t="inlineStr">
        <is>
          <t>The Ninth Gate</t>
        </is>
      </c>
      <c r="C1286" s="21" t="n">
        <v>1999</v>
      </c>
      <c r="D1286" s="21" t="inlineStr">
        <is>
          <t>Spain</t>
        </is>
      </c>
      <c r="E1286" s="21" t="n">
        <v>133</v>
      </c>
      <c r="F1286" s="21" t="inlineStr">
        <is>
          <t>English</t>
        </is>
      </c>
      <c r="G1286" s="21" t="inlineStr">
        <is>
          <t>R</t>
        </is>
      </c>
      <c r="H1286" s="22" t="n">
        <v>18653746</v>
      </c>
      <c r="I1286" s="22" t="n">
        <v>38000000</v>
      </c>
      <c r="J1286" s="21">
        <f>IF(OR(H1286="",H1286=25529689.5),"Yes","No")</f>
        <v/>
      </c>
      <c r="K1286" s="21">
        <f>IF(AND(D1286="USA",C1286&gt;=1980,J1286="No"),"Yes","No")</f>
        <v/>
      </c>
      <c r="L1286" s="26">
        <f>IF(J1286="Yes","",H1286-I1286)</f>
        <v/>
      </c>
      <c r="M1286" s="27">
        <f>IF(OR(J1286="Yes",I1286=0),"",H1286/I1286)</f>
        <v/>
      </c>
      <c r="N1286" s="21">
        <f>IF(J1286="Yes","",IF(H1286&gt;=I1286,1,0))</f>
        <v/>
      </c>
      <c r="O1286" s="21">
        <f>IF(I1286&lt;=5000000,"Under $5M",IF(I1286&lt;=20000000,"$5M-20M",IF(I1286&lt;=50000000,"$20M-50M",IF(I1286&lt;=100000000,"$50M-100M","$100M+"))))</f>
        <v/>
      </c>
      <c r="P1286" s="21">
        <f>IF(E1286&lt;=90,"90 or less",IF(E1286&lt;=105,"91-105",IF(E1286&lt;=120,"106-120",IF(E1286&lt;=140,"121-140","Over 140"))))</f>
        <v/>
      </c>
      <c r="Q1286" s="28">
        <f>INT(C1286/10)*10</f>
        <v/>
      </c>
    </row>
    <row r="1287">
      <c r="A1287" s="21" t="n">
        <v>1314</v>
      </c>
      <c r="B1287" s="21" t="inlineStr">
        <is>
          <t>The Omega Code</t>
        </is>
      </c>
      <c r="C1287" s="21" t="n">
        <v>1999</v>
      </c>
      <c r="D1287" s="21" t="inlineStr">
        <is>
          <t>USA</t>
        </is>
      </c>
      <c r="E1287" s="21" t="n">
        <v>100</v>
      </c>
      <c r="F1287" s="21" t="inlineStr">
        <is>
          <t>English</t>
        </is>
      </c>
      <c r="G1287" s="21" t="inlineStr">
        <is>
          <t>PG-13</t>
        </is>
      </c>
      <c r="H1287" s="22" t="n">
        <v>12610552</v>
      </c>
      <c r="I1287" s="22" t="n">
        <v>7500000</v>
      </c>
      <c r="J1287" s="21">
        <f>IF(OR(H1287="",H1287=25529689.5),"Yes","No")</f>
        <v/>
      </c>
      <c r="K1287" s="21">
        <f>IF(AND(D1287="USA",C1287&gt;=1980,J1287="No"),"Yes","No")</f>
        <v/>
      </c>
      <c r="L1287" s="26">
        <f>IF(J1287="Yes","",H1287-I1287)</f>
        <v/>
      </c>
      <c r="M1287" s="27">
        <f>IF(OR(J1287="Yes",I1287=0),"",H1287/I1287)</f>
        <v/>
      </c>
      <c r="N1287" s="21">
        <f>IF(J1287="Yes","",IF(H1287&gt;=I1287,1,0))</f>
        <v/>
      </c>
      <c r="O1287" s="21">
        <f>IF(I1287&lt;=5000000,"Under $5M",IF(I1287&lt;=20000000,"$5M-20M",IF(I1287&lt;=50000000,"$20M-50M",IF(I1287&lt;=100000000,"$50M-100M","$100M+"))))</f>
        <v/>
      </c>
      <c r="P1287" s="21">
        <f>IF(E1287&lt;=90,"90 or less",IF(E1287&lt;=105,"91-105",IF(E1287&lt;=120,"106-120",IF(E1287&lt;=140,"121-140","Over 140"))))</f>
        <v/>
      </c>
      <c r="Q1287" s="28">
        <f>INT(C1287/10)*10</f>
        <v/>
      </c>
    </row>
    <row r="1288">
      <c r="A1288" s="21" t="n">
        <v>1315</v>
      </c>
      <c r="B1288" s="21" t="inlineStr">
        <is>
          <t>The Out-of-Towners</t>
        </is>
      </c>
      <c r="C1288" s="21" t="n">
        <v>1999</v>
      </c>
      <c r="D1288" s="21" t="inlineStr">
        <is>
          <t>USA</t>
        </is>
      </c>
      <c r="E1288" s="21" t="n">
        <v>90</v>
      </c>
      <c r="F1288" s="21" t="inlineStr">
        <is>
          <t>English</t>
        </is>
      </c>
      <c r="G1288" s="21" t="inlineStr">
        <is>
          <t>PG-13</t>
        </is>
      </c>
      <c r="H1288" s="22" t="n">
        <v>28535768</v>
      </c>
      <c r="I1288" s="22" t="n">
        <v>40000000</v>
      </c>
      <c r="J1288" s="21">
        <f>IF(OR(H1288="",H1288=25529689.5),"Yes","No")</f>
        <v/>
      </c>
      <c r="K1288" s="21">
        <f>IF(AND(D1288="USA",C1288&gt;=1980,J1288="No"),"Yes","No")</f>
        <v/>
      </c>
      <c r="L1288" s="26">
        <f>IF(J1288="Yes","",H1288-I1288)</f>
        <v/>
      </c>
      <c r="M1288" s="27">
        <f>IF(OR(J1288="Yes",I1288=0),"",H1288/I1288)</f>
        <v/>
      </c>
      <c r="N1288" s="21">
        <f>IF(J1288="Yes","",IF(H1288&gt;=I1288,1,0))</f>
        <v/>
      </c>
      <c r="O1288" s="21">
        <f>IF(I1288&lt;=5000000,"Under $5M",IF(I1288&lt;=20000000,"$5M-20M",IF(I1288&lt;=50000000,"$20M-50M",IF(I1288&lt;=100000000,"$50M-100M","$100M+"))))</f>
        <v/>
      </c>
      <c r="P1288" s="21">
        <f>IF(E1288&lt;=90,"90 or less",IF(E1288&lt;=105,"91-105",IF(E1288&lt;=120,"106-120",IF(E1288&lt;=140,"121-140","Over 140"))))</f>
        <v/>
      </c>
      <c r="Q1288" s="28">
        <f>INT(C1288/10)*10</f>
        <v/>
      </c>
    </row>
    <row r="1289">
      <c r="A1289" s="21" t="n">
        <v>1316</v>
      </c>
      <c r="B1289" s="21" t="inlineStr">
        <is>
          <t>The Rage: Carrie 2</t>
        </is>
      </c>
      <c r="C1289" s="21" t="n">
        <v>1999</v>
      </c>
      <c r="D1289" s="21" t="inlineStr">
        <is>
          <t>USA</t>
        </is>
      </c>
      <c r="E1289" s="21" t="n">
        <v>104</v>
      </c>
      <c r="F1289" s="21" t="inlineStr">
        <is>
          <t>English</t>
        </is>
      </c>
      <c r="G1289" s="21" t="inlineStr">
        <is>
          <t>R</t>
        </is>
      </c>
      <c r="H1289" s="22" t="n">
        <v>17757087</v>
      </c>
      <c r="I1289" s="22" t="n">
        <v>21000000</v>
      </c>
      <c r="J1289" s="21">
        <f>IF(OR(H1289="",H1289=25529689.5),"Yes","No")</f>
        <v/>
      </c>
      <c r="K1289" s="21">
        <f>IF(AND(D1289="USA",C1289&gt;=1980,J1289="No"),"Yes","No")</f>
        <v/>
      </c>
      <c r="L1289" s="26">
        <f>IF(J1289="Yes","",H1289-I1289)</f>
        <v/>
      </c>
      <c r="M1289" s="27">
        <f>IF(OR(J1289="Yes",I1289=0),"",H1289/I1289)</f>
        <v/>
      </c>
      <c r="N1289" s="21">
        <f>IF(J1289="Yes","",IF(H1289&gt;=I1289,1,0))</f>
        <v/>
      </c>
      <c r="O1289" s="21">
        <f>IF(I1289&lt;=5000000,"Under $5M",IF(I1289&lt;=20000000,"$5M-20M",IF(I1289&lt;=50000000,"$20M-50M",IF(I1289&lt;=100000000,"$50M-100M","$100M+"))))</f>
        <v/>
      </c>
      <c r="P1289" s="21">
        <f>IF(E1289&lt;=90,"90 or less",IF(E1289&lt;=105,"91-105",IF(E1289&lt;=120,"106-120",IF(E1289&lt;=140,"121-140","Over 140"))))</f>
        <v/>
      </c>
      <c r="Q1289" s="28">
        <f>INT(C1289/10)*10</f>
        <v/>
      </c>
    </row>
    <row r="1290">
      <c r="A1290" s="21" t="n">
        <v>1317</v>
      </c>
      <c r="B1290" s="21" t="inlineStr">
        <is>
          <t>The Sixth Sense</t>
        </is>
      </c>
      <c r="C1290" s="21" t="n">
        <v>1999</v>
      </c>
      <c r="D1290" s="21" t="inlineStr">
        <is>
          <t>USA</t>
        </is>
      </c>
      <c r="E1290" s="21" t="n">
        <v>107</v>
      </c>
      <c r="F1290" s="21" t="inlineStr">
        <is>
          <t>English</t>
        </is>
      </c>
      <c r="G1290" s="21" t="inlineStr">
        <is>
          <t>PG-13</t>
        </is>
      </c>
      <c r="H1290" s="22" t="n">
        <v>293501675</v>
      </c>
      <c r="I1290" s="22" t="n">
        <v>40000000</v>
      </c>
      <c r="J1290" s="21">
        <f>IF(OR(H1290="",H1290=25529689.5),"Yes","No")</f>
        <v/>
      </c>
      <c r="K1290" s="21">
        <f>IF(AND(D1290="USA",C1290&gt;=1980,J1290="No"),"Yes","No")</f>
        <v/>
      </c>
      <c r="L1290" s="26">
        <f>IF(J1290="Yes","",H1290-I1290)</f>
        <v/>
      </c>
      <c r="M1290" s="27">
        <f>IF(OR(J1290="Yes",I1290=0),"",H1290/I1290)</f>
        <v/>
      </c>
      <c r="N1290" s="21">
        <f>IF(J1290="Yes","",IF(H1290&gt;=I1290,1,0))</f>
        <v/>
      </c>
      <c r="O1290" s="21">
        <f>IF(I1290&lt;=5000000,"Under $5M",IF(I1290&lt;=20000000,"$5M-20M",IF(I1290&lt;=50000000,"$20M-50M",IF(I1290&lt;=100000000,"$50M-100M","$100M+"))))</f>
        <v/>
      </c>
      <c r="P1290" s="21">
        <f>IF(E1290&lt;=90,"90 or less",IF(E1290&lt;=105,"91-105",IF(E1290&lt;=120,"106-120",IF(E1290&lt;=140,"121-140","Over 140"))))</f>
        <v/>
      </c>
      <c r="Q1290" s="28">
        <f>INT(C1290/10)*10</f>
        <v/>
      </c>
    </row>
    <row r="1291">
      <c r="A1291" s="21" t="n">
        <v>1318</v>
      </c>
      <c r="B1291" s="21" t="inlineStr">
        <is>
          <t>The Story of Us</t>
        </is>
      </c>
      <c r="C1291" s="21" t="n">
        <v>1999</v>
      </c>
      <c r="D1291" s="21" t="inlineStr">
        <is>
          <t>USA</t>
        </is>
      </c>
      <c r="E1291" s="21" t="n">
        <v>95</v>
      </c>
      <c r="F1291" s="21" t="inlineStr">
        <is>
          <t>English</t>
        </is>
      </c>
      <c r="G1291" s="21" t="inlineStr">
        <is>
          <t>R</t>
        </is>
      </c>
      <c r="H1291" s="22" t="n">
        <v>27067160</v>
      </c>
      <c r="I1291" s="22" t="n">
        <v>50000000</v>
      </c>
      <c r="J1291" s="21">
        <f>IF(OR(H1291="",H1291=25529689.5),"Yes","No")</f>
        <v/>
      </c>
      <c r="K1291" s="21">
        <f>IF(AND(D1291="USA",C1291&gt;=1980,J1291="No"),"Yes","No")</f>
        <v/>
      </c>
      <c r="L1291" s="26">
        <f>IF(J1291="Yes","",H1291-I1291)</f>
        <v/>
      </c>
      <c r="M1291" s="27">
        <f>IF(OR(J1291="Yes",I1291=0),"",H1291/I1291)</f>
        <v/>
      </c>
      <c r="N1291" s="21">
        <f>IF(J1291="Yes","",IF(H1291&gt;=I1291,1,0))</f>
        <v/>
      </c>
      <c r="O1291" s="21">
        <f>IF(I1291&lt;=5000000,"Under $5M",IF(I1291&lt;=20000000,"$5M-20M",IF(I1291&lt;=50000000,"$20M-50M",IF(I1291&lt;=100000000,"$50M-100M","$100M+"))))</f>
        <v/>
      </c>
      <c r="P1291" s="21">
        <f>IF(E1291&lt;=90,"90 or less",IF(E1291&lt;=105,"91-105",IF(E1291&lt;=120,"106-120",IF(E1291&lt;=140,"121-140","Over 140"))))</f>
        <v/>
      </c>
      <c r="Q1291" s="28">
        <f>INT(C1291/10)*10</f>
        <v/>
      </c>
    </row>
    <row r="1292">
      <c r="A1292" s="21" t="n">
        <v>1319</v>
      </c>
      <c r="B1292" s="21" t="inlineStr">
        <is>
          <t>The Straight Story</t>
        </is>
      </c>
      <c r="C1292" s="21" t="n">
        <v>1999</v>
      </c>
      <c r="D1292" s="21" t="inlineStr">
        <is>
          <t>France</t>
        </is>
      </c>
      <c r="E1292" s="21" t="n">
        <v>112</v>
      </c>
      <c r="F1292" s="21" t="inlineStr">
        <is>
          <t>English</t>
        </is>
      </c>
      <c r="G1292" s="21" t="inlineStr">
        <is>
          <t>G</t>
        </is>
      </c>
      <c r="H1292" s="22" t="n">
        <v>6197866</v>
      </c>
      <c r="I1292" s="22" t="n">
        <v>10000000</v>
      </c>
      <c r="J1292" s="21">
        <f>IF(OR(H1292="",H1292=25529689.5),"Yes","No")</f>
        <v/>
      </c>
      <c r="K1292" s="21">
        <f>IF(AND(D1292="USA",C1292&gt;=1980,J1292="No"),"Yes","No")</f>
        <v/>
      </c>
      <c r="L1292" s="26">
        <f>IF(J1292="Yes","",H1292-I1292)</f>
        <v/>
      </c>
      <c r="M1292" s="27">
        <f>IF(OR(J1292="Yes",I1292=0),"",H1292/I1292)</f>
        <v/>
      </c>
      <c r="N1292" s="21">
        <f>IF(J1292="Yes","",IF(H1292&gt;=I1292,1,0))</f>
        <v/>
      </c>
      <c r="O1292" s="21">
        <f>IF(I1292&lt;=5000000,"Under $5M",IF(I1292&lt;=20000000,"$5M-20M",IF(I1292&lt;=50000000,"$20M-50M",IF(I1292&lt;=100000000,"$50M-100M","$100M+"))))</f>
        <v/>
      </c>
      <c r="P1292" s="21">
        <f>IF(E1292&lt;=90,"90 or less",IF(E1292&lt;=105,"91-105",IF(E1292&lt;=120,"106-120",IF(E1292&lt;=140,"121-140","Over 140"))))</f>
        <v/>
      </c>
      <c r="Q1292" s="28">
        <f>INT(C1292/10)*10</f>
        <v/>
      </c>
    </row>
    <row r="1293">
      <c r="A1293" s="21" t="n">
        <v>1320</v>
      </c>
      <c r="B1293" s="21" t="inlineStr">
        <is>
          <t>The Talented Mr. Ripley</t>
        </is>
      </c>
      <c r="C1293" s="21" t="n">
        <v>1999</v>
      </c>
      <c r="D1293" s="21" t="inlineStr">
        <is>
          <t>USA</t>
        </is>
      </c>
      <c r="E1293" s="21" t="n">
        <v>139</v>
      </c>
      <c r="F1293" s="21" t="inlineStr">
        <is>
          <t>English</t>
        </is>
      </c>
      <c r="G1293" s="21" t="inlineStr">
        <is>
          <t>R</t>
        </is>
      </c>
      <c r="H1293" s="22" t="n">
        <v>81292135</v>
      </c>
      <c r="I1293" s="22" t="n">
        <v>40000000</v>
      </c>
      <c r="J1293" s="21">
        <f>IF(OR(H1293="",H1293=25529689.5),"Yes","No")</f>
        <v/>
      </c>
      <c r="K1293" s="21">
        <f>IF(AND(D1293="USA",C1293&gt;=1980,J1293="No"),"Yes","No")</f>
        <v/>
      </c>
      <c r="L1293" s="26">
        <f>IF(J1293="Yes","",H1293-I1293)</f>
        <v/>
      </c>
      <c r="M1293" s="27">
        <f>IF(OR(J1293="Yes",I1293=0),"",H1293/I1293)</f>
        <v/>
      </c>
      <c r="N1293" s="21">
        <f>IF(J1293="Yes","",IF(H1293&gt;=I1293,1,0))</f>
        <v/>
      </c>
      <c r="O1293" s="21">
        <f>IF(I1293&lt;=5000000,"Under $5M",IF(I1293&lt;=20000000,"$5M-20M",IF(I1293&lt;=50000000,"$20M-50M",IF(I1293&lt;=100000000,"$50M-100M","$100M+"))))</f>
        <v/>
      </c>
      <c r="P1293" s="21">
        <f>IF(E1293&lt;=90,"90 or less",IF(E1293&lt;=105,"91-105",IF(E1293&lt;=120,"106-120",IF(E1293&lt;=140,"121-140","Over 140"))))</f>
        <v/>
      </c>
      <c r="Q1293" s="28">
        <f>INT(C1293/10)*10</f>
        <v/>
      </c>
    </row>
    <row r="1294">
      <c r="A1294" s="21" t="n">
        <v>1321</v>
      </c>
      <c r="B1294" s="21" t="inlineStr">
        <is>
          <t>The Thirteenth Floor</t>
        </is>
      </c>
      <c r="C1294" s="21" t="n">
        <v>1999</v>
      </c>
      <c r="D1294" s="21" t="inlineStr">
        <is>
          <t>Germany</t>
        </is>
      </c>
      <c r="E1294" s="21" t="n">
        <v>100</v>
      </c>
      <c r="F1294" s="21" t="inlineStr">
        <is>
          <t>English</t>
        </is>
      </c>
      <c r="G1294" s="21" t="inlineStr">
        <is>
          <t>R</t>
        </is>
      </c>
      <c r="H1294" s="22" t="n">
        <v>15500000</v>
      </c>
      <c r="I1294" s="22" t="n">
        <v>16000000</v>
      </c>
      <c r="J1294" s="21">
        <f>IF(OR(H1294="",H1294=25529689.5),"Yes","No")</f>
        <v/>
      </c>
      <c r="K1294" s="21">
        <f>IF(AND(D1294="USA",C1294&gt;=1980,J1294="No"),"Yes","No")</f>
        <v/>
      </c>
      <c r="L1294" s="26">
        <f>IF(J1294="Yes","",H1294-I1294)</f>
        <v/>
      </c>
      <c r="M1294" s="27">
        <f>IF(OR(J1294="Yes",I1294=0),"",H1294/I1294)</f>
        <v/>
      </c>
      <c r="N1294" s="21">
        <f>IF(J1294="Yes","",IF(H1294&gt;=I1294,1,0))</f>
        <v/>
      </c>
      <c r="O1294" s="21">
        <f>IF(I1294&lt;=5000000,"Under $5M",IF(I1294&lt;=20000000,"$5M-20M",IF(I1294&lt;=50000000,"$20M-50M",IF(I1294&lt;=100000000,"$50M-100M","$100M+"))))</f>
        <v/>
      </c>
      <c r="P1294" s="21">
        <f>IF(E1294&lt;=90,"90 or less",IF(E1294&lt;=105,"91-105",IF(E1294&lt;=120,"106-120",IF(E1294&lt;=140,"121-140","Over 140"))))</f>
        <v/>
      </c>
      <c r="Q1294" s="28">
        <f>INT(C1294/10)*10</f>
        <v/>
      </c>
    </row>
    <row r="1295">
      <c r="A1295" s="21" t="n">
        <v>1322</v>
      </c>
      <c r="B1295" s="21" t="inlineStr">
        <is>
          <t>The Thomas Crown Affair</t>
        </is>
      </c>
      <c r="C1295" s="21" t="n">
        <v>1999</v>
      </c>
      <c r="D1295" s="21" t="inlineStr">
        <is>
          <t>USA</t>
        </is>
      </c>
      <c r="E1295" s="21" t="n">
        <v>113</v>
      </c>
      <c r="F1295" s="21" t="inlineStr">
        <is>
          <t>English</t>
        </is>
      </c>
      <c r="G1295" s="21" t="inlineStr">
        <is>
          <t>R</t>
        </is>
      </c>
      <c r="H1295" s="22" t="n">
        <v>69304264</v>
      </c>
      <c r="I1295" s="22" t="n">
        <v>48000000</v>
      </c>
      <c r="J1295" s="21">
        <f>IF(OR(H1295="",H1295=25529689.5),"Yes","No")</f>
        <v/>
      </c>
      <c r="K1295" s="21">
        <f>IF(AND(D1295="USA",C1295&gt;=1980,J1295="No"),"Yes","No")</f>
        <v/>
      </c>
      <c r="L1295" s="26">
        <f>IF(J1295="Yes","",H1295-I1295)</f>
        <v/>
      </c>
      <c r="M1295" s="27">
        <f>IF(OR(J1295="Yes",I1295=0),"",H1295/I1295)</f>
        <v/>
      </c>
      <c r="N1295" s="21">
        <f>IF(J1295="Yes","",IF(H1295&gt;=I1295,1,0))</f>
        <v/>
      </c>
      <c r="O1295" s="21">
        <f>IF(I1295&lt;=5000000,"Under $5M",IF(I1295&lt;=20000000,"$5M-20M",IF(I1295&lt;=50000000,"$20M-50M",IF(I1295&lt;=100000000,"$50M-100M","$100M+"))))</f>
        <v/>
      </c>
      <c r="P1295" s="21">
        <f>IF(E1295&lt;=90,"90 or less",IF(E1295&lt;=105,"91-105",IF(E1295&lt;=120,"106-120",IF(E1295&lt;=140,"121-140","Over 140"))))</f>
        <v/>
      </c>
      <c r="Q1295" s="28">
        <f>INT(C1295/10)*10</f>
        <v/>
      </c>
    </row>
    <row r="1296">
      <c r="A1296" s="21" t="n">
        <v>1323</v>
      </c>
      <c r="B1296" s="21" t="inlineStr">
        <is>
          <t>The Virgin Suicides</t>
        </is>
      </c>
      <c r="C1296" s="21" t="n">
        <v>1999</v>
      </c>
      <c r="D1296" s="21" t="inlineStr">
        <is>
          <t>USA</t>
        </is>
      </c>
      <c r="E1296" s="21" t="n">
        <v>90</v>
      </c>
      <c r="F1296" s="21" t="inlineStr">
        <is>
          <t>English</t>
        </is>
      </c>
      <c r="G1296" s="21" t="inlineStr">
        <is>
          <t>R</t>
        </is>
      </c>
      <c r="H1296" s="22" t="n">
        <v>4859475</v>
      </c>
      <c r="I1296" s="22" t="n">
        <v>6000000</v>
      </c>
      <c r="J1296" s="21">
        <f>IF(OR(H1296="",H1296=25529689.5),"Yes","No")</f>
        <v/>
      </c>
      <c r="K1296" s="21">
        <f>IF(AND(D1296="USA",C1296&gt;=1980,J1296="No"),"Yes","No")</f>
        <v/>
      </c>
      <c r="L1296" s="26">
        <f>IF(J1296="Yes","",H1296-I1296)</f>
        <v/>
      </c>
      <c r="M1296" s="27">
        <f>IF(OR(J1296="Yes",I1296=0),"",H1296/I1296)</f>
        <v/>
      </c>
      <c r="N1296" s="21">
        <f>IF(J1296="Yes","",IF(H1296&gt;=I1296,1,0))</f>
        <v/>
      </c>
      <c r="O1296" s="21">
        <f>IF(I1296&lt;=5000000,"Under $5M",IF(I1296&lt;=20000000,"$5M-20M",IF(I1296&lt;=50000000,"$20M-50M",IF(I1296&lt;=100000000,"$50M-100M","$100M+"))))</f>
        <v/>
      </c>
      <c r="P1296" s="21">
        <f>IF(E1296&lt;=90,"90 or less",IF(E1296&lt;=105,"91-105",IF(E1296&lt;=120,"106-120",IF(E1296&lt;=140,"121-140","Over 140"))))</f>
        <v/>
      </c>
      <c r="Q1296" s="28">
        <f>INT(C1296/10)*10</f>
        <v/>
      </c>
    </row>
    <row r="1297">
      <c r="A1297" s="21" t="n">
        <v>1324</v>
      </c>
      <c r="B1297" s="21" t="inlineStr">
        <is>
          <t>The Woman Chaser</t>
        </is>
      </c>
      <c r="C1297" s="21" t="n">
        <v>1999</v>
      </c>
      <c r="D1297" s="21" t="inlineStr">
        <is>
          <t>USA</t>
        </is>
      </c>
      <c r="E1297" s="21" t="n">
        <v>88</v>
      </c>
      <c r="F1297" s="21" t="inlineStr">
        <is>
          <t>English</t>
        </is>
      </c>
      <c r="G1297" s="21" t="n"/>
      <c r="H1297" s="22" t="n">
        <v>110720</v>
      </c>
      <c r="I1297" s="22" t="n">
        <v>1200000</v>
      </c>
      <c r="J1297" s="21">
        <f>IF(OR(H1297="",H1297=25529689.5),"Yes","No")</f>
        <v/>
      </c>
      <c r="K1297" s="21">
        <f>IF(AND(D1297="USA",C1297&gt;=1980,J1297="No"),"Yes","No")</f>
        <v/>
      </c>
      <c r="L1297" s="26">
        <f>IF(J1297="Yes","",H1297-I1297)</f>
        <v/>
      </c>
      <c r="M1297" s="27">
        <f>IF(OR(J1297="Yes",I1297=0),"",H1297/I1297)</f>
        <v/>
      </c>
      <c r="N1297" s="21">
        <f>IF(J1297="Yes","",IF(H1297&gt;=I1297,1,0))</f>
        <v/>
      </c>
      <c r="O1297" s="21">
        <f>IF(I1297&lt;=5000000,"Under $5M",IF(I1297&lt;=20000000,"$5M-20M",IF(I1297&lt;=50000000,"$20M-50M",IF(I1297&lt;=100000000,"$50M-100M","$100M+"))))</f>
        <v/>
      </c>
      <c r="P1297" s="21">
        <f>IF(E1297&lt;=90,"90 or less",IF(E1297&lt;=105,"91-105",IF(E1297&lt;=120,"106-120",IF(E1297&lt;=140,"121-140","Over 140"))))</f>
        <v/>
      </c>
      <c r="Q1297" s="28">
        <f>INT(C1297/10)*10</f>
        <v/>
      </c>
    </row>
    <row r="1298">
      <c r="A1298" s="21" t="n">
        <v>1325</v>
      </c>
      <c r="B1298" s="21" t="inlineStr">
        <is>
          <t>The Wood</t>
        </is>
      </c>
      <c r="C1298" s="21" t="n">
        <v>1999</v>
      </c>
      <c r="D1298" s="21" t="inlineStr">
        <is>
          <t>USA</t>
        </is>
      </c>
      <c r="E1298" s="21" t="n">
        <v>106</v>
      </c>
      <c r="F1298" s="21" t="inlineStr">
        <is>
          <t>English</t>
        </is>
      </c>
      <c r="G1298" s="21" t="inlineStr">
        <is>
          <t>R</t>
        </is>
      </c>
      <c r="H1298" s="22" t="n">
        <v>25047631</v>
      </c>
      <c r="I1298" s="22" t="n">
        <v>6000000</v>
      </c>
      <c r="J1298" s="21">
        <f>IF(OR(H1298="",H1298=25529689.5),"Yes","No")</f>
        <v/>
      </c>
      <c r="K1298" s="21">
        <f>IF(AND(D1298="USA",C1298&gt;=1980,J1298="No"),"Yes","No")</f>
        <v/>
      </c>
      <c r="L1298" s="26">
        <f>IF(J1298="Yes","",H1298-I1298)</f>
        <v/>
      </c>
      <c r="M1298" s="27">
        <f>IF(OR(J1298="Yes",I1298=0),"",H1298/I1298)</f>
        <v/>
      </c>
      <c r="N1298" s="21">
        <f>IF(J1298="Yes","",IF(H1298&gt;=I1298,1,0))</f>
        <v/>
      </c>
      <c r="O1298" s="21">
        <f>IF(I1298&lt;=5000000,"Under $5M",IF(I1298&lt;=20000000,"$5M-20M",IF(I1298&lt;=50000000,"$20M-50M",IF(I1298&lt;=100000000,"$50M-100M","$100M+"))))</f>
        <v/>
      </c>
      <c r="P1298" s="21">
        <f>IF(E1298&lt;=90,"90 or less",IF(E1298&lt;=105,"91-105",IF(E1298&lt;=120,"106-120",IF(E1298&lt;=140,"121-140","Over 140"))))</f>
        <v/>
      </c>
      <c r="Q1298" s="28">
        <f>INT(C1298/10)*10</f>
        <v/>
      </c>
    </row>
    <row r="1299">
      <c r="A1299" s="21" t="n">
        <v>1326</v>
      </c>
      <c r="B1299" s="21" t="inlineStr">
        <is>
          <t>The World Is Not Enough</t>
        </is>
      </c>
      <c r="C1299" s="21" t="n">
        <v>1999</v>
      </c>
      <c r="D1299" s="21" t="inlineStr">
        <is>
          <t>UK</t>
        </is>
      </c>
      <c r="E1299" s="21" t="n">
        <v>128</v>
      </c>
      <c r="F1299" s="21" t="inlineStr">
        <is>
          <t>English</t>
        </is>
      </c>
      <c r="G1299" s="21" t="inlineStr">
        <is>
          <t>PG-13</t>
        </is>
      </c>
      <c r="H1299" s="22" t="n">
        <v>126930660</v>
      </c>
      <c r="I1299" s="22" t="n">
        <v>135000000</v>
      </c>
      <c r="J1299" s="21">
        <f>IF(OR(H1299="",H1299=25529689.5),"Yes","No")</f>
        <v/>
      </c>
      <c r="K1299" s="21">
        <f>IF(AND(D1299="USA",C1299&gt;=1980,J1299="No"),"Yes","No")</f>
        <v/>
      </c>
      <c r="L1299" s="26">
        <f>IF(J1299="Yes","",H1299-I1299)</f>
        <v/>
      </c>
      <c r="M1299" s="27">
        <f>IF(OR(J1299="Yes",I1299=0),"",H1299/I1299)</f>
        <v/>
      </c>
      <c r="N1299" s="21">
        <f>IF(J1299="Yes","",IF(H1299&gt;=I1299,1,0))</f>
        <v/>
      </c>
      <c r="O1299" s="21">
        <f>IF(I1299&lt;=5000000,"Under $5M",IF(I1299&lt;=20000000,"$5M-20M",IF(I1299&lt;=50000000,"$20M-50M",IF(I1299&lt;=100000000,"$50M-100M","$100M+"))))</f>
        <v/>
      </c>
      <c r="P1299" s="21">
        <f>IF(E1299&lt;=90,"90 or less",IF(E1299&lt;=105,"91-105",IF(E1299&lt;=120,"106-120",IF(E1299&lt;=140,"121-140","Over 140"))))</f>
        <v/>
      </c>
      <c r="Q1299" s="28">
        <f>INT(C1299/10)*10</f>
        <v/>
      </c>
    </row>
    <row r="1300">
      <c r="A1300" s="21" t="n">
        <v>1327</v>
      </c>
      <c r="B1300" s="21" t="inlineStr">
        <is>
          <t>Three Kings</t>
        </is>
      </c>
      <c r="C1300" s="21" t="n">
        <v>1999</v>
      </c>
      <c r="D1300" s="21" t="inlineStr">
        <is>
          <t>USA</t>
        </is>
      </c>
      <c r="E1300" s="21" t="n">
        <v>114</v>
      </c>
      <c r="F1300" s="21" t="inlineStr">
        <is>
          <t>English</t>
        </is>
      </c>
      <c r="G1300" s="21" t="inlineStr">
        <is>
          <t>R</t>
        </is>
      </c>
      <c r="H1300" s="22" t="n">
        <v>60652036</v>
      </c>
      <c r="I1300" s="22" t="n">
        <v>48000000</v>
      </c>
      <c r="J1300" s="21">
        <f>IF(OR(H1300="",H1300=25529689.5),"Yes","No")</f>
        <v/>
      </c>
      <c r="K1300" s="21">
        <f>IF(AND(D1300="USA",C1300&gt;=1980,J1300="No"),"Yes","No")</f>
        <v/>
      </c>
      <c r="L1300" s="26">
        <f>IF(J1300="Yes","",H1300-I1300)</f>
        <v/>
      </c>
      <c r="M1300" s="27">
        <f>IF(OR(J1300="Yes",I1300=0),"",H1300/I1300)</f>
        <v/>
      </c>
      <c r="N1300" s="21">
        <f>IF(J1300="Yes","",IF(H1300&gt;=I1300,1,0))</f>
        <v/>
      </c>
      <c r="O1300" s="21">
        <f>IF(I1300&lt;=5000000,"Under $5M",IF(I1300&lt;=20000000,"$5M-20M",IF(I1300&lt;=50000000,"$20M-50M",IF(I1300&lt;=100000000,"$50M-100M","$100M+"))))</f>
        <v/>
      </c>
      <c r="P1300" s="21">
        <f>IF(E1300&lt;=90,"90 or less",IF(E1300&lt;=105,"91-105",IF(E1300&lt;=120,"106-120",IF(E1300&lt;=140,"121-140","Over 140"))))</f>
        <v/>
      </c>
      <c r="Q1300" s="28">
        <f>INT(C1300/10)*10</f>
        <v/>
      </c>
    </row>
    <row r="1301">
      <c r="A1301" s="21" t="n">
        <v>1328</v>
      </c>
      <c r="B1301" s="21" t="inlineStr">
        <is>
          <t>Three to Tango</t>
        </is>
      </c>
      <c r="C1301" s="21" t="n">
        <v>1999</v>
      </c>
      <c r="D1301" s="21" t="inlineStr">
        <is>
          <t>Australia</t>
        </is>
      </c>
      <c r="E1301" s="21" t="n">
        <v>98</v>
      </c>
      <c r="F1301" s="21" t="inlineStr">
        <is>
          <t>English</t>
        </is>
      </c>
      <c r="G1301" s="21" t="inlineStr">
        <is>
          <t>PG-13</t>
        </is>
      </c>
      <c r="H1301" s="22" t="n">
        <v>10544143</v>
      </c>
      <c r="I1301" s="22" t="n">
        <v>20000000</v>
      </c>
      <c r="J1301" s="21">
        <f>IF(OR(H1301="",H1301=25529689.5),"Yes","No")</f>
        <v/>
      </c>
      <c r="K1301" s="21">
        <f>IF(AND(D1301="USA",C1301&gt;=1980,J1301="No"),"Yes","No")</f>
        <v/>
      </c>
      <c r="L1301" s="26">
        <f>IF(J1301="Yes","",H1301-I1301)</f>
        <v/>
      </c>
      <c r="M1301" s="27">
        <f>IF(OR(J1301="Yes",I1301=0),"",H1301/I1301)</f>
        <v/>
      </c>
      <c r="N1301" s="21">
        <f>IF(J1301="Yes","",IF(H1301&gt;=I1301,1,0))</f>
        <v/>
      </c>
      <c r="O1301" s="21">
        <f>IF(I1301&lt;=5000000,"Under $5M",IF(I1301&lt;=20000000,"$5M-20M",IF(I1301&lt;=50000000,"$20M-50M",IF(I1301&lt;=100000000,"$50M-100M","$100M+"))))</f>
        <v/>
      </c>
      <c r="P1301" s="21">
        <f>IF(E1301&lt;=90,"90 or less",IF(E1301&lt;=105,"91-105",IF(E1301&lt;=120,"106-120",IF(E1301&lt;=140,"121-140","Over 140"))))</f>
        <v/>
      </c>
      <c r="Q1301" s="28">
        <f>INT(C1301/10)*10</f>
        <v/>
      </c>
    </row>
    <row r="1302">
      <c r="A1302" s="21" t="n">
        <v>1329</v>
      </c>
      <c r="B1302" s="21" t="inlineStr">
        <is>
          <t>Topsy-Turvy</t>
        </is>
      </c>
      <c r="C1302" s="21" t="n">
        <v>1999</v>
      </c>
      <c r="D1302" s="21" t="inlineStr">
        <is>
          <t>UK</t>
        </is>
      </c>
      <c r="E1302" s="21" t="n">
        <v>154</v>
      </c>
      <c r="F1302" s="21" t="inlineStr">
        <is>
          <t>English</t>
        </is>
      </c>
      <c r="G1302" s="21" t="inlineStr">
        <is>
          <t>R</t>
        </is>
      </c>
      <c r="H1302" s="22" t="n">
        <v>6201757</v>
      </c>
      <c r="I1302" s="22" t="n">
        <v>10000000</v>
      </c>
      <c r="J1302" s="21">
        <f>IF(OR(H1302="",H1302=25529689.5),"Yes","No")</f>
        <v/>
      </c>
      <c r="K1302" s="21">
        <f>IF(AND(D1302="USA",C1302&gt;=1980,J1302="No"),"Yes","No")</f>
        <v/>
      </c>
      <c r="L1302" s="26">
        <f>IF(J1302="Yes","",H1302-I1302)</f>
        <v/>
      </c>
      <c r="M1302" s="27">
        <f>IF(OR(J1302="Yes",I1302=0),"",H1302/I1302)</f>
        <v/>
      </c>
      <c r="N1302" s="21">
        <f>IF(J1302="Yes","",IF(H1302&gt;=I1302,1,0))</f>
        <v/>
      </c>
      <c r="O1302" s="21">
        <f>IF(I1302&lt;=5000000,"Under $5M",IF(I1302&lt;=20000000,"$5M-20M",IF(I1302&lt;=50000000,"$20M-50M",IF(I1302&lt;=100000000,"$50M-100M","$100M+"))))</f>
        <v/>
      </c>
      <c r="P1302" s="21">
        <f>IF(E1302&lt;=90,"90 or less",IF(E1302&lt;=105,"91-105",IF(E1302&lt;=120,"106-120",IF(E1302&lt;=140,"121-140","Over 140"))))</f>
        <v/>
      </c>
      <c r="Q1302" s="28">
        <f>INT(C1302/10)*10</f>
        <v/>
      </c>
    </row>
    <row r="1303">
      <c r="A1303" s="21" t="n">
        <v>1330</v>
      </c>
      <c r="B1303" s="21" t="inlineStr">
        <is>
          <t>Toy Story 2</t>
        </is>
      </c>
      <c r="C1303" s="21" t="n">
        <v>1999</v>
      </c>
      <c r="D1303" s="21" t="inlineStr">
        <is>
          <t>USA</t>
        </is>
      </c>
      <c r="E1303" s="21" t="n">
        <v>82</v>
      </c>
      <c r="F1303" s="21" t="inlineStr">
        <is>
          <t>English</t>
        </is>
      </c>
      <c r="G1303" s="21" t="inlineStr">
        <is>
          <t>G</t>
        </is>
      </c>
      <c r="H1303" s="22" t="n">
        <v>245823397</v>
      </c>
      <c r="I1303" s="22" t="n">
        <v>90000000</v>
      </c>
      <c r="J1303" s="21">
        <f>IF(OR(H1303="",H1303=25529689.5),"Yes","No")</f>
        <v/>
      </c>
      <c r="K1303" s="21">
        <f>IF(AND(D1303="USA",C1303&gt;=1980,J1303="No"),"Yes","No")</f>
        <v/>
      </c>
      <c r="L1303" s="26">
        <f>IF(J1303="Yes","",H1303-I1303)</f>
        <v/>
      </c>
      <c r="M1303" s="27">
        <f>IF(OR(J1303="Yes",I1303=0),"",H1303/I1303)</f>
        <v/>
      </c>
      <c r="N1303" s="21">
        <f>IF(J1303="Yes","",IF(H1303&gt;=I1303,1,0))</f>
        <v/>
      </c>
      <c r="O1303" s="21">
        <f>IF(I1303&lt;=5000000,"Under $5M",IF(I1303&lt;=20000000,"$5M-20M",IF(I1303&lt;=50000000,"$20M-50M",IF(I1303&lt;=100000000,"$50M-100M","$100M+"))))</f>
        <v/>
      </c>
      <c r="P1303" s="21">
        <f>IF(E1303&lt;=90,"90 or less",IF(E1303&lt;=105,"91-105",IF(E1303&lt;=120,"106-120",IF(E1303&lt;=140,"121-140","Over 140"))))</f>
        <v/>
      </c>
      <c r="Q1303" s="28">
        <f>INT(C1303/10)*10</f>
        <v/>
      </c>
    </row>
    <row r="1304">
      <c r="A1304" s="21" t="n">
        <v>1331</v>
      </c>
      <c r="B1304" s="21" t="inlineStr">
        <is>
          <t>Trippin'</t>
        </is>
      </c>
      <c r="C1304" s="21" t="n">
        <v>1999</v>
      </c>
      <c r="D1304" s="21" t="inlineStr">
        <is>
          <t>USA</t>
        </is>
      </c>
      <c r="E1304" s="21" t="n">
        <v>94</v>
      </c>
      <c r="F1304" s="21" t="inlineStr">
        <is>
          <t>English</t>
        </is>
      </c>
      <c r="G1304" s="21" t="inlineStr">
        <is>
          <t>R</t>
        </is>
      </c>
      <c r="H1304" s="22" t="n">
        <v>9016377</v>
      </c>
      <c r="I1304" s="22" t="n">
        <v>20000000</v>
      </c>
      <c r="J1304" s="21">
        <f>IF(OR(H1304="",H1304=25529689.5),"Yes","No")</f>
        <v/>
      </c>
      <c r="K1304" s="21">
        <f>IF(AND(D1304="USA",C1304&gt;=1980,J1304="No"),"Yes","No")</f>
        <v/>
      </c>
      <c r="L1304" s="26">
        <f>IF(J1304="Yes","",H1304-I1304)</f>
        <v/>
      </c>
      <c r="M1304" s="27">
        <f>IF(OR(J1304="Yes",I1304=0),"",H1304/I1304)</f>
        <v/>
      </c>
      <c r="N1304" s="21">
        <f>IF(J1304="Yes","",IF(H1304&gt;=I1304,1,0))</f>
        <v/>
      </c>
      <c r="O1304" s="21">
        <f>IF(I1304&lt;=5000000,"Under $5M",IF(I1304&lt;=20000000,"$5M-20M",IF(I1304&lt;=50000000,"$20M-50M",IF(I1304&lt;=100000000,"$50M-100M","$100M+"))))</f>
        <v/>
      </c>
      <c r="P1304" s="21">
        <f>IF(E1304&lt;=90,"90 or less",IF(E1304&lt;=105,"91-105",IF(E1304&lt;=120,"106-120",IF(E1304&lt;=140,"121-140","Over 140"))))</f>
        <v/>
      </c>
      <c r="Q1304" s="28">
        <f>INT(C1304/10)*10</f>
        <v/>
      </c>
    </row>
    <row r="1305">
      <c r="A1305" s="21" t="n">
        <v>1332</v>
      </c>
      <c r="B1305" s="21" t="inlineStr">
        <is>
          <t>Tumbleweeds</t>
        </is>
      </c>
      <c r="C1305" s="21" t="n">
        <v>1999</v>
      </c>
      <c r="D1305" s="21" t="inlineStr">
        <is>
          <t>USA</t>
        </is>
      </c>
      <c r="E1305" s="21" t="n">
        <v>102</v>
      </c>
      <c r="F1305" s="21" t="inlineStr">
        <is>
          <t>English</t>
        </is>
      </c>
      <c r="G1305" s="21" t="inlineStr">
        <is>
          <t>PG-13</t>
        </is>
      </c>
      <c r="H1305" s="22" t="n">
        <v>1281176</v>
      </c>
      <c r="I1305" s="22" t="n">
        <v>312000</v>
      </c>
      <c r="J1305" s="21">
        <f>IF(OR(H1305="",H1305=25529689.5),"Yes","No")</f>
        <v/>
      </c>
      <c r="K1305" s="21">
        <f>IF(AND(D1305="USA",C1305&gt;=1980,J1305="No"),"Yes","No")</f>
        <v/>
      </c>
      <c r="L1305" s="26">
        <f>IF(J1305="Yes","",H1305-I1305)</f>
        <v/>
      </c>
      <c r="M1305" s="27">
        <f>IF(OR(J1305="Yes",I1305=0),"",H1305/I1305)</f>
        <v/>
      </c>
      <c r="N1305" s="21">
        <f>IF(J1305="Yes","",IF(H1305&gt;=I1305,1,0))</f>
        <v/>
      </c>
      <c r="O1305" s="21">
        <f>IF(I1305&lt;=5000000,"Under $5M",IF(I1305&lt;=20000000,"$5M-20M",IF(I1305&lt;=50000000,"$20M-50M",IF(I1305&lt;=100000000,"$50M-100M","$100M+"))))</f>
        <v/>
      </c>
      <c r="P1305" s="21">
        <f>IF(E1305&lt;=90,"90 or less",IF(E1305&lt;=105,"91-105",IF(E1305&lt;=120,"106-120",IF(E1305&lt;=140,"121-140","Over 140"))))</f>
        <v/>
      </c>
      <c r="Q1305" s="28">
        <f>INT(C1305/10)*10</f>
        <v/>
      </c>
    </row>
    <row r="1306">
      <c r="A1306" s="21" t="n">
        <v>1333</v>
      </c>
      <c r="B1306" s="21" t="inlineStr">
        <is>
          <t>Twin Falls Idaho</t>
        </is>
      </c>
      <c r="C1306" s="21" t="n">
        <v>1999</v>
      </c>
      <c r="D1306" s="21" t="inlineStr">
        <is>
          <t>USA</t>
        </is>
      </c>
      <c r="E1306" s="21" t="n">
        <v>111</v>
      </c>
      <c r="F1306" s="21" t="inlineStr">
        <is>
          <t>English</t>
        </is>
      </c>
      <c r="G1306" s="21" t="inlineStr">
        <is>
          <t>R</t>
        </is>
      </c>
      <c r="H1306" s="22" t="n">
        <v>985341</v>
      </c>
      <c r="I1306" s="22" t="n">
        <v>500000</v>
      </c>
      <c r="J1306" s="21">
        <f>IF(OR(H1306="",H1306=25529689.5),"Yes","No")</f>
        <v/>
      </c>
      <c r="K1306" s="21">
        <f>IF(AND(D1306="USA",C1306&gt;=1980,J1306="No"),"Yes","No")</f>
        <v/>
      </c>
      <c r="L1306" s="26">
        <f>IF(J1306="Yes","",H1306-I1306)</f>
        <v/>
      </c>
      <c r="M1306" s="27">
        <f>IF(OR(J1306="Yes",I1306=0),"",H1306/I1306)</f>
        <v/>
      </c>
      <c r="N1306" s="21">
        <f>IF(J1306="Yes","",IF(H1306&gt;=I1306,1,0))</f>
        <v/>
      </c>
      <c r="O1306" s="21">
        <f>IF(I1306&lt;=5000000,"Under $5M",IF(I1306&lt;=20000000,"$5M-20M",IF(I1306&lt;=50000000,"$20M-50M",IF(I1306&lt;=100000000,"$50M-100M","$100M+"))))</f>
        <v/>
      </c>
      <c r="P1306" s="21">
        <f>IF(E1306&lt;=90,"90 or less",IF(E1306&lt;=105,"91-105",IF(E1306&lt;=120,"106-120",IF(E1306&lt;=140,"121-140","Over 140"))))</f>
        <v/>
      </c>
      <c r="Q1306" s="28">
        <f>INT(C1306/10)*10</f>
        <v/>
      </c>
    </row>
    <row r="1307">
      <c r="A1307" s="21" t="n">
        <v>1334</v>
      </c>
      <c r="B1307" s="21" t="inlineStr">
        <is>
          <t>Universal Soldier: The Return</t>
        </is>
      </c>
      <c r="C1307" s="21" t="n">
        <v>1999</v>
      </c>
      <c r="D1307" s="21" t="inlineStr">
        <is>
          <t>USA</t>
        </is>
      </c>
      <c r="E1307" s="21" t="n">
        <v>83</v>
      </c>
      <c r="F1307" s="21" t="inlineStr">
        <is>
          <t>English</t>
        </is>
      </c>
      <c r="G1307" s="21" t="inlineStr">
        <is>
          <t>R</t>
        </is>
      </c>
      <c r="H1307" s="22" t="n">
        <v>10431220</v>
      </c>
      <c r="I1307" s="22" t="n">
        <v>24000000</v>
      </c>
      <c r="J1307" s="21">
        <f>IF(OR(H1307="",H1307=25529689.5),"Yes","No")</f>
        <v/>
      </c>
      <c r="K1307" s="21">
        <f>IF(AND(D1307="USA",C1307&gt;=1980,J1307="No"),"Yes","No")</f>
        <v/>
      </c>
      <c r="L1307" s="26">
        <f>IF(J1307="Yes","",H1307-I1307)</f>
        <v/>
      </c>
      <c r="M1307" s="27">
        <f>IF(OR(J1307="Yes",I1307=0),"",H1307/I1307)</f>
        <v/>
      </c>
      <c r="N1307" s="21">
        <f>IF(J1307="Yes","",IF(H1307&gt;=I1307,1,0))</f>
        <v/>
      </c>
      <c r="O1307" s="21">
        <f>IF(I1307&lt;=5000000,"Under $5M",IF(I1307&lt;=20000000,"$5M-20M",IF(I1307&lt;=50000000,"$20M-50M",IF(I1307&lt;=100000000,"$50M-100M","$100M+"))))</f>
        <v/>
      </c>
      <c r="P1307" s="21">
        <f>IF(E1307&lt;=90,"90 or less",IF(E1307&lt;=105,"91-105",IF(E1307&lt;=120,"106-120",IF(E1307&lt;=140,"121-140","Over 140"))))</f>
        <v/>
      </c>
      <c r="Q1307" s="28">
        <f>INT(C1307/10)*10</f>
        <v/>
      </c>
    </row>
    <row r="1308">
      <c r="A1308" s="21" t="n">
        <v>1335</v>
      </c>
      <c r="B1308" s="21" t="inlineStr">
        <is>
          <t>Varsity Blues</t>
        </is>
      </c>
      <c r="C1308" s="21" t="n">
        <v>1999</v>
      </c>
      <c r="D1308" s="21" t="inlineStr">
        <is>
          <t>USA</t>
        </is>
      </c>
      <c r="E1308" s="21" t="n">
        <v>106</v>
      </c>
      <c r="F1308" s="21" t="inlineStr">
        <is>
          <t>English</t>
        </is>
      </c>
      <c r="G1308" s="21" t="inlineStr">
        <is>
          <t>R</t>
        </is>
      </c>
      <c r="H1308" s="22" t="n">
        <v>52885587</v>
      </c>
      <c r="I1308" s="22" t="n">
        <v>16000000</v>
      </c>
      <c r="J1308" s="21">
        <f>IF(OR(H1308="",H1308=25529689.5),"Yes","No")</f>
        <v/>
      </c>
      <c r="K1308" s="21">
        <f>IF(AND(D1308="USA",C1308&gt;=1980,J1308="No"),"Yes","No")</f>
        <v/>
      </c>
      <c r="L1308" s="26">
        <f>IF(J1308="Yes","",H1308-I1308)</f>
        <v/>
      </c>
      <c r="M1308" s="27">
        <f>IF(OR(J1308="Yes",I1308=0),"",H1308/I1308)</f>
        <v/>
      </c>
      <c r="N1308" s="21">
        <f>IF(J1308="Yes","",IF(H1308&gt;=I1308,1,0))</f>
        <v/>
      </c>
      <c r="O1308" s="21">
        <f>IF(I1308&lt;=5000000,"Under $5M",IF(I1308&lt;=20000000,"$5M-20M",IF(I1308&lt;=50000000,"$20M-50M",IF(I1308&lt;=100000000,"$50M-100M","$100M+"))))</f>
        <v/>
      </c>
      <c r="P1308" s="21">
        <f>IF(E1308&lt;=90,"90 or less",IF(E1308&lt;=105,"91-105",IF(E1308&lt;=120,"106-120",IF(E1308&lt;=140,"121-140","Over 140"))))</f>
        <v/>
      </c>
      <c r="Q1308" s="28">
        <f>INT(C1308/10)*10</f>
        <v/>
      </c>
    </row>
    <row r="1309">
      <c r="A1309" s="21" t="n">
        <v>1336</v>
      </c>
      <c r="B1309" s="21" t="inlineStr">
        <is>
          <t>Wild Wild West</t>
        </is>
      </c>
      <c r="C1309" s="21" t="n">
        <v>1999</v>
      </c>
      <c r="D1309" s="21" t="inlineStr">
        <is>
          <t>USA</t>
        </is>
      </c>
      <c r="E1309" s="21" t="n">
        <v>106</v>
      </c>
      <c r="F1309" s="21" t="inlineStr">
        <is>
          <t>English</t>
        </is>
      </c>
      <c r="G1309" s="21" t="inlineStr">
        <is>
          <t>PG-13</t>
        </is>
      </c>
      <c r="H1309" s="22" t="n">
        <v>113745408</v>
      </c>
      <c r="I1309" s="22" t="n">
        <v>170000000</v>
      </c>
      <c r="J1309" s="21">
        <f>IF(OR(H1309="",H1309=25529689.5),"Yes","No")</f>
        <v/>
      </c>
      <c r="K1309" s="21">
        <f>IF(AND(D1309="USA",C1309&gt;=1980,J1309="No"),"Yes","No")</f>
        <v/>
      </c>
      <c r="L1309" s="26">
        <f>IF(J1309="Yes","",H1309-I1309)</f>
        <v/>
      </c>
      <c r="M1309" s="27">
        <f>IF(OR(J1309="Yes",I1309=0),"",H1309/I1309)</f>
        <v/>
      </c>
      <c r="N1309" s="21">
        <f>IF(J1309="Yes","",IF(H1309&gt;=I1309,1,0))</f>
        <v/>
      </c>
      <c r="O1309" s="21">
        <f>IF(I1309&lt;=5000000,"Under $5M",IF(I1309&lt;=20000000,"$5M-20M",IF(I1309&lt;=50000000,"$20M-50M",IF(I1309&lt;=100000000,"$50M-100M","$100M+"))))</f>
        <v/>
      </c>
      <c r="P1309" s="21">
        <f>IF(E1309&lt;=90,"90 or less",IF(E1309&lt;=105,"91-105",IF(E1309&lt;=120,"106-120",IF(E1309&lt;=140,"121-140","Over 140"))))</f>
        <v/>
      </c>
      <c r="Q1309" s="28">
        <f>INT(C1309/10)*10</f>
        <v/>
      </c>
    </row>
    <row r="1310">
      <c r="A1310" s="21" t="n">
        <v>1337</v>
      </c>
      <c r="B1310" s="21" t="inlineStr">
        <is>
          <t>Wing Commander</t>
        </is>
      </c>
      <c r="C1310" s="21" t="n">
        <v>1999</v>
      </c>
      <c r="D1310" s="21" t="inlineStr">
        <is>
          <t>USA</t>
        </is>
      </c>
      <c r="E1310" s="21" t="n">
        <v>100</v>
      </c>
      <c r="F1310" s="21" t="inlineStr">
        <is>
          <t>English</t>
        </is>
      </c>
      <c r="G1310" s="21" t="inlineStr">
        <is>
          <t>PG-13</t>
        </is>
      </c>
      <c r="H1310" s="22" t="n">
        <v>11576087</v>
      </c>
      <c r="I1310" s="22" t="n">
        <v>30000000</v>
      </c>
      <c r="J1310" s="21">
        <f>IF(OR(H1310="",H1310=25529689.5),"Yes","No")</f>
        <v/>
      </c>
      <c r="K1310" s="21">
        <f>IF(AND(D1310="USA",C1310&gt;=1980,J1310="No"),"Yes","No")</f>
        <v/>
      </c>
      <c r="L1310" s="26">
        <f>IF(J1310="Yes","",H1310-I1310)</f>
        <v/>
      </c>
      <c r="M1310" s="27">
        <f>IF(OR(J1310="Yes",I1310=0),"",H1310/I1310)</f>
        <v/>
      </c>
      <c r="N1310" s="21">
        <f>IF(J1310="Yes","",IF(H1310&gt;=I1310,1,0))</f>
        <v/>
      </c>
      <c r="O1310" s="21">
        <f>IF(I1310&lt;=5000000,"Under $5M",IF(I1310&lt;=20000000,"$5M-20M",IF(I1310&lt;=50000000,"$20M-50M",IF(I1310&lt;=100000000,"$50M-100M","$100M+"))))</f>
        <v/>
      </c>
      <c r="P1310" s="21">
        <f>IF(E1310&lt;=90,"90 or less",IF(E1310&lt;=105,"91-105",IF(E1310&lt;=120,"106-120",IF(E1310&lt;=140,"121-140","Over 140"))))</f>
        <v/>
      </c>
      <c r="Q1310" s="28">
        <f>INT(C1310/10)*10</f>
        <v/>
      </c>
    </row>
    <row r="1311">
      <c r="A1311" s="21" t="n">
        <v>1338</v>
      </c>
      <c r="B1311" s="21" t="inlineStr">
        <is>
          <t>102 Dalmatians</t>
        </is>
      </c>
      <c r="C1311" s="21" t="n">
        <v>2000</v>
      </c>
      <c r="D1311" s="21" t="inlineStr">
        <is>
          <t>USA</t>
        </is>
      </c>
      <c r="E1311" s="21" t="n">
        <v>100</v>
      </c>
      <c r="F1311" s="21" t="inlineStr">
        <is>
          <t>English</t>
        </is>
      </c>
      <c r="G1311" s="21" t="inlineStr">
        <is>
          <t>G</t>
        </is>
      </c>
      <c r="H1311" s="22" t="n">
        <v>66941559</v>
      </c>
      <c r="I1311" s="22" t="n">
        <v>85000000</v>
      </c>
      <c r="J1311" s="21">
        <f>IF(OR(H1311="",H1311=25529689.5),"Yes","No")</f>
        <v/>
      </c>
      <c r="K1311" s="21">
        <f>IF(AND(D1311="USA",C1311&gt;=1980,J1311="No"),"Yes","No")</f>
        <v/>
      </c>
      <c r="L1311" s="26">
        <f>IF(J1311="Yes","",H1311-I1311)</f>
        <v/>
      </c>
      <c r="M1311" s="27">
        <f>IF(OR(J1311="Yes",I1311=0),"",H1311/I1311)</f>
        <v/>
      </c>
      <c r="N1311" s="21">
        <f>IF(J1311="Yes","",IF(H1311&gt;=I1311,1,0))</f>
        <v/>
      </c>
      <c r="O1311" s="21">
        <f>IF(I1311&lt;=5000000,"Under $5M",IF(I1311&lt;=20000000,"$5M-20M",IF(I1311&lt;=50000000,"$20M-50M",IF(I1311&lt;=100000000,"$50M-100M","$100M+"))))</f>
        <v/>
      </c>
      <c r="P1311" s="21">
        <f>IF(E1311&lt;=90,"90 or less",IF(E1311&lt;=105,"91-105",IF(E1311&lt;=120,"106-120",IF(E1311&lt;=140,"121-140","Over 140"))))</f>
        <v/>
      </c>
      <c r="Q1311" s="28">
        <f>INT(C1311/10)*10</f>
        <v/>
      </c>
    </row>
    <row r="1312">
      <c r="A1312" s="21" t="n">
        <v>1339</v>
      </c>
      <c r="B1312" s="21" t="inlineStr">
        <is>
          <t>28 Days</t>
        </is>
      </c>
      <c r="C1312" s="21" t="n">
        <v>2000</v>
      </c>
      <c r="D1312" s="21" t="inlineStr">
        <is>
          <t>USA</t>
        </is>
      </c>
      <c r="E1312" s="21" t="n">
        <v>103</v>
      </c>
      <c r="F1312" s="21" t="inlineStr">
        <is>
          <t>English</t>
        </is>
      </c>
      <c r="G1312" s="21" t="inlineStr">
        <is>
          <t>PG-13</t>
        </is>
      </c>
      <c r="H1312" s="22" t="n">
        <v>37035515</v>
      </c>
      <c r="I1312" s="22" t="n">
        <v>43000000</v>
      </c>
      <c r="J1312" s="21">
        <f>IF(OR(H1312="",H1312=25529689.5),"Yes","No")</f>
        <v/>
      </c>
      <c r="K1312" s="21">
        <f>IF(AND(D1312="USA",C1312&gt;=1980,J1312="No"),"Yes","No")</f>
        <v/>
      </c>
      <c r="L1312" s="26">
        <f>IF(J1312="Yes","",H1312-I1312)</f>
        <v/>
      </c>
      <c r="M1312" s="27">
        <f>IF(OR(J1312="Yes",I1312=0),"",H1312/I1312)</f>
        <v/>
      </c>
      <c r="N1312" s="21">
        <f>IF(J1312="Yes","",IF(H1312&gt;=I1312,1,0))</f>
        <v/>
      </c>
      <c r="O1312" s="21">
        <f>IF(I1312&lt;=5000000,"Under $5M",IF(I1312&lt;=20000000,"$5M-20M",IF(I1312&lt;=50000000,"$20M-50M",IF(I1312&lt;=100000000,"$50M-100M","$100M+"))))</f>
        <v/>
      </c>
      <c r="P1312" s="21">
        <f>IF(E1312&lt;=90,"90 or less",IF(E1312&lt;=105,"91-105",IF(E1312&lt;=120,"106-120",IF(E1312&lt;=140,"121-140","Over 140"))))</f>
        <v/>
      </c>
      <c r="Q1312" s="28">
        <f>INT(C1312/10)*10</f>
        <v/>
      </c>
    </row>
    <row r="1313">
      <c r="A1313" s="21" t="n">
        <v>1340</v>
      </c>
      <c r="B1313" s="21" t="inlineStr">
        <is>
          <t>3 Strikes</t>
        </is>
      </c>
      <c r="C1313" s="21" t="n">
        <v>2000</v>
      </c>
      <c r="D1313" s="21" t="inlineStr">
        <is>
          <t>USA</t>
        </is>
      </c>
      <c r="E1313" s="21" t="n">
        <v>82</v>
      </c>
      <c r="F1313" s="21" t="inlineStr">
        <is>
          <t>English</t>
        </is>
      </c>
      <c r="G1313" s="21" t="inlineStr">
        <is>
          <t>R</t>
        </is>
      </c>
      <c r="H1313" s="22" t="n">
        <v>9821335</v>
      </c>
      <c r="I1313" s="22" t="n">
        <v>6000000</v>
      </c>
      <c r="J1313" s="21">
        <f>IF(OR(H1313="",H1313=25529689.5),"Yes","No")</f>
        <v/>
      </c>
      <c r="K1313" s="21">
        <f>IF(AND(D1313="USA",C1313&gt;=1980,J1313="No"),"Yes","No")</f>
        <v/>
      </c>
      <c r="L1313" s="26">
        <f>IF(J1313="Yes","",H1313-I1313)</f>
        <v/>
      </c>
      <c r="M1313" s="27">
        <f>IF(OR(J1313="Yes",I1313=0),"",H1313/I1313)</f>
        <v/>
      </c>
      <c r="N1313" s="21">
        <f>IF(J1313="Yes","",IF(H1313&gt;=I1313,1,0))</f>
        <v/>
      </c>
      <c r="O1313" s="21">
        <f>IF(I1313&lt;=5000000,"Under $5M",IF(I1313&lt;=20000000,"$5M-20M",IF(I1313&lt;=50000000,"$20M-50M",IF(I1313&lt;=100000000,"$50M-100M","$100M+"))))</f>
        <v/>
      </c>
      <c r="P1313" s="21">
        <f>IF(E1313&lt;=90,"90 or less",IF(E1313&lt;=105,"91-105",IF(E1313&lt;=120,"106-120",IF(E1313&lt;=140,"121-140","Over 140"))))</f>
        <v/>
      </c>
      <c r="Q1313" s="28">
        <f>INT(C1313/10)*10</f>
        <v/>
      </c>
    </row>
    <row r="1314">
      <c r="A1314" s="21" t="n">
        <v>1341</v>
      </c>
      <c r="B1314" s="21" t="inlineStr">
        <is>
          <t>Aberdeen</t>
        </is>
      </c>
      <c r="C1314" s="21" t="n">
        <v>2000</v>
      </c>
      <c r="D1314" s="21" t="inlineStr">
        <is>
          <t>UK</t>
        </is>
      </c>
      <c r="E1314" s="21" t="n">
        <v>106</v>
      </c>
      <c r="F1314" s="21" t="inlineStr">
        <is>
          <t>English</t>
        </is>
      </c>
      <c r="G1314" s="21" t="n"/>
      <c r="H1314" s="22" t="n">
        <v>64148</v>
      </c>
      <c r="I1314" s="22" t="n">
        <v>6500000</v>
      </c>
      <c r="J1314" s="21">
        <f>IF(OR(H1314="",H1314=25529689.5),"Yes","No")</f>
        <v/>
      </c>
      <c r="K1314" s="21">
        <f>IF(AND(D1314="USA",C1314&gt;=1980,J1314="No"),"Yes","No")</f>
        <v/>
      </c>
      <c r="L1314" s="26">
        <f>IF(J1314="Yes","",H1314-I1314)</f>
        <v/>
      </c>
      <c r="M1314" s="27">
        <f>IF(OR(J1314="Yes",I1314=0),"",H1314/I1314)</f>
        <v/>
      </c>
      <c r="N1314" s="21">
        <f>IF(J1314="Yes","",IF(H1314&gt;=I1314,1,0))</f>
        <v/>
      </c>
      <c r="O1314" s="21">
        <f>IF(I1314&lt;=5000000,"Under $5M",IF(I1314&lt;=20000000,"$5M-20M",IF(I1314&lt;=50000000,"$20M-50M",IF(I1314&lt;=100000000,"$50M-100M","$100M+"))))</f>
        <v/>
      </c>
      <c r="P1314" s="21">
        <f>IF(E1314&lt;=90,"90 or less",IF(E1314&lt;=105,"91-105",IF(E1314&lt;=120,"106-120",IF(E1314&lt;=140,"121-140","Over 140"))))</f>
        <v/>
      </c>
      <c r="Q1314" s="28">
        <f>INT(C1314/10)*10</f>
        <v/>
      </c>
    </row>
    <row r="1315">
      <c r="A1315" s="21" t="n">
        <v>1342</v>
      </c>
      <c r="B1315" s="21" t="inlineStr">
        <is>
          <t>All the Pretty Horses</t>
        </is>
      </c>
      <c r="C1315" s="21" t="n">
        <v>2000</v>
      </c>
      <c r="D1315" s="21" t="inlineStr">
        <is>
          <t>USA</t>
        </is>
      </c>
      <c r="E1315" s="21" t="n">
        <v>220</v>
      </c>
      <c r="F1315" s="21" t="inlineStr">
        <is>
          <t>English</t>
        </is>
      </c>
      <c r="G1315" s="21" t="inlineStr">
        <is>
          <t>PG-13</t>
        </is>
      </c>
      <c r="H1315" s="22" t="n">
        <v>15527125</v>
      </c>
      <c r="I1315" s="22" t="n">
        <v>57000000</v>
      </c>
      <c r="J1315" s="21">
        <f>IF(OR(H1315="",H1315=25529689.5),"Yes","No")</f>
        <v/>
      </c>
      <c r="K1315" s="21">
        <f>IF(AND(D1315="USA",C1315&gt;=1980,J1315="No"),"Yes","No")</f>
        <v/>
      </c>
      <c r="L1315" s="26">
        <f>IF(J1315="Yes","",H1315-I1315)</f>
        <v/>
      </c>
      <c r="M1315" s="27">
        <f>IF(OR(J1315="Yes",I1315=0),"",H1315/I1315)</f>
        <v/>
      </c>
      <c r="N1315" s="21">
        <f>IF(J1315="Yes","",IF(H1315&gt;=I1315,1,0))</f>
        <v/>
      </c>
      <c r="O1315" s="21">
        <f>IF(I1315&lt;=5000000,"Under $5M",IF(I1315&lt;=20000000,"$5M-20M",IF(I1315&lt;=50000000,"$20M-50M",IF(I1315&lt;=100000000,"$50M-100M","$100M+"))))</f>
        <v/>
      </c>
      <c r="P1315" s="21">
        <f>IF(E1315&lt;=90,"90 or less",IF(E1315&lt;=105,"91-105",IF(E1315&lt;=120,"106-120",IF(E1315&lt;=140,"121-140","Over 140"))))</f>
        <v/>
      </c>
      <c r="Q1315" s="28">
        <f>INT(C1315/10)*10</f>
        <v/>
      </c>
    </row>
    <row r="1316">
      <c r="A1316" s="21" t="n">
        <v>1343</v>
      </c>
      <c r="B1316" s="21" t="inlineStr">
        <is>
          <t>Almost Famous</t>
        </is>
      </c>
      <c r="C1316" s="21" t="n">
        <v>2000</v>
      </c>
      <c r="D1316" s="21" t="inlineStr">
        <is>
          <t>USA</t>
        </is>
      </c>
      <c r="E1316" s="21" t="n">
        <v>152</v>
      </c>
      <c r="F1316" s="21" t="inlineStr">
        <is>
          <t>English</t>
        </is>
      </c>
      <c r="G1316" s="21" t="inlineStr">
        <is>
          <t>R</t>
        </is>
      </c>
      <c r="H1316" s="22" t="n">
        <v>32522352</v>
      </c>
      <c r="I1316" s="22" t="n">
        <v>60000000</v>
      </c>
      <c r="J1316" s="21">
        <f>IF(OR(H1316="",H1316=25529689.5),"Yes","No")</f>
        <v/>
      </c>
      <c r="K1316" s="21">
        <f>IF(AND(D1316="USA",C1316&gt;=1980,J1316="No"),"Yes","No")</f>
        <v/>
      </c>
      <c r="L1316" s="26">
        <f>IF(J1316="Yes","",H1316-I1316)</f>
        <v/>
      </c>
      <c r="M1316" s="27">
        <f>IF(OR(J1316="Yes",I1316=0),"",H1316/I1316)</f>
        <v/>
      </c>
      <c r="N1316" s="21">
        <f>IF(J1316="Yes","",IF(H1316&gt;=I1316,1,0))</f>
        <v/>
      </c>
      <c r="O1316" s="21">
        <f>IF(I1316&lt;=5000000,"Under $5M",IF(I1316&lt;=20000000,"$5M-20M",IF(I1316&lt;=50000000,"$20M-50M",IF(I1316&lt;=100000000,"$50M-100M","$100M+"))))</f>
        <v/>
      </c>
      <c r="P1316" s="21">
        <f>IF(E1316&lt;=90,"90 or less",IF(E1316&lt;=105,"91-105",IF(E1316&lt;=120,"106-120",IF(E1316&lt;=140,"121-140","Over 140"))))</f>
        <v/>
      </c>
      <c r="Q1316" s="28">
        <f>INT(C1316/10)*10</f>
        <v/>
      </c>
    </row>
    <row r="1317">
      <c r="A1317" s="21" t="n">
        <v>1344</v>
      </c>
      <c r="B1317" s="21" t="inlineStr">
        <is>
          <t>American Psycho</t>
        </is>
      </c>
      <c r="C1317" s="21" t="n">
        <v>2000</v>
      </c>
      <c r="D1317" s="21" t="inlineStr">
        <is>
          <t>USA</t>
        </is>
      </c>
      <c r="E1317" s="21" t="n">
        <v>102</v>
      </c>
      <c r="F1317" s="21" t="inlineStr">
        <is>
          <t>English</t>
        </is>
      </c>
      <c r="G1317" s="21" t="inlineStr">
        <is>
          <t>R</t>
        </is>
      </c>
      <c r="H1317" s="22" t="n">
        <v>15047419</v>
      </c>
      <c r="I1317" s="22" t="n">
        <v>7000000</v>
      </c>
      <c r="J1317" s="21">
        <f>IF(OR(H1317="",H1317=25529689.5),"Yes","No")</f>
        <v/>
      </c>
      <c r="K1317" s="21">
        <f>IF(AND(D1317="USA",C1317&gt;=1980,J1317="No"),"Yes","No")</f>
        <v/>
      </c>
      <c r="L1317" s="26">
        <f>IF(J1317="Yes","",H1317-I1317)</f>
        <v/>
      </c>
      <c r="M1317" s="27">
        <f>IF(OR(J1317="Yes",I1317=0),"",H1317/I1317)</f>
        <v/>
      </c>
      <c r="N1317" s="21">
        <f>IF(J1317="Yes","",IF(H1317&gt;=I1317,1,0))</f>
        <v/>
      </c>
      <c r="O1317" s="21">
        <f>IF(I1317&lt;=5000000,"Under $5M",IF(I1317&lt;=20000000,"$5M-20M",IF(I1317&lt;=50000000,"$20M-50M",IF(I1317&lt;=100000000,"$50M-100M","$100M+"))))</f>
        <v/>
      </c>
      <c r="P1317" s="21">
        <f>IF(E1317&lt;=90,"90 or less",IF(E1317&lt;=105,"91-105",IF(E1317&lt;=120,"106-120",IF(E1317&lt;=140,"121-140","Over 140"))))</f>
        <v/>
      </c>
      <c r="Q1317" s="28">
        <f>INT(C1317/10)*10</f>
        <v/>
      </c>
    </row>
    <row r="1318">
      <c r="A1318" s="21" t="n">
        <v>1345</v>
      </c>
      <c r="B1318" s="21" t="inlineStr">
        <is>
          <t>Amores Perros</t>
        </is>
      </c>
      <c r="C1318" s="21" t="n">
        <v>2000</v>
      </c>
      <c r="D1318" s="21" t="inlineStr">
        <is>
          <t>Mexico</t>
        </is>
      </c>
      <c r="E1318" s="21" t="n">
        <v>115</v>
      </c>
      <c r="F1318" s="21" t="inlineStr">
        <is>
          <t>Spanish</t>
        </is>
      </c>
      <c r="G1318" s="21" t="inlineStr">
        <is>
          <t>R</t>
        </is>
      </c>
      <c r="H1318" s="22" t="n">
        <v>5383834</v>
      </c>
      <c r="I1318" s="22" t="n">
        <v>2000000</v>
      </c>
      <c r="J1318" s="21">
        <f>IF(OR(H1318="",H1318=25529689.5),"Yes","No")</f>
        <v/>
      </c>
      <c r="K1318" s="21">
        <f>IF(AND(D1318="USA",C1318&gt;=1980,J1318="No"),"Yes","No")</f>
        <v/>
      </c>
      <c r="L1318" s="26">
        <f>IF(J1318="Yes","",H1318-I1318)</f>
        <v/>
      </c>
      <c r="M1318" s="27">
        <f>IF(OR(J1318="Yes",I1318=0),"",H1318/I1318)</f>
        <v/>
      </c>
      <c r="N1318" s="21">
        <f>IF(J1318="Yes","",IF(H1318&gt;=I1318,1,0))</f>
        <v/>
      </c>
      <c r="O1318" s="21">
        <f>IF(I1318&lt;=5000000,"Under $5M",IF(I1318&lt;=20000000,"$5M-20M",IF(I1318&lt;=50000000,"$20M-50M",IF(I1318&lt;=100000000,"$50M-100M","$100M+"))))</f>
        <v/>
      </c>
      <c r="P1318" s="21">
        <f>IF(E1318&lt;=90,"90 or less",IF(E1318&lt;=105,"91-105",IF(E1318&lt;=120,"106-120",IF(E1318&lt;=140,"121-140","Over 140"))))</f>
        <v/>
      </c>
      <c r="Q1318" s="28">
        <f>INT(C1318/10)*10</f>
        <v/>
      </c>
    </row>
    <row r="1319">
      <c r="A1319" s="21" t="n">
        <v>1346</v>
      </c>
      <c r="B1319" s="21" t="inlineStr">
        <is>
          <t>An Everlasting Piece</t>
        </is>
      </c>
      <c r="C1319" s="21" t="n">
        <v>2000</v>
      </c>
      <c r="D1319" s="21" t="inlineStr">
        <is>
          <t>USA</t>
        </is>
      </c>
      <c r="E1319" s="21" t="n">
        <v>103</v>
      </c>
      <c r="F1319" s="21" t="inlineStr">
        <is>
          <t>English</t>
        </is>
      </c>
      <c r="G1319" s="21" t="inlineStr">
        <is>
          <t>R</t>
        </is>
      </c>
      <c r="H1319" s="22" t="n">
        <v>75078</v>
      </c>
      <c r="I1319" s="22" t="n">
        <v>14000000</v>
      </c>
      <c r="J1319" s="21">
        <f>IF(OR(H1319="",H1319=25529689.5),"Yes","No")</f>
        <v/>
      </c>
      <c r="K1319" s="21">
        <f>IF(AND(D1319="USA",C1319&gt;=1980,J1319="No"),"Yes","No")</f>
        <v/>
      </c>
      <c r="L1319" s="26">
        <f>IF(J1319="Yes","",H1319-I1319)</f>
        <v/>
      </c>
      <c r="M1319" s="27">
        <f>IF(OR(J1319="Yes",I1319=0),"",H1319/I1319)</f>
        <v/>
      </c>
      <c r="N1319" s="21">
        <f>IF(J1319="Yes","",IF(H1319&gt;=I1319,1,0))</f>
        <v/>
      </c>
      <c r="O1319" s="21">
        <f>IF(I1319&lt;=5000000,"Under $5M",IF(I1319&lt;=20000000,"$5M-20M",IF(I1319&lt;=50000000,"$20M-50M",IF(I1319&lt;=100000000,"$50M-100M","$100M+"))))</f>
        <v/>
      </c>
      <c r="P1319" s="21">
        <f>IF(E1319&lt;=90,"90 or less",IF(E1319&lt;=105,"91-105",IF(E1319&lt;=120,"106-120",IF(E1319&lt;=140,"121-140","Over 140"))))</f>
        <v/>
      </c>
      <c r="Q1319" s="28">
        <f>INT(C1319/10)*10</f>
        <v/>
      </c>
    </row>
    <row r="1320">
      <c r="A1320" s="21" t="n">
        <v>1347</v>
      </c>
      <c r="B1320" s="21" t="inlineStr">
        <is>
          <t>Anatomy</t>
        </is>
      </c>
      <c r="C1320" s="21" t="n">
        <v>2000</v>
      </c>
      <c r="D1320" s="21" t="inlineStr">
        <is>
          <t>Germany</t>
        </is>
      </c>
      <c r="E1320" s="21" t="n">
        <v>103</v>
      </c>
      <c r="F1320" s="21" t="inlineStr">
        <is>
          <t>German</t>
        </is>
      </c>
      <c r="G1320" s="21" t="inlineStr">
        <is>
          <t>R</t>
        </is>
      </c>
      <c r="H1320" s="22" t="n">
        <v>5725</v>
      </c>
      <c r="I1320" s="22" t="n">
        <v>8400000</v>
      </c>
      <c r="J1320" s="21">
        <f>IF(OR(H1320="",H1320=25529689.5),"Yes","No")</f>
        <v/>
      </c>
      <c r="K1320" s="21">
        <f>IF(AND(D1320="USA",C1320&gt;=1980,J1320="No"),"Yes","No")</f>
        <v/>
      </c>
      <c r="L1320" s="26">
        <f>IF(J1320="Yes","",H1320-I1320)</f>
        <v/>
      </c>
      <c r="M1320" s="27">
        <f>IF(OR(J1320="Yes",I1320=0),"",H1320/I1320)</f>
        <v/>
      </c>
      <c r="N1320" s="21">
        <f>IF(J1320="Yes","",IF(H1320&gt;=I1320,1,0))</f>
        <v/>
      </c>
      <c r="O1320" s="21">
        <f>IF(I1320&lt;=5000000,"Under $5M",IF(I1320&lt;=20000000,"$5M-20M",IF(I1320&lt;=50000000,"$20M-50M",IF(I1320&lt;=100000000,"$50M-100M","$100M+"))))</f>
        <v/>
      </c>
      <c r="P1320" s="21">
        <f>IF(E1320&lt;=90,"90 or less",IF(E1320&lt;=105,"91-105",IF(E1320&lt;=120,"106-120",IF(E1320&lt;=140,"121-140","Over 140"))))</f>
        <v/>
      </c>
      <c r="Q1320" s="28">
        <f>INT(C1320/10)*10</f>
        <v/>
      </c>
    </row>
    <row r="1321">
      <c r="A1321" s="21" t="n">
        <v>1348</v>
      </c>
      <c r="B1321" s="21" t="inlineStr">
        <is>
          <t>Autumn in New York</t>
        </is>
      </c>
      <c r="C1321" s="21" t="n">
        <v>2000</v>
      </c>
      <c r="D1321" s="21" t="inlineStr">
        <is>
          <t>USA</t>
        </is>
      </c>
      <c r="E1321" s="21" t="n">
        <v>103</v>
      </c>
      <c r="F1321" s="21" t="inlineStr">
        <is>
          <t>English</t>
        </is>
      </c>
      <c r="G1321" s="21" t="inlineStr">
        <is>
          <t>PG-13</t>
        </is>
      </c>
      <c r="H1321" s="22" t="n">
        <v>37752931</v>
      </c>
      <c r="I1321" s="22" t="n">
        <v>40000000</v>
      </c>
      <c r="J1321" s="21">
        <f>IF(OR(H1321="",H1321=25529689.5),"Yes","No")</f>
        <v/>
      </c>
      <c r="K1321" s="21">
        <f>IF(AND(D1321="USA",C1321&gt;=1980,J1321="No"),"Yes","No")</f>
        <v/>
      </c>
      <c r="L1321" s="26">
        <f>IF(J1321="Yes","",H1321-I1321)</f>
        <v/>
      </c>
      <c r="M1321" s="27">
        <f>IF(OR(J1321="Yes",I1321=0),"",H1321/I1321)</f>
        <v/>
      </c>
      <c r="N1321" s="21">
        <f>IF(J1321="Yes","",IF(H1321&gt;=I1321,1,0))</f>
        <v/>
      </c>
      <c r="O1321" s="21">
        <f>IF(I1321&lt;=5000000,"Under $5M",IF(I1321&lt;=20000000,"$5M-20M",IF(I1321&lt;=50000000,"$20M-50M",IF(I1321&lt;=100000000,"$50M-100M","$100M+"))))</f>
        <v/>
      </c>
      <c r="P1321" s="21">
        <f>IF(E1321&lt;=90,"90 or less",IF(E1321&lt;=105,"91-105",IF(E1321&lt;=120,"106-120",IF(E1321&lt;=140,"121-140","Over 140"))))</f>
        <v/>
      </c>
      <c r="Q1321" s="28">
        <f>INT(C1321/10)*10</f>
        <v/>
      </c>
    </row>
    <row r="1322">
      <c r="A1322" s="21" t="n">
        <v>1349</v>
      </c>
      <c r="B1322" s="21" t="inlineStr">
        <is>
          <t>Bamboozled</t>
        </is>
      </c>
      <c r="C1322" s="21" t="n">
        <v>2000</v>
      </c>
      <c r="D1322" s="21" t="inlineStr">
        <is>
          <t>USA</t>
        </is>
      </c>
      <c r="E1322" s="21" t="n">
        <v>135</v>
      </c>
      <c r="F1322" s="21" t="inlineStr">
        <is>
          <t>English</t>
        </is>
      </c>
      <c r="G1322" s="21" t="inlineStr">
        <is>
          <t>R</t>
        </is>
      </c>
      <c r="H1322" s="22" t="n">
        <v>2185266</v>
      </c>
      <c r="I1322" s="22" t="n">
        <v>10000000</v>
      </c>
      <c r="J1322" s="21">
        <f>IF(OR(H1322="",H1322=25529689.5),"Yes","No")</f>
        <v/>
      </c>
      <c r="K1322" s="21">
        <f>IF(AND(D1322="USA",C1322&gt;=1980,J1322="No"),"Yes","No")</f>
        <v/>
      </c>
      <c r="L1322" s="26">
        <f>IF(J1322="Yes","",H1322-I1322)</f>
        <v/>
      </c>
      <c r="M1322" s="27">
        <f>IF(OR(J1322="Yes",I1322=0),"",H1322/I1322)</f>
        <v/>
      </c>
      <c r="N1322" s="21">
        <f>IF(J1322="Yes","",IF(H1322&gt;=I1322,1,0))</f>
        <v/>
      </c>
      <c r="O1322" s="21">
        <f>IF(I1322&lt;=5000000,"Under $5M",IF(I1322&lt;=20000000,"$5M-20M",IF(I1322&lt;=50000000,"$20M-50M",IF(I1322&lt;=100000000,"$50M-100M","$100M+"))))</f>
        <v/>
      </c>
      <c r="P1322" s="21">
        <f>IF(E1322&lt;=90,"90 or less",IF(E1322&lt;=105,"91-105",IF(E1322&lt;=120,"106-120",IF(E1322&lt;=140,"121-140","Over 140"))))</f>
        <v/>
      </c>
      <c r="Q1322" s="28">
        <f>INT(C1322/10)*10</f>
        <v/>
      </c>
    </row>
    <row r="1323">
      <c r="A1323" s="21" t="n">
        <v>1350</v>
      </c>
      <c r="B1323" s="21" t="inlineStr">
        <is>
          <t>Battlefield Earth</t>
        </is>
      </c>
      <c r="C1323" s="21" t="n">
        <v>2000</v>
      </c>
      <c r="D1323" s="21" t="inlineStr">
        <is>
          <t>USA</t>
        </is>
      </c>
      <c r="E1323" s="21" t="n">
        <v>119</v>
      </c>
      <c r="F1323" s="21" t="inlineStr">
        <is>
          <t>English</t>
        </is>
      </c>
      <c r="G1323" s="21" t="inlineStr">
        <is>
          <t>PG-13</t>
        </is>
      </c>
      <c r="H1323" s="22" t="n">
        <v>21471685</v>
      </c>
      <c r="I1323" s="22" t="n">
        <v>44000000</v>
      </c>
      <c r="J1323" s="21">
        <f>IF(OR(H1323="",H1323=25529689.5),"Yes","No")</f>
        <v/>
      </c>
      <c r="K1323" s="21">
        <f>IF(AND(D1323="USA",C1323&gt;=1980,J1323="No"),"Yes","No")</f>
        <v/>
      </c>
      <c r="L1323" s="26">
        <f>IF(J1323="Yes","",H1323-I1323)</f>
        <v/>
      </c>
      <c r="M1323" s="27">
        <f>IF(OR(J1323="Yes",I1323=0),"",H1323/I1323)</f>
        <v/>
      </c>
      <c r="N1323" s="21">
        <f>IF(J1323="Yes","",IF(H1323&gt;=I1323,1,0))</f>
        <v/>
      </c>
      <c r="O1323" s="21">
        <f>IF(I1323&lt;=5000000,"Under $5M",IF(I1323&lt;=20000000,"$5M-20M",IF(I1323&lt;=50000000,"$20M-50M",IF(I1323&lt;=100000000,"$50M-100M","$100M+"))))</f>
        <v/>
      </c>
      <c r="P1323" s="21">
        <f>IF(E1323&lt;=90,"90 or less",IF(E1323&lt;=105,"91-105",IF(E1323&lt;=120,"106-120",IF(E1323&lt;=140,"121-140","Over 140"))))</f>
        <v/>
      </c>
      <c r="Q1323" s="28">
        <f>INT(C1323/10)*10</f>
        <v/>
      </c>
    </row>
    <row r="1324">
      <c r="A1324" s="21" t="n">
        <v>1351</v>
      </c>
      <c r="B1324" s="21" t="inlineStr">
        <is>
          <t>Bedazzled</t>
        </is>
      </c>
      <c r="C1324" s="21" t="n">
        <v>2000</v>
      </c>
      <c r="D1324" s="21" t="inlineStr">
        <is>
          <t>USA</t>
        </is>
      </c>
      <c r="E1324" s="21" t="n">
        <v>93</v>
      </c>
      <c r="F1324" s="21" t="inlineStr">
        <is>
          <t>English</t>
        </is>
      </c>
      <c r="G1324" s="21" t="inlineStr">
        <is>
          <t>PG-13</t>
        </is>
      </c>
      <c r="H1324" s="22" t="n">
        <v>37879996</v>
      </c>
      <c r="I1324" s="22" t="n">
        <v>48000000</v>
      </c>
      <c r="J1324" s="21">
        <f>IF(OR(H1324="",H1324=25529689.5),"Yes","No")</f>
        <v/>
      </c>
      <c r="K1324" s="21">
        <f>IF(AND(D1324="USA",C1324&gt;=1980,J1324="No"),"Yes","No")</f>
        <v/>
      </c>
      <c r="L1324" s="26">
        <f>IF(J1324="Yes","",H1324-I1324)</f>
        <v/>
      </c>
      <c r="M1324" s="27">
        <f>IF(OR(J1324="Yes",I1324=0),"",H1324/I1324)</f>
        <v/>
      </c>
      <c r="N1324" s="21">
        <f>IF(J1324="Yes","",IF(H1324&gt;=I1324,1,0))</f>
        <v/>
      </c>
      <c r="O1324" s="21">
        <f>IF(I1324&lt;=5000000,"Under $5M",IF(I1324&lt;=20000000,"$5M-20M",IF(I1324&lt;=50000000,"$20M-50M",IF(I1324&lt;=100000000,"$50M-100M","$100M+"))))</f>
        <v/>
      </c>
      <c r="P1324" s="21">
        <f>IF(E1324&lt;=90,"90 or less",IF(E1324&lt;=105,"91-105",IF(E1324&lt;=120,"106-120",IF(E1324&lt;=140,"121-140","Over 140"))))</f>
        <v/>
      </c>
      <c r="Q1324" s="28">
        <f>INT(C1324/10)*10</f>
        <v/>
      </c>
    </row>
    <row r="1325">
      <c r="A1325" s="21" t="n">
        <v>1352</v>
      </c>
      <c r="B1325" s="21" t="inlineStr">
        <is>
          <t>Best in Show</t>
        </is>
      </c>
      <c r="C1325" s="21" t="n">
        <v>2000</v>
      </c>
      <c r="D1325" s="21" t="inlineStr">
        <is>
          <t>USA</t>
        </is>
      </c>
      <c r="E1325" s="21" t="n">
        <v>90</v>
      </c>
      <c r="F1325" s="21" t="inlineStr">
        <is>
          <t>English</t>
        </is>
      </c>
      <c r="G1325" s="21" t="inlineStr">
        <is>
          <t>PG-13</t>
        </is>
      </c>
      <c r="H1325" s="22" t="n">
        <v>18621249</v>
      </c>
      <c r="I1325" s="22" t="n">
        <v>6000000</v>
      </c>
      <c r="J1325" s="21">
        <f>IF(OR(H1325="",H1325=25529689.5),"Yes","No")</f>
        <v/>
      </c>
      <c r="K1325" s="21">
        <f>IF(AND(D1325="USA",C1325&gt;=1980,J1325="No"),"Yes","No")</f>
        <v/>
      </c>
      <c r="L1325" s="26">
        <f>IF(J1325="Yes","",H1325-I1325)</f>
        <v/>
      </c>
      <c r="M1325" s="27">
        <f>IF(OR(J1325="Yes",I1325=0),"",H1325/I1325)</f>
        <v/>
      </c>
      <c r="N1325" s="21">
        <f>IF(J1325="Yes","",IF(H1325&gt;=I1325,1,0))</f>
        <v/>
      </c>
      <c r="O1325" s="21">
        <f>IF(I1325&lt;=5000000,"Under $5M",IF(I1325&lt;=20000000,"$5M-20M",IF(I1325&lt;=50000000,"$20M-50M",IF(I1325&lt;=100000000,"$50M-100M","$100M+"))))</f>
        <v/>
      </c>
      <c r="P1325" s="21">
        <f>IF(E1325&lt;=90,"90 or less",IF(E1325&lt;=105,"91-105",IF(E1325&lt;=120,"106-120",IF(E1325&lt;=140,"121-140","Over 140"))))</f>
        <v/>
      </c>
      <c r="Q1325" s="28">
        <f>INT(C1325/10)*10</f>
        <v/>
      </c>
    </row>
    <row r="1326">
      <c r="A1326" s="21" t="n">
        <v>1353</v>
      </c>
      <c r="B1326" s="21" t="inlineStr">
        <is>
          <t>Big Momma's House</t>
        </is>
      </c>
      <c r="C1326" s="21" t="n">
        <v>2000</v>
      </c>
      <c r="D1326" s="21" t="inlineStr">
        <is>
          <t>USA</t>
        </is>
      </c>
      <c r="E1326" s="21" t="n">
        <v>99</v>
      </c>
      <c r="F1326" s="21" t="inlineStr">
        <is>
          <t>English</t>
        </is>
      </c>
      <c r="G1326" s="21" t="inlineStr">
        <is>
          <t>PG-13</t>
        </is>
      </c>
      <c r="H1326" s="22" t="n">
        <v>117559438</v>
      </c>
      <c r="I1326" s="22" t="n">
        <v>30000000</v>
      </c>
      <c r="J1326" s="21">
        <f>IF(OR(H1326="",H1326=25529689.5),"Yes","No")</f>
        <v/>
      </c>
      <c r="K1326" s="21">
        <f>IF(AND(D1326="USA",C1326&gt;=1980,J1326="No"),"Yes","No")</f>
        <v/>
      </c>
      <c r="L1326" s="26">
        <f>IF(J1326="Yes","",H1326-I1326)</f>
        <v/>
      </c>
      <c r="M1326" s="27">
        <f>IF(OR(J1326="Yes",I1326=0),"",H1326/I1326)</f>
        <v/>
      </c>
      <c r="N1326" s="21">
        <f>IF(J1326="Yes","",IF(H1326&gt;=I1326,1,0))</f>
        <v/>
      </c>
      <c r="O1326" s="21">
        <f>IF(I1326&lt;=5000000,"Under $5M",IF(I1326&lt;=20000000,"$5M-20M",IF(I1326&lt;=50000000,"$20M-50M",IF(I1326&lt;=100000000,"$50M-100M","$100M+"))))</f>
        <v/>
      </c>
      <c r="P1326" s="21">
        <f>IF(E1326&lt;=90,"90 or less",IF(E1326&lt;=105,"91-105",IF(E1326&lt;=120,"106-120",IF(E1326&lt;=140,"121-140","Over 140"))))</f>
        <v/>
      </c>
      <c r="Q1326" s="28">
        <f>INT(C1326/10)*10</f>
        <v/>
      </c>
    </row>
    <row r="1327">
      <c r="A1327" s="21" t="n">
        <v>1354</v>
      </c>
      <c r="B1327" s="21" t="inlineStr">
        <is>
          <t>Billy Elliot</t>
        </is>
      </c>
      <c r="C1327" s="21" t="n">
        <v>2000</v>
      </c>
      <c r="D1327" s="21" t="inlineStr">
        <is>
          <t>UK</t>
        </is>
      </c>
      <c r="E1327" s="21" t="n">
        <v>110</v>
      </c>
      <c r="F1327" s="21" t="inlineStr">
        <is>
          <t>English</t>
        </is>
      </c>
      <c r="G1327" s="21" t="inlineStr">
        <is>
          <t>R</t>
        </is>
      </c>
      <c r="H1327" s="22" t="n">
        <v>21994911</v>
      </c>
      <c r="I1327" s="22" t="n">
        <v>5000000</v>
      </c>
      <c r="J1327" s="21">
        <f>IF(OR(H1327="",H1327=25529689.5),"Yes","No")</f>
        <v/>
      </c>
      <c r="K1327" s="21">
        <f>IF(AND(D1327="USA",C1327&gt;=1980,J1327="No"),"Yes","No")</f>
        <v/>
      </c>
      <c r="L1327" s="26">
        <f>IF(J1327="Yes","",H1327-I1327)</f>
        <v/>
      </c>
      <c r="M1327" s="27">
        <f>IF(OR(J1327="Yes",I1327=0),"",H1327/I1327)</f>
        <v/>
      </c>
      <c r="N1327" s="21">
        <f>IF(J1327="Yes","",IF(H1327&gt;=I1327,1,0))</f>
        <v/>
      </c>
      <c r="O1327" s="21">
        <f>IF(I1327&lt;=5000000,"Under $5M",IF(I1327&lt;=20000000,"$5M-20M",IF(I1327&lt;=50000000,"$20M-50M",IF(I1327&lt;=100000000,"$50M-100M","$100M+"))))</f>
        <v/>
      </c>
      <c r="P1327" s="21">
        <f>IF(E1327&lt;=90,"90 or less",IF(E1327&lt;=105,"91-105",IF(E1327&lt;=120,"106-120",IF(E1327&lt;=140,"121-140","Over 140"))))</f>
        <v/>
      </c>
      <c r="Q1327" s="28">
        <f>INT(C1327/10)*10</f>
        <v/>
      </c>
    </row>
    <row r="1328">
      <c r="A1328" s="21" t="n">
        <v>1355</v>
      </c>
      <c r="B1328" s="21" t="inlineStr">
        <is>
          <t>Bless the Child</t>
        </is>
      </c>
      <c r="C1328" s="21" t="n">
        <v>2000</v>
      </c>
      <c r="D1328" s="21" t="inlineStr">
        <is>
          <t>USA</t>
        </is>
      </c>
      <c r="E1328" s="21" t="n">
        <v>107</v>
      </c>
      <c r="F1328" s="21" t="inlineStr">
        <is>
          <t>English</t>
        </is>
      </c>
      <c r="G1328" s="21" t="inlineStr">
        <is>
          <t>R</t>
        </is>
      </c>
      <c r="H1328" s="22" t="n">
        <v>29374178</v>
      </c>
      <c r="I1328" s="22" t="n">
        <v>40000000</v>
      </c>
      <c r="J1328" s="21">
        <f>IF(OR(H1328="",H1328=25529689.5),"Yes","No")</f>
        <v/>
      </c>
      <c r="K1328" s="21">
        <f>IF(AND(D1328="USA",C1328&gt;=1980,J1328="No"),"Yes","No")</f>
        <v/>
      </c>
      <c r="L1328" s="26">
        <f>IF(J1328="Yes","",H1328-I1328)</f>
        <v/>
      </c>
      <c r="M1328" s="27">
        <f>IF(OR(J1328="Yes",I1328=0),"",H1328/I1328)</f>
        <v/>
      </c>
      <c r="N1328" s="21">
        <f>IF(J1328="Yes","",IF(H1328&gt;=I1328,1,0))</f>
        <v/>
      </c>
      <c r="O1328" s="21">
        <f>IF(I1328&lt;=5000000,"Under $5M",IF(I1328&lt;=20000000,"$5M-20M",IF(I1328&lt;=50000000,"$20M-50M",IF(I1328&lt;=100000000,"$50M-100M","$100M+"))))</f>
        <v/>
      </c>
      <c r="P1328" s="21">
        <f>IF(E1328&lt;=90,"90 or less",IF(E1328&lt;=105,"91-105",IF(E1328&lt;=120,"106-120",IF(E1328&lt;=140,"121-140","Over 140"))))</f>
        <v/>
      </c>
      <c r="Q1328" s="28">
        <f>INT(C1328/10)*10</f>
        <v/>
      </c>
    </row>
    <row r="1329">
      <c r="A1329" s="21" t="n">
        <v>1356</v>
      </c>
      <c r="B1329" s="21" t="inlineStr">
        <is>
          <t>Boiler Room</t>
        </is>
      </c>
      <c r="C1329" s="21" t="n">
        <v>2000</v>
      </c>
      <c r="D1329" s="21" t="inlineStr">
        <is>
          <t>USA</t>
        </is>
      </c>
      <c r="E1329" s="21" t="n">
        <v>120</v>
      </c>
      <c r="F1329" s="21" t="inlineStr">
        <is>
          <t>English</t>
        </is>
      </c>
      <c r="G1329" s="21" t="inlineStr">
        <is>
          <t>R</t>
        </is>
      </c>
      <c r="H1329" s="22" t="n">
        <v>16938179</v>
      </c>
      <c r="I1329" s="22" t="n">
        <v>8000000</v>
      </c>
      <c r="J1329" s="21">
        <f>IF(OR(H1329="",H1329=25529689.5),"Yes","No")</f>
        <v/>
      </c>
      <c r="K1329" s="21">
        <f>IF(AND(D1329="USA",C1329&gt;=1980,J1329="No"),"Yes","No")</f>
        <v/>
      </c>
      <c r="L1329" s="26">
        <f>IF(J1329="Yes","",H1329-I1329)</f>
        <v/>
      </c>
      <c r="M1329" s="27">
        <f>IF(OR(J1329="Yes",I1329=0),"",H1329/I1329)</f>
        <v/>
      </c>
      <c r="N1329" s="21">
        <f>IF(J1329="Yes","",IF(H1329&gt;=I1329,1,0))</f>
        <v/>
      </c>
      <c r="O1329" s="21">
        <f>IF(I1329&lt;=5000000,"Under $5M",IF(I1329&lt;=20000000,"$5M-20M",IF(I1329&lt;=50000000,"$20M-50M",IF(I1329&lt;=100000000,"$50M-100M","$100M+"))))</f>
        <v/>
      </c>
      <c r="P1329" s="21">
        <f>IF(E1329&lt;=90,"90 or less",IF(E1329&lt;=105,"91-105",IF(E1329&lt;=120,"106-120",IF(E1329&lt;=140,"121-140","Over 140"))))</f>
        <v/>
      </c>
      <c r="Q1329" s="28">
        <f>INT(C1329/10)*10</f>
        <v/>
      </c>
    </row>
    <row r="1330">
      <c r="A1330" s="21" t="n">
        <v>1357</v>
      </c>
      <c r="B1330" s="21" t="inlineStr">
        <is>
          <t>Book of Shadows: Blair Witch 2</t>
        </is>
      </c>
      <c r="C1330" s="21" t="n">
        <v>2000</v>
      </c>
      <c r="D1330" s="21" t="inlineStr">
        <is>
          <t>USA</t>
        </is>
      </c>
      <c r="E1330" s="21" t="n">
        <v>90</v>
      </c>
      <c r="F1330" s="21" t="inlineStr">
        <is>
          <t>English</t>
        </is>
      </c>
      <c r="G1330" s="21" t="inlineStr">
        <is>
          <t>R</t>
        </is>
      </c>
      <c r="H1330" s="22" t="n">
        <v>26421314</v>
      </c>
      <c r="I1330" s="22" t="n">
        <v>15000000</v>
      </c>
      <c r="J1330" s="21">
        <f>IF(OR(H1330="",H1330=25529689.5),"Yes","No")</f>
        <v/>
      </c>
      <c r="K1330" s="21">
        <f>IF(AND(D1330="USA",C1330&gt;=1980,J1330="No"),"Yes","No")</f>
        <v/>
      </c>
      <c r="L1330" s="26">
        <f>IF(J1330="Yes","",H1330-I1330)</f>
        <v/>
      </c>
      <c r="M1330" s="27">
        <f>IF(OR(J1330="Yes",I1330=0),"",H1330/I1330)</f>
        <v/>
      </c>
      <c r="N1330" s="21">
        <f>IF(J1330="Yes","",IF(H1330&gt;=I1330,1,0))</f>
        <v/>
      </c>
      <c r="O1330" s="21">
        <f>IF(I1330&lt;=5000000,"Under $5M",IF(I1330&lt;=20000000,"$5M-20M",IF(I1330&lt;=50000000,"$20M-50M",IF(I1330&lt;=100000000,"$50M-100M","$100M+"))))</f>
        <v/>
      </c>
      <c r="P1330" s="21">
        <f>IF(E1330&lt;=90,"90 or less",IF(E1330&lt;=105,"91-105",IF(E1330&lt;=120,"106-120",IF(E1330&lt;=140,"121-140","Over 140"))))</f>
        <v/>
      </c>
      <c r="Q1330" s="28">
        <f>INT(C1330/10)*10</f>
        <v/>
      </c>
    </row>
    <row r="1331">
      <c r="A1331" s="21" t="n">
        <v>1358</v>
      </c>
      <c r="B1331" s="21" t="inlineStr">
        <is>
          <t>Boys and Girls</t>
        </is>
      </c>
      <c r="C1331" s="21" t="n">
        <v>2000</v>
      </c>
      <c r="D1331" s="21" t="inlineStr">
        <is>
          <t>USA</t>
        </is>
      </c>
      <c r="E1331" s="21" t="n">
        <v>94</v>
      </c>
      <c r="F1331" s="21" t="inlineStr">
        <is>
          <t>English</t>
        </is>
      </c>
      <c r="G1331" s="21" t="inlineStr">
        <is>
          <t>PG-13</t>
        </is>
      </c>
      <c r="H1331" s="22" t="n">
        <v>20627372</v>
      </c>
      <c r="I1331" s="22" t="n">
        <v>16000000</v>
      </c>
      <c r="J1331" s="21">
        <f>IF(OR(H1331="",H1331=25529689.5),"Yes","No")</f>
        <v/>
      </c>
      <c r="K1331" s="21">
        <f>IF(AND(D1331="USA",C1331&gt;=1980,J1331="No"),"Yes","No")</f>
        <v/>
      </c>
      <c r="L1331" s="26">
        <f>IF(J1331="Yes","",H1331-I1331)</f>
        <v/>
      </c>
      <c r="M1331" s="27">
        <f>IF(OR(J1331="Yes",I1331=0),"",H1331/I1331)</f>
        <v/>
      </c>
      <c r="N1331" s="21">
        <f>IF(J1331="Yes","",IF(H1331&gt;=I1331,1,0))</f>
        <v/>
      </c>
      <c r="O1331" s="21">
        <f>IF(I1331&lt;=5000000,"Under $5M",IF(I1331&lt;=20000000,"$5M-20M",IF(I1331&lt;=50000000,"$20M-50M",IF(I1331&lt;=100000000,"$50M-100M","$100M+"))))</f>
        <v/>
      </c>
      <c r="P1331" s="21">
        <f>IF(E1331&lt;=90,"90 or less",IF(E1331&lt;=105,"91-105",IF(E1331&lt;=120,"106-120",IF(E1331&lt;=140,"121-140","Over 140"))))</f>
        <v/>
      </c>
      <c r="Q1331" s="28">
        <f>INT(C1331/10)*10</f>
        <v/>
      </c>
    </row>
    <row r="1332">
      <c r="A1332" s="21" t="n">
        <v>1359</v>
      </c>
      <c r="B1332" s="21" t="inlineStr">
        <is>
          <t>Bring It On</t>
        </is>
      </c>
      <c r="C1332" s="21" t="n">
        <v>2000</v>
      </c>
      <c r="D1332" s="21" t="inlineStr">
        <is>
          <t>USA</t>
        </is>
      </c>
      <c r="E1332" s="21" t="n">
        <v>98</v>
      </c>
      <c r="F1332" s="21" t="inlineStr">
        <is>
          <t>English</t>
        </is>
      </c>
      <c r="G1332" s="21" t="inlineStr">
        <is>
          <t>PG-13</t>
        </is>
      </c>
      <c r="H1332" s="22" t="n">
        <v>68353550</v>
      </c>
      <c r="I1332" s="22" t="n">
        <v>10000000</v>
      </c>
      <c r="J1332" s="21">
        <f>IF(OR(H1332="",H1332=25529689.5),"Yes","No")</f>
        <v/>
      </c>
      <c r="K1332" s="21">
        <f>IF(AND(D1332="USA",C1332&gt;=1980,J1332="No"),"Yes","No")</f>
        <v/>
      </c>
      <c r="L1332" s="26">
        <f>IF(J1332="Yes","",H1332-I1332)</f>
        <v/>
      </c>
      <c r="M1332" s="27">
        <f>IF(OR(J1332="Yes",I1332=0),"",H1332/I1332)</f>
        <v/>
      </c>
      <c r="N1332" s="21">
        <f>IF(J1332="Yes","",IF(H1332&gt;=I1332,1,0))</f>
        <v/>
      </c>
      <c r="O1332" s="21">
        <f>IF(I1332&lt;=5000000,"Under $5M",IF(I1332&lt;=20000000,"$5M-20M",IF(I1332&lt;=50000000,"$20M-50M",IF(I1332&lt;=100000000,"$50M-100M","$100M+"))))</f>
        <v/>
      </c>
      <c r="P1332" s="21">
        <f>IF(E1332&lt;=90,"90 or less",IF(E1332&lt;=105,"91-105",IF(E1332&lt;=120,"106-120",IF(E1332&lt;=140,"121-140","Over 140"))))</f>
        <v/>
      </c>
      <c r="Q1332" s="28">
        <f>INT(C1332/10)*10</f>
        <v/>
      </c>
    </row>
    <row r="1333">
      <c r="A1333" s="21" t="n">
        <v>1360</v>
      </c>
      <c r="B1333" s="21" t="inlineStr">
        <is>
          <t>Brother</t>
        </is>
      </c>
      <c r="C1333" s="21" t="n">
        <v>2000</v>
      </c>
      <c r="D1333" s="21" t="inlineStr">
        <is>
          <t>USA</t>
        </is>
      </c>
      <c r="E1333" s="21" t="n">
        <v>114</v>
      </c>
      <c r="F1333" s="21" t="inlineStr">
        <is>
          <t>English</t>
        </is>
      </c>
      <c r="G1333" s="21" t="inlineStr">
        <is>
          <t>R</t>
        </is>
      </c>
      <c r="H1333" s="22" t="n">
        <v>447750</v>
      </c>
      <c r="I1333" s="22" t="n">
        <v>10000000</v>
      </c>
      <c r="J1333" s="21">
        <f>IF(OR(H1333="",H1333=25529689.5),"Yes","No")</f>
        <v/>
      </c>
      <c r="K1333" s="21">
        <f>IF(AND(D1333="USA",C1333&gt;=1980,J1333="No"),"Yes","No")</f>
        <v/>
      </c>
      <c r="L1333" s="26">
        <f>IF(J1333="Yes","",H1333-I1333)</f>
        <v/>
      </c>
      <c r="M1333" s="27">
        <f>IF(OR(J1333="Yes",I1333=0),"",H1333/I1333)</f>
        <v/>
      </c>
      <c r="N1333" s="21">
        <f>IF(J1333="Yes","",IF(H1333&gt;=I1333,1,0))</f>
        <v/>
      </c>
      <c r="O1333" s="21">
        <f>IF(I1333&lt;=5000000,"Under $5M",IF(I1333&lt;=20000000,"$5M-20M",IF(I1333&lt;=50000000,"$20M-50M",IF(I1333&lt;=100000000,"$50M-100M","$100M+"))))</f>
        <v/>
      </c>
      <c r="P1333" s="21">
        <f>IF(E1333&lt;=90,"90 or less",IF(E1333&lt;=105,"91-105",IF(E1333&lt;=120,"106-120",IF(E1333&lt;=140,"121-140","Over 140"))))</f>
        <v/>
      </c>
      <c r="Q1333" s="28">
        <f>INT(C1333/10)*10</f>
        <v/>
      </c>
    </row>
    <row r="1334">
      <c r="A1334" s="21" t="n">
        <v>1361</v>
      </c>
      <c r="B1334" s="21" t="inlineStr">
        <is>
          <t>Cast Away</t>
        </is>
      </c>
      <c r="C1334" s="21" t="n">
        <v>2000</v>
      </c>
      <c r="D1334" s="21" t="inlineStr">
        <is>
          <t>USA</t>
        </is>
      </c>
      <c r="E1334" s="21" t="n">
        <v>143</v>
      </c>
      <c r="F1334" s="21" t="inlineStr">
        <is>
          <t>English</t>
        </is>
      </c>
      <c r="G1334" s="21" t="inlineStr">
        <is>
          <t>PG-13</t>
        </is>
      </c>
      <c r="H1334" s="22" t="n">
        <v>233630478</v>
      </c>
      <c r="I1334" s="22" t="n">
        <v>90000000</v>
      </c>
      <c r="J1334" s="21">
        <f>IF(OR(H1334="",H1334=25529689.5),"Yes","No")</f>
        <v/>
      </c>
      <c r="K1334" s="21">
        <f>IF(AND(D1334="USA",C1334&gt;=1980,J1334="No"),"Yes","No")</f>
        <v/>
      </c>
      <c r="L1334" s="26">
        <f>IF(J1334="Yes","",H1334-I1334)</f>
        <v/>
      </c>
      <c r="M1334" s="27">
        <f>IF(OR(J1334="Yes",I1334=0),"",H1334/I1334)</f>
        <v/>
      </c>
      <c r="N1334" s="21">
        <f>IF(J1334="Yes","",IF(H1334&gt;=I1334,1,0))</f>
        <v/>
      </c>
      <c r="O1334" s="21">
        <f>IF(I1334&lt;=5000000,"Under $5M",IF(I1334&lt;=20000000,"$5M-20M",IF(I1334&lt;=50000000,"$20M-50M",IF(I1334&lt;=100000000,"$50M-100M","$100M+"))))</f>
        <v/>
      </c>
      <c r="P1334" s="21">
        <f>IF(E1334&lt;=90,"90 or less",IF(E1334&lt;=105,"91-105",IF(E1334&lt;=120,"106-120",IF(E1334&lt;=140,"121-140","Over 140"))))</f>
        <v/>
      </c>
      <c r="Q1334" s="28">
        <f>INT(C1334/10)*10</f>
        <v/>
      </c>
    </row>
    <row r="1335">
      <c r="A1335" s="21" t="n">
        <v>1362</v>
      </c>
      <c r="B1335" s="21" t="inlineStr">
        <is>
          <t>Cecil B. DeMented</t>
        </is>
      </c>
      <c r="C1335" s="21" t="n">
        <v>2000</v>
      </c>
      <c r="D1335" s="21" t="inlineStr">
        <is>
          <t>France</t>
        </is>
      </c>
      <c r="E1335" s="21" t="n">
        <v>87</v>
      </c>
      <c r="F1335" s="21" t="inlineStr">
        <is>
          <t>English</t>
        </is>
      </c>
      <c r="G1335" s="21" t="inlineStr">
        <is>
          <t>R</t>
        </is>
      </c>
      <c r="H1335" s="22" t="n">
        <v>1276984</v>
      </c>
      <c r="I1335" s="22" t="n">
        <v>10000000</v>
      </c>
      <c r="J1335" s="21">
        <f>IF(OR(H1335="",H1335=25529689.5),"Yes","No")</f>
        <v/>
      </c>
      <c r="K1335" s="21">
        <f>IF(AND(D1335="USA",C1335&gt;=1980,J1335="No"),"Yes","No")</f>
        <v/>
      </c>
      <c r="L1335" s="26">
        <f>IF(J1335="Yes","",H1335-I1335)</f>
        <v/>
      </c>
      <c r="M1335" s="27">
        <f>IF(OR(J1335="Yes",I1335=0),"",H1335/I1335)</f>
        <v/>
      </c>
      <c r="N1335" s="21">
        <f>IF(J1335="Yes","",IF(H1335&gt;=I1335,1,0))</f>
        <v/>
      </c>
      <c r="O1335" s="21">
        <f>IF(I1335&lt;=5000000,"Under $5M",IF(I1335&lt;=20000000,"$5M-20M",IF(I1335&lt;=50000000,"$20M-50M",IF(I1335&lt;=100000000,"$50M-100M","$100M+"))))</f>
        <v/>
      </c>
      <c r="P1335" s="21">
        <f>IF(E1335&lt;=90,"90 or less",IF(E1335&lt;=105,"91-105",IF(E1335&lt;=120,"106-120",IF(E1335&lt;=140,"121-140","Over 140"))))</f>
        <v/>
      </c>
      <c r="Q1335" s="28">
        <f>INT(C1335/10)*10</f>
        <v/>
      </c>
    </row>
    <row r="1336">
      <c r="A1336" s="21" t="n">
        <v>1363</v>
      </c>
      <c r="B1336" s="21" t="inlineStr">
        <is>
          <t>Center Stage</t>
        </is>
      </c>
      <c r="C1336" s="21" t="n">
        <v>2000</v>
      </c>
      <c r="D1336" s="21" t="inlineStr">
        <is>
          <t>USA</t>
        </is>
      </c>
      <c r="E1336" s="21" t="n">
        <v>115</v>
      </c>
      <c r="F1336" s="21" t="inlineStr">
        <is>
          <t>English</t>
        </is>
      </c>
      <c r="G1336" s="21" t="inlineStr">
        <is>
          <t>PG-13</t>
        </is>
      </c>
      <c r="H1336" s="22" t="n">
        <v>17174870</v>
      </c>
      <c r="I1336" s="22" t="n">
        <v>18000000</v>
      </c>
      <c r="J1336" s="21">
        <f>IF(OR(H1336="",H1336=25529689.5),"Yes","No")</f>
        <v/>
      </c>
      <c r="K1336" s="21">
        <f>IF(AND(D1336="USA",C1336&gt;=1980,J1336="No"),"Yes","No")</f>
        <v/>
      </c>
      <c r="L1336" s="26">
        <f>IF(J1336="Yes","",H1336-I1336)</f>
        <v/>
      </c>
      <c r="M1336" s="27">
        <f>IF(OR(J1336="Yes",I1336=0),"",H1336/I1336)</f>
        <v/>
      </c>
      <c r="N1336" s="21">
        <f>IF(J1336="Yes","",IF(H1336&gt;=I1336,1,0))</f>
        <v/>
      </c>
      <c r="O1336" s="21">
        <f>IF(I1336&lt;=5000000,"Under $5M",IF(I1336&lt;=20000000,"$5M-20M",IF(I1336&lt;=50000000,"$20M-50M",IF(I1336&lt;=100000000,"$50M-100M","$100M+"))))</f>
        <v/>
      </c>
      <c r="P1336" s="21">
        <f>IF(E1336&lt;=90,"90 or less",IF(E1336&lt;=105,"91-105",IF(E1336&lt;=120,"106-120",IF(E1336&lt;=140,"121-140","Over 140"))))</f>
        <v/>
      </c>
      <c r="Q1336" s="28">
        <f>INT(C1336/10)*10</f>
        <v/>
      </c>
    </row>
    <row r="1337">
      <c r="A1337" s="21" t="n">
        <v>1364</v>
      </c>
      <c r="B1337" s="21" t="inlineStr">
        <is>
          <t>Charlie's Angels</t>
        </is>
      </c>
      <c r="C1337" s="21" t="n">
        <v>2000</v>
      </c>
      <c r="D1337" s="21" t="inlineStr">
        <is>
          <t>USA</t>
        </is>
      </c>
      <c r="E1337" s="21" t="n">
        <v>94</v>
      </c>
      <c r="F1337" s="21" t="inlineStr">
        <is>
          <t>English</t>
        </is>
      </c>
      <c r="G1337" s="21" t="inlineStr">
        <is>
          <t>PG-13</t>
        </is>
      </c>
      <c r="H1337" s="22" t="n">
        <v>125305545</v>
      </c>
      <c r="I1337" s="22" t="n">
        <v>92000000</v>
      </c>
      <c r="J1337" s="21">
        <f>IF(OR(H1337="",H1337=25529689.5),"Yes","No")</f>
        <v/>
      </c>
      <c r="K1337" s="21">
        <f>IF(AND(D1337="USA",C1337&gt;=1980,J1337="No"),"Yes","No")</f>
        <v/>
      </c>
      <c r="L1337" s="26">
        <f>IF(J1337="Yes","",H1337-I1337)</f>
        <v/>
      </c>
      <c r="M1337" s="27">
        <f>IF(OR(J1337="Yes",I1337=0),"",H1337/I1337)</f>
        <v/>
      </c>
      <c r="N1337" s="21">
        <f>IF(J1337="Yes","",IF(H1337&gt;=I1337,1,0))</f>
        <v/>
      </c>
      <c r="O1337" s="21">
        <f>IF(I1337&lt;=5000000,"Under $5M",IF(I1337&lt;=20000000,"$5M-20M",IF(I1337&lt;=50000000,"$20M-50M",IF(I1337&lt;=100000000,"$50M-100M","$100M+"))))</f>
        <v/>
      </c>
      <c r="P1337" s="21">
        <f>IF(E1337&lt;=90,"90 or less",IF(E1337&lt;=105,"91-105",IF(E1337&lt;=120,"106-120",IF(E1337&lt;=140,"121-140","Over 140"))))</f>
        <v/>
      </c>
      <c r="Q1337" s="28">
        <f>INT(C1337/10)*10</f>
        <v/>
      </c>
    </row>
    <row r="1338">
      <c r="A1338" s="21" t="n">
        <v>1365</v>
      </c>
      <c r="B1338" s="21" t="inlineStr">
        <is>
          <t>Chicken Run</t>
        </is>
      </c>
      <c r="C1338" s="21" t="n">
        <v>2000</v>
      </c>
      <c r="D1338" s="21" t="inlineStr">
        <is>
          <t>UK</t>
        </is>
      </c>
      <c r="E1338" s="21" t="n">
        <v>84</v>
      </c>
      <c r="F1338" s="21" t="inlineStr">
        <is>
          <t>English</t>
        </is>
      </c>
      <c r="G1338" s="21" t="inlineStr">
        <is>
          <t>G</t>
        </is>
      </c>
      <c r="H1338" s="22" t="n">
        <v>106793915</v>
      </c>
      <c r="I1338" s="22" t="n">
        <v>45000000</v>
      </c>
      <c r="J1338" s="21">
        <f>IF(OR(H1338="",H1338=25529689.5),"Yes","No")</f>
        <v/>
      </c>
      <c r="K1338" s="21">
        <f>IF(AND(D1338="USA",C1338&gt;=1980,J1338="No"),"Yes","No")</f>
        <v/>
      </c>
      <c r="L1338" s="26">
        <f>IF(J1338="Yes","",H1338-I1338)</f>
        <v/>
      </c>
      <c r="M1338" s="27">
        <f>IF(OR(J1338="Yes",I1338=0),"",H1338/I1338)</f>
        <v/>
      </c>
      <c r="N1338" s="21">
        <f>IF(J1338="Yes","",IF(H1338&gt;=I1338,1,0))</f>
        <v/>
      </c>
      <c r="O1338" s="21">
        <f>IF(I1338&lt;=5000000,"Under $5M",IF(I1338&lt;=20000000,"$5M-20M",IF(I1338&lt;=50000000,"$20M-50M",IF(I1338&lt;=100000000,"$50M-100M","$100M+"))))</f>
        <v/>
      </c>
      <c r="P1338" s="21">
        <f>IF(E1338&lt;=90,"90 or less",IF(E1338&lt;=105,"91-105",IF(E1338&lt;=120,"106-120",IF(E1338&lt;=140,"121-140","Over 140"))))</f>
        <v/>
      </c>
      <c r="Q1338" s="28">
        <f>INT(C1338/10)*10</f>
        <v/>
      </c>
    </row>
    <row r="1339">
      <c r="A1339" s="21" t="n">
        <v>1366</v>
      </c>
      <c r="B1339" s="21" t="inlineStr">
        <is>
          <t>Chocolat</t>
        </is>
      </c>
      <c r="C1339" s="21" t="n">
        <v>2000</v>
      </c>
      <c r="D1339" s="21" t="inlineStr">
        <is>
          <t>UK</t>
        </is>
      </c>
      <c r="E1339" s="21" t="n">
        <v>121</v>
      </c>
      <c r="F1339" s="21" t="inlineStr">
        <is>
          <t>English</t>
        </is>
      </c>
      <c r="G1339" s="21" t="inlineStr">
        <is>
          <t>PG-13</t>
        </is>
      </c>
      <c r="H1339" s="22" t="n">
        <v>71309760</v>
      </c>
      <c r="I1339" s="22" t="n">
        <v>25000000</v>
      </c>
      <c r="J1339" s="21">
        <f>IF(OR(H1339="",H1339=25529689.5),"Yes","No")</f>
        <v/>
      </c>
      <c r="K1339" s="21">
        <f>IF(AND(D1339="USA",C1339&gt;=1980,J1339="No"),"Yes","No")</f>
        <v/>
      </c>
      <c r="L1339" s="26">
        <f>IF(J1339="Yes","",H1339-I1339)</f>
        <v/>
      </c>
      <c r="M1339" s="27">
        <f>IF(OR(J1339="Yes",I1339=0),"",H1339/I1339)</f>
        <v/>
      </c>
      <c r="N1339" s="21">
        <f>IF(J1339="Yes","",IF(H1339&gt;=I1339,1,0))</f>
        <v/>
      </c>
      <c r="O1339" s="21">
        <f>IF(I1339&lt;=5000000,"Under $5M",IF(I1339&lt;=20000000,"$5M-20M",IF(I1339&lt;=50000000,"$20M-50M",IF(I1339&lt;=100000000,"$50M-100M","$100M+"))))</f>
        <v/>
      </c>
      <c r="P1339" s="21">
        <f>IF(E1339&lt;=90,"90 or less",IF(E1339&lt;=105,"91-105",IF(E1339&lt;=120,"106-120",IF(E1339&lt;=140,"121-140","Over 140"))))</f>
        <v/>
      </c>
      <c r="Q1339" s="28">
        <f>INT(C1339/10)*10</f>
        <v/>
      </c>
    </row>
    <row r="1340">
      <c r="A1340" s="21" t="n">
        <v>1367</v>
      </c>
      <c r="B1340" s="21" t="inlineStr">
        <is>
          <t>Chuck &amp; Buck</t>
        </is>
      </c>
      <c r="C1340" s="21" t="n">
        <v>2000</v>
      </c>
      <c r="D1340" s="21" t="inlineStr">
        <is>
          <t>USA</t>
        </is>
      </c>
      <c r="E1340" s="21" t="n">
        <v>96</v>
      </c>
      <c r="F1340" s="21" t="inlineStr">
        <is>
          <t>English</t>
        </is>
      </c>
      <c r="G1340" s="21" t="inlineStr">
        <is>
          <t>R</t>
        </is>
      </c>
      <c r="H1340" s="22" t="n">
        <v>1050600</v>
      </c>
      <c r="I1340" s="22" t="n">
        <v>250000</v>
      </c>
      <c r="J1340" s="21">
        <f>IF(OR(H1340="",H1340=25529689.5),"Yes","No")</f>
        <v/>
      </c>
      <c r="K1340" s="21">
        <f>IF(AND(D1340="USA",C1340&gt;=1980,J1340="No"),"Yes","No")</f>
        <v/>
      </c>
      <c r="L1340" s="26">
        <f>IF(J1340="Yes","",H1340-I1340)</f>
        <v/>
      </c>
      <c r="M1340" s="27">
        <f>IF(OR(J1340="Yes",I1340=0),"",H1340/I1340)</f>
        <v/>
      </c>
      <c r="N1340" s="21">
        <f>IF(J1340="Yes","",IF(H1340&gt;=I1340,1,0))</f>
        <v/>
      </c>
      <c r="O1340" s="21">
        <f>IF(I1340&lt;=5000000,"Under $5M",IF(I1340&lt;=20000000,"$5M-20M",IF(I1340&lt;=50000000,"$20M-50M",IF(I1340&lt;=100000000,"$50M-100M","$100M+"))))</f>
        <v/>
      </c>
      <c r="P1340" s="21">
        <f>IF(E1340&lt;=90,"90 or less",IF(E1340&lt;=105,"91-105",IF(E1340&lt;=120,"106-120",IF(E1340&lt;=140,"121-140","Over 140"))))</f>
        <v/>
      </c>
      <c r="Q1340" s="28">
        <f>INT(C1340/10)*10</f>
        <v/>
      </c>
    </row>
    <row r="1341">
      <c r="A1341" s="21" t="n">
        <v>1368</v>
      </c>
      <c r="B1341" s="21" t="inlineStr">
        <is>
          <t>Coyote Ugly</t>
        </is>
      </c>
      <c r="C1341" s="21" t="n">
        <v>2000</v>
      </c>
      <c r="D1341" s="21" t="inlineStr">
        <is>
          <t>USA</t>
        </is>
      </c>
      <c r="E1341" s="21" t="n">
        <v>107</v>
      </c>
      <c r="F1341" s="21" t="inlineStr">
        <is>
          <t>English</t>
        </is>
      </c>
      <c r="G1341" s="21" t="inlineStr">
        <is>
          <t>PG-13</t>
        </is>
      </c>
      <c r="H1341" s="22" t="n">
        <v>60786269</v>
      </c>
      <c r="I1341" s="22" t="n">
        <v>45000000</v>
      </c>
      <c r="J1341" s="21">
        <f>IF(OR(H1341="",H1341=25529689.5),"Yes","No")</f>
        <v/>
      </c>
      <c r="K1341" s="21">
        <f>IF(AND(D1341="USA",C1341&gt;=1980,J1341="No"),"Yes","No")</f>
        <v/>
      </c>
      <c r="L1341" s="26">
        <f>IF(J1341="Yes","",H1341-I1341)</f>
        <v/>
      </c>
      <c r="M1341" s="27">
        <f>IF(OR(J1341="Yes",I1341=0),"",H1341/I1341)</f>
        <v/>
      </c>
      <c r="N1341" s="21">
        <f>IF(J1341="Yes","",IF(H1341&gt;=I1341,1,0))</f>
        <v/>
      </c>
      <c r="O1341" s="21">
        <f>IF(I1341&lt;=5000000,"Under $5M",IF(I1341&lt;=20000000,"$5M-20M",IF(I1341&lt;=50000000,"$20M-50M",IF(I1341&lt;=100000000,"$50M-100M","$100M+"))))</f>
        <v/>
      </c>
      <c r="P1341" s="21">
        <f>IF(E1341&lt;=90,"90 or less",IF(E1341&lt;=105,"91-105",IF(E1341&lt;=120,"106-120",IF(E1341&lt;=140,"121-140","Over 140"))))</f>
        <v/>
      </c>
      <c r="Q1341" s="28">
        <f>INT(C1341/10)*10</f>
        <v/>
      </c>
    </row>
    <row r="1342">
      <c r="A1342" s="21" t="n">
        <v>1369</v>
      </c>
      <c r="B1342" s="21" t="inlineStr">
        <is>
          <t>Crouching Tiger, Hidden Dragon</t>
        </is>
      </c>
      <c r="C1342" s="21" t="n">
        <v>2000</v>
      </c>
      <c r="D1342" s="21" t="inlineStr">
        <is>
          <t>Taiwan</t>
        </is>
      </c>
      <c r="E1342" s="21" t="n">
        <v>120</v>
      </c>
      <c r="F1342" s="21" t="inlineStr">
        <is>
          <t>Mandarin</t>
        </is>
      </c>
      <c r="G1342" s="21" t="inlineStr">
        <is>
          <t>PG-13</t>
        </is>
      </c>
      <c r="H1342" s="22" t="n">
        <v>128067808</v>
      </c>
      <c r="I1342" s="22" t="n">
        <v>15000000</v>
      </c>
      <c r="J1342" s="21">
        <f>IF(OR(H1342="",H1342=25529689.5),"Yes","No")</f>
        <v/>
      </c>
      <c r="K1342" s="21">
        <f>IF(AND(D1342="USA",C1342&gt;=1980,J1342="No"),"Yes","No")</f>
        <v/>
      </c>
      <c r="L1342" s="26">
        <f>IF(J1342="Yes","",H1342-I1342)</f>
        <v/>
      </c>
      <c r="M1342" s="27">
        <f>IF(OR(J1342="Yes",I1342=0),"",H1342/I1342)</f>
        <v/>
      </c>
      <c r="N1342" s="21">
        <f>IF(J1342="Yes","",IF(H1342&gt;=I1342,1,0))</f>
        <v/>
      </c>
      <c r="O1342" s="21">
        <f>IF(I1342&lt;=5000000,"Under $5M",IF(I1342&lt;=20000000,"$5M-20M",IF(I1342&lt;=50000000,"$20M-50M",IF(I1342&lt;=100000000,"$50M-100M","$100M+"))))</f>
        <v/>
      </c>
      <c r="P1342" s="21">
        <f>IF(E1342&lt;=90,"90 or less",IF(E1342&lt;=105,"91-105",IF(E1342&lt;=120,"106-120",IF(E1342&lt;=140,"121-140","Over 140"))))</f>
        <v/>
      </c>
      <c r="Q1342" s="28">
        <f>INT(C1342/10)*10</f>
        <v/>
      </c>
    </row>
    <row r="1343">
      <c r="A1343" s="21" t="n">
        <v>1370</v>
      </c>
      <c r="B1343" s="21" t="inlineStr">
        <is>
          <t>Dancer in the Dark</t>
        </is>
      </c>
      <c r="C1343" s="21" t="n">
        <v>2000</v>
      </c>
      <c r="D1343" s="21" t="inlineStr">
        <is>
          <t>Denmark</t>
        </is>
      </c>
      <c r="E1343" s="21" t="n">
        <v>140</v>
      </c>
      <c r="F1343" s="21" t="inlineStr">
        <is>
          <t>English</t>
        </is>
      </c>
      <c r="G1343" s="21" t="inlineStr">
        <is>
          <t>R</t>
        </is>
      </c>
      <c r="H1343" s="22" t="n">
        <v>4157491</v>
      </c>
      <c r="I1343" s="22" t="n">
        <v>12800000</v>
      </c>
      <c r="J1343" s="21">
        <f>IF(OR(H1343="",H1343=25529689.5),"Yes","No")</f>
        <v/>
      </c>
      <c r="K1343" s="21">
        <f>IF(AND(D1343="USA",C1343&gt;=1980,J1343="No"),"Yes","No")</f>
        <v/>
      </c>
      <c r="L1343" s="26">
        <f>IF(J1343="Yes","",H1343-I1343)</f>
        <v/>
      </c>
      <c r="M1343" s="27">
        <f>IF(OR(J1343="Yes",I1343=0),"",H1343/I1343)</f>
        <v/>
      </c>
      <c r="N1343" s="21">
        <f>IF(J1343="Yes","",IF(H1343&gt;=I1343,1,0))</f>
        <v/>
      </c>
      <c r="O1343" s="21">
        <f>IF(I1343&lt;=5000000,"Under $5M",IF(I1343&lt;=20000000,"$5M-20M",IF(I1343&lt;=50000000,"$20M-50M",IF(I1343&lt;=100000000,"$50M-100M","$100M+"))))</f>
        <v/>
      </c>
      <c r="P1343" s="21">
        <f>IF(E1343&lt;=90,"90 or less",IF(E1343&lt;=105,"91-105",IF(E1343&lt;=120,"106-120",IF(E1343&lt;=140,"121-140","Over 140"))))</f>
        <v/>
      </c>
      <c r="Q1343" s="28">
        <f>INT(C1343/10)*10</f>
        <v/>
      </c>
    </row>
    <row r="1344">
      <c r="A1344" s="21" t="n">
        <v>1371</v>
      </c>
      <c r="B1344" s="21" t="inlineStr">
        <is>
          <t>Digimon: The Movie</t>
        </is>
      </c>
      <c r="C1344" s="21" t="n">
        <v>2000</v>
      </c>
      <c r="D1344" s="21" t="inlineStr">
        <is>
          <t>USA</t>
        </is>
      </c>
      <c r="E1344" s="21" t="n">
        <v>82</v>
      </c>
      <c r="F1344" s="21" t="inlineStr">
        <is>
          <t>English</t>
        </is>
      </c>
      <c r="G1344" s="21" t="inlineStr">
        <is>
          <t>PG</t>
        </is>
      </c>
      <c r="H1344" s="22" t="n">
        <v>9628751</v>
      </c>
      <c r="I1344" s="22" t="n">
        <v>5000000</v>
      </c>
      <c r="J1344" s="21">
        <f>IF(OR(H1344="",H1344=25529689.5),"Yes","No")</f>
        <v/>
      </c>
      <c r="K1344" s="21">
        <f>IF(AND(D1344="USA",C1344&gt;=1980,J1344="No"),"Yes","No")</f>
        <v/>
      </c>
      <c r="L1344" s="26">
        <f>IF(J1344="Yes","",H1344-I1344)</f>
        <v/>
      </c>
      <c r="M1344" s="27">
        <f>IF(OR(J1344="Yes",I1344=0),"",H1344/I1344)</f>
        <v/>
      </c>
      <c r="N1344" s="21">
        <f>IF(J1344="Yes","",IF(H1344&gt;=I1344,1,0))</f>
        <v/>
      </c>
      <c r="O1344" s="21">
        <f>IF(I1344&lt;=5000000,"Under $5M",IF(I1344&lt;=20000000,"$5M-20M",IF(I1344&lt;=50000000,"$20M-50M",IF(I1344&lt;=100000000,"$50M-100M","$100M+"))))</f>
        <v/>
      </c>
      <c r="P1344" s="21">
        <f>IF(E1344&lt;=90,"90 or less",IF(E1344&lt;=105,"91-105",IF(E1344&lt;=120,"106-120",IF(E1344&lt;=140,"121-140","Over 140"))))</f>
        <v/>
      </c>
      <c r="Q1344" s="28">
        <f>INT(C1344/10)*10</f>
        <v/>
      </c>
    </row>
    <row r="1345">
      <c r="A1345" s="21" t="n">
        <v>1372</v>
      </c>
      <c r="B1345" s="21" t="inlineStr">
        <is>
          <t>Dinner Rush</t>
        </is>
      </c>
      <c r="C1345" s="21" t="n">
        <v>2000</v>
      </c>
      <c r="D1345" s="21" t="inlineStr">
        <is>
          <t>USA</t>
        </is>
      </c>
      <c r="E1345" s="21" t="n">
        <v>99</v>
      </c>
      <c r="F1345" s="21" t="inlineStr">
        <is>
          <t>English</t>
        </is>
      </c>
      <c r="G1345" s="21" t="inlineStr">
        <is>
          <t>R</t>
        </is>
      </c>
      <c r="H1345" s="22" t="n">
        <v>110000</v>
      </c>
      <c r="I1345" s="22" t="n">
        <v>20000000</v>
      </c>
      <c r="J1345" s="21">
        <f>IF(OR(H1345="",H1345=25529689.5),"Yes","No")</f>
        <v/>
      </c>
      <c r="K1345" s="21">
        <f>IF(AND(D1345="USA",C1345&gt;=1980,J1345="No"),"Yes","No")</f>
        <v/>
      </c>
      <c r="L1345" s="26">
        <f>IF(J1345="Yes","",H1345-I1345)</f>
        <v/>
      </c>
      <c r="M1345" s="27">
        <f>IF(OR(J1345="Yes",I1345=0),"",H1345/I1345)</f>
        <v/>
      </c>
      <c r="N1345" s="21">
        <f>IF(J1345="Yes","",IF(H1345&gt;=I1345,1,0))</f>
        <v/>
      </c>
      <c r="O1345" s="21">
        <f>IF(I1345&lt;=5000000,"Under $5M",IF(I1345&lt;=20000000,"$5M-20M",IF(I1345&lt;=50000000,"$20M-50M",IF(I1345&lt;=100000000,"$50M-100M","$100M+"))))</f>
        <v/>
      </c>
      <c r="P1345" s="21">
        <f>IF(E1345&lt;=90,"90 or less",IF(E1345&lt;=105,"91-105",IF(E1345&lt;=120,"106-120",IF(E1345&lt;=140,"121-140","Over 140"))))</f>
        <v/>
      </c>
      <c r="Q1345" s="28">
        <f>INT(C1345/10)*10</f>
        <v/>
      </c>
    </row>
    <row r="1346">
      <c r="A1346" s="21" t="n">
        <v>1373</v>
      </c>
      <c r="B1346" s="21" t="inlineStr">
        <is>
          <t>Dinosaur</t>
        </is>
      </c>
      <c r="C1346" s="21" t="n">
        <v>2000</v>
      </c>
      <c r="D1346" s="21" t="inlineStr">
        <is>
          <t>USA</t>
        </is>
      </c>
      <c r="E1346" s="21" t="n">
        <v>82</v>
      </c>
      <c r="F1346" s="21" t="inlineStr">
        <is>
          <t>English</t>
        </is>
      </c>
      <c r="G1346" s="21" t="inlineStr">
        <is>
          <t>PG</t>
        </is>
      </c>
      <c r="H1346" s="22" t="n">
        <v>137748063</v>
      </c>
      <c r="I1346" s="22" t="n">
        <v>127500000</v>
      </c>
      <c r="J1346" s="21">
        <f>IF(OR(H1346="",H1346=25529689.5),"Yes","No")</f>
        <v/>
      </c>
      <c r="K1346" s="21">
        <f>IF(AND(D1346="USA",C1346&gt;=1980,J1346="No"),"Yes","No")</f>
        <v/>
      </c>
      <c r="L1346" s="26">
        <f>IF(J1346="Yes","",H1346-I1346)</f>
        <v/>
      </c>
      <c r="M1346" s="27">
        <f>IF(OR(J1346="Yes",I1346=0),"",H1346/I1346)</f>
        <v/>
      </c>
      <c r="N1346" s="21">
        <f>IF(J1346="Yes","",IF(H1346&gt;=I1346,1,0))</f>
        <v/>
      </c>
      <c r="O1346" s="21">
        <f>IF(I1346&lt;=5000000,"Under $5M",IF(I1346&lt;=20000000,"$5M-20M",IF(I1346&lt;=50000000,"$20M-50M",IF(I1346&lt;=100000000,"$50M-100M","$100M+"))))</f>
        <v/>
      </c>
      <c r="P1346" s="21">
        <f>IF(E1346&lt;=90,"90 or less",IF(E1346&lt;=105,"91-105",IF(E1346&lt;=120,"106-120",IF(E1346&lt;=140,"121-140","Over 140"))))</f>
        <v/>
      </c>
      <c r="Q1346" s="28">
        <f>INT(C1346/10)*10</f>
        <v/>
      </c>
    </row>
    <row r="1347">
      <c r="A1347" s="21" t="n">
        <v>1374</v>
      </c>
      <c r="B1347" s="21" t="inlineStr">
        <is>
          <t>Down to You</t>
        </is>
      </c>
      <c r="C1347" s="21" t="n">
        <v>2000</v>
      </c>
      <c r="D1347" s="21" t="inlineStr">
        <is>
          <t>USA</t>
        </is>
      </c>
      <c r="E1347" s="21" t="n">
        <v>91</v>
      </c>
      <c r="F1347" s="21" t="inlineStr">
        <is>
          <t>English</t>
        </is>
      </c>
      <c r="G1347" s="21" t="inlineStr">
        <is>
          <t>PG-13</t>
        </is>
      </c>
      <c r="H1347" s="22" t="n">
        <v>20035310</v>
      </c>
      <c r="I1347" s="22" t="n">
        <v>9000000</v>
      </c>
      <c r="J1347" s="21">
        <f>IF(OR(H1347="",H1347=25529689.5),"Yes","No")</f>
        <v/>
      </c>
      <c r="K1347" s="21">
        <f>IF(AND(D1347="USA",C1347&gt;=1980,J1347="No"),"Yes","No")</f>
        <v/>
      </c>
      <c r="L1347" s="26">
        <f>IF(J1347="Yes","",H1347-I1347)</f>
        <v/>
      </c>
      <c r="M1347" s="27">
        <f>IF(OR(J1347="Yes",I1347=0),"",H1347/I1347)</f>
        <v/>
      </c>
      <c r="N1347" s="21">
        <f>IF(J1347="Yes","",IF(H1347&gt;=I1347,1,0))</f>
        <v/>
      </c>
      <c r="O1347" s="21">
        <f>IF(I1347&lt;=5000000,"Under $5M",IF(I1347&lt;=20000000,"$5M-20M",IF(I1347&lt;=50000000,"$20M-50M",IF(I1347&lt;=100000000,"$50M-100M","$100M+"))))</f>
        <v/>
      </c>
      <c r="P1347" s="21">
        <f>IF(E1347&lt;=90,"90 or less",IF(E1347&lt;=105,"91-105",IF(E1347&lt;=120,"106-120",IF(E1347&lt;=140,"121-140","Over 140"))))</f>
        <v/>
      </c>
      <c r="Q1347" s="28">
        <f>INT(C1347/10)*10</f>
        <v/>
      </c>
    </row>
    <row r="1348">
      <c r="A1348" s="21" t="n">
        <v>1375</v>
      </c>
      <c r="B1348" s="21" t="inlineStr">
        <is>
          <t>Dracula 2000</t>
        </is>
      </c>
      <c r="C1348" s="21" t="n">
        <v>2000</v>
      </c>
      <c r="D1348" s="21" t="inlineStr">
        <is>
          <t>USA</t>
        </is>
      </c>
      <c r="E1348" s="21" t="n">
        <v>99</v>
      </c>
      <c r="F1348" s="21" t="inlineStr">
        <is>
          <t>English</t>
        </is>
      </c>
      <c r="G1348" s="21" t="inlineStr">
        <is>
          <t>R</t>
        </is>
      </c>
      <c r="H1348" s="22" t="n">
        <v>33000377</v>
      </c>
      <c r="I1348" s="22" t="n">
        <v>28000000</v>
      </c>
      <c r="J1348" s="21">
        <f>IF(OR(H1348="",H1348=25529689.5),"Yes","No")</f>
        <v/>
      </c>
      <c r="K1348" s="21">
        <f>IF(AND(D1348="USA",C1348&gt;=1980,J1348="No"),"Yes","No")</f>
        <v/>
      </c>
      <c r="L1348" s="26">
        <f>IF(J1348="Yes","",H1348-I1348)</f>
        <v/>
      </c>
      <c r="M1348" s="27">
        <f>IF(OR(J1348="Yes",I1348=0),"",H1348/I1348)</f>
        <v/>
      </c>
      <c r="N1348" s="21">
        <f>IF(J1348="Yes","",IF(H1348&gt;=I1348,1,0))</f>
        <v/>
      </c>
      <c r="O1348" s="21">
        <f>IF(I1348&lt;=5000000,"Under $5M",IF(I1348&lt;=20000000,"$5M-20M",IF(I1348&lt;=50000000,"$20M-50M",IF(I1348&lt;=100000000,"$50M-100M","$100M+"))))</f>
        <v/>
      </c>
      <c r="P1348" s="21">
        <f>IF(E1348&lt;=90,"90 or less",IF(E1348&lt;=105,"91-105",IF(E1348&lt;=120,"106-120",IF(E1348&lt;=140,"121-140","Over 140"))))</f>
        <v/>
      </c>
      <c r="Q1348" s="28">
        <f>INT(C1348/10)*10</f>
        <v/>
      </c>
    </row>
    <row r="1349">
      <c r="A1349" s="21" t="n">
        <v>1376</v>
      </c>
      <c r="B1349" s="21" t="inlineStr">
        <is>
          <t>Drowning Mona</t>
        </is>
      </c>
      <c r="C1349" s="21" t="n">
        <v>2000</v>
      </c>
      <c r="D1349" s="21" t="inlineStr">
        <is>
          <t>USA</t>
        </is>
      </c>
      <c r="E1349" s="21" t="n">
        <v>96</v>
      </c>
      <c r="F1349" s="21" t="inlineStr">
        <is>
          <t>English</t>
        </is>
      </c>
      <c r="G1349" s="21" t="inlineStr">
        <is>
          <t>PG-13</t>
        </is>
      </c>
      <c r="H1349" s="22" t="n">
        <v>15427192</v>
      </c>
      <c r="I1349" s="22" t="n">
        <v>16000000</v>
      </c>
      <c r="J1349" s="21">
        <f>IF(OR(H1349="",H1349=25529689.5),"Yes","No")</f>
        <v/>
      </c>
      <c r="K1349" s="21">
        <f>IF(AND(D1349="USA",C1349&gt;=1980,J1349="No"),"Yes","No")</f>
        <v/>
      </c>
      <c r="L1349" s="26">
        <f>IF(J1349="Yes","",H1349-I1349)</f>
        <v/>
      </c>
      <c r="M1349" s="27">
        <f>IF(OR(J1349="Yes",I1349=0),"",H1349/I1349)</f>
        <v/>
      </c>
      <c r="N1349" s="21">
        <f>IF(J1349="Yes","",IF(H1349&gt;=I1349,1,0))</f>
        <v/>
      </c>
      <c r="O1349" s="21">
        <f>IF(I1349&lt;=5000000,"Under $5M",IF(I1349&lt;=20000000,"$5M-20M",IF(I1349&lt;=50000000,"$20M-50M",IF(I1349&lt;=100000000,"$50M-100M","$100M+"))))</f>
        <v/>
      </c>
      <c r="P1349" s="21">
        <f>IF(E1349&lt;=90,"90 or less",IF(E1349&lt;=105,"91-105",IF(E1349&lt;=120,"106-120",IF(E1349&lt;=140,"121-140","Over 140"))))</f>
        <v/>
      </c>
      <c r="Q1349" s="28">
        <f>INT(C1349/10)*10</f>
        <v/>
      </c>
    </row>
    <row r="1350">
      <c r="A1350" s="21" t="n">
        <v>1377</v>
      </c>
      <c r="B1350" s="21" t="inlineStr">
        <is>
          <t>Dude, Where's My Car?</t>
        </is>
      </c>
      <c r="C1350" s="21" t="n">
        <v>2000</v>
      </c>
      <c r="D1350" s="21" t="inlineStr">
        <is>
          <t>USA</t>
        </is>
      </c>
      <c r="E1350" s="21" t="n">
        <v>83</v>
      </c>
      <c r="F1350" s="21" t="inlineStr">
        <is>
          <t>English</t>
        </is>
      </c>
      <c r="G1350" s="21" t="inlineStr">
        <is>
          <t>PG-13</t>
        </is>
      </c>
      <c r="H1350" s="22" t="n">
        <v>46729374</v>
      </c>
      <c r="I1350" s="22" t="n">
        <v>13000000</v>
      </c>
      <c r="J1350" s="21">
        <f>IF(OR(H1350="",H1350=25529689.5),"Yes","No")</f>
        <v/>
      </c>
      <c r="K1350" s="21">
        <f>IF(AND(D1350="USA",C1350&gt;=1980,J1350="No"),"Yes","No")</f>
        <v/>
      </c>
      <c r="L1350" s="26">
        <f>IF(J1350="Yes","",H1350-I1350)</f>
        <v/>
      </c>
      <c r="M1350" s="27">
        <f>IF(OR(J1350="Yes",I1350=0),"",H1350/I1350)</f>
        <v/>
      </c>
      <c r="N1350" s="21">
        <f>IF(J1350="Yes","",IF(H1350&gt;=I1350,1,0))</f>
        <v/>
      </c>
      <c r="O1350" s="21">
        <f>IF(I1350&lt;=5000000,"Under $5M",IF(I1350&lt;=20000000,"$5M-20M",IF(I1350&lt;=50000000,"$20M-50M",IF(I1350&lt;=100000000,"$50M-100M","$100M+"))))</f>
        <v/>
      </c>
      <c r="P1350" s="21">
        <f>IF(E1350&lt;=90,"90 or less",IF(E1350&lt;=105,"91-105",IF(E1350&lt;=120,"106-120",IF(E1350&lt;=140,"121-140","Over 140"))))</f>
        <v/>
      </c>
      <c r="Q1350" s="28">
        <f>INT(C1350/10)*10</f>
        <v/>
      </c>
    </row>
    <row r="1351">
      <c r="A1351" s="21" t="n">
        <v>1378</v>
      </c>
      <c r="B1351" s="21" t="inlineStr">
        <is>
          <t>Duets</t>
        </is>
      </c>
      <c r="C1351" s="21" t="n">
        <v>2000</v>
      </c>
      <c r="D1351" s="21" t="inlineStr">
        <is>
          <t>USA</t>
        </is>
      </c>
      <c r="E1351" s="21" t="n">
        <v>112</v>
      </c>
      <c r="F1351" s="21" t="inlineStr">
        <is>
          <t>English</t>
        </is>
      </c>
      <c r="G1351" s="21" t="inlineStr">
        <is>
          <t>R</t>
        </is>
      </c>
      <c r="H1351" s="22" t="n">
        <v>4734235</v>
      </c>
      <c r="I1351" s="22" t="n">
        <v>15000000</v>
      </c>
      <c r="J1351" s="21">
        <f>IF(OR(H1351="",H1351=25529689.5),"Yes","No")</f>
        <v/>
      </c>
      <c r="K1351" s="21">
        <f>IF(AND(D1351="USA",C1351&gt;=1980,J1351="No"),"Yes","No")</f>
        <v/>
      </c>
      <c r="L1351" s="26">
        <f>IF(J1351="Yes","",H1351-I1351)</f>
        <v/>
      </c>
      <c r="M1351" s="27">
        <f>IF(OR(J1351="Yes",I1351=0),"",H1351/I1351)</f>
        <v/>
      </c>
      <c r="N1351" s="21">
        <f>IF(J1351="Yes","",IF(H1351&gt;=I1351,1,0))</f>
        <v/>
      </c>
      <c r="O1351" s="21">
        <f>IF(I1351&lt;=5000000,"Under $5M",IF(I1351&lt;=20000000,"$5M-20M",IF(I1351&lt;=50000000,"$20M-50M",IF(I1351&lt;=100000000,"$50M-100M","$100M+"))))</f>
        <v/>
      </c>
      <c r="P1351" s="21">
        <f>IF(E1351&lt;=90,"90 or less",IF(E1351&lt;=105,"91-105",IF(E1351&lt;=120,"106-120",IF(E1351&lt;=140,"121-140","Over 140"))))</f>
        <v/>
      </c>
      <c r="Q1351" s="28">
        <f>INT(C1351/10)*10</f>
        <v/>
      </c>
    </row>
    <row r="1352">
      <c r="A1352" s="21" t="n">
        <v>1379</v>
      </c>
      <c r="B1352" s="21" t="inlineStr">
        <is>
          <t>Erin Brockovich</t>
        </is>
      </c>
      <c r="C1352" s="21" t="n">
        <v>2000</v>
      </c>
      <c r="D1352" s="21" t="inlineStr">
        <is>
          <t>USA</t>
        </is>
      </c>
      <c r="E1352" s="21" t="n">
        <v>131</v>
      </c>
      <c r="F1352" s="21" t="inlineStr">
        <is>
          <t>English</t>
        </is>
      </c>
      <c r="G1352" s="21" t="inlineStr">
        <is>
          <t>R</t>
        </is>
      </c>
      <c r="H1352" s="22" t="n">
        <v>125548685</v>
      </c>
      <c r="I1352" s="22" t="n">
        <v>52000000</v>
      </c>
      <c r="J1352" s="21">
        <f>IF(OR(H1352="",H1352=25529689.5),"Yes","No")</f>
        <v/>
      </c>
      <c r="K1352" s="21">
        <f>IF(AND(D1352="USA",C1352&gt;=1980,J1352="No"),"Yes","No")</f>
        <v/>
      </c>
      <c r="L1352" s="26">
        <f>IF(J1352="Yes","",H1352-I1352)</f>
        <v/>
      </c>
      <c r="M1352" s="27">
        <f>IF(OR(J1352="Yes",I1352=0),"",H1352/I1352)</f>
        <v/>
      </c>
      <c r="N1352" s="21">
        <f>IF(J1352="Yes","",IF(H1352&gt;=I1352,1,0))</f>
        <v/>
      </c>
      <c r="O1352" s="21">
        <f>IF(I1352&lt;=5000000,"Under $5M",IF(I1352&lt;=20000000,"$5M-20M",IF(I1352&lt;=50000000,"$20M-50M",IF(I1352&lt;=100000000,"$50M-100M","$100M+"))))</f>
        <v/>
      </c>
      <c r="P1352" s="21">
        <f>IF(E1352&lt;=90,"90 or less",IF(E1352&lt;=105,"91-105",IF(E1352&lt;=120,"106-120",IF(E1352&lt;=140,"121-140","Over 140"))))</f>
        <v/>
      </c>
      <c r="Q1352" s="28">
        <f>INT(C1352/10)*10</f>
        <v/>
      </c>
    </row>
    <row r="1353">
      <c r="A1353" s="21" t="n">
        <v>1380</v>
      </c>
      <c r="B1353" s="21" t="inlineStr">
        <is>
          <t>Everything Put Together</t>
        </is>
      </c>
      <c r="C1353" s="21" t="n">
        <v>2000</v>
      </c>
      <c r="D1353" s="21" t="inlineStr">
        <is>
          <t>USA</t>
        </is>
      </c>
      <c r="E1353" s="21" t="n">
        <v>87</v>
      </c>
      <c r="F1353" s="21" t="inlineStr">
        <is>
          <t>English</t>
        </is>
      </c>
      <c r="G1353" s="21" t="inlineStr">
        <is>
          <t>R</t>
        </is>
      </c>
      <c r="H1353" s="22" t="n">
        <v>25529689.5</v>
      </c>
      <c r="I1353" s="22" t="n">
        <v>100000</v>
      </c>
      <c r="J1353" s="21">
        <f>IF(OR(H1353="",H1353=25529689.5),"Yes","No")</f>
        <v/>
      </c>
      <c r="K1353" s="21">
        <f>IF(AND(D1353="USA",C1353&gt;=1980,J1353="No"),"Yes","No")</f>
        <v/>
      </c>
      <c r="L1353" s="26">
        <f>IF(J1353="Yes","",H1353-I1353)</f>
        <v/>
      </c>
      <c r="M1353" s="27">
        <f>IF(OR(J1353="Yes",I1353=0),"",H1353/I1353)</f>
        <v/>
      </c>
      <c r="N1353" s="21">
        <f>IF(J1353="Yes","",IF(H1353&gt;=I1353,1,0))</f>
        <v/>
      </c>
      <c r="O1353" s="21">
        <f>IF(I1353&lt;=5000000,"Under $5M",IF(I1353&lt;=20000000,"$5M-20M",IF(I1353&lt;=50000000,"$20M-50M",IF(I1353&lt;=100000000,"$50M-100M","$100M+"))))</f>
        <v/>
      </c>
      <c r="P1353" s="21">
        <f>IF(E1353&lt;=90,"90 or less",IF(E1353&lt;=105,"91-105",IF(E1353&lt;=120,"106-120",IF(E1353&lt;=140,"121-140","Over 140"))))</f>
        <v/>
      </c>
      <c r="Q1353" s="28">
        <f>INT(C1353/10)*10</f>
        <v/>
      </c>
    </row>
    <row r="1354">
      <c r="A1354" s="21" t="n">
        <v>1381</v>
      </c>
      <c r="B1354" s="21" t="inlineStr">
        <is>
          <t>Final Destination</t>
        </is>
      </c>
      <c r="C1354" s="21" t="n">
        <v>2000</v>
      </c>
      <c r="D1354" s="21" t="inlineStr">
        <is>
          <t>USA</t>
        </is>
      </c>
      <c r="E1354" s="21" t="n">
        <v>98</v>
      </c>
      <c r="F1354" s="21" t="inlineStr">
        <is>
          <t>English</t>
        </is>
      </c>
      <c r="G1354" s="21" t="inlineStr">
        <is>
          <t>R</t>
        </is>
      </c>
      <c r="H1354" s="22" t="n">
        <v>53302314</v>
      </c>
      <c r="I1354" s="22" t="n">
        <v>23000000</v>
      </c>
      <c r="J1354" s="21">
        <f>IF(OR(H1354="",H1354=25529689.5),"Yes","No")</f>
        <v/>
      </c>
      <c r="K1354" s="21">
        <f>IF(AND(D1354="USA",C1354&gt;=1980,J1354="No"),"Yes","No")</f>
        <v/>
      </c>
      <c r="L1354" s="26">
        <f>IF(J1354="Yes","",H1354-I1354)</f>
        <v/>
      </c>
      <c r="M1354" s="27">
        <f>IF(OR(J1354="Yes",I1354=0),"",H1354/I1354)</f>
        <v/>
      </c>
      <c r="N1354" s="21">
        <f>IF(J1354="Yes","",IF(H1354&gt;=I1354,1,0))</f>
        <v/>
      </c>
      <c r="O1354" s="21">
        <f>IF(I1354&lt;=5000000,"Under $5M",IF(I1354&lt;=20000000,"$5M-20M",IF(I1354&lt;=50000000,"$20M-50M",IF(I1354&lt;=100000000,"$50M-100M","$100M+"))))</f>
        <v/>
      </c>
      <c r="P1354" s="21">
        <f>IF(E1354&lt;=90,"90 or less",IF(E1354&lt;=105,"91-105",IF(E1354&lt;=120,"106-120",IF(E1354&lt;=140,"121-140","Over 140"))))</f>
        <v/>
      </c>
      <c r="Q1354" s="28">
        <f>INT(C1354/10)*10</f>
        <v/>
      </c>
    </row>
    <row r="1355">
      <c r="A1355" s="21" t="n">
        <v>1382</v>
      </c>
      <c r="B1355" s="21" t="inlineStr">
        <is>
          <t>Finding Forrester</t>
        </is>
      </c>
      <c r="C1355" s="21" t="n">
        <v>2000</v>
      </c>
      <c r="D1355" s="21" t="inlineStr">
        <is>
          <t>USA</t>
        </is>
      </c>
      <c r="E1355" s="21" t="n">
        <v>136</v>
      </c>
      <c r="F1355" s="21" t="inlineStr">
        <is>
          <t>English</t>
        </is>
      </c>
      <c r="G1355" s="21" t="inlineStr">
        <is>
          <t>PG-13</t>
        </is>
      </c>
      <c r="H1355" s="22" t="n">
        <v>51768623</v>
      </c>
      <c r="I1355" s="22" t="n">
        <v>43000000</v>
      </c>
      <c r="J1355" s="21">
        <f>IF(OR(H1355="",H1355=25529689.5),"Yes","No")</f>
        <v/>
      </c>
      <c r="K1355" s="21">
        <f>IF(AND(D1355="USA",C1355&gt;=1980,J1355="No"),"Yes","No")</f>
        <v/>
      </c>
      <c r="L1355" s="26">
        <f>IF(J1355="Yes","",H1355-I1355)</f>
        <v/>
      </c>
      <c r="M1355" s="27">
        <f>IF(OR(J1355="Yes",I1355=0),"",H1355/I1355)</f>
        <v/>
      </c>
      <c r="N1355" s="21">
        <f>IF(J1355="Yes","",IF(H1355&gt;=I1355,1,0))</f>
        <v/>
      </c>
      <c r="O1355" s="21">
        <f>IF(I1355&lt;=5000000,"Under $5M",IF(I1355&lt;=20000000,"$5M-20M",IF(I1355&lt;=50000000,"$20M-50M",IF(I1355&lt;=100000000,"$50M-100M","$100M+"))))</f>
        <v/>
      </c>
      <c r="P1355" s="21">
        <f>IF(E1355&lt;=90,"90 or less",IF(E1355&lt;=105,"91-105",IF(E1355&lt;=120,"106-120",IF(E1355&lt;=140,"121-140","Over 140"))))</f>
        <v/>
      </c>
      <c r="Q1355" s="28">
        <f>INT(C1355/10)*10</f>
        <v/>
      </c>
    </row>
    <row r="1356">
      <c r="A1356" s="21" t="n">
        <v>1383</v>
      </c>
      <c r="B1356" s="21" t="inlineStr">
        <is>
          <t>Fiza</t>
        </is>
      </c>
      <c r="C1356" s="21" t="n">
        <v>2000</v>
      </c>
      <c r="D1356" s="21" t="inlineStr">
        <is>
          <t>India</t>
        </is>
      </c>
      <c r="E1356" s="21" t="n">
        <v>167</v>
      </c>
      <c r="F1356" s="21" t="inlineStr">
        <is>
          <t>Hindi</t>
        </is>
      </c>
      <c r="G1356" s="21" t="n"/>
      <c r="H1356" s="22" t="n">
        <v>610991</v>
      </c>
      <c r="I1356" s="22" t="n">
        <v>1000000</v>
      </c>
      <c r="J1356" s="21">
        <f>IF(OR(H1356="",H1356=25529689.5),"Yes","No")</f>
        <v/>
      </c>
      <c r="K1356" s="21">
        <f>IF(AND(D1356="USA",C1356&gt;=1980,J1356="No"),"Yes","No")</f>
        <v/>
      </c>
      <c r="L1356" s="26">
        <f>IF(J1356="Yes","",H1356-I1356)</f>
        <v/>
      </c>
      <c r="M1356" s="27">
        <f>IF(OR(J1356="Yes",I1356=0),"",H1356/I1356)</f>
        <v/>
      </c>
      <c r="N1356" s="21">
        <f>IF(J1356="Yes","",IF(H1356&gt;=I1356,1,0))</f>
        <v/>
      </c>
      <c r="O1356" s="21">
        <f>IF(I1356&lt;=5000000,"Under $5M",IF(I1356&lt;=20000000,"$5M-20M",IF(I1356&lt;=50000000,"$20M-50M",IF(I1356&lt;=100000000,"$50M-100M","$100M+"))))</f>
        <v/>
      </c>
      <c r="P1356" s="21">
        <f>IF(E1356&lt;=90,"90 or less",IF(E1356&lt;=105,"91-105",IF(E1356&lt;=120,"106-120",IF(E1356&lt;=140,"121-140","Over 140"))))</f>
        <v/>
      </c>
      <c r="Q1356" s="28">
        <f>INT(C1356/10)*10</f>
        <v/>
      </c>
    </row>
    <row r="1357">
      <c r="A1357" s="21" t="n">
        <v>1384</v>
      </c>
      <c r="B1357" s="21" t="inlineStr">
        <is>
          <t>Frequency</t>
        </is>
      </c>
      <c r="C1357" s="21" t="n">
        <v>2000</v>
      </c>
      <c r="D1357" s="21" t="inlineStr">
        <is>
          <t>USA</t>
        </is>
      </c>
      <c r="E1357" s="21" t="n">
        <v>118</v>
      </c>
      <c r="F1357" s="21" t="inlineStr">
        <is>
          <t>English</t>
        </is>
      </c>
      <c r="G1357" s="21" t="inlineStr">
        <is>
          <t>PG-13</t>
        </is>
      </c>
      <c r="H1357" s="22" t="n">
        <v>44983704</v>
      </c>
      <c r="I1357" s="22" t="n">
        <v>31000000</v>
      </c>
      <c r="J1357" s="21">
        <f>IF(OR(H1357="",H1357=25529689.5),"Yes","No")</f>
        <v/>
      </c>
      <c r="K1357" s="21">
        <f>IF(AND(D1357="USA",C1357&gt;=1980,J1357="No"),"Yes","No")</f>
        <v/>
      </c>
      <c r="L1357" s="26">
        <f>IF(J1357="Yes","",H1357-I1357)</f>
        <v/>
      </c>
      <c r="M1357" s="27">
        <f>IF(OR(J1357="Yes",I1357=0),"",H1357/I1357)</f>
        <v/>
      </c>
      <c r="N1357" s="21">
        <f>IF(J1357="Yes","",IF(H1357&gt;=I1357,1,0))</f>
        <v/>
      </c>
      <c r="O1357" s="21">
        <f>IF(I1357&lt;=5000000,"Under $5M",IF(I1357&lt;=20000000,"$5M-20M",IF(I1357&lt;=50000000,"$20M-50M",IF(I1357&lt;=100000000,"$50M-100M","$100M+"))))</f>
        <v/>
      </c>
      <c r="P1357" s="21">
        <f>IF(E1357&lt;=90,"90 or less",IF(E1357&lt;=105,"91-105",IF(E1357&lt;=120,"106-120",IF(E1357&lt;=140,"121-140","Over 140"))))</f>
        <v/>
      </c>
      <c r="Q1357" s="28">
        <f>INT(C1357/10)*10</f>
        <v/>
      </c>
    </row>
    <row r="1358">
      <c r="A1358" s="21" t="n">
        <v>1385</v>
      </c>
      <c r="B1358" s="21" t="inlineStr">
        <is>
          <t>George Washington</t>
        </is>
      </c>
      <c r="C1358" s="21" t="n">
        <v>2000</v>
      </c>
      <c r="D1358" s="21" t="inlineStr">
        <is>
          <t>USA</t>
        </is>
      </c>
      <c r="E1358" s="21" t="n">
        <v>90</v>
      </c>
      <c r="F1358" s="21" t="inlineStr">
        <is>
          <t>English</t>
        </is>
      </c>
      <c r="G1358" s="21" t="inlineStr">
        <is>
          <t>Unrated</t>
        </is>
      </c>
      <c r="H1358" s="22" t="n">
        <v>241816</v>
      </c>
      <c r="I1358" s="22" t="n">
        <v>42000</v>
      </c>
      <c r="J1358" s="21">
        <f>IF(OR(H1358="",H1358=25529689.5),"Yes","No")</f>
        <v/>
      </c>
      <c r="K1358" s="21">
        <f>IF(AND(D1358="USA",C1358&gt;=1980,J1358="No"),"Yes","No")</f>
        <v/>
      </c>
      <c r="L1358" s="26">
        <f>IF(J1358="Yes","",H1358-I1358)</f>
        <v/>
      </c>
      <c r="M1358" s="27">
        <f>IF(OR(J1358="Yes",I1358=0),"",H1358/I1358)</f>
        <v/>
      </c>
      <c r="N1358" s="21">
        <f>IF(J1358="Yes","",IF(H1358&gt;=I1358,1,0))</f>
        <v/>
      </c>
      <c r="O1358" s="21">
        <f>IF(I1358&lt;=5000000,"Under $5M",IF(I1358&lt;=20000000,"$5M-20M",IF(I1358&lt;=50000000,"$20M-50M",IF(I1358&lt;=100000000,"$50M-100M","$100M+"))))</f>
        <v/>
      </c>
      <c r="P1358" s="21">
        <f>IF(E1358&lt;=90,"90 or less",IF(E1358&lt;=105,"91-105",IF(E1358&lt;=120,"106-120",IF(E1358&lt;=140,"121-140","Over 140"))))</f>
        <v/>
      </c>
      <c r="Q1358" s="28">
        <f>INT(C1358/10)*10</f>
        <v/>
      </c>
    </row>
    <row r="1359">
      <c r="A1359" s="21" t="n">
        <v>1386</v>
      </c>
      <c r="B1359" s="21" t="inlineStr">
        <is>
          <t>Get Carter</t>
        </is>
      </c>
      <c r="C1359" s="21" t="n">
        <v>2000</v>
      </c>
      <c r="D1359" s="21" t="inlineStr">
        <is>
          <t>USA</t>
        </is>
      </c>
      <c r="E1359" s="21" t="n">
        <v>102</v>
      </c>
      <c r="F1359" s="21" t="inlineStr">
        <is>
          <t>English</t>
        </is>
      </c>
      <c r="G1359" s="21" t="inlineStr">
        <is>
          <t>R</t>
        </is>
      </c>
      <c r="H1359" s="22" t="n">
        <v>14967182</v>
      </c>
      <c r="I1359" s="22" t="n">
        <v>40000000</v>
      </c>
      <c r="J1359" s="21">
        <f>IF(OR(H1359="",H1359=25529689.5),"Yes","No")</f>
        <v/>
      </c>
      <c r="K1359" s="21">
        <f>IF(AND(D1359="USA",C1359&gt;=1980,J1359="No"),"Yes","No")</f>
        <v/>
      </c>
      <c r="L1359" s="26">
        <f>IF(J1359="Yes","",H1359-I1359)</f>
        <v/>
      </c>
      <c r="M1359" s="27">
        <f>IF(OR(J1359="Yes",I1359=0),"",H1359/I1359)</f>
        <v/>
      </c>
      <c r="N1359" s="21">
        <f>IF(J1359="Yes","",IF(H1359&gt;=I1359,1,0))</f>
        <v/>
      </c>
      <c r="O1359" s="21">
        <f>IF(I1359&lt;=5000000,"Under $5M",IF(I1359&lt;=20000000,"$5M-20M",IF(I1359&lt;=50000000,"$20M-50M",IF(I1359&lt;=100000000,"$50M-100M","$100M+"))))</f>
        <v/>
      </c>
      <c r="P1359" s="21">
        <f>IF(E1359&lt;=90,"90 or less",IF(E1359&lt;=105,"91-105",IF(E1359&lt;=120,"106-120",IF(E1359&lt;=140,"121-140","Over 140"))))</f>
        <v/>
      </c>
      <c r="Q1359" s="28">
        <f>INT(C1359/10)*10</f>
        <v/>
      </c>
    </row>
    <row r="1360">
      <c r="A1360" s="21" t="n">
        <v>1387</v>
      </c>
      <c r="B1360" s="21" t="inlineStr">
        <is>
          <t>Gladiator</t>
        </is>
      </c>
      <c r="C1360" s="21" t="n">
        <v>2000</v>
      </c>
      <c r="D1360" s="21" t="inlineStr">
        <is>
          <t>USA</t>
        </is>
      </c>
      <c r="E1360" s="21" t="n">
        <v>171</v>
      </c>
      <c r="F1360" s="21" t="inlineStr">
        <is>
          <t>English</t>
        </is>
      </c>
      <c r="G1360" s="21" t="inlineStr">
        <is>
          <t>R</t>
        </is>
      </c>
      <c r="H1360" s="22" t="n">
        <v>187670866</v>
      </c>
      <c r="I1360" s="22" t="n">
        <v>103000000</v>
      </c>
      <c r="J1360" s="21">
        <f>IF(OR(H1360="",H1360=25529689.5),"Yes","No")</f>
        <v/>
      </c>
      <c r="K1360" s="21">
        <f>IF(AND(D1360="USA",C1360&gt;=1980,J1360="No"),"Yes","No")</f>
        <v/>
      </c>
      <c r="L1360" s="26">
        <f>IF(J1360="Yes","",H1360-I1360)</f>
        <v/>
      </c>
      <c r="M1360" s="27">
        <f>IF(OR(J1360="Yes",I1360=0),"",H1360/I1360)</f>
        <v/>
      </c>
      <c r="N1360" s="21">
        <f>IF(J1360="Yes","",IF(H1360&gt;=I1360,1,0))</f>
        <v/>
      </c>
      <c r="O1360" s="21">
        <f>IF(I1360&lt;=5000000,"Under $5M",IF(I1360&lt;=20000000,"$5M-20M",IF(I1360&lt;=50000000,"$20M-50M",IF(I1360&lt;=100000000,"$50M-100M","$100M+"))))</f>
        <v/>
      </c>
      <c r="P1360" s="21">
        <f>IF(E1360&lt;=90,"90 or less",IF(E1360&lt;=105,"91-105",IF(E1360&lt;=120,"106-120",IF(E1360&lt;=140,"121-140","Over 140"))))</f>
        <v/>
      </c>
      <c r="Q1360" s="28">
        <f>INT(C1360/10)*10</f>
        <v/>
      </c>
    </row>
    <row r="1361">
      <c r="A1361" s="21" t="n">
        <v>1388</v>
      </c>
      <c r="B1361" s="21" t="inlineStr">
        <is>
          <t>Gone in Sixty Seconds</t>
        </is>
      </c>
      <c r="C1361" s="21" t="n">
        <v>2000</v>
      </c>
      <c r="D1361" s="21" t="inlineStr">
        <is>
          <t>USA</t>
        </is>
      </c>
      <c r="E1361" s="21" t="n">
        <v>127</v>
      </c>
      <c r="F1361" s="21" t="inlineStr">
        <is>
          <t>English</t>
        </is>
      </c>
      <c r="G1361" s="21" t="inlineStr">
        <is>
          <t>PG-13</t>
        </is>
      </c>
      <c r="H1361" s="22" t="n">
        <v>101643008</v>
      </c>
      <c r="I1361" s="22" t="n">
        <v>90000000</v>
      </c>
      <c r="J1361" s="21">
        <f>IF(OR(H1361="",H1361=25529689.5),"Yes","No")</f>
        <v/>
      </c>
      <c r="K1361" s="21">
        <f>IF(AND(D1361="USA",C1361&gt;=1980,J1361="No"),"Yes","No")</f>
        <v/>
      </c>
      <c r="L1361" s="26">
        <f>IF(J1361="Yes","",H1361-I1361)</f>
        <v/>
      </c>
      <c r="M1361" s="27">
        <f>IF(OR(J1361="Yes",I1361=0),"",H1361/I1361)</f>
        <v/>
      </c>
      <c r="N1361" s="21">
        <f>IF(J1361="Yes","",IF(H1361&gt;=I1361,1,0))</f>
        <v/>
      </c>
      <c r="O1361" s="21">
        <f>IF(I1361&lt;=5000000,"Under $5M",IF(I1361&lt;=20000000,"$5M-20M",IF(I1361&lt;=50000000,"$20M-50M",IF(I1361&lt;=100000000,"$50M-100M","$100M+"))))</f>
        <v/>
      </c>
      <c r="P1361" s="21">
        <f>IF(E1361&lt;=90,"90 or less",IF(E1361&lt;=105,"91-105",IF(E1361&lt;=120,"106-120",IF(E1361&lt;=140,"121-140","Over 140"))))</f>
        <v/>
      </c>
      <c r="Q1361" s="28">
        <f>INT(C1361/10)*10</f>
        <v/>
      </c>
    </row>
    <row r="1362">
      <c r="A1362" s="21" t="n">
        <v>1389</v>
      </c>
      <c r="B1362" s="21" t="inlineStr">
        <is>
          <t>Gossip</t>
        </is>
      </c>
      <c r="C1362" s="21" t="n">
        <v>2000</v>
      </c>
      <c r="D1362" s="21" t="inlineStr">
        <is>
          <t>USA</t>
        </is>
      </c>
      <c r="E1362" s="21" t="n">
        <v>90</v>
      </c>
      <c r="F1362" s="21" t="inlineStr">
        <is>
          <t>English</t>
        </is>
      </c>
      <c r="G1362" s="21" t="inlineStr">
        <is>
          <t>R</t>
        </is>
      </c>
      <c r="H1362" s="22" t="n">
        <v>5108820</v>
      </c>
      <c r="I1362" s="22" t="n">
        <v>24000000</v>
      </c>
      <c r="J1362" s="21">
        <f>IF(OR(H1362="",H1362=25529689.5),"Yes","No")</f>
        <v/>
      </c>
      <c r="K1362" s="21">
        <f>IF(AND(D1362="USA",C1362&gt;=1980,J1362="No"),"Yes","No")</f>
        <v/>
      </c>
      <c r="L1362" s="26">
        <f>IF(J1362="Yes","",H1362-I1362)</f>
        <v/>
      </c>
      <c r="M1362" s="27">
        <f>IF(OR(J1362="Yes",I1362=0),"",H1362/I1362)</f>
        <v/>
      </c>
      <c r="N1362" s="21">
        <f>IF(J1362="Yes","",IF(H1362&gt;=I1362,1,0))</f>
        <v/>
      </c>
      <c r="O1362" s="21">
        <f>IF(I1362&lt;=5000000,"Under $5M",IF(I1362&lt;=20000000,"$5M-20M",IF(I1362&lt;=50000000,"$20M-50M",IF(I1362&lt;=100000000,"$50M-100M","$100M+"))))</f>
        <v/>
      </c>
      <c r="P1362" s="21">
        <f>IF(E1362&lt;=90,"90 or less",IF(E1362&lt;=105,"91-105",IF(E1362&lt;=120,"106-120",IF(E1362&lt;=140,"121-140","Over 140"))))</f>
        <v/>
      </c>
      <c r="Q1362" s="28">
        <f>INT(C1362/10)*10</f>
        <v/>
      </c>
    </row>
    <row r="1363">
      <c r="A1363" s="21" t="n">
        <v>1390</v>
      </c>
      <c r="B1363" s="21" t="inlineStr">
        <is>
          <t>Groove</t>
        </is>
      </c>
      <c r="C1363" s="21" t="n">
        <v>2000</v>
      </c>
      <c r="D1363" s="21" t="inlineStr">
        <is>
          <t>USA</t>
        </is>
      </c>
      <c r="E1363" s="21" t="n">
        <v>86</v>
      </c>
      <c r="F1363" s="21" t="inlineStr">
        <is>
          <t>English</t>
        </is>
      </c>
      <c r="G1363" s="21" t="inlineStr">
        <is>
          <t>R</t>
        </is>
      </c>
      <c r="H1363" s="22" t="n">
        <v>1114943</v>
      </c>
      <c r="I1363" s="22" t="n">
        <v>500000</v>
      </c>
      <c r="J1363" s="21">
        <f>IF(OR(H1363="",H1363=25529689.5),"Yes","No")</f>
        <v/>
      </c>
      <c r="K1363" s="21">
        <f>IF(AND(D1363="USA",C1363&gt;=1980,J1363="No"),"Yes","No")</f>
        <v/>
      </c>
      <c r="L1363" s="26">
        <f>IF(J1363="Yes","",H1363-I1363)</f>
        <v/>
      </c>
      <c r="M1363" s="27">
        <f>IF(OR(J1363="Yes",I1363=0),"",H1363/I1363)</f>
        <v/>
      </c>
      <c r="N1363" s="21">
        <f>IF(J1363="Yes","",IF(H1363&gt;=I1363,1,0))</f>
        <v/>
      </c>
      <c r="O1363" s="21">
        <f>IF(I1363&lt;=5000000,"Under $5M",IF(I1363&lt;=20000000,"$5M-20M",IF(I1363&lt;=50000000,"$20M-50M",IF(I1363&lt;=100000000,"$50M-100M","$100M+"))))</f>
        <v/>
      </c>
      <c r="P1363" s="21">
        <f>IF(E1363&lt;=90,"90 or less",IF(E1363&lt;=105,"91-105",IF(E1363&lt;=120,"106-120",IF(E1363&lt;=140,"121-140","Over 140"))))</f>
        <v/>
      </c>
      <c r="Q1363" s="28">
        <f>INT(C1363/10)*10</f>
        <v/>
      </c>
    </row>
    <row r="1364">
      <c r="A1364" s="21" t="n">
        <v>1391</v>
      </c>
      <c r="B1364" s="21" t="inlineStr">
        <is>
          <t>Gun Shy</t>
        </is>
      </c>
      <c r="C1364" s="21" t="n">
        <v>2000</v>
      </c>
      <c r="D1364" s="21" t="inlineStr">
        <is>
          <t>USA</t>
        </is>
      </c>
      <c r="E1364" s="21" t="n">
        <v>101</v>
      </c>
      <c r="F1364" s="21" t="inlineStr">
        <is>
          <t>English</t>
        </is>
      </c>
      <c r="G1364" s="21" t="inlineStr">
        <is>
          <t>R</t>
        </is>
      </c>
      <c r="H1364" s="22" t="n">
        <v>1631839</v>
      </c>
      <c r="I1364" s="22" t="n">
        <v>10000000</v>
      </c>
      <c r="J1364" s="21">
        <f>IF(OR(H1364="",H1364=25529689.5),"Yes","No")</f>
        <v/>
      </c>
      <c r="K1364" s="21">
        <f>IF(AND(D1364="USA",C1364&gt;=1980,J1364="No"),"Yes","No")</f>
        <v/>
      </c>
      <c r="L1364" s="26">
        <f>IF(J1364="Yes","",H1364-I1364)</f>
        <v/>
      </c>
      <c r="M1364" s="27">
        <f>IF(OR(J1364="Yes",I1364=0),"",H1364/I1364)</f>
        <v/>
      </c>
      <c r="N1364" s="21">
        <f>IF(J1364="Yes","",IF(H1364&gt;=I1364,1,0))</f>
        <v/>
      </c>
      <c r="O1364" s="21">
        <f>IF(I1364&lt;=5000000,"Under $5M",IF(I1364&lt;=20000000,"$5M-20M",IF(I1364&lt;=50000000,"$20M-50M",IF(I1364&lt;=100000000,"$50M-100M","$100M+"))))</f>
        <v/>
      </c>
      <c r="P1364" s="21">
        <f>IF(E1364&lt;=90,"90 or less",IF(E1364&lt;=105,"91-105",IF(E1364&lt;=120,"106-120",IF(E1364&lt;=140,"121-140","Over 140"))))</f>
        <v/>
      </c>
      <c r="Q1364" s="28">
        <f>INT(C1364/10)*10</f>
        <v/>
      </c>
    </row>
    <row r="1365">
      <c r="A1365" s="21" t="n">
        <v>1392</v>
      </c>
      <c r="B1365" s="21" t="inlineStr">
        <is>
          <t>Hanging Up</t>
        </is>
      </c>
      <c r="C1365" s="21" t="n">
        <v>2000</v>
      </c>
      <c r="D1365" s="21" t="inlineStr">
        <is>
          <t>Germany</t>
        </is>
      </c>
      <c r="E1365" s="21" t="n">
        <v>94</v>
      </c>
      <c r="F1365" s="21" t="inlineStr">
        <is>
          <t>English</t>
        </is>
      </c>
      <c r="G1365" s="21" t="inlineStr">
        <is>
          <t>PG-13</t>
        </is>
      </c>
      <c r="H1365" s="22" t="n">
        <v>36037909</v>
      </c>
      <c r="I1365" s="22" t="n">
        <v>60000000</v>
      </c>
      <c r="J1365" s="21">
        <f>IF(OR(H1365="",H1365=25529689.5),"Yes","No")</f>
        <v/>
      </c>
      <c r="K1365" s="21">
        <f>IF(AND(D1365="USA",C1365&gt;=1980,J1365="No"),"Yes","No")</f>
        <v/>
      </c>
      <c r="L1365" s="26">
        <f>IF(J1365="Yes","",H1365-I1365)</f>
        <v/>
      </c>
      <c r="M1365" s="27">
        <f>IF(OR(J1365="Yes",I1365=0),"",H1365/I1365)</f>
        <v/>
      </c>
      <c r="N1365" s="21">
        <f>IF(J1365="Yes","",IF(H1365&gt;=I1365,1,0))</f>
        <v/>
      </c>
      <c r="O1365" s="21">
        <f>IF(I1365&lt;=5000000,"Under $5M",IF(I1365&lt;=20000000,"$5M-20M",IF(I1365&lt;=50000000,"$20M-50M",IF(I1365&lt;=100000000,"$50M-100M","$100M+"))))</f>
        <v/>
      </c>
      <c r="P1365" s="21">
        <f>IF(E1365&lt;=90,"90 or less",IF(E1365&lt;=105,"91-105",IF(E1365&lt;=120,"106-120",IF(E1365&lt;=140,"121-140","Over 140"))))</f>
        <v/>
      </c>
      <c r="Q1365" s="28">
        <f>INT(C1365/10)*10</f>
        <v/>
      </c>
    </row>
    <row r="1366">
      <c r="A1366" s="21" t="n">
        <v>1393</v>
      </c>
      <c r="B1366" s="21" t="inlineStr">
        <is>
          <t>Here on Earth</t>
        </is>
      </c>
      <c r="C1366" s="21" t="n">
        <v>2000</v>
      </c>
      <c r="D1366" s="21" t="inlineStr">
        <is>
          <t>USA</t>
        </is>
      </c>
      <c r="E1366" s="21" t="n">
        <v>96</v>
      </c>
      <c r="F1366" s="21" t="inlineStr">
        <is>
          <t>English</t>
        </is>
      </c>
      <c r="G1366" s="21" t="inlineStr">
        <is>
          <t>PG-13</t>
        </is>
      </c>
      <c r="H1366" s="22" t="n">
        <v>10494147</v>
      </c>
      <c r="I1366" s="22" t="n">
        <v>15000000</v>
      </c>
      <c r="J1366" s="21">
        <f>IF(OR(H1366="",H1366=25529689.5),"Yes","No")</f>
        <v/>
      </c>
      <c r="K1366" s="21">
        <f>IF(AND(D1366="USA",C1366&gt;=1980,J1366="No"),"Yes","No")</f>
        <v/>
      </c>
      <c r="L1366" s="26">
        <f>IF(J1366="Yes","",H1366-I1366)</f>
        <v/>
      </c>
      <c r="M1366" s="27">
        <f>IF(OR(J1366="Yes",I1366=0),"",H1366/I1366)</f>
        <v/>
      </c>
      <c r="N1366" s="21">
        <f>IF(J1366="Yes","",IF(H1366&gt;=I1366,1,0))</f>
        <v/>
      </c>
      <c r="O1366" s="21">
        <f>IF(I1366&lt;=5000000,"Under $5M",IF(I1366&lt;=20000000,"$5M-20M",IF(I1366&lt;=50000000,"$20M-50M",IF(I1366&lt;=100000000,"$50M-100M","$100M+"))))</f>
        <v/>
      </c>
      <c r="P1366" s="21">
        <f>IF(E1366&lt;=90,"90 or less",IF(E1366&lt;=105,"91-105",IF(E1366&lt;=120,"106-120",IF(E1366&lt;=140,"121-140","Over 140"))))</f>
        <v/>
      </c>
      <c r="Q1366" s="28">
        <f>INT(C1366/10)*10</f>
        <v/>
      </c>
    </row>
    <row r="1367">
      <c r="A1367" s="21" t="n">
        <v>1394</v>
      </c>
      <c r="B1367" s="21" t="inlineStr">
        <is>
          <t>High Fidelity</t>
        </is>
      </c>
      <c r="C1367" s="21" t="n">
        <v>2000</v>
      </c>
      <c r="D1367" s="21" t="inlineStr">
        <is>
          <t>UK</t>
        </is>
      </c>
      <c r="E1367" s="21" t="n">
        <v>113</v>
      </c>
      <c r="F1367" s="21" t="inlineStr">
        <is>
          <t>English</t>
        </is>
      </c>
      <c r="G1367" s="21" t="inlineStr">
        <is>
          <t>R</t>
        </is>
      </c>
      <c r="H1367" s="22" t="n">
        <v>27277055</v>
      </c>
      <c r="I1367" s="22" t="n">
        <v>20000000</v>
      </c>
      <c r="J1367" s="21">
        <f>IF(OR(H1367="",H1367=25529689.5),"Yes","No")</f>
        <v/>
      </c>
      <c r="K1367" s="21">
        <f>IF(AND(D1367="USA",C1367&gt;=1980,J1367="No"),"Yes","No")</f>
        <v/>
      </c>
      <c r="L1367" s="26">
        <f>IF(J1367="Yes","",H1367-I1367)</f>
        <v/>
      </c>
      <c r="M1367" s="27">
        <f>IF(OR(J1367="Yes",I1367=0),"",H1367/I1367)</f>
        <v/>
      </c>
      <c r="N1367" s="21">
        <f>IF(J1367="Yes","",IF(H1367&gt;=I1367,1,0))</f>
        <v/>
      </c>
      <c r="O1367" s="21">
        <f>IF(I1367&lt;=5000000,"Under $5M",IF(I1367&lt;=20000000,"$5M-20M",IF(I1367&lt;=50000000,"$20M-50M",IF(I1367&lt;=100000000,"$50M-100M","$100M+"))))</f>
        <v/>
      </c>
      <c r="P1367" s="21">
        <f>IF(E1367&lt;=90,"90 or less",IF(E1367&lt;=105,"91-105",IF(E1367&lt;=120,"106-120",IF(E1367&lt;=140,"121-140","Over 140"))))</f>
        <v/>
      </c>
      <c r="Q1367" s="28">
        <f>INT(C1367/10)*10</f>
        <v/>
      </c>
    </row>
    <row r="1368">
      <c r="A1368" s="21" t="n">
        <v>1395</v>
      </c>
      <c r="B1368" s="21" t="inlineStr">
        <is>
          <t>Highlander: Endgame</t>
        </is>
      </c>
      <c r="C1368" s="21" t="n">
        <v>2000</v>
      </c>
      <c r="D1368" s="21" t="inlineStr">
        <is>
          <t>USA</t>
        </is>
      </c>
      <c r="E1368" s="21" t="n">
        <v>101</v>
      </c>
      <c r="F1368" s="21" t="inlineStr">
        <is>
          <t>English</t>
        </is>
      </c>
      <c r="G1368" s="21" t="inlineStr">
        <is>
          <t>R</t>
        </is>
      </c>
      <c r="H1368" s="22" t="n">
        <v>12801190</v>
      </c>
      <c r="I1368" s="22" t="n">
        <v>15000000</v>
      </c>
      <c r="J1368" s="21">
        <f>IF(OR(H1368="",H1368=25529689.5),"Yes","No")</f>
        <v/>
      </c>
      <c r="K1368" s="21">
        <f>IF(AND(D1368="USA",C1368&gt;=1980,J1368="No"),"Yes","No")</f>
        <v/>
      </c>
      <c r="L1368" s="26">
        <f>IF(J1368="Yes","",H1368-I1368)</f>
        <v/>
      </c>
      <c r="M1368" s="27">
        <f>IF(OR(J1368="Yes",I1368=0),"",H1368/I1368)</f>
        <v/>
      </c>
      <c r="N1368" s="21">
        <f>IF(J1368="Yes","",IF(H1368&gt;=I1368,1,0))</f>
        <v/>
      </c>
      <c r="O1368" s="21">
        <f>IF(I1368&lt;=5000000,"Under $5M",IF(I1368&lt;=20000000,"$5M-20M",IF(I1368&lt;=50000000,"$20M-50M",IF(I1368&lt;=100000000,"$50M-100M","$100M+"))))</f>
        <v/>
      </c>
      <c r="P1368" s="21">
        <f>IF(E1368&lt;=90,"90 or less",IF(E1368&lt;=105,"91-105",IF(E1368&lt;=120,"106-120",IF(E1368&lt;=140,"121-140","Over 140"))))</f>
        <v/>
      </c>
      <c r="Q1368" s="28">
        <f>INT(C1368/10)*10</f>
        <v/>
      </c>
    </row>
    <row r="1369">
      <c r="A1369" s="21" t="n">
        <v>1396</v>
      </c>
      <c r="B1369" s="21" t="inlineStr">
        <is>
          <t>Hollow Man</t>
        </is>
      </c>
      <c r="C1369" s="21" t="n">
        <v>2000</v>
      </c>
      <c r="D1369" s="21" t="inlineStr">
        <is>
          <t>USA</t>
        </is>
      </c>
      <c r="E1369" s="21" t="n">
        <v>119</v>
      </c>
      <c r="F1369" s="21" t="inlineStr">
        <is>
          <t>English</t>
        </is>
      </c>
      <c r="G1369" s="21" t="inlineStr">
        <is>
          <t>R</t>
        </is>
      </c>
      <c r="H1369" s="22" t="n">
        <v>73209340</v>
      </c>
      <c r="I1369" s="22" t="n">
        <v>95000000</v>
      </c>
      <c r="J1369" s="21">
        <f>IF(OR(H1369="",H1369=25529689.5),"Yes","No")</f>
        <v/>
      </c>
      <c r="K1369" s="21">
        <f>IF(AND(D1369="USA",C1369&gt;=1980,J1369="No"),"Yes","No")</f>
        <v/>
      </c>
      <c r="L1369" s="26">
        <f>IF(J1369="Yes","",H1369-I1369)</f>
        <v/>
      </c>
      <c r="M1369" s="27">
        <f>IF(OR(J1369="Yes",I1369=0),"",H1369/I1369)</f>
        <v/>
      </c>
      <c r="N1369" s="21">
        <f>IF(J1369="Yes","",IF(H1369&gt;=I1369,1,0))</f>
        <v/>
      </c>
      <c r="O1369" s="21">
        <f>IF(I1369&lt;=5000000,"Under $5M",IF(I1369&lt;=20000000,"$5M-20M",IF(I1369&lt;=50000000,"$20M-50M",IF(I1369&lt;=100000000,"$50M-100M","$100M+"))))</f>
        <v/>
      </c>
      <c r="P1369" s="21">
        <f>IF(E1369&lt;=90,"90 or less",IF(E1369&lt;=105,"91-105",IF(E1369&lt;=120,"106-120",IF(E1369&lt;=140,"121-140","Over 140"))))</f>
        <v/>
      </c>
      <c r="Q1369" s="28">
        <f>INT(C1369/10)*10</f>
        <v/>
      </c>
    </row>
    <row r="1370">
      <c r="A1370" s="21" t="n">
        <v>1397</v>
      </c>
      <c r="B1370" s="21" t="inlineStr">
        <is>
          <t>How the Grinch Stole Christmas</t>
        </is>
      </c>
      <c r="C1370" s="21" t="n">
        <v>2000</v>
      </c>
      <c r="D1370" s="21" t="inlineStr">
        <is>
          <t>USA</t>
        </is>
      </c>
      <c r="E1370" s="21" t="n">
        <v>110</v>
      </c>
      <c r="F1370" s="21" t="inlineStr">
        <is>
          <t>English</t>
        </is>
      </c>
      <c r="G1370" s="21" t="inlineStr">
        <is>
          <t>PG</t>
        </is>
      </c>
      <c r="H1370" s="22" t="n">
        <v>260031035</v>
      </c>
      <c r="I1370" s="22" t="n">
        <v>123000000</v>
      </c>
      <c r="J1370" s="21">
        <f>IF(OR(H1370="",H1370=25529689.5),"Yes","No")</f>
        <v/>
      </c>
      <c r="K1370" s="21">
        <f>IF(AND(D1370="USA",C1370&gt;=1980,J1370="No"),"Yes","No")</f>
        <v/>
      </c>
      <c r="L1370" s="26">
        <f>IF(J1370="Yes","",H1370-I1370)</f>
        <v/>
      </c>
      <c r="M1370" s="27">
        <f>IF(OR(J1370="Yes",I1370=0),"",H1370/I1370)</f>
        <v/>
      </c>
      <c r="N1370" s="21">
        <f>IF(J1370="Yes","",IF(H1370&gt;=I1370,1,0))</f>
        <v/>
      </c>
      <c r="O1370" s="21">
        <f>IF(I1370&lt;=5000000,"Under $5M",IF(I1370&lt;=20000000,"$5M-20M",IF(I1370&lt;=50000000,"$20M-50M",IF(I1370&lt;=100000000,"$50M-100M","$100M+"))))</f>
        <v/>
      </c>
      <c r="P1370" s="21">
        <f>IF(E1370&lt;=90,"90 or less",IF(E1370&lt;=105,"91-105",IF(E1370&lt;=120,"106-120",IF(E1370&lt;=140,"121-140","Over 140"))))</f>
        <v/>
      </c>
      <c r="Q1370" s="28">
        <f>INT(C1370/10)*10</f>
        <v/>
      </c>
    </row>
    <row r="1371">
      <c r="A1371" s="21" t="n">
        <v>1398</v>
      </c>
      <c r="B1371" s="21" t="inlineStr">
        <is>
          <t>Hum To Mohabbat Karega</t>
        </is>
      </c>
      <c r="C1371" s="21" t="n">
        <v>2000</v>
      </c>
      <c r="D1371" s="21" t="inlineStr">
        <is>
          <t>India</t>
        </is>
      </c>
      <c r="E1371" s="21" t="n">
        <v>104</v>
      </c>
      <c r="F1371" s="21" t="inlineStr">
        <is>
          <t>Hindi</t>
        </is>
      </c>
      <c r="G1371" s="21" t="n"/>
      <c r="H1371" s="22" t="n">
        <v>25529689.5</v>
      </c>
      <c r="I1371" s="22" t="n">
        <v>20000000</v>
      </c>
      <c r="J1371" s="21">
        <f>IF(OR(H1371="",H1371=25529689.5),"Yes","No")</f>
        <v/>
      </c>
      <c r="K1371" s="21">
        <f>IF(AND(D1371="USA",C1371&gt;=1980,J1371="No"),"Yes","No")</f>
        <v/>
      </c>
      <c r="L1371" s="26">
        <f>IF(J1371="Yes","",H1371-I1371)</f>
        <v/>
      </c>
      <c r="M1371" s="27">
        <f>IF(OR(J1371="Yes",I1371=0),"",H1371/I1371)</f>
        <v/>
      </c>
      <c r="N1371" s="21">
        <f>IF(J1371="Yes","",IF(H1371&gt;=I1371,1,0))</f>
        <v/>
      </c>
      <c r="O1371" s="21">
        <f>IF(I1371&lt;=5000000,"Under $5M",IF(I1371&lt;=20000000,"$5M-20M",IF(I1371&lt;=50000000,"$20M-50M",IF(I1371&lt;=100000000,"$50M-100M","$100M+"))))</f>
        <v/>
      </c>
      <c r="P1371" s="21">
        <f>IF(E1371&lt;=90,"90 or less",IF(E1371&lt;=105,"91-105",IF(E1371&lt;=120,"106-120",IF(E1371&lt;=140,"121-140","Over 140"))))</f>
        <v/>
      </c>
      <c r="Q1371" s="28">
        <f>INT(C1371/10)*10</f>
        <v/>
      </c>
    </row>
    <row r="1372">
      <c r="A1372" s="21" t="n">
        <v>1399</v>
      </c>
      <c r="B1372" s="21" t="inlineStr">
        <is>
          <t>I Dreamed of Africa</t>
        </is>
      </c>
      <c r="C1372" s="21" t="n">
        <v>2000</v>
      </c>
      <c r="D1372" s="21" t="inlineStr">
        <is>
          <t>USA</t>
        </is>
      </c>
      <c r="E1372" s="21" t="n">
        <v>114</v>
      </c>
      <c r="F1372" s="21" t="inlineStr">
        <is>
          <t>English</t>
        </is>
      </c>
      <c r="G1372" s="21" t="inlineStr">
        <is>
          <t>PG-13</t>
        </is>
      </c>
      <c r="H1372" s="22" t="n">
        <v>6543194</v>
      </c>
      <c r="I1372" s="22" t="n">
        <v>34000000</v>
      </c>
      <c r="J1372" s="21">
        <f>IF(OR(H1372="",H1372=25529689.5),"Yes","No")</f>
        <v/>
      </c>
      <c r="K1372" s="21">
        <f>IF(AND(D1372="USA",C1372&gt;=1980,J1372="No"),"Yes","No")</f>
        <v/>
      </c>
      <c r="L1372" s="26">
        <f>IF(J1372="Yes","",H1372-I1372)</f>
        <v/>
      </c>
      <c r="M1372" s="27">
        <f>IF(OR(J1372="Yes",I1372=0),"",H1372/I1372)</f>
        <v/>
      </c>
      <c r="N1372" s="21">
        <f>IF(J1372="Yes","",IF(H1372&gt;=I1372,1,0))</f>
        <v/>
      </c>
      <c r="O1372" s="21">
        <f>IF(I1372&lt;=5000000,"Under $5M",IF(I1372&lt;=20000000,"$5M-20M",IF(I1372&lt;=50000000,"$20M-50M",IF(I1372&lt;=100000000,"$50M-100M","$100M+"))))</f>
        <v/>
      </c>
      <c r="P1372" s="21">
        <f>IF(E1372&lt;=90,"90 or less",IF(E1372&lt;=105,"91-105",IF(E1372&lt;=120,"106-120",IF(E1372&lt;=140,"121-140","Over 140"))))</f>
        <v/>
      </c>
      <c r="Q1372" s="28">
        <f>INT(C1372/10)*10</f>
        <v/>
      </c>
    </row>
    <row r="1373">
      <c r="A1373" s="21" t="n">
        <v>1400</v>
      </c>
      <c r="B1373" s="21" t="inlineStr">
        <is>
          <t>Isn't She Great</t>
        </is>
      </c>
      <c r="C1373" s="21" t="n">
        <v>2000</v>
      </c>
      <c r="D1373" s="21" t="inlineStr">
        <is>
          <t>USA</t>
        </is>
      </c>
      <c r="E1373" s="21" t="n">
        <v>95</v>
      </c>
      <c r="F1373" s="21" t="inlineStr">
        <is>
          <t>English</t>
        </is>
      </c>
      <c r="G1373" s="21" t="inlineStr">
        <is>
          <t>R</t>
        </is>
      </c>
      <c r="H1373" s="22" t="n">
        <v>2954405</v>
      </c>
      <c r="I1373" s="22" t="n">
        <v>36000000</v>
      </c>
      <c r="J1373" s="21">
        <f>IF(OR(H1373="",H1373=25529689.5),"Yes","No")</f>
        <v/>
      </c>
      <c r="K1373" s="21">
        <f>IF(AND(D1373="USA",C1373&gt;=1980,J1373="No"),"Yes","No")</f>
        <v/>
      </c>
      <c r="L1373" s="26">
        <f>IF(J1373="Yes","",H1373-I1373)</f>
        <v/>
      </c>
      <c r="M1373" s="27">
        <f>IF(OR(J1373="Yes",I1373=0),"",H1373/I1373)</f>
        <v/>
      </c>
      <c r="N1373" s="21">
        <f>IF(J1373="Yes","",IF(H1373&gt;=I1373,1,0))</f>
        <v/>
      </c>
      <c r="O1373" s="21">
        <f>IF(I1373&lt;=5000000,"Under $5M",IF(I1373&lt;=20000000,"$5M-20M",IF(I1373&lt;=50000000,"$20M-50M",IF(I1373&lt;=100000000,"$50M-100M","$100M+"))))</f>
        <v/>
      </c>
      <c r="P1373" s="21">
        <f>IF(E1373&lt;=90,"90 or less",IF(E1373&lt;=105,"91-105",IF(E1373&lt;=120,"106-120",IF(E1373&lt;=140,"121-140","Over 140"))))</f>
        <v/>
      </c>
      <c r="Q1373" s="28">
        <f>INT(C1373/10)*10</f>
        <v/>
      </c>
    </row>
    <row r="1374">
      <c r="A1374" s="21" t="n">
        <v>1401</v>
      </c>
      <c r="B1374" s="21" t="inlineStr">
        <is>
          <t>Keeping the Faith</t>
        </is>
      </c>
      <c r="C1374" s="21" t="n">
        <v>2000</v>
      </c>
      <c r="D1374" s="21" t="inlineStr">
        <is>
          <t>USA</t>
        </is>
      </c>
      <c r="E1374" s="21" t="n">
        <v>128</v>
      </c>
      <c r="F1374" s="21" t="inlineStr">
        <is>
          <t>English</t>
        </is>
      </c>
      <c r="G1374" s="21" t="inlineStr">
        <is>
          <t>PG-13</t>
        </is>
      </c>
      <c r="H1374" s="22" t="n">
        <v>37036404</v>
      </c>
      <c r="I1374" s="22" t="n">
        <v>30000000</v>
      </c>
      <c r="J1374" s="21">
        <f>IF(OR(H1374="",H1374=25529689.5),"Yes","No")</f>
        <v/>
      </c>
      <c r="K1374" s="21">
        <f>IF(AND(D1374="USA",C1374&gt;=1980,J1374="No"),"Yes","No")</f>
        <v/>
      </c>
      <c r="L1374" s="26">
        <f>IF(J1374="Yes","",H1374-I1374)</f>
        <v/>
      </c>
      <c r="M1374" s="27">
        <f>IF(OR(J1374="Yes",I1374=0),"",H1374/I1374)</f>
        <v/>
      </c>
      <c r="N1374" s="21">
        <f>IF(J1374="Yes","",IF(H1374&gt;=I1374,1,0))</f>
        <v/>
      </c>
      <c r="O1374" s="21">
        <f>IF(I1374&lt;=5000000,"Under $5M",IF(I1374&lt;=20000000,"$5M-20M",IF(I1374&lt;=50000000,"$20M-50M",IF(I1374&lt;=100000000,"$50M-100M","$100M+"))))</f>
        <v/>
      </c>
      <c r="P1374" s="21">
        <f>IF(E1374&lt;=90,"90 or less",IF(E1374&lt;=105,"91-105",IF(E1374&lt;=120,"106-120",IF(E1374&lt;=140,"121-140","Over 140"))))</f>
        <v/>
      </c>
      <c r="Q1374" s="28">
        <f>INT(C1374/10)*10</f>
        <v/>
      </c>
    </row>
    <row r="1375">
      <c r="A1375" s="21" t="n">
        <v>1402</v>
      </c>
      <c r="B1375" s="21" t="inlineStr">
        <is>
          <t>Lisa Picard Is Famous</t>
        </is>
      </c>
      <c r="C1375" s="21" t="n">
        <v>2000</v>
      </c>
      <c r="D1375" s="21" t="inlineStr">
        <is>
          <t>USA</t>
        </is>
      </c>
      <c r="E1375" s="21" t="n">
        <v>90</v>
      </c>
      <c r="F1375" s="21" t="inlineStr">
        <is>
          <t>English</t>
        </is>
      </c>
      <c r="G1375" s="21" t="inlineStr">
        <is>
          <t>PG-13</t>
        </is>
      </c>
      <c r="H1375" s="22" t="n">
        <v>112521</v>
      </c>
      <c r="I1375" s="22" t="n">
        <v>20000000</v>
      </c>
      <c r="J1375" s="21">
        <f>IF(OR(H1375="",H1375=25529689.5),"Yes","No")</f>
        <v/>
      </c>
      <c r="K1375" s="21">
        <f>IF(AND(D1375="USA",C1375&gt;=1980,J1375="No"),"Yes","No")</f>
        <v/>
      </c>
      <c r="L1375" s="26">
        <f>IF(J1375="Yes","",H1375-I1375)</f>
        <v/>
      </c>
      <c r="M1375" s="27">
        <f>IF(OR(J1375="Yes",I1375=0),"",H1375/I1375)</f>
        <v/>
      </c>
      <c r="N1375" s="21">
        <f>IF(J1375="Yes","",IF(H1375&gt;=I1375,1,0))</f>
        <v/>
      </c>
      <c r="O1375" s="21">
        <f>IF(I1375&lt;=5000000,"Under $5M",IF(I1375&lt;=20000000,"$5M-20M",IF(I1375&lt;=50000000,"$20M-50M",IF(I1375&lt;=100000000,"$50M-100M","$100M+"))))</f>
        <v/>
      </c>
      <c r="P1375" s="21">
        <f>IF(E1375&lt;=90,"90 or less",IF(E1375&lt;=105,"91-105",IF(E1375&lt;=120,"106-120",IF(E1375&lt;=140,"121-140","Over 140"))))</f>
        <v/>
      </c>
      <c r="Q1375" s="28">
        <f>INT(C1375/10)*10</f>
        <v/>
      </c>
    </row>
    <row r="1376">
      <c r="A1376" s="21" t="n">
        <v>1403</v>
      </c>
      <c r="B1376" s="21" t="inlineStr">
        <is>
          <t>Little Nicky</t>
        </is>
      </c>
      <c r="C1376" s="21" t="n">
        <v>2000</v>
      </c>
      <c r="D1376" s="21" t="inlineStr">
        <is>
          <t>USA</t>
        </is>
      </c>
      <c r="E1376" s="21" t="n">
        <v>90</v>
      </c>
      <c r="F1376" s="21" t="inlineStr">
        <is>
          <t>English</t>
        </is>
      </c>
      <c r="G1376" s="21" t="inlineStr">
        <is>
          <t>PG-13</t>
        </is>
      </c>
      <c r="H1376" s="22" t="n">
        <v>39442871</v>
      </c>
      <c r="I1376" s="22" t="n">
        <v>80000000</v>
      </c>
      <c r="J1376" s="21">
        <f>IF(OR(H1376="",H1376=25529689.5),"Yes","No")</f>
        <v/>
      </c>
      <c r="K1376" s="21">
        <f>IF(AND(D1376="USA",C1376&gt;=1980,J1376="No"),"Yes","No")</f>
        <v/>
      </c>
      <c r="L1376" s="26">
        <f>IF(J1376="Yes","",H1376-I1376)</f>
        <v/>
      </c>
      <c r="M1376" s="27">
        <f>IF(OR(J1376="Yes",I1376=0),"",H1376/I1376)</f>
        <v/>
      </c>
      <c r="N1376" s="21">
        <f>IF(J1376="Yes","",IF(H1376&gt;=I1376,1,0))</f>
        <v/>
      </c>
      <c r="O1376" s="21">
        <f>IF(I1376&lt;=5000000,"Under $5M",IF(I1376&lt;=20000000,"$5M-20M",IF(I1376&lt;=50000000,"$20M-50M",IF(I1376&lt;=100000000,"$50M-100M","$100M+"))))</f>
        <v/>
      </c>
      <c r="P1376" s="21">
        <f>IF(E1376&lt;=90,"90 or less",IF(E1376&lt;=105,"91-105",IF(E1376&lt;=120,"106-120",IF(E1376&lt;=140,"121-140","Over 140"))))</f>
        <v/>
      </c>
      <c r="Q1376" s="28">
        <f>INT(C1376/10)*10</f>
        <v/>
      </c>
    </row>
    <row r="1377">
      <c r="A1377" s="21" t="n">
        <v>1404</v>
      </c>
      <c r="B1377" s="21" t="inlineStr">
        <is>
          <t>Loser</t>
        </is>
      </c>
      <c r="C1377" s="21" t="n">
        <v>2000</v>
      </c>
      <c r="D1377" s="21" t="inlineStr">
        <is>
          <t>USA</t>
        </is>
      </c>
      <c r="E1377" s="21" t="n">
        <v>98</v>
      </c>
      <c r="F1377" s="21" t="inlineStr">
        <is>
          <t>English</t>
        </is>
      </c>
      <c r="G1377" s="21" t="inlineStr">
        <is>
          <t>PG-13</t>
        </is>
      </c>
      <c r="H1377" s="22" t="n">
        <v>15464026</v>
      </c>
      <c r="I1377" s="22" t="n">
        <v>20000000</v>
      </c>
      <c r="J1377" s="21">
        <f>IF(OR(H1377="",H1377=25529689.5),"Yes","No")</f>
        <v/>
      </c>
      <c r="K1377" s="21">
        <f>IF(AND(D1377="USA",C1377&gt;=1980,J1377="No"),"Yes","No")</f>
        <v/>
      </c>
      <c r="L1377" s="26">
        <f>IF(J1377="Yes","",H1377-I1377)</f>
        <v/>
      </c>
      <c r="M1377" s="27">
        <f>IF(OR(J1377="Yes",I1377=0),"",H1377/I1377)</f>
        <v/>
      </c>
      <c r="N1377" s="21">
        <f>IF(J1377="Yes","",IF(H1377&gt;=I1377,1,0))</f>
        <v/>
      </c>
      <c r="O1377" s="21">
        <f>IF(I1377&lt;=5000000,"Under $5M",IF(I1377&lt;=20000000,"$5M-20M",IF(I1377&lt;=50000000,"$20M-50M",IF(I1377&lt;=100000000,"$50M-100M","$100M+"))))</f>
        <v/>
      </c>
      <c r="P1377" s="21">
        <f>IF(E1377&lt;=90,"90 or less",IF(E1377&lt;=105,"91-105",IF(E1377&lt;=120,"106-120",IF(E1377&lt;=140,"121-140","Over 140"))))</f>
        <v/>
      </c>
      <c r="Q1377" s="28">
        <f>INT(C1377/10)*10</f>
        <v/>
      </c>
    </row>
    <row r="1378">
      <c r="A1378" s="21" t="n">
        <v>1405</v>
      </c>
      <c r="B1378" s="21" t="inlineStr">
        <is>
          <t>Lost Souls</t>
        </is>
      </c>
      <c r="C1378" s="21" t="n">
        <v>2000</v>
      </c>
      <c r="D1378" s="21" t="inlineStr">
        <is>
          <t>USA</t>
        </is>
      </c>
      <c r="E1378" s="21" t="n">
        <v>97</v>
      </c>
      <c r="F1378" s="21" t="inlineStr">
        <is>
          <t>English</t>
        </is>
      </c>
      <c r="G1378" s="21" t="inlineStr">
        <is>
          <t>R</t>
        </is>
      </c>
      <c r="H1378" s="22" t="n">
        <v>16779636</v>
      </c>
      <c r="I1378" s="22" t="n">
        <v>28000000</v>
      </c>
      <c r="J1378" s="21">
        <f>IF(OR(H1378="",H1378=25529689.5),"Yes","No")</f>
        <v/>
      </c>
      <c r="K1378" s="21">
        <f>IF(AND(D1378="USA",C1378&gt;=1980,J1378="No"),"Yes","No")</f>
        <v/>
      </c>
      <c r="L1378" s="26">
        <f>IF(J1378="Yes","",H1378-I1378)</f>
        <v/>
      </c>
      <c r="M1378" s="27">
        <f>IF(OR(J1378="Yes",I1378=0),"",H1378/I1378)</f>
        <v/>
      </c>
      <c r="N1378" s="21">
        <f>IF(J1378="Yes","",IF(H1378&gt;=I1378,1,0))</f>
        <v/>
      </c>
      <c r="O1378" s="21">
        <f>IF(I1378&lt;=5000000,"Under $5M",IF(I1378&lt;=20000000,"$5M-20M",IF(I1378&lt;=50000000,"$20M-50M",IF(I1378&lt;=100000000,"$50M-100M","$100M+"))))</f>
        <v/>
      </c>
      <c r="P1378" s="21">
        <f>IF(E1378&lt;=90,"90 or less",IF(E1378&lt;=105,"91-105",IF(E1378&lt;=120,"106-120",IF(E1378&lt;=140,"121-140","Over 140"))))</f>
        <v/>
      </c>
      <c r="Q1378" s="28">
        <f>INT(C1378/10)*10</f>
        <v/>
      </c>
    </row>
    <row r="1379">
      <c r="A1379" s="21" t="n">
        <v>1406</v>
      </c>
      <c r="B1379" s="21" t="inlineStr">
        <is>
          <t>Love &amp; Basketball</t>
        </is>
      </c>
      <c r="C1379" s="21" t="n">
        <v>2000</v>
      </c>
      <c r="D1379" s="21" t="inlineStr">
        <is>
          <t>USA</t>
        </is>
      </c>
      <c r="E1379" s="21" t="n">
        <v>124</v>
      </c>
      <c r="F1379" s="21" t="inlineStr">
        <is>
          <t>English</t>
        </is>
      </c>
      <c r="G1379" s="21" t="inlineStr">
        <is>
          <t>PG-13</t>
        </is>
      </c>
      <c r="H1379" s="22" t="n">
        <v>27441122</v>
      </c>
      <c r="I1379" s="22" t="n">
        <v>15000000</v>
      </c>
      <c r="J1379" s="21">
        <f>IF(OR(H1379="",H1379=25529689.5),"Yes","No")</f>
        <v/>
      </c>
      <c r="K1379" s="21">
        <f>IF(AND(D1379="USA",C1379&gt;=1980,J1379="No"),"Yes","No")</f>
        <v/>
      </c>
      <c r="L1379" s="26">
        <f>IF(J1379="Yes","",H1379-I1379)</f>
        <v/>
      </c>
      <c r="M1379" s="27">
        <f>IF(OR(J1379="Yes",I1379=0),"",H1379/I1379)</f>
        <v/>
      </c>
      <c r="N1379" s="21">
        <f>IF(J1379="Yes","",IF(H1379&gt;=I1379,1,0))</f>
        <v/>
      </c>
      <c r="O1379" s="21">
        <f>IF(I1379&lt;=5000000,"Under $5M",IF(I1379&lt;=20000000,"$5M-20M",IF(I1379&lt;=50000000,"$20M-50M",IF(I1379&lt;=100000000,"$50M-100M","$100M+"))))</f>
        <v/>
      </c>
      <c r="P1379" s="21">
        <f>IF(E1379&lt;=90,"90 or less",IF(E1379&lt;=105,"91-105",IF(E1379&lt;=120,"106-120",IF(E1379&lt;=140,"121-140","Over 140"))))</f>
        <v/>
      </c>
      <c r="Q1379" s="28">
        <f>INT(C1379/10)*10</f>
        <v/>
      </c>
    </row>
    <row r="1380">
      <c r="A1380" s="21" t="n">
        <v>1407</v>
      </c>
      <c r="B1380" s="21" t="inlineStr">
        <is>
          <t>Lucky Numbers</t>
        </is>
      </c>
      <c r="C1380" s="21" t="n">
        <v>2000</v>
      </c>
      <c r="D1380" s="21" t="inlineStr">
        <is>
          <t>France</t>
        </is>
      </c>
      <c r="E1380" s="21" t="n">
        <v>105</v>
      </c>
      <c r="F1380" s="21" t="inlineStr">
        <is>
          <t>English</t>
        </is>
      </c>
      <c r="G1380" s="21" t="inlineStr">
        <is>
          <t>R</t>
        </is>
      </c>
      <c r="H1380" s="22" t="n">
        <v>10014234</v>
      </c>
      <c r="I1380" s="22" t="n">
        <v>65000000</v>
      </c>
      <c r="J1380" s="21">
        <f>IF(OR(H1380="",H1380=25529689.5),"Yes","No")</f>
        <v/>
      </c>
      <c r="K1380" s="21">
        <f>IF(AND(D1380="USA",C1380&gt;=1980,J1380="No"),"Yes","No")</f>
        <v/>
      </c>
      <c r="L1380" s="26">
        <f>IF(J1380="Yes","",H1380-I1380)</f>
        <v/>
      </c>
      <c r="M1380" s="27">
        <f>IF(OR(J1380="Yes",I1380=0),"",H1380/I1380)</f>
        <v/>
      </c>
      <c r="N1380" s="21">
        <f>IF(J1380="Yes","",IF(H1380&gt;=I1380,1,0))</f>
        <v/>
      </c>
      <c r="O1380" s="21">
        <f>IF(I1380&lt;=5000000,"Under $5M",IF(I1380&lt;=20000000,"$5M-20M",IF(I1380&lt;=50000000,"$20M-50M",IF(I1380&lt;=100000000,"$50M-100M","$100M+"))))</f>
        <v/>
      </c>
      <c r="P1380" s="21">
        <f>IF(E1380&lt;=90,"90 or less",IF(E1380&lt;=105,"91-105",IF(E1380&lt;=120,"106-120",IF(E1380&lt;=140,"121-140","Over 140"))))</f>
        <v/>
      </c>
      <c r="Q1380" s="28">
        <f>INT(C1380/10)*10</f>
        <v/>
      </c>
    </row>
    <row r="1381">
      <c r="A1381" s="21" t="n">
        <v>1408</v>
      </c>
      <c r="B1381" s="21" t="inlineStr">
        <is>
          <t>Luminarias</t>
        </is>
      </c>
      <c r="C1381" s="21" t="n">
        <v>2000</v>
      </c>
      <c r="D1381" s="21" t="inlineStr">
        <is>
          <t>USA</t>
        </is>
      </c>
      <c r="E1381" s="21" t="n">
        <v>100</v>
      </c>
      <c r="F1381" s="21" t="inlineStr">
        <is>
          <t>English</t>
        </is>
      </c>
      <c r="G1381" s="21" t="inlineStr">
        <is>
          <t>R</t>
        </is>
      </c>
      <c r="H1381" s="22" t="n">
        <v>428535</v>
      </c>
      <c r="I1381" s="22" t="n">
        <v>1000000</v>
      </c>
      <c r="J1381" s="21">
        <f>IF(OR(H1381="",H1381=25529689.5),"Yes","No")</f>
        <v/>
      </c>
      <c r="K1381" s="21">
        <f>IF(AND(D1381="USA",C1381&gt;=1980,J1381="No"),"Yes","No")</f>
        <v/>
      </c>
      <c r="L1381" s="26">
        <f>IF(J1381="Yes","",H1381-I1381)</f>
        <v/>
      </c>
      <c r="M1381" s="27">
        <f>IF(OR(J1381="Yes",I1381=0),"",H1381/I1381)</f>
        <v/>
      </c>
      <c r="N1381" s="21">
        <f>IF(J1381="Yes","",IF(H1381&gt;=I1381,1,0))</f>
        <v/>
      </c>
      <c r="O1381" s="21">
        <f>IF(I1381&lt;=5000000,"Under $5M",IF(I1381&lt;=20000000,"$5M-20M",IF(I1381&lt;=50000000,"$20M-50M",IF(I1381&lt;=100000000,"$50M-100M","$100M+"))))</f>
        <v/>
      </c>
      <c r="P1381" s="21">
        <f>IF(E1381&lt;=90,"90 or less",IF(E1381&lt;=105,"91-105",IF(E1381&lt;=120,"106-120",IF(E1381&lt;=140,"121-140","Over 140"))))</f>
        <v/>
      </c>
      <c r="Q1381" s="28">
        <f>INT(C1381/10)*10</f>
        <v/>
      </c>
    </row>
    <row r="1382">
      <c r="A1382" s="21" t="n">
        <v>1409</v>
      </c>
      <c r="B1382" s="21" t="inlineStr">
        <is>
          <t>Me, Myself &amp; Irene</t>
        </is>
      </c>
      <c r="C1382" s="21" t="n">
        <v>2000</v>
      </c>
      <c r="D1382" s="21" t="inlineStr">
        <is>
          <t>USA</t>
        </is>
      </c>
      <c r="E1382" s="21" t="n">
        <v>116</v>
      </c>
      <c r="F1382" s="21" t="inlineStr">
        <is>
          <t>English</t>
        </is>
      </c>
      <c r="G1382" s="21" t="inlineStr">
        <is>
          <t>R</t>
        </is>
      </c>
      <c r="H1382" s="22" t="n">
        <v>90567722</v>
      </c>
      <c r="I1382" s="22" t="n">
        <v>51000000</v>
      </c>
      <c r="J1382" s="21">
        <f>IF(OR(H1382="",H1382=25529689.5),"Yes","No")</f>
        <v/>
      </c>
      <c r="K1382" s="21">
        <f>IF(AND(D1382="USA",C1382&gt;=1980,J1382="No"),"Yes","No")</f>
        <v/>
      </c>
      <c r="L1382" s="26">
        <f>IF(J1382="Yes","",H1382-I1382)</f>
        <v/>
      </c>
      <c r="M1382" s="27">
        <f>IF(OR(J1382="Yes",I1382=0),"",H1382/I1382)</f>
        <v/>
      </c>
      <c r="N1382" s="21">
        <f>IF(J1382="Yes","",IF(H1382&gt;=I1382,1,0))</f>
        <v/>
      </c>
      <c r="O1382" s="21">
        <f>IF(I1382&lt;=5000000,"Under $5M",IF(I1382&lt;=20000000,"$5M-20M",IF(I1382&lt;=50000000,"$20M-50M",IF(I1382&lt;=100000000,"$50M-100M","$100M+"))))</f>
        <v/>
      </c>
      <c r="P1382" s="21">
        <f>IF(E1382&lt;=90,"90 or less",IF(E1382&lt;=105,"91-105",IF(E1382&lt;=120,"106-120",IF(E1382&lt;=140,"121-140","Over 140"))))</f>
        <v/>
      </c>
      <c r="Q1382" s="28">
        <f>INT(C1382/10)*10</f>
        <v/>
      </c>
    </row>
    <row r="1383">
      <c r="A1383" s="21" t="n">
        <v>1410</v>
      </c>
      <c r="B1383" s="21" t="inlineStr">
        <is>
          <t>Meet the Parents</t>
        </is>
      </c>
      <c r="C1383" s="21" t="n">
        <v>2000</v>
      </c>
      <c r="D1383" s="21" t="inlineStr">
        <is>
          <t>USA</t>
        </is>
      </c>
      <c r="E1383" s="21" t="n">
        <v>108</v>
      </c>
      <c r="F1383" s="21" t="inlineStr">
        <is>
          <t>English</t>
        </is>
      </c>
      <c r="G1383" s="21" t="inlineStr">
        <is>
          <t>PG-13</t>
        </is>
      </c>
      <c r="H1383" s="22" t="n">
        <v>166225040</v>
      </c>
      <c r="I1383" s="22" t="n">
        <v>55000000</v>
      </c>
      <c r="J1383" s="21">
        <f>IF(OR(H1383="",H1383=25529689.5),"Yes","No")</f>
        <v/>
      </c>
      <c r="K1383" s="21">
        <f>IF(AND(D1383="USA",C1383&gt;=1980,J1383="No"),"Yes","No")</f>
        <v/>
      </c>
      <c r="L1383" s="26">
        <f>IF(J1383="Yes","",H1383-I1383)</f>
        <v/>
      </c>
      <c r="M1383" s="27">
        <f>IF(OR(J1383="Yes",I1383=0),"",H1383/I1383)</f>
        <v/>
      </c>
      <c r="N1383" s="21">
        <f>IF(J1383="Yes","",IF(H1383&gt;=I1383,1,0))</f>
        <v/>
      </c>
      <c r="O1383" s="21">
        <f>IF(I1383&lt;=5000000,"Under $5M",IF(I1383&lt;=20000000,"$5M-20M",IF(I1383&lt;=50000000,"$20M-50M",IF(I1383&lt;=100000000,"$50M-100M","$100M+"))))</f>
        <v/>
      </c>
      <c r="P1383" s="21">
        <f>IF(E1383&lt;=90,"90 or less",IF(E1383&lt;=105,"91-105",IF(E1383&lt;=120,"106-120",IF(E1383&lt;=140,"121-140","Over 140"))))</f>
        <v/>
      </c>
      <c r="Q1383" s="28">
        <f>INT(C1383/10)*10</f>
        <v/>
      </c>
    </row>
    <row r="1384">
      <c r="A1384" s="21" t="n">
        <v>1411</v>
      </c>
      <c r="B1384" s="21" t="inlineStr">
        <is>
          <t>Memento</t>
        </is>
      </c>
      <c r="C1384" s="21" t="n">
        <v>2000</v>
      </c>
      <c r="D1384" s="21" t="inlineStr">
        <is>
          <t>USA</t>
        </is>
      </c>
      <c r="E1384" s="21" t="n">
        <v>113</v>
      </c>
      <c r="F1384" s="21" t="inlineStr">
        <is>
          <t>English</t>
        </is>
      </c>
      <c r="G1384" s="21" t="inlineStr">
        <is>
          <t>R</t>
        </is>
      </c>
      <c r="H1384" s="22" t="n">
        <v>25530884</v>
      </c>
      <c r="I1384" s="22" t="n">
        <v>9000000</v>
      </c>
      <c r="J1384" s="21">
        <f>IF(OR(H1384="",H1384=25529689.5),"Yes","No")</f>
        <v/>
      </c>
      <c r="K1384" s="21">
        <f>IF(AND(D1384="USA",C1384&gt;=1980,J1384="No"),"Yes","No")</f>
        <v/>
      </c>
      <c r="L1384" s="26">
        <f>IF(J1384="Yes","",H1384-I1384)</f>
        <v/>
      </c>
      <c r="M1384" s="27">
        <f>IF(OR(J1384="Yes",I1384=0),"",H1384/I1384)</f>
        <v/>
      </c>
      <c r="N1384" s="21">
        <f>IF(J1384="Yes","",IF(H1384&gt;=I1384,1,0))</f>
        <v/>
      </c>
      <c r="O1384" s="21">
        <f>IF(I1384&lt;=5000000,"Under $5M",IF(I1384&lt;=20000000,"$5M-20M",IF(I1384&lt;=50000000,"$20M-50M",IF(I1384&lt;=100000000,"$50M-100M","$100M+"))))</f>
        <v/>
      </c>
      <c r="P1384" s="21">
        <f>IF(E1384&lt;=90,"90 or less",IF(E1384&lt;=105,"91-105",IF(E1384&lt;=120,"106-120",IF(E1384&lt;=140,"121-140","Over 140"))))</f>
        <v/>
      </c>
      <c r="Q1384" s="28">
        <f>INT(C1384/10)*10</f>
        <v/>
      </c>
    </row>
    <row r="1385">
      <c r="A1385" s="21" t="n">
        <v>1412</v>
      </c>
      <c r="B1385" s="21" t="inlineStr">
        <is>
          <t>Men of Honor</t>
        </is>
      </c>
      <c r="C1385" s="21" t="n">
        <v>2000</v>
      </c>
      <c r="D1385" s="21" t="inlineStr">
        <is>
          <t>USA</t>
        </is>
      </c>
      <c r="E1385" s="21" t="n">
        <v>129</v>
      </c>
      <c r="F1385" s="21" t="inlineStr">
        <is>
          <t>English</t>
        </is>
      </c>
      <c r="G1385" s="21" t="inlineStr">
        <is>
          <t>R</t>
        </is>
      </c>
      <c r="H1385" s="22" t="n">
        <v>48814909</v>
      </c>
      <c r="I1385" s="22" t="n">
        <v>32000000</v>
      </c>
      <c r="J1385" s="21">
        <f>IF(OR(H1385="",H1385=25529689.5),"Yes","No")</f>
        <v/>
      </c>
      <c r="K1385" s="21">
        <f>IF(AND(D1385="USA",C1385&gt;=1980,J1385="No"),"Yes","No")</f>
        <v/>
      </c>
      <c r="L1385" s="26">
        <f>IF(J1385="Yes","",H1385-I1385)</f>
        <v/>
      </c>
      <c r="M1385" s="27">
        <f>IF(OR(J1385="Yes",I1385=0),"",H1385/I1385)</f>
        <v/>
      </c>
      <c r="N1385" s="21">
        <f>IF(J1385="Yes","",IF(H1385&gt;=I1385,1,0))</f>
        <v/>
      </c>
      <c r="O1385" s="21">
        <f>IF(I1385&lt;=5000000,"Under $5M",IF(I1385&lt;=20000000,"$5M-20M",IF(I1385&lt;=50000000,"$20M-50M",IF(I1385&lt;=100000000,"$50M-100M","$100M+"))))</f>
        <v/>
      </c>
      <c r="P1385" s="21">
        <f>IF(E1385&lt;=90,"90 or less",IF(E1385&lt;=105,"91-105",IF(E1385&lt;=120,"106-120",IF(E1385&lt;=140,"121-140","Over 140"))))</f>
        <v/>
      </c>
      <c r="Q1385" s="28">
        <f>INT(C1385/10)*10</f>
        <v/>
      </c>
    </row>
    <row r="1386">
      <c r="A1386" s="21" t="n">
        <v>1413</v>
      </c>
      <c r="B1386" s="21" t="inlineStr">
        <is>
          <t>Mercy Streets</t>
        </is>
      </c>
      <c r="C1386" s="21" t="n">
        <v>2000</v>
      </c>
      <c r="D1386" s="21" t="inlineStr">
        <is>
          <t>USA</t>
        </is>
      </c>
      <c r="E1386" s="21" t="n">
        <v>106</v>
      </c>
      <c r="F1386" s="21" t="inlineStr">
        <is>
          <t>English</t>
        </is>
      </c>
      <c r="G1386" s="21" t="inlineStr">
        <is>
          <t>PG-13</t>
        </is>
      </c>
      <c r="H1386" s="22" t="n">
        <v>171988</v>
      </c>
      <c r="I1386" s="22" t="n">
        <v>600000</v>
      </c>
      <c r="J1386" s="21">
        <f>IF(OR(H1386="",H1386=25529689.5),"Yes","No")</f>
        <v/>
      </c>
      <c r="K1386" s="21">
        <f>IF(AND(D1386="USA",C1386&gt;=1980,J1386="No"),"Yes","No")</f>
        <v/>
      </c>
      <c r="L1386" s="26">
        <f>IF(J1386="Yes","",H1386-I1386)</f>
        <v/>
      </c>
      <c r="M1386" s="27">
        <f>IF(OR(J1386="Yes",I1386=0),"",H1386/I1386)</f>
        <v/>
      </c>
      <c r="N1386" s="21">
        <f>IF(J1386="Yes","",IF(H1386&gt;=I1386,1,0))</f>
        <v/>
      </c>
      <c r="O1386" s="21">
        <f>IF(I1386&lt;=5000000,"Under $5M",IF(I1386&lt;=20000000,"$5M-20M",IF(I1386&lt;=50000000,"$20M-50M",IF(I1386&lt;=100000000,"$50M-100M","$100M+"))))</f>
        <v/>
      </c>
      <c r="P1386" s="21">
        <f>IF(E1386&lt;=90,"90 or less",IF(E1386&lt;=105,"91-105",IF(E1386&lt;=120,"106-120",IF(E1386&lt;=140,"121-140","Over 140"))))</f>
        <v/>
      </c>
      <c r="Q1386" s="28">
        <f>INT(C1386/10)*10</f>
        <v/>
      </c>
    </row>
    <row r="1387">
      <c r="A1387" s="21" t="n">
        <v>1414</v>
      </c>
      <c r="B1387" s="21" t="inlineStr">
        <is>
          <t>Michael Jordan to the Max</t>
        </is>
      </c>
      <c r="C1387" s="21" t="n">
        <v>2000</v>
      </c>
      <c r="D1387" s="21" t="inlineStr">
        <is>
          <t>USA</t>
        </is>
      </c>
      <c r="E1387" s="21" t="n">
        <v>46</v>
      </c>
      <c r="F1387" s="21" t="inlineStr">
        <is>
          <t>English</t>
        </is>
      </c>
      <c r="G1387" s="21" t="n"/>
      <c r="H1387" s="22" t="n">
        <v>18642318</v>
      </c>
      <c r="I1387" s="22" t="n">
        <v>20000000</v>
      </c>
      <c r="J1387" s="21">
        <f>IF(OR(H1387="",H1387=25529689.5),"Yes","No")</f>
        <v/>
      </c>
      <c r="K1387" s="21">
        <f>IF(AND(D1387="USA",C1387&gt;=1980,J1387="No"),"Yes","No")</f>
        <v/>
      </c>
      <c r="L1387" s="26">
        <f>IF(J1387="Yes","",H1387-I1387)</f>
        <v/>
      </c>
      <c r="M1387" s="27">
        <f>IF(OR(J1387="Yes",I1387=0),"",H1387/I1387)</f>
        <v/>
      </c>
      <c r="N1387" s="21">
        <f>IF(J1387="Yes","",IF(H1387&gt;=I1387,1,0))</f>
        <v/>
      </c>
      <c r="O1387" s="21">
        <f>IF(I1387&lt;=5000000,"Under $5M",IF(I1387&lt;=20000000,"$5M-20M",IF(I1387&lt;=50000000,"$20M-50M",IF(I1387&lt;=100000000,"$50M-100M","$100M+"))))</f>
        <v/>
      </c>
      <c r="P1387" s="21">
        <f>IF(E1387&lt;=90,"90 or less",IF(E1387&lt;=105,"91-105",IF(E1387&lt;=120,"106-120",IF(E1387&lt;=140,"121-140","Over 140"))))</f>
        <v/>
      </c>
      <c r="Q1387" s="28">
        <f>INT(C1387/10)*10</f>
        <v/>
      </c>
    </row>
    <row r="1388">
      <c r="A1388" s="21" t="n">
        <v>1415</v>
      </c>
      <c r="B1388" s="21" t="inlineStr">
        <is>
          <t>Miss Congeniality</t>
        </is>
      </c>
      <c r="C1388" s="21" t="n">
        <v>2000</v>
      </c>
      <c r="D1388" s="21" t="inlineStr">
        <is>
          <t>USA</t>
        </is>
      </c>
      <c r="E1388" s="21" t="n">
        <v>109</v>
      </c>
      <c r="F1388" s="21" t="inlineStr">
        <is>
          <t>English</t>
        </is>
      </c>
      <c r="G1388" s="21" t="inlineStr">
        <is>
          <t>PG-13</t>
        </is>
      </c>
      <c r="H1388" s="22" t="n">
        <v>106807667</v>
      </c>
      <c r="I1388" s="22" t="n">
        <v>45000000</v>
      </c>
      <c r="J1388" s="21">
        <f>IF(OR(H1388="",H1388=25529689.5),"Yes","No")</f>
        <v/>
      </c>
      <c r="K1388" s="21">
        <f>IF(AND(D1388="USA",C1388&gt;=1980,J1388="No"),"Yes","No")</f>
        <v/>
      </c>
      <c r="L1388" s="26">
        <f>IF(J1388="Yes","",H1388-I1388)</f>
        <v/>
      </c>
      <c r="M1388" s="27">
        <f>IF(OR(J1388="Yes",I1388=0),"",H1388/I1388)</f>
        <v/>
      </c>
      <c r="N1388" s="21">
        <f>IF(J1388="Yes","",IF(H1388&gt;=I1388,1,0))</f>
        <v/>
      </c>
      <c r="O1388" s="21">
        <f>IF(I1388&lt;=5000000,"Under $5M",IF(I1388&lt;=20000000,"$5M-20M",IF(I1388&lt;=50000000,"$20M-50M",IF(I1388&lt;=100000000,"$50M-100M","$100M+"))))</f>
        <v/>
      </c>
      <c r="P1388" s="21">
        <f>IF(E1388&lt;=90,"90 or less",IF(E1388&lt;=105,"91-105",IF(E1388&lt;=120,"106-120",IF(E1388&lt;=140,"121-140","Over 140"))))</f>
        <v/>
      </c>
      <c r="Q1388" s="28">
        <f>INT(C1388/10)*10</f>
        <v/>
      </c>
    </row>
    <row r="1389">
      <c r="A1389" s="21" t="n">
        <v>1416</v>
      </c>
      <c r="B1389" s="21" t="inlineStr">
        <is>
          <t>Mission to Mars</t>
        </is>
      </c>
      <c r="C1389" s="21" t="n">
        <v>2000</v>
      </c>
      <c r="D1389" s="21" t="inlineStr">
        <is>
          <t>USA</t>
        </is>
      </c>
      <c r="E1389" s="21" t="n">
        <v>114</v>
      </c>
      <c r="F1389" s="21" t="inlineStr">
        <is>
          <t>English</t>
        </is>
      </c>
      <c r="G1389" s="21" t="inlineStr">
        <is>
          <t>PG</t>
        </is>
      </c>
      <c r="H1389" s="22" t="n">
        <v>60874615</v>
      </c>
      <c r="I1389" s="22" t="n">
        <v>90000000</v>
      </c>
      <c r="J1389" s="21">
        <f>IF(OR(H1389="",H1389=25529689.5),"Yes","No")</f>
        <v/>
      </c>
      <c r="K1389" s="21">
        <f>IF(AND(D1389="USA",C1389&gt;=1980,J1389="No"),"Yes","No")</f>
        <v/>
      </c>
      <c r="L1389" s="26">
        <f>IF(J1389="Yes","",H1389-I1389)</f>
        <v/>
      </c>
      <c r="M1389" s="27">
        <f>IF(OR(J1389="Yes",I1389=0),"",H1389/I1389)</f>
        <v/>
      </c>
      <c r="N1389" s="21">
        <f>IF(J1389="Yes","",IF(H1389&gt;=I1389,1,0))</f>
        <v/>
      </c>
      <c r="O1389" s="21">
        <f>IF(I1389&lt;=5000000,"Under $5M",IF(I1389&lt;=20000000,"$5M-20M",IF(I1389&lt;=50000000,"$20M-50M",IF(I1389&lt;=100000000,"$50M-100M","$100M+"))))</f>
        <v/>
      </c>
      <c r="P1389" s="21">
        <f>IF(E1389&lt;=90,"90 or less",IF(E1389&lt;=105,"91-105",IF(E1389&lt;=120,"106-120",IF(E1389&lt;=140,"121-140","Over 140"))))</f>
        <v/>
      </c>
      <c r="Q1389" s="28">
        <f>INT(C1389/10)*10</f>
        <v/>
      </c>
    </row>
    <row r="1390">
      <c r="A1390" s="21" t="n">
        <v>1417</v>
      </c>
      <c r="B1390" s="21" t="inlineStr">
        <is>
          <t>Mission: Impossible II</t>
        </is>
      </c>
      <c r="C1390" s="21" t="n">
        <v>2000</v>
      </c>
      <c r="D1390" s="21" t="inlineStr">
        <is>
          <t>USA</t>
        </is>
      </c>
      <c r="E1390" s="21" t="n">
        <v>123</v>
      </c>
      <c r="F1390" s="21" t="inlineStr">
        <is>
          <t>English</t>
        </is>
      </c>
      <c r="G1390" s="21" t="inlineStr">
        <is>
          <t>PG-13</t>
        </is>
      </c>
      <c r="H1390" s="22" t="n">
        <v>215397307</v>
      </c>
      <c r="I1390" s="22" t="n">
        <v>125000000</v>
      </c>
      <c r="J1390" s="21">
        <f>IF(OR(H1390="",H1390=25529689.5),"Yes","No")</f>
        <v/>
      </c>
      <c r="K1390" s="21">
        <f>IF(AND(D1390="USA",C1390&gt;=1980,J1390="No"),"Yes","No")</f>
        <v/>
      </c>
      <c r="L1390" s="26">
        <f>IF(J1390="Yes","",H1390-I1390)</f>
        <v/>
      </c>
      <c r="M1390" s="27">
        <f>IF(OR(J1390="Yes",I1390=0),"",H1390/I1390)</f>
        <v/>
      </c>
      <c r="N1390" s="21">
        <f>IF(J1390="Yes","",IF(H1390&gt;=I1390,1,0))</f>
        <v/>
      </c>
      <c r="O1390" s="21">
        <f>IF(I1390&lt;=5000000,"Under $5M",IF(I1390&lt;=20000000,"$5M-20M",IF(I1390&lt;=50000000,"$20M-50M",IF(I1390&lt;=100000000,"$50M-100M","$100M+"))))</f>
        <v/>
      </c>
      <c r="P1390" s="21">
        <f>IF(E1390&lt;=90,"90 or less",IF(E1390&lt;=105,"91-105",IF(E1390&lt;=120,"106-120",IF(E1390&lt;=140,"121-140","Over 140"))))</f>
        <v/>
      </c>
      <c r="Q1390" s="28">
        <f>INT(C1390/10)*10</f>
        <v/>
      </c>
    </row>
    <row r="1391">
      <c r="A1391" s="21" t="n">
        <v>1418</v>
      </c>
      <c r="B1391" s="21" t="inlineStr">
        <is>
          <t>My Dog Skip</t>
        </is>
      </c>
      <c r="C1391" s="21" t="n">
        <v>2000</v>
      </c>
      <c r="D1391" s="21" t="inlineStr">
        <is>
          <t>USA</t>
        </is>
      </c>
      <c r="E1391" s="21" t="n">
        <v>95</v>
      </c>
      <c r="F1391" s="21" t="inlineStr">
        <is>
          <t>English</t>
        </is>
      </c>
      <c r="G1391" s="21" t="inlineStr">
        <is>
          <t>PG</t>
        </is>
      </c>
      <c r="H1391" s="22" t="n">
        <v>34099640</v>
      </c>
      <c r="I1391" s="22" t="n">
        <v>5000000</v>
      </c>
      <c r="J1391" s="21">
        <f>IF(OR(H1391="",H1391=25529689.5),"Yes","No")</f>
        <v/>
      </c>
      <c r="K1391" s="21">
        <f>IF(AND(D1391="USA",C1391&gt;=1980,J1391="No"),"Yes","No")</f>
        <v/>
      </c>
      <c r="L1391" s="26">
        <f>IF(J1391="Yes","",H1391-I1391)</f>
        <v/>
      </c>
      <c r="M1391" s="27">
        <f>IF(OR(J1391="Yes",I1391=0),"",H1391/I1391)</f>
        <v/>
      </c>
      <c r="N1391" s="21">
        <f>IF(J1391="Yes","",IF(H1391&gt;=I1391,1,0))</f>
        <v/>
      </c>
      <c r="O1391" s="21">
        <f>IF(I1391&lt;=5000000,"Under $5M",IF(I1391&lt;=20000000,"$5M-20M",IF(I1391&lt;=50000000,"$20M-50M",IF(I1391&lt;=100000000,"$50M-100M","$100M+"))))</f>
        <v/>
      </c>
      <c r="P1391" s="21">
        <f>IF(E1391&lt;=90,"90 or less",IF(E1391&lt;=105,"91-105",IF(E1391&lt;=120,"106-120",IF(E1391&lt;=140,"121-140","Over 140"))))</f>
        <v/>
      </c>
      <c r="Q1391" s="28">
        <f>INT(C1391/10)*10</f>
        <v/>
      </c>
    </row>
    <row r="1392">
      <c r="A1392" s="21" t="n">
        <v>1419</v>
      </c>
      <c r="B1392" s="21" t="inlineStr">
        <is>
          <t>Next Friday</t>
        </is>
      </c>
      <c r="C1392" s="21" t="n">
        <v>2000</v>
      </c>
      <c r="D1392" s="21" t="inlineStr">
        <is>
          <t>USA</t>
        </is>
      </c>
      <c r="E1392" s="21" t="n">
        <v>98</v>
      </c>
      <c r="F1392" s="21" t="inlineStr">
        <is>
          <t>English</t>
        </is>
      </c>
      <c r="G1392" s="21" t="inlineStr">
        <is>
          <t>R</t>
        </is>
      </c>
      <c r="H1392" s="22" t="n">
        <v>57176582</v>
      </c>
      <c r="I1392" s="22" t="n">
        <v>9500000</v>
      </c>
      <c r="J1392" s="21">
        <f>IF(OR(H1392="",H1392=25529689.5),"Yes","No")</f>
        <v/>
      </c>
      <c r="K1392" s="21">
        <f>IF(AND(D1392="USA",C1392&gt;=1980,J1392="No"),"Yes","No")</f>
        <v/>
      </c>
      <c r="L1392" s="26">
        <f>IF(J1392="Yes","",H1392-I1392)</f>
        <v/>
      </c>
      <c r="M1392" s="27">
        <f>IF(OR(J1392="Yes",I1392=0),"",H1392/I1392)</f>
        <v/>
      </c>
      <c r="N1392" s="21">
        <f>IF(J1392="Yes","",IF(H1392&gt;=I1392,1,0))</f>
        <v/>
      </c>
      <c r="O1392" s="21">
        <f>IF(I1392&lt;=5000000,"Under $5M",IF(I1392&lt;=20000000,"$5M-20M",IF(I1392&lt;=50000000,"$20M-50M",IF(I1392&lt;=100000000,"$50M-100M","$100M+"))))</f>
        <v/>
      </c>
      <c r="P1392" s="21">
        <f>IF(E1392&lt;=90,"90 or less",IF(E1392&lt;=105,"91-105",IF(E1392&lt;=120,"106-120",IF(E1392&lt;=140,"121-140","Over 140"))))</f>
        <v/>
      </c>
      <c r="Q1392" s="28">
        <f>INT(C1392/10)*10</f>
        <v/>
      </c>
    </row>
    <row r="1393">
      <c r="A1393" s="21" t="n">
        <v>1420</v>
      </c>
      <c r="B1393" s="21" t="inlineStr">
        <is>
          <t>Nine Queens</t>
        </is>
      </c>
      <c r="C1393" s="21" t="n">
        <v>2000</v>
      </c>
      <c r="D1393" s="21" t="inlineStr">
        <is>
          <t>Argentina</t>
        </is>
      </c>
      <c r="E1393" s="21" t="n">
        <v>114</v>
      </c>
      <c r="F1393" s="21" t="inlineStr">
        <is>
          <t>Spanish</t>
        </is>
      </c>
      <c r="G1393" s="21" t="inlineStr">
        <is>
          <t>R</t>
        </is>
      </c>
      <c r="H1393" s="22" t="n">
        <v>1221261</v>
      </c>
      <c r="I1393" s="22" t="n">
        <v>1500000</v>
      </c>
      <c r="J1393" s="21">
        <f>IF(OR(H1393="",H1393=25529689.5),"Yes","No")</f>
        <v/>
      </c>
      <c r="K1393" s="21">
        <f>IF(AND(D1393="USA",C1393&gt;=1980,J1393="No"),"Yes","No")</f>
        <v/>
      </c>
      <c r="L1393" s="26">
        <f>IF(J1393="Yes","",H1393-I1393)</f>
        <v/>
      </c>
      <c r="M1393" s="27">
        <f>IF(OR(J1393="Yes",I1393=0),"",H1393/I1393)</f>
        <v/>
      </c>
      <c r="N1393" s="21">
        <f>IF(J1393="Yes","",IF(H1393&gt;=I1393,1,0))</f>
        <v/>
      </c>
      <c r="O1393" s="21">
        <f>IF(I1393&lt;=5000000,"Under $5M",IF(I1393&lt;=20000000,"$5M-20M",IF(I1393&lt;=50000000,"$20M-50M",IF(I1393&lt;=100000000,"$50M-100M","$100M+"))))</f>
        <v/>
      </c>
      <c r="P1393" s="21">
        <f>IF(E1393&lt;=90,"90 or less",IF(E1393&lt;=105,"91-105",IF(E1393&lt;=120,"106-120",IF(E1393&lt;=140,"121-140","Over 140"))))</f>
        <v/>
      </c>
      <c r="Q1393" s="28">
        <f>INT(C1393/10)*10</f>
        <v/>
      </c>
    </row>
    <row r="1394">
      <c r="A1394" s="21" t="n">
        <v>1421</v>
      </c>
      <c r="B1394" s="21" t="inlineStr">
        <is>
          <t>Nurse Betty</t>
        </is>
      </c>
      <c r="C1394" s="21" t="n">
        <v>2000</v>
      </c>
      <c r="D1394" s="21" t="inlineStr">
        <is>
          <t>Germany</t>
        </is>
      </c>
      <c r="E1394" s="21" t="n">
        <v>110</v>
      </c>
      <c r="F1394" s="21" t="inlineStr">
        <is>
          <t>English</t>
        </is>
      </c>
      <c r="G1394" s="21" t="inlineStr">
        <is>
          <t>R</t>
        </is>
      </c>
      <c r="H1394" s="22" t="n">
        <v>25167270</v>
      </c>
      <c r="I1394" s="22" t="n">
        <v>24000000</v>
      </c>
      <c r="J1394" s="21">
        <f>IF(OR(H1394="",H1394=25529689.5),"Yes","No")</f>
        <v/>
      </c>
      <c r="K1394" s="21">
        <f>IF(AND(D1394="USA",C1394&gt;=1980,J1394="No"),"Yes","No")</f>
        <v/>
      </c>
      <c r="L1394" s="26">
        <f>IF(J1394="Yes","",H1394-I1394)</f>
        <v/>
      </c>
      <c r="M1394" s="27">
        <f>IF(OR(J1394="Yes",I1394=0),"",H1394/I1394)</f>
        <v/>
      </c>
      <c r="N1394" s="21">
        <f>IF(J1394="Yes","",IF(H1394&gt;=I1394,1,0))</f>
        <v/>
      </c>
      <c r="O1394" s="21">
        <f>IF(I1394&lt;=5000000,"Under $5M",IF(I1394&lt;=20000000,"$5M-20M",IF(I1394&lt;=50000000,"$20M-50M",IF(I1394&lt;=100000000,"$50M-100M","$100M+"))))</f>
        <v/>
      </c>
      <c r="P1394" s="21">
        <f>IF(E1394&lt;=90,"90 or less",IF(E1394&lt;=105,"91-105",IF(E1394&lt;=120,"106-120",IF(E1394&lt;=140,"121-140","Over 140"))))</f>
        <v/>
      </c>
      <c r="Q1394" s="28">
        <f>INT(C1394/10)*10</f>
        <v/>
      </c>
    </row>
    <row r="1395">
      <c r="A1395" s="21" t="n">
        <v>1422</v>
      </c>
      <c r="B1395" s="21" t="inlineStr">
        <is>
          <t>Nutty Professor II: The Klumps</t>
        </is>
      </c>
      <c r="C1395" s="21" t="n">
        <v>2000</v>
      </c>
      <c r="D1395" s="21" t="inlineStr">
        <is>
          <t>USA</t>
        </is>
      </c>
      <c r="E1395" s="21" t="n">
        <v>109</v>
      </c>
      <c r="F1395" s="21" t="inlineStr">
        <is>
          <t>English</t>
        </is>
      </c>
      <c r="G1395" s="21" t="inlineStr">
        <is>
          <t>PG-13</t>
        </is>
      </c>
      <c r="H1395" s="22" t="n">
        <v>123307945</v>
      </c>
      <c r="I1395" s="22" t="n">
        <v>65000000</v>
      </c>
      <c r="J1395" s="21">
        <f>IF(OR(H1395="",H1395=25529689.5),"Yes","No")</f>
        <v/>
      </c>
      <c r="K1395" s="21">
        <f>IF(AND(D1395="USA",C1395&gt;=1980,J1395="No"),"Yes","No")</f>
        <v/>
      </c>
      <c r="L1395" s="26">
        <f>IF(J1395="Yes","",H1395-I1395)</f>
        <v/>
      </c>
      <c r="M1395" s="27">
        <f>IF(OR(J1395="Yes",I1395=0),"",H1395/I1395)</f>
        <v/>
      </c>
      <c r="N1395" s="21">
        <f>IF(J1395="Yes","",IF(H1395&gt;=I1395,1,0))</f>
        <v/>
      </c>
      <c r="O1395" s="21">
        <f>IF(I1395&lt;=5000000,"Under $5M",IF(I1395&lt;=20000000,"$5M-20M",IF(I1395&lt;=50000000,"$20M-50M",IF(I1395&lt;=100000000,"$50M-100M","$100M+"))))</f>
        <v/>
      </c>
      <c r="P1395" s="21">
        <f>IF(E1395&lt;=90,"90 or less",IF(E1395&lt;=105,"91-105",IF(E1395&lt;=120,"106-120",IF(E1395&lt;=140,"121-140","Over 140"))))</f>
        <v/>
      </c>
      <c r="Q1395" s="28">
        <f>INT(C1395/10)*10</f>
        <v/>
      </c>
    </row>
    <row r="1396">
      <c r="A1396" s="21" t="n">
        <v>1423</v>
      </c>
      <c r="B1396" s="21" t="inlineStr">
        <is>
          <t>O Brother, Where Art Thou?</t>
        </is>
      </c>
      <c r="C1396" s="21" t="n">
        <v>2000</v>
      </c>
      <c r="D1396" s="21" t="inlineStr">
        <is>
          <t>UK</t>
        </is>
      </c>
      <c r="E1396" s="21" t="n">
        <v>107</v>
      </c>
      <c r="F1396" s="21" t="inlineStr">
        <is>
          <t>English</t>
        </is>
      </c>
      <c r="G1396" s="21" t="inlineStr">
        <is>
          <t>PG-13</t>
        </is>
      </c>
      <c r="H1396" s="22" t="n">
        <v>45506619</v>
      </c>
      <c r="I1396" s="22" t="n">
        <v>26000000</v>
      </c>
      <c r="J1396" s="21">
        <f>IF(OR(H1396="",H1396=25529689.5),"Yes","No")</f>
        <v/>
      </c>
      <c r="K1396" s="21">
        <f>IF(AND(D1396="USA",C1396&gt;=1980,J1396="No"),"Yes","No")</f>
        <v/>
      </c>
      <c r="L1396" s="26">
        <f>IF(J1396="Yes","",H1396-I1396)</f>
        <v/>
      </c>
      <c r="M1396" s="27">
        <f>IF(OR(J1396="Yes",I1396=0),"",H1396/I1396)</f>
        <v/>
      </c>
      <c r="N1396" s="21">
        <f>IF(J1396="Yes","",IF(H1396&gt;=I1396,1,0))</f>
        <v/>
      </c>
      <c r="O1396" s="21">
        <f>IF(I1396&lt;=5000000,"Under $5M",IF(I1396&lt;=20000000,"$5M-20M",IF(I1396&lt;=50000000,"$20M-50M",IF(I1396&lt;=100000000,"$50M-100M","$100M+"))))</f>
        <v/>
      </c>
      <c r="P1396" s="21">
        <f>IF(E1396&lt;=90,"90 or less",IF(E1396&lt;=105,"91-105",IF(E1396&lt;=120,"106-120",IF(E1396&lt;=140,"121-140","Over 140"))))</f>
        <v/>
      </c>
      <c r="Q1396" s="28">
        <f>INT(C1396/10)*10</f>
        <v/>
      </c>
    </row>
    <row r="1397">
      <c r="A1397" s="21" t="n">
        <v>1424</v>
      </c>
      <c r="B1397" s="21" t="inlineStr">
        <is>
          <t>Pandaemonium</t>
        </is>
      </c>
      <c r="C1397" s="21" t="n">
        <v>2000</v>
      </c>
      <c r="D1397" s="21" t="inlineStr">
        <is>
          <t>UK</t>
        </is>
      </c>
      <c r="E1397" s="21" t="n">
        <v>124</v>
      </c>
      <c r="F1397" s="21" t="inlineStr">
        <is>
          <t>English</t>
        </is>
      </c>
      <c r="G1397" s="21" t="inlineStr">
        <is>
          <t>PG-13</t>
        </is>
      </c>
      <c r="H1397" s="22" t="n">
        <v>25529689.5</v>
      </c>
      <c r="I1397" s="22" t="n">
        <v>15000000</v>
      </c>
      <c r="J1397" s="21">
        <f>IF(OR(H1397="",H1397=25529689.5),"Yes","No")</f>
        <v/>
      </c>
      <c r="K1397" s="21">
        <f>IF(AND(D1397="USA",C1397&gt;=1980,J1397="No"),"Yes","No")</f>
        <v/>
      </c>
      <c r="L1397" s="26">
        <f>IF(J1397="Yes","",H1397-I1397)</f>
        <v/>
      </c>
      <c r="M1397" s="27">
        <f>IF(OR(J1397="Yes",I1397=0),"",H1397/I1397)</f>
        <v/>
      </c>
      <c r="N1397" s="21">
        <f>IF(J1397="Yes","",IF(H1397&gt;=I1397,1,0))</f>
        <v/>
      </c>
      <c r="O1397" s="21">
        <f>IF(I1397&lt;=5000000,"Under $5M",IF(I1397&lt;=20000000,"$5M-20M",IF(I1397&lt;=50000000,"$20M-50M",IF(I1397&lt;=100000000,"$50M-100M","$100M+"))))</f>
        <v/>
      </c>
      <c r="P1397" s="21">
        <f>IF(E1397&lt;=90,"90 or less",IF(E1397&lt;=105,"91-105",IF(E1397&lt;=120,"106-120",IF(E1397&lt;=140,"121-140","Over 140"))))</f>
        <v/>
      </c>
      <c r="Q1397" s="28">
        <f>INT(C1397/10)*10</f>
        <v/>
      </c>
    </row>
    <row r="1398">
      <c r="A1398" s="21" t="n">
        <v>1425</v>
      </c>
      <c r="B1398" s="21" t="inlineStr">
        <is>
          <t>Pay It Forward</t>
        </is>
      </c>
      <c r="C1398" s="21" t="n">
        <v>2000</v>
      </c>
      <c r="D1398" s="21" t="inlineStr">
        <is>
          <t>USA</t>
        </is>
      </c>
      <c r="E1398" s="21" t="n">
        <v>123</v>
      </c>
      <c r="F1398" s="21" t="inlineStr">
        <is>
          <t>English</t>
        </is>
      </c>
      <c r="G1398" s="21" t="inlineStr">
        <is>
          <t>PG-13</t>
        </is>
      </c>
      <c r="H1398" s="22" t="n">
        <v>33508922</v>
      </c>
      <c r="I1398" s="22" t="n">
        <v>40000000</v>
      </c>
      <c r="J1398" s="21">
        <f>IF(OR(H1398="",H1398=25529689.5),"Yes","No")</f>
        <v/>
      </c>
      <c r="K1398" s="21">
        <f>IF(AND(D1398="USA",C1398&gt;=1980,J1398="No"),"Yes","No")</f>
        <v/>
      </c>
      <c r="L1398" s="26">
        <f>IF(J1398="Yes","",H1398-I1398)</f>
        <v/>
      </c>
      <c r="M1398" s="27">
        <f>IF(OR(J1398="Yes",I1398=0),"",H1398/I1398)</f>
        <v/>
      </c>
      <c r="N1398" s="21">
        <f>IF(J1398="Yes","",IF(H1398&gt;=I1398,1,0))</f>
        <v/>
      </c>
      <c r="O1398" s="21">
        <f>IF(I1398&lt;=5000000,"Under $5M",IF(I1398&lt;=20000000,"$5M-20M",IF(I1398&lt;=50000000,"$20M-50M",IF(I1398&lt;=100000000,"$50M-100M","$100M+"))))</f>
        <v/>
      </c>
      <c r="P1398" s="21">
        <f>IF(E1398&lt;=90,"90 or less",IF(E1398&lt;=105,"91-105",IF(E1398&lt;=120,"106-120",IF(E1398&lt;=140,"121-140","Over 140"))))</f>
        <v/>
      </c>
      <c r="Q1398" s="28">
        <f>INT(C1398/10)*10</f>
        <v/>
      </c>
    </row>
    <row r="1399">
      <c r="A1399" s="21" t="n">
        <v>1426</v>
      </c>
      <c r="B1399" s="21" t="inlineStr">
        <is>
          <t>Pitch Black</t>
        </is>
      </c>
      <c r="C1399" s="21" t="n">
        <v>2000</v>
      </c>
      <c r="D1399" s="21" t="inlineStr">
        <is>
          <t>USA</t>
        </is>
      </c>
      <c r="E1399" s="21" t="n">
        <v>112</v>
      </c>
      <c r="F1399" s="21" t="inlineStr">
        <is>
          <t>English</t>
        </is>
      </c>
      <c r="G1399" s="21" t="inlineStr">
        <is>
          <t>R</t>
        </is>
      </c>
      <c r="H1399" s="22" t="n">
        <v>39235088</v>
      </c>
      <c r="I1399" s="22" t="n">
        <v>23000000</v>
      </c>
      <c r="J1399" s="21">
        <f>IF(OR(H1399="",H1399=25529689.5),"Yes","No")</f>
        <v/>
      </c>
      <c r="K1399" s="21">
        <f>IF(AND(D1399="USA",C1399&gt;=1980,J1399="No"),"Yes","No")</f>
        <v/>
      </c>
      <c r="L1399" s="26">
        <f>IF(J1399="Yes","",H1399-I1399)</f>
        <v/>
      </c>
      <c r="M1399" s="27">
        <f>IF(OR(J1399="Yes",I1399=0),"",H1399/I1399)</f>
        <v/>
      </c>
      <c r="N1399" s="21">
        <f>IF(J1399="Yes","",IF(H1399&gt;=I1399,1,0))</f>
        <v/>
      </c>
      <c r="O1399" s="21">
        <f>IF(I1399&lt;=5000000,"Under $5M",IF(I1399&lt;=20000000,"$5M-20M",IF(I1399&lt;=50000000,"$20M-50M",IF(I1399&lt;=100000000,"$50M-100M","$100M+"))))</f>
        <v/>
      </c>
      <c r="P1399" s="21">
        <f>IF(E1399&lt;=90,"90 or less",IF(E1399&lt;=105,"91-105",IF(E1399&lt;=120,"106-120",IF(E1399&lt;=140,"121-140","Over 140"))))</f>
        <v/>
      </c>
      <c r="Q1399" s="28">
        <f>INT(C1399/10)*10</f>
        <v/>
      </c>
    </row>
    <row r="1400">
      <c r="A1400" s="21" t="n">
        <v>1427</v>
      </c>
      <c r="B1400" s="21" t="inlineStr">
        <is>
          <t>PokÃ©mon 3: The Movie</t>
        </is>
      </c>
      <c r="C1400" s="21" t="n">
        <v>2000</v>
      </c>
      <c r="D1400" s="21" t="inlineStr">
        <is>
          <t>Japan</t>
        </is>
      </c>
      <c r="E1400" s="21" t="n">
        <v>93</v>
      </c>
      <c r="F1400" s="21" t="inlineStr">
        <is>
          <t>Japanese</t>
        </is>
      </c>
      <c r="G1400" s="21" t="inlineStr">
        <is>
          <t>G</t>
        </is>
      </c>
      <c r="H1400" s="22" t="n">
        <v>25529689.5</v>
      </c>
      <c r="I1400" s="22" t="n">
        <v>16000000</v>
      </c>
      <c r="J1400" s="21">
        <f>IF(OR(H1400="",H1400=25529689.5),"Yes","No")</f>
        <v/>
      </c>
      <c r="K1400" s="21">
        <f>IF(AND(D1400="USA",C1400&gt;=1980,J1400="No"),"Yes","No")</f>
        <v/>
      </c>
      <c r="L1400" s="26">
        <f>IF(J1400="Yes","",H1400-I1400)</f>
        <v/>
      </c>
      <c r="M1400" s="27">
        <f>IF(OR(J1400="Yes",I1400=0),"",H1400/I1400)</f>
        <v/>
      </c>
      <c r="N1400" s="21">
        <f>IF(J1400="Yes","",IF(H1400&gt;=I1400,1,0))</f>
        <v/>
      </c>
      <c r="O1400" s="21">
        <f>IF(I1400&lt;=5000000,"Under $5M",IF(I1400&lt;=20000000,"$5M-20M",IF(I1400&lt;=50000000,"$20M-50M",IF(I1400&lt;=100000000,"$50M-100M","$100M+"))))</f>
        <v/>
      </c>
      <c r="P1400" s="21">
        <f>IF(E1400&lt;=90,"90 or less",IF(E1400&lt;=105,"91-105",IF(E1400&lt;=120,"106-120",IF(E1400&lt;=140,"121-140","Over 140"))))</f>
        <v/>
      </c>
      <c r="Q1400" s="28">
        <f>INT(C1400/10)*10</f>
        <v/>
      </c>
    </row>
    <row r="1401">
      <c r="A1401" s="21" t="n">
        <v>1428</v>
      </c>
      <c r="B1401" s="21" t="inlineStr">
        <is>
          <t>Pollock</t>
        </is>
      </c>
      <c r="C1401" s="21" t="n">
        <v>2000</v>
      </c>
      <c r="D1401" s="21" t="inlineStr">
        <is>
          <t>USA</t>
        </is>
      </c>
      <c r="E1401" s="21" t="n">
        <v>122</v>
      </c>
      <c r="F1401" s="21" t="inlineStr">
        <is>
          <t>English</t>
        </is>
      </c>
      <c r="G1401" s="21" t="inlineStr">
        <is>
          <t>R</t>
        </is>
      </c>
      <c r="H1401" s="22" t="n">
        <v>8596914</v>
      </c>
      <c r="I1401" s="22" t="n">
        <v>6000000</v>
      </c>
      <c r="J1401" s="21">
        <f>IF(OR(H1401="",H1401=25529689.5),"Yes","No")</f>
        <v/>
      </c>
      <c r="K1401" s="21">
        <f>IF(AND(D1401="USA",C1401&gt;=1980,J1401="No"),"Yes","No")</f>
        <v/>
      </c>
      <c r="L1401" s="26">
        <f>IF(J1401="Yes","",H1401-I1401)</f>
        <v/>
      </c>
      <c r="M1401" s="27">
        <f>IF(OR(J1401="Yes",I1401=0),"",H1401/I1401)</f>
        <v/>
      </c>
      <c r="N1401" s="21">
        <f>IF(J1401="Yes","",IF(H1401&gt;=I1401,1,0))</f>
        <v/>
      </c>
      <c r="O1401" s="21">
        <f>IF(I1401&lt;=5000000,"Under $5M",IF(I1401&lt;=20000000,"$5M-20M",IF(I1401&lt;=50000000,"$20M-50M",IF(I1401&lt;=100000000,"$50M-100M","$100M+"))))</f>
        <v/>
      </c>
      <c r="P1401" s="21">
        <f>IF(E1401&lt;=90,"90 or less",IF(E1401&lt;=105,"91-105",IF(E1401&lt;=120,"106-120",IF(E1401&lt;=140,"121-140","Over 140"))))</f>
        <v/>
      </c>
      <c r="Q1401" s="28">
        <f>INT(C1401/10)*10</f>
        <v/>
      </c>
    </row>
    <row r="1402">
      <c r="A1402" s="21" t="n">
        <v>1429</v>
      </c>
      <c r="B1402" s="21" t="inlineStr">
        <is>
          <t>Proof of Life</t>
        </is>
      </c>
      <c r="C1402" s="21" t="n">
        <v>2000</v>
      </c>
      <c r="D1402" s="21" t="inlineStr">
        <is>
          <t>USA</t>
        </is>
      </c>
      <c r="E1402" s="21" t="n">
        <v>135</v>
      </c>
      <c r="F1402" s="21" t="inlineStr">
        <is>
          <t>English</t>
        </is>
      </c>
      <c r="G1402" s="21" t="inlineStr">
        <is>
          <t>R</t>
        </is>
      </c>
      <c r="H1402" s="22" t="n">
        <v>32598931</v>
      </c>
      <c r="I1402" s="22" t="n">
        <v>65000000</v>
      </c>
      <c r="J1402" s="21">
        <f>IF(OR(H1402="",H1402=25529689.5),"Yes","No")</f>
        <v/>
      </c>
      <c r="K1402" s="21">
        <f>IF(AND(D1402="USA",C1402&gt;=1980,J1402="No"),"Yes","No")</f>
        <v/>
      </c>
      <c r="L1402" s="26">
        <f>IF(J1402="Yes","",H1402-I1402)</f>
        <v/>
      </c>
      <c r="M1402" s="27">
        <f>IF(OR(J1402="Yes",I1402=0),"",H1402/I1402)</f>
        <v/>
      </c>
      <c r="N1402" s="21">
        <f>IF(J1402="Yes","",IF(H1402&gt;=I1402,1,0))</f>
        <v/>
      </c>
      <c r="O1402" s="21">
        <f>IF(I1402&lt;=5000000,"Under $5M",IF(I1402&lt;=20000000,"$5M-20M",IF(I1402&lt;=50000000,"$20M-50M",IF(I1402&lt;=100000000,"$50M-100M","$100M+"))))</f>
        <v/>
      </c>
      <c r="P1402" s="21">
        <f>IF(E1402&lt;=90,"90 or less",IF(E1402&lt;=105,"91-105",IF(E1402&lt;=120,"106-120",IF(E1402&lt;=140,"121-140","Over 140"))))</f>
        <v/>
      </c>
      <c r="Q1402" s="28">
        <f>INT(C1402/10)*10</f>
        <v/>
      </c>
    </row>
    <row r="1403">
      <c r="A1403" s="21" t="n">
        <v>1430</v>
      </c>
      <c r="B1403" s="21" t="inlineStr">
        <is>
          <t>Psycho Beach Party</t>
        </is>
      </c>
      <c r="C1403" s="21" t="n">
        <v>2000</v>
      </c>
      <c r="D1403" s="21" t="inlineStr">
        <is>
          <t>Australia</t>
        </is>
      </c>
      <c r="E1403" s="21" t="n">
        <v>85</v>
      </c>
      <c r="F1403" s="21" t="inlineStr">
        <is>
          <t>English</t>
        </is>
      </c>
      <c r="G1403" s="21" t="inlineStr">
        <is>
          <t>Unrated</t>
        </is>
      </c>
      <c r="H1403" s="22" t="n">
        <v>265107</v>
      </c>
      <c r="I1403" s="22" t="n">
        <v>1500000</v>
      </c>
      <c r="J1403" s="21">
        <f>IF(OR(H1403="",H1403=25529689.5),"Yes","No")</f>
        <v/>
      </c>
      <c r="K1403" s="21">
        <f>IF(AND(D1403="USA",C1403&gt;=1980,J1403="No"),"Yes","No")</f>
        <v/>
      </c>
      <c r="L1403" s="26">
        <f>IF(J1403="Yes","",H1403-I1403)</f>
        <v/>
      </c>
      <c r="M1403" s="27">
        <f>IF(OR(J1403="Yes",I1403=0),"",H1403/I1403)</f>
        <v/>
      </c>
      <c r="N1403" s="21">
        <f>IF(J1403="Yes","",IF(H1403&gt;=I1403,1,0))</f>
        <v/>
      </c>
      <c r="O1403" s="21">
        <f>IF(I1403&lt;=5000000,"Under $5M",IF(I1403&lt;=20000000,"$5M-20M",IF(I1403&lt;=50000000,"$20M-50M",IF(I1403&lt;=100000000,"$50M-100M","$100M+"))))</f>
        <v/>
      </c>
      <c r="P1403" s="21">
        <f>IF(E1403&lt;=90,"90 or less",IF(E1403&lt;=105,"91-105",IF(E1403&lt;=120,"106-120",IF(E1403&lt;=140,"121-140","Over 140"))))</f>
        <v/>
      </c>
      <c r="Q1403" s="28">
        <f>INT(C1403/10)*10</f>
        <v/>
      </c>
    </row>
    <row r="1404">
      <c r="A1404" s="21" t="n">
        <v>1431</v>
      </c>
      <c r="B1404" s="21" t="inlineStr">
        <is>
          <t>Quills</t>
        </is>
      </c>
      <c r="C1404" s="21" t="n">
        <v>2000</v>
      </c>
      <c r="D1404" s="21" t="inlineStr">
        <is>
          <t>UK</t>
        </is>
      </c>
      <c r="E1404" s="21" t="n">
        <v>124</v>
      </c>
      <c r="F1404" s="21" t="inlineStr">
        <is>
          <t>English</t>
        </is>
      </c>
      <c r="G1404" s="21" t="inlineStr">
        <is>
          <t>R</t>
        </is>
      </c>
      <c r="H1404" s="22" t="n">
        <v>7060876</v>
      </c>
      <c r="I1404" s="22" t="n">
        <v>13500000</v>
      </c>
      <c r="J1404" s="21">
        <f>IF(OR(H1404="",H1404=25529689.5),"Yes","No")</f>
        <v/>
      </c>
      <c r="K1404" s="21">
        <f>IF(AND(D1404="USA",C1404&gt;=1980,J1404="No"),"Yes","No")</f>
        <v/>
      </c>
      <c r="L1404" s="26">
        <f>IF(J1404="Yes","",H1404-I1404)</f>
        <v/>
      </c>
      <c r="M1404" s="27">
        <f>IF(OR(J1404="Yes",I1404=0),"",H1404/I1404)</f>
        <v/>
      </c>
      <c r="N1404" s="21">
        <f>IF(J1404="Yes","",IF(H1404&gt;=I1404,1,0))</f>
        <v/>
      </c>
      <c r="O1404" s="21">
        <f>IF(I1404&lt;=5000000,"Under $5M",IF(I1404&lt;=20000000,"$5M-20M",IF(I1404&lt;=50000000,"$20M-50M",IF(I1404&lt;=100000000,"$50M-100M","$100M+"))))</f>
        <v/>
      </c>
      <c r="P1404" s="21">
        <f>IF(E1404&lt;=90,"90 or less",IF(E1404&lt;=105,"91-105",IF(E1404&lt;=120,"106-120",IF(E1404&lt;=140,"121-140","Over 140"))))</f>
        <v/>
      </c>
      <c r="Q1404" s="28">
        <f>INT(C1404/10)*10</f>
        <v/>
      </c>
    </row>
    <row r="1405">
      <c r="A1405" s="21" t="n">
        <v>1432</v>
      </c>
      <c r="B1405" s="21" t="inlineStr">
        <is>
          <t>Ready to Rumble</t>
        </is>
      </c>
      <c r="C1405" s="21" t="n">
        <v>2000</v>
      </c>
      <c r="D1405" s="21" t="inlineStr">
        <is>
          <t>USA</t>
        </is>
      </c>
      <c r="E1405" s="21" t="n">
        <v>107</v>
      </c>
      <c r="F1405" s="21" t="inlineStr">
        <is>
          <t>English</t>
        </is>
      </c>
      <c r="G1405" s="21" t="inlineStr">
        <is>
          <t>PG-13</t>
        </is>
      </c>
      <c r="H1405" s="22" t="n">
        <v>12372410</v>
      </c>
      <c r="I1405" s="22" t="n">
        <v>24000000</v>
      </c>
      <c r="J1405" s="21">
        <f>IF(OR(H1405="",H1405=25529689.5),"Yes","No")</f>
        <v/>
      </c>
      <c r="K1405" s="21">
        <f>IF(AND(D1405="USA",C1405&gt;=1980,J1405="No"),"Yes","No")</f>
        <v/>
      </c>
      <c r="L1405" s="26">
        <f>IF(J1405="Yes","",H1405-I1405)</f>
        <v/>
      </c>
      <c r="M1405" s="27">
        <f>IF(OR(J1405="Yes",I1405=0),"",H1405/I1405)</f>
        <v/>
      </c>
      <c r="N1405" s="21">
        <f>IF(J1405="Yes","",IF(H1405&gt;=I1405,1,0))</f>
        <v/>
      </c>
      <c r="O1405" s="21">
        <f>IF(I1405&lt;=5000000,"Under $5M",IF(I1405&lt;=20000000,"$5M-20M",IF(I1405&lt;=50000000,"$20M-50M",IF(I1405&lt;=100000000,"$50M-100M","$100M+"))))</f>
        <v/>
      </c>
      <c r="P1405" s="21">
        <f>IF(E1405&lt;=90,"90 or less",IF(E1405&lt;=105,"91-105",IF(E1405&lt;=120,"106-120",IF(E1405&lt;=140,"121-140","Over 140"))))</f>
        <v/>
      </c>
      <c r="Q1405" s="28">
        <f>INT(C1405/10)*10</f>
        <v/>
      </c>
    </row>
    <row r="1406">
      <c r="A1406" s="21" t="n">
        <v>1433</v>
      </c>
      <c r="B1406" s="21" t="inlineStr">
        <is>
          <t>Red Planet</t>
        </is>
      </c>
      <c r="C1406" s="21" t="n">
        <v>2000</v>
      </c>
      <c r="D1406" s="21" t="inlineStr">
        <is>
          <t>USA</t>
        </is>
      </c>
      <c r="E1406" s="21" t="n">
        <v>106</v>
      </c>
      <c r="F1406" s="21" t="inlineStr">
        <is>
          <t>English</t>
        </is>
      </c>
      <c r="G1406" s="21" t="inlineStr">
        <is>
          <t>PG-13</t>
        </is>
      </c>
      <c r="H1406" s="22" t="n">
        <v>17473245</v>
      </c>
      <c r="I1406" s="22" t="n">
        <v>70000000</v>
      </c>
      <c r="J1406" s="21">
        <f>IF(OR(H1406="",H1406=25529689.5),"Yes","No")</f>
        <v/>
      </c>
      <c r="K1406" s="21">
        <f>IF(AND(D1406="USA",C1406&gt;=1980,J1406="No"),"Yes","No")</f>
        <v/>
      </c>
      <c r="L1406" s="26">
        <f>IF(J1406="Yes","",H1406-I1406)</f>
        <v/>
      </c>
      <c r="M1406" s="27">
        <f>IF(OR(J1406="Yes",I1406=0),"",H1406/I1406)</f>
        <v/>
      </c>
      <c r="N1406" s="21">
        <f>IF(J1406="Yes","",IF(H1406&gt;=I1406,1,0))</f>
        <v/>
      </c>
      <c r="O1406" s="21">
        <f>IF(I1406&lt;=5000000,"Under $5M",IF(I1406&lt;=20000000,"$5M-20M",IF(I1406&lt;=50000000,"$20M-50M",IF(I1406&lt;=100000000,"$50M-100M","$100M+"))))</f>
        <v/>
      </c>
      <c r="P1406" s="21">
        <f>IF(E1406&lt;=90,"90 or less",IF(E1406&lt;=105,"91-105",IF(E1406&lt;=120,"106-120",IF(E1406&lt;=140,"121-140","Over 140"))))</f>
        <v/>
      </c>
      <c r="Q1406" s="28">
        <f>INT(C1406/10)*10</f>
        <v/>
      </c>
    </row>
    <row r="1407">
      <c r="A1407" s="21" t="n">
        <v>1434</v>
      </c>
      <c r="B1407" s="21" t="inlineStr">
        <is>
          <t>Reindeer Games</t>
        </is>
      </c>
      <c r="C1407" s="21" t="n">
        <v>2000</v>
      </c>
      <c r="D1407" s="21" t="inlineStr">
        <is>
          <t>USA</t>
        </is>
      </c>
      <c r="E1407" s="21" t="n">
        <v>124</v>
      </c>
      <c r="F1407" s="21" t="inlineStr">
        <is>
          <t>English</t>
        </is>
      </c>
      <c r="G1407" s="21" t="inlineStr">
        <is>
          <t>R</t>
        </is>
      </c>
      <c r="H1407" s="22" t="n">
        <v>23360779</v>
      </c>
      <c r="I1407" s="22" t="n">
        <v>34000000</v>
      </c>
      <c r="J1407" s="21">
        <f>IF(OR(H1407="",H1407=25529689.5),"Yes","No")</f>
        <v/>
      </c>
      <c r="K1407" s="21">
        <f>IF(AND(D1407="USA",C1407&gt;=1980,J1407="No"),"Yes","No")</f>
        <v/>
      </c>
      <c r="L1407" s="26">
        <f>IF(J1407="Yes","",H1407-I1407)</f>
        <v/>
      </c>
      <c r="M1407" s="27">
        <f>IF(OR(J1407="Yes",I1407=0),"",H1407/I1407)</f>
        <v/>
      </c>
      <c r="N1407" s="21">
        <f>IF(J1407="Yes","",IF(H1407&gt;=I1407,1,0))</f>
        <v/>
      </c>
      <c r="O1407" s="21">
        <f>IF(I1407&lt;=5000000,"Under $5M",IF(I1407&lt;=20000000,"$5M-20M",IF(I1407&lt;=50000000,"$20M-50M",IF(I1407&lt;=100000000,"$50M-100M","$100M+"))))</f>
        <v/>
      </c>
      <c r="P1407" s="21">
        <f>IF(E1407&lt;=90,"90 or less",IF(E1407&lt;=105,"91-105",IF(E1407&lt;=120,"106-120",IF(E1407&lt;=140,"121-140","Over 140"))))</f>
        <v/>
      </c>
      <c r="Q1407" s="28">
        <f>INT(C1407/10)*10</f>
        <v/>
      </c>
    </row>
    <row r="1408">
      <c r="A1408" s="21" t="n">
        <v>1435</v>
      </c>
      <c r="B1408" s="21" t="inlineStr">
        <is>
          <t>Remember the Titans</t>
        </is>
      </c>
      <c r="C1408" s="21" t="n">
        <v>2000</v>
      </c>
      <c r="D1408" s="21" t="inlineStr">
        <is>
          <t>USA</t>
        </is>
      </c>
      <c r="E1408" s="21" t="n">
        <v>120</v>
      </c>
      <c r="F1408" s="21" t="inlineStr">
        <is>
          <t>English</t>
        </is>
      </c>
      <c r="G1408" s="21" t="inlineStr">
        <is>
          <t>PG</t>
        </is>
      </c>
      <c r="H1408" s="22" t="n">
        <v>115648585</v>
      </c>
      <c r="I1408" s="22" t="n">
        <v>30000000</v>
      </c>
      <c r="J1408" s="21">
        <f>IF(OR(H1408="",H1408=25529689.5),"Yes","No")</f>
        <v/>
      </c>
      <c r="K1408" s="21">
        <f>IF(AND(D1408="USA",C1408&gt;=1980,J1408="No"),"Yes","No")</f>
        <v/>
      </c>
      <c r="L1408" s="26">
        <f>IF(J1408="Yes","",H1408-I1408)</f>
        <v/>
      </c>
      <c r="M1408" s="27">
        <f>IF(OR(J1408="Yes",I1408=0),"",H1408/I1408)</f>
        <v/>
      </c>
      <c r="N1408" s="21">
        <f>IF(J1408="Yes","",IF(H1408&gt;=I1408,1,0))</f>
        <v/>
      </c>
      <c r="O1408" s="21">
        <f>IF(I1408&lt;=5000000,"Under $5M",IF(I1408&lt;=20000000,"$5M-20M",IF(I1408&lt;=50000000,"$20M-50M",IF(I1408&lt;=100000000,"$50M-100M","$100M+"))))</f>
        <v/>
      </c>
      <c r="P1408" s="21">
        <f>IF(E1408&lt;=90,"90 or less",IF(E1408&lt;=105,"91-105",IF(E1408&lt;=120,"106-120",IF(E1408&lt;=140,"121-140","Over 140"))))</f>
        <v/>
      </c>
      <c r="Q1408" s="28">
        <f>INT(C1408/10)*10</f>
        <v/>
      </c>
    </row>
    <row r="1409">
      <c r="A1409" s="21" t="n">
        <v>1436</v>
      </c>
      <c r="B1409" s="21" t="inlineStr">
        <is>
          <t>Requiem for a Dream</t>
        </is>
      </c>
      <c r="C1409" s="21" t="n">
        <v>2000</v>
      </c>
      <c r="D1409" s="21" t="inlineStr">
        <is>
          <t>USA</t>
        </is>
      </c>
      <c r="E1409" s="21" t="n">
        <v>102</v>
      </c>
      <c r="F1409" s="21" t="inlineStr">
        <is>
          <t>English</t>
        </is>
      </c>
      <c r="G1409" s="21" t="inlineStr">
        <is>
          <t>R</t>
        </is>
      </c>
      <c r="H1409" s="22" t="n">
        <v>3609278</v>
      </c>
      <c r="I1409" s="22" t="n">
        <v>4500000</v>
      </c>
      <c r="J1409" s="21">
        <f>IF(OR(H1409="",H1409=25529689.5),"Yes","No")</f>
        <v/>
      </c>
      <c r="K1409" s="21">
        <f>IF(AND(D1409="USA",C1409&gt;=1980,J1409="No"),"Yes","No")</f>
        <v/>
      </c>
      <c r="L1409" s="26">
        <f>IF(J1409="Yes","",H1409-I1409)</f>
        <v/>
      </c>
      <c r="M1409" s="27">
        <f>IF(OR(J1409="Yes",I1409=0),"",H1409/I1409)</f>
        <v/>
      </c>
      <c r="N1409" s="21">
        <f>IF(J1409="Yes","",IF(H1409&gt;=I1409,1,0))</f>
        <v/>
      </c>
      <c r="O1409" s="21">
        <f>IF(I1409&lt;=5000000,"Under $5M",IF(I1409&lt;=20000000,"$5M-20M",IF(I1409&lt;=50000000,"$20M-50M",IF(I1409&lt;=100000000,"$50M-100M","$100M+"))))</f>
        <v/>
      </c>
      <c r="P1409" s="21">
        <f>IF(E1409&lt;=90,"90 or less",IF(E1409&lt;=105,"91-105",IF(E1409&lt;=120,"106-120",IF(E1409&lt;=140,"121-140","Over 140"))))</f>
        <v/>
      </c>
      <c r="Q1409" s="28">
        <f>INT(C1409/10)*10</f>
        <v/>
      </c>
    </row>
    <row r="1410">
      <c r="A1410" s="21" t="n">
        <v>1437</v>
      </c>
      <c r="B1410" s="21" t="inlineStr">
        <is>
          <t>Return to Me</t>
        </is>
      </c>
      <c r="C1410" s="21" t="n">
        <v>2000</v>
      </c>
      <c r="D1410" s="21" t="inlineStr">
        <is>
          <t>USA</t>
        </is>
      </c>
      <c r="E1410" s="21" t="n">
        <v>115</v>
      </c>
      <c r="F1410" s="21" t="inlineStr">
        <is>
          <t>English</t>
        </is>
      </c>
      <c r="G1410" s="21" t="inlineStr">
        <is>
          <t>PG</t>
        </is>
      </c>
      <c r="H1410" s="22" t="n">
        <v>32662299</v>
      </c>
      <c r="I1410" s="22" t="n">
        <v>24000000</v>
      </c>
      <c r="J1410" s="21">
        <f>IF(OR(H1410="",H1410=25529689.5),"Yes","No")</f>
        <v/>
      </c>
      <c r="K1410" s="21">
        <f>IF(AND(D1410="USA",C1410&gt;=1980,J1410="No"),"Yes","No")</f>
        <v/>
      </c>
      <c r="L1410" s="26">
        <f>IF(J1410="Yes","",H1410-I1410)</f>
        <v/>
      </c>
      <c r="M1410" s="27">
        <f>IF(OR(J1410="Yes",I1410=0),"",H1410/I1410)</f>
        <v/>
      </c>
      <c r="N1410" s="21">
        <f>IF(J1410="Yes","",IF(H1410&gt;=I1410,1,0))</f>
        <v/>
      </c>
      <c r="O1410" s="21">
        <f>IF(I1410&lt;=5000000,"Under $5M",IF(I1410&lt;=20000000,"$5M-20M",IF(I1410&lt;=50000000,"$20M-50M",IF(I1410&lt;=100000000,"$50M-100M","$100M+"))))</f>
        <v/>
      </c>
      <c r="P1410" s="21">
        <f>IF(E1410&lt;=90,"90 or less",IF(E1410&lt;=105,"91-105",IF(E1410&lt;=120,"106-120",IF(E1410&lt;=140,"121-140","Over 140"))))</f>
        <v/>
      </c>
      <c r="Q1410" s="28">
        <f>INT(C1410/10)*10</f>
        <v/>
      </c>
    </row>
    <row r="1411">
      <c r="A1411" s="21" t="n">
        <v>1438</v>
      </c>
      <c r="B1411" s="21" t="inlineStr">
        <is>
          <t>Road Trip</t>
        </is>
      </c>
      <c r="C1411" s="21" t="n">
        <v>2000</v>
      </c>
      <c r="D1411" s="21" t="inlineStr">
        <is>
          <t>USA</t>
        </is>
      </c>
      <c r="E1411" s="21" t="n">
        <v>94</v>
      </c>
      <c r="F1411" s="21" t="inlineStr">
        <is>
          <t>English</t>
        </is>
      </c>
      <c r="G1411" s="21" t="inlineStr">
        <is>
          <t>R</t>
        </is>
      </c>
      <c r="H1411" s="22" t="n">
        <v>68525609</v>
      </c>
      <c r="I1411" s="22" t="n">
        <v>15600000</v>
      </c>
      <c r="J1411" s="21">
        <f>IF(OR(H1411="",H1411=25529689.5),"Yes","No")</f>
        <v/>
      </c>
      <c r="K1411" s="21">
        <f>IF(AND(D1411="USA",C1411&gt;=1980,J1411="No"),"Yes","No")</f>
        <v/>
      </c>
      <c r="L1411" s="26">
        <f>IF(J1411="Yes","",H1411-I1411)</f>
        <v/>
      </c>
      <c r="M1411" s="27">
        <f>IF(OR(J1411="Yes",I1411=0),"",H1411/I1411)</f>
        <v/>
      </c>
      <c r="N1411" s="21">
        <f>IF(J1411="Yes","",IF(H1411&gt;=I1411,1,0))</f>
        <v/>
      </c>
      <c r="O1411" s="21">
        <f>IF(I1411&lt;=5000000,"Under $5M",IF(I1411&lt;=20000000,"$5M-20M",IF(I1411&lt;=50000000,"$20M-50M",IF(I1411&lt;=100000000,"$50M-100M","$100M+"))))</f>
        <v/>
      </c>
      <c r="P1411" s="21">
        <f>IF(E1411&lt;=90,"90 or less",IF(E1411&lt;=105,"91-105",IF(E1411&lt;=120,"106-120",IF(E1411&lt;=140,"121-140","Over 140"))))</f>
        <v/>
      </c>
      <c r="Q1411" s="28">
        <f>INT(C1411/10)*10</f>
        <v/>
      </c>
    </row>
    <row r="1412">
      <c r="A1412" s="21" t="n">
        <v>1439</v>
      </c>
      <c r="B1412" s="21" t="inlineStr">
        <is>
          <t>Romeo Must Die</t>
        </is>
      </c>
      <c r="C1412" s="21" t="n">
        <v>2000</v>
      </c>
      <c r="D1412" s="21" t="inlineStr">
        <is>
          <t>USA</t>
        </is>
      </c>
      <c r="E1412" s="21" t="n">
        <v>115</v>
      </c>
      <c r="F1412" s="21" t="inlineStr">
        <is>
          <t>English</t>
        </is>
      </c>
      <c r="G1412" s="21" t="inlineStr">
        <is>
          <t>R</t>
        </is>
      </c>
      <c r="H1412" s="22" t="n">
        <v>55973336</v>
      </c>
      <c r="I1412" s="22" t="n">
        <v>25000000</v>
      </c>
      <c r="J1412" s="21">
        <f>IF(OR(H1412="",H1412=25529689.5),"Yes","No")</f>
        <v/>
      </c>
      <c r="K1412" s="21">
        <f>IF(AND(D1412="USA",C1412&gt;=1980,J1412="No"),"Yes","No")</f>
        <v/>
      </c>
      <c r="L1412" s="26">
        <f>IF(J1412="Yes","",H1412-I1412)</f>
        <v/>
      </c>
      <c r="M1412" s="27">
        <f>IF(OR(J1412="Yes",I1412=0),"",H1412/I1412)</f>
        <v/>
      </c>
      <c r="N1412" s="21">
        <f>IF(J1412="Yes","",IF(H1412&gt;=I1412,1,0))</f>
        <v/>
      </c>
      <c r="O1412" s="21">
        <f>IF(I1412&lt;=5000000,"Under $5M",IF(I1412&lt;=20000000,"$5M-20M",IF(I1412&lt;=50000000,"$20M-50M",IF(I1412&lt;=100000000,"$50M-100M","$100M+"))))</f>
        <v/>
      </c>
      <c r="P1412" s="21">
        <f>IF(E1412&lt;=90,"90 or less",IF(E1412&lt;=105,"91-105",IF(E1412&lt;=120,"106-120",IF(E1412&lt;=140,"121-140","Over 140"))))</f>
        <v/>
      </c>
      <c r="Q1412" s="28">
        <f>INT(C1412/10)*10</f>
        <v/>
      </c>
    </row>
    <row r="1413">
      <c r="A1413" s="21" t="n">
        <v>1440</v>
      </c>
      <c r="B1413" s="21" t="inlineStr">
        <is>
          <t>Rugrats in Paris: The Movie</t>
        </is>
      </c>
      <c r="C1413" s="21" t="n">
        <v>2000</v>
      </c>
      <c r="D1413" s="21" t="inlineStr">
        <is>
          <t>Germany</t>
        </is>
      </c>
      <c r="E1413" s="21" t="n">
        <v>78</v>
      </c>
      <c r="F1413" s="21" t="inlineStr">
        <is>
          <t>English</t>
        </is>
      </c>
      <c r="G1413" s="21" t="inlineStr">
        <is>
          <t>G</t>
        </is>
      </c>
      <c r="H1413" s="22" t="n">
        <v>76501438</v>
      </c>
      <c r="I1413" s="22" t="n">
        <v>30000000</v>
      </c>
      <c r="J1413" s="21">
        <f>IF(OR(H1413="",H1413=25529689.5),"Yes","No")</f>
        <v/>
      </c>
      <c r="K1413" s="21">
        <f>IF(AND(D1413="USA",C1413&gt;=1980,J1413="No"),"Yes","No")</f>
        <v/>
      </c>
      <c r="L1413" s="26">
        <f>IF(J1413="Yes","",H1413-I1413)</f>
        <v/>
      </c>
      <c r="M1413" s="27">
        <f>IF(OR(J1413="Yes",I1413=0),"",H1413/I1413)</f>
        <v/>
      </c>
      <c r="N1413" s="21">
        <f>IF(J1413="Yes","",IF(H1413&gt;=I1413,1,0))</f>
        <v/>
      </c>
      <c r="O1413" s="21">
        <f>IF(I1413&lt;=5000000,"Under $5M",IF(I1413&lt;=20000000,"$5M-20M",IF(I1413&lt;=50000000,"$20M-50M",IF(I1413&lt;=100000000,"$50M-100M","$100M+"))))</f>
        <v/>
      </c>
      <c r="P1413" s="21">
        <f>IF(E1413&lt;=90,"90 or less",IF(E1413&lt;=105,"91-105",IF(E1413&lt;=120,"106-120",IF(E1413&lt;=140,"121-140","Over 140"))))</f>
        <v/>
      </c>
      <c r="Q1413" s="28">
        <f>INT(C1413/10)*10</f>
        <v/>
      </c>
    </row>
    <row r="1414">
      <c r="A1414" s="21" t="n">
        <v>1441</v>
      </c>
      <c r="B1414" s="21" t="inlineStr">
        <is>
          <t>Scream 3</t>
        </is>
      </c>
      <c r="C1414" s="21" t="n">
        <v>2000</v>
      </c>
      <c r="D1414" s="21" t="inlineStr">
        <is>
          <t>USA</t>
        </is>
      </c>
      <c r="E1414" s="21" t="n">
        <v>116</v>
      </c>
      <c r="F1414" s="21" t="inlineStr">
        <is>
          <t>English</t>
        </is>
      </c>
      <c r="G1414" s="21" t="inlineStr">
        <is>
          <t>R</t>
        </is>
      </c>
      <c r="H1414" s="22" t="n">
        <v>89138076</v>
      </c>
      <c r="I1414" s="22" t="n">
        <v>40000000</v>
      </c>
      <c r="J1414" s="21">
        <f>IF(OR(H1414="",H1414=25529689.5),"Yes","No")</f>
        <v/>
      </c>
      <c r="K1414" s="21">
        <f>IF(AND(D1414="USA",C1414&gt;=1980,J1414="No"),"Yes","No")</f>
        <v/>
      </c>
      <c r="L1414" s="26">
        <f>IF(J1414="Yes","",H1414-I1414)</f>
        <v/>
      </c>
      <c r="M1414" s="27">
        <f>IF(OR(J1414="Yes",I1414=0),"",H1414/I1414)</f>
        <v/>
      </c>
      <c r="N1414" s="21">
        <f>IF(J1414="Yes","",IF(H1414&gt;=I1414,1,0))</f>
        <v/>
      </c>
      <c r="O1414" s="21">
        <f>IF(I1414&lt;=5000000,"Under $5M",IF(I1414&lt;=20000000,"$5M-20M",IF(I1414&lt;=50000000,"$20M-50M",IF(I1414&lt;=100000000,"$50M-100M","$100M+"))))</f>
        <v/>
      </c>
      <c r="P1414" s="21">
        <f>IF(E1414&lt;=90,"90 or less",IF(E1414&lt;=105,"91-105",IF(E1414&lt;=120,"106-120",IF(E1414&lt;=140,"121-140","Over 140"))))</f>
        <v/>
      </c>
      <c r="Q1414" s="28">
        <f>INT(C1414/10)*10</f>
        <v/>
      </c>
    </row>
    <row r="1415">
      <c r="A1415" s="21" t="n">
        <v>1442</v>
      </c>
      <c r="B1415" s="21" t="inlineStr">
        <is>
          <t>Screwed</t>
        </is>
      </c>
      <c r="C1415" s="21" t="n">
        <v>2000</v>
      </c>
      <c r="D1415" s="21" t="inlineStr">
        <is>
          <t>USA</t>
        </is>
      </c>
      <c r="E1415" s="21" t="n">
        <v>81</v>
      </c>
      <c r="F1415" s="21" t="inlineStr">
        <is>
          <t>English</t>
        </is>
      </c>
      <c r="G1415" s="21" t="inlineStr">
        <is>
          <t>PG-13</t>
        </is>
      </c>
      <c r="H1415" s="22" t="n">
        <v>6982680</v>
      </c>
      <c r="I1415" s="22" t="n">
        <v>10000000</v>
      </c>
      <c r="J1415" s="21">
        <f>IF(OR(H1415="",H1415=25529689.5),"Yes","No")</f>
        <v/>
      </c>
      <c r="K1415" s="21">
        <f>IF(AND(D1415="USA",C1415&gt;=1980,J1415="No"),"Yes","No")</f>
        <v/>
      </c>
      <c r="L1415" s="26">
        <f>IF(J1415="Yes","",H1415-I1415)</f>
        <v/>
      </c>
      <c r="M1415" s="27">
        <f>IF(OR(J1415="Yes",I1415=0),"",H1415/I1415)</f>
        <v/>
      </c>
      <c r="N1415" s="21">
        <f>IF(J1415="Yes","",IF(H1415&gt;=I1415,1,0))</f>
        <v/>
      </c>
      <c r="O1415" s="21">
        <f>IF(I1415&lt;=5000000,"Under $5M",IF(I1415&lt;=20000000,"$5M-20M",IF(I1415&lt;=50000000,"$20M-50M",IF(I1415&lt;=100000000,"$50M-100M","$100M+"))))</f>
        <v/>
      </c>
      <c r="P1415" s="21">
        <f>IF(E1415&lt;=90,"90 or less",IF(E1415&lt;=105,"91-105",IF(E1415&lt;=120,"106-120",IF(E1415&lt;=140,"121-140","Over 140"))))</f>
        <v/>
      </c>
      <c r="Q1415" s="28">
        <f>INT(C1415/10)*10</f>
        <v/>
      </c>
    </row>
    <row r="1416">
      <c r="A1416" s="21" t="n">
        <v>1443</v>
      </c>
      <c r="B1416" s="21" t="inlineStr">
        <is>
          <t>Sexy Beast</t>
        </is>
      </c>
      <c r="C1416" s="21" t="n">
        <v>2000</v>
      </c>
      <c r="D1416" s="21" t="inlineStr">
        <is>
          <t>UK</t>
        </is>
      </c>
      <c r="E1416" s="21" t="n">
        <v>89</v>
      </c>
      <c r="F1416" s="21" t="inlineStr">
        <is>
          <t>English</t>
        </is>
      </c>
      <c r="G1416" s="21" t="inlineStr">
        <is>
          <t>R</t>
        </is>
      </c>
      <c r="H1416" s="22" t="n">
        <v>6940281</v>
      </c>
      <c r="I1416" s="22" t="n">
        <v>20000000</v>
      </c>
      <c r="J1416" s="21">
        <f>IF(OR(H1416="",H1416=25529689.5),"Yes","No")</f>
        <v/>
      </c>
      <c r="K1416" s="21">
        <f>IF(AND(D1416="USA",C1416&gt;=1980,J1416="No"),"Yes","No")</f>
        <v/>
      </c>
      <c r="L1416" s="26">
        <f>IF(J1416="Yes","",H1416-I1416)</f>
        <v/>
      </c>
      <c r="M1416" s="27">
        <f>IF(OR(J1416="Yes",I1416=0),"",H1416/I1416)</f>
        <v/>
      </c>
      <c r="N1416" s="21">
        <f>IF(J1416="Yes","",IF(H1416&gt;=I1416,1,0))</f>
        <v/>
      </c>
      <c r="O1416" s="21">
        <f>IF(I1416&lt;=5000000,"Under $5M",IF(I1416&lt;=20000000,"$5M-20M",IF(I1416&lt;=50000000,"$20M-50M",IF(I1416&lt;=100000000,"$50M-100M","$100M+"))))</f>
        <v/>
      </c>
      <c r="P1416" s="21">
        <f>IF(E1416&lt;=90,"90 or less",IF(E1416&lt;=105,"91-105",IF(E1416&lt;=120,"106-120",IF(E1416&lt;=140,"121-140","Over 140"))))</f>
        <v/>
      </c>
      <c r="Q1416" s="28">
        <f>INT(C1416/10)*10</f>
        <v/>
      </c>
    </row>
    <row r="1417">
      <c r="A1417" s="21" t="n">
        <v>1444</v>
      </c>
      <c r="B1417" s="21" t="inlineStr">
        <is>
          <t>Shadow of the Vampire</t>
        </is>
      </c>
      <c r="C1417" s="21" t="n">
        <v>2000</v>
      </c>
      <c r="D1417" s="21" t="inlineStr">
        <is>
          <t>UK</t>
        </is>
      </c>
      <c r="E1417" s="21" t="n">
        <v>92</v>
      </c>
      <c r="F1417" s="21" t="inlineStr">
        <is>
          <t>English</t>
        </is>
      </c>
      <c r="G1417" s="21" t="inlineStr">
        <is>
          <t>R</t>
        </is>
      </c>
      <c r="H1417" s="22" t="n">
        <v>8279017</v>
      </c>
      <c r="I1417" s="22" t="n">
        <v>8000000</v>
      </c>
      <c r="J1417" s="21">
        <f>IF(OR(H1417="",H1417=25529689.5),"Yes","No")</f>
        <v/>
      </c>
      <c r="K1417" s="21">
        <f>IF(AND(D1417="USA",C1417&gt;=1980,J1417="No"),"Yes","No")</f>
        <v/>
      </c>
      <c r="L1417" s="26">
        <f>IF(J1417="Yes","",H1417-I1417)</f>
        <v/>
      </c>
      <c r="M1417" s="27">
        <f>IF(OR(J1417="Yes",I1417=0),"",H1417/I1417)</f>
        <v/>
      </c>
      <c r="N1417" s="21">
        <f>IF(J1417="Yes","",IF(H1417&gt;=I1417,1,0))</f>
        <v/>
      </c>
      <c r="O1417" s="21">
        <f>IF(I1417&lt;=5000000,"Under $5M",IF(I1417&lt;=20000000,"$5M-20M",IF(I1417&lt;=50000000,"$20M-50M",IF(I1417&lt;=100000000,"$50M-100M","$100M+"))))</f>
        <v/>
      </c>
      <c r="P1417" s="21">
        <f>IF(E1417&lt;=90,"90 or less",IF(E1417&lt;=105,"91-105",IF(E1417&lt;=120,"106-120",IF(E1417&lt;=140,"121-140","Over 140"))))</f>
        <v/>
      </c>
      <c r="Q1417" s="28">
        <f>INT(C1417/10)*10</f>
        <v/>
      </c>
    </row>
    <row r="1418">
      <c r="A1418" s="21" t="n">
        <v>1445</v>
      </c>
      <c r="B1418" s="21" t="inlineStr">
        <is>
          <t>Shaft</t>
        </is>
      </c>
      <c r="C1418" s="21" t="n">
        <v>2000</v>
      </c>
      <c r="D1418" s="21" t="inlineStr">
        <is>
          <t>Germany</t>
        </is>
      </c>
      <c r="E1418" s="21" t="n">
        <v>99</v>
      </c>
      <c r="F1418" s="21" t="inlineStr">
        <is>
          <t>English</t>
        </is>
      </c>
      <c r="G1418" s="21" t="inlineStr">
        <is>
          <t>R</t>
        </is>
      </c>
      <c r="H1418" s="22" t="n">
        <v>70327868</v>
      </c>
      <c r="I1418" s="22" t="n">
        <v>46000000</v>
      </c>
      <c r="J1418" s="21">
        <f>IF(OR(H1418="",H1418=25529689.5),"Yes","No")</f>
        <v/>
      </c>
      <c r="K1418" s="21">
        <f>IF(AND(D1418="USA",C1418&gt;=1980,J1418="No"),"Yes","No")</f>
        <v/>
      </c>
      <c r="L1418" s="26">
        <f>IF(J1418="Yes","",H1418-I1418)</f>
        <v/>
      </c>
      <c r="M1418" s="27">
        <f>IF(OR(J1418="Yes",I1418=0),"",H1418/I1418)</f>
        <v/>
      </c>
      <c r="N1418" s="21">
        <f>IF(J1418="Yes","",IF(H1418&gt;=I1418,1,0))</f>
        <v/>
      </c>
      <c r="O1418" s="21">
        <f>IF(I1418&lt;=5000000,"Under $5M",IF(I1418&lt;=20000000,"$5M-20M",IF(I1418&lt;=50000000,"$20M-50M",IF(I1418&lt;=100000000,"$50M-100M","$100M+"))))</f>
        <v/>
      </c>
      <c r="P1418" s="21">
        <f>IF(E1418&lt;=90,"90 or less",IF(E1418&lt;=105,"91-105",IF(E1418&lt;=120,"106-120",IF(E1418&lt;=140,"121-140","Over 140"))))</f>
        <v/>
      </c>
      <c r="Q1418" s="28">
        <f>INT(C1418/10)*10</f>
        <v/>
      </c>
    </row>
    <row r="1419">
      <c r="A1419" s="21" t="n">
        <v>1446</v>
      </c>
      <c r="B1419" s="21" t="inlineStr">
        <is>
          <t>Shanghai Noon</t>
        </is>
      </c>
      <c r="C1419" s="21" t="n">
        <v>2000</v>
      </c>
      <c r="D1419" s="21" t="inlineStr">
        <is>
          <t>USA</t>
        </is>
      </c>
      <c r="E1419" s="21" t="n">
        <v>110</v>
      </c>
      <c r="F1419" s="21" t="inlineStr">
        <is>
          <t>English</t>
        </is>
      </c>
      <c r="G1419" s="21" t="inlineStr">
        <is>
          <t>PG-13</t>
        </is>
      </c>
      <c r="H1419" s="22" t="n">
        <v>56932305</v>
      </c>
      <c r="I1419" s="22" t="n">
        <v>55000000</v>
      </c>
      <c r="J1419" s="21">
        <f>IF(OR(H1419="",H1419=25529689.5),"Yes","No")</f>
        <v/>
      </c>
      <c r="K1419" s="21">
        <f>IF(AND(D1419="USA",C1419&gt;=1980,J1419="No"),"Yes","No")</f>
        <v/>
      </c>
      <c r="L1419" s="26">
        <f>IF(J1419="Yes","",H1419-I1419)</f>
        <v/>
      </c>
      <c r="M1419" s="27">
        <f>IF(OR(J1419="Yes",I1419=0),"",H1419/I1419)</f>
        <v/>
      </c>
      <c r="N1419" s="21">
        <f>IF(J1419="Yes","",IF(H1419&gt;=I1419,1,0))</f>
        <v/>
      </c>
      <c r="O1419" s="21">
        <f>IF(I1419&lt;=5000000,"Under $5M",IF(I1419&lt;=20000000,"$5M-20M",IF(I1419&lt;=50000000,"$20M-50M",IF(I1419&lt;=100000000,"$50M-100M","$100M+"))))</f>
        <v/>
      </c>
      <c r="P1419" s="21">
        <f>IF(E1419&lt;=90,"90 or less",IF(E1419&lt;=105,"91-105",IF(E1419&lt;=120,"106-120",IF(E1419&lt;=140,"121-140","Over 140"))))</f>
        <v/>
      </c>
      <c r="Q1419" s="28">
        <f>INT(C1419/10)*10</f>
        <v/>
      </c>
    </row>
    <row r="1420">
      <c r="A1420" s="21" t="n">
        <v>1447</v>
      </c>
      <c r="B1420" s="21" t="inlineStr">
        <is>
          <t>Small Time Crooks</t>
        </is>
      </c>
      <c r="C1420" s="21" t="n">
        <v>2000</v>
      </c>
      <c r="D1420" s="21" t="inlineStr">
        <is>
          <t>USA</t>
        </is>
      </c>
      <c r="E1420" s="21" t="n">
        <v>94</v>
      </c>
      <c r="F1420" s="21" t="inlineStr">
        <is>
          <t>English</t>
        </is>
      </c>
      <c r="G1420" s="21" t="inlineStr">
        <is>
          <t>PG</t>
        </is>
      </c>
      <c r="H1420" s="22" t="n">
        <v>17071230</v>
      </c>
      <c r="I1420" s="22" t="n">
        <v>18000000</v>
      </c>
      <c r="J1420" s="21">
        <f>IF(OR(H1420="",H1420=25529689.5),"Yes","No")</f>
        <v/>
      </c>
      <c r="K1420" s="21">
        <f>IF(AND(D1420="USA",C1420&gt;=1980,J1420="No"),"Yes","No")</f>
        <v/>
      </c>
      <c r="L1420" s="26">
        <f>IF(J1420="Yes","",H1420-I1420)</f>
        <v/>
      </c>
      <c r="M1420" s="27">
        <f>IF(OR(J1420="Yes",I1420=0),"",H1420/I1420)</f>
        <v/>
      </c>
      <c r="N1420" s="21">
        <f>IF(J1420="Yes","",IF(H1420&gt;=I1420,1,0))</f>
        <v/>
      </c>
      <c r="O1420" s="21">
        <f>IF(I1420&lt;=5000000,"Under $5M",IF(I1420&lt;=20000000,"$5M-20M",IF(I1420&lt;=50000000,"$20M-50M",IF(I1420&lt;=100000000,"$50M-100M","$100M+"))))</f>
        <v/>
      </c>
      <c r="P1420" s="21">
        <f>IF(E1420&lt;=90,"90 or less",IF(E1420&lt;=105,"91-105",IF(E1420&lt;=120,"106-120",IF(E1420&lt;=140,"121-140","Over 140"))))</f>
        <v/>
      </c>
      <c r="Q1420" s="28">
        <f>INT(C1420/10)*10</f>
        <v/>
      </c>
    </row>
    <row r="1421">
      <c r="A1421" s="21" t="n">
        <v>1448</v>
      </c>
      <c r="B1421" s="21" t="inlineStr">
        <is>
          <t>Snatch</t>
        </is>
      </c>
      <c r="C1421" s="21" t="n">
        <v>2000</v>
      </c>
      <c r="D1421" s="21" t="inlineStr">
        <is>
          <t>UK</t>
        </is>
      </c>
      <c r="E1421" s="21" t="n">
        <v>104</v>
      </c>
      <c r="F1421" s="21" t="inlineStr">
        <is>
          <t>English</t>
        </is>
      </c>
      <c r="G1421" s="21" t="inlineStr">
        <is>
          <t>R</t>
        </is>
      </c>
      <c r="H1421" s="22" t="n">
        <v>30093107</v>
      </c>
      <c r="I1421" s="22" t="n">
        <v>6000000</v>
      </c>
      <c r="J1421" s="21">
        <f>IF(OR(H1421="",H1421=25529689.5),"Yes","No")</f>
        <v/>
      </c>
      <c r="K1421" s="21">
        <f>IF(AND(D1421="USA",C1421&gt;=1980,J1421="No"),"Yes","No")</f>
        <v/>
      </c>
      <c r="L1421" s="26">
        <f>IF(J1421="Yes","",H1421-I1421)</f>
        <v/>
      </c>
      <c r="M1421" s="27">
        <f>IF(OR(J1421="Yes",I1421=0),"",H1421/I1421)</f>
        <v/>
      </c>
      <c r="N1421" s="21">
        <f>IF(J1421="Yes","",IF(H1421&gt;=I1421,1,0))</f>
        <v/>
      </c>
      <c r="O1421" s="21">
        <f>IF(I1421&lt;=5000000,"Under $5M",IF(I1421&lt;=20000000,"$5M-20M",IF(I1421&lt;=50000000,"$20M-50M",IF(I1421&lt;=100000000,"$50M-100M","$100M+"))))</f>
        <v/>
      </c>
      <c r="P1421" s="21">
        <f>IF(E1421&lt;=90,"90 or less",IF(E1421&lt;=105,"91-105",IF(E1421&lt;=120,"106-120",IF(E1421&lt;=140,"121-140","Over 140"))))</f>
        <v/>
      </c>
      <c r="Q1421" s="28">
        <f>INT(C1421/10)*10</f>
        <v/>
      </c>
    </row>
    <row r="1422">
      <c r="A1422" s="21" t="n">
        <v>1450</v>
      </c>
      <c r="B1422" s="21" t="inlineStr">
        <is>
          <t>Snow Day</t>
        </is>
      </c>
      <c r="C1422" s="21" t="n">
        <v>2000</v>
      </c>
      <c r="D1422" s="21" t="inlineStr">
        <is>
          <t>USA</t>
        </is>
      </c>
      <c r="E1422" s="21" t="n">
        <v>89</v>
      </c>
      <c r="F1422" s="21" t="inlineStr">
        <is>
          <t>English</t>
        </is>
      </c>
      <c r="G1422" s="21" t="inlineStr">
        <is>
          <t>PG</t>
        </is>
      </c>
      <c r="H1422" s="22" t="n">
        <v>60008303</v>
      </c>
      <c r="I1422" s="22" t="n">
        <v>13000000</v>
      </c>
      <c r="J1422" s="21">
        <f>IF(OR(H1422="",H1422=25529689.5),"Yes","No")</f>
        <v/>
      </c>
      <c r="K1422" s="21">
        <f>IF(AND(D1422="USA",C1422&gt;=1980,J1422="No"),"Yes","No")</f>
        <v/>
      </c>
      <c r="L1422" s="26">
        <f>IF(J1422="Yes","",H1422-I1422)</f>
        <v/>
      </c>
      <c r="M1422" s="27">
        <f>IF(OR(J1422="Yes",I1422=0),"",H1422/I1422)</f>
        <v/>
      </c>
      <c r="N1422" s="21">
        <f>IF(J1422="Yes","",IF(H1422&gt;=I1422,1,0))</f>
        <v/>
      </c>
      <c r="O1422" s="21">
        <f>IF(I1422&lt;=5000000,"Under $5M",IF(I1422&lt;=20000000,"$5M-20M",IF(I1422&lt;=50000000,"$20M-50M",IF(I1422&lt;=100000000,"$50M-100M","$100M+"))))</f>
        <v/>
      </c>
      <c r="P1422" s="21">
        <f>IF(E1422&lt;=90,"90 or less",IF(E1422&lt;=105,"91-105",IF(E1422&lt;=120,"106-120",IF(E1422&lt;=140,"121-140","Over 140"))))</f>
        <v/>
      </c>
      <c r="Q1422" s="28">
        <f>INT(C1422/10)*10</f>
        <v/>
      </c>
    </row>
    <row r="1423">
      <c r="A1423" s="21" t="n">
        <v>1451</v>
      </c>
      <c r="B1423" s="21" t="inlineStr">
        <is>
          <t>Songcatcher</t>
        </is>
      </c>
      <c r="C1423" s="21" t="n">
        <v>2000</v>
      </c>
      <c r="D1423" s="21" t="inlineStr">
        <is>
          <t>USA</t>
        </is>
      </c>
      <c r="E1423" s="21" t="n">
        <v>109</v>
      </c>
      <c r="F1423" s="21" t="inlineStr">
        <is>
          <t>English</t>
        </is>
      </c>
      <c r="G1423" s="21" t="inlineStr">
        <is>
          <t>PG-13</t>
        </is>
      </c>
      <c r="H1423" s="22" t="n">
        <v>3050934</v>
      </c>
      <c r="I1423" s="22" t="n">
        <v>1800000</v>
      </c>
      <c r="J1423" s="21">
        <f>IF(OR(H1423="",H1423=25529689.5),"Yes","No")</f>
        <v/>
      </c>
      <c r="K1423" s="21">
        <f>IF(AND(D1423="USA",C1423&gt;=1980,J1423="No"),"Yes","No")</f>
        <v/>
      </c>
      <c r="L1423" s="26">
        <f>IF(J1423="Yes","",H1423-I1423)</f>
        <v/>
      </c>
      <c r="M1423" s="27">
        <f>IF(OR(J1423="Yes",I1423=0),"",H1423/I1423)</f>
        <v/>
      </c>
      <c r="N1423" s="21">
        <f>IF(J1423="Yes","",IF(H1423&gt;=I1423,1,0))</f>
        <v/>
      </c>
      <c r="O1423" s="21">
        <f>IF(I1423&lt;=5000000,"Under $5M",IF(I1423&lt;=20000000,"$5M-20M",IF(I1423&lt;=50000000,"$20M-50M",IF(I1423&lt;=100000000,"$50M-100M","$100M+"))))</f>
        <v/>
      </c>
      <c r="P1423" s="21">
        <f>IF(E1423&lt;=90,"90 or less",IF(E1423&lt;=105,"91-105",IF(E1423&lt;=120,"106-120",IF(E1423&lt;=140,"121-140","Over 140"))))</f>
        <v/>
      </c>
      <c r="Q1423" s="28">
        <f>INT(C1423/10)*10</f>
        <v/>
      </c>
    </row>
    <row r="1424">
      <c r="A1424" s="21" t="n">
        <v>1452</v>
      </c>
      <c r="B1424" s="21" t="inlineStr">
        <is>
          <t>Space Cowboys</t>
        </is>
      </c>
      <c r="C1424" s="21" t="n">
        <v>2000</v>
      </c>
      <c r="D1424" s="21" t="inlineStr">
        <is>
          <t>USA</t>
        </is>
      </c>
      <c r="E1424" s="21" t="n">
        <v>130</v>
      </c>
      <c r="F1424" s="21" t="inlineStr">
        <is>
          <t>English</t>
        </is>
      </c>
      <c r="G1424" s="21" t="inlineStr">
        <is>
          <t>PG-13</t>
        </is>
      </c>
      <c r="H1424" s="22" t="n">
        <v>90454043</v>
      </c>
      <c r="I1424" s="22" t="n">
        <v>65000000</v>
      </c>
      <c r="J1424" s="21">
        <f>IF(OR(H1424="",H1424=25529689.5),"Yes","No")</f>
        <v/>
      </c>
      <c r="K1424" s="21">
        <f>IF(AND(D1424="USA",C1424&gt;=1980,J1424="No"),"Yes","No")</f>
        <v/>
      </c>
      <c r="L1424" s="26">
        <f>IF(J1424="Yes","",H1424-I1424)</f>
        <v/>
      </c>
      <c r="M1424" s="27">
        <f>IF(OR(J1424="Yes",I1424=0),"",H1424/I1424)</f>
        <v/>
      </c>
      <c r="N1424" s="21">
        <f>IF(J1424="Yes","",IF(H1424&gt;=I1424,1,0))</f>
        <v/>
      </c>
      <c r="O1424" s="21">
        <f>IF(I1424&lt;=5000000,"Under $5M",IF(I1424&lt;=20000000,"$5M-20M",IF(I1424&lt;=50000000,"$20M-50M",IF(I1424&lt;=100000000,"$50M-100M","$100M+"))))</f>
        <v/>
      </c>
      <c r="P1424" s="21">
        <f>IF(E1424&lt;=90,"90 or less",IF(E1424&lt;=105,"91-105",IF(E1424&lt;=120,"106-120",IF(E1424&lt;=140,"121-140","Over 140"))))</f>
        <v/>
      </c>
      <c r="Q1424" s="28">
        <f>INT(C1424/10)*10</f>
        <v/>
      </c>
    </row>
    <row r="1425">
      <c r="A1425" s="21" t="n">
        <v>1453</v>
      </c>
      <c r="B1425" s="21" t="inlineStr">
        <is>
          <t>Supernova</t>
        </is>
      </c>
      <c r="C1425" s="21" t="n">
        <v>2000</v>
      </c>
      <c r="D1425" s="21" t="inlineStr">
        <is>
          <t>USA</t>
        </is>
      </c>
      <c r="E1425" s="21" t="n">
        <v>91</v>
      </c>
      <c r="F1425" s="21" t="inlineStr">
        <is>
          <t>English</t>
        </is>
      </c>
      <c r="G1425" s="21" t="inlineStr">
        <is>
          <t>PG-13</t>
        </is>
      </c>
      <c r="H1425" s="22" t="n">
        <v>14218868</v>
      </c>
      <c r="I1425" s="22" t="n">
        <v>65000000</v>
      </c>
      <c r="J1425" s="21">
        <f>IF(OR(H1425="",H1425=25529689.5),"Yes","No")</f>
        <v/>
      </c>
      <c r="K1425" s="21">
        <f>IF(AND(D1425="USA",C1425&gt;=1980,J1425="No"),"Yes","No")</f>
        <v/>
      </c>
      <c r="L1425" s="26">
        <f>IF(J1425="Yes","",H1425-I1425)</f>
        <v/>
      </c>
      <c r="M1425" s="27">
        <f>IF(OR(J1425="Yes",I1425=0),"",H1425/I1425)</f>
        <v/>
      </c>
      <c r="N1425" s="21">
        <f>IF(J1425="Yes","",IF(H1425&gt;=I1425,1,0))</f>
        <v/>
      </c>
      <c r="O1425" s="21">
        <f>IF(I1425&lt;=5000000,"Under $5M",IF(I1425&lt;=20000000,"$5M-20M",IF(I1425&lt;=50000000,"$20M-50M",IF(I1425&lt;=100000000,"$50M-100M","$100M+"))))</f>
        <v/>
      </c>
      <c r="P1425" s="21">
        <f>IF(E1425&lt;=90,"90 or less",IF(E1425&lt;=105,"91-105",IF(E1425&lt;=120,"106-120",IF(E1425&lt;=140,"121-140","Over 140"))))</f>
        <v/>
      </c>
      <c r="Q1425" s="28">
        <f>INT(C1425/10)*10</f>
        <v/>
      </c>
    </row>
    <row r="1426">
      <c r="A1426" s="21" t="n">
        <v>1454</v>
      </c>
      <c r="B1426" s="21" t="inlineStr">
        <is>
          <t>Tadpole</t>
        </is>
      </c>
      <c r="C1426" s="21" t="n">
        <v>2000</v>
      </c>
      <c r="D1426" s="21" t="inlineStr">
        <is>
          <t>USA</t>
        </is>
      </c>
      <c r="E1426" s="21" t="n">
        <v>78</v>
      </c>
      <c r="F1426" s="21" t="inlineStr">
        <is>
          <t>English</t>
        </is>
      </c>
      <c r="G1426" s="21" t="inlineStr">
        <is>
          <t>PG-13</t>
        </is>
      </c>
      <c r="H1426" s="22" t="n">
        <v>2882062</v>
      </c>
      <c r="I1426" s="22" t="n">
        <v>150000</v>
      </c>
      <c r="J1426" s="21">
        <f>IF(OR(H1426="",H1426=25529689.5),"Yes","No")</f>
        <v/>
      </c>
      <c r="K1426" s="21">
        <f>IF(AND(D1426="USA",C1426&gt;=1980,J1426="No"),"Yes","No")</f>
        <v/>
      </c>
      <c r="L1426" s="26">
        <f>IF(J1426="Yes","",H1426-I1426)</f>
        <v/>
      </c>
      <c r="M1426" s="27">
        <f>IF(OR(J1426="Yes",I1426=0),"",H1426/I1426)</f>
        <v/>
      </c>
      <c r="N1426" s="21">
        <f>IF(J1426="Yes","",IF(H1426&gt;=I1426,1,0))</f>
        <v/>
      </c>
      <c r="O1426" s="21">
        <f>IF(I1426&lt;=5000000,"Under $5M",IF(I1426&lt;=20000000,"$5M-20M",IF(I1426&lt;=50000000,"$20M-50M",IF(I1426&lt;=100000000,"$50M-100M","$100M+"))))</f>
        <v/>
      </c>
      <c r="P1426" s="21">
        <f>IF(E1426&lt;=90,"90 or less",IF(E1426&lt;=105,"91-105",IF(E1426&lt;=120,"106-120",IF(E1426&lt;=140,"121-140","Over 140"))))</f>
        <v/>
      </c>
      <c r="Q1426" s="28">
        <f>INT(C1426/10)*10</f>
        <v/>
      </c>
    </row>
    <row r="1427">
      <c r="A1427" s="21" t="n">
        <v>1455</v>
      </c>
      <c r="B1427" s="21" t="inlineStr">
        <is>
          <t>The 6th Day</t>
        </is>
      </c>
      <c r="C1427" s="21" t="n">
        <v>2000</v>
      </c>
      <c r="D1427" s="21" t="inlineStr">
        <is>
          <t>USA</t>
        </is>
      </c>
      <c r="E1427" s="21" t="n">
        <v>123</v>
      </c>
      <c r="F1427" s="21" t="inlineStr">
        <is>
          <t>English</t>
        </is>
      </c>
      <c r="G1427" s="21" t="inlineStr">
        <is>
          <t>PG-13</t>
        </is>
      </c>
      <c r="H1427" s="22" t="n">
        <v>34543701</v>
      </c>
      <c r="I1427" s="22" t="n">
        <v>82000000</v>
      </c>
      <c r="J1427" s="21">
        <f>IF(OR(H1427="",H1427=25529689.5),"Yes","No")</f>
        <v/>
      </c>
      <c r="K1427" s="21">
        <f>IF(AND(D1427="USA",C1427&gt;=1980,J1427="No"),"Yes","No")</f>
        <v/>
      </c>
      <c r="L1427" s="26">
        <f>IF(J1427="Yes","",H1427-I1427)</f>
        <v/>
      </c>
      <c r="M1427" s="27">
        <f>IF(OR(J1427="Yes",I1427=0),"",H1427/I1427)</f>
        <v/>
      </c>
      <c r="N1427" s="21">
        <f>IF(J1427="Yes","",IF(H1427&gt;=I1427,1,0))</f>
        <v/>
      </c>
      <c r="O1427" s="21">
        <f>IF(I1427&lt;=5000000,"Under $5M",IF(I1427&lt;=20000000,"$5M-20M",IF(I1427&lt;=50000000,"$20M-50M",IF(I1427&lt;=100000000,"$50M-100M","$100M+"))))</f>
        <v/>
      </c>
      <c r="P1427" s="21">
        <f>IF(E1427&lt;=90,"90 or less",IF(E1427&lt;=105,"91-105",IF(E1427&lt;=120,"106-120",IF(E1427&lt;=140,"121-140","Over 140"))))</f>
        <v/>
      </c>
      <c r="Q1427" s="28">
        <f>INT(C1427/10)*10</f>
        <v/>
      </c>
    </row>
    <row r="1428">
      <c r="A1428" s="21" t="n">
        <v>1456</v>
      </c>
      <c r="B1428" s="21" t="inlineStr">
        <is>
          <t>The Adventures of Rocky &amp; Bullwinkle</t>
        </is>
      </c>
      <c r="C1428" s="21" t="n">
        <v>2000</v>
      </c>
      <c r="D1428" s="21" t="inlineStr">
        <is>
          <t>USA</t>
        </is>
      </c>
      <c r="E1428" s="21" t="n">
        <v>92</v>
      </c>
      <c r="F1428" s="21" t="inlineStr">
        <is>
          <t>English</t>
        </is>
      </c>
      <c r="G1428" s="21" t="inlineStr">
        <is>
          <t>PG</t>
        </is>
      </c>
      <c r="H1428" s="22" t="n">
        <v>26000610</v>
      </c>
      <c r="I1428" s="22" t="n">
        <v>76000000</v>
      </c>
      <c r="J1428" s="21">
        <f>IF(OR(H1428="",H1428=25529689.5),"Yes","No")</f>
        <v/>
      </c>
      <c r="K1428" s="21">
        <f>IF(AND(D1428="USA",C1428&gt;=1980,J1428="No"),"Yes","No")</f>
        <v/>
      </c>
      <c r="L1428" s="26">
        <f>IF(J1428="Yes","",H1428-I1428)</f>
        <v/>
      </c>
      <c r="M1428" s="27">
        <f>IF(OR(J1428="Yes",I1428=0),"",H1428/I1428)</f>
        <v/>
      </c>
      <c r="N1428" s="21">
        <f>IF(J1428="Yes","",IF(H1428&gt;=I1428,1,0))</f>
        <v/>
      </c>
      <c r="O1428" s="21">
        <f>IF(I1428&lt;=5000000,"Under $5M",IF(I1428&lt;=20000000,"$5M-20M",IF(I1428&lt;=50000000,"$20M-50M",IF(I1428&lt;=100000000,"$50M-100M","$100M+"))))</f>
        <v/>
      </c>
      <c r="P1428" s="21">
        <f>IF(E1428&lt;=90,"90 or less",IF(E1428&lt;=105,"91-105",IF(E1428&lt;=120,"106-120",IF(E1428&lt;=140,"121-140","Over 140"))))</f>
        <v/>
      </c>
      <c r="Q1428" s="28">
        <f>INT(C1428/10)*10</f>
        <v/>
      </c>
    </row>
    <row r="1429">
      <c r="A1429" s="21" t="n">
        <v>1457</v>
      </c>
      <c r="B1429" s="21" t="inlineStr">
        <is>
          <t>The Art of War</t>
        </is>
      </c>
      <c r="C1429" s="21" t="n">
        <v>2000</v>
      </c>
      <c r="D1429" s="21" t="inlineStr">
        <is>
          <t>USA</t>
        </is>
      </c>
      <c r="E1429" s="21" t="n">
        <v>116</v>
      </c>
      <c r="F1429" s="21" t="inlineStr">
        <is>
          <t>English</t>
        </is>
      </c>
      <c r="G1429" s="21" t="inlineStr">
        <is>
          <t>R</t>
        </is>
      </c>
      <c r="H1429" s="22" t="n">
        <v>30199105</v>
      </c>
      <c r="I1429" s="22" t="n">
        <v>40000000</v>
      </c>
      <c r="J1429" s="21">
        <f>IF(OR(H1429="",H1429=25529689.5),"Yes","No")</f>
        <v/>
      </c>
      <c r="K1429" s="21">
        <f>IF(AND(D1429="USA",C1429&gt;=1980,J1429="No"),"Yes","No")</f>
        <v/>
      </c>
      <c r="L1429" s="26">
        <f>IF(J1429="Yes","",H1429-I1429)</f>
        <v/>
      </c>
      <c r="M1429" s="27">
        <f>IF(OR(J1429="Yes",I1429=0),"",H1429/I1429)</f>
        <v/>
      </c>
      <c r="N1429" s="21">
        <f>IF(J1429="Yes","",IF(H1429&gt;=I1429,1,0))</f>
        <v/>
      </c>
      <c r="O1429" s="21">
        <f>IF(I1429&lt;=5000000,"Under $5M",IF(I1429&lt;=20000000,"$5M-20M",IF(I1429&lt;=50000000,"$20M-50M",IF(I1429&lt;=100000000,"$50M-100M","$100M+"))))</f>
        <v/>
      </c>
      <c r="P1429" s="21">
        <f>IF(E1429&lt;=90,"90 or less",IF(E1429&lt;=105,"91-105",IF(E1429&lt;=120,"106-120",IF(E1429&lt;=140,"121-140","Over 140"))))</f>
        <v/>
      </c>
      <c r="Q1429" s="28">
        <f>INT(C1429/10)*10</f>
        <v/>
      </c>
    </row>
    <row r="1430">
      <c r="A1430" s="21" t="n">
        <v>1458</v>
      </c>
      <c r="B1430" s="21" t="inlineStr">
        <is>
          <t>The Beach</t>
        </is>
      </c>
      <c r="C1430" s="21" t="n">
        <v>2000</v>
      </c>
      <c r="D1430" s="21" t="inlineStr">
        <is>
          <t>USA</t>
        </is>
      </c>
      <c r="E1430" s="21" t="n">
        <v>119</v>
      </c>
      <c r="F1430" s="21" t="inlineStr">
        <is>
          <t>English</t>
        </is>
      </c>
      <c r="G1430" s="21" t="inlineStr">
        <is>
          <t>R</t>
        </is>
      </c>
      <c r="H1430" s="22" t="n">
        <v>39778599</v>
      </c>
      <c r="I1430" s="22" t="n">
        <v>50000000</v>
      </c>
      <c r="J1430" s="21">
        <f>IF(OR(H1430="",H1430=25529689.5),"Yes","No")</f>
        <v/>
      </c>
      <c r="K1430" s="21">
        <f>IF(AND(D1430="USA",C1430&gt;=1980,J1430="No"),"Yes","No")</f>
        <v/>
      </c>
      <c r="L1430" s="26">
        <f>IF(J1430="Yes","",H1430-I1430)</f>
        <v/>
      </c>
      <c r="M1430" s="27">
        <f>IF(OR(J1430="Yes",I1430=0),"",H1430/I1430)</f>
        <v/>
      </c>
      <c r="N1430" s="21">
        <f>IF(J1430="Yes","",IF(H1430&gt;=I1430,1,0))</f>
        <v/>
      </c>
      <c r="O1430" s="21">
        <f>IF(I1430&lt;=5000000,"Under $5M",IF(I1430&lt;=20000000,"$5M-20M",IF(I1430&lt;=50000000,"$20M-50M",IF(I1430&lt;=100000000,"$50M-100M","$100M+"))))</f>
        <v/>
      </c>
      <c r="P1430" s="21">
        <f>IF(E1430&lt;=90,"90 or less",IF(E1430&lt;=105,"91-105",IF(E1430&lt;=120,"106-120",IF(E1430&lt;=140,"121-140","Over 140"))))</f>
        <v/>
      </c>
      <c r="Q1430" s="28">
        <f>INT(C1430/10)*10</f>
        <v/>
      </c>
    </row>
    <row r="1431">
      <c r="A1431" s="21" t="n">
        <v>1459</v>
      </c>
      <c r="B1431" s="21" t="inlineStr">
        <is>
          <t>The Broken Hearts Club: A Romantic Comedy</t>
        </is>
      </c>
      <c r="C1431" s="21" t="n">
        <v>2000</v>
      </c>
      <c r="D1431" s="21" t="inlineStr">
        <is>
          <t>USA</t>
        </is>
      </c>
      <c r="E1431" s="21" t="n">
        <v>94</v>
      </c>
      <c r="F1431" s="21" t="inlineStr">
        <is>
          <t>English</t>
        </is>
      </c>
      <c r="G1431" s="21" t="inlineStr">
        <is>
          <t>R</t>
        </is>
      </c>
      <c r="H1431" s="22" t="n">
        <v>1744858</v>
      </c>
      <c r="I1431" s="22" t="n">
        <v>1000000</v>
      </c>
      <c r="J1431" s="21">
        <f>IF(OR(H1431="",H1431=25529689.5),"Yes","No")</f>
        <v/>
      </c>
      <c r="K1431" s="21">
        <f>IF(AND(D1431="USA",C1431&gt;=1980,J1431="No"),"Yes","No")</f>
        <v/>
      </c>
      <c r="L1431" s="26">
        <f>IF(J1431="Yes","",H1431-I1431)</f>
        <v/>
      </c>
      <c r="M1431" s="27">
        <f>IF(OR(J1431="Yes",I1431=0),"",H1431/I1431)</f>
        <v/>
      </c>
      <c r="N1431" s="21">
        <f>IF(J1431="Yes","",IF(H1431&gt;=I1431,1,0))</f>
        <v/>
      </c>
      <c r="O1431" s="21">
        <f>IF(I1431&lt;=5000000,"Under $5M",IF(I1431&lt;=20000000,"$5M-20M",IF(I1431&lt;=50000000,"$20M-50M",IF(I1431&lt;=100000000,"$50M-100M","$100M+"))))</f>
        <v/>
      </c>
      <c r="P1431" s="21">
        <f>IF(E1431&lt;=90,"90 or less",IF(E1431&lt;=105,"91-105",IF(E1431&lt;=120,"106-120",IF(E1431&lt;=140,"121-140","Over 140"))))</f>
        <v/>
      </c>
      <c r="Q1431" s="28">
        <f>INT(C1431/10)*10</f>
        <v/>
      </c>
    </row>
    <row r="1432">
      <c r="A1432" s="21" t="n">
        <v>1460</v>
      </c>
      <c r="B1432" s="21" t="inlineStr">
        <is>
          <t>The Cell</t>
        </is>
      </c>
      <c r="C1432" s="21" t="n">
        <v>2000</v>
      </c>
      <c r="D1432" s="21" t="inlineStr">
        <is>
          <t>USA</t>
        </is>
      </c>
      <c r="E1432" s="21" t="n">
        <v>109</v>
      </c>
      <c r="F1432" s="21" t="inlineStr">
        <is>
          <t>English</t>
        </is>
      </c>
      <c r="G1432" s="21" t="inlineStr">
        <is>
          <t>R</t>
        </is>
      </c>
      <c r="H1432" s="22" t="n">
        <v>61280963</v>
      </c>
      <c r="I1432" s="22" t="n">
        <v>33000000</v>
      </c>
      <c r="J1432" s="21">
        <f>IF(OR(H1432="",H1432=25529689.5),"Yes","No")</f>
        <v/>
      </c>
      <c r="K1432" s="21">
        <f>IF(AND(D1432="USA",C1432&gt;=1980,J1432="No"),"Yes","No")</f>
        <v/>
      </c>
      <c r="L1432" s="26">
        <f>IF(J1432="Yes","",H1432-I1432)</f>
        <v/>
      </c>
      <c r="M1432" s="27">
        <f>IF(OR(J1432="Yes",I1432=0),"",H1432/I1432)</f>
        <v/>
      </c>
      <c r="N1432" s="21">
        <f>IF(J1432="Yes","",IF(H1432&gt;=I1432,1,0))</f>
        <v/>
      </c>
      <c r="O1432" s="21">
        <f>IF(I1432&lt;=5000000,"Under $5M",IF(I1432&lt;=20000000,"$5M-20M",IF(I1432&lt;=50000000,"$20M-50M",IF(I1432&lt;=100000000,"$50M-100M","$100M+"))))</f>
        <v/>
      </c>
      <c r="P1432" s="21">
        <f>IF(E1432&lt;=90,"90 or less",IF(E1432&lt;=105,"91-105",IF(E1432&lt;=120,"106-120",IF(E1432&lt;=140,"121-140","Over 140"))))</f>
        <v/>
      </c>
      <c r="Q1432" s="28">
        <f>INT(C1432/10)*10</f>
        <v/>
      </c>
    </row>
    <row r="1433">
      <c r="A1433" s="21" t="n">
        <v>1461</v>
      </c>
      <c r="B1433" s="21" t="inlineStr">
        <is>
          <t>The Circle</t>
        </is>
      </c>
      <c r="C1433" s="21" t="n">
        <v>2000</v>
      </c>
      <c r="D1433" s="21" t="inlineStr">
        <is>
          <t>Iran</t>
        </is>
      </c>
      <c r="E1433" s="21" t="n">
        <v>90</v>
      </c>
      <c r="F1433" s="21" t="inlineStr">
        <is>
          <t>Persian</t>
        </is>
      </c>
      <c r="G1433" s="21" t="inlineStr">
        <is>
          <t>Not Rated</t>
        </is>
      </c>
      <c r="H1433" s="22" t="n">
        <v>673780</v>
      </c>
      <c r="I1433" s="22" t="n">
        <v>10000</v>
      </c>
      <c r="J1433" s="21">
        <f>IF(OR(H1433="",H1433=25529689.5),"Yes","No")</f>
        <v/>
      </c>
      <c r="K1433" s="21">
        <f>IF(AND(D1433="USA",C1433&gt;=1980,J1433="No"),"Yes","No")</f>
        <v/>
      </c>
      <c r="L1433" s="26">
        <f>IF(J1433="Yes","",H1433-I1433)</f>
        <v/>
      </c>
      <c r="M1433" s="27">
        <f>IF(OR(J1433="Yes",I1433=0),"",H1433/I1433)</f>
        <v/>
      </c>
      <c r="N1433" s="21">
        <f>IF(J1433="Yes","",IF(H1433&gt;=I1433,1,0))</f>
        <v/>
      </c>
      <c r="O1433" s="21">
        <f>IF(I1433&lt;=5000000,"Under $5M",IF(I1433&lt;=20000000,"$5M-20M",IF(I1433&lt;=50000000,"$20M-50M",IF(I1433&lt;=100000000,"$50M-100M","$100M+"))))</f>
        <v/>
      </c>
      <c r="P1433" s="21">
        <f>IF(E1433&lt;=90,"90 or less",IF(E1433&lt;=105,"91-105",IF(E1433&lt;=120,"106-120",IF(E1433&lt;=140,"121-140","Over 140"))))</f>
        <v/>
      </c>
      <c r="Q1433" s="28">
        <f>INT(C1433/10)*10</f>
        <v/>
      </c>
    </row>
    <row r="1434">
      <c r="A1434" s="21" t="n">
        <v>1462</v>
      </c>
      <c r="B1434" s="21" t="inlineStr">
        <is>
          <t>The Claim</t>
        </is>
      </c>
      <c r="C1434" s="21" t="n">
        <v>2000</v>
      </c>
      <c r="D1434" s="21" t="inlineStr">
        <is>
          <t>UK</t>
        </is>
      </c>
      <c r="E1434" s="21" t="n">
        <v>115</v>
      </c>
      <c r="F1434" s="21" t="inlineStr">
        <is>
          <t>English</t>
        </is>
      </c>
      <c r="G1434" s="21" t="inlineStr">
        <is>
          <t>R</t>
        </is>
      </c>
      <c r="H1434" s="22" t="n">
        <v>403932</v>
      </c>
      <c r="I1434" s="22" t="n">
        <v>20000000</v>
      </c>
      <c r="J1434" s="21">
        <f>IF(OR(H1434="",H1434=25529689.5),"Yes","No")</f>
        <v/>
      </c>
      <c r="K1434" s="21">
        <f>IF(AND(D1434="USA",C1434&gt;=1980,J1434="No"),"Yes","No")</f>
        <v/>
      </c>
      <c r="L1434" s="26">
        <f>IF(J1434="Yes","",H1434-I1434)</f>
        <v/>
      </c>
      <c r="M1434" s="27">
        <f>IF(OR(J1434="Yes",I1434=0),"",H1434/I1434)</f>
        <v/>
      </c>
      <c r="N1434" s="21">
        <f>IF(J1434="Yes","",IF(H1434&gt;=I1434,1,0))</f>
        <v/>
      </c>
      <c r="O1434" s="21">
        <f>IF(I1434&lt;=5000000,"Under $5M",IF(I1434&lt;=20000000,"$5M-20M",IF(I1434&lt;=50000000,"$20M-50M",IF(I1434&lt;=100000000,"$50M-100M","$100M+"))))</f>
        <v/>
      </c>
      <c r="P1434" s="21">
        <f>IF(E1434&lt;=90,"90 or less",IF(E1434&lt;=105,"91-105",IF(E1434&lt;=120,"106-120",IF(E1434&lt;=140,"121-140","Over 140"))))</f>
        <v/>
      </c>
      <c r="Q1434" s="28">
        <f>INT(C1434/10)*10</f>
        <v/>
      </c>
    </row>
    <row r="1435">
      <c r="A1435" s="21" t="n">
        <v>1464</v>
      </c>
      <c r="B1435" s="21" t="inlineStr">
        <is>
          <t>The Contender</t>
        </is>
      </c>
      <c r="C1435" s="21" t="n">
        <v>2000</v>
      </c>
      <c r="D1435" s="21" t="inlineStr">
        <is>
          <t>USA</t>
        </is>
      </c>
      <c r="E1435" s="21" t="n">
        <v>126</v>
      </c>
      <c r="F1435" s="21" t="inlineStr">
        <is>
          <t>English</t>
        </is>
      </c>
      <c r="G1435" s="21" t="inlineStr">
        <is>
          <t>R</t>
        </is>
      </c>
      <c r="H1435" s="22" t="n">
        <v>17804273</v>
      </c>
      <c r="I1435" s="22" t="n">
        <v>20000000</v>
      </c>
      <c r="J1435" s="21">
        <f>IF(OR(H1435="",H1435=25529689.5),"Yes","No")</f>
        <v/>
      </c>
      <c r="K1435" s="21">
        <f>IF(AND(D1435="USA",C1435&gt;=1980,J1435="No"),"Yes","No")</f>
        <v/>
      </c>
      <c r="L1435" s="26">
        <f>IF(J1435="Yes","",H1435-I1435)</f>
        <v/>
      </c>
      <c r="M1435" s="27">
        <f>IF(OR(J1435="Yes",I1435=0),"",H1435/I1435)</f>
        <v/>
      </c>
      <c r="N1435" s="21">
        <f>IF(J1435="Yes","",IF(H1435&gt;=I1435,1,0))</f>
        <v/>
      </c>
      <c r="O1435" s="21">
        <f>IF(I1435&lt;=5000000,"Under $5M",IF(I1435&lt;=20000000,"$5M-20M",IF(I1435&lt;=50000000,"$20M-50M",IF(I1435&lt;=100000000,"$50M-100M","$100M+"))))</f>
        <v/>
      </c>
      <c r="P1435" s="21">
        <f>IF(E1435&lt;=90,"90 or less",IF(E1435&lt;=105,"91-105",IF(E1435&lt;=120,"106-120",IF(E1435&lt;=140,"121-140","Over 140"))))</f>
        <v/>
      </c>
      <c r="Q1435" s="28">
        <f>INT(C1435/10)*10</f>
        <v/>
      </c>
    </row>
    <row r="1436">
      <c r="A1436" s="21" t="n">
        <v>1465</v>
      </c>
      <c r="B1436" s="21" t="inlineStr">
        <is>
          <t>The Crew</t>
        </is>
      </c>
      <c r="C1436" s="21" t="n">
        <v>2000</v>
      </c>
      <c r="D1436" s="21" t="inlineStr">
        <is>
          <t>USA</t>
        </is>
      </c>
      <c r="E1436" s="21" t="n">
        <v>88</v>
      </c>
      <c r="F1436" s="21" t="inlineStr">
        <is>
          <t>English</t>
        </is>
      </c>
      <c r="G1436" s="21" t="inlineStr">
        <is>
          <t>PG-13</t>
        </is>
      </c>
      <c r="H1436" s="22" t="n">
        <v>13019253</v>
      </c>
      <c r="I1436" s="22" t="n">
        <v>23000000</v>
      </c>
      <c r="J1436" s="21">
        <f>IF(OR(H1436="",H1436=25529689.5),"Yes","No")</f>
        <v/>
      </c>
      <c r="K1436" s="21">
        <f>IF(AND(D1436="USA",C1436&gt;=1980,J1436="No"),"Yes","No")</f>
        <v/>
      </c>
      <c r="L1436" s="26">
        <f>IF(J1436="Yes","",H1436-I1436)</f>
        <v/>
      </c>
      <c r="M1436" s="27">
        <f>IF(OR(J1436="Yes",I1436=0),"",H1436/I1436)</f>
        <v/>
      </c>
      <c r="N1436" s="21">
        <f>IF(J1436="Yes","",IF(H1436&gt;=I1436,1,0))</f>
        <v/>
      </c>
      <c r="O1436" s="21">
        <f>IF(I1436&lt;=5000000,"Under $5M",IF(I1436&lt;=20000000,"$5M-20M",IF(I1436&lt;=50000000,"$20M-50M",IF(I1436&lt;=100000000,"$50M-100M","$100M+"))))</f>
        <v/>
      </c>
      <c r="P1436" s="21">
        <f>IF(E1436&lt;=90,"90 or less",IF(E1436&lt;=105,"91-105",IF(E1436&lt;=120,"106-120",IF(E1436&lt;=140,"121-140","Over 140"))))</f>
        <v/>
      </c>
      <c r="Q1436" s="28">
        <f>INT(C1436/10)*10</f>
        <v/>
      </c>
    </row>
    <row r="1437">
      <c r="A1437" s="21" t="n">
        <v>1466</v>
      </c>
      <c r="B1437" s="21" t="inlineStr">
        <is>
          <t>The Emperor's New Groove</t>
        </is>
      </c>
      <c r="C1437" s="21" t="n">
        <v>2000</v>
      </c>
      <c r="D1437" s="21" t="inlineStr">
        <is>
          <t>USA</t>
        </is>
      </c>
      <c r="E1437" s="21" t="n">
        <v>78</v>
      </c>
      <c r="F1437" s="21" t="inlineStr">
        <is>
          <t>English</t>
        </is>
      </c>
      <c r="G1437" s="21" t="inlineStr">
        <is>
          <t>G</t>
        </is>
      </c>
      <c r="H1437" s="22" t="n">
        <v>89296573</v>
      </c>
      <c r="I1437" s="22" t="n">
        <v>100000000</v>
      </c>
      <c r="J1437" s="21">
        <f>IF(OR(H1437="",H1437=25529689.5),"Yes","No")</f>
        <v/>
      </c>
      <c r="K1437" s="21">
        <f>IF(AND(D1437="USA",C1437&gt;=1980,J1437="No"),"Yes","No")</f>
        <v/>
      </c>
      <c r="L1437" s="26">
        <f>IF(J1437="Yes","",H1437-I1437)</f>
        <v/>
      </c>
      <c r="M1437" s="27">
        <f>IF(OR(J1437="Yes",I1437=0),"",H1437/I1437)</f>
        <v/>
      </c>
      <c r="N1437" s="21">
        <f>IF(J1437="Yes","",IF(H1437&gt;=I1437,1,0))</f>
        <v/>
      </c>
      <c r="O1437" s="21">
        <f>IF(I1437&lt;=5000000,"Under $5M",IF(I1437&lt;=20000000,"$5M-20M",IF(I1437&lt;=50000000,"$20M-50M",IF(I1437&lt;=100000000,"$50M-100M","$100M+"))))</f>
        <v/>
      </c>
      <c r="P1437" s="21">
        <f>IF(E1437&lt;=90,"90 or less",IF(E1437&lt;=105,"91-105",IF(E1437&lt;=120,"106-120",IF(E1437&lt;=140,"121-140","Over 140"))))</f>
        <v/>
      </c>
      <c r="Q1437" s="28">
        <f>INT(C1437/10)*10</f>
        <v/>
      </c>
    </row>
    <row r="1438">
      <c r="A1438" s="21" t="n">
        <v>1467</v>
      </c>
      <c r="B1438" s="21" t="inlineStr">
        <is>
          <t>The Family Man</t>
        </is>
      </c>
      <c r="C1438" s="21" t="n">
        <v>2000</v>
      </c>
      <c r="D1438" s="21" t="inlineStr">
        <is>
          <t>USA</t>
        </is>
      </c>
      <c r="E1438" s="21" t="n">
        <v>125</v>
      </c>
      <c r="F1438" s="21" t="inlineStr">
        <is>
          <t>English</t>
        </is>
      </c>
      <c r="G1438" s="21" t="inlineStr">
        <is>
          <t>PG-13</t>
        </is>
      </c>
      <c r="H1438" s="22" t="n">
        <v>75764085</v>
      </c>
      <c r="I1438" s="22" t="n">
        <v>60000000</v>
      </c>
      <c r="J1438" s="21">
        <f>IF(OR(H1438="",H1438=25529689.5),"Yes","No")</f>
        <v/>
      </c>
      <c r="K1438" s="21">
        <f>IF(AND(D1438="USA",C1438&gt;=1980,J1438="No"),"Yes","No")</f>
        <v/>
      </c>
      <c r="L1438" s="26">
        <f>IF(J1438="Yes","",H1438-I1438)</f>
        <v/>
      </c>
      <c r="M1438" s="27">
        <f>IF(OR(J1438="Yes",I1438=0),"",H1438/I1438)</f>
        <v/>
      </c>
      <c r="N1438" s="21">
        <f>IF(J1438="Yes","",IF(H1438&gt;=I1438,1,0))</f>
        <v/>
      </c>
      <c r="O1438" s="21">
        <f>IF(I1438&lt;=5000000,"Under $5M",IF(I1438&lt;=20000000,"$5M-20M",IF(I1438&lt;=50000000,"$20M-50M",IF(I1438&lt;=100000000,"$50M-100M","$100M+"))))</f>
        <v/>
      </c>
      <c r="P1438" s="21">
        <f>IF(E1438&lt;=90,"90 or less",IF(E1438&lt;=105,"91-105",IF(E1438&lt;=120,"106-120",IF(E1438&lt;=140,"121-140","Over 140"))))</f>
        <v/>
      </c>
      <c r="Q1438" s="28">
        <f>INT(C1438/10)*10</f>
        <v/>
      </c>
    </row>
    <row r="1439">
      <c r="A1439" s="21" t="n">
        <v>1468</v>
      </c>
      <c r="B1439" s="21" t="inlineStr">
        <is>
          <t>The Flintstones in Viva Rock Vegas</t>
        </is>
      </c>
      <c r="C1439" s="21" t="n">
        <v>2000</v>
      </c>
      <c r="D1439" s="21" t="inlineStr">
        <is>
          <t>USA</t>
        </is>
      </c>
      <c r="E1439" s="21" t="n">
        <v>90</v>
      </c>
      <c r="F1439" s="21" t="inlineStr">
        <is>
          <t>English</t>
        </is>
      </c>
      <c r="G1439" s="21" t="inlineStr">
        <is>
          <t>PG</t>
        </is>
      </c>
      <c r="H1439" s="22" t="n">
        <v>35231365</v>
      </c>
      <c r="I1439" s="22" t="n">
        <v>60000000</v>
      </c>
      <c r="J1439" s="21">
        <f>IF(OR(H1439="",H1439=25529689.5),"Yes","No")</f>
        <v/>
      </c>
      <c r="K1439" s="21">
        <f>IF(AND(D1439="USA",C1439&gt;=1980,J1439="No"),"Yes","No")</f>
        <v/>
      </c>
      <c r="L1439" s="26">
        <f>IF(J1439="Yes","",H1439-I1439)</f>
        <v/>
      </c>
      <c r="M1439" s="27">
        <f>IF(OR(J1439="Yes",I1439=0),"",H1439/I1439)</f>
        <v/>
      </c>
      <c r="N1439" s="21">
        <f>IF(J1439="Yes","",IF(H1439&gt;=I1439,1,0))</f>
        <v/>
      </c>
      <c r="O1439" s="21">
        <f>IF(I1439&lt;=5000000,"Under $5M",IF(I1439&lt;=20000000,"$5M-20M",IF(I1439&lt;=50000000,"$20M-50M",IF(I1439&lt;=100000000,"$50M-100M","$100M+"))))</f>
        <v/>
      </c>
      <c r="P1439" s="21">
        <f>IF(E1439&lt;=90,"90 or less",IF(E1439&lt;=105,"91-105",IF(E1439&lt;=120,"106-120",IF(E1439&lt;=140,"121-140","Over 140"))))</f>
        <v/>
      </c>
      <c r="Q1439" s="28">
        <f>INT(C1439/10)*10</f>
        <v/>
      </c>
    </row>
    <row r="1440">
      <c r="A1440" s="21" t="n">
        <v>1469</v>
      </c>
      <c r="B1440" s="21" t="inlineStr">
        <is>
          <t>The House of Mirth</t>
        </is>
      </c>
      <c r="C1440" s="21" t="n">
        <v>2000</v>
      </c>
      <c r="D1440" s="21" t="inlineStr">
        <is>
          <t>UK</t>
        </is>
      </c>
      <c r="E1440" s="21" t="n">
        <v>135</v>
      </c>
      <c r="F1440" s="21" t="inlineStr">
        <is>
          <t>English</t>
        </is>
      </c>
      <c r="G1440" s="21" t="inlineStr">
        <is>
          <t>PG</t>
        </is>
      </c>
      <c r="H1440" s="22" t="n">
        <v>3041803</v>
      </c>
      <c r="I1440" s="22" t="n">
        <v>10000000</v>
      </c>
      <c r="J1440" s="21">
        <f>IF(OR(H1440="",H1440=25529689.5),"Yes","No")</f>
        <v/>
      </c>
      <c r="K1440" s="21">
        <f>IF(AND(D1440="USA",C1440&gt;=1980,J1440="No"),"Yes","No")</f>
        <v/>
      </c>
      <c r="L1440" s="26">
        <f>IF(J1440="Yes","",H1440-I1440)</f>
        <v/>
      </c>
      <c r="M1440" s="27">
        <f>IF(OR(J1440="Yes",I1440=0),"",H1440/I1440)</f>
        <v/>
      </c>
      <c r="N1440" s="21">
        <f>IF(J1440="Yes","",IF(H1440&gt;=I1440,1,0))</f>
        <v/>
      </c>
      <c r="O1440" s="21">
        <f>IF(I1440&lt;=5000000,"Under $5M",IF(I1440&lt;=20000000,"$5M-20M",IF(I1440&lt;=50000000,"$20M-50M",IF(I1440&lt;=100000000,"$50M-100M","$100M+"))))</f>
        <v/>
      </c>
      <c r="P1440" s="21">
        <f>IF(E1440&lt;=90,"90 or less",IF(E1440&lt;=105,"91-105",IF(E1440&lt;=120,"106-120",IF(E1440&lt;=140,"121-140","Over 140"))))</f>
        <v/>
      </c>
      <c r="Q1440" s="28">
        <f>INT(C1440/10)*10</f>
        <v/>
      </c>
    </row>
    <row r="1441">
      <c r="A1441" s="21" t="n">
        <v>1470</v>
      </c>
      <c r="B1441" s="21" t="inlineStr">
        <is>
          <t>The In Crowd</t>
        </is>
      </c>
      <c r="C1441" s="21" t="n">
        <v>2000</v>
      </c>
      <c r="D1441" s="21" t="inlineStr">
        <is>
          <t>USA</t>
        </is>
      </c>
      <c r="E1441" s="21" t="n">
        <v>105</v>
      </c>
      <c r="F1441" s="21" t="inlineStr">
        <is>
          <t>English</t>
        </is>
      </c>
      <c r="G1441" s="21" t="inlineStr">
        <is>
          <t>PG-13</t>
        </is>
      </c>
      <c r="H1441" s="22" t="n">
        <v>5217498</v>
      </c>
      <c r="I1441" s="22" t="n">
        <v>15000000</v>
      </c>
      <c r="J1441" s="21">
        <f>IF(OR(H1441="",H1441=25529689.5),"Yes","No")</f>
        <v/>
      </c>
      <c r="K1441" s="21">
        <f>IF(AND(D1441="USA",C1441&gt;=1980,J1441="No"),"Yes","No")</f>
        <v/>
      </c>
      <c r="L1441" s="26">
        <f>IF(J1441="Yes","",H1441-I1441)</f>
        <v/>
      </c>
      <c r="M1441" s="27">
        <f>IF(OR(J1441="Yes",I1441=0),"",H1441/I1441)</f>
        <v/>
      </c>
      <c r="N1441" s="21">
        <f>IF(J1441="Yes","",IF(H1441&gt;=I1441,1,0))</f>
        <v/>
      </c>
      <c r="O1441" s="21">
        <f>IF(I1441&lt;=5000000,"Under $5M",IF(I1441&lt;=20000000,"$5M-20M",IF(I1441&lt;=50000000,"$20M-50M",IF(I1441&lt;=100000000,"$50M-100M","$100M+"))))</f>
        <v/>
      </c>
      <c r="P1441" s="21">
        <f>IF(E1441&lt;=90,"90 or less",IF(E1441&lt;=105,"91-105",IF(E1441&lt;=120,"106-120",IF(E1441&lt;=140,"121-140","Over 140"))))</f>
        <v/>
      </c>
      <c r="Q1441" s="28">
        <f>INT(C1441/10)*10</f>
        <v/>
      </c>
    </row>
    <row r="1442">
      <c r="A1442" s="21" t="n">
        <v>1471</v>
      </c>
      <c r="B1442" s="21" t="inlineStr">
        <is>
          <t>The Kid</t>
        </is>
      </c>
      <c r="C1442" s="21" t="n">
        <v>2000</v>
      </c>
      <c r="D1442" s="21" t="inlineStr">
        <is>
          <t>USA</t>
        </is>
      </c>
      <c r="E1442" s="21" t="n">
        <v>104</v>
      </c>
      <c r="F1442" s="21" t="inlineStr">
        <is>
          <t>English</t>
        </is>
      </c>
      <c r="G1442" s="21" t="inlineStr">
        <is>
          <t>PG</t>
        </is>
      </c>
      <c r="H1442" s="22" t="n">
        <v>69688384</v>
      </c>
      <c r="I1442" s="22" t="n">
        <v>60000000</v>
      </c>
      <c r="J1442" s="21">
        <f>IF(OR(H1442="",H1442=25529689.5),"Yes","No")</f>
        <v/>
      </c>
      <c r="K1442" s="21">
        <f>IF(AND(D1442="USA",C1442&gt;=1980,J1442="No"),"Yes","No")</f>
        <v/>
      </c>
      <c r="L1442" s="26">
        <f>IF(J1442="Yes","",H1442-I1442)</f>
        <v/>
      </c>
      <c r="M1442" s="27">
        <f>IF(OR(J1442="Yes",I1442=0),"",H1442/I1442)</f>
        <v/>
      </c>
      <c r="N1442" s="21">
        <f>IF(J1442="Yes","",IF(H1442&gt;=I1442,1,0))</f>
        <v/>
      </c>
      <c r="O1442" s="21">
        <f>IF(I1442&lt;=5000000,"Under $5M",IF(I1442&lt;=20000000,"$5M-20M",IF(I1442&lt;=50000000,"$20M-50M",IF(I1442&lt;=100000000,"$50M-100M","$100M+"))))</f>
        <v/>
      </c>
      <c r="P1442" s="21">
        <f>IF(E1442&lt;=90,"90 or less",IF(E1442&lt;=105,"91-105",IF(E1442&lt;=120,"106-120",IF(E1442&lt;=140,"121-140","Over 140"))))</f>
        <v/>
      </c>
      <c r="Q1442" s="28">
        <f>INT(C1442/10)*10</f>
        <v/>
      </c>
    </row>
    <row r="1443">
      <c r="A1443" s="21" t="n">
        <v>1472</v>
      </c>
      <c r="B1443" s="21" t="inlineStr">
        <is>
          <t>The Ladies Man</t>
        </is>
      </c>
      <c r="C1443" s="21" t="n">
        <v>2000</v>
      </c>
      <c r="D1443" s="21" t="inlineStr">
        <is>
          <t>USA</t>
        </is>
      </c>
      <c r="E1443" s="21" t="n">
        <v>84</v>
      </c>
      <c r="F1443" s="21" t="inlineStr">
        <is>
          <t>English</t>
        </is>
      </c>
      <c r="G1443" s="21" t="inlineStr">
        <is>
          <t>R</t>
        </is>
      </c>
      <c r="H1443" s="22" t="n">
        <v>13592872</v>
      </c>
      <c r="I1443" s="22" t="n">
        <v>11000000</v>
      </c>
      <c r="J1443" s="21">
        <f>IF(OR(H1443="",H1443=25529689.5),"Yes","No")</f>
        <v/>
      </c>
      <c r="K1443" s="21">
        <f>IF(AND(D1443="USA",C1443&gt;=1980,J1443="No"),"Yes","No")</f>
        <v/>
      </c>
      <c r="L1443" s="26">
        <f>IF(J1443="Yes","",H1443-I1443)</f>
        <v/>
      </c>
      <c r="M1443" s="27">
        <f>IF(OR(J1443="Yes",I1443=0),"",H1443/I1443)</f>
        <v/>
      </c>
      <c r="N1443" s="21">
        <f>IF(J1443="Yes","",IF(H1443&gt;=I1443,1,0))</f>
        <v/>
      </c>
      <c r="O1443" s="21">
        <f>IF(I1443&lt;=5000000,"Under $5M",IF(I1443&lt;=20000000,"$5M-20M",IF(I1443&lt;=50000000,"$20M-50M",IF(I1443&lt;=100000000,"$50M-100M","$100M+"))))</f>
        <v/>
      </c>
      <c r="P1443" s="21">
        <f>IF(E1443&lt;=90,"90 or less",IF(E1443&lt;=105,"91-105",IF(E1443&lt;=120,"106-120",IF(E1443&lt;=140,"121-140","Over 140"))))</f>
        <v/>
      </c>
      <c r="Q1443" s="28">
        <f>INT(C1443/10)*10</f>
        <v/>
      </c>
    </row>
    <row r="1444">
      <c r="A1444" s="21" t="n">
        <v>1473</v>
      </c>
      <c r="B1444" s="21" t="inlineStr">
        <is>
          <t>The Legend of Bagger Vance</t>
        </is>
      </c>
      <c r="C1444" s="21" t="n">
        <v>2000</v>
      </c>
      <c r="D1444" s="21" t="inlineStr">
        <is>
          <t>USA</t>
        </is>
      </c>
      <c r="E1444" s="21" t="n">
        <v>126</v>
      </c>
      <c r="F1444" s="21" t="inlineStr">
        <is>
          <t>English</t>
        </is>
      </c>
      <c r="G1444" s="21" t="inlineStr">
        <is>
          <t>PG-13</t>
        </is>
      </c>
      <c r="H1444" s="22" t="n">
        <v>30695227</v>
      </c>
      <c r="I1444" s="22" t="n">
        <v>60000000</v>
      </c>
      <c r="J1444" s="21">
        <f>IF(OR(H1444="",H1444=25529689.5),"Yes","No")</f>
        <v/>
      </c>
      <c r="K1444" s="21">
        <f>IF(AND(D1444="USA",C1444&gt;=1980,J1444="No"),"Yes","No")</f>
        <v/>
      </c>
      <c r="L1444" s="26">
        <f>IF(J1444="Yes","",H1444-I1444)</f>
        <v/>
      </c>
      <c r="M1444" s="27">
        <f>IF(OR(J1444="Yes",I1444=0),"",H1444/I1444)</f>
        <v/>
      </c>
      <c r="N1444" s="21">
        <f>IF(J1444="Yes","",IF(H1444&gt;=I1444,1,0))</f>
        <v/>
      </c>
      <c r="O1444" s="21">
        <f>IF(I1444&lt;=5000000,"Under $5M",IF(I1444&lt;=20000000,"$5M-20M",IF(I1444&lt;=50000000,"$20M-50M",IF(I1444&lt;=100000000,"$50M-100M","$100M+"))))</f>
        <v/>
      </c>
      <c r="P1444" s="21">
        <f>IF(E1444&lt;=90,"90 or less",IF(E1444&lt;=105,"91-105",IF(E1444&lt;=120,"106-120",IF(E1444&lt;=140,"121-140","Over 140"))))</f>
        <v/>
      </c>
      <c r="Q1444" s="28">
        <f>INT(C1444/10)*10</f>
        <v/>
      </c>
    </row>
    <row r="1445">
      <c r="A1445" s="21" t="n">
        <v>1474</v>
      </c>
      <c r="B1445" s="21" t="inlineStr">
        <is>
          <t>The Little Vampire</t>
        </is>
      </c>
      <c r="C1445" s="21" t="n">
        <v>2000</v>
      </c>
      <c r="D1445" s="21" t="inlineStr">
        <is>
          <t>Germany</t>
        </is>
      </c>
      <c r="E1445" s="21" t="n">
        <v>95</v>
      </c>
      <c r="F1445" s="21" t="inlineStr">
        <is>
          <t>English</t>
        </is>
      </c>
      <c r="G1445" s="21" t="inlineStr">
        <is>
          <t>PG</t>
        </is>
      </c>
      <c r="H1445" s="22" t="n">
        <v>13555988</v>
      </c>
      <c r="I1445" s="22" t="n">
        <v>22000000</v>
      </c>
      <c r="J1445" s="21">
        <f>IF(OR(H1445="",H1445=25529689.5),"Yes","No")</f>
        <v/>
      </c>
      <c r="K1445" s="21">
        <f>IF(AND(D1445="USA",C1445&gt;=1980,J1445="No"),"Yes","No")</f>
        <v/>
      </c>
      <c r="L1445" s="26">
        <f>IF(J1445="Yes","",H1445-I1445)</f>
        <v/>
      </c>
      <c r="M1445" s="27">
        <f>IF(OR(J1445="Yes",I1445=0),"",H1445/I1445)</f>
        <v/>
      </c>
      <c r="N1445" s="21">
        <f>IF(J1445="Yes","",IF(H1445&gt;=I1445,1,0))</f>
        <v/>
      </c>
      <c r="O1445" s="21">
        <f>IF(I1445&lt;=5000000,"Under $5M",IF(I1445&lt;=20000000,"$5M-20M",IF(I1445&lt;=50000000,"$20M-50M",IF(I1445&lt;=100000000,"$50M-100M","$100M+"))))</f>
        <v/>
      </c>
      <c r="P1445" s="21">
        <f>IF(E1445&lt;=90,"90 or less",IF(E1445&lt;=105,"91-105",IF(E1445&lt;=120,"106-120",IF(E1445&lt;=140,"121-140","Over 140"))))</f>
        <v/>
      </c>
      <c r="Q1445" s="28">
        <f>INT(C1445/10)*10</f>
        <v/>
      </c>
    </row>
    <row r="1446">
      <c r="A1446" s="21" t="n">
        <v>1475</v>
      </c>
      <c r="B1446" s="21" t="inlineStr">
        <is>
          <t>The Next Best Thing</t>
        </is>
      </c>
      <c r="C1446" s="21" t="n">
        <v>2000</v>
      </c>
      <c r="D1446" s="21" t="inlineStr">
        <is>
          <t>USA</t>
        </is>
      </c>
      <c r="E1446" s="21" t="n">
        <v>99</v>
      </c>
      <c r="F1446" s="21" t="inlineStr">
        <is>
          <t>English</t>
        </is>
      </c>
      <c r="G1446" s="21" t="inlineStr">
        <is>
          <t>PG-13</t>
        </is>
      </c>
      <c r="H1446" s="22" t="n">
        <v>14983572</v>
      </c>
      <c r="I1446" s="22" t="n">
        <v>25000000</v>
      </c>
      <c r="J1446" s="21">
        <f>IF(OR(H1446="",H1446=25529689.5),"Yes","No")</f>
        <v/>
      </c>
      <c r="K1446" s="21">
        <f>IF(AND(D1446="USA",C1446&gt;=1980,J1446="No"),"Yes","No")</f>
        <v/>
      </c>
      <c r="L1446" s="26">
        <f>IF(J1446="Yes","",H1446-I1446)</f>
        <v/>
      </c>
      <c r="M1446" s="27">
        <f>IF(OR(J1446="Yes",I1446=0),"",H1446/I1446)</f>
        <v/>
      </c>
      <c r="N1446" s="21">
        <f>IF(J1446="Yes","",IF(H1446&gt;=I1446,1,0))</f>
        <v/>
      </c>
      <c r="O1446" s="21">
        <f>IF(I1446&lt;=5000000,"Under $5M",IF(I1446&lt;=20000000,"$5M-20M",IF(I1446&lt;=50000000,"$20M-50M",IF(I1446&lt;=100000000,"$50M-100M","$100M+"))))</f>
        <v/>
      </c>
      <c r="P1446" s="21">
        <f>IF(E1446&lt;=90,"90 or less",IF(E1446&lt;=105,"91-105",IF(E1446&lt;=120,"106-120",IF(E1446&lt;=140,"121-140","Over 140"))))</f>
        <v/>
      </c>
      <c r="Q1446" s="28">
        <f>INT(C1446/10)*10</f>
        <v/>
      </c>
    </row>
    <row r="1447">
      <c r="A1447" s="21" t="n">
        <v>1476</v>
      </c>
      <c r="B1447" s="21" t="inlineStr">
        <is>
          <t>The Original Kings of Comedy</t>
        </is>
      </c>
      <c r="C1447" s="21" t="n">
        <v>2000</v>
      </c>
      <c r="D1447" s="21" t="inlineStr">
        <is>
          <t>USA</t>
        </is>
      </c>
      <c r="E1447" s="21" t="n">
        <v>115</v>
      </c>
      <c r="F1447" s="21" t="inlineStr">
        <is>
          <t>English</t>
        </is>
      </c>
      <c r="G1447" s="21" t="inlineStr">
        <is>
          <t>R</t>
        </is>
      </c>
      <c r="H1447" s="22" t="n">
        <v>38168022</v>
      </c>
      <c r="I1447" s="22" t="n">
        <v>3000000</v>
      </c>
      <c r="J1447" s="21">
        <f>IF(OR(H1447="",H1447=25529689.5),"Yes","No")</f>
        <v/>
      </c>
      <c r="K1447" s="21">
        <f>IF(AND(D1447="USA",C1447&gt;=1980,J1447="No"),"Yes","No")</f>
        <v/>
      </c>
      <c r="L1447" s="26">
        <f>IF(J1447="Yes","",H1447-I1447)</f>
        <v/>
      </c>
      <c r="M1447" s="27">
        <f>IF(OR(J1447="Yes",I1447=0),"",H1447/I1447)</f>
        <v/>
      </c>
      <c r="N1447" s="21">
        <f>IF(J1447="Yes","",IF(H1447&gt;=I1447,1,0))</f>
        <v/>
      </c>
      <c r="O1447" s="21">
        <f>IF(I1447&lt;=5000000,"Under $5M",IF(I1447&lt;=20000000,"$5M-20M",IF(I1447&lt;=50000000,"$20M-50M",IF(I1447&lt;=100000000,"$50M-100M","$100M+"))))</f>
        <v/>
      </c>
      <c r="P1447" s="21">
        <f>IF(E1447&lt;=90,"90 or less",IF(E1447&lt;=105,"91-105",IF(E1447&lt;=120,"106-120",IF(E1447&lt;=140,"121-140","Over 140"))))</f>
        <v/>
      </c>
      <c r="Q1447" s="28">
        <f>INT(C1447/10)*10</f>
        <v/>
      </c>
    </row>
    <row r="1448">
      <c r="A1448" s="21" t="n">
        <v>1477</v>
      </c>
      <c r="B1448" s="21" t="inlineStr">
        <is>
          <t>The Patriot</t>
        </is>
      </c>
      <c r="C1448" s="21" t="n">
        <v>2000</v>
      </c>
      <c r="D1448" s="21" t="inlineStr">
        <is>
          <t>USA</t>
        </is>
      </c>
      <c r="E1448" s="21" t="n">
        <v>142</v>
      </c>
      <c r="F1448" s="21" t="inlineStr">
        <is>
          <t>English</t>
        </is>
      </c>
      <c r="G1448" s="21" t="inlineStr">
        <is>
          <t>R</t>
        </is>
      </c>
      <c r="H1448" s="22" t="n">
        <v>113330342</v>
      </c>
      <c r="I1448" s="22" t="n">
        <v>110000000</v>
      </c>
      <c r="J1448" s="21">
        <f>IF(OR(H1448="",H1448=25529689.5),"Yes","No")</f>
        <v/>
      </c>
      <c r="K1448" s="21">
        <f>IF(AND(D1448="USA",C1448&gt;=1980,J1448="No"),"Yes","No")</f>
        <v/>
      </c>
      <c r="L1448" s="26">
        <f>IF(J1448="Yes","",H1448-I1448)</f>
        <v/>
      </c>
      <c r="M1448" s="27">
        <f>IF(OR(J1448="Yes",I1448=0),"",H1448/I1448)</f>
        <v/>
      </c>
      <c r="N1448" s="21">
        <f>IF(J1448="Yes","",IF(H1448&gt;=I1448,1,0))</f>
        <v/>
      </c>
      <c r="O1448" s="21">
        <f>IF(I1448&lt;=5000000,"Under $5M",IF(I1448&lt;=20000000,"$5M-20M",IF(I1448&lt;=50000000,"$20M-50M",IF(I1448&lt;=100000000,"$50M-100M","$100M+"))))</f>
        <v/>
      </c>
      <c r="P1448" s="21">
        <f>IF(E1448&lt;=90,"90 or less",IF(E1448&lt;=105,"91-105",IF(E1448&lt;=120,"106-120",IF(E1448&lt;=140,"121-140","Over 140"))))</f>
        <v/>
      </c>
      <c r="Q1448" s="28">
        <f>INT(C1448/10)*10</f>
        <v/>
      </c>
    </row>
    <row r="1449">
      <c r="A1449" s="21" t="n">
        <v>1478</v>
      </c>
      <c r="B1449" s="21" t="inlineStr">
        <is>
          <t>The Perfect Storm</t>
        </is>
      </c>
      <c r="C1449" s="21" t="n">
        <v>2000</v>
      </c>
      <c r="D1449" s="21" t="inlineStr">
        <is>
          <t>USA</t>
        </is>
      </c>
      <c r="E1449" s="21" t="n">
        <v>130</v>
      </c>
      <c r="F1449" s="21" t="inlineStr">
        <is>
          <t>English</t>
        </is>
      </c>
      <c r="G1449" s="21" t="inlineStr">
        <is>
          <t>PG-13</t>
        </is>
      </c>
      <c r="H1449" s="22" t="n">
        <v>182618434</v>
      </c>
      <c r="I1449" s="22" t="n">
        <v>140000000</v>
      </c>
      <c r="J1449" s="21">
        <f>IF(OR(H1449="",H1449=25529689.5),"Yes","No")</f>
        <v/>
      </c>
      <c r="K1449" s="21">
        <f>IF(AND(D1449="USA",C1449&gt;=1980,J1449="No"),"Yes","No")</f>
        <v/>
      </c>
      <c r="L1449" s="26">
        <f>IF(J1449="Yes","",H1449-I1449)</f>
        <v/>
      </c>
      <c r="M1449" s="27">
        <f>IF(OR(J1449="Yes",I1449=0),"",H1449/I1449)</f>
        <v/>
      </c>
      <c r="N1449" s="21">
        <f>IF(J1449="Yes","",IF(H1449&gt;=I1449,1,0))</f>
        <v/>
      </c>
      <c r="O1449" s="21">
        <f>IF(I1449&lt;=5000000,"Under $5M",IF(I1449&lt;=20000000,"$5M-20M",IF(I1449&lt;=50000000,"$20M-50M",IF(I1449&lt;=100000000,"$50M-100M","$100M+"))))</f>
        <v/>
      </c>
      <c r="P1449" s="21">
        <f>IF(E1449&lt;=90,"90 or less",IF(E1449&lt;=105,"91-105",IF(E1449&lt;=120,"106-120",IF(E1449&lt;=140,"121-140","Over 140"))))</f>
        <v/>
      </c>
      <c r="Q1449" s="28">
        <f>INT(C1449/10)*10</f>
        <v/>
      </c>
    </row>
    <row r="1450">
      <c r="A1450" s="21" t="n">
        <v>1479</v>
      </c>
      <c r="B1450" s="21" t="inlineStr">
        <is>
          <t>The Replacements</t>
        </is>
      </c>
      <c r="C1450" s="21" t="n">
        <v>2000</v>
      </c>
      <c r="D1450" s="21" t="inlineStr">
        <is>
          <t>USA</t>
        </is>
      </c>
      <c r="E1450" s="21" t="n">
        <v>118</v>
      </c>
      <c r="F1450" s="21" t="inlineStr">
        <is>
          <t>English</t>
        </is>
      </c>
      <c r="G1450" s="21" t="inlineStr">
        <is>
          <t>PG-13</t>
        </is>
      </c>
      <c r="H1450" s="22" t="n">
        <v>44737059</v>
      </c>
      <c r="I1450" s="22" t="n">
        <v>50000000</v>
      </c>
      <c r="J1450" s="21">
        <f>IF(OR(H1450="",H1450=25529689.5),"Yes","No")</f>
        <v/>
      </c>
      <c r="K1450" s="21">
        <f>IF(AND(D1450="USA",C1450&gt;=1980,J1450="No"),"Yes","No")</f>
        <v/>
      </c>
      <c r="L1450" s="26">
        <f>IF(J1450="Yes","",H1450-I1450)</f>
        <v/>
      </c>
      <c r="M1450" s="27">
        <f>IF(OR(J1450="Yes",I1450=0),"",H1450/I1450)</f>
        <v/>
      </c>
      <c r="N1450" s="21">
        <f>IF(J1450="Yes","",IF(H1450&gt;=I1450,1,0))</f>
        <v/>
      </c>
      <c r="O1450" s="21">
        <f>IF(I1450&lt;=5000000,"Under $5M",IF(I1450&lt;=20000000,"$5M-20M",IF(I1450&lt;=50000000,"$20M-50M",IF(I1450&lt;=100000000,"$50M-100M","$100M+"))))</f>
        <v/>
      </c>
      <c r="P1450" s="21">
        <f>IF(E1450&lt;=90,"90 or less",IF(E1450&lt;=105,"91-105",IF(E1450&lt;=120,"106-120",IF(E1450&lt;=140,"121-140","Over 140"))))</f>
        <v/>
      </c>
      <c r="Q1450" s="28">
        <f>INT(C1450/10)*10</f>
        <v/>
      </c>
    </row>
    <row r="1451">
      <c r="A1451" s="21" t="n">
        <v>1480</v>
      </c>
      <c r="B1451" s="21" t="inlineStr">
        <is>
          <t>The Road to El Dorado</t>
        </is>
      </c>
      <c r="C1451" s="21" t="n">
        <v>2000</v>
      </c>
      <c r="D1451" s="21" t="inlineStr">
        <is>
          <t>USA</t>
        </is>
      </c>
      <c r="E1451" s="21" t="n">
        <v>89</v>
      </c>
      <c r="F1451" s="21" t="inlineStr">
        <is>
          <t>English</t>
        </is>
      </c>
      <c r="G1451" s="21" t="inlineStr">
        <is>
          <t>PG</t>
        </is>
      </c>
      <c r="H1451" s="22" t="n">
        <v>50802661</v>
      </c>
      <c r="I1451" s="22" t="n">
        <v>95000000</v>
      </c>
      <c r="J1451" s="21">
        <f>IF(OR(H1451="",H1451=25529689.5),"Yes","No")</f>
        <v/>
      </c>
      <c r="K1451" s="21">
        <f>IF(AND(D1451="USA",C1451&gt;=1980,J1451="No"),"Yes","No")</f>
        <v/>
      </c>
      <c r="L1451" s="26">
        <f>IF(J1451="Yes","",H1451-I1451)</f>
        <v/>
      </c>
      <c r="M1451" s="27">
        <f>IF(OR(J1451="Yes",I1451=0),"",H1451/I1451)</f>
        <v/>
      </c>
      <c r="N1451" s="21">
        <f>IF(J1451="Yes","",IF(H1451&gt;=I1451,1,0))</f>
        <v/>
      </c>
      <c r="O1451" s="21">
        <f>IF(I1451&lt;=5000000,"Under $5M",IF(I1451&lt;=20000000,"$5M-20M",IF(I1451&lt;=50000000,"$20M-50M",IF(I1451&lt;=100000000,"$50M-100M","$100M+"))))</f>
        <v/>
      </c>
      <c r="P1451" s="21">
        <f>IF(E1451&lt;=90,"90 or less",IF(E1451&lt;=105,"91-105",IF(E1451&lt;=120,"106-120",IF(E1451&lt;=140,"121-140","Over 140"))))</f>
        <v/>
      </c>
      <c r="Q1451" s="28">
        <f>INT(C1451/10)*10</f>
        <v/>
      </c>
    </row>
    <row r="1452">
      <c r="A1452" s="21" t="n">
        <v>1481</v>
      </c>
      <c r="B1452" s="21" t="inlineStr">
        <is>
          <t>The Skulls</t>
        </is>
      </c>
      <c r="C1452" s="21" t="n">
        <v>2000</v>
      </c>
      <c r="D1452" s="21" t="inlineStr">
        <is>
          <t>USA</t>
        </is>
      </c>
      <c r="E1452" s="21" t="n">
        <v>106</v>
      </c>
      <c r="F1452" s="21" t="inlineStr">
        <is>
          <t>English</t>
        </is>
      </c>
      <c r="G1452" s="21" t="inlineStr">
        <is>
          <t>PG-13</t>
        </is>
      </c>
      <c r="H1452" s="22" t="n">
        <v>35007180</v>
      </c>
      <c r="I1452" s="22" t="n">
        <v>15000000</v>
      </c>
      <c r="J1452" s="21">
        <f>IF(OR(H1452="",H1452=25529689.5),"Yes","No")</f>
        <v/>
      </c>
      <c r="K1452" s="21">
        <f>IF(AND(D1452="USA",C1452&gt;=1980,J1452="No"),"Yes","No")</f>
        <v/>
      </c>
      <c r="L1452" s="26">
        <f>IF(J1452="Yes","",H1452-I1452)</f>
        <v/>
      </c>
      <c r="M1452" s="27">
        <f>IF(OR(J1452="Yes",I1452=0),"",H1452/I1452)</f>
        <v/>
      </c>
      <c r="N1452" s="21">
        <f>IF(J1452="Yes","",IF(H1452&gt;=I1452,1,0))</f>
        <v/>
      </c>
      <c r="O1452" s="21">
        <f>IF(I1452&lt;=5000000,"Under $5M",IF(I1452&lt;=20000000,"$5M-20M",IF(I1452&lt;=50000000,"$20M-50M",IF(I1452&lt;=100000000,"$50M-100M","$100M+"))))</f>
        <v/>
      </c>
      <c r="P1452" s="21">
        <f>IF(E1452&lt;=90,"90 or less",IF(E1452&lt;=105,"91-105",IF(E1452&lt;=120,"106-120",IF(E1452&lt;=140,"121-140","Over 140"))))</f>
        <v/>
      </c>
      <c r="Q1452" s="28">
        <f>INT(C1452/10)*10</f>
        <v/>
      </c>
    </row>
    <row r="1453">
      <c r="A1453" s="21" t="n">
        <v>1482</v>
      </c>
      <c r="B1453" s="21" t="inlineStr">
        <is>
          <t>The Specials</t>
        </is>
      </c>
      <c r="C1453" s="21" t="n">
        <v>2000</v>
      </c>
      <c r="D1453" s="21" t="inlineStr">
        <is>
          <t>USA</t>
        </is>
      </c>
      <c r="E1453" s="21" t="n">
        <v>82</v>
      </c>
      <c r="F1453" s="21" t="inlineStr">
        <is>
          <t>English</t>
        </is>
      </c>
      <c r="G1453" s="21" t="inlineStr">
        <is>
          <t>R</t>
        </is>
      </c>
      <c r="H1453" s="22" t="n">
        <v>12996</v>
      </c>
      <c r="I1453" s="22" t="n">
        <v>1000000</v>
      </c>
      <c r="J1453" s="21">
        <f>IF(OR(H1453="",H1453=25529689.5),"Yes","No")</f>
        <v/>
      </c>
      <c r="K1453" s="21">
        <f>IF(AND(D1453="USA",C1453&gt;=1980,J1453="No"),"Yes","No")</f>
        <v/>
      </c>
      <c r="L1453" s="26">
        <f>IF(J1453="Yes","",H1453-I1453)</f>
        <v/>
      </c>
      <c r="M1453" s="27">
        <f>IF(OR(J1453="Yes",I1453=0),"",H1453/I1453)</f>
        <v/>
      </c>
      <c r="N1453" s="21">
        <f>IF(J1453="Yes","",IF(H1453&gt;=I1453,1,0))</f>
        <v/>
      </c>
      <c r="O1453" s="21">
        <f>IF(I1453&lt;=5000000,"Under $5M",IF(I1453&lt;=20000000,"$5M-20M",IF(I1453&lt;=50000000,"$20M-50M",IF(I1453&lt;=100000000,"$50M-100M","$100M+"))))</f>
        <v/>
      </c>
      <c r="P1453" s="21">
        <f>IF(E1453&lt;=90,"90 or less",IF(E1453&lt;=105,"91-105",IF(E1453&lt;=120,"106-120",IF(E1453&lt;=140,"121-140","Over 140"))))</f>
        <v/>
      </c>
      <c r="Q1453" s="28">
        <f>INT(C1453/10)*10</f>
        <v/>
      </c>
    </row>
    <row r="1454">
      <c r="A1454" s="21" t="n">
        <v>1483</v>
      </c>
      <c r="B1454" s="21" t="inlineStr">
        <is>
          <t>The Tigger Movie</t>
        </is>
      </c>
      <c r="C1454" s="21" t="n">
        <v>2000</v>
      </c>
      <c r="D1454" s="21" t="inlineStr">
        <is>
          <t>USA</t>
        </is>
      </c>
      <c r="E1454" s="21" t="n">
        <v>77</v>
      </c>
      <c r="F1454" s="21" t="inlineStr">
        <is>
          <t>English</t>
        </is>
      </c>
      <c r="G1454" s="21" t="inlineStr">
        <is>
          <t>G</t>
        </is>
      </c>
      <c r="H1454" s="22" t="n">
        <v>45542421</v>
      </c>
      <c r="I1454" s="22" t="n">
        <v>30000000</v>
      </c>
      <c r="J1454" s="21">
        <f>IF(OR(H1454="",H1454=25529689.5),"Yes","No")</f>
        <v/>
      </c>
      <c r="K1454" s="21">
        <f>IF(AND(D1454="USA",C1454&gt;=1980,J1454="No"),"Yes","No")</f>
        <v/>
      </c>
      <c r="L1454" s="26">
        <f>IF(J1454="Yes","",H1454-I1454)</f>
        <v/>
      </c>
      <c r="M1454" s="27">
        <f>IF(OR(J1454="Yes",I1454=0),"",H1454/I1454)</f>
        <v/>
      </c>
      <c r="N1454" s="21">
        <f>IF(J1454="Yes","",IF(H1454&gt;=I1454,1,0))</f>
        <v/>
      </c>
      <c r="O1454" s="21">
        <f>IF(I1454&lt;=5000000,"Under $5M",IF(I1454&lt;=20000000,"$5M-20M",IF(I1454&lt;=50000000,"$20M-50M",IF(I1454&lt;=100000000,"$50M-100M","$100M+"))))</f>
        <v/>
      </c>
      <c r="P1454" s="21">
        <f>IF(E1454&lt;=90,"90 or less",IF(E1454&lt;=105,"91-105",IF(E1454&lt;=120,"106-120",IF(E1454&lt;=140,"121-140","Over 140"))))</f>
        <v/>
      </c>
      <c r="Q1454" s="28">
        <f>INT(C1454/10)*10</f>
        <v/>
      </c>
    </row>
    <row r="1455">
      <c r="A1455" s="21" t="n">
        <v>1484</v>
      </c>
      <c r="B1455" s="21" t="inlineStr">
        <is>
          <t>The Watcher</t>
        </is>
      </c>
      <c r="C1455" s="21" t="n">
        <v>2000</v>
      </c>
      <c r="D1455" s="21" t="inlineStr">
        <is>
          <t>USA</t>
        </is>
      </c>
      <c r="E1455" s="21" t="n">
        <v>97</v>
      </c>
      <c r="F1455" s="21" t="inlineStr">
        <is>
          <t>English</t>
        </is>
      </c>
      <c r="G1455" s="21" t="inlineStr">
        <is>
          <t>R</t>
        </is>
      </c>
      <c r="H1455" s="22" t="n">
        <v>28927720</v>
      </c>
      <c r="I1455" s="22" t="n">
        <v>33000000</v>
      </c>
      <c r="J1455" s="21">
        <f>IF(OR(H1455="",H1455=25529689.5),"Yes","No")</f>
        <v/>
      </c>
      <c r="K1455" s="21">
        <f>IF(AND(D1455="USA",C1455&gt;=1980,J1455="No"),"Yes","No")</f>
        <v/>
      </c>
      <c r="L1455" s="26">
        <f>IF(J1455="Yes","",H1455-I1455)</f>
        <v/>
      </c>
      <c r="M1455" s="27">
        <f>IF(OR(J1455="Yes",I1455=0),"",H1455/I1455)</f>
        <v/>
      </c>
      <c r="N1455" s="21">
        <f>IF(J1455="Yes","",IF(H1455&gt;=I1455,1,0))</f>
        <v/>
      </c>
      <c r="O1455" s="21">
        <f>IF(I1455&lt;=5000000,"Under $5M",IF(I1455&lt;=20000000,"$5M-20M",IF(I1455&lt;=50000000,"$20M-50M",IF(I1455&lt;=100000000,"$50M-100M","$100M+"))))</f>
        <v/>
      </c>
      <c r="P1455" s="21">
        <f>IF(E1455&lt;=90,"90 or less",IF(E1455&lt;=105,"91-105",IF(E1455&lt;=120,"106-120",IF(E1455&lt;=140,"121-140","Over 140"))))</f>
        <v/>
      </c>
      <c r="Q1455" s="28">
        <f>INT(C1455/10)*10</f>
        <v/>
      </c>
    </row>
    <row r="1456">
      <c r="A1456" s="21" t="n">
        <v>1485</v>
      </c>
      <c r="B1456" s="21" t="inlineStr">
        <is>
          <t>The Way of the Gun</t>
        </is>
      </c>
      <c r="C1456" s="21" t="n">
        <v>2000</v>
      </c>
      <c r="D1456" s="21" t="inlineStr">
        <is>
          <t>USA</t>
        </is>
      </c>
      <c r="E1456" s="21" t="n">
        <v>119</v>
      </c>
      <c r="F1456" s="21" t="inlineStr">
        <is>
          <t>English</t>
        </is>
      </c>
      <c r="G1456" s="21" t="inlineStr">
        <is>
          <t>R</t>
        </is>
      </c>
      <c r="H1456" s="22" t="n">
        <v>6047856</v>
      </c>
      <c r="I1456" s="22" t="n">
        <v>8500000</v>
      </c>
      <c r="J1456" s="21">
        <f>IF(OR(H1456="",H1456=25529689.5),"Yes","No")</f>
        <v/>
      </c>
      <c r="K1456" s="21">
        <f>IF(AND(D1456="USA",C1456&gt;=1980,J1456="No"),"Yes","No")</f>
        <v/>
      </c>
      <c r="L1456" s="26">
        <f>IF(J1456="Yes","",H1456-I1456)</f>
        <v/>
      </c>
      <c r="M1456" s="27">
        <f>IF(OR(J1456="Yes",I1456=0),"",H1456/I1456)</f>
        <v/>
      </c>
      <c r="N1456" s="21">
        <f>IF(J1456="Yes","",IF(H1456&gt;=I1456,1,0))</f>
        <v/>
      </c>
      <c r="O1456" s="21">
        <f>IF(I1456&lt;=5000000,"Under $5M",IF(I1456&lt;=20000000,"$5M-20M",IF(I1456&lt;=50000000,"$20M-50M",IF(I1456&lt;=100000000,"$50M-100M","$100M+"))))</f>
        <v/>
      </c>
      <c r="P1456" s="21">
        <f>IF(E1456&lt;=90,"90 or less",IF(E1456&lt;=105,"91-105",IF(E1456&lt;=120,"106-120",IF(E1456&lt;=140,"121-140","Over 140"))))</f>
        <v/>
      </c>
      <c r="Q1456" s="28">
        <f>INT(C1456/10)*10</f>
        <v/>
      </c>
    </row>
    <row r="1457">
      <c r="A1457" s="21" t="n">
        <v>1486</v>
      </c>
      <c r="B1457" s="21" t="inlineStr">
        <is>
          <t>The Whole Nine Yards</t>
        </is>
      </c>
      <c r="C1457" s="21" t="n">
        <v>2000</v>
      </c>
      <c r="D1457" s="21" t="inlineStr">
        <is>
          <t>USA</t>
        </is>
      </c>
      <c r="E1457" s="21" t="n">
        <v>98</v>
      </c>
      <c r="F1457" s="21" t="inlineStr">
        <is>
          <t>English</t>
        </is>
      </c>
      <c r="G1457" s="21" t="inlineStr">
        <is>
          <t>R</t>
        </is>
      </c>
      <c r="H1457" s="22" t="n">
        <v>57262492</v>
      </c>
      <c r="I1457" s="22" t="n">
        <v>24000000</v>
      </c>
      <c r="J1457" s="21">
        <f>IF(OR(H1457="",H1457=25529689.5),"Yes","No")</f>
        <v/>
      </c>
      <c r="K1457" s="21">
        <f>IF(AND(D1457="USA",C1457&gt;=1980,J1457="No"),"Yes","No")</f>
        <v/>
      </c>
      <c r="L1457" s="26">
        <f>IF(J1457="Yes","",H1457-I1457)</f>
        <v/>
      </c>
      <c r="M1457" s="27">
        <f>IF(OR(J1457="Yes",I1457=0),"",H1457/I1457)</f>
        <v/>
      </c>
      <c r="N1457" s="21">
        <f>IF(J1457="Yes","",IF(H1457&gt;=I1457,1,0))</f>
        <v/>
      </c>
      <c r="O1457" s="21">
        <f>IF(I1457&lt;=5000000,"Under $5M",IF(I1457&lt;=20000000,"$5M-20M",IF(I1457&lt;=50000000,"$20M-50M",IF(I1457&lt;=100000000,"$50M-100M","$100M+"))))</f>
        <v/>
      </c>
      <c r="P1457" s="21">
        <f>IF(E1457&lt;=90,"90 or less",IF(E1457&lt;=105,"91-105",IF(E1457&lt;=120,"106-120",IF(E1457&lt;=140,"121-140","Over 140"))))</f>
        <v/>
      </c>
      <c r="Q1457" s="28">
        <f>INT(C1457/10)*10</f>
        <v/>
      </c>
    </row>
    <row r="1458">
      <c r="A1458" s="21" t="n">
        <v>1487</v>
      </c>
      <c r="B1458" s="21" t="inlineStr">
        <is>
          <t>The Widow of Saint-Pierre</t>
        </is>
      </c>
      <c r="C1458" s="21" t="n">
        <v>2000</v>
      </c>
      <c r="D1458" s="21" t="inlineStr">
        <is>
          <t>France</t>
        </is>
      </c>
      <c r="E1458" s="21" t="n">
        <v>112</v>
      </c>
      <c r="F1458" s="21" t="inlineStr">
        <is>
          <t>French</t>
        </is>
      </c>
      <c r="G1458" s="21" t="inlineStr">
        <is>
          <t>R</t>
        </is>
      </c>
      <c r="H1458" s="22" t="n">
        <v>3058380</v>
      </c>
      <c r="I1458" s="22" t="n">
        <v>100000000</v>
      </c>
      <c r="J1458" s="21">
        <f>IF(OR(H1458="",H1458=25529689.5),"Yes","No")</f>
        <v/>
      </c>
      <c r="K1458" s="21">
        <f>IF(AND(D1458="USA",C1458&gt;=1980,J1458="No"),"Yes","No")</f>
        <v/>
      </c>
      <c r="L1458" s="26">
        <f>IF(J1458="Yes","",H1458-I1458)</f>
        <v/>
      </c>
      <c r="M1458" s="27">
        <f>IF(OR(J1458="Yes",I1458=0),"",H1458/I1458)</f>
        <v/>
      </c>
      <c r="N1458" s="21">
        <f>IF(J1458="Yes","",IF(H1458&gt;=I1458,1,0))</f>
        <v/>
      </c>
      <c r="O1458" s="21">
        <f>IF(I1458&lt;=5000000,"Under $5M",IF(I1458&lt;=20000000,"$5M-20M",IF(I1458&lt;=50000000,"$20M-50M",IF(I1458&lt;=100000000,"$50M-100M","$100M+"))))</f>
        <v/>
      </c>
      <c r="P1458" s="21">
        <f>IF(E1458&lt;=90,"90 or less",IF(E1458&lt;=105,"91-105",IF(E1458&lt;=120,"106-120",IF(E1458&lt;=140,"121-140","Over 140"))))</f>
        <v/>
      </c>
      <c r="Q1458" s="28">
        <f>INT(C1458/10)*10</f>
        <v/>
      </c>
    </row>
    <row r="1459">
      <c r="A1459" s="21" t="n">
        <v>1488</v>
      </c>
      <c r="B1459" s="21" t="inlineStr">
        <is>
          <t>The Yards</t>
        </is>
      </c>
      <c r="C1459" s="21" t="n">
        <v>2000</v>
      </c>
      <c r="D1459" s="21" t="inlineStr">
        <is>
          <t>USA</t>
        </is>
      </c>
      <c r="E1459" s="21" t="n">
        <v>115</v>
      </c>
      <c r="F1459" s="21" t="inlineStr">
        <is>
          <t>English</t>
        </is>
      </c>
      <c r="G1459" s="21" t="inlineStr">
        <is>
          <t>R</t>
        </is>
      </c>
      <c r="H1459" s="22" t="n">
        <v>882710</v>
      </c>
      <c r="I1459" s="22" t="n">
        <v>24000000</v>
      </c>
      <c r="J1459" s="21">
        <f>IF(OR(H1459="",H1459=25529689.5),"Yes","No")</f>
        <v/>
      </c>
      <c r="K1459" s="21">
        <f>IF(AND(D1459="USA",C1459&gt;=1980,J1459="No"),"Yes","No")</f>
        <v/>
      </c>
      <c r="L1459" s="26">
        <f>IF(J1459="Yes","",H1459-I1459)</f>
        <v/>
      </c>
      <c r="M1459" s="27">
        <f>IF(OR(J1459="Yes",I1459=0),"",H1459/I1459)</f>
        <v/>
      </c>
      <c r="N1459" s="21">
        <f>IF(J1459="Yes","",IF(H1459&gt;=I1459,1,0))</f>
        <v/>
      </c>
      <c r="O1459" s="21">
        <f>IF(I1459&lt;=5000000,"Under $5M",IF(I1459&lt;=20000000,"$5M-20M",IF(I1459&lt;=50000000,"$20M-50M",IF(I1459&lt;=100000000,"$50M-100M","$100M+"))))</f>
        <v/>
      </c>
      <c r="P1459" s="21">
        <f>IF(E1459&lt;=90,"90 or less",IF(E1459&lt;=105,"91-105",IF(E1459&lt;=120,"106-120",IF(E1459&lt;=140,"121-140","Over 140"))))</f>
        <v/>
      </c>
      <c r="Q1459" s="28">
        <f>INT(C1459/10)*10</f>
        <v/>
      </c>
    </row>
    <row r="1460">
      <c r="A1460" s="21" t="n">
        <v>1489</v>
      </c>
      <c r="B1460" s="21" t="inlineStr">
        <is>
          <t>The Young Unknowns</t>
        </is>
      </c>
      <c r="C1460" s="21" t="n">
        <v>2000</v>
      </c>
      <c r="D1460" s="21" t="inlineStr">
        <is>
          <t>USA</t>
        </is>
      </c>
      <c r="E1460" s="21" t="n">
        <v>87</v>
      </c>
      <c r="F1460" s="21" t="inlineStr">
        <is>
          <t>English</t>
        </is>
      </c>
      <c r="G1460" s="21" t="inlineStr">
        <is>
          <t>R</t>
        </is>
      </c>
      <c r="H1460" s="22" t="n">
        <v>58163</v>
      </c>
      <c r="I1460" s="22" t="n">
        <v>20000000</v>
      </c>
      <c r="J1460" s="21">
        <f>IF(OR(H1460="",H1460=25529689.5),"Yes","No")</f>
        <v/>
      </c>
      <c r="K1460" s="21">
        <f>IF(AND(D1460="USA",C1460&gt;=1980,J1460="No"),"Yes","No")</f>
        <v/>
      </c>
      <c r="L1460" s="26">
        <f>IF(J1460="Yes","",H1460-I1460)</f>
        <v/>
      </c>
      <c r="M1460" s="27">
        <f>IF(OR(J1460="Yes",I1460=0),"",H1460/I1460)</f>
        <v/>
      </c>
      <c r="N1460" s="21">
        <f>IF(J1460="Yes","",IF(H1460&gt;=I1460,1,0))</f>
        <v/>
      </c>
      <c r="O1460" s="21">
        <f>IF(I1460&lt;=5000000,"Under $5M",IF(I1460&lt;=20000000,"$5M-20M",IF(I1460&lt;=50000000,"$20M-50M",IF(I1460&lt;=100000000,"$50M-100M","$100M+"))))</f>
        <v/>
      </c>
      <c r="P1460" s="21">
        <f>IF(E1460&lt;=90,"90 or less",IF(E1460&lt;=105,"91-105",IF(E1460&lt;=120,"106-120",IF(E1460&lt;=140,"121-140","Over 140"))))</f>
        <v/>
      </c>
      <c r="Q1460" s="28">
        <f>INT(C1460/10)*10</f>
        <v/>
      </c>
    </row>
    <row r="1461">
      <c r="A1461" s="21" t="n">
        <v>1490</v>
      </c>
      <c r="B1461" s="21" t="inlineStr">
        <is>
          <t>Thirteen Days</t>
        </is>
      </c>
      <c r="C1461" s="21" t="n">
        <v>2000</v>
      </c>
      <c r="D1461" s="21" t="inlineStr">
        <is>
          <t>USA</t>
        </is>
      </c>
      <c r="E1461" s="21" t="n">
        <v>145</v>
      </c>
      <c r="F1461" s="21" t="inlineStr">
        <is>
          <t>English</t>
        </is>
      </c>
      <c r="G1461" s="21" t="inlineStr">
        <is>
          <t>PG-13</t>
        </is>
      </c>
      <c r="H1461" s="22" t="n">
        <v>34566746</v>
      </c>
      <c r="I1461" s="22" t="n">
        <v>80000000</v>
      </c>
      <c r="J1461" s="21">
        <f>IF(OR(H1461="",H1461=25529689.5),"Yes","No")</f>
        <v/>
      </c>
      <c r="K1461" s="21">
        <f>IF(AND(D1461="USA",C1461&gt;=1980,J1461="No"),"Yes","No")</f>
        <v/>
      </c>
      <c r="L1461" s="26">
        <f>IF(J1461="Yes","",H1461-I1461)</f>
        <v/>
      </c>
      <c r="M1461" s="27">
        <f>IF(OR(J1461="Yes",I1461=0),"",H1461/I1461)</f>
        <v/>
      </c>
      <c r="N1461" s="21">
        <f>IF(J1461="Yes","",IF(H1461&gt;=I1461,1,0))</f>
        <v/>
      </c>
      <c r="O1461" s="21">
        <f>IF(I1461&lt;=5000000,"Under $5M",IF(I1461&lt;=20000000,"$5M-20M",IF(I1461&lt;=50000000,"$20M-50M",IF(I1461&lt;=100000000,"$50M-100M","$100M+"))))</f>
        <v/>
      </c>
      <c r="P1461" s="21">
        <f>IF(E1461&lt;=90,"90 or less",IF(E1461&lt;=105,"91-105",IF(E1461&lt;=120,"106-120",IF(E1461&lt;=140,"121-140","Over 140"))))</f>
        <v/>
      </c>
      <c r="Q1461" s="28">
        <f>INT(C1461/10)*10</f>
        <v/>
      </c>
    </row>
    <row r="1462">
      <c r="A1462" s="21" t="n">
        <v>1491</v>
      </c>
      <c r="B1462" s="21" t="inlineStr">
        <is>
          <t>Thomas and the Magic Railroad</t>
        </is>
      </c>
      <c r="C1462" s="21" t="n">
        <v>2000</v>
      </c>
      <c r="D1462" s="21" t="inlineStr">
        <is>
          <t>UK</t>
        </is>
      </c>
      <c r="E1462" s="21" t="n">
        <v>85</v>
      </c>
      <c r="F1462" s="21" t="inlineStr">
        <is>
          <t>English</t>
        </is>
      </c>
      <c r="G1462" s="21" t="inlineStr">
        <is>
          <t>G</t>
        </is>
      </c>
      <c r="H1462" s="22" t="n">
        <v>15911333</v>
      </c>
      <c r="I1462" s="22" t="n">
        <v>19000000</v>
      </c>
      <c r="J1462" s="21">
        <f>IF(OR(H1462="",H1462=25529689.5),"Yes","No")</f>
        <v/>
      </c>
      <c r="K1462" s="21">
        <f>IF(AND(D1462="USA",C1462&gt;=1980,J1462="No"),"Yes","No")</f>
        <v/>
      </c>
      <c r="L1462" s="26">
        <f>IF(J1462="Yes","",H1462-I1462)</f>
        <v/>
      </c>
      <c r="M1462" s="27">
        <f>IF(OR(J1462="Yes",I1462=0),"",H1462/I1462)</f>
        <v/>
      </c>
      <c r="N1462" s="21">
        <f>IF(J1462="Yes","",IF(H1462&gt;=I1462,1,0))</f>
        <v/>
      </c>
      <c r="O1462" s="21">
        <f>IF(I1462&lt;=5000000,"Under $5M",IF(I1462&lt;=20000000,"$5M-20M",IF(I1462&lt;=50000000,"$20M-50M",IF(I1462&lt;=100000000,"$50M-100M","$100M+"))))</f>
        <v/>
      </c>
      <c r="P1462" s="21">
        <f>IF(E1462&lt;=90,"90 or less",IF(E1462&lt;=105,"91-105",IF(E1462&lt;=120,"106-120",IF(E1462&lt;=140,"121-140","Over 140"))))</f>
        <v/>
      </c>
      <c r="Q1462" s="28">
        <f>INT(C1462/10)*10</f>
        <v/>
      </c>
    </row>
    <row r="1463">
      <c r="A1463" s="21" t="n">
        <v>1492</v>
      </c>
      <c r="B1463" s="21" t="inlineStr">
        <is>
          <t>Titan A.E.</t>
        </is>
      </c>
      <c r="C1463" s="21" t="n">
        <v>2000</v>
      </c>
      <c r="D1463" s="21" t="inlineStr">
        <is>
          <t>USA</t>
        </is>
      </c>
      <c r="E1463" s="21" t="n">
        <v>94</v>
      </c>
      <c r="F1463" s="21" t="inlineStr">
        <is>
          <t>English</t>
        </is>
      </c>
      <c r="G1463" s="21" t="inlineStr">
        <is>
          <t>PG</t>
        </is>
      </c>
      <c r="H1463" s="22" t="n">
        <v>22751979</v>
      </c>
      <c r="I1463" s="22" t="n">
        <v>75000000</v>
      </c>
      <c r="J1463" s="21">
        <f>IF(OR(H1463="",H1463=25529689.5),"Yes","No")</f>
        <v/>
      </c>
      <c r="K1463" s="21">
        <f>IF(AND(D1463="USA",C1463&gt;=1980,J1463="No"),"Yes","No")</f>
        <v/>
      </c>
      <c r="L1463" s="26">
        <f>IF(J1463="Yes","",H1463-I1463)</f>
        <v/>
      </c>
      <c r="M1463" s="27">
        <f>IF(OR(J1463="Yes",I1463=0),"",H1463/I1463)</f>
        <v/>
      </c>
      <c r="N1463" s="21">
        <f>IF(J1463="Yes","",IF(H1463&gt;=I1463,1,0))</f>
        <v/>
      </c>
      <c r="O1463" s="21">
        <f>IF(I1463&lt;=5000000,"Under $5M",IF(I1463&lt;=20000000,"$5M-20M",IF(I1463&lt;=50000000,"$20M-50M",IF(I1463&lt;=100000000,"$50M-100M","$100M+"))))</f>
        <v/>
      </c>
      <c r="P1463" s="21">
        <f>IF(E1463&lt;=90,"90 or less",IF(E1463&lt;=105,"91-105",IF(E1463&lt;=120,"106-120",IF(E1463&lt;=140,"121-140","Over 140"))))</f>
        <v/>
      </c>
      <c r="Q1463" s="28">
        <f>INT(C1463/10)*10</f>
        <v/>
      </c>
    </row>
    <row r="1464">
      <c r="A1464" s="21" t="n">
        <v>1493</v>
      </c>
      <c r="B1464" s="21" t="inlineStr">
        <is>
          <t>Traffic</t>
        </is>
      </c>
      <c r="C1464" s="21" t="n">
        <v>2000</v>
      </c>
      <c r="D1464" s="21" t="inlineStr">
        <is>
          <t>USA</t>
        </is>
      </c>
      <c r="E1464" s="21" t="n">
        <v>190</v>
      </c>
      <c r="F1464" s="21" t="inlineStr">
        <is>
          <t>English</t>
        </is>
      </c>
      <c r="G1464" s="21" t="inlineStr">
        <is>
          <t>R</t>
        </is>
      </c>
      <c r="H1464" s="22" t="n">
        <v>124107476</v>
      </c>
      <c r="I1464" s="22" t="n">
        <v>48000000</v>
      </c>
      <c r="J1464" s="21">
        <f>IF(OR(H1464="",H1464=25529689.5),"Yes","No")</f>
        <v/>
      </c>
      <c r="K1464" s="21">
        <f>IF(AND(D1464="USA",C1464&gt;=1980,J1464="No"),"Yes","No")</f>
        <v/>
      </c>
      <c r="L1464" s="26">
        <f>IF(J1464="Yes","",H1464-I1464)</f>
        <v/>
      </c>
      <c r="M1464" s="27">
        <f>IF(OR(J1464="Yes",I1464=0),"",H1464/I1464)</f>
        <v/>
      </c>
      <c r="N1464" s="21">
        <f>IF(J1464="Yes","",IF(H1464&gt;=I1464,1,0))</f>
        <v/>
      </c>
      <c r="O1464" s="21">
        <f>IF(I1464&lt;=5000000,"Under $5M",IF(I1464&lt;=20000000,"$5M-20M",IF(I1464&lt;=50000000,"$20M-50M",IF(I1464&lt;=100000000,"$50M-100M","$100M+"))))</f>
        <v/>
      </c>
      <c r="P1464" s="21">
        <f>IF(E1464&lt;=90,"90 or less",IF(E1464&lt;=105,"91-105",IF(E1464&lt;=120,"106-120",IF(E1464&lt;=140,"121-140","Over 140"))))</f>
        <v/>
      </c>
      <c r="Q1464" s="28">
        <f>INT(C1464/10)*10</f>
        <v/>
      </c>
    </row>
    <row r="1465">
      <c r="A1465" s="21" t="n">
        <v>1494</v>
      </c>
      <c r="B1465" s="21" t="inlineStr">
        <is>
          <t>U-571</t>
        </is>
      </c>
      <c r="C1465" s="21" t="n">
        <v>2000</v>
      </c>
      <c r="D1465" s="21" t="inlineStr">
        <is>
          <t>France</t>
        </is>
      </c>
      <c r="E1465" s="21" t="n">
        <v>116</v>
      </c>
      <c r="F1465" s="21" t="inlineStr">
        <is>
          <t>English</t>
        </is>
      </c>
      <c r="G1465" s="21" t="inlineStr">
        <is>
          <t>PG-13</t>
        </is>
      </c>
      <c r="H1465" s="22" t="n">
        <v>77086030</v>
      </c>
      <c r="I1465" s="22" t="n">
        <v>62000000</v>
      </c>
      <c r="J1465" s="21">
        <f>IF(OR(H1465="",H1465=25529689.5),"Yes","No")</f>
        <v/>
      </c>
      <c r="K1465" s="21">
        <f>IF(AND(D1465="USA",C1465&gt;=1980,J1465="No"),"Yes","No")</f>
        <v/>
      </c>
      <c r="L1465" s="26">
        <f>IF(J1465="Yes","",H1465-I1465)</f>
        <v/>
      </c>
      <c r="M1465" s="27">
        <f>IF(OR(J1465="Yes",I1465=0),"",H1465/I1465)</f>
        <v/>
      </c>
      <c r="N1465" s="21">
        <f>IF(J1465="Yes","",IF(H1465&gt;=I1465,1,0))</f>
        <v/>
      </c>
      <c r="O1465" s="21">
        <f>IF(I1465&lt;=5000000,"Under $5M",IF(I1465&lt;=20000000,"$5M-20M",IF(I1465&lt;=50000000,"$20M-50M",IF(I1465&lt;=100000000,"$50M-100M","$100M+"))))</f>
        <v/>
      </c>
      <c r="P1465" s="21">
        <f>IF(E1465&lt;=90,"90 or less",IF(E1465&lt;=105,"91-105",IF(E1465&lt;=120,"106-120",IF(E1465&lt;=140,"121-140","Over 140"))))</f>
        <v/>
      </c>
      <c r="Q1465" s="28">
        <f>INT(C1465/10)*10</f>
        <v/>
      </c>
    </row>
    <row r="1466">
      <c r="A1466" s="21" t="n">
        <v>1495</v>
      </c>
      <c r="B1466" s="21" t="inlineStr">
        <is>
          <t>Unbreakable</t>
        </is>
      </c>
      <c r="C1466" s="21" t="n">
        <v>2000</v>
      </c>
      <c r="D1466" s="21" t="inlineStr">
        <is>
          <t>USA</t>
        </is>
      </c>
      <c r="E1466" s="21" t="n">
        <v>106</v>
      </c>
      <c r="F1466" s="21" t="inlineStr">
        <is>
          <t>English</t>
        </is>
      </c>
      <c r="G1466" s="21" t="inlineStr">
        <is>
          <t>PG-13</t>
        </is>
      </c>
      <c r="H1466" s="22" t="n">
        <v>94999143</v>
      </c>
      <c r="I1466" s="22" t="n">
        <v>75000000</v>
      </c>
      <c r="J1466" s="21">
        <f>IF(OR(H1466="",H1466=25529689.5),"Yes","No")</f>
        <v/>
      </c>
      <c r="K1466" s="21">
        <f>IF(AND(D1466="USA",C1466&gt;=1980,J1466="No"),"Yes","No")</f>
        <v/>
      </c>
      <c r="L1466" s="26">
        <f>IF(J1466="Yes","",H1466-I1466)</f>
        <v/>
      </c>
      <c r="M1466" s="27">
        <f>IF(OR(J1466="Yes",I1466=0),"",H1466/I1466)</f>
        <v/>
      </c>
      <c r="N1466" s="21">
        <f>IF(J1466="Yes","",IF(H1466&gt;=I1466,1,0))</f>
        <v/>
      </c>
      <c r="O1466" s="21">
        <f>IF(I1466&lt;=5000000,"Under $5M",IF(I1466&lt;=20000000,"$5M-20M",IF(I1466&lt;=50000000,"$20M-50M",IF(I1466&lt;=100000000,"$50M-100M","$100M+"))))</f>
        <v/>
      </c>
      <c r="P1466" s="21">
        <f>IF(E1466&lt;=90,"90 or less",IF(E1466&lt;=105,"91-105",IF(E1466&lt;=120,"106-120",IF(E1466&lt;=140,"121-140","Over 140"))))</f>
        <v/>
      </c>
      <c r="Q1466" s="28">
        <f>INT(C1466/10)*10</f>
        <v/>
      </c>
    </row>
    <row r="1467">
      <c r="A1467" s="21" t="n">
        <v>1496</v>
      </c>
      <c r="B1467" s="21" t="inlineStr">
        <is>
          <t>Urban Legends: Final Cut</t>
        </is>
      </c>
      <c r="C1467" s="21" t="n">
        <v>2000</v>
      </c>
      <c r="D1467" s="21" t="inlineStr">
        <is>
          <t>USA</t>
        </is>
      </c>
      <c r="E1467" s="21" t="n">
        <v>97</v>
      </c>
      <c r="F1467" s="21" t="inlineStr">
        <is>
          <t>English</t>
        </is>
      </c>
      <c r="G1467" s="21" t="inlineStr">
        <is>
          <t>R</t>
        </is>
      </c>
      <c r="H1467" s="22" t="n">
        <v>21468807</v>
      </c>
      <c r="I1467" s="22" t="n">
        <v>14000000</v>
      </c>
      <c r="J1467" s="21">
        <f>IF(OR(H1467="",H1467=25529689.5),"Yes","No")</f>
        <v/>
      </c>
      <c r="K1467" s="21">
        <f>IF(AND(D1467="USA",C1467&gt;=1980,J1467="No"),"Yes","No")</f>
        <v/>
      </c>
      <c r="L1467" s="26">
        <f>IF(J1467="Yes","",H1467-I1467)</f>
        <v/>
      </c>
      <c r="M1467" s="27">
        <f>IF(OR(J1467="Yes",I1467=0),"",H1467/I1467)</f>
        <v/>
      </c>
      <c r="N1467" s="21">
        <f>IF(J1467="Yes","",IF(H1467&gt;=I1467,1,0))</f>
        <v/>
      </c>
      <c r="O1467" s="21">
        <f>IF(I1467&lt;=5000000,"Under $5M",IF(I1467&lt;=20000000,"$5M-20M",IF(I1467&lt;=50000000,"$20M-50M",IF(I1467&lt;=100000000,"$50M-100M","$100M+"))))</f>
        <v/>
      </c>
      <c r="P1467" s="21">
        <f>IF(E1467&lt;=90,"90 or less",IF(E1467&lt;=105,"91-105",IF(E1467&lt;=120,"106-120",IF(E1467&lt;=140,"121-140","Over 140"))))</f>
        <v/>
      </c>
      <c r="Q1467" s="28">
        <f>INT(C1467/10)*10</f>
        <v/>
      </c>
    </row>
    <row r="1468">
      <c r="A1468" s="21" t="n">
        <v>1497</v>
      </c>
      <c r="B1468" s="21" t="inlineStr">
        <is>
          <t>Urbania</t>
        </is>
      </c>
      <c r="C1468" s="21" t="n">
        <v>2000</v>
      </c>
      <c r="D1468" s="21" t="inlineStr">
        <is>
          <t>USA</t>
        </is>
      </c>
      <c r="E1468" s="21" t="n">
        <v>106</v>
      </c>
      <c r="F1468" s="21" t="inlineStr">
        <is>
          <t>English</t>
        </is>
      </c>
      <c r="G1468" s="21" t="inlineStr">
        <is>
          <t>R</t>
        </is>
      </c>
      <c r="H1468" s="22" t="n">
        <v>1027119</v>
      </c>
      <c r="I1468" s="22" t="n">
        <v>225000</v>
      </c>
      <c r="J1468" s="21">
        <f>IF(OR(H1468="",H1468=25529689.5),"Yes","No")</f>
        <v/>
      </c>
      <c r="K1468" s="21">
        <f>IF(AND(D1468="USA",C1468&gt;=1980,J1468="No"),"Yes","No")</f>
        <v/>
      </c>
      <c r="L1468" s="26">
        <f>IF(J1468="Yes","",H1468-I1468)</f>
        <v/>
      </c>
      <c r="M1468" s="27">
        <f>IF(OR(J1468="Yes",I1468=0),"",H1468/I1468)</f>
        <v/>
      </c>
      <c r="N1468" s="21">
        <f>IF(J1468="Yes","",IF(H1468&gt;=I1468,1,0))</f>
        <v/>
      </c>
      <c r="O1468" s="21">
        <f>IF(I1468&lt;=5000000,"Under $5M",IF(I1468&lt;=20000000,"$5M-20M",IF(I1468&lt;=50000000,"$20M-50M",IF(I1468&lt;=100000000,"$50M-100M","$100M+"))))</f>
        <v/>
      </c>
      <c r="P1468" s="21">
        <f>IF(E1468&lt;=90,"90 or less",IF(E1468&lt;=105,"91-105",IF(E1468&lt;=120,"106-120",IF(E1468&lt;=140,"121-140","Over 140"))))</f>
        <v/>
      </c>
      <c r="Q1468" s="28">
        <f>INT(C1468/10)*10</f>
        <v/>
      </c>
    </row>
    <row r="1469">
      <c r="A1469" s="21" t="n">
        <v>1498</v>
      </c>
      <c r="B1469" s="21" t="inlineStr">
        <is>
          <t>Vertical Limit</t>
        </is>
      </c>
      <c r="C1469" s="21" t="n">
        <v>2000</v>
      </c>
      <c r="D1469" s="21" t="inlineStr">
        <is>
          <t>USA</t>
        </is>
      </c>
      <c r="E1469" s="21" t="n">
        <v>124</v>
      </c>
      <c r="F1469" s="21" t="inlineStr">
        <is>
          <t>English</t>
        </is>
      </c>
      <c r="G1469" s="21" t="inlineStr">
        <is>
          <t>PG-13</t>
        </is>
      </c>
      <c r="H1469" s="22" t="n">
        <v>68473360</v>
      </c>
      <c r="I1469" s="22" t="n">
        <v>75000000</v>
      </c>
      <c r="J1469" s="21">
        <f>IF(OR(H1469="",H1469=25529689.5),"Yes","No")</f>
        <v/>
      </c>
      <c r="K1469" s="21">
        <f>IF(AND(D1469="USA",C1469&gt;=1980,J1469="No"),"Yes","No")</f>
        <v/>
      </c>
      <c r="L1469" s="26">
        <f>IF(J1469="Yes","",H1469-I1469)</f>
        <v/>
      </c>
      <c r="M1469" s="27">
        <f>IF(OR(J1469="Yes",I1469=0),"",H1469/I1469)</f>
        <v/>
      </c>
      <c r="N1469" s="21">
        <f>IF(J1469="Yes","",IF(H1469&gt;=I1469,1,0))</f>
        <v/>
      </c>
      <c r="O1469" s="21">
        <f>IF(I1469&lt;=5000000,"Under $5M",IF(I1469&lt;=20000000,"$5M-20M",IF(I1469&lt;=50000000,"$20M-50M",IF(I1469&lt;=100000000,"$50M-100M","$100M+"))))</f>
        <v/>
      </c>
      <c r="P1469" s="21">
        <f>IF(E1469&lt;=90,"90 or less",IF(E1469&lt;=105,"91-105",IF(E1469&lt;=120,"106-120",IF(E1469&lt;=140,"121-140","Over 140"))))</f>
        <v/>
      </c>
      <c r="Q1469" s="28">
        <f>INT(C1469/10)*10</f>
        <v/>
      </c>
    </row>
    <row r="1470">
      <c r="A1470" s="21" t="n">
        <v>1499</v>
      </c>
      <c r="B1470" s="21" t="inlineStr">
        <is>
          <t>What Lies Beneath</t>
        </is>
      </c>
      <c r="C1470" s="21" t="n">
        <v>2000</v>
      </c>
      <c r="D1470" s="21" t="inlineStr">
        <is>
          <t>USA</t>
        </is>
      </c>
      <c r="E1470" s="21" t="n">
        <v>130</v>
      </c>
      <c r="F1470" s="21" t="inlineStr">
        <is>
          <t>English</t>
        </is>
      </c>
      <c r="G1470" s="21" t="inlineStr">
        <is>
          <t>PG-13</t>
        </is>
      </c>
      <c r="H1470" s="22" t="n">
        <v>155370362</v>
      </c>
      <c r="I1470" s="22" t="n">
        <v>100000000</v>
      </c>
      <c r="J1470" s="21">
        <f>IF(OR(H1470="",H1470=25529689.5),"Yes","No")</f>
        <v/>
      </c>
      <c r="K1470" s="21">
        <f>IF(AND(D1470="USA",C1470&gt;=1980,J1470="No"),"Yes","No")</f>
        <v/>
      </c>
      <c r="L1470" s="26">
        <f>IF(J1470="Yes","",H1470-I1470)</f>
        <v/>
      </c>
      <c r="M1470" s="27">
        <f>IF(OR(J1470="Yes",I1470=0),"",H1470/I1470)</f>
        <v/>
      </c>
      <c r="N1470" s="21">
        <f>IF(J1470="Yes","",IF(H1470&gt;=I1470,1,0))</f>
        <v/>
      </c>
      <c r="O1470" s="21">
        <f>IF(I1470&lt;=5000000,"Under $5M",IF(I1470&lt;=20000000,"$5M-20M",IF(I1470&lt;=50000000,"$20M-50M",IF(I1470&lt;=100000000,"$50M-100M","$100M+"))))</f>
        <v/>
      </c>
      <c r="P1470" s="21">
        <f>IF(E1470&lt;=90,"90 or less",IF(E1470&lt;=105,"91-105",IF(E1470&lt;=120,"106-120",IF(E1470&lt;=140,"121-140","Over 140"))))</f>
        <v/>
      </c>
      <c r="Q1470" s="28">
        <f>INT(C1470/10)*10</f>
        <v/>
      </c>
    </row>
    <row r="1471">
      <c r="A1471" s="21" t="n">
        <v>1500</v>
      </c>
      <c r="B1471" s="21" t="inlineStr">
        <is>
          <t>What Planet Are You From?</t>
        </is>
      </c>
      <c r="C1471" s="21" t="n">
        <v>2000</v>
      </c>
      <c r="D1471" s="21" t="inlineStr">
        <is>
          <t>USA</t>
        </is>
      </c>
      <c r="E1471" s="21" t="n">
        <v>87</v>
      </c>
      <c r="F1471" s="21" t="inlineStr">
        <is>
          <t>English</t>
        </is>
      </c>
      <c r="G1471" s="21" t="inlineStr">
        <is>
          <t>R</t>
        </is>
      </c>
      <c r="H1471" s="22" t="n">
        <v>6291602</v>
      </c>
      <c r="I1471" s="22" t="n">
        <v>50000000</v>
      </c>
      <c r="J1471" s="21">
        <f>IF(OR(H1471="",H1471=25529689.5),"Yes","No")</f>
        <v/>
      </c>
      <c r="K1471" s="21">
        <f>IF(AND(D1471="USA",C1471&gt;=1980,J1471="No"),"Yes","No")</f>
        <v/>
      </c>
      <c r="L1471" s="26">
        <f>IF(J1471="Yes","",H1471-I1471)</f>
        <v/>
      </c>
      <c r="M1471" s="27">
        <f>IF(OR(J1471="Yes",I1471=0),"",H1471/I1471)</f>
        <v/>
      </c>
      <c r="N1471" s="21">
        <f>IF(J1471="Yes","",IF(H1471&gt;=I1471,1,0))</f>
        <v/>
      </c>
      <c r="O1471" s="21">
        <f>IF(I1471&lt;=5000000,"Under $5M",IF(I1471&lt;=20000000,"$5M-20M",IF(I1471&lt;=50000000,"$20M-50M",IF(I1471&lt;=100000000,"$50M-100M","$100M+"))))</f>
        <v/>
      </c>
      <c r="P1471" s="21">
        <f>IF(E1471&lt;=90,"90 or less",IF(E1471&lt;=105,"91-105",IF(E1471&lt;=120,"106-120",IF(E1471&lt;=140,"121-140","Over 140"))))</f>
        <v/>
      </c>
      <c r="Q1471" s="28">
        <f>INT(C1471/10)*10</f>
        <v/>
      </c>
    </row>
    <row r="1472">
      <c r="A1472" s="21" t="n">
        <v>1501</v>
      </c>
      <c r="B1472" s="21" t="inlineStr">
        <is>
          <t>What Women Want</t>
        </is>
      </c>
      <c r="C1472" s="21" t="n">
        <v>2000</v>
      </c>
      <c r="D1472" s="21" t="inlineStr">
        <is>
          <t>USA</t>
        </is>
      </c>
      <c r="E1472" s="21" t="n">
        <v>127</v>
      </c>
      <c r="F1472" s="21" t="inlineStr">
        <is>
          <t>English</t>
        </is>
      </c>
      <c r="G1472" s="21" t="inlineStr">
        <is>
          <t>PG-13</t>
        </is>
      </c>
      <c r="H1472" s="22" t="n">
        <v>182805123</v>
      </c>
      <c r="I1472" s="22" t="n">
        <v>70000000</v>
      </c>
      <c r="J1472" s="21">
        <f>IF(OR(H1472="",H1472=25529689.5),"Yes","No")</f>
        <v/>
      </c>
      <c r="K1472" s="21">
        <f>IF(AND(D1472="USA",C1472&gt;=1980,J1472="No"),"Yes","No")</f>
        <v/>
      </c>
      <c r="L1472" s="26">
        <f>IF(J1472="Yes","",H1472-I1472)</f>
        <v/>
      </c>
      <c r="M1472" s="27">
        <f>IF(OR(J1472="Yes",I1472=0),"",H1472/I1472)</f>
        <v/>
      </c>
      <c r="N1472" s="21">
        <f>IF(J1472="Yes","",IF(H1472&gt;=I1472,1,0))</f>
        <v/>
      </c>
      <c r="O1472" s="21">
        <f>IF(I1472&lt;=5000000,"Under $5M",IF(I1472&lt;=20000000,"$5M-20M",IF(I1472&lt;=50000000,"$20M-50M",IF(I1472&lt;=100000000,"$50M-100M","$100M+"))))</f>
        <v/>
      </c>
      <c r="P1472" s="21">
        <f>IF(E1472&lt;=90,"90 or less",IF(E1472&lt;=105,"91-105",IF(E1472&lt;=120,"106-120",IF(E1472&lt;=140,"121-140","Over 140"))))</f>
        <v/>
      </c>
      <c r="Q1472" s="28">
        <f>INT(C1472/10)*10</f>
        <v/>
      </c>
    </row>
    <row r="1473">
      <c r="A1473" s="21" t="n">
        <v>1502</v>
      </c>
      <c r="B1473" s="21" t="inlineStr">
        <is>
          <t>Whatever It Takes</t>
        </is>
      </c>
      <c r="C1473" s="21" t="n">
        <v>2000</v>
      </c>
      <c r="D1473" s="21" t="inlineStr">
        <is>
          <t>USA</t>
        </is>
      </c>
      <c r="E1473" s="21" t="n">
        <v>94</v>
      </c>
      <c r="F1473" s="21" t="inlineStr">
        <is>
          <t>English</t>
        </is>
      </c>
      <c r="G1473" s="21" t="inlineStr">
        <is>
          <t>PG-13</t>
        </is>
      </c>
      <c r="H1473" s="22" t="n">
        <v>8735529</v>
      </c>
      <c r="I1473" s="22" t="n">
        <v>15000000</v>
      </c>
      <c r="J1473" s="21">
        <f>IF(OR(H1473="",H1473=25529689.5),"Yes","No")</f>
        <v/>
      </c>
      <c r="K1473" s="21">
        <f>IF(AND(D1473="USA",C1473&gt;=1980,J1473="No"),"Yes","No")</f>
        <v/>
      </c>
      <c r="L1473" s="26">
        <f>IF(J1473="Yes","",H1473-I1473)</f>
        <v/>
      </c>
      <c r="M1473" s="27">
        <f>IF(OR(J1473="Yes",I1473=0),"",H1473/I1473)</f>
        <v/>
      </c>
      <c r="N1473" s="21">
        <f>IF(J1473="Yes","",IF(H1473&gt;=I1473,1,0))</f>
        <v/>
      </c>
      <c r="O1473" s="21">
        <f>IF(I1473&lt;=5000000,"Under $5M",IF(I1473&lt;=20000000,"$5M-20M",IF(I1473&lt;=50000000,"$20M-50M",IF(I1473&lt;=100000000,"$50M-100M","$100M+"))))</f>
        <v/>
      </c>
      <c r="P1473" s="21">
        <f>IF(E1473&lt;=90,"90 or less",IF(E1473&lt;=105,"91-105",IF(E1473&lt;=120,"106-120",IF(E1473&lt;=140,"121-140","Over 140"))))</f>
        <v/>
      </c>
      <c r="Q1473" s="28">
        <f>INT(C1473/10)*10</f>
        <v/>
      </c>
    </row>
    <row r="1474">
      <c r="A1474" s="21" t="n">
        <v>1503</v>
      </c>
      <c r="B1474" s="21" t="inlineStr">
        <is>
          <t>Where the Heart Is</t>
        </is>
      </c>
      <c r="C1474" s="21" t="n">
        <v>2000</v>
      </c>
      <c r="D1474" s="21" t="inlineStr">
        <is>
          <t>USA</t>
        </is>
      </c>
      <c r="E1474" s="21" t="n">
        <v>120</v>
      </c>
      <c r="F1474" s="21" t="inlineStr">
        <is>
          <t>English</t>
        </is>
      </c>
      <c r="G1474" s="21" t="inlineStr">
        <is>
          <t>PG-13</t>
        </is>
      </c>
      <c r="H1474" s="22" t="n">
        <v>33771174</v>
      </c>
      <c r="I1474" s="22" t="n">
        <v>15000000</v>
      </c>
      <c r="J1474" s="21">
        <f>IF(OR(H1474="",H1474=25529689.5),"Yes","No")</f>
        <v/>
      </c>
      <c r="K1474" s="21">
        <f>IF(AND(D1474="USA",C1474&gt;=1980,J1474="No"),"Yes","No")</f>
        <v/>
      </c>
      <c r="L1474" s="26">
        <f>IF(J1474="Yes","",H1474-I1474)</f>
        <v/>
      </c>
      <c r="M1474" s="27">
        <f>IF(OR(J1474="Yes",I1474=0),"",H1474/I1474)</f>
        <v/>
      </c>
      <c r="N1474" s="21">
        <f>IF(J1474="Yes","",IF(H1474&gt;=I1474,1,0))</f>
        <v/>
      </c>
      <c r="O1474" s="21">
        <f>IF(I1474&lt;=5000000,"Under $5M",IF(I1474&lt;=20000000,"$5M-20M",IF(I1474&lt;=50000000,"$20M-50M",IF(I1474&lt;=100000000,"$50M-100M","$100M+"))))</f>
        <v/>
      </c>
      <c r="P1474" s="21">
        <f>IF(E1474&lt;=90,"90 or less",IF(E1474&lt;=105,"91-105",IF(E1474&lt;=120,"106-120",IF(E1474&lt;=140,"121-140","Over 140"))))</f>
        <v/>
      </c>
      <c r="Q1474" s="28">
        <f>INT(C1474/10)*10</f>
        <v/>
      </c>
    </row>
    <row r="1475">
      <c r="A1475" s="21" t="n">
        <v>1504</v>
      </c>
      <c r="B1475" s="21" t="inlineStr">
        <is>
          <t>Whipped</t>
        </is>
      </c>
      <c r="C1475" s="21" t="n">
        <v>2000</v>
      </c>
      <c r="D1475" s="21" t="inlineStr">
        <is>
          <t>USA</t>
        </is>
      </c>
      <c r="E1475" s="21" t="n">
        <v>82</v>
      </c>
      <c r="F1475" s="21" t="inlineStr">
        <is>
          <t>English</t>
        </is>
      </c>
      <c r="G1475" s="21" t="inlineStr">
        <is>
          <t>R</t>
        </is>
      </c>
      <c r="H1475" s="22" t="n">
        <v>4142507</v>
      </c>
      <c r="I1475" s="22" t="n">
        <v>3000000</v>
      </c>
      <c r="J1475" s="21">
        <f>IF(OR(H1475="",H1475=25529689.5),"Yes","No")</f>
        <v/>
      </c>
      <c r="K1475" s="21">
        <f>IF(AND(D1475="USA",C1475&gt;=1980,J1475="No"),"Yes","No")</f>
        <v/>
      </c>
      <c r="L1475" s="26">
        <f>IF(J1475="Yes","",H1475-I1475)</f>
        <v/>
      </c>
      <c r="M1475" s="27">
        <f>IF(OR(J1475="Yes",I1475=0),"",H1475/I1475)</f>
        <v/>
      </c>
      <c r="N1475" s="21">
        <f>IF(J1475="Yes","",IF(H1475&gt;=I1475,1,0))</f>
        <v/>
      </c>
      <c r="O1475" s="21">
        <f>IF(I1475&lt;=5000000,"Under $5M",IF(I1475&lt;=20000000,"$5M-20M",IF(I1475&lt;=50000000,"$20M-50M",IF(I1475&lt;=100000000,"$50M-100M","$100M+"))))</f>
        <v/>
      </c>
      <c r="P1475" s="21">
        <f>IF(E1475&lt;=90,"90 or less",IF(E1475&lt;=105,"91-105",IF(E1475&lt;=120,"106-120",IF(E1475&lt;=140,"121-140","Over 140"))))</f>
        <v/>
      </c>
      <c r="Q1475" s="28">
        <f>INT(C1475/10)*10</f>
        <v/>
      </c>
    </row>
    <row r="1476">
      <c r="A1476" s="21" t="n">
        <v>1505</v>
      </c>
      <c r="B1476" s="21" t="inlineStr">
        <is>
          <t>Woman on Top</t>
        </is>
      </c>
      <c r="C1476" s="21" t="n">
        <v>2000</v>
      </c>
      <c r="D1476" s="21" t="inlineStr">
        <is>
          <t>USA</t>
        </is>
      </c>
      <c r="E1476" s="21" t="n">
        <v>92</v>
      </c>
      <c r="F1476" s="21" t="inlineStr">
        <is>
          <t>English</t>
        </is>
      </c>
      <c r="G1476" s="21" t="inlineStr">
        <is>
          <t>R</t>
        </is>
      </c>
      <c r="H1476" s="22" t="n">
        <v>5018450</v>
      </c>
      <c r="I1476" s="22" t="n">
        <v>8000000</v>
      </c>
      <c r="J1476" s="21">
        <f>IF(OR(H1476="",H1476=25529689.5),"Yes","No")</f>
        <v/>
      </c>
      <c r="K1476" s="21">
        <f>IF(AND(D1476="USA",C1476&gt;=1980,J1476="No"),"Yes","No")</f>
        <v/>
      </c>
      <c r="L1476" s="26">
        <f>IF(J1476="Yes","",H1476-I1476)</f>
        <v/>
      </c>
      <c r="M1476" s="27">
        <f>IF(OR(J1476="Yes",I1476=0),"",H1476/I1476)</f>
        <v/>
      </c>
      <c r="N1476" s="21">
        <f>IF(J1476="Yes","",IF(H1476&gt;=I1476,1,0))</f>
        <v/>
      </c>
      <c r="O1476" s="21">
        <f>IF(I1476&lt;=5000000,"Under $5M",IF(I1476&lt;=20000000,"$5M-20M",IF(I1476&lt;=50000000,"$20M-50M",IF(I1476&lt;=100000000,"$50M-100M","$100M+"))))</f>
        <v/>
      </c>
      <c r="P1476" s="21">
        <f>IF(E1476&lt;=90,"90 or less",IF(E1476&lt;=105,"91-105",IF(E1476&lt;=120,"106-120",IF(E1476&lt;=140,"121-140","Over 140"))))</f>
        <v/>
      </c>
      <c r="Q1476" s="28">
        <f>INT(C1476/10)*10</f>
        <v/>
      </c>
    </row>
    <row r="1477">
      <c r="A1477" s="21" t="n">
        <v>1506</v>
      </c>
      <c r="B1477" s="21" t="inlineStr">
        <is>
          <t>Wonder Boys</t>
        </is>
      </c>
      <c r="C1477" s="21" t="n">
        <v>2000</v>
      </c>
      <c r="D1477" s="21" t="inlineStr">
        <is>
          <t>USA</t>
        </is>
      </c>
      <c r="E1477" s="21" t="n">
        <v>107</v>
      </c>
      <c r="F1477" s="21" t="inlineStr">
        <is>
          <t>English</t>
        </is>
      </c>
      <c r="G1477" s="21" t="inlineStr">
        <is>
          <t>R</t>
        </is>
      </c>
      <c r="H1477" s="22" t="n">
        <v>19389454</v>
      </c>
      <c r="I1477" s="22" t="n">
        <v>55000000</v>
      </c>
      <c r="J1477" s="21">
        <f>IF(OR(H1477="",H1477=25529689.5),"Yes","No")</f>
        <v/>
      </c>
      <c r="K1477" s="21">
        <f>IF(AND(D1477="USA",C1477&gt;=1980,J1477="No"),"Yes","No")</f>
        <v/>
      </c>
      <c r="L1477" s="26">
        <f>IF(J1477="Yes","",H1477-I1477)</f>
        <v/>
      </c>
      <c r="M1477" s="27">
        <f>IF(OR(J1477="Yes",I1477=0),"",H1477/I1477)</f>
        <v/>
      </c>
      <c r="N1477" s="21">
        <f>IF(J1477="Yes","",IF(H1477&gt;=I1477,1,0))</f>
        <v/>
      </c>
      <c r="O1477" s="21">
        <f>IF(I1477&lt;=5000000,"Under $5M",IF(I1477&lt;=20000000,"$5M-20M",IF(I1477&lt;=50000000,"$20M-50M",IF(I1477&lt;=100000000,"$50M-100M","$100M+"))))</f>
        <v/>
      </c>
      <c r="P1477" s="21">
        <f>IF(E1477&lt;=90,"90 or less",IF(E1477&lt;=105,"91-105",IF(E1477&lt;=120,"106-120",IF(E1477&lt;=140,"121-140","Over 140"))))</f>
        <v/>
      </c>
      <c r="Q1477" s="28">
        <f>INT(C1477/10)*10</f>
        <v/>
      </c>
    </row>
    <row r="1478">
      <c r="A1478" s="21" t="n">
        <v>1507</v>
      </c>
      <c r="B1478" s="21" t="inlineStr">
        <is>
          <t>X-Men</t>
        </is>
      </c>
      <c r="C1478" s="21" t="n">
        <v>2000</v>
      </c>
      <c r="D1478" s="21" t="inlineStr">
        <is>
          <t>USA</t>
        </is>
      </c>
      <c r="E1478" s="21" t="n">
        <v>104</v>
      </c>
      <c r="F1478" s="21" t="inlineStr">
        <is>
          <t>English</t>
        </is>
      </c>
      <c r="G1478" s="21" t="inlineStr">
        <is>
          <t>PG-13</t>
        </is>
      </c>
      <c r="H1478" s="22" t="n">
        <v>157299717</v>
      </c>
      <c r="I1478" s="22" t="n">
        <v>75000000</v>
      </c>
      <c r="J1478" s="21">
        <f>IF(OR(H1478="",H1478=25529689.5),"Yes","No")</f>
        <v/>
      </c>
      <c r="K1478" s="21">
        <f>IF(AND(D1478="USA",C1478&gt;=1980,J1478="No"),"Yes","No")</f>
        <v/>
      </c>
      <c r="L1478" s="26">
        <f>IF(J1478="Yes","",H1478-I1478)</f>
        <v/>
      </c>
      <c r="M1478" s="27">
        <f>IF(OR(J1478="Yes",I1478=0),"",H1478/I1478)</f>
        <v/>
      </c>
      <c r="N1478" s="21">
        <f>IF(J1478="Yes","",IF(H1478&gt;=I1478,1,0))</f>
        <v/>
      </c>
      <c r="O1478" s="21">
        <f>IF(I1478&lt;=5000000,"Under $5M",IF(I1478&lt;=20000000,"$5M-20M",IF(I1478&lt;=50000000,"$20M-50M",IF(I1478&lt;=100000000,"$50M-100M","$100M+"))))</f>
        <v/>
      </c>
      <c r="P1478" s="21">
        <f>IF(E1478&lt;=90,"90 or less",IF(E1478&lt;=105,"91-105",IF(E1478&lt;=120,"106-120",IF(E1478&lt;=140,"121-140","Over 140"))))</f>
        <v/>
      </c>
      <c r="Q1478" s="28">
        <f>INT(C1478/10)*10</f>
        <v/>
      </c>
    </row>
    <row r="1479">
      <c r="A1479" s="21" t="n">
        <v>1508</v>
      </c>
      <c r="B1479" s="21" t="inlineStr">
        <is>
          <t>You Can Count on Me</t>
        </is>
      </c>
      <c r="C1479" s="21" t="n">
        <v>2000</v>
      </c>
      <c r="D1479" s="21" t="inlineStr">
        <is>
          <t>USA</t>
        </is>
      </c>
      <c r="E1479" s="21" t="n">
        <v>111</v>
      </c>
      <c r="F1479" s="21" t="inlineStr">
        <is>
          <t>English</t>
        </is>
      </c>
      <c r="G1479" s="21" t="inlineStr">
        <is>
          <t>R</t>
        </is>
      </c>
      <c r="H1479" s="22" t="n">
        <v>9180275</v>
      </c>
      <c r="I1479" s="22" t="n">
        <v>1200000</v>
      </c>
      <c r="J1479" s="21">
        <f>IF(OR(H1479="",H1479=25529689.5),"Yes","No")</f>
        <v/>
      </c>
      <c r="K1479" s="21">
        <f>IF(AND(D1479="USA",C1479&gt;=1980,J1479="No"),"Yes","No")</f>
        <v/>
      </c>
      <c r="L1479" s="26">
        <f>IF(J1479="Yes","",H1479-I1479)</f>
        <v/>
      </c>
      <c r="M1479" s="27">
        <f>IF(OR(J1479="Yes",I1479=0),"",H1479/I1479)</f>
        <v/>
      </c>
      <c r="N1479" s="21">
        <f>IF(J1479="Yes","",IF(H1479&gt;=I1479,1,0))</f>
        <v/>
      </c>
      <c r="O1479" s="21">
        <f>IF(I1479&lt;=5000000,"Under $5M",IF(I1479&lt;=20000000,"$5M-20M",IF(I1479&lt;=50000000,"$20M-50M",IF(I1479&lt;=100000000,"$50M-100M","$100M+"))))</f>
        <v/>
      </c>
      <c r="P1479" s="21">
        <f>IF(E1479&lt;=90,"90 or less",IF(E1479&lt;=105,"91-105",IF(E1479&lt;=120,"106-120",IF(E1479&lt;=140,"121-140","Over 140"))))</f>
        <v/>
      </c>
      <c r="Q1479" s="28">
        <f>INT(C1479/10)*10</f>
        <v/>
      </c>
    </row>
    <row r="1480">
      <c r="A1480" s="21" t="n">
        <v>1509</v>
      </c>
      <c r="B1480" s="21" t="inlineStr">
        <is>
          <t>15 Minutes</t>
        </is>
      </c>
      <c r="C1480" s="21" t="n">
        <v>2001</v>
      </c>
      <c r="D1480" s="21" t="inlineStr">
        <is>
          <t>USA</t>
        </is>
      </c>
      <c r="E1480" s="21" t="n">
        <v>120</v>
      </c>
      <c r="F1480" s="21" t="inlineStr">
        <is>
          <t>English</t>
        </is>
      </c>
      <c r="G1480" s="21" t="inlineStr">
        <is>
          <t>R</t>
        </is>
      </c>
      <c r="H1480" s="22" t="n">
        <v>24375436</v>
      </c>
      <c r="I1480" s="22" t="n">
        <v>42000000</v>
      </c>
      <c r="J1480" s="21">
        <f>IF(OR(H1480="",H1480=25529689.5),"Yes","No")</f>
        <v/>
      </c>
      <c r="K1480" s="21">
        <f>IF(AND(D1480="USA",C1480&gt;=1980,J1480="No"),"Yes","No")</f>
        <v/>
      </c>
      <c r="L1480" s="26">
        <f>IF(J1480="Yes","",H1480-I1480)</f>
        <v/>
      </c>
      <c r="M1480" s="27">
        <f>IF(OR(J1480="Yes",I1480=0),"",H1480/I1480)</f>
        <v/>
      </c>
      <c r="N1480" s="21">
        <f>IF(J1480="Yes","",IF(H1480&gt;=I1480,1,0))</f>
        <v/>
      </c>
      <c r="O1480" s="21">
        <f>IF(I1480&lt;=5000000,"Under $5M",IF(I1480&lt;=20000000,"$5M-20M",IF(I1480&lt;=50000000,"$20M-50M",IF(I1480&lt;=100000000,"$50M-100M","$100M+"))))</f>
        <v/>
      </c>
      <c r="P1480" s="21">
        <f>IF(E1480&lt;=90,"90 or less",IF(E1480&lt;=105,"91-105",IF(E1480&lt;=120,"106-120",IF(E1480&lt;=140,"121-140","Over 140"))))</f>
        <v/>
      </c>
      <c r="Q1480" s="28">
        <f>INT(C1480/10)*10</f>
        <v/>
      </c>
    </row>
    <row r="1481">
      <c r="A1481" s="21" t="n">
        <v>1510</v>
      </c>
      <c r="B1481" s="21" t="inlineStr">
        <is>
          <t>3000 Miles to Graceland</t>
        </is>
      </c>
      <c r="C1481" s="21" t="n">
        <v>2001</v>
      </c>
      <c r="D1481" s="21" t="inlineStr">
        <is>
          <t>USA</t>
        </is>
      </c>
      <c r="E1481" s="21" t="n">
        <v>125</v>
      </c>
      <c r="F1481" s="21" t="inlineStr">
        <is>
          <t>English</t>
        </is>
      </c>
      <c r="G1481" s="21" t="inlineStr">
        <is>
          <t>R</t>
        </is>
      </c>
      <c r="H1481" s="22" t="n">
        <v>15738632</v>
      </c>
      <c r="I1481" s="22" t="n">
        <v>42000000</v>
      </c>
      <c r="J1481" s="21">
        <f>IF(OR(H1481="",H1481=25529689.5),"Yes","No")</f>
        <v/>
      </c>
      <c r="K1481" s="21">
        <f>IF(AND(D1481="USA",C1481&gt;=1980,J1481="No"),"Yes","No")</f>
        <v/>
      </c>
      <c r="L1481" s="26">
        <f>IF(J1481="Yes","",H1481-I1481)</f>
        <v/>
      </c>
      <c r="M1481" s="27">
        <f>IF(OR(J1481="Yes",I1481=0),"",H1481/I1481)</f>
        <v/>
      </c>
      <c r="N1481" s="21">
        <f>IF(J1481="Yes","",IF(H1481&gt;=I1481,1,0))</f>
        <v/>
      </c>
      <c r="O1481" s="21">
        <f>IF(I1481&lt;=5000000,"Under $5M",IF(I1481&lt;=20000000,"$5M-20M",IF(I1481&lt;=50000000,"$20M-50M",IF(I1481&lt;=100000000,"$50M-100M","$100M+"))))</f>
        <v/>
      </c>
      <c r="P1481" s="21">
        <f>IF(E1481&lt;=90,"90 or less",IF(E1481&lt;=105,"91-105",IF(E1481&lt;=120,"106-120",IF(E1481&lt;=140,"121-140","Over 140"))))</f>
        <v/>
      </c>
      <c r="Q1481" s="28">
        <f>INT(C1481/10)*10</f>
        <v/>
      </c>
    </row>
    <row r="1482">
      <c r="A1482" s="21" t="n">
        <v>1511</v>
      </c>
      <c r="B1482" s="21" t="inlineStr">
        <is>
          <t>A Beautiful Mind</t>
        </is>
      </c>
      <c r="C1482" s="21" t="n">
        <v>2001</v>
      </c>
      <c r="D1482" s="21" t="inlineStr">
        <is>
          <t>USA</t>
        </is>
      </c>
      <c r="E1482" s="21" t="n">
        <v>135</v>
      </c>
      <c r="F1482" s="21" t="inlineStr">
        <is>
          <t>English</t>
        </is>
      </c>
      <c r="G1482" s="21" t="inlineStr">
        <is>
          <t>PG-13</t>
        </is>
      </c>
      <c r="H1482" s="22" t="n">
        <v>170708996</v>
      </c>
      <c r="I1482" s="22" t="n">
        <v>58000000</v>
      </c>
      <c r="J1482" s="21">
        <f>IF(OR(H1482="",H1482=25529689.5),"Yes","No")</f>
        <v/>
      </c>
      <c r="K1482" s="21">
        <f>IF(AND(D1482="USA",C1482&gt;=1980,J1482="No"),"Yes","No")</f>
        <v/>
      </c>
      <c r="L1482" s="26">
        <f>IF(J1482="Yes","",H1482-I1482)</f>
        <v/>
      </c>
      <c r="M1482" s="27">
        <f>IF(OR(J1482="Yes",I1482=0),"",H1482/I1482)</f>
        <v/>
      </c>
      <c r="N1482" s="21">
        <f>IF(J1482="Yes","",IF(H1482&gt;=I1482,1,0))</f>
        <v/>
      </c>
      <c r="O1482" s="21">
        <f>IF(I1482&lt;=5000000,"Under $5M",IF(I1482&lt;=20000000,"$5M-20M",IF(I1482&lt;=50000000,"$20M-50M",IF(I1482&lt;=100000000,"$50M-100M","$100M+"))))</f>
        <v/>
      </c>
      <c r="P1482" s="21">
        <f>IF(E1482&lt;=90,"90 or less",IF(E1482&lt;=105,"91-105",IF(E1482&lt;=120,"106-120",IF(E1482&lt;=140,"121-140","Over 140"))))</f>
        <v/>
      </c>
      <c r="Q1482" s="28">
        <f>INT(C1482/10)*10</f>
        <v/>
      </c>
    </row>
    <row r="1483">
      <c r="A1483" s="21" t="n">
        <v>1512</v>
      </c>
      <c r="B1483" s="21" t="inlineStr">
        <is>
          <t>A Knight's Tale</t>
        </is>
      </c>
      <c r="C1483" s="21" t="n">
        <v>2001</v>
      </c>
      <c r="D1483" s="21" t="inlineStr">
        <is>
          <t>USA</t>
        </is>
      </c>
      <c r="E1483" s="21" t="n">
        <v>144</v>
      </c>
      <c r="F1483" s="21" t="inlineStr">
        <is>
          <t>English</t>
        </is>
      </c>
      <c r="G1483" s="21" t="inlineStr">
        <is>
          <t>PG-13</t>
        </is>
      </c>
      <c r="H1483" s="22" t="n">
        <v>56083966</v>
      </c>
      <c r="I1483" s="22" t="n">
        <v>65000000</v>
      </c>
      <c r="J1483" s="21">
        <f>IF(OR(H1483="",H1483=25529689.5),"Yes","No")</f>
        <v/>
      </c>
      <c r="K1483" s="21">
        <f>IF(AND(D1483="USA",C1483&gt;=1980,J1483="No"),"Yes","No")</f>
        <v/>
      </c>
      <c r="L1483" s="26">
        <f>IF(J1483="Yes","",H1483-I1483)</f>
        <v/>
      </c>
      <c r="M1483" s="27">
        <f>IF(OR(J1483="Yes",I1483=0),"",H1483/I1483)</f>
        <v/>
      </c>
      <c r="N1483" s="21">
        <f>IF(J1483="Yes","",IF(H1483&gt;=I1483,1,0))</f>
        <v/>
      </c>
      <c r="O1483" s="21">
        <f>IF(I1483&lt;=5000000,"Under $5M",IF(I1483&lt;=20000000,"$5M-20M",IF(I1483&lt;=50000000,"$20M-50M",IF(I1483&lt;=100000000,"$50M-100M","$100M+"))))</f>
        <v/>
      </c>
      <c r="P1483" s="21">
        <f>IF(E1483&lt;=90,"90 or less",IF(E1483&lt;=105,"91-105",IF(E1483&lt;=120,"106-120",IF(E1483&lt;=140,"121-140","Over 140"))))</f>
        <v/>
      </c>
      <c r="Q1483" s="28">
        <f>INT(C1483/10)*10</f>
        <v/>
      </c>
    </row>
    <row r="1484">
      <c r="A1484" s="21" t="n">
        <v>1513</v>
      </c>
      <c r="B1484" s="21" t="inlineStr">
        <is>
          <t>A.I. Artificial Intelligence</t>
        </is>
      </c>
      <c r="C1484" s="21" t="n">
        <v>2001</v>
      </c>
      <c r="D1484" s="21" t="inlineStr">
        <is>
          <t>USA</t>
        </is>
      </c>
      <c r="E1484" s="21" t="n">
        <v>146</v>
      </c>
      <c r="F1484" s="21" t="inlineStr">
        <is>
          <t>English</t>
        </is>
      </c>
      <c r="G1484" s="21" t="inlineStr">
        <is>
          <t>PG-13</t>
        </is>
      </c>
      <c r="H1484" s="22" t="n">
        <v>78616689</v>
      </c>
      <c r="I1484" s="22" t="n">
        <v>100000000</v>
      </c>
      <c r="J1484" s="21">
        <f>IF(OR(H1484="",H1484=25529689.5),"Yes","No")</f>
        <v/>
      </c>
      <c r="K1484" s="21">
        <f>IF(AND(D1484="USA",C1484&gt;=1980,J1484="No"),"Yes","No")</f>
        <v/>
      </c>
      <c r="L1484" s="26">
        <f>IF(J1484="Yes","",H1484-I1484)</f>
        <v/>
      </c>
      <c r="M1484" s="27">
        <f>IF(OR(J1484="Yes",I1484=0),"",H1484/I1484)</f>
        <v/>
      </c>
      <c r="N1484" s="21">
        <f>IF(J1484="Yes","",IF(H1484&gt;=I1484,1,0))</f>
        <v/>
      </c>
      <c r="O1484" s="21">
        <f>IF(I1484&lt;=5000000,"Under $5M",IF(I1484&lt;=20000000,"$5M-20M",IF(I1484&lt;=50000000,"$20M-50M",IF(I1484&lt;=100000000,"$50M-100M","$100M+"))))</f>
        <v/>
      </c>
      <c r="P1484" s="21">
        <f>IF(E1484&lt;=90,"90 or less",IF(E1484&lt;=105,"91-105",IF(E1484&lt;=120,"106-120",IF(E1484&lt;=140,"121-140","Over 140"))))</f>
        <v/>
      </c>
      <c r="Q1484" s="28">
        <f>INT(C1484/10)*10</f>
        <v/>
      </c>
    </row>
    <row r="1485">
      <c r="A1485" s="21" t="n">
        <v>1514</v>
      </c>
      <c r="B1485" s="21" t="inlineStr">
        <is>
          <t>Ali</t>
        </is>
      </c>
      <c r="C1485" s="21" t="n">
        <v>2001</v>
      </c>
      <c r="D1485" s="21" t="inlineStr">
        <is>
          <t>USA</t>
        </is>
      </c>
      <c r="E1485" s="21" t="n">
        <v>165</v>
      </c>
      <c r="F1485" s="21" t="inlineStr">
        <is>
          <t>English</t>
        </is>
      </c>
      <c r="G1485" s="21" t="inlineStr">
        <is>
          <t>R</t>
        </is>
      </c>
      <c r="H1485" s="22" t="n">
        <v>58183966</v>
      </c>
      <c r="I1485" s="22" t="n">
        <v>107000000</v>
      </c>
      <c r="J1485" s="21">
        <f>IF(OR(H1485="",H1485=25529689.5),"Yes","No")</f>
        <v/>
      </c>
      <c r="K1485" s="21">
        <f>IF(AND(D1485="USA",C1485&gt;=1980,J1485="No"),"Yes","No")</f>
        <v/>
      </c>
      <c r="L1485" s="26">
        <f>IF(J1485="Yes","",H1485-I1485)</f>
        <v/>
      </c>
      <c r="M1485" s="27">
        <f>IF(OR(J1485="Yes",I1485=0),"",H1485/I1485)</f>
        <v/>
      </c>
      <c r="N1485" s="21">
        <f>IF(J1485="Yes","",IF(H1485&gt;=I1485,1,0))</f>
        <v/>
      </c>
      <c r="O1485" s="21">
        <f>IF(I1485&lt;=5000000,"Under $5M",IF(I1485&lt;=20000000,"$5M-20M",IF(I1485&lt;=50000000,"$20M-50M",IF(I1485&lt;=100000000,"$50M-100M","$100M+"))))</f>
        <v/>
      </c>
      <c r="P1485" s="21">
        <f>IF(E1485&lt;=90,"90 or less",IF(E1485&lt;=105,"91-105",IF(E1485&lt;=120,"106-120",IF(E1485&lt;=140,"121-140","Over 140"))))</f>
        <v/>
      </c>
      <c r="Q1485" s="28">
        <f>INT(C1485/10)*10</f>
        <v/>
      </c>
    </row>
    <row r="1486">
      <c r="A1486" s="21" t="n">
        <v>1515</v>
      </c>
      <c r="B1486" s="21" t="inlineStr">
        <is>
          <t>Alias Betty</t>
        </is>
      </c>
      <c r="C1486" s="21" t="n">
        <v>2001</v>
      </c>
      <c r="D1486" s="21" t="inlineStr">
        <is>
          <t>France</t>
        </is>
      </c>
      <c r="E1486" s="21" t="n">
        <v>103</v>
      </c>
      <c r="F1486" s="21" t="inlineStr">
        <is>
          <t>French</t>
        </is>
      </c>
      <c r="G1486" s="21" t="n"/>
      <c r="H1486" s="22" t="n">
        <v>206400</v>
      </c>
      <c r="I1486" s="22" t="n">
        <v>50000000</v>
      </c>
      <c r="J1486" s="21">
        <f>IF(OR(H1486="",H1486=25529689.5),"Yes","No")</f>
        <v/>
      </c>
      <c r="K1486" s="21">
        <f>IF(AND(D1486="USA",C1486&gt;=1980,J1486="No"),"Yes","No")</f>
        <v/>
      </c>
      <c r="L1486" s="26">
        <f>IF(J1486="Yes","",H1486-I1486)</f>
        <v/>
      </c>
      <c r="M1486" s="27">
        <f>IF(OR(J1486="Yes",I1486=0),"",H1486/I1486)</f>
        <v/>
      </c>
      <c r="N1486" s="21">
        <f>IF(J1486="Yes","",IF(H1486&gt;=I1486,1,0))</f>
        <v/>
      </c>
      <c r="O1486" s="21">
        <f>IF(I1486&lt;=5000000,"Under $5M",IF(I1486&lt;=20000000,"$5M-20M",IF(I1486&lt;=50000000,"$20M-50M",IF(I1486&lt;=100000000,"$50M-100M","$100M+"))))</f>
        <v/>
      </c>
      <c r="P1486" s="21">
        <f>IF(E1486&lt;=90,"90 or less",IF(E1486&lt;=105,"91-105",IF(E1486&lt;=120,"106-120",IF(E1486&lt;=140,"121-140","Over 140"))))</f>
        <v/>
      </c>
      <c r="Q1486" s="28">
        <f>INT(C1486/10)*10</f>
        <v/>
      </c>
    </row>
    <row r="1487">
      <c r="A1487" s="21" t="n">
        <v>1516</v>
      </c>
      <c r="B1487" s="21" t="inlineStr">
        <is>
          <t>All the Queen's Men</t>
        </is>
      </c>
      <c r="C1487" s="21" t="n">
        <v>2001</v>
      </c>
      <c r="D1487" s="21" t="inlineStr">
        <is>
          <t>Germany</t>
        </is>
      </c>
      <c r="E1487" s="21" t="n">
        <v>105</v>
      </c>
      <c r="F1487" s="21" t="inlineStr">
        <is>
          <t>English</t>
        </is>
      </c>
      <c r="G1487" s="21" t="inlineStr">
        <is>
          <t>PG-13</t>
        </is>
      </c>
      <c r="H1487" s="22" t="n">
        <v>22723</v>
      </c>
      <c r="I1487" s="22" t="n">
        <v>25000000</v>
      </c>
      <c r="J1487" s="21">
        <f>IF(OR(H1487="",H1487=25529689.5),"Yes","No")</f>
        <v/>
      </c>
      <c r="K1487" s="21">
        <f>IF(AND(D1487="USA",C1487&gt;=1980,J1487="No"),"Yes","No")</f>
        <v/>
      </c>
      <c r="L1487" s="26">
        <f>IF(J1487="Yes","",H1487-I1487)</f>
        <v/>
      </c>
      <c r="M1487" s="27">
        <f>IF(OR(J1487="Yes",I1487=0),"",H1487/I1487)</f>
        <v/>
      </c>
      <c r="N1487" s="21">
        <f>IF(J1487="Yes","",IF(H1487&gt;=I1487,1,0))</f>
        <v/>
      </c>
      <c r="O1487" s="21">
        <f>IF(I1487&lt;=5000000,"Under $5M",IF(I1487&lt;=20000000,"$5M-20M",IF(I1487&lt;=50000000,"$20M-50M",IF(I1487&lt;=100000000,"$50M-100M","$100M+"))))</f>
        <v/>
      </c>
      <c r="P1487" s="21">
        <f>IF(E1487&lt;=90,"90 or less",IF(E1487&lt;=105,"91-105",IF(E1487&lt;=120,"106-120",IF(E1487&lt;=140,"121-140","Over 140"))))</f>
        <v/>
      </c>
      <c r="Q1487" s="28">
        <f>INT(C1487/10)*10</f>
        <v/>
      </c>
    </row>
    <row r="1488">
      <c r="A1488" s="21" t="n">
        <v>1517</v>
      </c>
      <c r="B1488" s="21" t="inlineStr">
        <is>
          <t>Along Came a Spider</t>
        </is>
      </c>
      <c r="C1488" s="21" t="n">
        <v>2001</v>
      </c>
      <c r="D1488" s="21" t="inlineStr">
        <is>
          <t>USA</t>
        </is>
      </c>
      <c r="E1488" s="21" t="n">
        <v>104</v>
      </c>
      <c r="F1488" s="21" t="inlineStr">
        <is>
          <t>English</t>
        </is>
      </c>
      <c r="G1488" s="21" t="inlineStr">
        <is>
          <t>R</t>
        </is>
      </c>
      <c r="H1488" s="22" t="n">
        <v>74058698</v>
      </c>
      <c r="I1488" s="22" t="n">
        <v>60000000</v>
      </c>
      <c r="J1488" s="21">
        <f>IF(OR(H1488="",H1488=25529689.5),"Yes","No")</f>
        <v/>
      </c>
      <c r="K1488" s="21">
        <f>IF(AND(D1488="USA",C1488&gt;=1980,J1488="No"),"Yes","No")</f>
        <v/>
      </c>
      <c r="L1488" s="26">
        <f>IF(J1488="Yes","",H1488-I1488)</f>
        <v/>
      </c>
      <c r="M1488" s="27">
        <f>IF(OR(J1488="Yes",I1488=0),"",H1488/I1488)</f>
        <v/>
      </c>
      <c r="N1488" s="21">
        <f>IF(J1488="Yes","",IF(H1488&gt;=I1488,1,0))</f>
        <v/>
      </c>
      <c r="O1488" s="21">
        <f>IF(I1488&lt;=5000000,"Under $5M",IF(I1488&lt;=20000000,"$5M-20M",IF(I1488&lt;=50000000,"$20M-50M",IF(I1488&lt;=100000000,"$50M-100M","$100M+"))))</f>
        <v/>
      </c>
      <c r="P1488" s="21">
        <f>IF(E1488&lt;=90,"90 or less",IF(E1488&lt;=105,"91-105",IF(E1488&lt;=120,"106-120",IF(E1488&lt;=140,"121-140","Over 140"))))</f>
        <v/>
      </c>
      <c r="Q1488" s="28">
        <f>INT(C1488/10)*10</f>
        <v/>
      </c>
    </row>
    <row r="1489">
      <c r="A1489" s="21" t="n">
        <v>1518</v>
      </c>
      <c r="B1489" s="21" t="inlineStr">
        <is>
          <t>AmÃ©lie</t>
        </is>
      </c>
      <c r="C1489" s="21" t="n">
        <v>2001</v>
      </c>
      <c r="D1489" s="21" t="inlineStr">
        <is>
          <t>France</t>
        </is>
      </c>
      <c r="E1489" s="21" t="n">
        <v>122</v>
      </c>
      <c r="F1489" s="21" t="inlineStr">
        <is>
          <t>French</t>
        </is>
      </c>
      <c r="G1489" s="21" t="inlineStr">
        <is>
          <t>R</t>
        </is>
      </c>
      <c r="H1489" s="22" t="n">
        <v>33201661</v>
      </c>
      <c r="I1489" s="22" t="n">
        <v>77000000</v>
      </c>
      <c r="J1489" s="21">
        <f>IF(OR(H1489="",H1489=25529689.5),"Yes","No")</f>
        <v/>
      </c>
      <c r="K1489" s="21">
        <f>IF(AND(D1489="USA",C1489&gt;=1980,J1489="No"),"Yes","No")</f>
        <v/>
      </c>
      <c r="L1489" s="26">
        <f>IF(J1489="Yes","",H1489-I1489)</f>
        <v/>
      </c>
      <c r="M1489" s="27">
        <f>IF(OR(J1489="Yes",I1489=0),"",H1489/I1489)</f>
        <v/>
      </c>
      <c r="N1489" s="21">
        <f>IF(J1489="Yes","",IF(H1489&gt;=I1489,1,0))</f>
        <v/>
      </c>
      <c r="O1489" s="21">
        <f>IF(I1489&lt;=5000000,"Under $5M",IF(I1489&lt;=20000000,"$5M-20M",IF(I1489&lt;=50000000,"$20M-50M",IF(I1489&lt;=100000000,"$50M-100M","$100M+"))))</f>
        <v/>
      </c>
      <c r="P1489" s="21">
        <f>IF(E1489&lt;=90,"90 or less",IF(E1489&lt;=105,"91-105",IF(E1489&lt;=120,"106-120",IF(E1489&lt;=140,"121-140","Over 140"))))</f>
        <v/>
      </c>
      <c r="Q1489" s="28">
        <f>INT(C1489/10)*10</f>
        <v/>
      </c>
    </row>
    <row r="1490">
      <c r="A1490" s="21" t="n">
        <v>1519</v>
      </c>
      <c r="B1490" s="21" t="inlineStr">
        <is>
          <t>America's Sweethearts</t>
        </is>
      </c>
      <c r="C1490" s="21" t="n">
        <v>2001</v>
      </c>
      <c r="D1490" s="21" t="inlineStr">
        <is>
          <t>USA</t>
        </is>
      </c>
      <c r="E1490" s="21" t="n">
        <v>102</v>
      </c>
      <c r="F1490" s="21" t="inlineStr">
        <is>
          <t>English</t>
        </is>
      </c>
      <c r="G1490" s="21" t="inlineStr">
        <is>
          <t>PG-13</t>
        </is>
      </c>
      <c r="H1490" s="22" t="n">
        <v>93607673</v>
      </c>
      <c r="I1490" s="22" t="n">
        <v>48000000</v>
      </c>
      <c r="J1490" s="21">
        <f>IF(OR(H1490="",H1490=25529689.5),"Yes","No")</f>
        <v/>
      </c>
      <c r="K1490" s="21">
        <f>IF(AND(D1490="USA",C1490&gt;=1980,J1490="No"),"Yes","No")</f>
        <v/>
      </c>
      <c r="L1490" s="26">
        <f>IF(J1490="Yes","",H1490-I1490)</f>
        <v/>
      </c>
      <c r="M1490" s="27">
        <f>IF(OR(J1490="Yes",I1490=0),"",H1490/I1490)</f>
        <v/>
      </c>
      <c r="N1490" s="21">
        <f>IF(J1490="Yes","",IF(H1490&gt;=I1490,1,0))</f>
        <v/>
      </c>
      <c r="O1490" s="21">
        <f>IF(I1490&lt;=5000000,"Under $5M",IF(I1490&lt;=20000000,"$5M-20M",IF(I1490&lt;=50000000,"$20M-50M",IF(I1490&lt;=100000000,"$50M-100M","$100M+"))))</f>
        <v/>
      </c>
      <c r="P1490" s="21">
        <f>IF(E1490&lt;=90,"90 or less",IF(E1490&lt;=105,"91-105",IF(E1490&lt;=120,"106-120",IF(E1490&lt;=140,"121-140","Over 140"))))</f>
        <v/>
      </c>
      <c r="Q1490" s="28">
        <f>INT(C1490/10)*10</f>
        <v/>
      </c>
    </row>
    <row r="1491">
      <c r="A1491" s="21" t="n">
        <v>1520</v>
      </c>
      <c r="B1491" s="21" t="inlineStr">
        <is>
          <t>American Desi</t>
        </is>
      </c>
      <c r="C1491" s="21" t="n">
        <v>2001</v>
      </c>
      <c r="D1491" s="21" t="inlineStr">
        <is>
          <t>USA</t>
        </is>
      </c>
      <c r="E1491" s="21" t="n">
        <v>100</v>
      </c>
      <c r="F1491" s="21" t="inlineStr">
        <is>
          <t>English</t>
        </is>
      </c>
      <c r="G1491" s="21" t="inlineStr">
        <is>
          <t>Unrated</t>
        </is>
      </c>
      <c r="H1491" s="22" t="n">
        <v>902835</v>
      </c>
      <c r="I1491" s="22" t="n">
        <v>250000</v>
      </c>
      <c r="J1491" s="21">
        <f>IF(OR(H1491="",H1491=25529689.5),"Yes","No")</f>
        <v/>
      </c>
      <c r="K1491" s="21">
        <f>IF(AND(D1491="USA",C1491&gt;=1980,J1491="No"),"Yes","No")</f>
        <v/>
      </c>
      <c r="L1491" s="26">
        <f>IF(J1491="Yes","",H1491-I1491)</f>
        <v/>
      </c>
      <c r="M1491" s="27">
        <f>IF(OR(J1491="Yes",I1491=0),"",H1491/I1491)</f>
        <v/>
      </c>
      <c r="N1491" s="21">
        <f>IF(J1491="Yes","",IF(H1491&gt;=I1491,1,0))</f>
        <v/>
      </c>
      <c r="O1491" s="21">
        <f>IF(I1491&lt;=5000000,"Under $5M",IF(I1491&lt;=20000000,"$5M-20M",IF(I1491&lt;=50000000,"$20M-50M",IF(I1491&lt;=100000000,"$50M-100M","$100M+"))))</f>
        <v/>
      </c>
      <c r="P1491" s="21">
        <f>IF(E1491&lt;=90,"90 or less",IF(E1491&lt;=105,"91-105",IF(E1491&lt;=120,"106-120",IF(E1491&lt;=140,"121-140","Over 140"))))</f>
        <v/>
      </c>
      <c r="Q1491" s="28">
        <f>INT(C1491/10)*10</f>
        <v/>
      </c>
    </row>
    <row r="1492">
      <c r="A1492" s="21" t="n">
        <v>1521</v>
      </c>
      <c r="B1492" s="21" t="inlineStr">
        <is>
          <t>American Outlaws</t>
        </is>
      </c>
      <c r="C1492" s="21" t="n">
        <v>2001</v>
      </c>
      <c r="D1492" s="21" t="inlineStr">
        <is>
          <t>USA</t>
        </is>
      </c>
      <c r="E1492" s="21" t="n">
        <v>94</v>
      </c>
      <c r="F1492" s="21" t="inlineStr">
        <is>
          <t>English</t>
        </is>
      </c>
      <c r="G1492" s="21" t="inlineStr">
        <is>
          <t>PG-13</t>
        </is>
      </c>
      <c r="H1492" s="22" t="n">
        <v>13264986</v>
      </c>
      <c r="I1492" s="22" t="n">
        <v>35000000</v>
      </c>
      <c r="J1492" s="21">
        <f>IF(OR(H1492="",H1492=25529689.5),"Yes","No")</f>
        <v/>
      </c>
      <c r="K1492" s="21">
        <f>IF(AND(D1492="USA",C1492&gt;=1980,J1492="No"),"Yes","No")</f>
        <v/>
      </c>
      <c r="L1492" s="26">
        <f>IF(J1492="Yes","",H1492-I1492)</f>
        <v/>
      </c>
      <c r="M1492" s="27">
        <f>IF(OR(J1492="Yes",I1492=0),"",H1492/I1492)</f>
        <v/>
      </c>
      <c r="N1492" s="21">
        <f>IF(J1492="Yes","",IF(H1492&gt;=I1492,1,0))</f>
        <v/>
      </c>
      <c r="O1492" s="21">
        <f>IF(I1492&lt;=5000000,"Under $5M",IF(I1492&lt;=20000000,"$5M-20M",IF(I1492&lt;=50000000,"$20M-50M",IF(I1492&lt;=100000000,"$50M-100M","$100M+"))))</f>
        <v/>
      </c>
      <c r="P1492" s="21">
        <f>IF(E1492&lt;=90,"90 or less",IF(E1492&lt;=105,"91-105",IF(E1492&lt;=120,"106-120",IF(E1492&lt;=140,"121-140","Over 140"))))</f>
        <v/>
      </c>
      <c r="Q1492" s="28">
        <f>INT(C1492/10)*10</f>
        <v/>
      </c>
    </row>
    <row r="1493">
      <c r="A1493" s="21" t="n">
        <v>1522</v>
      </c>
      <c r="B1493" s="21" t="inlineStr">
        <is>
          <t>American Pie 2</t>
        </is>
      </c>
      <c r="C1493" s="21" t="n">
        <v>2001</v>
      </c>
      <c r="D1493" s="21" t="inlineStr">
        <is>
          <t>USA</t>
        </is>
      </c>
      <c r="E1493" s="21" t="n">
        <v>108</v>
      </c>
      <c r="F1493" s="21" t="inlineStr">
        <is>
          <t>English</t>
        </is>
      </c>
      <c r="G1493" s="21" t="inlineStr">
        <is>
          <t>R</t>
        </is>
      </c>
      <c r="H1493" s="22" t="n">
        <v>145096820</v>
      </c>
      <c r="I1493" s="22" t="n">
        <v>30000000</v>
      </c>
      <c r="J1493" s="21">
        <f>IF(OR(H1493="",H1493=25529689.5),"Yes","No")</f>
        <v/>
      </c>
      <c r="K1493" s="21">
        <f>IF(AND(D1493="USA",C1493&gt;=1980,J1493="No"),"Yes","No")</f>
        <v/>
      </c>
      <c r="L1493" s="26">
        <f>IF(J1493="Yes","",H1493-I1493)</f>
        <v/>
      </c>
      <c r="M1493" s="27">
        <f>IF(OR(J1493="Yes",I1493=0),"",H1493/I1493)</f>
        <v/>
      </c>
      <c r="N1493" s="21">
        <f>IF(J1493="Yes","",IF(H1493&gt;=I1493,1,0))</f>
        <v/>
      </c>
      <c r="O1493" s="21">
        <f>IF(I1493&lt;=5000000,"Under $5M",IF(I1493&lt;=20000000,"$5M-20M",IF(I1493&lt;=50000000,"$20M-50M",IF(I1493&lt;=100000000,"$50M-100M","$100M+"))))</f>
        <v/>
      </c>
      <c r="P1493" s="21">
        <f>IF(E1493&lt;=90,"90 or less",IF(E1493&lt;=105,"91-105",IF(E1493&lt;=120,"106-120",IF(E1493&lt;=140,"121-140","Over 140"))))</f>
        <v/>
      </c>
      <c r="Q1493" s="28">
        <f>INT(C1493/10)*10</f>
        <v/>
      </c>
    </row>
    <row r="1494">
      <c r="A1494" s="21" t="n">
        <v>1523</v>
      </c>
      <c r="B1494" s="21" t="inlineStr">
        <is>
          <t>Angel Eyes</t>
        </is>
      </c>
      <c r="C1494" s="21" t="n">
        <v>2001</v>
      </c>
      <c r="D1494" s="21" t="inlineStr">
        <is>
          <t>USA</t>
        </is>
      </c>
      <c r="E1494" s="21" t="n">
        <v>102</v>
      </c>
      <c r="F1494" s="21" t="inlineStr">
        <is>
          <t>English</t>
        </is>
      </c>
      <c r="G1494" s="21" t="inlineStr">
        <is>
          <t>R</t>
        </is>
      </c>
      <c r="H1494" s="22" t="n">
        <v>24044532</v>
      </c>
      <c r="I1494" s="22" t="n">
        <v>38000000</v>
      </c>
      <c r="J1494" s="21">
        <f>IF(OR(H1494="",H1494=25529689.5),"Yes","No")</f>
        <v/>
      </c>
      <c r="K1494" s="21">
        <f>IF(AND(D1494="USA",C1494&gt;=1980,J1494="No"),"Yes","No")</f>
        <v/>
      </c>
      <c r="L1494" s="26">
        <f>IF(J1494="Yes","",H1494-I1494)</f>
        <v/>
      </c>
      <c r="M1494" s="27">
        <f>IF(OR(J1494="Yes",I1494=0),"",H1494/I1494)</f>
        <v/>
      </c>
      <c r="N1494" s="21">
        <f>IF(J1494="Yes","",IF(H1494&gt;=I1494,1,0))</f>
        <v/>
      </c>
      <c r="O1494" s="21">
        <f>IF(I1494&lt;=5000000,"Under $5M",IF(I1494&lt;=20000000,"$5M-20M",IF(I1494&lt;=50000000,"$20M-50M",IF(I1494&lt;=100000000,"$50M-100M","$100M+"))))</f>
        <v/>
      </c>
      <c r="P1494" s="21">
        <f>IF(E1494&lt;=90,"90 or less",IF(E1494&lt;=105,"91-105",IF(E1494&lt;=120,"106-120",IF(E1494&lt;=140,"121-140","Over 140"))))</f>
        <v/>
      </c>
      <c r="Q1494" s="28">
        <f>INT(C1494/10)*10</f>
        <v/>
      </c>
    </row>
    <row r="1495">
      <c r="A1495" s="21" t="n">
        <v>1524</v>
      </c>
      <c r="B1495" s="21" t="inlineStr">
        <is>
          <t>Antitrust</t>
        </is>
      </c>
      <c r="C1495" s="21" t="n">
        <v>2001</v>
      </c>
      <c r="D1495" s="21" t="inlineStr">
        <is>
          <t>USA</t>
        </is>
      </c>
      <c r="E1495" s="21" t="n">
        <v>109</v>
      </c>
      <c r="F1495" s="21" t="inlineStr">
        <is>
          <t>English</t>
        </is>
      </c>
      <c r="G1495" s="21" t="inlineStr">
        <is>
          <t>PG-13</t>
        </is>
      </c>
      <c r="H1495" s="22" t="n">
        <v>10965209</v>
      </c>
      <c r="I1495" s="22" t="n">
        <v>30000000</v>
      </c>
      <c r="J1495" s="21">
        <f>IF(OR(H1495="",H1495=25529689.5),"Yes","No")</f>
        <v/>
      </c>
      <c r="K1495" s="21">
        <f>IF(AND(D1495="USA",C1495&gt;=1980,J1495="No"),"Yes","No")</f>
        <v/>
      </c>
      <c r="L1495" s="26">
        <f>IF(J1495="Yes","",H1495-I1495)</f>
        <v/>
      </c>
      <c r="M1495" s="27">
        <f>IF(OR(J1495="Yes",I1495=0),"",H1495/I1495)</f>
        <v/>
      </c>
      <c r="N1495" s="21">
        <f>IF(J1495="Yes","",IF(H1495&gt;=I1495,1,0))</f>
        <v/>
      </c>
      <c r="O1495" s="21">
        <f>IF(I1495&lt;=5000000,"Under $5M",IF(I1495&lt;=20000000,"$5M-20M",IF(I1495&lt;=50000000,"$20M-50M",IF(I1495&lt;=100000000,"$50M-100M","$100M+"))))</f>
        <v/>
      </c>
      <c r="P1495" s="21">
        <f>IF(E1495&lt;=90,"90 or less",IF(E1495&lt;=105,"91-105",IF(E1495&lt;=120,"106-120",IF(E1495&lt;=140,"121-140","Over 140"))))</f>
        <v/>
      </c>
      <c r="Q1495" s="28">
        <f>INT(C1495/10)*10</f>
        <v/>
      </c>
    </row>
    <row r="1496">
      <c r="A1496" s="21" t="n">
        <v>1525</v>
      </c>
      <c r="B1496" s="21" t="inlineStr">
        <is>
          <t>Atlantis: The Lost Empire</t>
        </is>
      </c>
      <c r="C1496" s="21" t="n">
        <v>2001</v>
      </c>
      <c r="D1496" s="21" t="inlineStr">
        <is>
          <t>USA</t>
        </is>
      </c>
      <c r="E1496" s="21" t="n">
        <v>95</v>
      </c>
      <c r="F1496" s="21" t="inlineStr">
        <is>
          <t>English</t>
        </is>
      </c>
      <c r="G1496" s="21" t="inlineStr">
        <is>
          <t>PG</t>
        </is>
      </c>
      <c r="H1496" s="22" t="n">
        <v>84037039</v>
      </c>
      <c r="I1496" s="22" t="n">
        <v>120000000</v>
      </c>
      <c r="J1496" s="21">
        <f>IF(OR(H1496="",H1496=25529689.5),"Yes","No")</f>
        <v/>
      </c>
      <c r="K1496" s="21">
        <f>IF(AND(D1496="USA",C1496&gt;=1980,J1496="No"),"Yes","No")</f>
        <v/>
      </c>
      <c r="L1496" s="26">
        <f>IF(J1496="Yes","",H1496-I1496)</f>
        <v/>
      </c>
      <c r="M1496" s="27">
        <f>IF(OR(J1496="Yes",I1496=0),"",H1496/I1496)</f>
        <v/>
      </c>
      <c r="N1496" s="21">
        <f>IF(J1496="Yes","",IF(H1496&gt;=I1496,1,0))</f>
        <v/>
      </c>
      <c r="O1496" s="21">
        <f>IF(I1496&lt;=5000000,"Under $5M",IF(I1496&lt;=20000000,"$5M-20M",IF(I1496&lt;=50000000,"$20M-50M",IF(I1496&lt;=100000000,"$50M-100M","$100M+"))))</f>
        <v/>
      </c>
      <c r="P1496" s="21">
        <f>IF(E1496&lt;=90,"90 or less",IF(E1496&lt;=105,"91-105",IF(E1496&lt;=120,"106-120",IF(E1496&lt;=140,"121-140","Over 140"))))</f>
        <v/>
      </c>
      <c r="Q1496" s="28">
        <f>INT(C1496/10)*10</f>
        <v/>
      </c>
    </row>
    <row r="1497">
      <c r="A1497" s="21" t="n">
        <v>1526</v>
      </c>
      <c r="B1497" s="21" t="inlineStr">
        <is>
          <t>Ayurveda: Art of Being</t>
        </is>
      </c>
      <c r="C1497" s="21" t="n">
        <v>2001</v>
      </c>
      <c r="D1497" s="21" t="inlineStr">
        <is>
          <t>India</t>
        </is>
      </c>
      <c r="E1497" s="21" t="n">
        <v>102</v>
      </c>
      <c r="F1497" s="21" t="inlineStr">
        <is>
          <t>English</t>
        </is>
      </c>
      <c r="G1497" s="21" t="n"/>
      <c r="H1497" s="22" t="n">
        <v>16892</v>
      </c>
      <c r="I1497" s="22" t="n">
        <v>300000</v>
      </c>
      <c r="J1497" s="21">
        <f>IF(OR(H1497="",H1497=25529689.5),"Yes","No")</f>
        <v/>
      </c>
      <c r="K1497" s="21">
        <f>IF(AND(D1497="USA",C1497&gt;=1980,J1497="No"),"Yes","No")</f>
        <v/>
      </c>
      <c r="L1497" s="26">
        <f>IF(J1497="Yes","",H1497-I1497)</f>
        <v/>
      </c>
      <c r="M1497" s="27">
        <f>IF(OR(J1497="Yes",I1497=0),"",H1497/I1497)</f>
        <v/>
      </c>
      <c r="N1497" s="21">
        <f>IF(J1497="Yes","",IF(H1497&gt;=I1497,1,0))</f>
        <v/>
      </c>
      <c r="O1497" s="21">
        <f>IF(I1497&lt;=5000000,"Under $5M",IF(I1497&lt;=20000000,"$5M-20M",IF(I1497&lt;=50000000,"$20M-50M",IF(I1497&lt;=100000000,"$50M-100M","$100M+"))))</f>
        <v/>
      </c>
      <c r="P1497" s="21">
        <f>IF(E1497&lt;=90,"90 or less",IF(E1497&lt;=105,"91-105",IF(E1497&lt;=120,"106-120",IF(E1497&lt;=140,"121-140","Over 140"))))</f>
        <v/>
      </c>
      <c r="Q1497" s="28">
        <f>INT(C1497/10)*10</f>
        <v/>
      </c>
    </row>
    <row r="1498">
      <c r="A1498" s="21" t="n">
        <v>1527</v>
      </c>
      <c r="B1498" s="21" t="inlineStr">
        <is>
          <t>Baby Boy</t>
        </is>
      </c>
      <c r="C1498" s="21" t="n">
        <v>2001</v>
      </c>
      <c r="D1498" s="21" t="inlineStr">
        <is>
          <t>USA</t>
        </is>
      </c>
      <c r="E1498" s="21" t="n">
        <v>130</v>
      </c>
      <c r="F1498" s="21" t="inlineStr">
        <is>
          <t>English</t>
        </is>
      </c>
      <c r="G1498" s="21" t="inlineStr">
        <is>
          <t>R</t>
        </is>
      </c>
      <c r="H1498" s="22" t="n">
        <v>28734552</v>
      </c>
      <c r="I1498" s="22" t="n">
        <v>16000000</v>
      </c>
      <c r="J1498" s="21">
        <f>IF(OR(H1498="",H1498=25529689.5),"Yes","No")</f>
        <v/>
      </c>
      <c r="K1498" s="21">
        <f>IF(AND(D1498="USA",C1498&gt;=1980,J1498="No"),"Yes","No")</f>
        <v/>
      </c>
      <c r="L1498" s="26">
        <f>IF(J1498="Yes","",H1498-I1498)</f>
        <v/>
      </c>
      <c r="M1498" s="27">
        <f>IF(OR(J1498="Yes",I1498=0),"",H1498/I1498)</f>
        <v/>
      </c>
      <c r="N1498" s="21">
        <f>IF(J1498="Yes","",IF(H1498&gt;=I1498,1,0))</f>
        <v/>
      </c>
      <c r="O1498" s="21">
        <f>IF(I1498&lt;=5000000,"Under $5M",IF(I1498&lt;=20000000,"$5M-20M",IF(I1498&lt;=50000000,"$20M-50M",IF(I1498&lt;=100000000,"$50M-100M","$100M+"))))</f>
        <v/>
      </c>
      <c r="P1498" s="21">
        <f>IF(E1498&lt;=90,"90 or less",IF(E1498&lt;=105,"91-105",IF(E1498&lt;=120,"106-120",IF(E1498&lt;=140,"121-140","Over 140"))))</f>
        <v/>
      </c>
      <c r="Q1498" s="28">
        <f>INT(C1498/10)*10</f>
        <v/>
      </c>
    </row>
    <row r="1499">
      <c r="A1499" s="21" t="n">
        <v>1528</v>
      </c>
      <c r="B1499" s="21" t="inlineStr">
        <is>
          <t>Bandits</t>
        </is>
      </c>
      <c r="C1499" s="21" t="n">
        <v>2001</v>
      </c>
      <c r="D1499" s="21" t="inlineStr">
        <is>
          <t>USA</t>
        </is>
      </c>
      <c r="E1499" s="21" t="n">
        <v>123</v>
      </c>
      <c r="F1499" s="21" t="inlineStr">
        <is>
          <t>English</t>
        </is>
      </c>
      <c r="G1499" s="21" t="inlineStr">
        <is>
          <t>PG-13</t>
        </is>
      </c>
      <c r="H1499" s="22" t="n">
        <v>41523271</v>
      </c>
      <c r="I1499" s="22" t="n">
        <v>80000000</v>
      </c>
      <c r="J1499" s="21">
        <f>IF(OR(H1499="",H1499=25529689.5),"Yes","No")</f>
        <v/>
      </c>
      <c r="K1499" s="21">
        <f>IF(AND(D1499="USA",C1499&gt;=1980,J1499="No"),"Yes","No")</f>
        <v/>
      </c>
      <c r="L1499" s="26">
        <f>IF(J1499="Yes","",H1499-I1499)</f>
        <v/>
      </c>
      <c r="M1499" s="27">
        <f>IF(OR(J1499="Yes",I1499=0),"",H1499/I1499)</f>
        <v/>
      </c>
      <c r="N1499" s="21">
        <f>IF(J1499="Yes","",IF(H1499&gt;=I1499,1,0))</f>
        <v/>
      </c>
      <c r="O1499" s="21">
        <f>IF(I1499&lt;=5000000,"Under $5M",IF(I1499&lt;=20000000,"$5M-20M",IF(I1499&lt;=50000000,"$20M-50M",IF(I1499&lt;=100000000,"$50M-100M","$100M+"))))</f>
        <v/>
      </c>
      <c r="P1499" s="21">
        <f>IF(E1499&lt;=90,"90 or less",IF(E1499&lt;=105,"91-105",IF(E1499&lt;=120,"106-120",IF(E1499&lt;=140,"121-140","Over 140"))))</f>
        <v/>
      </c>
      <c r="Q1499" s="28">
        <f>INT(C1499/10)*10</f>
        <v/>
      </c>
    </row>
    <row r="1500">
      <c r="A1500" s="21" t="n">
        <v>1529</v>
      </c>
      <c r="B1500" s="21" t="inlineStr">
        <is>
          <t>Behind Enemy Lines</t>
        </is>
      </c>
      <c r="C1500" s="21" t="n">
        <v>2001</v>
      </c>
      <c r="D1500" s="21" t="inlineStr">
        <is>
          <t>USA</t>
        </is>
      </c>
      <c r="E1500" s="21" t="n">
        <v>106</v>
      </c>
      <c r="F1500" s="21" t="inlineStr">
        <is>
          <t>English</t>
        </is>
      </c>
      <c r="G1500" s="21" t="inlineStr">
        <is>
          <t>PG-13</t>
        </is>
      </c>
      <c r="H1500" s="22" t="n">
        <v>59068786</v>
      </c>
      <c r="I1500" s="22" t="n">
        <v>40000000</v>
      </c>
      <c r="J1500" s="21">
        <f>IF(OR(H1500="",H1500=25529689.5),"Yes","No")</f>
        <v/>
      </c>
      <c r="K1500" s="21">
        <f>IF(AND(D1500="USA",C1500&gt;=1980,J1500="No"),"Yes","No")</f>
        <v/>
      </c>
      <c r="L1500" s="26">
        <f>IF(J1500="Yes","",H1500-I1500)</f>
        <v/>
      </c>
      <c r="M1500" s="27">
        <f>IF(OR(J1500="Yes",I1500=0),"",H1500/I1500)</f>
        <v/>
      </c>
      <c r="N1500" s="21">
        <f>IF(J1500="Yes","",IF(H1500&gt;=I1500,1,0))</f>
        <v/>
      </c>
      <c r="O1500" s="21">
        <f>IF(I1500&lt;=5000000,"Under $5M",IF(I1500&lt;=20000000,"$5M-20M",IF(I1500&lt;=50000000,"$20M-50M",IF(I1500&lt;=100000000,"$50M-100M","$100M+"))))</f>
        <v/>
      </c>
      <c r="P1500" s="21">
        <f>IF(E1500&lt;=90,"90 or less",IF(E1500&lt;=105,"91-105",IF(E1500&lt;=120,"106-120",IF(E1500&lt;=140,"121-140","Over 140"))))</f>
        <v/>
      </c>
      <c r="Q1500" s="28">
        <f>INT(C1500/10)*10</f>
        <v/>
      </c>
    </row>
    <row r="1501">
      <c r="A1501" s="21" t="n">
        <v>1530</v>
      </c>
      <c r="B1501" s="21" t="inlineStr">
        <is>
          <t>Birthday Girl</t>
        </is>
      </c>
      <c r="C1501" s="21" t="n">
        <v>2001</v>
      </c>
      <c r="D1501" s="21" t="inlineStr">
        <is>
          <t>UK</t>
        </is>
      </c>
      <c r="E1501" s="21" t="n">
        <v>93</v>
      </c>
      <c r="F1501" s="21" t="inlineStr">
        <is>
          <t>English</t>
        </is>
      </c>
      <c r="G1501" s="21" t="inlineStr">
        <is>
          <t>R</t>
        </is>
      </c>
      <c r="H1501" s="22" t="n">
        <v>4919896</v>
      </c>
      <c r="I1501" s="22" t="n">
        <v>13000000</v>
      </c>
      <c r="J1501" s="21">
        <f>IF(OR(H1501="",H1501=25529689.5),"Yes","No")</f>
        <v/>
      </c>
      <c r="K1501" s="21">
        <f>IF(AND(D1501="USA",C1501&gt;=1980,J1501="No"),"Yes","No")</f>
        <v/>
      </c>
      <c r="L1501" s="26">
        <f>IF(J1501="Yes","",H1501-I1501)</f>
        <v/>
      </c>
      <c r="M1501" s="27">
        <f>IF(OR(J1501="Yes",I1501=0),"",H1501/I1501)</f>
        <v/>
      </c>
      <c r="N1501" s="21">
        <f>IF(J1501="Yes","",IF(H1501&gt;=I1501,1,0))</f>
        <v/>
      </c>
      <c r="O1501" s="21">
        <f>IF(I1501&lt;=5000000,"Under $5M",IF(I1501&lt;=20000000,"$5M-20M",IF(I1501&lt;=50000000,"$20M-50M",IF(I1501&lt;=100000000,"$50M-100M","$100M+"))))</f>
        <v/>
      </c>
      <c r="P1501" s="21">
        <f>IF(E1501&lt;=90,"90 or less",IF(E1501&lt;=105,"91-105",IF(E1501&lt;=120,"106-120",IF(E1501&lt;=140,"121-140","Over 140"))))</f>
        <v/>
      </c>
      <c r="Q1501" s="28">
        <f>INT(C1501/10)*10</f>
        <v/>
      </c>
    </row>
    <row r="1502">
      <c r="A1502" s="21" t="n">
        <v>1531</v>
      </c>
      <c r="B1502" s="21" t="inlineStr">
        <is>
          <t>Black Hawk Down</t>
        </is>
      </c>
      <c r="C1502" s="21" t="n">
        <v>2001</v>
      </c>
      <c r="D1502" s="21" t="inlineStr">
        <is>
          <t>USA</t>
        </is>
      </c>
      <c r="E1502" s="21" t="n">
        <v>152</v>
      </c>
      <c r="F1502" s="21" t="inlineStr">
        <is>
          <t>English</t>
        </is>
      </c>
      <c r="G1502" s="21" t="inlineStr">
        <is>
          <t>R</t>
        </is>
      </c>
      <c r="H1502" s="22" t="n">
        <v>108638745</v>
      </c>
      <c r="I1502" s="22" t="n">
        <v>92000000</v>
      </c>
      <c r="J1502" s="21">
        <f>IF(OR(H1502="",H1502=25529689.5),"Yes","No")</f>
        <v/>
      </c>
      <c r="K1502" s="21">
        <f>IF(AND(D1502="USA",C1502&gt;=1980,J1502="No"),"Yes","No")</f>
        <v/>
      </c>
      <c r="L1502" s="26">
        <f>IF(J1502="Yes","",H1502-I1502)</f>
        <v/>
      </c>
      <c r="M1502" s="27">
        <f>IF(OR(J1502="Yes",I1502=0),"",H1502/I1502)</f>
        <v/>
      </c>
      <c r="N1502" s="21">
        <f>IF(J1502="Yes","",IF(H1502&gt;=I1502,1,0))</f>
        <v/>
      </c>
      <c r="O1502" s="21">
        <f>IF(I1502&lt;=5000000,"Under $5M",IF(I1502&lt;=20000000,"$5M-20M",IF(I1502&lt;=50000000,"$20M-50M",IF(I1502&lt;=100000000,"$50M-100M","$100M+"))))</f>
        <v/>
      </c>
      <c r="P1502" s="21">
        <f>IF(E1502&lt;=90,"90 or less",IF(E1502&lt;=105,"91-105",IF(E1502&lt;=120,"106-120",IF(E1502&lt;=140,"121-140","Over 140"))))</f>
        <v/>
      </c>
      <c r="Q1502" s="28">
        <f>INT(C1502/10)*10</f>
        <v/>
      </c>
    </row>
    <row r="1503">
      <c r="A1503" s="21" t="n">
        <v>1532</v>
      </c>
      <c r="B1503" s="21" t="inlineStr">
        <is>
          <t>Black Knight</t>
        </is>
      </c>
      <c r="C1503" s="21" t="n">
        <v>2001</v>
      </c>
      <c r="D1503" s="21" t="inlineStr">
        <is>
          <t>USA</t>
        </is>
      </c>
      <c r="E1503" s="21" t="n">
        <v>95</v>
      </c>
      <c r="F1503" s="21" t="inlineStr">
        <is>
          <t>English</t>
        </is>
      </c>
      <c r="G1503" s="21" t="inlineStr">
        <is>
          <t>PG-13</t>
        </is>
      </c>
      <c r="H1503" s="22" t="n">
        <v>33422806</v>
      </c>
      <c r="I1503" s="22" t="n">
        <v>50000000</v>
      </c>
      <c r="J1503" s="21">
        <f>IF(OR(H1503="",H1503=25529689.5),"Yes","No")</f>
        <v/>
      </c>
      <c r="K1503" s="21">
        <f>IF(AND(D1503="USA",C1503&gt;=1980,J1503="No"),"Yes","No")</f>
        <v/>
      </c>
      <c r="L1503" s="26">
        <f>IF(J1503="Yes","",H1503-I1503)</f>
        <v/>
      </c>
      <c r="M1503" s="27">
        <f>IF(OR(J1503="Yes",I1503=0),"",H1503/I1503)</f>
        <v/>
      </c>
      <c r="N1503" s="21">
        <f>IF(J1503="Yes","",IF(H1503&gt;=I1503,1,0))</f>
        <v/>
      </c>
      <c r="O1503" s="21">
        <f>IF(I1503&lt;=5000000,"Under $5M",IF(I1503&lt;=20000000,"$5M-20M",IF(I1503&lt;=50000000,"$20M-50M",IF(I1503&lt;=100000000,"$50M-100M","$100M+"))))</f>
        <v/>
      </c>
      <c r="P1503" s="21">
        <f>IF(E1503&lt;=90,"90 or less",IF(E1503&lt;=105,"91-105",IF(E1503&lt;=120,"106-120",IF(E1503&lt;=140,"121-140","Over 140"))))</f>
        <v/>
      </c>
      <c r="Q1503" s="28">
        <f>INT(C1503/10)*10</f>
        <v/>
      </c>
    </row>
    <row r="1504">
      <c r="A1504" s="21" t="n">
        <v>1533</v>
      </c>
      <c r="B1504" s="21" t="inlineStr">
        <is>
          <t>Blow</t>
        </is>
      </c>
      <c r="C1504" s="21" t="n">
        <v>2001</v>
      </c>
      <c r="D1504" s="21" t="inlineStr">
        <is>
          <t>USA</t>
        </is>
      </c>
      <c r="E1504" s="21" t="n">
        <v>124</v>
      </c>
      <c r="F1504" s="21" t="inlineStr">
        <is>
          <t>English</t>
        </is>
      </c>
      <c r="G1504" s="21" t="inlineStr">
        <is>
          <t>R</t>
        </is>
      </c>
      <c r="H1504" s="22" t="n">
        <v>52937130</v>
      </c>
      <c r="I1504" s="22" t="n">
        <v>30000000</v>
      </c>
      <c r="J1504" s="21">
        <f>IF(OR(H1504="",H1504=25529689.5),"Yes","No")</f>
        <v/>
      </c>
      <c r="K1504" s="21">
        <f>IF(AND(D1504="USA",C1504&gt;=1980,J1504="No"),"Yes","No")</f>
        <v/>
      </c>
      <c r="L1504" s="26">
        <f>IF(J1504="Yes","",H1504-I1504)</f>
        <v/>
      </c>
      <c r="M1504" s="27">
        <f>IF(OR(J1504="Yes",I1504=0),"",H1504/I1504)</f>
        <v/>
      </c>
      <c r="N1504" s="21">
        <f>IF(J1504="Yes","",IF(H1504&gt;=I1504,1,0))</f>
        <v/>
      </c>
      <c r="O1504" s="21">
        <f>IF(I1504&lt;=5000000,"Under $5M",IF(I1504&lt;=20000000,"$5M-20M",IF(I1504&lt;=50000000,"$20M-50M",IF(I1504&lt;=100000000,"$50M-100M","$100M+"))))</f>
        <v/>
      </c>
      <c r="P1504" s="21">
        <f>IF(E1504&lt;=90,"90 or less",IF(E1504&lt;=105,"91-105",IF(E1504&lt;=120,"106-120",IF(E1504&lt;=140,"121-140","Over 140"))))</f>
        <v/>
      </c>
      <c r="Q1504" s="28">
        <f>INT(C1504/10)*10</f>
        <v/>
      </c>
    </row>
    <row r="1505">
      <c r="A1505" s="21" t="n">
        <v>1534</v>
      </c>
      <c r="B1505" s="21" t="inlineStr">
        <is>
          <t>Bridget Jones's Diary</t>
        </is>
      </c>
      <c r="C1505" s="21" t="n">
        <v>2001</v>
      </c>
      <c r="D1505" s="21" t="inlineStr">
        <is>
          <t>UK</t>
        </is>
      </c>
      <c r="E1505" s="21" t="n">
        <v>97</v>
      </c>
      <c r="F1505" s="21" t="inlineStr">
        <is>
          <t>English</t>
        </is>
      </c>
      <c r="G1505" s="21" t="inlineStr">
        <is>
          <t>R</t>
        </is>
      </c>
      <c r="H1505" s="22" t="n">
        <v>71500556</v>
      </c>
      <c r="I1505" s="22" t="n">
        <v>26000000</v>
      </c>
      <c r="J1505" s="21">
        <f>IF(OR(H1505="",H1505=25529689.5),"Yes","No")</f>
        <v/>
      </c>
      <c r="K1505" s="21">
        <f>IF(AND(D1505="USA",C1505&gt;=1980,J1505="No"),"Yes","No")</f>
        <v/>
      </c>
      <c r="L1505" s="26">
        <f>IF(J1505="Yes","",H1505-I1505)</f>
        <v/>
      </c>
      <c r="M1505" s="27">
        <f>IF(OR(J1505="Yes",I1505=0),"",H1505/I1505)</f>
        <v/>
      </c>
      <c r="N1505" s="21">
        <f>IF(J1505="Yes","",IF(H1505&gt;=I1505,1,0))</f>
        <v/>
      </c>
      <c r="O1505" s="21">
        <f>IF(I1505&lt;=5000000,"Under $5M",IF(I1505&lt;=20000000,"$5M-20M",IF(I1505&lt;=50000000,"$20M-50M",IF(I1505&lt;=100000000,"$50M-100M","$100M+"))))</f>
        <v/>
      </c>
      <c r="P1505" s="21">
        <f>IF(E1505&lt;=90,"90 or less",IF(E1505&lt;=105,"91-105",IF(E1505&lt;=120,"106-120",IF(E1505&lt;=140,"121-140","Over 140"))))</f>
        <v/>
      </c>
      <c r="Q1505" s="28">
        <f>INT(C1505/10)*10</f>
        <v/>
      </c>
    </row>
    <row r="1506">
      <c r="A1506" s="21" t="n">
        <v>1535</v>
      </c>
      <c r="B1506" s="21" t="inlineStr">
        <is>
          <t>Brigham City</t>
        </is>
      </c>
      <c r="C1506" s="21" t="n">
        <v>2001</v>
      </c>
      <c r="D1506" s="21" t="inlineStr">
        <is>
          <t>USA</t>
        </is>
      </c>
      <c r="E1506" s="21" t="n">
        <v>119</v>
      </c>
      <c r="F1506" s="21" t="inlineStr">
        <is>
          <t>English</t>
        </is>
      </c>
      <c r="G1506" s="21" t="inlineStr">
        <is>
          <t>PG-13</t>
        </is>
      </c>
      <c r="H1506" s="22" t="n">
        <v>798341</v>
      </c>
      <c r="I1506" s="22" t="n">
        <v>1000000</v>
      </c>
      <c r="J1506" s="21">
        <f>IF(OR(H1506="",H1506=25529689.5),"Yes","No")</f>
        <v/>
      </c>
      <c r="K1506" s="21">
        <f>IF(AND(D1506="USA",C1506&gt;=1980,J1506="No"),"Yes","No")</f>
        <v/>
      </c>
      <c r="L1506" s="26">
        <f>IF(J1506="Yes","",H1506-I1506)</f>
        <v/>
      </c>
      <c r="M1506" s="27">
        <f>IF(OR(J1506="Yes",I1506=0),"",H1506/I1506)</f>
        <v/>
      </c>
      <c r="N1506" s="21">
        <f>IF(J1506="Yes","",IF(H1506&gt;=I1506,1,0))</f>
        <v/>
      </c>
      <c r="O1506" s="21">
        <f>IF(I1506&lt;=5000000,"Under $5M",IF(I1506&lt;=20000000,"$5M-20M",IF(I1506&lt;=50000000,"$20M-50M",IF(I1506&lt;=100000000,"$50M-100M","$100M+"))))</f>
        <v/>
      </c>
      <c r="P1506" s="21">
        <f>IF(E1506&lt;=90,"90 or less",IF(E1506&lt;=105,"91-105",IF(E1506&lt;=120,"106-120",IF(E1506&lt;=140,"121-140","Over 140"))))</f>
        <v/>
      </c>
      <c r="Q1506" s="28">
        <f>INT(C1506/10)*10</f>
        <v/>
      </c>
    </row>
    <row r="1507">
      <c r="A1507" s="21" t="n">
        <v>1536</v>
      </c>
      <c r="B1507" s="21" t="inlineStr">
        <is>
          <t>Bubble Boy</t>
        </is>
      </c>
      <c r="C1507" s="21" t="n">
        <v>2001</v>
      </c>
      <c r="D1507" s="21" t="inlineStr">
        <is>
          <t>USA</t>
        </is>
      </c>
      <c r="E1507" s="21" t="n">
        <v>84</v>
      </c>
      <c r="F1507" s="21" t="inlineStr">
        <is>
          <t>English</t>
        </is>
      </c>
      <c r="G1507" s="21" t="inlineStr">
        <is>
          <t>PG-13</t>
        </is>
      </c>
      <c r="H1507" s="22" t="n">
        <v>5002310</v>
      </c>
      <c r="I1507" s="22" t="n">
        <v>13000000</v>
      </c>
      <c r="J1507" s="21">
        <f>IF(OR(H1507="",H1507=25529689.5),"Yes","No")</f>
        <v/>
      </c>
      <c r="K1507" s="21">
        <f>IF(AND(D1507="USA",C1507&gt;=1980,J1507="No"),"Yes","No")</f>
        <v/>
      </c>
      <c r="L1507" s="26">
        <f>IF(J1507="Yes","",H1507-I1507)</f>
        <v/>
      </c>
      <c r="M1507" s="27">
        <f>IF(OR(J1507="Yes",I1507=0),"",H1507/I1507)</f>
        <v/>
      </c>
      <c r="N1507" s="21">
        <f>IF(J1507="Yes","",IF(H1507&gt;=I1507,1,0))</f>
        <v/>
      </c>
      <c r="O1507" s="21">
        <f>IF(I1507&lt;=5000000,"Under $5M",IF(I1507&lt;=20000000,"$5M-20M",IF(I1507&lt;=50000000,"$20M-50M",IF(I1507&lt;=100000000,"$50M-100M","$100M+"))))</f>
        <v/>
      </c>
      <c r="P1507" s="21">
        <f>IF(E1507&lt;=90,"90 or less",IF(E1507&lt;=105,"91-105",IF(E1507&lt;=120,"106-120",IF(E1507&lt;=140,"121-140","Over 140"))))</f>
        <v/>
      </c>
      <c r="Q1507" s="28">
        <f>INT(C1507/10)*10</f>
        <v/>
      </c>
    </row>
    <row r="1508">
      <c r="A1508" s="21" t="n">
        <v>1537</v>
      </c>
      <c r="B1508" s="21" t="inlineStr">
        <is>
          <t>Buffalo Soldiers</t>
        </is>
      </c>
      <c r="C1508" s="21" t="n">
        <v>2001</v>
      </c>
      <c r="D1508" s="21" t="inlineStr">
        <is>
          <t>UK</t>
        </is>
      </c>
      <c r="E1508" s="21" t="n">
        <v>98</v>
      </c>
      <c r="F1508" s="21" t="inlineStr">
        <is>
          <t>English</t>
        </is>
      </c>
      <c r="G1508" s="21" t="inlineStr">
        <is>
          <t>R</t>
        </is>
      </c>
      <c r="H1508" s="22" t="n">
        <v>353743</v>
      </c>
      <c r="I1508" s="22" t="n">
        <v>15000000</v>
      </c>
      <c r="J1508" s="21">
        <f>IF(OR(H1508="",H1508=25529689.5),"Yes","No")</f>
        <v/>
      </c>
      <c r="K1508" s="21">
        <f>IF(AND(D1508="USA",C1508&gt;=1980,J1508="No"),"Yes","No")</f>
        <v/>
      </c>
      <c r="L1508" s="26">
        <f>IF(J1508="Yes","",H1508-I1508)</f>
        <v/>
      </c>
      <c r="M1508" s="27">
        <f>IF(OR(J1508="Yes",I1508=0),"",H1508/I1508)</f>
        <v/>
      </c>
      <c r="N1508" s="21">
        <f>IF(J1508="Yes","",IF(H1508&gt;=I1508,1,0))</f>
        <v/>
      </c>
      <c r="O1508" s="21">
        <f>IF(I1508&lt;=5000000,"Under $5M",IF(I1508&lt;=20000000,"$5M-20M",IF(I1508&lt;=50000000,"$20M-50M",IF(I1508&lt;=100000000,"$50M-100M","$100M+"))))</f>
        <v/>
      </c>
      <c r="P1508" s="21">
        <f>IF(E1508&lt;=90,"90 or less",IF(E1508&lt;=105,"91-105",IF(E1508&lt;=120,"106-120",IF(E1508&lt;=140,"121-140","Over 140"))))</f>
        <v/>
      </c>
      <c r="Q1508" s="28">
        <f>INT(C1508/10)*10</f>
        <v/>
      </c>
    </row>
    <row r="1509">
      <c r="A1509" s="21" t="n">
        <v>1538</v>
      </c>
      <c r="B1509" s="21" t="inlineStr">
        <is>
          <t>Bully</t>
        </is>
      </c>
      <c r="C1509" s="21" t="n">
        <v>2001</v>
      </c>
      <c r="D1509" s="21" t="inlineStr">
        <is>
          <t>USA</t>
        </is>
      </c>
      <c r="E1509" s="21" t="n">
        <v>115</v>
      </c>
      <c r="F1509" s="21" t="inlineStr">
        <is>
          <t>English</t>
        </is>
      </c>
      <c r="G1509" s="21" t="inlineStr">
        <is>
          <t>R</t>
        </is>
      </c>
      <c r="H1509" s="22" t="n">
        <v>510092</v>
      </c>
      <c r="I1509" s="22" t="n">
        <v>20000000</v>
      </c>
      <c r="J1509" s="21">
        <f>IF(OR(H1509="",H1509=25529689.5),"Yes","No")</f>
        <v/>
      </c>
      <c r="K1509" s="21">
        <f>IF(AND(D1509="USA",C1509&gt;=1980,J1509="No"),"Yes","No")</f>
        <v/>
      </c>
      <c r="L1509" s="26">
        <f>IF(J1509="Yes","",H1509-I1509)</f>
        <v/>
      </c>
      <c r="M1509" s="27">
        <f>IF(OR(J1509="Yes",I1509=0),"",H1509/I1509)</f>
        <v/>
      </c>
      <c r="N1509" s="21">
        <f>IF(J1509="Yes","",IF(H1509&gt;=I1509,1,0))</f>
        <v/>
      </c>
      <c r="O1509" s="21">
        <f>IF(I1509&lt;=5000000,"Under $5M",IF(I1509&lt;=20000000,"$5M-20M",IF(I1509&lt;=50000000,"$20M-50M",IF(I1509&lt;=100000000,"$50M-100M","$100M+"))))</f>
        <v/>
      </c>
      <c r="P1509" s="21">
        <f>IF(E1509&lt;=90,"90 or less",IF(E1509&lt;=105,"91-105",IF(E1509&lt;=120,"106-120",IF(E1509&lt;=140,"121-140","Over 140"))))</f>
        <v/>
      </c>
      <c r="Q1509" s="28">
        <f>INT(C1509/10)*10</f>
        <v/>
      </c>
    </row>
    <row r="1510">
      <c r="A1510" s="21" t="n">
        <v>1539</v>
      </c>
      <c r="B1510" s="21" t="inlineStr">
        <is>
          <t>Captain Corelli's Mandolin</t>
        </is>
      </c>
      <c r="C1510" s="21" t="n">
        <v>2001</v>
      </c>
      <c r="D1510" s="21" t="inlineStr">
        <is>
          <t>UK</t>
        </is>
      </c>
      <c r="E1510" s="21" t="n">
        <v>131</v>
      </c>
      <c r="F1510" s="21" t="inlineStr">
        <is>
          <t>English</t>
        </is>
      </c>
      <c r="G1510" s="21" t="inlineStr">
        <is>
          <t>R</t>
        </is>
      </c>
      <c r="H1510" s="22" t="n">
        <v>25528495</v>
      </c>
      <c r="I1510" s="22" t="n">
        <v>57000000</v>
      </c>
      <c r="J1510" s="21">
        <f>IF(OR(H1510="",H1510=25529689.5),"Yes","No")</f>
        <v/>
      </c>
      <c r="K1510" s="21">
        <f>IF(AND(D1510="USA",C1510&gt;=1980,J1510="No"),"Yes","No")</f>
        <v/>
      </c>
      <c r="L1510" s="26">
        <f>IF(J1510="Yes","",H1510-I1510)</f>
        <v/>
      </c>
      <c r="M1510" s="27">
        <f>IF(OR(J1510="Yes",I1510=0),"",H1510/I1510)</f>
        <v/>
      </c>
      <c r="N1510" s="21">
        <f>IF(J1510="Yes","",IF(H1510&gt;=I1510,1,0))</f>
        <v/>
      </c>
      <c r="O1510" s="21">
        <f>IF(I1510&lt;=5000000,"Under $5M",IF(I1510&lt;=20000000,"$5M-20M",IF(I1510&lt;=50000000,"$20M-50M",IF(I1510&lt;=100000000,"$50M-100M","$100M+"))))</f>
        <v/>
      </c>
      <c r="P1510" s="21">
        <f>IF(E1510&lt;=90,"90 or less",IF(E1510&lt;=105,"91-105",IF(E1510&lt;=120,"106-120",IF(E1510&lt;=140,"121-140","Over 140"))))</f>
        <v/>
      </c>
      <c r="Q1510" s="28">
        <f>INT(C1510/10)*10</f>
        <v/>
      </c>
    </row>
    <row r="1511">
      <c r="A1511" s="21" t="n">
        <v>1540</v>
      </c>
      <c r="B1511" s="21" t="inlineStr">
        <is>
          <t>Cats &amp; Dogs</t>
        </is>
      </c>
      <c r="C1511" s="21" t="n">
        <v>2001</v>
      </c>
      <c r="D1511" s="21" t="inlineStr">
        <is>
          <t>USA</t>
        </is>
      </c>
      <c r="E1511" s="21" t="n">
        <v>87</v>
      </c>
      <c r="F1511" s="21" t="inlineStr">
        <is>
          <t>English</t>
        </is>
      </c>
      <c r="G1511" s="21" t="inlineStr">
        <is>
          <t>PG</t>
        </is>
      </c>
      <c r="H1511" s="22" t="n">
        <v>93375151</v>
      </c>
      <c r="I1511" s="22" t="n">
        <v>60000000</v>
      </c>
      <c r="J1511" s="21">
        <f>IF(OR(H1511="",H1511=25529689.5),"Yes","No")</f>
        <v/>
      </c>
      <c r="K1511" s="21">
        <f>IF(AND(D1511="USA",C1511&gt;=1980,J1511="No"),"Yes","No")</f>
        <v/>
      </c>
      <c r="L1511" s="26">
        <f>IF(J1511="Yes","",H1511-I1511)</f>
        <v/>
      </c>
      <c r="M1511" s="27">
        <f>IF(OR(J1511="Yes",I1511=0),"",H1511/I1511)</f>
        <v/>
      </c>
      <c r="N1511" s="21">
        <f>IF(J1511="Yes","",IF(H1511&gt;=I1511,1,0))</f>
        <v/>
      </c>
      <c r="O1511" s="21">
        <f>IF(I1511&lt;=5000000,"Under $5M",IF(I1511&lt;=20000000,"$5M-20M",IF(I1511&lt;=50000000,"$20M-50M",IF(I1511&lt;=100000000,"$50M-100M","$100M+"))))</f>
        <v/>
      </c>
      <c r="P1511" s="21">
        <f>IF(E1511&lt;=90,"90 or less",IF(E1511&lt;=105,"91-105",IF(E1511&lt;=120,"106-120",IF(E1511&lt;=140,"121-140","Over 140"))))</f>
        <v/>
      </c>
      <c r="Q1511" s="28">
        <f>INT(C1511/10)*10</f>
        <v/>
      </c>
    </row>
    <row r="1512">
      <c r="A1512" s="21" t="n">
        <v>1541</v>
      </c>
      <c r="B1512" s="21" t="inlineStr">
        <is>
          <t>Corky Romano</t>
        </is>
      </c>
      <c r="C1512" s="21" t="n">
        <v>2001</v>
      </c>
      <c r="D1512" s="21" t="inlineStr">
        <is>
          <t>USA</t>
        </is>
      </c>
      <c r="E1512" s="21" t="n">
        <v>86</v>
      </c>
      <c r="F1512" s="21" t="inlineStr">
        <is>
          <t>English</t>
        </is>
      </c>
      <c r="G1512" s="21" t="inlineStr">
        <is>
          <t>PG-13</t>
        </is>
      </c>
      <c r="H1512" s="22" t="n">
        <v>23978402</v>
      </c>
      <c r="I1512" s="22" t="n">
        <v>11000000</v>
      </c>
      <c r="J1512" s="21">
        <f>IF(OR(H1512="",H1512=25529689.5),"Yes","No")</f>
        <v/>
      </c>
      <c r="K1512" s="21">
        <f>IF(AND(D1512="USA",C1512&gt;=1980,J1512="No"),"Yes","No")</f>
        <v/>
      </c>
      <c r="L1512" s="26">
        <f>IF(J1512="Yes","",H1512-I1512)</f>
        <v/>
      </c>
      <c r="M1512" s="27">
        <f>IF(OR(J1512="Yes",I1512=0),"",H1512/I1512)</f>
        <v/>
      </c>
      <c r="N1512" s="21">
        <f>IF(J1512="Yes","",IF(H1512&gt;=I1512,1,0))</f>
        <v/>
      </c>
      <c r="O1512" s="21">
        <f>IF(I1512&lt;=5000000,"Under $5M",IF(I1512&lt;=20000000,"$5M-20M",IF(I1512&lt;=50000000,"$20M-50M",IF(I1512&lt;=100000000,"$50M-100M","$100M+"))))</f>
        <v/>
      </c>
      <c r="P1512" s="21">
        <f>IF(E1512&lt;=90,"90 or less",IF(E1512&lt;=105,"91-105",IF(E1512&lt;=120,"106-120",IF(E1512&lt;=140,"121-140","Over 140"))))</f>
        <v/>
      </c>
      <c r="Q1512" s="28">
        <f>INT(C1512/10)*10</f>
        <v/>
      </c>
    </row>
    <row r="1513">
      <c r="A1513" s="21" t="n">
        <v>1542</v>
      </c>
      <c r="B1513" s="21" t="inlineStr">
        <is>
          <t>Crazy/Beautiful</t>
        </is>
      </c>
      <c r="C1513" s="21" t="n">
        <v>2001</v>
      </c>
      <c r="D1513" s="21" t="inlineStr">
        <is>
          <t>USA</t>
        </is>
      </c>
      <c r="E1513" s="21" t="n">
        <v>135</v>
      </c>
      <c r="F1513" s="21" t="inlineStr">
        <is>
          <t>English</t>
        </is>
      </c>
      <c r="G1513" s="21" t="inlineStr">
        <is>
          <t>PG-13</t>
        </is>
      </c>
      <c r="H1513" s="22" t="n">
        <v>16929123</v>
      </c>
      <c r="I1513" s="22" t="n">
        <v>14000000</v>
      </c>
      <c r="J1513" s="21">
        <f>IF(OR(H1513="",H1513=25529689.5),"Yes","No")</f>
        <v/>
      </c>
      <c r="K1513" s="21">
        <f>IF(AND(D1513="USA",C1513&gt;=1980,J1513="No"),"Yes","No")</f>
        <v/>
      </c>
      <c r="L1513" s="26">
        <f>IF(J1513="Yes","",H1513-I1513)</f>
        <v/>
      </c>
      <c r="M1513" s="27">
        <f>IF(OR(J1513="Yes",I1513=0),"",H1513/I1513)</f>
        <v/>
      </c>
      <c r="N1513" s="21">
        <f>IF(J1513="Yes","",IF(H1513&gt;=I1513,1,0))</f>
        <v/>
      </c>
      <c r="O1513" s="21">
        <f>IF(I1513&lt;=5000000,"Under $5M",IF(I1513&lt;=20000000,"$5M-20M",IF(I1513&lt;=50000000,"$20M-50M",IF(I1513&lt;=100000000,"$50M-100M","$100M+"))))</f>
        <v/>
      </c>
      <c r="P1513" s="21">
        <f>IF(E1513&lt;=90,"90 or less",IF(E1513&lt;=105,"91-105",IF(E1513&lt;=120,"106-120",IF(E1513&lt;=140,"121-140","Over 140"))))</f>
        <v/>
      </c>
      <c r="Q1513" s="28">
        <f>INT(C1513/10)*10</f>
        <v/>
      </c>
    </row>
    <row r="1514">
      <c r="A1514" s="21" t="n">
        <v>1543</v>
      </c>
      <c r="B1514" s="21" t="inlineStr">
        <is>
          <t>Crocodile Dundee in Los Angeles</t>
        </is>
      </c>
      <c r="C1514" s="21" t="n">
        <v>2001</v>
      </c>
      <c r="D1514" s="21" t="inlineStr">
        <is>
          <t>Australia</t>
        </is>
      </c>
      <c r="E1514" s="21" t="n">
        <v>92</v>
      </c>
      <c r="F1514" s="21" t="inlineStr">
        <is>
          <t>English</t>
        </is>
      </c>
      <c r="G1514" s="21" t="inlineStr">
        <is>
          <t>PG</t>
        </is>
      </c>
      <c r="H1514" s="22" t="n">
        <v>25590119</v>
      </c>
      <c r="I1514" s="22" t="n">
        <v>21150000</v>
      </c>
      <c r="J1514" s="21">
        <f>IF(OR(H1514="",H1514=25529689.5),"Yes","No")</f>
        <v/>
      </c>
      <c r="K1514" s="21">
        <f>IF(AND(D1514="USA",C1514&gt;=1980,J1514="No"),"Yes","No")</f>
        <v/>
      </c>
      <c r="L1514" s="26">
        <f>IF(J1514="Yes","",H1514-I1514)</f>
        <v/>
      </c>
      <c r="M1514" s="27">
        <f>IF(OR(J1514="Yes",I1514=0),"",H1514/I1514)</f>
        <v/>
      </c>
      <c r="N1514" s="21">
        <f>IF(J1514="Yes","",IF(H1514&gt;=I1514,1,0))</f>
        <v/>
      </c>
      <c r="O1514" s="21">
        <f>IF(I1514&lt;=5000000,"Under $5M",IF(I1514&lt;=20000000,"$5M-20M",IF(I1514&lt;=50000000,"$20M-50M",IF(I1514&lt;=100000000,"$50M-100M","$100M+"))))</f>
        <v/>
      </c>
      <c r="P1514" s="21">
        <f>IF(E1514&lt;=90,"90 or less",IF(E1514&lt;=105,"91-105",IF(E1514&lt;=120,"106-120",IF(E1514&lt;=140,"121-140","Over 140"))))</f>
        <v/>
      </c>
      <c r="Q1514" s="28">
        <f>INT(C1514/10)*10</f>
        <v/>
      </c>
    </row>
    <row r="1515">
      <c r="A1515" s="21" t="n">
        <v>1544</v>
      </c>
      <c r="B1515" s="21" t="inlineStr">
        <is>
          <t>Dogtown and Z-Boys</t>
        </is>
      </c>
      <c r="C1515" s="21" t="n">
        <v>2001</v>
      </c>
      <c r="D1515" s="21" t="inlineStr">
        <is>
          <t>USA</t>
        </is>
      </c>
      <c r="E1515" s="21" t="n">
        <v>91</v>
      </c>
      <c r="F1515" s="21" t="inlineStr">
        <is>
          <t>English</t>
        </is>
      </c>
      <c r="G1515" s="21" t="inlineStr">
        <is>
          <t>PG-13</t>
        </is>
      </c>
      <c r="H1515" s="22" t="n">
        <v>1293295</v>
      </c>
      <c r="I1515" s="22" t="n">
        <v>20000000</v>
      </c>
      <c r="J1515" s="21">
        <f>IF(OR(H1515="",H1515=25529689.5),"Yes","No")</f>
        <v/>
      </c>
      <c r="K1515" s="21">
        <f>IF(AND(D1515="USA",C1515&gt;=1980,J1515="No"),"Yes","No")</f>
        <v/>
      </c>
      <c r="L1515" s="26">
        <f>IF(J1515="Yes","",H1515-I1515)</f>
        <v/>
      </c>
      <c r="M1515" s="27">
        <f>IF(OR(J1515="Yes",I1515=0),"",H1515/I1515)</f>
        <v/>
      </c>
      <c r="N1515" s="21">
        <f>IF(J1515="Yes","",IF(H1515&gt;=I1515,1,0))</f>
        <v/>
      </c>
      <c r="O1515" s="21">
        <f>IF(I1515&lt;=5000000,"Under $5M",IF(I1515&lt;=20000000,"$5M-20M",IF(I1515&lt;=50000000,"$20M-50M",IF(I1515&lt;=100000000,"$50M-100M","$100M+"))))</f>
        <v/>
      </c>
      <c r="P1515" s="21">
        <f>IF(E1515&lt;=90,"90 or less",IF(E1515&lt;=105,"91-105",IF(E1515&lt;=120,"106-120",IF(E1515&lt;=140,"121-140","Over 140"))))</f>
        <v/>
      </c>
      <c r="Q1515" s="28">
        <f>INT(C1515/10)*10</f>
        <v/>
      </c>
    </row>
    <row r="1516">
      <c r="A1516" s="21" t="n">
        <v>1545</v>
      </c>
      <c r="B1516" s="21" t="inlineStr">
        <is>
          <t>Domestic Disturbance</t>
        </is>
      </c>
      <c r="C1516" s="21" t="n">
        <v>2001</v>
      </c>
      <c r="D1516" s="21" t="inlineStr">
        <is>
          <t>USA</t>
        </is>
      </c>
      <c r="E1516" s="21" t="n">
        <v>89</v>
      </c>
      <c r="F1516" s="21" t="inlineStr">
        <is>
          <t>English</t>
        </is>
      </c>
      <c r="G1516" s="21" t="inlineStr">
        <is>
          <t>PG-13</t>
        </is>
      </c>
      <c r="H1516" s="22" t="n">
        <v>45207112</v>
      </c>
      <c r="I1516" s="22" t="n">
        <v>53000000</v>
      </c>
      <c r="J1516" s="21">
        <f>IF(OR(H1516="",H1516=25529689.5),"Yes","No")</f>
        <v/>
      </c>
      <c r="K1516" s="21">
        <f>IF(AND(D1516="USA",C1516&gt;=1980,J1516="No"),"Yes","No")</f>
        <v/>
      </c>
      <c r="L1516" s="26">
        <f>IF(J1516="Yes","",H1516-I1516)</f>
        <v/>
      </c>
      <c r="M1516" s="27">
        <f>IF(OR(J1516="Yes",I1516=0),"",H1516/I1516)</f>
        <v/>
      </c>
      <c r="N1516" s="21">
        <f>IF(J1516="Yes","",IF(H1516&gt;=I1516,1,0))</f>
        <v/>
      </c>
      <c r="O1516" s="21">
        <f>IF(I1516&lt;=5000000,"Under $5M",IF(I1516&lt;=20000000,"$5M-20M",IF(I1516&lt;=50000000,"$20M-50M",IF(I1516&lt;=100000000,"$50M-100M","$100M+"))))</f>
        <v/>
      </c>
      <c r="P1516" s="21">
        <f>IF(E1516&lt;=90,"90 or less",IF(E1516&lt;=105,"91-105",IF(E1516&lt;=120,"106-120",IF(E1516&lt;=140,"121-140","Over 140"))))</f>
        <v/>
      </c>
      <c r="Q1516" s="28">
        <f>INT(C1516/10)*10</f>
        <v/>
      </c>
    </row>
    <row r="1517">
      <c r="A1517" s="21" t="n">
        <v>1546</v>
      </c>
      <c r="B1517" s="21" t="inlineStr">
        <is>
          <t>Don't Say a Word</t>
        </is>
      </c>
      <c r="C1517" s="21" t="n">
        <v>2001</v>
      </c>
      <c r="D1517" s="21" t="inlineStr">
        <is>
          <t>USA</t>
        </is>
      </c>
      <c r="E1517" s="21" t="n">
        <v>113</v>
      </c>
      <c r="F1517" s="21" t="inlineStr">
        <is>
          <t>English</t>
        </is>
      </c>
      <c r="G1517" s="21" t="inlineStr">
        <is>
          <t>R</t>
        </is>
      </c>
      <c r="H1517" s="22" t="n">
        <v>54997476</v>
      </c>
      <c r="I1517" s="22" t="n">
        <v>50000000</v>
      </c>
      <c r="J1517" s="21">
        <f>IF(OR(H1517="",H1517=25529689.5),"Yes","No")</f>
        <v/>
      </c>
      <c r="K1517" s="21">
        <f>IF(AND(D1517="USA",C1517&gt;=1980,J1517="No"),"Yes","No")</f>
        <v/>
      </c>
      <c r="L1517" s="26">
        <f>IF(J1517="Yes","",H1517-I1517)</f>
        <v/>
      </c>
      <c r="M1517" s="27">
        <f>IF(OR(J1517="Yes",I1517=0),"",H1517/I1517)</f>
        <v/>
      </c>
      <c r="N1517" s="21">
        <f>IF(J1517="Yes","",IF(H1517&gt;=I1517,1,0))</f>
        <v/>
      </c>
      <c r="O1517" s="21">
        <f>IF(I1517&lt;=5000000,"Under $5M",IF(I1517&lt;=20000000,"$5M-20M",IF(I1517&lt;=50000000,"$20M-50M",IF(I1517&lt;=100000000,"$50M-100M","$100M+"))))</f>
        <v/>
      </c>
      <c r="P1517" s="21">
        <f>IF(E1517&lt;=90,"90 or less",IF(E1517&lt;=105,"91-105",IF(E1517&lt;=120,"106-120",IF(E1517&lt;=140,"121-140","Over 140"))))</f>
        <v/>
      </c>
      <c r="Q1517" s="28">
        <f>INT(C1517/10)*10</f>
        <v/>
      </c>
    </row>
    <row r="1518">
      <c r="A1518" s="21" t="n">
        <v>1547</v>
      </c>
      <c r="B1518" s="21" t="inlineStr">
        <is>
          <t>Donnie Darko</t>
        </is>
      </c>
      <c r="C1518" s="21" t="n">
        <v>2001</v>
      </c>
      <c r="D1518" s="21" t="inlineStr">
        <is>
          <t>USA</t>
        </is>
      </c>
      <c r="E1518" s="21" t="n">
        <v>133</v>
      </c>
      <c r="F1518" s="21" t="inlineStr">
        <is>
          <t>English</t>
        </is>
      </c>
      <c r="G1518" s="21" t="inlineStr">
        <is>
          <t>R</t>
        </is>
      </c>
      <c r="H1518" s="22" t="n">
        <v>727883</v>
      </c>
      <c r="I1518" s="22" t="n">
        <v>4500000</v>
      </c>
      <c r="J1518" s="21">
        <f>IF(OR(H1518="",H1518=25529689.5),"Yes","No")</f>
        <v/>
      </c>
      <c r="K1518" s="21">
        <f>IF(AND(D1518="USA",C1518&gt;=1980,J1518="No"),"Yes","No")</f>
        <v/>
      </c>
      <c r="L1518" s="26">
        <f>IF(J1518="Yes","",H1518-I1518)</f>
        <v/>
      </c>
      <c r="M1518" s="27">
        <f>IF(OR(J1518="Yes",I1518=0),"",H1518/I1518)</f>
        <v/>
      </c>
      <c r="N1518" s="21">
        <f>IF(J1518="Yes","",IF(H1518&gt;=I1518,1,0))</f>
        <v/>
      </c>
      <c r="O1518" s="21">
        <f>IF(I1518&lt;=5000000,"Under $5M",IF(I1518&lt;=20000000,"$5M-20M",IF(I1518&lt;=50000000,"$20M-50M",IF(I1518&lt;=100000000,"$50M-100M","$100M+"))))</f>
        <v/>
      </c>
      <c r="P1518" s="21">
        <f>IF(E1518&lt;=90,"90 or less",IF(E1518&lt;=105,"91-105",IF(E1518&lt;=120,"106-120",IF(E1518&lt;=140,"121-140","Over 140"))))</f>
        <v/>
      </c>
      <c r="Q1518" s="28">
        <f>INT(C1518/10)*10</f>
        <v/>
      </c>
    </row>
    <row r="1519">
      <c r="A1519" s="21" t="n">
        <v>1548</v>
      </c>
      <c r="B1519" s="21" t="inlineStr">
        <is>
          <t>Double Take</t>
        </is>
      </c>
      <c r="C1519" s="21" t="n">
        <v>2001</v>
      </c>
      <c r="D1519" s="21" t="inlineStr">
        <is>
          <t>USA</t>
        </is>
      </c>
      <c r="E1519" s="21" t="n">
        <v>88</v>
      </c>
      <c r="F1519" s="21" t="inlineStr">
        <is>
          <t>English</t>
        </is>
      </c>
      <c r="G1519" s="21" t="inlineStr">
        <is>
          <t>PG-13</t>
        </is>
      </c>
      <c r="H1519" s="22" t="n">
        <v>20218</v>
      </c>
      <c r="I1519" s="22" t="n">
        <v>24000000</v>
      </c>
      <c r="J1519" s="21">
        <f>IF(OR(H1519="",H1519=25529689.5),"Yes","No")</f>
        <v/>
      </c>
      <c r="K1519" s="21">
        <f>IF(AND(D1519="USA",C1519&gt;=1980,J1519="No"),"Yes","No")</f>
        <v/>
      </c>
      <c r="L1519" s="26">
        <f>IF(J1519="Yes","",H1519-I1519)</f>
        <v/>
      </c>
      <c r="M1519" s="27">
        <f>IF(OR(J1519="Yes",I1519=0),"",H1519/I1519)</f>
        <v/>
      </c>
      <c r="N1519" s="21">
        <f>IF(J1519="Yes","",IF(H1519&gt;=I1519,1,0))</f>
        <v/>
      </c>
      <c r="O1519" s="21">
        <f>IF(I1519&lt;=5000000,"Under $5M",IF(I1519&lt;=20000000,"$5M-20M",IF(I1519&lt;=50000000,"$20M-50M",IF(I1519&lt;=100000000,"$50M-100M","$100M+"))))</f>
        <v/>
      </c>
      <c r="P1519" s="21">
        <f>IF(E1519&lt;=90,"90 or less",IF(E1519&lt;=105,"91-105",IF(E1519&lt;=120,"106-120",IF(E1519&lt;=140,"121-140","Over 140"))))</f>
        <v/>
      </c>
      <c r="Q1519" s="28">
        <f>INT(C1519/10)*10</f>
        <v/>
      </c>
    </row>
    <row r="1520">
      <c r="A1520" s="21" t="n">
        <v>1549</v>
      </c>
      <c r="B1520" s="21" t="inlineStr">
        <is>
          <t>Down and Out with the Dolls</t>
        </is>
      </c>
      <c r="C1520" s="21" t="n">
        <v>2001</v>
      </c>
      <c r="D1520" s="21" t="inlineStr">
        <is>
          <t>USA</t>
        </is>
      </c>
      <c r="E1520" s="21" t="n">
        <v>88</v>
      </c>
      <c r="F1520" s="21" t="inlineStr">
        <is>
          <t>English</t>
        </is>
      </c>
      <c r="G1520" s="21" t="inlineStr">
        <is>
          <t>R</t>
        </is>
      </c>
      <c r="H1520" s="22" t="n">
        <v>58936</v>
      </c>
      <c r="I1520" s="22" t="n">
        <v>1200000</v>
      </c>
      <c r="J1520" s="21">
        <f>IF(OR(H1520="",H1520=25529689.5),"Yes","No")</f>
        <v/>
      </c>
      <c r="K1520" s="21">
        <f>IF(AND(D1520="USA",C1520&gt;=1980,J1520="No"),"Yes","No")</f>
        <v/>
      </c>
      <c r="L1520" s="26">
        <f>IF(J1520="Yes","",H1520-I1520)</f>
        <v/>
      </c>
      <c r="M1520" s="27">
        <f>IF(OR(J1520="Yes",I1520=0),"",H1520/I1520)</f>
        <v/>
      </c>
      <c r="N1520" s="21">
        <f>IF(J1520="Yes","",IF(H1520&gt;=I1520,1,0))</f>
        <v/>
      </c>
      <c r="O1520" s="21">
        <f>IF(I1520&lt;=5000000,"Under $5M",IF(I1520&lt;=20000000,"$5M-20M",IF(I1520&lt;=50000000,"$20M-50M",IF(I1520&lt;=100000000,"$50M-100M","$100M+"))))</f>
        <v/>
      </c>
      <c r="P1520" s="21">
        <f>IF(E1520&lt;=90,"90 or less",IF(E1520&lt;=105,"91-105",IF(E1520&lt;=120,"106-120",IF(E1520&lt;=140,"121-140","Over 140"))))</f>
        <v/>
      </c>
      <c r="Q1520" s="28">
        <f>INT(C1520/10)*10</f>
        <v/>
      </c>
    </row>
    <row r="1521">
      <c r="A1521" s="21" t="n">
        <v>1550</v>
      </c>
      <c r="B1521" s="21" t="inlineStr">
        <is>
          <t>Down to Earth</t>
        </is>
      </c>
      <c r="C1521" s="21" t="n">
        <v>2001</v>
      </c>
      <c r="D1521" s="21" t="inlineStr">
        <is>
          <t>USA</t>
        </is>
      </c>
      <c r="E1521" s="21" t="n">
        <v>87</v>
      </c>
      <c r="F1521" s="21" t="inlineStr">
        <is>
          <t>English</t>
        </is>
      </c>
      <c r="G1521" s="21" t="inlineStr">
        <is>
          <t>PG-13</t>
        </is>
      </c>
      <c r="H1521" s="22" t="n">
        <v>64172251</v>
      </c>
      <c r="I1521" s="22" t="n">
        <v>30000000</v>
      </c>
      <c r="J1521" s="21">
        <f>IF(OR(H1521="",H1521=25529689.5),"Yes","No")</f>
        <v/>
      </c>
      <c r="K1521" s="21">
        <f>IF(AND(D1521="USA",C1521&gt;=1980,J1521="No"),"Yes","No")</f>
        <v/>
      </c>
      <c r="L1521" s="26">
        <f>IF(J1521="Yes","",H1521-I1521)</f>
        <v/>
      </c>
      <c r="M1521" s="27">
        <f>IF(OR(J1521="Yes",I1521=0),"",H1521/I1521)</f>
        <v/>
      </c>
      <c r="N1521" s="21">
        <f>IF(J1521="Yes","",IF(H1521&gt;=I1521,1,0))</f>
        <v/>
      </c>
      <c r="O1521" s="21">
        <f>IF(I1521&lt;=5000000,"Under $5M",IF(I1521&lt;=20000000,"$5M-20M",IF(I1521&lt;=50000000,"$20M-50M",IF(I1521&lt;=100000000,"$50M-100M","$100M+"))))</f>
        <v/>
      </c>
      <c r="P1521" s="21">
        <f>IF(E1521&lt;=90,"90 or less",IF(E1521&lt;=105,"91-105",IF(E1521&lt;=120,"106-120",IF(E1521&lt;=140,"121-140","Over 140"))))</f>
        <v/>
      </c>
      <c r="Q1521" s="28">
        <f>INT(C1521/10)*10</f>
        <v/>
      </c>
    </row>
    <row r="1522">
      <c r="A1522" s="21" t="n">
        <v>1551</v>
      </c>
      <c r="B1522" s="21" t="inlineStr">
        <is>
          <t>Dr. Dolittle 2</t>
        </is>
      </c>
      <c r="C1522" s="21" t="n">
        <v>2001</v>
      </c>
      <c r="D1522" s="21" t="inlineStr">
        <is>
          <t>USA</t>
        </is>
      </c>
      <c r="E1522" s="21" t="n">
        <v>87</v>
      </c>
      <c r="F1522" s="21" t="inlineStr">
        <is>
          <t>English</t>
        </is>
      </c>
      <c r="G1522" s="21" t="inlineStr">
        <is>
          <t>PG</t>
        </is>
      </c>
      <c r="H1522" s="22" t="n">
        <v>112950721</v>
      </c>
      <c r="I1522" s="22" t="n">
        <v>72000000</v>
      </c>
      <c r="J1522" s="21">
        <f>IF(OR(H1522="",H1522=25529689.5),"Yes","No")</f>
        <v/>
      </c>
      <c r="K1522" s="21">
        <f>IF(AND(D1522="USA",C1522&gt;=1980,J1522="No"),"Yes","No")</f>
        <v/>
      </c>
      <c r="L1522" s="26">
        <f>IF(J1522="Yes","",H1522-I1522)</f>
        <v/>
      </c>
      <c r="M1522" s="27">
        <f>IF(OR(J1522="Yes",I1522=0),"",H1522/I1522)</f>
        <v/>
      </c>
      <c r="N1522" s="21">
        <f>IF(J1522="Yes","",IF(H1522&gt;=I1522,1,0))</f>
        <v/>
      </c>
      <c r="O1522" s="21">
        <f>IF(I1522&lt;=5000000,"Under $5M",IF(I1522&lt;=20000000,"$5M-20M",IF(I1522&lt;=50000000,"$20M-50M",IF(I1522&lt;=100000000,"$50M-100M","$100M+"))))</f>
        <v/>
      </c>
      <c r="P1522" s="21">
        <f>IF(E1522&lt;=90,"90 or less",IF(E1522&lt;=105,"91-105",IF(E1522&lt;=120,"106-120",IF(E1522&lt;=140,"121-140","Over 140"))))</f>
        <v/>
      </c>
      <c r="Q1522" s="28">
        <f>INT(C1522/10)*10</f>
        <v/>
      </c>
    </row>
    <row r="1523">
      <c r="A1523" s="21" t="n">
        <v>1552</v>
      </c>
      <c r="B1523" s="21" t="inlineStr">
        <is>
          <t>Driven</t>
        </is>
      </c>
      <c r="C1523" s="21" t="n">
        <v>2001</v>
      </c>
      <c r="D1523" s="21" t="inlineStr">
        <is>
          <t>USA</t>
        </is>
      </c>
      <c r="E1523" s="21" t="n">
        <v>116</v>
      </c>
      <c r="F1523" s="21" t="inlineStr">
        <is>
          <t>English</t>
        </is>
      </c>
      <c r="G1523" s="21" t="inlineStr">
        <is>
          <t>PG-13</t>
        </is>
      </c>
      <c r="H1523" s="22" t="n">
        <v>32616869</v>
      </c>
      <c r="I1523" s="22" t="n">
        <v>72000000</v>
      </c>
      <c r="J1523" s="21">
        <f>IF(OR(H1523="",H1523=25529689.5),"Yes","No")</f>
        <v/>
      </c>
      <c r="K1523" s="21">
        <f>IF(AND(D1523="USA",C1523&gt;=1980,J1523="No"),"Yes","No")</f>
        <v/>
      </c>
      <c r="L1523" s="26">
        <f>IF(J1523="Yes","",H1523-I1523)</f>
        <v/>
      </c>
      <c r="M1523" s="27">
        <f>IF(OR(J1523="Yes",I1523=0),"",H1523/I1523)</f>
        <v/>
      </c>
      <c r="N1523" s="21">
        <f>IF(J1523="Yes","",IF(H1523&gt;=I1523,1,0))</f>
        <v/>
      </c>
      <c r="O1523" s="21">
        <f>IF(I1523&lt;=5000000,"Under $5M",IF(I1523&lt;=20000000,"$5M-20M",IF(I1523&lt;=50000000,"$20M-50M",IF(I1523&lt;=100000000,"$50M-100M","$100M+"))))</f>
        <v/>
      </c>
      <c r="P1523" s="21">
        <f>IF(E1523&lt;=90,"90 or less",IF(E1523&lt;=105,"91-105",IF(E1523&lt;=120,"106-120",IF(E1523&lt;=140,"121-140","Over 140"))))</f>
        <v/>
      </c>
      <c r="Q1523" s="28">
        <f>INT(C1523/10)*10</f>
        <v/>
      </c>
    </row>
    <row r="1524">
      <c r="A1524" s="21" t="n">
        <v>1553</v>
      </c>
      <c r="B1524" s="21" t="inlineStr">
        <is>
          <t>Elling</t>
        </is>
      </c>
      <c r="C1524" s="21" t="n">
        <v>2001</v>
      </c>
      <c r="D1524" s="21" t="inlineStr">
        <is>
          <t>Norway</t>
        </is>
      </c>
      <c r="E1524" s="21" t="n">
        <v>89</v>
      </c>
      <c r="F1524" s="21" t="inlineStr">
        <is>
          <t>Norwegian</t>
        </is>
      </c>
      <c r="G1524" s="21" t="inlineStr">
        <is>
          <t>R</t>
        </is>
      </c>
      <c r="H1524" s="22" t="n">
        <v>313436</v>
      </c>
      <c r="I1524" s="22" t="n">
        <v>15500000</v>
      </c>
      <c r="J1524" s="21">
        <f>IF(OR(H1524="",H1524=25529689.5),"Yes","No")</f>
        <v/>
      </c>
      <c r="K1524" s="21">
        <f>IF(AND(D1524="USA",C1524&gt;=1980,J1524="No"),"Yes","No")</f>
        <v/>
      </c>
      <c r="L1524" s="26">
        <f>IF(J1524="Yes","",H1524-I1524)</f>
        <v/>
      </c>
      <c r="M1524" s="27">
        <f>IF(OR(J1524="Yes",I1524=0),"",H1524/I1524)</f>
        <v/>
      </c>
      <c r="N1524" s="21">
        <f>IF(J1524="Yes","",IF(H1524&gt;=I1524,1,0))</f>
        <v/>
      </c>
      <c r="O1524" s="21">
        <f>IF(I1524&lt;=5000000,"Under $5M",IF(I1524&lt;=20000000,"$5M-20M",IF(I1524&lt;=50000000,"$20M-50M",IF(I1524&lt;=100000000,"$50M-100M","$100M+"))))</f>
        <v/>
      </c>
      <c r="P1524" s="21">
        <f>IF(E1524&lt;=90,"90 or less",IF(E1524&lt;=105,"91-105",IF(E1524&lt;=120,"106-120",IF(E1524&lt;=140,"121-140","Over 140"))))</f>
        <v/>
      </c>
      <c r="Q1524" s="28">
        <f>INT(C1524/10)*10</f>
        <v/>
      </c>
    </row>
    <row r="1525">
      <c r="A1525" s="21" t="n">
        <v>1554</v>
      </c>
      <c r="B1525" s="21" t="inlineStr">
        <is>
          <t>Enemy at the Gates</t>
        </is>
      </c>
      <c r="C1525" s="21" t="n">
        <v>2001</v>
      </c>
      <c r="D1525" s="21" t="inlineStr">
        <is>
          <t>USA</t>
        </is>
      </c>
      <c r="E1525" s="21" t="n">
        <v>131</v>
      </c>
      <c r="F1525" s="21" t="inlineStr">
        <is>
          <t>English</t>
        </is>
      </c>
      <c r="G1525" s="21" t="inlineStr">
        <is>
          <t>R</t>
        </is>
      </c>
      <c r="H1525" s="22" t="n">
        <v>51396781</v>
      </c>
      <c r="I1525" s="22" t="n">
        <v>68000000</v>
      </c>
      <c r="J1525" s="21">
        <f>IF(OR(H1525="",H1525=25529689.5),"Yes","No")</f>
        <v/>
      </c>
      <c r="K1525" s="21">
        <f>IF(AND(D1525="USA",C1525&gt;=1980,J1525="No"),"Yes","No")</f>
        <v/>
      </c>
      <c r="L1525" s="26">
        <f>IF(J1525="Yes","",H1525-I1525)</f>
        <v/>
      </c>
      <c r="M1525" s="27">
        <f>IF(OR(J1525="Yes",I1525=0),"",H1525/I1525)</f>
        <v/>
      </c>
      <c r="N1525" s="21">
        <f>IF(J1525="Yes","",IF(H1525&gt;=I1525,1,0))</f>
        <v/>
      </c>
      <c r="O1525" s="21">
        <f>IF(I1525&lt;=5000000,"Under $5M",IF(I1525&lt;=20000000,"$5M-20M",IF(I1525&lt;=50000000,"$20M-50M",IF(I1525&lt;=100000000,"$50M-100M","$100M+"))))</f>
        <v/>
      </c>
      <c r="P1525" s="21">
        <f>IF(E1525&lt;=90,"90 or less",IF(E1525&lt;=105,"91-105",IF(E1525&lt;=120,"106-120",IF(E1525&lt;=140,"121-140","Over 140"))))</f>
        <v/>
      </c>
      <c r="Q1525" s="28">
        <f>INT(C1525/10)*10</f>
        <v/>
      </c>
    </row>
    <row r="1526">
      <c r="A1526" s="21" t="n">
        <v>1555</v>
      </c>
      <c r="B1526" s="21" t="inlineStr">
        <is>
          <t>Exit Wounds</t>
        </is>
      </c>
      <c r="C1526" s="21" t="n">
        <v>2001</v>
      </c>
      <c r="D1526" s="21" t="inlineStr">
        <is>
          <t>USA</t>
        </is>
      </c>
      <c r="E1526" s="21" t="n">
        <v>101</v>
      </c>
      <c r="F1526" s="21" t="inlineStr">
        <is>
          <t>English</t>
        </is>
      </c>
      <c r="G1526" s="21" t="inlineStr">
        <is>
          <t>R</t>
        </is>
      </c>
      <c r="H1526" s="22" t="n">
        <v>51758599</v>
      </c>
      <c r="I1526" s="22" t="n">
        <v>33000000</v>
      </c>
      <c r="J1526" s="21">
        <f>IF(OR(H1526="",H1526=25529689.5),"Yes","No")</f>
        <v/>
      </c>
      <c r="K1526" s="21">
        <f>IF(AND(D1526="USA",C1526&gt;=1980,J1526="No"),"Yes","No")</f>
        <v/>
      </c>
      <c r="L1526" s="26">
        <f>IF(J1526="Yes","",H1526-I1526)</f>
        <v/>
      </c>
      <c r="M1526" s="27">
        <f>IF(OR(J1526="Yes",I1526=0),"",H1526/I1526)</f>
        <v/>
      </c>
      <c r="N1526" s="21">
        <f>IF(J1526="Yes","",IF(H1526&gt;=I1526,1,0))</f>
        <v/>
      </c>
      <c r="O1526" s="21">
        <f>IF(I1526&lt;=5000000,"Under $5M",IF(I1526&lt;=20000000,"$5M-20M",IF(I1526&lt;=50000000,"$20M-50M",IF(I1526&lt;=100000000,"$50M-100M","$100M+"))))</f>
        <v/>
      </c>
      <c r="P1526" s="21">
        <f>IF(E1526&lt;=90,"90 or less",IF(E1526&lt;=105,"91-105",IF(E1526&lt;=120,"106-120",IF(E1526&lt;=140,"121-140","Over 140"))))</f>
        <v/>
      </c>
      <c r="Q1526" s="28">
        <f>INT(C1526/10)*10</f>
        <v/>
      </c>
    </row>
    <row r="1527">
      <c r="A1527" s="21" t="n">
        <v>1556</v>
      </c>
      <c r="B1527" s="21" t="inlineStr">
        <is>
          <t>Final Fantasy: The Spirits Within</t>
        </is>
      </c>
      <c r="C1527" s="21" t="n">
        <v>2001</v>
      </c>
      <c r="D1527" s="21" t="inlineStr">
        <is>
          <t>USA</t>
        </is>
      </c>
      <c r="E1527" s="21" t="n">
        <v>106</v>
      </c>
      <c r="F1527" s="21" t="inlineStr">
        <is>
          <t>English</t>
        </is>
      </c>
      <c r="G1527" s="21" t="inlineStr">
        <is>
          <t>PG-13</t>
        </is>
      </c>
      <c r="H1527" s="22" t="n">
        <v>32131830</v>
      </c>
      <c r="I1527" s="22" t="n">
        <v>137000000</v>
      </c>
      <c r="J1527" s="21">
        <f>IF(OR(H1527="",H1527=25529689.5),"Yes","No")</f>
        <v/>
      </c>
      <c r="K1527" s="21">
        <f>IF(AND(D1527="USA",C1527&gt;=1980,J1527="No"),"Yes","No")</f>
        <v/>
      </c>
      <c r="L1527" s="26">
        <f>IF(J1527="Yes","",H1527-I1527)</f>
        <v/>
      </c>
      <c r="M1527" s="27">
        <f>IF(OR(J1527="Yes",I1527=0),"",H1527/I1527)</f>
        <v/>
      </c>
      <c r="N1527" s="21">
        <f>IF(J1527="Yes","",IF(H1527&gt;=I1527,1,0))</f>
        <v/>
      </c>
      <c r="O1527" s="21">
        <f>IF(I1527&lt;=5000000,"Under $5M",IF(I1527&lt;=20000000,"$5M-20M",IF(I1527&lt;=50000000,"$20M-50M",IF(I1527&lt;=100000000,"$50M-100M","$100M+"))))</f>
        <v/>
      </c>
      <c r="P1527" s="21">
        <f>IF(E1527&lt;=90,"90 or less",IF(E1527&lt;=105,"91-105",IF(E1527&lt;=120,"106-120",IF(E1527&lt;=140,"121-140","Over 140"))))</f>
        <v/>
      </c>
      <c r="Q1527" s="28">
        <f>INT(C1527/10)*10</f>
        <v/>
      </c>
    </row>
    <row r="1528">
      <c r="A1528" s="21" t="n">
        <v>1557</v>
      </c>
      <c r="B1528" s="21" t="inlineStr">
        <is>
          <t>Formula 51</t>
        </is>
      </c>
      <c r="C1528" s="21" t="n">
        <v>2001</v>
      </c>
      <c r="D1528" s="21" t="inlineStr">
        <is>
          <t>UK</t>
        </is>
      </c>
      <c r="E1528" s="21" t="n">
        <v>93</v>
      </c>
      <c r="F1528" s="21" t="inlineStr">
        <is>
          <t>English</t>
        </is>
      </c>
      <c r="G1528" s="21" t="inlineStr">
        <is>
          <t>R</t>
        </is>
      </c>
      <c r="H1528" s="22" t="n">
        <v>5204007</v>
      </c>
      <c r="I1528" s="22" t="n">
        <v>28000000</v>
      </c>
      <c r="J1528" s="21">
        <f>IF(OR(H1528="",H1528=25529689.5),"Yes","No")</f>
        <v/>
      </c>
      <c r="K1528" s="21">
        <f>IF(AND(D1528="USA",C1528&gt;=1980,J1528="No"),"Yes","No")</f>
        <v/>
      </c>
      <c r="L1528" s="26">
        <f>IF(J1528="Yes","",H1528-I1528)</f>
        <v/>
      </c>
      <c r="M1528" s="27">
        <f>IF(OR(J1528="Yes",I1528=0),"",H1528/I1528)</f>
        <v/>
      </c>
      <c r="N1528" s="21">
        <f>IF(J1528="Yes","",IF(H1528&gt;=I1528,1,0))</f>
        <v/>
      </c>
      <c r="O1528" s="21">
        <f>IF(I1528&lt;=5000000,"Under $5M",IF(I1528&lt;=20000000,"$5M-20M",IF(I1528&lt;=50000000,"$20M-50M",IF(I1528&lt;=100000000,"$50M-100M","$100M+"))))</f>
        <v/>
      </c>
      <c r="P1528" s="21">
        <f>IF(E1528&lt;=90,"90 or less",IF(E1528&lt;=105,"91-105",IF(E1528&lt;=120,"106-120",IF(E1528&lt;=140,"121-140","Over 140"))))</f>
        <v/>
      </c>
      <c r="Q1528" s="28">
        <f>INT(C1528/10)*10</f>
        <v/>
      </c>
    </row>
    <row r="1529">
      <c r="A1529" s="21" t="n">
        <v>1558</v>
      </c>
      <c r="B1529" s="21" t="inlineStr">
        <is>
          <t>Frailty</t>
        </is>
      </c>
      <c r="C1529" s="21" t="n">
        <v>2001</v>
      </c>
      <c r="D1529" s="21" t="inlineStr">
        <is>
          <t>USA</t>
        </is>
      </c>
      <c r="E1529" s="21" t="n">
        <v>100</v>
      </c>
      <c r="F1529" s="21" t="inlineStr">
        <is>
          <t>English</t>
        </is>
      </c>
      <c r="G1529" s="21" t="inlineStr">
        <is>
          <t>R</t>
        </is>
      </c>
      <c r="H1529" s="22" t="n">
        <v>13103828</v>
      </c>
      <c r="I1529" s="22" t="n">
        <v>11000000</v>
      </c>
      <c r="J1529" s="21">
        <f>IF(OR(H1529="",H1529=25529689.5),"Yes","No")</f>
        <v/>
      </c>
      <c r="K1529" s="21">
        <f>IF(AND(D1529="USA",C1529&gt;=1980,J1529="No"),"Yes","No")</f>
        <v/>
      </c>
      <c r="L1529" s="26">
        <f>IF(J1529="Yes","",H1529-I1529)</f>
        <v/>
      </c>
      <c r="M1529" s="27">
        <f>IF(OR(J1529="Yes",I1529=0),"",H1529/I1529)</f>
        <v/>
      </c>
      <c r="N1529" s="21">
        <f>IF(J1529="Yes","",IF(H1529&gt;=I1529,1,0))</f>
        <v/>
      </c>
      <c r="O1529" s="21">
        <f>IF(I1529&lt;=5000000,"Under $5M",IF(I1529&lt;=20000000,"$5M-20M",IF(I1529&lt;=50000000,"$20M-50M",IF(I1529&lt;=100000000,"$50M-100M","$100M+"))))</f>
        <v/>
      </c>
      <c r="P1529" s="21">
        <f>IF(E1529&lt;=90,"90 or less",IF(E1529&lt;=105,"91-105",IF(E1529&lt;=120,"106-120",IF(E1529&lt;=140,"121-140","Over 140"))))</f>
        <v/>
      </c>
      <c r="Q1529" s="28">
        <f>INT(C1529/10)*10</f>
        <v/>
      </c>
    </row>
    <row r="1530">
      <c r="A1530" s="21" t="n">
        <v>1559</v>
      </c>
      <c r="B1530" s="21" t="inlineStr">
        <is>
          <t>Freddy Got Fingered</t>
        </is>
      </c>
      <c r="C1530" s="21" t="n">
        <v>2001</v>
      </c>
      <c r="D1530" s="21" t="inlineStr">
        <is>
          <t>USA</t>
        </is>
      </c>
      <c r="E1530" s="21" t="n">
        <v>87</v>
      </c>
      <c r="F1530" s="21" t="inlineStr">
        <is>
          <t>English</t>
        </is>
      </c>
      <c r="G1530" s="21" t="inlineStr">
        <is>
          <t>R</t>
        </is>
      </c>
      <c r="H1530" s="22" t="n">
        <v>14249005</v>
      </c>
      <c r="I1530" s="22" t="n">
        <v>15000000</v>
      </c>
      <c r="J1530" s="21">
        <f>IF(OR(H1530="",H1530=25529689.5),"Yes","No")</f>
        <v/>
      </c>
      <c r="K1530" s="21">
        <f>IF(AND(D1530="USA",C1530&gt;=1980,J1530="No"),"Yes","No")</f>
        <v/>
      </c>
      <c r="L1530" s="26">
        <f>IF(J1530="Yes","",H1530-I1530)</f>
        <v/>
      </c>
      <c r="M1530" s="27">
        <f>IF(OR(J1530="Yes",I1530=0),"",H1530/I1530)</f>
        <v/>
      </c>
      <c r="N1530" s="21">
        <f>IF(J1530="Yes","",IF(H1530&gt;=I1530,1,0))</f>
        <v/>
      </c>
      <c r="O1530" s="21">
        <f>IF(I1530&lt;=5000000,"Under $5M",IF(I1530&lt;=20000000,"$5M-20M",IF(I1530&lt;=50000000,"$20M-50M",IF(I1530&lt;=100000000,"$50M-100M","$100M+"))))</f>
        <v/>
      </c>
      <c r="P1530" s="21">
        <f>IF(E1530&lt;=90,"90 or less",IF(E1530&lt;=105,"91-105",IF(E1530&lt;=120,"106-120",IF(E1530&lt;=140,"121-140","Over 140"))))</f>
        <v/>
      </c>
      <c r="Q1530" s="28">
        <f>INT(C1530/10)*10</f>
        <v/>
      </c>
    </row>
    <row r="1531">
      <c r="A1531" s="21" t="n">
        <v>1560</v>
      </c>
      <c r="B1531" s="21" t="inlineStr">
        <is>
          <t>From Hell</t>
        </is>
      </c>
      <c r="C1531" s="21" t="n">
        <v>2001</v>
      </c>
      <c r="D1531" s="21" t="inlineStr">
        <is>
          <t>USA</t>
        </is>
      </c>
      <c r="E1531" s="21" t="n">
        <v>122</v>
      </c>
      <c r="F1531" s="21" t="inlineStr">
        <is>
          <t>English</t>
        </is>
      </c>
      <c r="G1531" s="21" t="inlineStr">
        <is>
          <t>R</t>
        </is>
      </c>
      <c r="H1531" s="22" t="n">
        <v>31598308</v>
      </c>
      <c r="I1531" s="22" t="n">
        <v>35000000</v>
      </c>
      <c r="J1531" s="21">
        <f>IF(OR(H1531="",H1531=25529689.5),"Yes","No")</f>
        <v/>
      </c>
      <c r="K1531" s="21">
        <f>IF(AND(D1531="USA",C1531&gt;=1980,J1531="No"),"Yes","No")</f>
        <v/>
      </c>
      <c r="L1531" s="26">
        <f>IF(J1531="Yes","",H1531-I1531)</f>
        <v/>
      </c>
      <c r="M1531" s="27">
        <f>IF(OR(J1531="Yes",I1531=0),"",H1531/I1531)</f>
        <v/>
      </c>
      <c r="N1531" s="21">
        <f>IF(J1531="Yes","",IF(H1531&gt;=I1531,1,0))</f>
        <v/>
      </c>
      <c r="O1531" s="21">
        <f>IF(I1531&lt;=5000000,"Under $5M",IF(I1531&lt;=20000000,"$5M-20M",IF(I1531&lt;=50000000,"$20M-50M",IF(I1531&lt;=100000000,"$50M-100M","$100M+"))))</f>
        <v/>
      </c>
      <c r="P1531" s="21">
        <f>IF(E1531&lt;=90,"90 or less",IF(E1531&lt;=105,"91-105",IF(E1531&lt;=120,"106-120",IF(E1531&lt;=140,"121-140","Over 140"))))</f>
        <v/>
      </c>
      <c r="Q1531" s="28">
        <f>INT(C1531/10)*10</f>
        <v/>
      </c>
    </row>
    <row r="1532">
      <c r="A1532" s="21" t="n">
        <v>1562</v>
      </c>
      <c r="B1532" s="21" t="inlineStr">
        <is>
          <t>Get Over It</t>
        </is>
      </c>
      <c r="C1532" s="21" t="n">
        <v>2001</v>
      </c>
      <c r="D1532" s="21" t="inlineStr">
        <is>
          <t>USA</t>
        </is>
      </c>
      <c r="E1532" s="21" t="n">
        <v>87</v>
      </c>
      <c r="F1532" s="21" t="inlineStr">
        <is>
          <t>English</t>
        </is>
      </c>
      <c r="G1532" s="21" t="inlineStr">
        <is>
          <t>PG-13</t>
        </is>
      </c>
      <c r="H1532" s="22" t="n">
        <v>11560259</v>
      </c>
      <c r="I1532" s="22" t="n">
        <v>22000000</v>
      </c>
      <c r="J1532" s="21">
        <f>IF(OR(H1532="",H1532=25529689.5),"Yes","No")</f>
        <v/>
      </c>
      <c r="K1532" s="21">
        <f>IF(AND(D1532="USA",C1532&gt;=1980,J1532="No"),"Yes","No")</f>
        <v/>
      </c>
      <c r="L1532" s="26">
        <f>IF(J1532="Yes","",H1532-I1532)</f>
        <v/>
      </c>
      <c r="M1532" s="27">
        <f>IF(OR(J1532="Yes",I1532=0),"",H1532/I1532)</f>
        <v/>
      </c>
      <c r="N1532" s="21">
        <f>IF(J1532="Yes","",IF(H1532&gt;=I1532,1,0))</f>
        <v/>
      </c>
      <c r="O1532" s="21">
        <f>IF(I1532&lt;=5000000,"Under $5M",IF(I1532&lt;=20000000,"$5M-20M",IF(I1532&lt;=50000000,"$20M-50M",IF(I1532&lt;=100000000,"$50M-100M","$100M+"))))</f>
        <v/>
      </c>
      <c r="P1532" s="21">
        <f>IF(E1532&lt;=90,"90 or less",IF(E1532&lt;=105,"91-105",IF(E1532&lt;=120,"106-120",IF(E1532&lt;=140,"121-140","Over 140"))))</f>
        <v/>
      </c>
      <c r="Q1532" s="28">
        <f>INT(C1532/10)*10</f>
        <v/>
      </c>
    </row>
    <row r="1533">
      <c r="A1533" s="21" t="n">
        <v>1563</v>
      </c>
      <c r="B1533" s="21" t="inlineStr">
        <is>
          <t>Ghost World</t>
        </is>
      </c>
      <c r="C1533" s="21" t="n">
        <v>2001</v>
      </c>
      <c r="D1533" s="21" t="inlineStr">
        <is>
          <t>USA</t>
        </is>
      </c>
      <c r="E1533" s="21" t="n">
        <v>111</v>
      </c>
      <c r="F1533" s="21" t="inlineStr">
        <is>
          <t>English</t>
        </is>
      </c>
      <c r="G1533" s="21" t="inlineStr">
        <is>
          <t>R</t>
        </is>
      </c>
      <c r="H1533" s="22" t="n">
        <v>6200756</v>
      </c>
      <c r="I1533" s="22" t="n">
        <v>7000000</v>
      </c>
      <c r="J1533" s="21">
        <f>IF(OR(H1533="",H1533=25529689.5),"Yes","No")</f>
        <v/>
      </c>
      <c r="K1533" s="21">
        <f>IF(AND(D1533="USA",C1533&gt;=1980,J1533="No"),"Yes","No")</f>
        <v/>
      </c>
      <c r="L1533" s="26">
        <f>IF(J1533="Yes","",H1533-I1533)</f>
        <v/>
      </c>
      <c r="M1533" s="27">
        <f>IF(OR(J1533="Yes",I1533=0),"",H1533/I1533)</f>
        <v/>
      </c>
      <c r="N1533" s="21">
        <f>IF(J1533="Yes","",IF(H1533&gt;=I1533,1,0))</f>
        <v/>
      </c>
      <c r="O1533" s="21">
        <f>IF(I1533&lt;=5000000,"Under $5M",IF(I1533&lt;=20000000,"$5M-20M",IF(I1533&lt;=50000000,"$20M-50M",IF(I1533&lt;=100000000,"$50M-100M","$100M+"))))</f>
        <v/>
      </c>
      <c r="P1533" s="21">
        <f>IF(E1533&lt;=90,"90 or less",IF(E1533&lt;=105,"91-105",IF(E1533&lt;=120,"106-120",IF(E1533&lt;=140,"121-140","Over 140"))))</f>
        <v/>
      </c>
      <c r="Q1533" s="28">
        <f>INT(C1533/10)*10</f>
        <v/>
      </c>
    </row>
    <row r="1534">
      <c r="A1534" s="21" t="n">
        <v>1564</v>
      </c>
      <c r="B1534" s="21" t="inlineStr">
        <is>
          <t>Ghosts of Mars</t>
        </is>
      </c>
      <c r="C1534" s="21" t="n">
        <v>2001</v>
      </c>
      <c r="D1534" s="21" t="inlineStr">
        <is>
          <t>USA</t>
        </is>
      </c>
      <c r="E1534" s="21" t="n">
        <v>98</v>
      </c>
      <c r="F1534" s="21" t="inlineStr">
        <is>
          <t>English</t>
        </is>
      </c>
      <c r="G1534" s="21" t="inlineStr">
        <is>
          <t>R</t>
        </is>
      </c>
      <c r="H1534" s="22" t="n">
        <v>8434601</v>
      </c>
      <c r="I1534" s="22" t="n">
        <v>28000000</v>
      </c>
      <c r="J1534" s="21">
        <f>IF(OR(H1534="",H1534=25529689.5),"Yes","No")</f>
        <v/>
      </c>
      <c r="K1534" s="21">
        <f>IF(AND(D1534="USA",C1534&gt;=1980,J1534="No"),"Yes","No")</f>
        <v/>
      </c>
      <c r="L1534" s="26">
        <f>IF(J1534="Yes","",H1534-I1534)</f>
        <v/>
      </c>
      <c r="M1534" s="27">
        <f>IF(OR(J1534="Yes",I1534=0),"",H1534/I1534)</f>
        <v/>
      </c>
      <c r="N1534" s="21">
        <f>IF(J1534="Yes","",IF(H1534&gt;=I1534,1,0))</f>
        <v/>
      </c>
      <c r="O1534" s="21">
        <f>IF(I1534&lt;=5000000,"Under $5M",IF(I1534&lt;=20000000,"$5M-20M",IF(I1534&lt;=50000000,"$20M-50M",IF(I1534&lt;=100000000,"$50M-100M","$100M+"))))</f>
        <v/>
      </c>
      <c r="P1534" s="21">
        <f>IF(E1534&lt;=90,"90 or less",IF(E1534&lt;=105,"91-105",IF(E1534&lt;=120,"106-120",IF(E1534&lt;=140,"121-140","Over 140"))))</f>
        <v/>
      </c>
      <c r="Q1534" s="28">
        <f>INT(C1534/10)*10</f>
        <v/>
      </c>
    </row>
    <row r="1535">
      <c r="A1535" s="21" t="n">
        <v>1565</v>
      </c>
      <c r="B1535" s="21" t="inlineStr">
        <is>
          <t>Glitter</t>
        </is>
      </c>
      <c r="C1535" s="21" t="n">
        <v>2001</v>
      </c>
      <c r="D1535" s="21" t="inlineStr">
        <is>
          <t>USA</t>
        </is>
      </c>
      <c r="E1535" s="21" t="n">
        <v>104</v>
      </c>
      <c r="F1535" s="21" t="inlineStr">
        <is>
          <t>English</t>
        </is>
      </c>
      <c r="G1535" s="21" t="inlineStr">
        <is>
          <t>PG-13</t>
        </is>
      </c>
      <c r="H1535" s="22" t="n">
        <v>4273372</v>
      </c>
      <c r="I1535" s="22" t="n">
        <v>22000000</v>
      </c>
      <c r="J1535" s="21">
        <f>IF(OR(H1535="",H1535=25529689.5),"Yes","No")</f>
        <v/>
      </c>
      <c r="K1535" s="21">
        <f>IF(AND(D1535="USA",C1535&gt;=1980,J1535="No"),"Yes","No")</f>
        <v/>
      </c>
      <c r="L1535" s="26">
        <f>IF(J1535="Yes","",H1535-I1535)</f>
        <v/>
      </c>
      <c r="M1535" s="27">
        <f>IF(OR(J1535="Yes",I1535=0),"",H1535/I1535)</f>
        <v/>
      </c>
      <c r="N1535" s="21">
        <f>IF(J1535="Yes","",IF(H1535&gt;=I1535,1,0))</f>
        <v/>
      </c>
      <c r="O1535" s="21">
        <f>IF(I1535&lt;=5000000,"Under $5M",IF(I1535&lt;=20000000,"$5M-20M",IF(I1535&lt;=50000000,"$20M-50M",IF(I1535&lt;=100000000,"$50M-100M","$100M+"))))</f>
        <v/>
      </c>
      <c r="P1535" s="21">
        <f>IF(E1535&lt;=90,"90 or less",IF(E1535&lt;=105,"91-105",IF(E1535&lt;=120,"106-120",IF(E1535&lt;=140,"121-140","Over 140"))))</f>
        <v/>
      </c>
      <c r="Q1535" s="28">
        <f>INT(C1535/10)*10</f>
        <v/>
      </c>
    </row>
    <row r="1536">
      <c r="A1536" s="21" t="n">
        <v>1566</v>
      </c>
      <c r="B1536" s="21" t="inlineStr">
        <is>
          <t>Gosford Park</t>
        </is>
      </c>
      <c r="C1536" s="21" t="n">
        <v>2001</v>
      </c>
      <c r="D1536" s="21" t="inlineStr">
        <is>
          <t>UK</t>
        </is>
      </c>
      <c r="E1536" s="21" t="n">
        <v>131</v>
      </c>
      <c r="F1536" s="21" t="inlineStr">
        <is>
          <t>English</t>
        </is>
      </c>
      <c r="G1536" s="21" t="inlineStr">
        <is>
          <t>R</t>
        </is>
      </c>
      <c r="H1536" s="22" t="n">
        <v>41300105</v>
      </c>
      <c r="I1536" s="22" t="n">
        <v>19800000</v>
      </c>
      <c r="J1536" s="21">
        <f>IF(OR(H1536="",H1536=25529689.5),"Yes","No")</f>
        <v/>
      </c>
      <c r="K1536" s="21">
        <f>IF(AND(D1536="USA",C1536&gt;=1980,J1536="No"),"Yes","No")</f>
        <v/>
      </c>
      <c r="L1536" s="26">
        <f>IF(J1536="Yes","",H1536-I1536)</f>
        <v/>
      </c>
      <c r="M1536" s="27">
        <f>IF(OR(J1536="Yes",I1536=0),"",H1536/I1536)</f>
        <v/>
      </c>
      <c r="N1536" s="21">
        <f>IF(J1536="Yes","",IF(H1536&gt;=I1536,1,0))</f>
        <v/>
      </c>
      <c r="O1536" s="21">
        <f>IF(I1536&lt;=5000000,"Under $5M",IF(I1536&lt;=20000000,"$5M-20M",IF(I1536&lt;=50000000,"$20M-50M",IF(I1536&lt;=100000000,"$50M-100M","$100M+"))))</f>
        <v/>
      </c>
      <c r="P1536" s="21">
        <f>IF(E1536&lt;=90,"90 or less",IF(E1536&lt;=105,"91-105",IF(E1536&lt;=120,"106-120",IF(E1536&lt;=140,"121-140","Over 140"))))</f>
        <v/>
      </c>
      <c r="Q1536" s="28">
        <f>INT(C1536/10)*10</f>
        <v/>
      </c>
    </row>
    <row r="1537">
      <c r="A1537" s="21" t="n">
        <v>1567</v>
      </c>
      <c r="B1537" s="21" t="inlineStr">
        <is>
          <t>Hardball</t>
        </is>
      </c>
      <c r="C1537" s="21" t="n">
        <v>2001</v>
      </c>
      <c r="D1537" s="21" t="inlineStr">
        <is>
          <t>USA</t>
        </is>
      </c>
      <c r="E1537" s="21" t="n">
        <v>106</v>
      </c>
      <c r="F1537" s="21" t="inlineStr">
        <is>
          <t>English</t>
        </is>
      </c>
      <c r="G1537" s="21" t="inlineStr">
        <is>
          <t>PG-13</t>
        </is>
      </c>
      <c r="H1537" s="22" t="n">
        <v>40219708</v>
      </c>
      <c r="I1537" s="22" t="n">
        <v>21000000</v>
      </c>
      <c r="J1537" s="21">
        <f>IF(OR(H1537="",H1537=25529689.5),"Yes","No")</f>
        <v/>
      </c>
      <c r="K1537" s="21">
        <f>IF(AND(D1537="USA",C1537&gt;=1980,J1537="No"),"Yes","No")</f>
        <v/>
      </c>
      <c r="L1537" s="26">
        <f>IF(J1537="Yes","",H1537-I1537)</f>
        <v/>
      </c>
      <c r="M1537" s="27">
        <f>IF(OR(J1537="Yes",I1537=0),"",H1537/I1537)</f>
        <v/>
      </c>
      <c r="N1537" s="21">
        <f>IF(J1537="Yes","",IF(H1537&gt;=I1537,1,0))</f>
        <v/>
      </c>
      <c r="O1537" s="21">
        <f>IF(I1537&lt;=5000000,"Under $5M",IF(I1537&lt;=20000000,"$5M-20M",IF(I1537&lt;=50000000,"$20M-50M",IF(I1537&lt;=100000000,"$50M-100M","$100M+"))))</f>
        <v/>
      </c>
      <c r="P1537" s="21">
        <f>IF(E1537&lt;=90,"90 or less",IF(E1537&lt;=105,"91-105",IF(E1537&lt;=120,"106-120",IF(E1537&lt;=140,"121-140","Over 140"))))</f>
        <v/>
      </c>
      <c r="Q1537" s="28">
        <f>INT(C1537/10)*10</f>
        <v/>
      </c>
    </row>
    <row r="1538">
      <c r="A1538" s="21" t="n">
        <v>1568</v>
      </c>
      <c r="B1538" s="21" t="inlineStr">
        <is>
          <t>Harry Potter and the Sorcerer's Stone</t>
        </is>
      </c>
      <c r="C1538" s="21" t="n">
        <v>2001</v>
      </c>
      <c r="D1538" s="21" t="inlineStr">
        <is>
          <t>UK</t>
        </is>
      </c>
      <c r="E1538" s="21" t="n">
        <v>159</v>
      </c>
      <c r="F1538" s="21" t="inlineStr">
        <is>
          <t>English</t>
        </is>
      </c>
      <c r="G1538" s="21" t="inlineStr">
        <is>
          <t>PG</t>
        </is>
      </c>
      <c r="H1538" s="22" t="n">
        <v>317557891</v>
      </c>
      <c r="I1538" s="22" t="n">
        <v>125000000</v>
      </c>
      <c r="J1538" s="21">
        <f>IF(OR(H1538="",H1538=25529689.5),"Yes","No")</f>
        <v/>
      </c>
      <c r="K1538" s="21">
        <f>IF(AND(D1538="USA",C1538&gt;=1980,J1538="No"),"Yes","No")</f>
        <v/>
      </c>
      <c r="L1538" s="26">
        <f>IF(J1538="Yes","",H1538-I1538)</f>
        <v/>
      </c>
      <c r="M1538" s="27">
        <f>IF(OR(J1538="Yes",I1538=0),"",H1538/I1538)</f>
        <v/>
      </c>
      <c r="N1538" s="21">
        <f>IF(J1538="Yes","",IF(H1538&gt;=I1538,1,0))</f>
        <v/>
      </c>
      <c r="O1538" s="21">
        <f>IF(I1538&lt;=5000000,"Under $5M",IF(I1538&lt;=20000000,"$5M-20M",IF(I1538&lt;=50000000,"$20M-50M",IF(I1538&lt;=100000000,"$50M-100M","$100M+"))))</f>
        <v/>
      </c>
      <c r="P1538" s="21">
        <f>IF(E1538&lt;=90,"90 or less",IF(E1538&lt;=105,"91-105",IF(E1538&lt;=120,"106-120",IF(E1538&lt;=140,"121-140","Over 140"))))</f>
        <v/>
      </c>
      <c r="Q1538" s="28">
        <f>INT(C1538/10)*10</f>
        <v/>
      </c>
    </row>
    <row r="1539">
      <c r="A1539" s="21" t="n">
        <v>1569</v>
      </c>
      <c r="B1539" s="21" t="inlineStr">
        <is>
          <t>Harvard Man</t>
        </is>
      </c>
      <c r="C1539" s="21" t="n">
        <v>2001</v>
      </c>
      <c r="D1539" s="21" t="inlineStr">
        <is>
          <t>USA</t>
        </is>
      </c>
      <c r="E1539" s="21" t="n">
        <v>99</v>
      </c>
      <c r="F1539" s="21" t="inlineStr">
        <is>
          <t>English</t>
        </is>
      </c>
      <c r="G1539" s="21" t="inlineStr">
        <is>
          <t>R</t>
        </is>
      </c>
      <c r="H1539" s="22" t="n">
        <v>56007</v>
      </c>
      <c r="I1539" s="22" t="n">
        <v>5500000</v>
      </c>
      <c r="J1539" s="21">
        <f>IF(OR(H1539="",H1539=25529689.5),"Yes","No")</f>
        <v/>
      </c>
      <c r="K1539" s="21">
        <f>IF(AND(D1539="USA",C1539&gt;=1980,J1539="No"),"Yes","No")</f>
        <v/>
      </c>
      <c r="L1539" s="26">
        <f>IF(J1539="Yes","",H1539-I1539)</f>
        <v/>
      </c>
      <c r="M1539" s="27">
        <f>IF(OR(J1539="Yes",I1539=0),"",H1539/I1539)</f>
        <v/>
      </c>
      <c r="N1539" s="21">
        <f>IF(J1539="Yes","",IF(H1539&gt;=I1539,1,0))</f>
        <v/>
      </c>
      <c r="O1539" s="21">
        <f>IF(I1539&lt;=5000000,"Under $5M",IF(I1539&lt;=20000000,"$5M-20M",IF(I1539&lt;=50000000,"$20M-50M",IF(I1539&lt;=100000000,"$50M-100M","$100M+"))))</f>
        <v/>
      </c>
      <c r="P1539" s="21">
        <f>IF(E1539&lt;=90,"90 or less",IF(E1539&lt;=105,"91-105",IF(E1539&lt;=120,"106-120",IF(E1539&lt;=140,"121-140","Over 140"))))</f>
        <v/>
      </c>
      <c r="Q1539" s="28">
        <f>INT(C1539/10)*10</f>
        <v/>
      </c>
    </row>
    <row r="1540">
      <c r="A1540" s="21" t="n">
        <v>1570</v>
      </c>
      <c r="B1540" s="21" t="inlineStr">
        <is>
          <t>Head Over Heels</t>
        </is>
      </c>
      <c r="C1540" s="21" t="n">
        <v>2001</v>
      </c>
      <c r="D1540" s="21" t="inlineStr">
        <is>
          <t>USA</t>
        </is>
      </c>
      <c r="E1540" s="21" t="n">
        <v>86</v>
      </c>
      <c r="F1540" s="21" t="inlineStr">
        <is>
          <t>English</t>
        </is>
      </c>
      <c r="G1540" s="21" t="inlineStr">
        <is>
          <t>PG-13</t>
        </is>
      </c>
      <c r="H1540" s="22" t="n">
        <v>10397365</v>
      </c>
      <c r="I1540" s="22" t="n">
        <v>14000000</v>
      </c>
      <c r="J1540" s="21">
        <f>IF(OR(H1540="",H1540=25529689.5),"Yes","No")</f>
        <v/>
      </c>
      <c r="K1540" s="21">
        <f>IF(AND(D1540="USA",C1540&gt;=1980,J1540="No"),"Yes","No")</f>
        <v/>
      </c>
      <c r="L1540" s="26">
        <f>IF(J1540="Yes","",H1540-I1540)</f>
        <v/>
      </c>
      <c r="M1540" s="27">
        <f>IF(OR(J1540="Yes",I1540=0),"",H1540/I1540)</f>
        <v/>
      </c>
      <c r="N1540" s="21">
        <f>IF(J1540="Yes","",IF(H1540&gt;=I1540,1,0))</f>
        <v/>
      </c>
      <c r="O1540" s="21">
        <f>IF(I1540&lt;=5000000,"Under $5M",IF(I1540&lt;=20000000,"$5M-20M",IF(I1540&lt;=50000000,"$20M-50M",IF(I1540&lt;=100000000,"$50M-100M","$100M+"))))</f>
        <v/>
      </c>
      <c r="P1540" s="21">
        <f>IF(E1540&lt;=90,"90 or less",IF(E1540&lt;=105,"91-105",IF(E1540&lt;=120,"106-120",IF(E1540&lt;=140,"121-140","Over 140"))))</f>
        <v/>
      </c>
      <c r="Q1540" s="28">
        <f>INT(C1540/10)*10</f>
        <v/>
      </c>
    </row>
    <row r="1541">
      <c r="A1541" s="21" t="n">
        <v>1571</v>
      </c>
      <c r="B1541" s="21" t="inlineStr">
        <is>
          <t>Heartbreakers</t>
        </is>
      </c>
      <c r="C1541" s="21" t="n">
        <v>2001</v>
      </c>
      <c r="D1541" s="21" t="inlineStr">
        <is>
          <t>USA</t>
        </is>
      </c>
      <c r="E1541" s="21" t="n">
        <v>123</v>
      </c>
      <c r="F1541" s="21" t="inlineStr">
        <is>
          <t>English</t>
        </is>
      </c>
      <c r="G1541" s="21" t="inlineStr">
        <is>
          <t>PG-13</t>
        </is>
      </c>
      <c r="H1541" s="22" t="n">
        <v>40334024</v>
      </c>
      <c r="I1541" s="22" t="n">
        <v>35000000</v>
      </c>
      <c r="J1541" s="21">
        <f>IF(OR(H1541="",H1541=25529689.5),"Yes","No")</f>
        <v/>
      </c>
      <c r="K1541" s="21">
        <f>IF(AND(D1541="USA",C1541&gt;=1980,J1541="No"),"Yes","No")</f>
        <v/>
      </c>
      <c r="L1541" s="26">
        <f>IF(J1541="Yes","",H1541-I1541)</f>
        <v/>
      </c>
      <c r="M1541" s="27">
        <f>IF(OR(J1541="Yes",I1541=0),"",H1541/I1541)</f>
        <v/>
      </c>
      <c r="N1541" s="21">
        <f>IF(J1541="Yes","",IF(H1541&gt;=I1541,1,0))</f>
        <v/>
      </c>
      <c r="O1541" s="21">
        <f>IF(I1541&lt;=5000000,"Under $5M",IF(I1541&lt;=20000000,"$5M-20M",IF(I1541&lt;=50000000,"$20M-50M",IF(I1541&lt;=100000000,"$50M-100M","$100M+"))))</f>
        <v/>
      </c>
      <c r="P1541" s="21">
        <f>IF(E1541&lt;=90,"90 or less",IF(E1541&lt;=105,"91-105",IF(E1541&lt;=120,"106-120",IF(E1541&lt;=140,"121-140","Over 140"))))</f>
        <v/>
      </c>
      <c r="Q1541" s="28">
        <f>INT(C1541/10)*10</f>
        <v/>
      </c>
    </row>
    <row r="1542">
      <c r="A1542" s="21" t="n">
        <v>1572</v>
      </c>
      <c r="B1542" s="21" t="inlineStr">
        <is>
          <t>Hearts in Atlantis</t>
        </is>
      </c>
      <c r="C1542" s="21" t="n">
        <v>2001</v>
      </c>
      <c r="D1542" s="21" t="inlineStr">
        <is>
          <t>USA</t>
        </is>
      </c>
      <c r="E1542" s="21" t="n">
        <v>101</v>
      </c>
      <c r="F1542" s="21" t="inlineStr">
        <is>
          <t>English</t>
        </is>
      </c>
      <c r="G1542" s="21" t="inlineStr">
        <is>
          <t>PG-13</t>
        </is>
      </c>
      <c r="H1542" s="22" t="n">
        <v>24185781</v>
      </c>
      <c r="I1542" s="22" t="n">
        <v>31000000</v>
      </c>
      <c r="J1542" s="21">
        <f>IF(OR(H1542="",H1542=25529689.5),"Yes","No")</f>
        <v/>
      </c>
      <c r="K1542" s="21">
        <f>IF(AND(D1542="USA",C1542&gt;=1980,J1542="No"),"Yes","No")</f>
        <v/>
      </c>
      <c r="L1542" s="26">
        <f>IF(J1542="Yes","",H1542-I1542)</f>
        <v/>
      </c>
      <c r="M1542" s="27">
        <f>IF(OR(J1542="Yes",I1542=0),"",H1542/I1542)</f>
        <v/>
      </c>
      <c r="N1542" s="21">
        <f>IF(J1542="Yes","",IF(H1542&gt;=I1542,1,0))</f>
        <v/>
      </c>
      <c r="O1542" s="21">
        <f>IF(I1542&lt;=5000000,"Under $5M",IF(I1542&lt;=20000000,"$5M-20M",IF(I1542&lt;=50000000,"$20M-50M",IF(I1542&lt;=100000000,"$50M-100M","$100M+"))))</f>
        <v/>
      </c>
      <c r="P1542" s="21">
        <f>IF(E1542&lt;=90,"90 or less",IF(E1542&lt;=105,"91-105",IF(E1542&lt;=120,"106-120",IF(E1542&lt;=140,"121-140","Over 140"))))</f>
        <v/>
      </c>
      <c r="Q1542" s="28">
        <f>INT(C1542/10)*10</f>
        <v/>
      </c>
    </row>
    <row r="1543">
      <c r="A1543" s="21" t="n">
        <v>1573</v>
      </c>
      <c r="B1543" s="21" t="inlineStr">
        <is>
          <t>Hedwig and the Angry Inch</t>
        </is>
      </c>
      <c r="C1543" s="21" t="n">
        <v>2001</v>
      </c>
      <c r="D1543" s="21" t="inlineStr">
        <is>
          <t>USA</t>
        </is>
      </c>
      <c r="E1543" s="21" t="n">
        <v>95</v>
      </c>
      <c r="F1543" s="21" t="inlineStr">
        <is>
          <t>English</t>
        </is>
      </c>
      <c r="G1543" s="21" t="inlineStr">
        <is>
          <t>R</t>
        </is>
      </c>
      <c r="H1543" s="22" t="n">
        <v>3029081</v>
      </c>
      <c r="I1543" s="22" t="n">
        <v>6000000</v>
      </c>
      <c r="J1543" s="21">
        <f>IF(OR(H1543="",H1543=25529689.5),"Yes","No")</f>
        <v/>
      </c>
      <c r="K1543" s="21">
        <f>IF(AND(D1543="USA",C1543&gt;=1980,J1543="No"),"Yes","No")</f>
        <v/>
      </c>
      <c r="L1543" s="26">
        <f>IF(J1543="Yes","",H1543-I1543)</f>
        <v/>
      </c>
      <c r="M1543" s="27">
        <f>IF(OR(J1543="Yes",I1543=0),"",H1543/I1543)</f>
        <v/>
      </c>
      <c r="N1543" s="21">
        <f>IF(J1543="Yes","",IF(H1543&gt;=I1543,1,0))</f>
        <v/>
      </c>
      <c r="O1543" s="21">
        <f>IF(I1543&lt;=5000000,"Under $5M",IF(I1543&lt;=20000000,"$5M-20M",IF(I1543&lt;=50000000,"$20M-50M",IF(I1543&lt;=100000000,"$50M-100M","$100M+"))))</f>
        <v/>
      </c>
      <c r="P1543" s="21">
        <f>IF(E1543&lt;=90,"90 or less",IF(E1543&lt;=105,"91-105",IF(E1543&lt;=120,"106-120",IF(E1543&lt;=140,"121-140","Over 140"))))</f>
        <v/>
      </c>
      <c r="Q1543" s="28">
        <f>INT(C1543/10)*10</f>
        <v/>
      </c>
    </row>
    <row r="1544">
      <c r="A1544" s="21" t="n">
        <v>1574</v>
      </c>
      <c r="B1544" s="21" t="inlineStr">
        <is>
          <t>High Heels and Low Lifes</t>
        </is>
      </c>
      <c r="C1544" s="21" t="n">
        <v>2001</v>
      </c>
      <c r="D1544" s="21" t="inlineStr">
        <is>
          <t>UK</t>
        </is>
      </c>
      <c r="E1544" s="21" t="n">
        <v>86</v>
      </c>
      <c r="F1544" s="21" t="inlineStr">
        <is>
          <t>English</t>
        </is>
      </c>
      <c r="G1544" s="21" t="inlineStr">
        <is>
          <t>R</t>
        </is>
      </c>
      <c r="H1544" s="22" t="n">
        <v>226792</v>
      </c>
      <c r="I1544" s="22" t="n">
        <v>10000000</v>
      </c>
      <c r="J1544" s="21">
        <f>IF(OR(H1544="",H1544=25529689.5),"Yes","No")</f>
        <v/>
      </c>
      <c r="K1544" s="21">
        <f>IF(AND(D1544="USA",C1544&gt;=1980,J1544="No"),"Yes","No")</f>
        <v/>
      </c>
      <c r="L1544" s="26">
        <f>IF(J1544="Yes","",H1544-I1544)</f>
        <v/>
      </c>
      <c r="M1544" s="27">
        <f>IF(OR(J1544="Yes",I1544=0),"",H1544/I1544)</f>
        <v/>
      </c>
      <c r="N1544" s="21">
        <f>IF(J1544="Yes","",IF(H1544&gt;=I1544,1,0))</f>
        <v/>
      </c>
      <c r="O1544" s="21">
        <f>IF(I1544&lt;=5000000,"Under $5M",IF(I1544&lt;=20000000,"$5M-20M",IF(I1544&lt;=50000000,"$20M-50M",IF(I1544&lt;=100000000,"$50M-100M","$100M+"))))</f>
        <v/>
      </c>
      <c r="P1544" s="21">
        <f>IF(E1544&lt;=90,"90 or less",IF(E1544&lt;=105,"91-105",IF(E1544&lt;=120,"106-120",IF(E1544&lt;=140,"121-140","Over 140"))))</f>
        <v/>
      </c>
      <c r="Q1544" s="28">
        <f>INT(C1544/10)*10</f>
        <v/>
      </c>
    </row>
    <row r="1545">
      <c r="A1545" s="21" t="n">
        <v>1575</v>
      </c>
      <c r="B1545" s="21" t="inlineStr">
        <is>
          <t>How High</t>
        </is>
      </c>
      <c r="C1545" s="21" t="n">
        <v>2001</v>
      </c>
      <c r="D1545" s="21" t="inlineStr">
        <is>
          <t>USA</t>
        </is>
      </c>
      <c r="E1545" s="21" t="n">
        <v>93</v>
      </c>
      <c r="F1545" s="21" t="inlineStr">
        <is>
          <t>English</t>
        </is>
      </c>
      <c r="G1545" s="21" t="inlineStr">
        <is>
          <t>R</t>
        </is>
      </c>
      <c r="H1545" s="22" t="n">
        <v>31155435</v>
      </c>
      <c r="I1545" s="22" t="n">
        <v>12000000</v>
      </c>
      <c r="J1545" s="21">
        <f>IF(OR(H1545="",H1545=25529689.5),"Yes","No")</f>
        <v/>
      </c>
      <c r="K1545" s="21">
        <f>IF(AND(D1545="USA",C1545&gt;=1980,J1545="No"),"Yes","No")</f>
        <v/>
      </c>
      <c r="L1545" s="26">
        <f>IF(J1545="Yes","",H1545-I1545)</f>
        <v/>
      </c>
      <c r="M1545" s="27">
        <f>IF(OR(J1545="Yes",I1545=0),"",H1545/I1545)</f>
        <v/>
      </c>
      <c r="N1545" s="21">
        <f>IF(J1545="Yes","",IF(H1545&gt;=I1545,1,0))</f>
        <v/>
      </c>
      <c r="O1545" s="21">
        <f>IF(I1545&lt;=5000000,"Under $5M",IF(I1545&lt;=20000000,"$5M-20M",IF(I1545&lt;=50000000,"$20M-50M",IF(I1545&lt;=100000000,"$50M-100M","$100M+"))))</f>
        <v/>
      </c>
      <c r="P1545" s="21">
        <f>IF(E1545&lt;=90,"90 or less",IF(E1545&lt;=105,"91-105",IF(E1545&lt;=120,"106-120",IF(E1545&lt;=140,"121-140","Over 140"))))</f>
        <v/>
      </c>
      <c r="Q1545" s="28">
        <f>INT(C1545/10)*10</f>
        <v/>
      </c>
    </row>
    <row r="1546">
      <c r="A1546" s="21" t="n">
        <v>1576</v>
      </c>
      <c r="B1546" s="21" t="inlineStr">
        <is>
          <t>I Am Sam</t>
        </is>
      </c>
      <c r="C1546" s="21" t="n">
        <v>2001</v>
      </c>
      <c r="D1546" s="21" t="inlineStr">
        <is>
          <t>USA</t>
        </is>
      </c>
      <c r="E1546" s="21" t="n">
        <v>132</v>
      </c>
      <c r="F1546" s="21" t="inlineStr">
        <is>
          <t>English</t>
        </is>
      </c>
      <c r="G1546" s="21" t="inlineStr">
        <is>
          <t>PG-13</t>
        </is>
      </c>
      <c r="H1546" s="22" t="n">
        <v>40270895</v>
      </c>
      <c r="I1546" s="22" t="n">
        <v>22000000</v>
      </c>
      <c r="J1546" s="21">
        <f>IF(OR(H1546="",H1546=25529689.5),"Yes","No")</f>
        <v/>
      </c>
      <c r="K1546" s="21">
        <f>IF(AND(D1546="USA",C1546&gt;=1980,J1546="No"),"Yes","No")</f>
        <v/>
      </c>
      <c r="L1546" s="26">
        <f>IF(J1546="Yes","",H1546-I1546)</f>
        <v/>
      </c>
      <c r="M1546" s="27">
        <f>IF(OR(J1546="Yes",I1546=0),"",H1546/I1546)</f>
        <v/>
      </c>
      <c r="N1546" s="21">
        <f>IF(J1546="Yes","",IF(H1546&gt;=I1546,1,0))</f>
        <v/>
      </c>
      <c r="O1546" s="21">
        <f>IF(I1546&lt;=5000000,"Under $5M",IF(I1546&lt;=20000000,"$5M-20M",IF(I1546&lt;=50000000,"$20M-50M",IF(I1546&lt;=100000000,"$50M-100M","$100M+"))))</f>
        <v/>
      </c>
      <c r="P1546" s="21">
        <f>IF(E1546&lt;=90,"90 or less",IF(E1546&lt;=105,"91-105",IF(E1546&lt;=120,"106-120",IF(E1546&lt;=140,"121-140","Over 140"))))</f>
        <v/>
      </c>
      <c r="Q1546" s="28">
        <f>INT(C1546/10)*10</f>
        <v/>
      </c>
    </row>
    <row r="1547">
      <c r="A1547" s="21" t="n">
        <v>1577</v>
      </c>
      <c r="B1547" s="21" t="inlineStr">
        <is>
          <t>Impostor</t>
        </is>
      </c>
      <c r="C1547" s="21" t="n">
        <v>2001</v>
      </c>
      <c r="D1547" s="21" t="inlineStr">
        <is>
          <t>USA</t>
        </is>
      </c>
      <c r="E1547" s="21" t="n">
        <v>102</v>
      </c>
      <c r="F1547" s="21" t="inlineStr">
        <is>
          <t>English</t>
        </is>
      </c>
      <c r="G1547" s="21" t="inlineStr">
        <is>
          <t>R</t>
        </is>
      </c>
      <c r="H1547" s="22" t="n">
        <v>6114237</v>
      </c>
      <c r="I1547" s="22" t="n">
        <v>40000000</v>
      </c>
      <c r="J1547" s="21">
        <f>IF(OR(H1547="",H1547=25529689.5),"Yes","No")</f>
        <v/>
      </c>
      <c r="K1547" s="21">
        <f>IF(AND(D1547="USA",C1547&gt;=1980,J1547="No"),"Yes","No")</f>
        <v/>
      </c>
      <c r="L1547" s="26">
        <f>IF(J1547="Yes","",H1547-I1547)</f>
        <v/>
      </c>
      <c r="M1547" s="27">
        <f>IF(OR(J1547="Yes",I1547=0),"",H1547/I1547)</f>
        <v/>
      </c>
      <c r="N1547" s="21">
        <f>IF(J1547="Yes","",IF(H1547&gt;=I1547,1,0))</f>
        <v/>
      </c>
      <c r="O1547" s="21">
        <f>IF(I1547&lt;=5000000,"Under $5M",IF(I1547&lt;=20000000,"$5M-20M",IF(I1547&lt;=50000000,"$20M-50M",IF(I1547&lt;=100000000,"$50M-100M","$100M+"))))</f>
        <v/>
      </c>
      <c r="P1547" s="21">
        <f>IF(E1547&lt;=90,"90 or less",IF(E1547&lt;=105,"91-105",IF(E1547&lt;=120,"106-120",IF(E1547&lt;=140,"121-140","Over 140"))))</f>
        <v/>
      </c>
      <c r="Q1547" s="28">
        <f>INT(C1547/10)*10</f>
        <v/>
      </c>
    </row>
    <row r="1548">
      <c r="A1548" s="21" t="n">
        <v>1578</v>
      </c>
      <c r="B1548" s="21" t="inlineStr">
        <is>
          <t>In the Bedroom</t>
        </is>
      </c>
      <c r="C1548" s="21" t="n">
        <v>2001</v>
      </c>
      <c r="D1548" s="21" t="inlineStr">
        <is>
          <t>USA</t>
        </is>
      </c>
      <c r="E1548" s="21" t="n">
        <v>138</v>
      </c>
      <c r="F1548" s="21" t="inlineStr">
        <is>
          <t>English</t>
        </is>
      </c>
      <c r="G1548" s="21" t="inlineStr">
        <is>
          <t>R</t>
        </is>
      </c>
      <c r="H1548" s="22" t="n">
        <v>35918429</v>
      </c>
      <c r="I1548" s="22" t="n">
        <v>1700000</v>
      </c>
      <c r="J1548" s="21">
        <f>IF(OR(H1548="",H1548=25529689.5),"Yes","No")</f>
        <v/>
      </c>
      <c r="K1548" s="21">
        <f>IF(AND(D1548="USA",C1548&gt;=1980,J1548="No"),"Yes","No")</f>
        <v/>
      </c>
      <c r="L1548" s="26">
        <f>IF(J1548="Yes","",H1548-I1548)</f>
        <v/>
      </c>
      <c r="M1548" s="27">
        <f>IF(OR(J1548="Yes",I1548=0),"",H1548/I1548)</f>
        <v/>
      </c>
      <c r="N1548" s="21">
        <f>IF(J1548="Yes","",IF(H1548&gt;=I1548,1,0))</f>
        <v/>
      </c>
      <c r="O1548" s="21">
        <f>IF(I1548&lt;=5000000,"Under $5M",IF(I1548&lt;=20000000,"$5M-20M",IF(I1548&lt;=50000000,"$20M-50M",IF(I1548&lt;=100000000,"$50M-100M","$100M+"))))</f>
        <v/>
      </c>
      <c r="P1548" s="21">
        <f>IF(E1548&lt;=90,"90 or less",IF(E1548&lt;=105,"91-105",IF(E1548&lt;=120,"106-120",IF(E1548&lt;=140,"121-140","Over 140"))))</f>
        <v/>
      </c>
      <c r="Q1548" s="28">
        <f>INT(C1548/10)*10</f>
        <v/>
      </c>
    </row>
    <row r="1549">
      <c r="A1549" s="21" t="n">
        <v>1579</v>
      </c>
      <c r="B1549" s="21" t="inlineStr">
        <is>
          <t>Iris</t>
        </is>
      </c>
      <c r="C1549" s="21" t="n">
        <v>2001</v>
      </c>
      <c r="D1549" s="21" t="inlineStr">
        <is>
          <t>UK</t>
        </is>
      </c>
      <c r="E1549" s="21" t="n">
        <v>91</v>
      </c>
      <c r="F1549" s="21" t="inlineStr">
        <is>
          <t>English</t>
        </is>
      </c>
      <c r="G1549" s="21" t="inlineStr">
        <is>
          <t>R</t>
        </is>
      </c>
      <c r="H1549" s="22" t="n">
        <v>1292119</v>
      </c>
      <c r="I1549" s="22" t="n">
        <v>5500000</v>
      </c>
      <c r="J1549" s="21">
        <f>IF(OR(H1549="",H1549=25529689.5),"Yes","No")</f>
        <v/>
      </c>
      <c r="K1549" s="21">
        <f>IF(AND(D1549="USA",C1549&gt;=1980,J1549="No"),"Yes","No")</f>
        <v/>
      </c>
      <c r="L1549" s="26">
        <f>IF(J1549="Yes","",H1549-I1549)</f>
        <v/>
      </c>
      <c r="M1549" s="27">
        <f>IF(OR(J1549="Yes",I1549=0),"",H1549/I1549)</f>
        <v/>
      </c>
      <c r="N1549" s="21">
        <f>IF(J1549="Yes","",IF(H1549&gt;=I1549,1,0))</f>
        <v/>
      </c>
      <c r="O1549" s="21">
        <f>IF(I1549&lt;=5000000,"Under $5M",IF(I1549&lt;=20000000,"$5M-20M",IF(I1549&lt;=50000000,"$20M-50M",IF(I1549&lt;=100000000,"$50M-100M","$100M+"))))</f>
        <v/>
      </c>
      <c r="P1549" s="21">
        <f>IF(E1549&lt;=90,"90 or less",IF(E1549&lt;=105,"91-105",IF(E1549&lt;=120,"106-120",IF(E1549&lt;=140,"121-140","Over 140"))))</f>
        <v/>
      </c>
      <c r="Q1549" s="28">
        <f>INT(C1549/10)*10</f>
        <v/>
      </c>
    </row>
    <row r="1550">
      <c r="A1550" s="21" t="n">
        <v>1580</v>
      </c>
      <c r="B1550" s="21" t="inlineStr">
        <is>
          <t>Jason X</t>
        </is>
      </c>
      <c r="C1550" s="21" t="n">
        <v>2001</v>
      </c>
      <c r="D1550" s="21" t="inlineStr">
        <is>
          <t>USA</t>
        </is>
      </c>
      <c r="E1550" s="21" t="n">
        <v>85</v>
      </c>
      <c r="F1550" s="21" t="inlineStr">
        <is>
          <t>English</t>
        </is>
      </c>
      <c r="G1550" s="21" t="inlineStr">
        <is>
          <t>R</t>
        </is>
      </c>
      <c r="H1550" s="22" t="n">
        <v>12610731</v>
      </c>
      <c r="I1550" s="22" t="n">
        <v>11000000</v>
      </c>
      <c r="J1550" s="21">
        <f>IF(OR(H1550="",H1550=25529689.5),"Yes","No")</f>
        <v/>
      </c>
      <c r="K1550" s="21">
        <f>IF(AND(D1550="USA",C1550&gt;=1980,J1550="No"),"Yes","No")</f>
        <v/>
      </c>
      <c r="L1550" s="26">
        <f>IF(J1550="Yes","",H1550-I1550)</f>
        <v/>
      </c>
      <c r="M1550" s="27">
        <f>IF(OR(J1550="Yes",I1550=0),"",H1550/I1550)</f>
        <v/>
      </c>
      <c r="N1550" s="21">
        <f>IF(J1550="Yes","",IF(H1550&gt;=I1550,1,0))</f>
        <v/>
      </c>
      <c r="O1550" s="21">
        <f>IF(I1550&lt;=5000000,"Under $5M",IF(I1550&lt;=20000000,"$5M-20M",IF(I1550&lt;=50000000,"$20M-50M",IF(I1550&lt;=100000000,"$50M-100M","$100M+"))))</f>
        <v/>
      </c>
      <c r="P1550" s="21">
        <f>IF(E1550&lt;=90,"90 or less",IF(E1550&lt;=105,"91-105",IF(E1550&lt;=120,"106-120",IF(E1550&lt;=140,"121-140","Over 140"))))</f>
        <v/>
      </c>
      <c r="Q1550" s="28">
        <f>INT(C1550/10)*10</f>
        <v/>
      </c>
    </row>
    <row r="1551">
      <c r="A1551" s="21" t="n">
        <v>1581</v>
      </c>
      <c r="B1551" s="21" t="inlineStr">
        <is>
          <t>Jay and Silent Bob Strike Back</t>
        </is>
      </c>
      <c r="C1551" s="21" t="n">
        <v>2001</v>
      </c>
      <c r="D1551" s="21" t="inlineStr">
        <is>
          <t>USA</t>
        </is>
      </c>
      <c r="E1551" s="21" t="n">
        <v>104</v>
      </c>
      <c r="F1551" s="21" t="inlineStr">
        <is>
          <t>English</t>
        </is>
      </c>
      <c r="G1551" s="21" t="inlineStr">
        <is>
          <t>R</t>
        </is>
      </c>
      <c r="H1551" s="22" t="n">
        <v>30059386</v>
      </c>
      <c r="I1551" s="22" t="n">
        <v>22000000</v>
      </c>
      <c r="J1551" s="21">
        <f>IF(OR(H1551="",H1551=25529689.5),"Yes","No")</f>
        <v/>
      </c>
      <c r="K1551" s="21">
        <f>IF(AND(D1551="USA",C1551&gt;=1980,J1551="No"),"Yes","No")</f>
        <v/>
      </c>
      <c r="L1551" s="26">
        <f>IF(J1551="Yes","",H1551-I1551)</f>
        <v/>
      </c>
      <c r="M1551" s="27">
        <f>IF(OR(J1551="Yes",I1551=0),"",H1551/I1551)</f>
        <v/>
      </c>
      <c r="N1551" s="21">
        <f>IF(J1551="Yes","",IF(H1551&gt;=I1551,1,0))</f>
        <v/>
      </c>
      <c r="O1551" s="21">
        <f>IF(I1551&lt;=5000000,"Under $5M",IF(I1551&lt;=20000000,"$5M-20M",IF(I1551&lt;=50000000,"$20M-50M",IF(I1551&lt;=100000000,"$50M-100M","$100M+"))))</f>
        <v/>
      </c>
      <c r="P1551" s="21">
        <f>IF(E1551&lt;=90,"90 or less",IF(E1551&lt;=105,"91-105",IF(E1551&lt;=120,"106-120",IF(E1551&lt;=140,"121-140","Over 140"))))</f>
        <v/>
      </c>
      <c r="Q1551" s="28">
        <f>INT(C1551/10)*10</f>
        <v/>
      </c>
    </row>
    <row r="1552">
      <c r="A1552" s="21" t="n">
        <v>1582</v>
      </c>
      <c r="B1552" s="21" t="inlineStr">
        <is>
          <t>Jeepers Creepers</t>
        </is>
      </c>
      <c r="C1552" s="21" t="n">
        <v>2001</v>
      </c>
      <c r="D1552" s="21" t="inlineStr">
        <is>
          <t>Germany</t>
        </is>
      </c>
      <c r="E1552" s="21" t="n">
        <v>90</v>
      </c>
      <c r="F1552" s="21" t="inlineStr">
        <is>
          <t>English</t>
        </is>
      </c>
      <c r="G1552" s="21" t="inlineStr">
        <is>
          <t>R</t>
        </is>
      </c>
      <c r="H1552" s="22" t="n">
        <v>37470017</v>
      </c>
      <c r="I1552" s="22" t="n">
        <v>10000000</v>
      </c>
      <c r="J1552" s="21">
        <f>IF(OR(H1552="",H1552=25529689.5),"Yes","No")</f>
        <v/>
      </c>
      <c r="K1552" s="21">
        <f>IF(AND(D1552="USA",C1552&gt;=1980,J1552="No"),"Yes","No")</f>
        <v/>
      </c>
      <c r="L1552" s="26">
        <f>IF(J1552="Yes","",H1552-I1552)</f>
        <v/>
      </c>
      <c r="M1552" s="27">
        <f>IF(OR(J1552="Yes",I1552=0),"",H1552/I1552)</f>
        <v/>
      </c>
      <c r="N1552" s="21">
        <f>IF(J1552="Yes","",IF(H1552&gt;=I1552,1,0))</f>
        <v/>
      </c>
      <c r="O1552" s="21">
        <f>IF(I1552&lt;=5000000,"Under $5M",IF(I1552&lt;=20000000,"$5M-20M",IF(I1552&lt;=50000000,"$20M-50M",IF(I1552&lt;=100000000,"$50M-100M","$100M+"))))</f>
        <v/>
      </c>
      <c r="P1552" s="21">
        <f>IF(E1552&lt;=90,"90 or less",IF(E1552&lt;=105,"91-105",IF(E1552&lt;=120,"106-120",IF(E1552&lt;=140,"121-140","Over 140"))))</f>
        <v/>
      </c>
      <c r="Q1552" s="28">
        <f>INT(C1552/10)*10</f>
        <v/>
      </c>
    </row>
    <row r="1553">
      <c r="A1553" s="21" t="n">
        <v>1583</v>
      </c>
      <c r="B1553" s="21" t="inlineStr">
        <is>
          <t>Jimmy Neutron: Boy Genius</t>
        </is>
      </c>
      <c r="C1553" s="21" t="n">
        <v>2001</v>
      </c>
      <c r="D1553" s="21" t="inlineStr">
        <is>
          <t>USA</t>
        </is>
      </c>
      <c r="E1553" s="21" t="n">
        <v>82</v>
      </c>
      <c r="F1553" s="21" t="inlineStr">
        <is>
          <t>English</t>
        </is>
      </c>
      <c r="G1553" s="21" t="inlineStr">
        <is>
          <t>G</t>
        </is>
      </c>
      <c r="H1553" s="22" t="n">
        <v>80920948</v>
      </c>
      <c r="I1553" s="22" t="n">
        <v>30000000</v>
      </c>
      <c r="J1553" s="21">
        <f>IF(OR(H1553="",H1553=25529689.5),"Yes","No")</f>
        <v/>
      </c>
      <c r="K1553" s="21">
        <f>IF(AND(D1553="USA",C1553&gt;=1980,J1553="No"),"Yes","No")</f>
        <v/>
      </c>
      <c r="L1553" s="26">
        <f>IF(J1553="Yes","",H1553-I1553)</f>
        <v/>
      </c>
      <c r="M1553" s="27">
        <f>IF(OR(J1553="Yes",I1553=0),"",H1553/I1553)</f>
        <v/>
      </c>
      <c r="N1553" s="21">
        <f>IF(J1553="Yes","",IF(H1553&gt;=I1553,1,0))</f>
        <v/>
      </c>
      <c r="O1553" s="21">
        <f>IF(I1553&lt;=5000000,"Under $5M",IF(I1553&lt;=20000000,"$5M-20M",IF(I1553&lt;=50000000,"$20M-50M",IF(I1553&lt;=100000000,"$50M-100M","$100M+"))))</f>
        <v/>
      </c>
      <c r="P1553" s="21">
        <f>IF(E1553&lt;=90,"90 or less",IF(E1553&lt;=105,"91-105",IF(E1553&lt;=120,"106-120",IF(E1553&lt;=140,"121-140","Over 140"))))</f>
        <v/>
      </c>
      <c r="Q1553" s="28">
        <f>INT(C1553/10)*10</f>
        <v/>
      </c>
    </row>
    <row r="1554">
      <c r="A1554" s="21" t="n">
        <v>1584</v>
      </c>
      <c r="B1554" s="21" t="inlineStr">
        <is>
          <t>Joe Dirt</t>
        </is>
      </c>
      <c r="C1554" s="21" t="n">
        <v>2001</v>
      </c>
      <c r="D1554" s="21" t="inlineStr">
        <is>
          <t>USA</t>
        </is>
      </c>
      <c r="E1554" s="21" t="n">
        <v>91</v>
      </c>
      <c r="F1554" s="21" t="inlineStr">
        <is>
          <t>English</t>
        </is>
      </c>
      <c r="G1554" s="21" t="inlineStr">
        <is>
          <t>PG-13</t>
        </is>
      </c>
      <c r="H1554" s="22" t="n">
        <v>27087695</v>
      </c>
      <c r="I1554" s="22" t="n">
        <v>17700000</v>
      </c>
      <c r="J1554" s="21">
        <f>IF(OR(H1554="",H1554=25529689.5),"Yes","No")</f>
        <v/>
      </c>
      <c r="K1554" s="21">
        <f>IF(AND(D1554="USA",C1554&gt;=1980,J1554="No"),"Yes","No")</f>
        <v/>
      </c>
      <c r="L1554" s="26">
        <f>IF(J1554="Yes","",H1554-I1554)</f>
        <v/>
      </c>
      <c r="M1554" s="27">
        <f>IF(OR(J1554="Yes",I1554=0),"",H1554/I1554)</f>
        <v/>
      </c>
      <c r="N1554" s="21">
        <f>IF(J1554="Yes","",IF(H1554&gt;=I1554,1,0))</f>
        <v/>
      </c>
      <c r="O1554" s="21">
        <f>IF(I1554&lt;=5000000,"Under $5M",IF(I1554&lt;=20000000,"$5M-20M",IF(I1554&lt;=50000000,"$20M-50M",IF(I1554&lt;=100000000,"$50M-100M","$100M+"))))</f>
        <v/>
      </c>
      <c r="P1554" s="21">
        <f>IF(E1554&lt;=90,"90 or less",IF(E1554&lt;=105,"91-105",IF(E1554&lt;=120,"106-120",IF(E1554&lt;=140,"121-140","Over 140"))))</f>
        <v/>
      </c>
      <c r="Q1554" s="28">
        <f>INT(C1554/10)*10</f>
        <v/>
      </c>
    </row>
    <row r="1555">
      <c r="A1555" s="21" t="n">
        <v>1585</v>
      </c>
      <c r="B1555" s="21" t="inlineStr">
        <is>
          <t>Joe Somebody</t>
        </is>
      </c>
      <c r="C1555" s="21" t="n">
        <v>2001</v>
      </c>
      <c r="D1555" s="21" t="inlineStr">
        <is>
          <t>USA</t>
        </is>
      </c>
      <c r="E1555" s="21" t="n">
        <v>98</v>
      </c>
      <c r="F1555" s="21" t="inlineStr">
        <is>
          <t>English</t>
        </is>
      </c>
      <c r="G1555" s="21" t="inlineStr">
        <is>
          <t>PG</t>
        </is>
      </c>
      <c r="H1555" s="22" t="n">
        <v>22770864</v>
      </c>
      <c r="I1555" s="22" t="n">
        <v>38000000</v>
      </c>
      <c r="J1555" s="21">
        <f>IF(OR(H1555="",H1555=25529689.5),"Yes","No")</f>
        <v/>
      </c>
      <c r="K1555" s="21">
        <f>IF(AND(D1555="USA",C1555&gt;=1980,J1555="No"),"Yes","No")</f>
        <v/>
      </c>
      <c r="L1555" s="26">
        <f>IF(J1555="Yes","",H1555-I1555)</f>
        <v/>
      </c>
      <c r="M1555" s="27">
        <f>IF(OR(J1555="Yes",I1555=0),"",H1555/I1555)</f>
        <v/>
      </c>
      <c r="N1555" s="21">
        <f>IF(J1555="Yes","",IF(H1555&gt;=I1555,1,0))</f>
        <v/>
      </c>
      <c r="O1555" s="21">
        <f>IF(I1555&lt;=5000000,"Under $5M",IF(I1555&lt;=20000000,"$5M-20M",IF(I1555&lt;=50000000,"$20M-50M",IF(I1555&lt;=100000000,"$50M-100M","$100M+"))))</f>
        <v/>
      </c>
      <c r="P1555" s="21">
        <f>IF(E1555&lt;=90,"90 or less",IF(E1555&lt;=105,"91-105",IF(E1555&lt;=120,"106-120",IF(E1555&lt;=140,"121-140","Over 140"))))</f>
        <v/>
      </c>
      <c r="Q1555" s="28">
        <f>INT(C1555/10)*10</f>
        <v/>
      </c>
    </row>
    <row r="1556">
      <c r="A1556" s="21" t="n">
        <v>1586</v>
      </c>
      <c r="B1556" s="21" t="inlineStr">
        <is>
          <t>Josie and the Pussycats</t>
        </is>
      </c>
      <c r="C1556" s="21" t="n">
        <v>2001</v>
      </c>
      <c r="D1556" s="21" t="inlineStr">
        <is>
          <t>Canada</t>
        </is>
      </c>
      <c r="E1556" s="21" t="n">
        <v>98</v>
      </c>
      <c r="F1556" s="21" t="inlineStr">
        <is>
          <t>English</t>
        </is>
      </c>
      <c r="G1556" s="21" t="inlineStr">
        <is>
          <t>PG-13</t>
        </is>
      </c>
      <c r="H1556" s="22" t="n">
        <v>14252830</v>
      </c>
      <c r="I1556" s="22" t="n">
        <v>22000000</v>
      </c>
      <c r="J1556" s="21">
        <f>IF(OR(H1556="",H1556=25529689.5),"Yes","No")</f>
        <v/>
      </c>
      <c r="K1556" s="21">
        <f>IF(AND(D1556="USA",C1556&gt;=1980,J1556="No"),"Yes","No")</f>
        <v/>
      </c>
      <c r="L1556" s="26">
        <f>IF(J1556="Yes","",H1556-I1556)</f>
        <v/>
      </c>
      <c r="M1556" s="27">
        <f>IF(OR(J1556="Yes",I1556=0),"",H1556/I1556)</f>
        <v/>
      </c>
      <c r="N1556" s="21">
        <f>IF(J1556="Yes","",IF(H1556&gt;=I1556,1,0))</f>
        <v/>
      </c>
      <c r="O1556" s="21">
        <f>IF(I1556&lt;=5000000,"Under $5M",IF(I1556&lt;=20000000,"$5M-20M",IF(I1556&lt;=50000000,"$20M-50M",IF(I1556&lt;=100000000,"$50M-100M","$100M+"))))</f>
        <v/>
      </c>
      <c r="P1556" s="21">
        <f>IF(E1556&lt;=90,"90 or less",IF(E1556&lt;=105,"91-105",IF(E1556&lt;=120,"106-120",IF(E1556&lt;=140,"121-140","Over 140"))))</f>
        <v/>
      </c>
      <c r="Q1556" s="28">
        <f>INT(C1556/10)*10</f>
        <v/>
      </c>
    </row>
    <row r="1557">
      <c r="A1557" s="21" t="n">
        <v>1587</v>
      </c>
      <c r="B1557" s="21" t="inlineStr">
        <is>
          <t>Joy Ride</t>
        </is>
      </c>
      <c r="C1557" s="21" t="n">
        <v>2001</v>
      </c>
      <c r="D1557" s="21" t="inlineStr">
        <is>
          <t>USA</t>
        </is>
      </c>
      <c r="E1557" s="21" t="n">
        <v>97</v>
      </c>
      <c r="F1557" s="21" t="inlineStr">
        <is>
          <t>English</t>
        </is>
      </c>
      <c r="G1557" s="21" t="inlineStr">
        <is>
          <t>R</t>
        </is>
      </c>
      <c r="H1557" s="22" t="n">
        <v>21973182</v>
      </c>
      <c r="I1557" s="22" t="n">
        <v>23000000</v>
      </c>
      <c r="J1557" s="21">
        <f>IF(OR(H1557="",H1557=25529689.5),"Yes","No")</f>
        <v/>
      </c>
      <c r="K1557" s="21">
        <f>IF(AND(D1557="USA",C1557&gt;=1980,J1557="No"),"Yes","No")</f>
        <v/>
      </c>
      <c r="L1557" s="26">
        <f>IF(J1557="Yes","",H1557-I1557)</f>
        <v/>
      </c>
      <c r="M1557" s="27">
        <f>IF(OR(J1557="Yes",I1557=0),"",H1557/I1557)</f>
        <v/>
      </c>
      <c r="N1557" s="21">
        <f>IF(J1557="Yes","",IF(H1557&gt;=I1557,1,0))</f>
        <v/>
      </c>
      <c r="O1557" s="21">
        <f>IF(I1557&lt;=5000000,"Under $5M",IF(I1557&lt;=20000000,"$5M-20M",IF(I1557&lt;=50000000,"$20M-50M",IF(I1557&lt;=100000000,"$50M-100M","$100M+"))))</f>
        <v/>
      </c>
      <c r="P1557" s="21">
        <f>IF(E1557&lt;=90,"90 or less",IF(E1557&lt;=105,"91-105",IF(E1557&lt;=120,"106-120",IF(E1557&lt;=140,"121-140","Over 140"))))</f>
        <v/>
      </c>
      <c r="Q1557" s="28">
        <f>INT(C1557/10)*10</f>
        <v/>
      </c>
    </row>
    <row r="1558">
      <c r="A1558" s="21" t="n">
        <v>1588</v>
      </c>
      <c r="B1558" s="21" t="inlineStr">
        <is>
          <t>Jurassic Park III</t>
        </is>
      </c>
      <c r="C1558" s="21" t="n">
        <v>2001</v>
      </c>
      <c r="D1558" s="21" t="inlineStr">
        <is>
          <t>USA</t>
        </is>
      </c>
      <c r="E1558" s="21" t="n">
        <v>92</v>
      </c>
      <c r="F1558" s="21" t="inlineStr">
        <is>
          <t>English</t>
        </is>
      </c>
      <c r="G1558" s="21" t="inlineStr">
        <is>
          <t>PG-13</t>
        </is>
      </c>
      <c r="H1558" s="22" t="n">
        <v>181166115</v>
      </c>
      <c r="I1558" s="22" t="n">
        <v>93000000</v>
      </c>
      <c r="J1558" s="21">
        <f>IF(OR(H1558="",H1558=25529689.5),"Yes","No")</f>
        <v/>
      </c>
      <c r="K1558" s="21">
        <f>IF(AND(D1558="USA",C1558&gt;=1980,J1558="No"),"Yes","No")</f>
        <v/>
      </c>
      <c r="L1558" s="26">
        <f>IF(J1558="Yes","",H1558-I1558)</f>
        <v/>
      </c>
      <c r="M1558" s="27">
        <f>IF(OR(J1558="Yes",I1558=0),"",H1558/I1558)</f>
        <v/>
      </c>
      <c r="N1558" s="21">
        <f>IF(J1558="Yes","",IF(H1558&gt;=I1558,1,0))</f>
        <v/>
      </c>
      <c r="O1558" s="21">
        <f>IF(I1558&lt;=5000000,"Under $5M",IF(I1558&lt;=20000000,"$5M-20M",IF(I1558&lt;=50000000,"$20M-50M",IF(I1558&lt;=100000000,"$50M-100M","$100M+"))))</f>
        <v/>
      </c>
      <c r="P1558" s="21">
        <f>IF(E1558&lt;=90,"90 or less",IF(E1558&lt;=105,"91-105",IF(E1558&lt;=120,"106-120",IF(E1558&lt;=140,"121-140","Over 140"))))</f>
        <v/>
      </c>
      <c r="Q1558" s="28">
        <f>INT(C1558/10)*10</f>
        <v/>
      </c>
    </row>
    <row r="1559">
      <c r="A1559" s="21" t="n">
        <v>1589</v>
      </c>
      <c r="B1559" s="21" t="inlineStr">
        <is>
          <t>Just Visiting</t>
        </is>
      </c>
      <c r="C1559" s="21" t="n">
        <v>2001</v>
      </c>
      <c r="D1559" s="21" t="inlineStr">
        <is>
          <t>France</t>
        </is>
      </c>
      <c r="E1559" s="21" t="n">
        <v>84</v>
      </c>
      <c r="F1559" s="21" t="inlineStr">
        <is>
          <t>English</t>
        </is>
      </c>
      <c r="G1559" s="21" t="inlineStr">
        <is>
          <t>PG-13</t>
        </is>
      </c>
      <c r="H1559" s="22" t="n">
        <v>4777007</v>
      </c>
      <c r="I1559" s="22" t="n">
        <v>40000000</v>
      </c>
      <c r="J1559" s="21">
        <f>IF(OR(H1559="",H1559=25529689.5),"Yes","No")</f>
        <v/>
      </c>
      <c r="K1559" s="21">
        <f>IF(AND(D1559="USA",C1559&gt;=1980,J1559="No"),"Yes","No")</f>
        <v/>
      </c>
      <c r="L1559" s="26">
        <f>IF(J1559="Yes","",H1559-I1559)</f>
        <v/>
      </c>
      <c r="M1559" s="27">
        <f>IF(OR(J1559="Yes",I1559=0),"",H1559/I1559)</f>
        <v/>
      </c>
      <c r="N1559" s="21">
        <f>IF(J1559="Yes","",IF(H1559&gt;=I1559,1,0))</f>
        <v/>
      </c>
      <c r="O1559" s="21">
        <f>IF(I1559&lt;=5000000,"Under $5M",IF(I1559&lt;=20000000,"$5M-20M",IF(I1559&lt;=50000000,"$20M-50M",IF(I1559&lt;=100000000,"$50M-100M","$100M+"))))</f>
        <v/>
      </c>
      <c r="P1559" s="21">
        <f>IF(E1559&lt;=90,"90 or less",IF(E1559&lt;=105,"91-105",IF(E1559&lt;=120,"106-120",IF(E1559&lt;=140,"121-140","Over 140"))))</f>
        <v/>
      </c>
      <c r="Q1559" s="28">
        <f>INT(C1559/10)*10</f>
        <v/>
      </c>
    </row>
    <row r="1560">
      <c r="A1560" s="21" t="n">
        <v>1590</v>
      </c>
      <c r="B1560" s="21" t="inlineStr">
        <is>
          <t>K-PAX</t>
        </is>
      </c>
      <c r="C1560" s="21" t="n">
        <v>2001</v>
      </c>
      <c r="D1560" s="21" t="inlineStr">
        <is>
          <t>USA</t>
        </is>
      </c>
      <c r="E1560" s="21" t="n">
        <v>120</v>
      </c>
      <c r="F1560" s="21" t="inlineStr">
        <is>
          <t>English</t>
        </is>
      </c>
      <c r="G1560" s="21" t="inlineStr">
        <is>
          <t>PG-13</t>
        </is>
      </c>
      <c r="H1560" s="22" t="n">
        <v>50173190</v>
      </c>
      <c r="I1560" s="22" t="n">
        <v>48000000</v>
      </c>
      <c r="J1560" s="21">
        <f>IF(OR(H1560="",H1560=25529689.5),"Yes","No")</f>
        <v/>
      </c>
      <c r="K1560" s="21">
        <f>IF(AND(D1560="USA",C1560&gt;=1980,J1560="No"),"Yes","No")</f>
        <v/>
      </c>
      <c r="L1560" s="26">
        <f>IF(J1560="Yes","",H1560-I1560)</f>
        <v/>
      </c>
      <c r="M1560" s="27">
        <f>IF(OR(J1560="Yes",I1560=0),"",H1560/I1560)</f>
        <v/>
      </c>
      <c r="N1560" s="21">
        <f>IF(J1560="Yes","",IF(H1560&gt;=I1560,1,0))</f>
        <v/>
      </c>
      <c r="O1560" s="21">
        <f>IF(I1560&lt;=5000000,"Under $5M",IF(I1560&lt;=20000000,"$5M-20M",IF(I1560&lt;=50000000,"$20M-50M",IF(I1560&lt;=100000000,"$50M-100M","$100M+"))))</f>
        <v/>
      </c>
      <c r="P1560" s="21">
        <f>IF(E1560&lt;=90,"90 or less",IF(E1560&lt;=105,"91-105",IF(E1560&lt;=120,"106-120",IF(E1560&lt;=140,"121-140","Over 140"))))</f>
        <v/>
      </c>
      <c r="Q1560" s="28">
        <f>INT(C1560/10)*10</f>
        <v/>
      </c>
    </row>
    <row r="1561">
      <c r="A1561" s="21" t="n">
        <v>1591</v>
      </c>
      <c r="B1561" s="21" t="inlineStr">
        <is>
          <t>Kate &amp; Leopold</t>
        </is>
      </c>
      <c r="C1561" s="21" t="n">
        <v>2001</v>
      </c>
      <c r="D1561" s="21" t="inlineStr">
        <is>
          <t>USA</t>
        </is>
      </c>
      <c r="E1561" s="21" t="n">
        <v>123</v>
      </c>
      <c r="F1561" s="21" t="inlineStr">
        <is>
          <t>English</t>
        </is>
      </c>
      <c r="G1561" s="21" t="inlineStr">
        <is>
          <t>PG-13</t>
        </is>
      </c>
      <c r="H1561" s="22" t="n">
        <v>47095453</v>
      </c>
      <c r="I1561" s="22" t="n">
        <v>48000000</v>
      </c>
      <c r="J1561" s="21">
        <f>IF(OR(H1561="",H1561=25529689.5),"Yes","No")</f>
        <v/>
      </c>
      <c r="K1561" s="21">
        <f>IF(AND(D1561="USA",C1561&gt;=1980,J1561="No"),"Yes","No")</f>
        <v/>
      </c>
      <c r="L1561" s="26">
        <f>IF(J1561="Yes","",H1561-I1561)</f>
        <v/>
      </c>
      <c r="M1561" s="27">
        <f>IF(OR(J1561="Yes",I1561=0),"",H1561/I1561)</f>
        <v/>
      </c>
      <c r="N1561" s="21">
        <f>IF(J1561="Yes","",IF(H1561&gt;=I1561,1,0))</f>
        <v/>
      </c>
      <c r="O1561" s="21">
        <f>IF(I1561&lt;=5000000,"Under $5M",IF(I1561&lt;=20000000,"$5M-20M",IF(I1561&lt;=50000000,"$20M-50M",IF(I1561&lt;=100000000,"$50M-100M","$100M+"))))</f>
        <v/>
      </c>
      <c r="P1561" s="21">
        <f>IF(E1561&lt;=90,"90 or less",IF(E1561&lt;=105,"91-105",IF(E1561&lt;=120,"106-120",IF(E1561&lt;=140,"121-140","Over 140"))))</f>
        <v/>
      </c>
      <c r="Q1561" s="28">
        <f>INT(C1561/10)*10</f>
        <v/>
      </c>
    </row>
    <row r="1562">
      <c r="A1562" s="21" t="n">
        <v>1592</v>
      </c>
      <c r="B1562" s="21" t="inlineStr">
        <is>
          <t>Kiss of the Dragon</t>
        </is>
      </c>
      <c r="C1562" s="21" t="n">
        <v>2001</v>
      </c>
      <c r="D1562" s="21" t="inlineStr">
        <is>
          <t>France</t>
        </is>
      </c>
      <c r="E1562" s="21" t="n">
        <v>98</v>
      </c>
      <c r="F1562" s="21" t="inlineStr">
        <is>
          <t>English</t>
        </is>
      </c>
      <c r="G1562" s="21" t="inlineStr">
        <is>
          <t>R</t>
        </is>
      </c>
      <c r="H1562" s="22" t="n">
        <v>36833473</v>
      </c>
      <c r="I1562" s="22" t="n">
        <v>25000000</v>
      </c>
      <c r="J1562" s="21">
        <f>IF(OR(H1562="",H1562=25529689.5),"Yes","No")</f>
        <v/>
      </c>
      <c r="K1562" s="21">
        <f>IF(AND(D1562="USA",C1562&gt;=1980,J1562="No"),"Yes","No")</f>
        <v/>
      </c>
      <c r="L1562" s="26">
        <f>IF(J1562="Yes","",H1562-I1562)</f>
        <v/>
      </c>
      <c r="M1562" s="27">
        <f>IF(OR(J1562="Yes",I1562=0),"",H1562/I1562)</f>
        <v/>
      </c>
      <c r="N1562" s="21">
        <f>IF(J1562="Yes","",IF(H1562&gt;=I1562,1,0))</f>
        <v/>
      </c>
      <c r="O1562" s="21">
        <f>IF(I1562&lt;=5000000,"Under $5M",IF(I1562&lt;=20000000,"$5M-20M",IF(I1562&lt;=50000000,"$20M-50M",IF(I1562&lt;=100000000,"$50M-100M","$100M+"))))</f>
        <v/>
      </c>
      <c r="P1562" s="21">
        <f>IF(E1562&lt;=90,"90 or less",IF(E1562&lt;=105,"91-105",IF(E1562&lt;=120,"106-120",IF(E1562&lt;=140,"121-140","Over 140"))))</f>
        <v/>
      </c>
      <c r="Q1562" s="28">
        <f>INT(C1562/10)*10</f>
        <v/>
      </c>
    </row>
    <row r="1563">
      <c r="A1563" s="21" t="n">
        <v>1593</v>
      </c>
      <c r="B1563" s="21" t="inlineStr">
        <is>
          <t>Kissing Jessica Stein</t>
        </is>
      </c>
      <c r="C1563" s="21" t="n">
        <v>2001</v>
      </c>
      <c r="D1563" s="21" t="inlineStr">
        <is>
          <t>USA</t>
        </is>
      </c>
      <c r="E1563" s="21" t="n">
        <v>97</v>
      </c>
      <c r="F1563" s="21" t="inlineStr">
        <is>
          <t>English</t>
        </is>
      </c>
      <c r="G1563" s="21" t="inlineStr">
        <is>
          <t>R</t>
        </is>
      </c>
      <c r="H1563" s="22" t="n">
        <v>7022940</v>
      </c>
      <c r="I1563" s="22" t="n">
        <v>1000000</v>
      </c>
      <c r="J1563" s="21">
        <f>IF(OR(H1563="",H1563=25529689.5),"Yes","No")</f>
        <v/>
      </c>
      <c r="K1563" s="21">
        <f>IF(AND(D1563="USA",C1563&gt;=1980,J1563="No"),"Yes","No")</f>
        <v/>
      </c>
      <c r="L1563" s="26">
        <f>IF(J1563="Yes","",H1563-I1563)</f>
        <v/>
      </c>
      <c r="M1563" s="27">
        <f>IF(OR(J1563="Yes",I1563=0),"",H1563/I1563)</f>
        <v/>
      </c>
      <c r="N1563" s="21">
        <f>IF(J1563="Yes","",IF(H1563&gt;=I1563,1,0))</f>
        <v/>
      </c>
      <c r="O1563" s="21">
        <f>IF(I1563&lt;=5000000,"Under $5M",IF(I1563&lt;=20000000,"$5M-20M",IF(I1563&lt;=50000000,"$20M-50M",IF(I1563&lt;=100000000,"$50M-100M","$100M+"))))</f>
        <v/>
      </c>
      <c r="P1563" s="21">
        <f>IF(E1563&lt;=90,"90 or less",IF(E1563&lt;=105,"91-105",IF(E1563&lt;=120,"106-120",IF(E1563&lt;=140,"121-140","Over 140"))))</f>
        <v/>
      </c>
      <c r="Q1563" s="28">
        <f>INT(C1563/10)*10</f>
        <v/>
      </c>
    </row>
    <row r="1564">
      <c r="A1564" s="21" t="n">
        <v>1594</v>
      </c>
      <c r="B1564" s="21" t="inlineStr">
        <is>
          <t>Knockaround Guys</t>
        </is>
      </c>
      <c r="C1564" s="21" t="n">
        <v>2001</v>
      </c>
      <c r="D1564" s="21" t="inlineStr">
        <is>
          <t>USA</t>
        </is>
      </c>
      <c r="E1564" s="21" t="n">
        <v>92</v>
      </c>
      <c r="F1564" s="21" t="inlineStr">
        <is>
          <t>English</t>
        </is>
      </c>
      <c r="G1564" s="21" t="inlineStr">
        <is>
          <t>R</t>
        </is>
      </c>
      <c r="H1564" s="22" t="n">
        <v>11632420</v>
      </c>
      <c r="I1564" s="22" t="n">
        <v>20000000</v>
      </c>
      <c r="J1564" s="21">
        <f>IF(OR(H1564="",H1564=25529689.5),"Yes","No")</f>
        <v/>
      </c>
      <c r="K1564" s="21">
        <f>IF(AND(D1564="USA",C1564&gt;=1980,J1564="No"),"Yes","No")</f>
        <v/>
      </c>
      <c r="L1564" s="26">
        <f>IF(J1564="Yes","",H1564-I1564)</f>
        <v/>
      </c>
      <c r="M1564" s="27">
        <f>IF(OR(J1564="Yes",I1564=0),"",H1564/I1564)</f>
        <v/>
      </c>
      <c r="N1564" s="21">
        <f>IF(J1564="Yes","",IF(H1564&gt;=I1564,1,0))</f>
        <v/>
      </c>
      <c r="O1564" s="21">
        <f>IF(I1564&lt;=5000000,"Under $5M",IF(I1564&lt;=20000000,"$5M-20M",IF(I1564&lt;=50000000,"$20M-50M",IF(I1564&lt;=100000000,"$50M-100M","$100M+"))))</f>
        <v/>
      </c>
      <c r="P1564" s="21">
        <f>IF(E1564&lt;=90,"90 or less",IF(E1564&lt;=105,"91-105",IF(E1564&lt;=120,"106-120",IF(E1564&lt;=140,"121-140","Over 140"))))</f>
        <v/>
      </c>
      <c r="Q1564" s="28">
        <f>INT(C1564/10)*10</f>
        <v/>
      </c>
    </row>
    <row r="1565">
      <c r="A1565" s="21" t="n">
        <v>1595</v>
      </c>
      <c r="B1565" s="21" t="inlineStr">
        <is>
          <t>L.I.E.</t>
        </is>
      </c>
      <c r="C1565" s="21" t="n">
        <v>2001</v>
      </c>
      <c r="D1565" s="21" t="inlineStr">
        <is>
          <t>USA</t>
        </is>
      </c>
      <c r="E1565" s="21" t="n">
        <v>97</v>
      </c>
      <c r="F1565" s="21" t="inlineStr">
        <is>
          <t>English</t>
        </is>
      </c>
      <c r="G1565" s="21" t="inlineStr">
        <is>
          <t>NC-17</t>
        </is>
      </c>
      <c r="H1565" s="22" t="n">
        <v>1141829</v>
      </c>
      <c r="I1565" s="22" t="n">
        <v>700000</v>
      </c>
      <c r="J1565" s="21">
        <f>IF(OR(H1565="",H1565=25529689.5),"Yes","No")</f>
        <v/>
      </c>
      <c r="K1565" s="21">
        <f>IF(AND(D1565="USA",C1565&gt;=1980,J1565="No"),"Yes","No")</f>
        <v/>
      </c>
      <c r="L1565" s="26">
        <f>IF(J1565="Yes","",H1565-I1565)</f>
        <v/>
      </c>
      <c r="M1565" s="27">
        <f>IF(OR(J1565="Yes",I1565=0),"",H1565/I1565)</f>
        <v/>
      </c>
      <c r="N1565" s="21">
        <f>IF(J1565="Yes","",IF(H1565&gt;=I1565,1,0))</f>
        <v/>
      </c>
      <c r="O1565" s="21">
        <f>IF(I1565&lt;=5000000,"Under $5M",IF(I1565&lt;=20000000,"$5M-20M",IF(I1565&lt;=50000000,"$20M-50M",IF(I1565&lt;=100000000,"$50M-100M","$100M+"))))</f>
        <v/>
      </c>
      <c r="P1565" s="21">
        <f>IF(E1565&lt;=90,"90 or less",IF(E1565&lt;=105,"91-105",IF(E1565&lt;=120,"106-120",IF(E1565&lt;=140,"121-140","Over 140"))))</f>
        <v/>
      </c>
      <c r="Q1565" s="28">
        <f>INT(C1565/10)*10</f>
        <v/>
      </c>
    </row>
    <row r="1566">
      <c r="A1566" s="21" t="n">
        <v>1596</v>
      </c>
      <c r="B1566" s="21" t="inlineStr">
        <is>
          <t>Lara Croft: Tomb Raider</t>
        </is>
      </c>
      <c r="C1566" s="21" t="n">
        <v>2001</v>
      </c>
      <c r="D1566" s="21" t="inlineStr">
        <is>
          <t>USA</t>
        </is>
      </c>
      <c r="E1566" s="21" t="n">
        <v>100</v>
      </c>
      <c r="F1566" s="21" t="inlineStr">
        <is>
          <t>English</t>
        </is>
      </c>
      <c r="G1566" s="21" t="inlineStr">
        <is>
          <t>PG-13</t>
        </is>
      </c>
      <c r="H1566" s="22" t="n">
        <v>131144183</v>
      </c>
      <c r="I1566" s="22" t="n">
        <v>115000000</v>
      </c>
      <c r="J1566" s="21">
        <f>IF(OR(H1566="",H1566=25529689.5),"Yes","No")</f>
        <v/>
      </c>
      <c r="K1566" s="21">
        <f>IF(AND(D1566="USA",C1566&gt;=1980,J1566="No"),"Yes","No")</f>
        <v/>
      </c>
      <c r="L1566" s="26">
        <f>IF(J1566="Yes","",H1566-I1566)</f>
        <v/>
      </c>
      <c r="M1566" s="27">
        <f>IF(OR(J1566="Yes",I1566=0),"",H1566/I1566)</f>
        <v/>
      </c>
      <c r="N1566" s="21">
        <f>IF(J1566="Yes","",IF(H1566&gt;=I1566,1,0))</f>
        <v/>
      </c>
      <c r="O1566" s="21">
        <f>IF(I1566&lt;=5000000,"Under $5M",IF(I1566&lt;=20000000,"$5M-20M",IF(I1566&lt;=50000000,"$20M-50M",IF(I1566&lt;=100000000,"$50M-100M","$100M+"))))</f>
        <v/>
      </c>
      <c r="P1566" s="21">
        <f>IF(E1566&lt;=90,"90 or less",IF(E1566&lt;=105,"91-105",IF(E1566&lt;=120,"106-120",IF(E1566&lt;=140,"121-140","Over 140"))))</f>
        <v/>
      </c>
      <c r="Q1566" s="28">
        <f>INT(C1566/10)*10</f>
        <v/>
      </c>
    </row>
    <row r="1567">
      <c r="A1567" s="21" t="n">
        <v>1597</v>
      </c>
      <c r="B1567" s="21" t="inlineStr">
        <is>
          <t>Last Orders</t>
        </is>
      </c>
      <c r="C1567" s="21" t="n">
        <v>2001</v>
      </c>
      <c r="D1567" s="21" t="inlineStr">
        <is>
          <t>UK</t>
        </is>
      </c>
      <c r="E1567" s="21" t="n">
        <v>109</v>
      </c>
      <c r="F1567" s="21" t="inlineStr">
        <is>
          <t>English</t>
        </is>
      </c>
      <c r="G1567" s="21" t="inlineStr">
        <is>
          <t>R</t>
        </is>
      </c>
      <c r="H1567" s="22" t="n">
        <v>2326407</v>
      </c>
      <c r="I1567" s="22" t="n">
        <v>12000000</v>
      </c>
      <c r="J1567" s="21">
        <f>IF(OR(H1567="",H1567=25529689.5),"Yes","No")</f>
        <v/>
      </c>
      <c r="K1567" s="21">
        <f>IF(AND(D1567="USA",C1567&gt;=1980,J1567="No"),"Yes","No")</f>
        <v/>
      </c>
      <c r="L1567" s="26">
        <f>IF(J1567="Yes","",H1567-I1567)</f>
        <v/>
      </c>
      <c r="M1567" s="27">
        <f>IF(OR(J1567="Yes",I1567=0),"",H1567/I1567)</f>
        <v/>
      </c>
      <c r="N1567" s="21">
        <f>IF(J1567="Yes","",IF(H1567&gt;=I1567,1,0))</f>
        <v/>
      </c>
      <c r="O1567" s="21">
        <f>IF(I1567&lt;=5000000,"Under $5M",IF(I1567&lt;=20000000,"$5M-20M",IF(I1567&lt;=50000000,"$20M-50M",IF(I1567&lt;=100000000,"$50M-100M","$100M+"))))</f>
        <v/>
      </c>
      <c r="P1567" s="21">
        <f>IF(E1567&lt;=90,"90 or less",IF(E1567&lt;=105,"91-105",IF(E1567&lt;=120,"106-120",IF(E1567&lt;=140,"121-140","Over 140"))))</f>
        <v/>
      </c>
      <c r="Q1567" s="28">
        <f>INT(C1567/10)*10</f>
        <v/>
      </c>
    </row>
    <row r="1568">
      <c r="A1568" s="21" t="n">
        <v>1598</v>
      </c>
      <c r="B1568" s="21" t="inlineStr">
        <is>
          <t>Legally Blonde</t>
        </is>
      </c>
      <c r="C1568" s="21" t="n">
        <v>2001</v>
      </c>
      <c r="D1568" s="21" t="inlineStr">
        <is>
          <t>USA</t>
        </is>
      </c>
      <c r="E1568" s="21" t="n">
        <v>96</v>
      </c>
      <c r="F1568" s="21" t="inlineStr">
        <is>
          <t>English</t>
        </is>
      </c>
      <c r="G1568" s="21" t="inlineStr">
        <is>
          <t>PG-13</t>
        </is>
      </c>
      <c r="H1568" s="22" t="n">
        <v>95001351</v>
      </c>
      <c r="I1568" s="22" t="n">
        <v>18000000</v>
      </c>
      <c r="J1568" s="21">
        <f>IF(OR(H1568="",H1568=25529689.5),"Yes","No")</f>
        <v/>
      </c>
      <c r="K1568" s="21">
        <f>IF(AND(D1568="USA",C1568&gt;=1980,J1568="No"),"Yes","No")</f>
        <v/>
      </c>
      <c r="L1568" s="26">
        <f>IF(J1568="Yes","",H1568-I1568)</f>
        <v/>
      </c>
      <c r="M1568" s="27">
        <f>IF(OR(J1568="Yes",I1568=0),"",H1568/I1568)</f>
        <v/>
      </c>
      <c r="N1568" s="21">
        <f>IF(J1568="Yes","",IF(H1568&gt;=I1568,1,0))</f>
        <v/>
      </c>
      <c r="O1568" s="21">
        <f>IF(I1568&lt;=5000000,"Under $5M",IF(I1568&lt;=20000000,"$5M-20M",IF(I1568&lt;=50000000,"$20M-50M",IF(I1568&lt;=100000000,"$50M-100M","$100M+"))))</f>
        <v/>
      </c>
      <c r="P1568" s="21">
        <f>IF(E1568&lt;=90,"90 or less",IF(E1568&lt;=105,"91-105",IF(E1568&lt;=120,"106-120",IF(E1568&lt;=140,"121-140","Over 140"))))</f>
        <v/>
      </c>
      <c r="Q1568" s="28">
        <f>INT(C1568/10)*10</f>
        <v/>
      </c>
    </row>
    <row r="1569">
      <c r="A1569" s="21" t="n">
        <v>1599</v>
      </c>
      <c r="B1569" s="21" t="inlineStr">
        <is>
          <t>Life as a House</t>
        </is>
      </c>
      <c r="C1569" s="21" t="n">
        <v>2001</v>
      </c>
      <c r="D1569" s="21" t="inlineStr">
        <is>
          <t>USA</t>
        </is>
      </c>
      <c r="E1569" s="21" t="n">
        <v>125</v>
      </c>
      <c r="F1569" s="21" t="inlineStr">
        <is>
          <t>English</t>
        </is>
      </c>
      <c r="G1569" s="21" t="inlineStr">
        <is>
          <t>R</t>
        </is>
      </c>
      <c r="H1569" s="22" t="n">
        <v>15561627</v>
      </c>
      <c r="I1569" s="22" t="n">
        <v>18000000</v>
      </c>
      <c r="J1569" s="21">
        <f>IF(OR(H1569="",H1569=25529689.5),"Yes","No")</f>
        <v/>
      </c>
      <c r="K1569" s="21">
        <f>IF(AND(D1569="USA",C1569&gt;=1980,J1569="No"),"Yes","No")</f>
        <v/>
      </c>
      <c r="L1569" s="26">
        <f>IF(J1569="Yes","",H1569-I1569)</f>
        <v/>
      </c>
      <c r="M1569" s="27">
        <f>IF(OR(J1569="Yes",I1569=0),"",H1569/I1569)</f>
        <v/>
      </c>
      <c r="N1569" s="21">
        <f>IF(J1569="Yes","",IF(H1569&gt;=I1569,1,0))</f>
        <v/>
      </c>
      <c r="O1569" s="21">
        <f>IF(I1569&lt;=5000000,"Under $5M",IF(I1569&lt;=20000000,"$5M-20M",IF(I1569&lt;=50000000,"$20M-50M",IF(I1569&lt;=100000000,"$50M-100M","$100M+"))))</f>
        <v/>
      </c>
      <c r="P1569" s="21">
        <f>IF(E1569&lt;=90,"90 or less",IF(E1569&lt;=105,"91-105",IF(E1569&lt;=120,"106-120",IF(E1569&lt;=140,"121-140","Over 140"))))</f>
        <v/>
      </c>
      <c r="Q1569" s="28">
        <f>INT(C1569/10)*10</f>
        <v/>
      </c>
    </row>
    <row r="1570">
      <c r="A1570" s="21" t="n">
        <v>1600</v>
      </c>
      <c r="B1570" s="21" t="inlineStr">
        <is>
          <t>Lovely &amp; Amazing</t>
        </is>
      </c>
      <c r="C1570" s="21" t="n">
        <v>2001</v>
      </c>
      <c r="D1570" s="21" t="inlineStr">
        <is>
          <t>USA</t>
        </is>
      </c>
      <c r="E1570" s="21" t="n">
        <v>91</v>
      </c>
      <c r="F1570" s="21" t="inlineStr">
        <is>
          <t>English</t>
        </is>
      </c>
      <c r="G1570" s="21" t="inlineStr">
        <is>
          <t>R</t>
        </is>
      </c>
      <c r="H1570" s="22" t="n">
        <v>4186931</v>
      </c>
      <c r="I1570" s="22" t="n">
        <v>250000</v>
      </c>
      <c r="J1570" s="21">
        <f>IF(OR(H1570="",H1570=25529689.5),"Yes","No")</f>
        <v/>
      </c>
      <c r="K1570" s="21">
        <f>IF(AND(D1570="USA",C1570&gt;=1980,J1570="No"),"Yes","No")</f>
        <v/>
      </c>
      <c r="L1570" s="26">
        <f>IF(J1570="Yes","",H1570-I1570)</f>
        <v/>
      </c>
      <c r="M1570" s="27">
        <f>IF(OR(J1570="Yes",I1570=0),"",H1570/I1570)</f>
        <v/>
      </c>
      <c r="N1570" s="21">
        <f>IF(J1570="Yes","",IF(H1570&gt;=I1570,1,0))</f>
        <v/>
      </c>
      <c r="O1570" s="21">
        <f>IF(I1570&lt;=5000000,"Under $5M",IF(I1570&lt;=20000000,"$5M-20M",IF(I1570&lt;=50000000,"$20M-50M",IF(I1570&lt;=100000000,"$50M-100M","$100M+"))))</f>
        <v/>
      </c>
      <c r="P1570" s="21">
        <f>IF(E1570&lt;=90,"90 or less",IF(E1570&lt;=105,"91-105",IF(E1570&lt;=120,"106-120",IF(E1570&lt;=140,"121-140","Over 140"))))</f>
        <v/>
      </c>
      <c r="Q1570" s="28">
        <f>INT(C1570/10)*10</f>
        <v/>
      </c>
    </row>
    <row r="1571">
      <c r="A1571" s="21" t="n">
        <v>1601</v>
      </c>
      <c r="B1571" s="21" t="inlineStr">
        <is>
          <t>Lucky Break</t>
        </is>
      </c>
      <c r="C1571" s="21" t="n">
        <v>2001</v>
      </c>
      <c r="D1571" s="21" t="inlineStr">
        <is>
          <t>UK</t>
        </is>
      </c>
      <c r="E1571" s="21" t="n">
        <v>107</v>
      </c>
      <c r="F1571" s="21" t="inlineStr">
        <is>
          <t>English</t>
        </is>
      </c>
      <c r="G1571" s="21" t="inlineStr">
        <is>
          <t>PG-13</t>
        </is>
      </c>
      <c r="H1571" s="22" t="n">
        <v>54606</v>
      </c>
      <c r="I1571" s="22" t="n">
        <v>6000000</v>
      </c>
      <c r="J1571" s="21">
        <f>IF(OR(H1571="",H1571=25529689.5),"Yes","No")</f>
        <v/>
      </c>
      <c r="K1571" s="21">
        <f>IF(AND(D1571="USA",C1571&gt;=1980,J1571="No"),"Yes","No")</f>
        <v/>
      </c>
      <c r="L1571" s="26">
        <f>IF(J1571="Yes","",H1571-I1571)</f>
        <v/>
      </c>
      <c r="M1571" s="27">
        <f>IF(OR(J1571="Yes",I1571=0),"",H1571/I1571)</f>
        <v/>
      </c>
      <c r="N1571" s="21">
        <f>IF(J1571="Yes","",IF(H1571&gt;=I1571,1,0))</f>
        <v/>
      </c>
      <c r="O1571" s="21">
        <f>IF(I1571&lt;=5000000,"Under $5M",IF(I1571&lt;=20000000,"$5M-20M",IF(I1571&lt;=50000000,"$20M-50M",IF(I1571&lt;=100000000,"$50M-100M","$100M+"))))</f>
        <v/>
      </c>
      <c r="P1571" s="21">
        <f>IF(E1571&lt;=90,"90 or less",IF(E1571&lt;=105,"91-105",IF(E1571&lt;=120,"106-120",IF(E1571&lt;=140,"121-140","Over 140"))))</f>
        <v/>
      </c>
      <c r="Q1571" s="28">
        <f>INT(C1571/10)*10</f>
        <v/>
      </c>
    </row>
    <row r="1572">
      <c r="A1572" s="21" t="n">
        <v>1602</v>
      </c>
      <c r="B1572" s="21" t="inlineStr">
        <is>
          <t>Made</t>
        </is>
      </c>
      <c r="C1572" s="21" t="n">
        <v>2001</v>
      </c>
      <c r="D1572" s="21" t="inlineStr">
        <is>
          <t>USA</t>
        </is>
      </c>
      <c r="E1572" s="21" t="n">
        <v>95</v>
      </c>
      <c r="F1572" s="21" t="inlineStr">
        <is>
          <t>English</t>
        </is>
      </c>
      <c r="G1572" s="21" t="inlineStr">
        <is>
          <t>R</t>
        </is>
      </c>
      <c r="H1572" s="22" t="n">
        <v>5308707</v>
      </c>
      <c r="I1572" s="22" t="n">
        <v>5000000</v>
      </c>
      <c r="J1572" s="21">
        <f>IF(OR(H1572="",H1572=25529689.5),"Yes","No")</f>
        <v/>
      </c>
      <c r="K1572" s="21">
        <f>IF(AND(D1572="USA",C1572&gt;=1980,J1572="No"),"Yes","No")</f>
        <v/>
      </c>
      <c r="L1572" s="26">
        <f>IF(J1572="Yes","",H1572-I1572)</f>
        <v/>
      </c>
      <c r="M1572" s="27">
        <f>IF(OR(J1572="Yes",I1572=0),"",H1572/I1572)</f>
        <v/>
      </c>
      <c r="N1572" s="21">
        <f>IF(J1572="Yes","",IF(H1572&gt;=I1572,1,0))</f>
        <v/>
      </c>
      <c r="O1572" s="21">
        <f>IF(I1572&lt;=5000000,"Under $5M",IF(I1572&lt;=20000000,"$5M-20M",IF(I1572&lt;=50000000,"$20M-50M",IF(I1572&lt;=100000000,"$50M-100M","$100M+"))))</f>
        <v/>
      </c>
      <c r="P1572" s="21">
        <f>IF(E1572&lt;=90,"90 or less",IF(E1572&lt;=105,"91-105",IF(E1572&lt;=120,"106-120",IF(E1572&lt;=140,"121-140","Over 140"))))</f>
        <v/>
      </c>
      <c r="Q1572" s="28">
        <f>INT(C1572/10)*10</f>
        <v/>
      </c>
    </row>
    <row r="1573">
      <c r="A1573" s="21" t="n">
        <v>1603</v>
      </c>
      <c r="B1573" s="21" t="inlineStr">
        <is>
          <t>Madison</t>
        </is>
      </c>
      <c r="C1573" s="21" t="n">
        <v>2001</v>
      </c>
      <c r="D1573" s="21" t="inlineStr">
        <is>
          <t>USA</t>
        </is>
      </c>
      <c r="E1573" s="21" t="n">
        <v>94</v>
      </c>
      <c r="F1573" s="21" t="inlineStr">
        <is>
          <t>English</t>
        </is>
      </c>
      <c r="G1573" s="21" t="inlineStr">
        <is>
          <t>PG</t>
        </is>
      </c>
      <c r="H1573" s="22" t="n">
        <v>508867</v>
      </c>
      <c r="I1573" s="22" t="n">
        <v>20000000</v>
      </c>
      <c r="J1573" s="21">
        <f>IF(OR(H1573="",H1573=25529689.5),"Yes","No")</f>
        <v/>
      </c>
      <c r="K1573" s="21">
        <f>IF(AND(D1573="USA",C1573&gt;=1980,J1573="No"),"Yes","No")</f>
        <v/>
      </c>
      <c r="L1573" s="26">
        <f>IF(J1573="Yes","",H1573-I1573)</f>
        <v/>
      </c>
      <c r="M1573" s="27">
        <f>IF(OR(J1573="Yes",I1573=0),"",H1573/I1573)</f>
        <v/>
      </c>
      <c r="N1573" s="21">
        <f>IF(J1573="Yes","",IF(H1573&gt;=I1573,1,0))</f>
        <v/>
      </c>
      <c r="O1573" s="21">
        <f>IF(I1573&lt;=5000000,"Under $5M",IF(I1573&lt;=20000000,"$5M-20M",IF(I1573&lt;=50000000,"$20M-50M",IF(I1573&lt;=100000000,"$50M-100M","$100M+"))))</f>
        <v/>
      </c>
      <c r="P1573" s="21">
        <f>IF(E1573&lt;=90,"90 or less",IF(E1573&lt;=105,"91-105",IF(E1573&lt;=120,"106-120",IF(E1573&lt;=140,"121-140","Over 140"))))</f>
        <v/>
      </c>
      <c r="Q1573" s="28">
        <f>INT(C1573/10)*10</f>
        <v/>
      </c>
    </row>
    <row r="1574">
      <c r="A1574" s="21" t="n">
        <v>1604</v>
      </c>
      <c r="B1574" s="21" t="inlineStr">
        <is>
          <t>Max Keeble's Big Move</t>
        </is>
      </c>
      <c r="C1574" s="21" t="n">
        <v>2001</v>
      </c>
      <c r="D1574" s="21" t="inlineStr">
        <is>
          <t>USA</t>
        </is>
      </c>
      <c r="E1574" s="21" t="n">
        <v>91</v>
      </c>
      <c r="F1574" s="21" t="inlineStr">
        <is>
          <t>English</t>
        </is>
      </c>
      <c r="G1574" s="21" t="inlineStr">
        <is>
          <t>PG</t>
        </is>
      </c>
      <c r="H1574" s="22" t="n">
        <v>17292381</v>
      </c>
      <c r="I1574" s="22" t="n">
        <v>12000000</v>
      </c>
      <c r="J1574" s="21">
        <f>IF(OR(H1574="",H1574=25529689.5),"Yes","No")</f>
        <v/>
      </c>
      <c r="K1574" s="21">
        <f>IF(AND(D1574="USA",C1574&gt;=1980,J1574="No"),"Yes","No")</f>
        <v/>
      </c>
      <c r="L1574" s="26">
        <f>IF(J1574="Yes","",H1574-I1574)</f>
        <v/>
      </c>
      <c r="M1574" s="27">
        <f>IF(OR(J1574="Yes",I1574=0),"",H1574/I1574)</f>
        <v/>
      </c>
      <c r="N1574" s="21">
        <f>IF(J1574="Yes","",IF(H1574&gt;=I1574,1,0))</f>
        <v/>
      </c>
      <c r="O1574" s="21">
        <f>IF(I1574&lt;=5000000,"Under $5M",IF(I1574&lt;=20000000,"$5M-20M",IF(I1574&lt;=50000000,"$20M-50M",IF(I1574&lt;=100000000,"$50M-100M","$100M+"))))</f>
        <v/>
      </c>
      <c r="P1574" s="21">
        <f>IF(E1574&lt;=90,"90 or less",IF(E1574&lt;=105,"91-105",IF(E1574&lt;=120,"106-120",IF(E1574&lt;=140,"121-140","Over 140"))))</f>
        <v/>
      </c>
      <c r="Q1574" s="28">
        <f>INT(C1574/10)*10</f>
        <v/>
      </c>
    </row>
    <row r="1575">
      <c r="A1575" s="21" t="n">
        <v>1605</v>
      </c>
      <c r="B1575" s="21" t="inlineStr">
        <is>
          <t>Mean Machine</t>
        </is>
      </c>
      <c r="C1575" s="21" t="n">
        <v>2001</v>
      </c>
      <c r="D1575" s="21" t="inlineStr">
        <is>
          <t>UK</t>
        </is>
      </c>
      <c r="E1575" s="21" t="n">
        <v>99</v>
      </c>
      <c r="F1575" s="21" t="inlineStr">
        <is>
          <t>English</t>
        </is>
      </c>
      <c r="G1575" s="21" t="inlineStr">
        <is>
          <t>R</t>
        </is>
      </c>
      <c r="H1575" s="22" t="n">
        <v>92191</v>
      </c>
      <c r="I1575" s="22" t="n">
        <v>2500000</v>
      </c>
      <c r="J1575" s="21">
        <f>IF(OR(H1575="",H1575=25529689.5),"Yes","No")</f>
        <v/>
      </c>
      <c r="K1575" s="21">
        <f>IF(AND(D1575="USA",C1575&gt;=1980,J1575="No"),"Yes","No")</f>
        <v/>
      </c>
      <c r="L1575" s="26">
        <f>IF(J1575="Yes","",H1575-I1575)</f>
        <v/>
      </c>
      <c r="M1575" s="27">
        <f>IF(OR(J1575="Yes",I1575=0),"",H1575/I1575)</f>
        <v/>
      </c>
      <c r="N1575" s="21">
        <f>IF(J1575="Yes","",IF(H1575&gt;=I1575,1,0))</f>
        <v/>
      </c>
      <c r="O1575" s="21">
        <f>IF(I1575&lt;=5000000,"Under $5M",IF(I1575&lt;=20000000,"$5M-20M",IF(I1575&lt;=50000000,"$20M-50M",IF(I1575&lt;=100000000,"$50M-100M","$100M+"))))</f>
        <v/>
      </c>
      <c r="P1575" s="21">
        <f>IF(E1575&lt;=90,"90 or less",IF(E1575&lt;=105,"91-105",IF(E1575&lt;=120,"106-120",IF(E1575&lt;=140,"121-140","Over 140"))))</f>
        <v/>
      </c>
      <c r="Q1575" s="28">
        <f>INT(C1575/10)*10</f>
        <v/>
      </c>
    </row>
    <row r="1576">
      <c r="A1576" s="21" t="n">
        <v>1606</v>
      </c>
      <c r="B1576" s="21" t="inlineStr">
        <is>
          <t>Megiddo: The Omega Code 2</t>
        </is>
      </c>
      <c r="C1576" s="21" t="n">
        <v>2001</v>
      </c>
      <c r="D1576" s="21" t="inlineStr">
        <is>
          <t>USA</t>
        </is>
      </c>
      <c r="E1576" s="21" t="n">
        <v>104</v>
      </c>
      <c r="F1576" s="21" t="inlineStr">
        <is>
          <t>English</t>
        </is>
      </c>
      <c r="G1576" s="21" t="inlineStr">
        <is>
          <t>PG-13</t>
        </is>
      </c>
      <c r="H1576" s="22" t="n">
        <v>5974653</v>
      </c>
      <c r="I1576" s="22" t="n">
        <v>22000000</v>
      </c>
      <c r="J1576" s="21">
        <f>IF(OR(H1576="",H1576=25529689.5),"Yes","No")</f>
        <v/>
      </c>
      <c r="K1576" s="21">
        <f>IF(AND(D1576="USA",C1576&gt;=1980,J1576="No"),"Yes","No")</f>
        <v/>
      </c>
      <c r="L1576" s="26">
        <f>IF(J1576="Yes","",H1576-I1576)</f>
        <v/>
      </c>
      <c r="M1576" s="27">
        <f>IF(OR(J1576="Yes",I1576=0),"",H1576/I1576)</f>
        <v/>
      </c>
      <c r="N1576" s="21">
        <f>IF(J1576="Yes","",IF(H1576&gt;=I1576,1,0))</f>
        <v/>
      </c>
      <c r="O1576" s="21">
        <f>IF(I1576&lt;=5000000,"Under $5M",IF(I1576&lt;=20000000,"$5M-20M",IF(I1576&lt;=50000000,"$20M-50M",IF(I1576&lt;=100000000,"$50M-100M","$100M+"))))</f>
        <v/>
      </c>
      <c r="P1576" s="21">
        <f>IF(E1576&lt;=90,"90 or less",IF(E1576&lt;=105,"91-105",IF(E1576&lt;=120,"106-120",IF(E1576&lt;=140,"121-140","Over 140"))))</f>
        <v/>
      </c>
      <c r="Q1576" s="28">
        <f>INT(C1576/10)*10</f>
        <v/>
      </c>
    </row>
    <row r="1577">
      <c r="A1577" s="21" t="n">
        <v>1607</v>
      </c>
      <c r="B1577" s="21" t="inlineStr">
        <is>
          <t>Monkeybone</t>
        </is>
      </c>
      <c r="C1577" s="21" t="n">
        <v>2001</v>
      </c>
      <c r="D1577" s="21" t="inlineStr">
        <is>
          <t>USA</t>
        </is>
      </c>
      <c r="E1577" s="21" t="n">
        <v>93</v>
      </c>
      <c r="F1577" s="21" t="inlineStr">
        <is>
          <t>English</t>
        </is>
      </c>
      <c r="G1577" s="21" t="inlineStr">
        <is>
          <t>PG-13</t>
        </is>
      </c>
      <c r="H1577" s="22" t="n">
        <v>5409517</v>
      </c>
      <c r="I1577" s="22" t="n">
        <v>75000000</v>
      </c>
      <c r="J1577" s="21">
        <f>IF(OR(H1577="",H1577=25529689.5),"Yes","No")</f>
        <v/>
      </c>
      <c r="K1577" s="21">
        <f>IF(AND(D1577="USA",C1577&gt;=1980,J1577="No"),"Yes","No")</f>
        <v/>
      </c>
      <c r="L1577" s="26">
        <f>IF(J1577="Yes","",H1577-I1577)</f>
        <v/>
      </c>
      <c r="M1577" s="27">
        <f>IF(OR(J1577="Yes",I1577=0),"",H1577/I1577)</f>
        <v/>
      </c>
      <c r="N1577" s="21">
        <f>IF(J1577="Yes","",IF(H1577&gt;=I1577,1,0))</f>
        <v/>
      </c>
      <c r="O1577" s="21">
        <f>IF(I1577&lt;=5000000,"Under $5M",IF(I1577&lt;=20000000,"$5M-20M",IF(I1577&lt;=50000000,"$20M-50M",IF(I1577&lt;=100000000,"$50M-100M","$100M+"))))</f>
        <v/>
      </c>
      <c r="P1577" s="21">
        <f>IF(E1577&lt;=90,"90 or less",IF(E1577&lt;=105,"91-105",IF(E1577&lt;=120,"106-120",IF(E1577&lt;=140,"121-140","Over 140"))))</f>
        <v/>
      </c>
      <c r="Q1577" s="28">
        <f>INT(C1577/10)*10</f>
        <v/>
      </c>
    </row>
    <row r="1578">
      <c r="A1578" s="21" t="n">
        <v>1608</v>
      </c>
      <c r="B1578" s="21" t="inlineStr">
        <is>
          <t>Monsoon Wedding</t>
        </is>
      </c>
      <c r="C1578" s="21" t="n">
        <v>2001</v>
      </c>
      <c r="D1578" s="21" t="inlineStr">
        <is>
          <t>India</t>
        </is>
      </c>
      <c r="E1578" s="21" t="n">
        <v>114</v>
      </c>
      <c r="F1578" s="21" t="inlineStr">
        <is>
          <t>Hindi</t>
        </is>
      </c>
      <c r="G1578" s="21" t="inlineStr">
        <is>
          <t>R</t>
        </is>
      </c>
      <c r="H1578" s="22" t="n">
        <v>13876974</v>
      </c>
      <c r="I1578" s="22" t="n">
        <v>7000000</v>
      </c>
      <c r="J1578" s="21">
        <f>IF(OR(H1578="",H1578=25529689.5),"Yes","No")</f>
        <v/>
      </c>
      <c r="K1578" s="21">
        <f>IF(AND(D1578="USA",C1578&gt;=1980,J1578="No"),"Yes","No")</f>
        <v/>
      </c>
      <c r="L1578" s="26">
        <f>IF(J1578="Yes","",H1578-I1578)</f>
        <v/>
      </c>
      <c r="M1578" s="27">
        <f>IF(OR(J1578="Yes",I1578=0),"",H1578/I1578)</f>
        <v/>
      </c>
      <c r="N1578" s="21">
        <f>IF(J1578="Yes","",IF(H1578&gt;=I1578,1,0))</f>
        <v/>
      </c>
      <c r="O1578" s="21">
        <f>IF(I1578&lt;=5000000,"Under $5M",IF(I1578&lt;=20000000,"$5M-20M",IF(I1578&lt;=50000000,"$20M-50M",IF(I1578&lt;=100000000,"$50M-100M","$100M+"))))</f>
        <v/>
      </c>
      <c r="P1578" s="21">
        <f>IF(E1578&lt;=90,"90 or less",IF(E1578&lt;=105,"91-105",IF(E1578&lt;=120,"106-120",IF(E1578&lt;=140,"121-140","Over 140"))))</f>
        <v/>
      </c>
      <c r="Q1578" s="28">
        <f>INT(C1578/10)*10</f>
        <v/>
      </c>
    </row>
    <row r="1579">
      <c r="A1579" s="21" t="n">
        <v>1609</v>
      </c>
      <c r="B1579" s="21" t="inlineStr">
        <is>
          <t>Monster's Ball</t>
        </is>
      </c>
      <c r="C1579" s="21" t="n">
        <v>2001</v>
      </c>
      <c r="D1579" s="21" t="inlineStr">
        <is>
          <t>USA</t>
        </is>
      </c>
      <c r="E1579" s="21" t="n">
        <v>112</v>
      </c>
      <c r="F1579" s="21" t="inlineStr">
        <is>
          <t>English</t>
        </is>
      </c>
      <c r="G1579" s="21" t="inlineStr">
        <is>
          <t>R</t>
        </is>
      </c>
      <c r="H1579" s="22" t="n">
        <v>31252964</v>
      </c>
      <c r="I1579" s="22" t="n">
        <v>4000000</v>
      </c>
      <c r="J1579" s="21">
        <f>IF(OR(H1579="",H1579=25529689.5),"Yes","No")</f>
        <v/>
      </c>
      <c r="K1579" s="21">
        <f>IF(AND(D1579="USA",C1579&gt;=1980,J1579="No"),"Yes","No")</f>
        <v/>
      </c>
      <c r="L1579" s="26">
        <f>IF(J1579="Yes","",H1579-I1579)</f>
        <v/>
      </c>
      <c r="M1579" s="27">
        <f>IF(OR(J1579="Yes",I1579=0),"",H1579/I1579)</f>
        <v/>
      </c>
      <c r="N1579" s="21">
        <f>IF(J1579="Yes","",IF(H1579&gt;=I1579,1,0))</f>
        <v/>
      </c>
      <c r="O1579" s="21">
        <f>IF(I1579&lt;=5000000,"Under $5M",IF(I1579&lt;=20000000,"$5M-20M",IF(I1579&lt;=50000000,"$20M-50M",IF(I1579&lt;=100000000,"$50M-100M","$100M+"))))</f>
        <v/>
      </c>
      <c r="P1579" s="21">
        <f>IF(E1579&lt;=90,"90 or less",IF(E1579&lt;=105,"91-105",IF(E1579&lt;=120,"106-120",IF(E1579&lt;=140,"121-140","Over 140"))))</f>
        <v/>
      </c>
      <c r="Q1579" s="28">
        <f>INT(C1579/10)*10</f>
        <v/>
      </c>
    </row>
    <row r="1580">
      <c r="A1580" s="21" t="n">
        <v>1610</v>
      </c>
      <c r="B1580" s="21" t="inlineStr">
        <is>
          <t>Monsters, Inc.</t>
        </is>
      </c>
      <c r="C1580" s="21" t="n">
        <v>2001</v>
      </c>
      <c r="D1580" s="21" t="inlineStr">
        <is>
          <t>USA</t>
        </is>
      </c>
      <c r="E1580" s="21" t="n">
        <v>92</v>
      </c>
      <c r="F1580" s="21" t="inlineStr">
        <is>
          <t>English</t>
        </is>
      </c>
      <c r="G1580" s="21" t="inlineStr">
        <is>
          <t>G</t>
        </is>
      </c>
      <c r="H1580" s="22" t="n">
        <v>289907418</v>
      </c>
      <c r="I1580" s="22" t="n">
        <v>115000000</v>
      </c>
      <c r="J1580" s="21">
        <f>IF(OR(H1580="",H1580=25529689.5),"Yes","No")</f>
        <v/>
      </c>
      <c r="K1580" s="21">
        <f>IF(AND(D1580="USA",C1580&gt;=1980,J1580="No"),"Yes","No")</f>
        <v/>
      </c>
      <c r="L1580" s="26">
        <f>IF(J1580="Yes","",H1580-I1580)</f>
        <v/>
      </c>
      <c r="M1580" s="27">
        <f>IF(OR(J1580="Yes",I1580=0),"",H1580/I1580)</f>
        <v/>
      </c>
      <c r="N1580" s="21">
        <f>IF(J1580="Yes","",IF(H1580&gt;=I1580,1,0))</f>
        <v/>
      </c>
      <c r="O1580" s="21">
        <f>IF(I1580&lt;=5000000,"Under $5M",IF(I1580&lt;=20000000,"$5M-20M",IF(I1580&lt;=50000000,"$20M-50M",IF(I1580&lt;=100000000,"$50M-100M","$100M+"))))</f>
        <v/>
      </c>
      <c r="P1580" s="21">
        <f>IF(E1580&lt;=90,"90 or less",IF(E1580&lt;=105,"91-105",IF(E1580&lt;=120,"106-120",IF(E1580&lt;=140,"121-140","Over 140"))))</f>
        <v/>
      </c>
      <c r="Q1580" s="28">
        <f>INT(C1580/10)*10</f>
        <v/>
      </c>
    </row>
    <row r="1581">
      <c r="A1581" s="21" t="n">
        <v>1611</v>
      </c>
      <c r="B1581" s="21" t="inlineStr">
        <is>
          <t>Moulin Rouge!</t>
        </is>
      </c>
      <c r="C1581" s="21" t="n">
        <v>2001</v>
      </c>
      <c r="D1581" s="21" t="inlineStr">
        <is>
          <t>USA</t>
        </is>
      </c>
      <c r="E1581" s="21" t="n">
        <v>127</v>
      </c>
      <c r="F1581" s="21" t="inlineStr">
        <is>
          <t>English</t>
        </is>
      </c>
      <c r="G1581" s="21" t="inlineStr">
        <is>
          <t>PG-13</t>
        </is>
      </c>
      <c r="H1581" s="22" t="n">
        <v>57386369</v>
      </c>
      <c r="I1581" s="22" t="n">
        <v>52500000</v>
      </c>
      <c r="J1581" s="21">
        <f>IF(OR(H1581="",H1581=25529689.5),"Yes","No")</f>
        <v/>
      </c>
      <c r="K1581" s="21">
        <f>IF(AND(D1581="USA",C1581&gt;=1980,J1581="No"),"Yes","No")</f>
        <v/>
      </c>
      <c r="L1581" s="26">
        <f>IF(J1581="Yes","",H1581-I1581)</f>
        <v/>
      </c>
      <c r="M1581" s="27">
        <f>IF(OR(J1581="Yes",I1581=0),"",H1581/I1581)</f>
        <v/>
      </c>
      <c r="N1581" s="21">
        <f>IF(J1581="Yes","",IF(H1581&gt;=I1581,1,0))</f>
        <v/>
      </c>
      <c r="O1581" s="21">
        <f>IF(I1581&lt;=5000000,"Under $5M",IF(I1581&lt;=20000000,"$5M-20M",IF(I1581&lt;=50000000,"$20M-50M",IF(I1581&lt;=100000000,"$50M-100M","$100M+"))))</f>
        <v/>
      </c>
      <c r="P1581" s="21">
        <f>IF(E1581&lt;=90,"90 or less",IF(E1581&lt;=105,"91-105",IF(E1581&lt;=120,"106-120",IF(E1581&lt;=140,"121-140","Over 140"))))</f>
        <v/>
      </c>
      <c r="Q1581" s="28">
        <f>INT(C1581/10)*10</f>
        <v/>
      </c>
    </row>
    <row r="1582">
      <c r="A1582" s="21" t="n">
        <v>1612</v>
      </c>
      <c r="B1582" s="21" t="inlineStr">
        <is>
          <t>Mulholland Drive</t>
        </is>
      </c>
      <c r="C1582" s="21" t="n">
        <v>2001</v>
      </c>
      <c r="D1582" s="21" t="inlineStr">
        <is>
          <t>France</t>
        </is>
      </c>
      <c r="E1582" s="21" t="n">
        <v>147</v>
      </c>
      <c r="F1582" s="21" t="inlineStr">
        <is>
          <t>English</t>
        </is>
      </c>
      <c r="G1582" s="21" t="inlineStr">
        <is>
          <t>R</t>
        </is>
      </c>
      <c r="H1582" s="22" t="n">
        <v>7219578</v>
      </c>
      <c r="I1582" s="22" t="n">
        <v>15000000</v>
      </c>
      <c r="J1582" s="21">
        <f>IF(OR(H1582="",H1582=25529689.5),"Yes","No")</f>
        <v/>
      </c>
      <c r="K1582" s="21">
        <f>IF(AND(D1582="USA",C1582&gt;=1980,J1582="No"),"Yes","No")</f>
        <v/>
      </c>
      <c r="L1582" s="26">
        <f>IF(J1582="Yes","",H1582-I1582)</f>
        <v/>
      </c>
      <c r="M1582" s="27">
        <f>IF(OR(J1582="Yes",I1582=0),"",H1582/I1582)</f>
        <v/>
      </c>
      <c r="N1582" s="21">
        <f>IF(J1582="Yes","",IF(H1582&gt;=I1582,1,0))</f>
        <v/>
      </c>
      <c r="O1582" s="21">
        <f>IF(I1582&lt;=5000000,"Under $5M",IF(I1582&lt;=20000000,"$5M-20M",IF(I1582&lt;=50000000,"$20M-50M",IF(I1582&lt;=100000000,"$50M-100M","$100M+"))))</f>
        <v/>
      </c>
      <c r="P1582" s="21">
        <f>IF(E1582&lt;=90,"90 or less",IF(E1582&lt;=105,"91-105",IF(E1582&lt;=120,"106-120",IF(E1582&lt;=140,"121-140","Over 140"))))</f>
        <v/>
      </c>
      <c r="Q1582" s="28">
        <f>INT(C1582/10)*10</f>
        <v/>
      </c>
    </row>
    <row r="1583">
      <c r="A1583" s="21" t="n">
        <v>1613</v>
      </c>
      <c r="B1583" s="21" t="inlineStr">
        <is>
          <t>Never Again</t>
        </is>
      </c>
      <c r="C1583" s="21" t="n">
        <v>2001</v>
      </c>
      <c r="D1583" s="21" t="inlineStr">
        <is>
          <t>USA</t>
        </is>
      </c>
      <c r="E1583" s="21" t="n">
        <v>98</v>
      </c>
      <c r="F1583" s="21" t="inlineStr">
        <is>
          <t>English</t>
        </is>
      </c>
      <c r="G1583" s="21" t="inlineStr">
        <is>
          <t>R</t>
        </is>
      </c>
      <c r="H1583" s="22" t="n">
        <v>295468</v>
      </c>
      <c r="I1583" s="22" t="n">
        <v>500000</v>
      </c>
      <c r="J1583" s="21">
        <f>IF(OR(H1583="",H1583=25529689.5),"Yes","No")</f>
        <v/>
      </c>
      <c r="K1583" s="21">
        <f>IF(AND(D1583="USA",C1583&gt;=1980,J1583="No"),"Yes","No")</f>
        <v/>
      </c>
      <c r="L1583" s="26">
        <f>IF(J1583="Yes","",H1583-I1583)</f>
        <v/>
      </c>
      <c r="M1583" s="27">
        <f>IF(OR(J1583="Yes",I1583=0),"",H1583/I1583)</f>
        <v/>
      </c>
      <c r="N1583" s="21">
        <f>IF(J1583="Yes","",IF(H1583&gt;=I1583,1,0))</f>
        <v/>
      </c>
      <c r="O1583" s="21">
        <f>IF(I1583&lt;=5000000,"Under $5M",IF(I1583&lt;=20000000,"$5M-20M",IF(I1583&lt;=50000000,"$20M-50M",IF(I1583&lt;=100000000,"$50M-100M","$100M+"))))</f>
        <v/>
      </c>
      <c r="P1583" s="21">
        <f>IF(E1583&lt;=90,"90 or less",IF(E1583&lt;=105,"91-105",IF(E1583&lt;=120,"106-120",IF(E1583&lt;=140,"121-140","Over 140"))))</f>
        <v/>
      </c>
      <c r="Q1583" s="28">
        <f>INT(C1583/10)*10</f>
        <v/>
      </c>
    </row>
    <row r="1584">
      <c r="A1584" s="21" t="n">
        <v>1614</v>
      </c>
      <c r="B1584" s="21" t="inlineStr">
        <is>
          <t>Not Another Teen Movie</t>
        </is>
      </c>
      <c r="C1584" s="21" t="n">
        <v>2001</v>
      </c>
      <c r="D1584" s="21" t="inlineStr">
        <is>
          <t>USA</t>
        </is>
      </c>
      <c r="E1584" s="21" t="n">
        <v>99</v>
      </c>
      <c r="F1584" s="21" t="inlineStr">
        <is>
          <t>English</t>
        </is>
      </c>
      <c r="G1584" s="21" t="inlineStr">
        <is>
          <t>R</t>
        </is>
      </c>
      <c r="H1584" s="22" t="n">
        <v>37882551</v>
      </c>
      <c r="I1584" s="22" t="n">
        <v>16000000</v>
      </c>
      <c r="J1584" s="21">
        <f>IF(OR(H1584="",H1584=25529689.5),"Yes","No")</f>
        <v/>
      </c>
      <c r="K1584" s="21">
        <f>IF(AND(D1584="USA",C1584&gt;=1980,J1584="No"),"Yes","No")</f>
        <v/>
      </c>
      <c r="L1584" s="26">
        <f>IF(J1584="Yes","",H1584-I1584)</f>
        <v/>
      </c>
      <c r="M1584" s="27">
        <f>IF(OR(J1584="Yes",I1584=0),"",H1584/I1584)</f>
        <v/>
      </c>
      <c r="N1584" s="21">
        <f>IF(J1584="Yes","",IF(H1584&gt;=I1584,1,0))</f>
        <v/>
      </c>
      <c r="O1584" s="21">
        <f>IF(I1584&lt;=5000000,"Under $5M",IF(I1584&lt;=20000000,"$5M-20M",IF(I1584&lt;=50000000,"$20M-50M",IF(I1584&lt;=100000000,"$50M-100M","$100M+"))))</f>
        <v/>
      </c>
      <c r="P1584" s="21">
        <f>IF(E1584&lt;=90,"90 or less",IF(E1584&lt;=105,"91-105",IF(E1584&lt;=120,"106-120",IF(E1584&lt;=140,"121-140","Over 140"))))</f>
        <v/>
      </c>
      <c r="Q1584" s="28">
        <f>INT(C1584/10)*10</f>
        <v/>
      </c>
    </row>
    <row r="1585">
      <c r="A1585" s="21" t="n">
        <v>1615</v>
      </c>
      <c r="B1585" s="21" t="inlineStr">
        <is>
          <t>Novocaine</t>
        </is>
      </c>
      <c r="C1585" s="21" t="n">
        <v>2001</v>
      </c>
      <c r="D1585" s="21" t="inlineStr">
        <is>
          <t>USA</t>
        </is>
      </c>
      <c r="E1585" s="21" t="n">
        <v>95</v>
      </c>
      <c r="F1585" s="21" t="inlineStr">
        <is>
          <t>English</t>
        </is>
      </c>
      <c r="G1585" s="21" t="inlineStr">
        <is>
          <t>R</t>
        </is>
      </c>
      <c r="H1585" s="22" t="n">
        <v>2025238</v>
      </c>
      <c r="I1585" s="22" t="n">
        <v>6000000</v>
      </c>
      <c r="J1585" s="21">
        <f>IF(OR(H1585="",H1585=25529689.5),"Yes","No")</f>
        <v/>
      </c>
      <c r="K1585" s="21">
        <f>IF(AND(D1585="USA",C1585&gt;=1980,J1585="No"),"Yes","No")</f>
        <v/>
      </c>
      <c r="L1585" s="26">
        <f>IF(J1585="Yes","",H1585-I1585)</f>
        <v/>
      </c>
      <c r="M1585" s="27">
        <f>IF(OR(J1585="Yes",I1585=0),"",H1585/I1585)</f>
        <v/>
      </c>
      <c r="N1585" s="21">
        <f>IF(J1585="Yes","",IF(H1585&gt;=I1585,1,0))</f>
        <v/>
      </c>
      <c r="O1585" s="21">
        <f>IF(I1585&lt;=5000000,"Under $5M",IF(I1585&lt;=20000000,"$5M-20M",IF(I1585&lt;=50000000,"$20M-50M",IF(I1585&lt;=100000000,"$50M-100M","$100M+"))))</f>
        <v/>
      </c>
      <c r="P1585" s="21">
        <f>IF(E1585&lt;=90,"90 or less",IF(E1585&lt;=105,"91-105",IF(E1585&lt;=120,"106-120",IF(E1585&lt;=140,"121-140","Over 140"))))</f>
        <v/>
      </c>
      <c r="Q1585" s="28">
        <f>INT(C1585/10)*10</f>
        <v/>
      </c>
    </row>
    <row r="1586">
      <c r="A1586" s="21" t="n">
        <v>1616</v>
      </c>
      <c r="B1586" s="21" t="inlineStr">
        <is>
          <t>Nowhere in Africa</t>
        </is>
      </c>
      <c r="C1586" s="21" t="n">
        <v>2001</v>
      </c>
      <c r="D1586" s="21" t="inlineStr">
        <is>
          <t>Germany</t>
        </is>
      </c>
      <c r="E1586" s="21" t="n">
        <v>141</v>
      </c>
      <c r="F1586" s="21" t="inlineStr">
        <is>
          <t>English</t>
        </is>
      </c>
      <c r="G1586" s="21" t="inlineStr">
        <is>
          <t>R</t>
        </is>
      </c>
      <c r="H1586" s="22" t="n">
        <v>6173485</v>
      </c>
      <c r="I1586" s="22" t="n">
        <v>7000000</v>
      </c>
      <c r="J1586" s="21">
        <f>IF(OR(H1586="",H1586=25529689.5),"Yes","No")</f>
        <v/>
      </c>
      <c r="K1586" s="21">
        <f>IF(AND(D1586="USA",C1586&gt;=1980,J1586="No"),"Yes","No")</f>
        <v/>
      </c>
      <c r="L1586" s="26">
        <f>IF(J1586="Yes","",H1586-I1586)</f>
        <v/>
      </c>
      <c r="M1586" s="27">
        <f>IF(OR(J1586="Yes",I1586=0),"",H1586/I1586)</f>
        <v/>
      </c>
      <c r="N1586" s="21">
        <f>IF(J1586="Yes","",IF(H1586&gt;=I1586,1,0))</f>
        <v/>
      </c>
      <c r="O1586" s="21">
        <f>IF(I1586&lt;=5000000,"Under $5M",IF(I1586&lt;=20000000,"$5M-20M",IF(I1586&lt;=50000000,"$20M-50M",IF(I1586&lt;=100000000,"$50M-100M","$100M+"))))</f>
        <v/>
      </c>
      <c r="P1586" s="21">
        <f>IF(E1586&lt;=90,"90 or less",IF(E1586&lt;=105,"91-105",IF(E1586&lt;=120,"106-120",IF(E1586&lt;=140,"121-140","Over 140"))))</f>
        <v/>
      </c>
      <c r="Q1586" s="28">
        <f>INT(C1586/10)*10</f>
        <v/>
      </c>
    </row>
    <row r="1587">
      <c r="A1587" s="21" t="n">
        <v>1617</v>
      </c>
      <c r="B1587" s="21" t="inlineStr">
        <is>
          <t>O</t>
        </is>
      </c>
      <c r="C1587" s="21" t="n">
        <v>2001</v>
      </c>
      <c r="D1587" s="21" t="inlineStr">
        <is>
          <t>USA</t>
        </is>
      </c>
      <c r="E1587" s="21" t="n">
        <v>95</v>
      </c>
      <c r="F1587" s="21" t="inlineStr">
        <is>
          <t>English</t>
        </is>
      </c>
      <c r="G1587" s="21" t="inlineStr">
        <is>
          <t>R</t>
        </is>
      </c>
      <c r="H1587" s="22" t="n">
        <v>16017403</v>
      </c>
      <c r="I1587" s="22" t="n">
        <v>5000000</v>
      </c>
      <c r="J1587" s="21">
        <f>IF(OR(H1587="",H1587=25529689.5),"Yes","No")</f>
        <v/>
      </c>
      <c r="K1587" s="21">
        <f>IF(AND(D1587="USA",C1587&gt;=1980,J1587="No"),"Yes","No")</f>
        <v/>
      </c>
      <c r="L1587" s="26">
        <f>IF(J1587="Yes","",H1587-I1587)</f>
        <v/>
      </c>
      <c r="M1587" s="27">
        <f>IF(OR(J1587="Yes",I1587=0),"",H1587/I1587)</f>
        <v/>
      </c>
      <c r="N1587" s="21">
        <f>IF(J1587="Yes","",IF(H1587&gt;=I1587,1,0))</f>
        <v/>
      </c>
      <c r="O1587" s="21">
        <f>IF(I1587&lt;=5000000,"Under $5M",IF(I1587&lt;=20000000,"$5M-20M",IF(I1587&lt;=50000000,"$20M-50M",IF(I1587&lt;=100000000,"$50M-100M","$100M+"))))</f>
        <v/>
      </c>
      <c r="P1587" s="21">
        <f>IF(E1587&lt;=90,"90 or less",IF(E1587&lt;=105,"91-105",IF(E1587&lt;=120,"106-120",IF(E1587&lt;=140,"121-140","Over 140"))))</f>
        <v/>
      </c>
      <c r="Q1587" s="28">
        <f>INT(C1587/10)*10</f>
        <v/>
      </c>
    </row>
    <row r="1588">
      <c r="A1588" s="21" t="n">
        <v>1619</v>
      </c>
      <c r="B1588" s="21" t="inlineStr">
        <is>
          <t>Ocean's Eleven</t>
        </is>
      </c>
      <c r="C1588" s="21" t="n">
        <v>2001</v>
      </c>
      <c r="D1588" s="21" t="inlineStr">
        <is>
          <t>USA</t>
        </is>
      </c>
      <c r="E1588" s="21" t="n">
        <v>116</v>
      </c>
      <c r="F1588" s="21" t="inlineStr">
        <is>
          <t>English</t>
        </is>
      </c>
      <c r="G1588" s="21" t="inlineStr">
        <is>
          <t>PG-13</t>
        </is>
      </c>
      <c r="H1588" s="22" t="n">
        <v>183405771</v>
      </c>
      <c r="I1588" s="22" t="n">
        <v>85000000</v>
      </c>
      <c r="J1588" s="21">
        <f>IF(OR(H1588="",H1588=25529689.5),"Yes","No")</f>
        <v/>
      </c>
      <c r="K1588" s="21">
        <f>IF(AND(D1588="USA",C1588&gt;=1980,J1588="No"),"Yes","No")</f>
        <v/>
      </c>
      <c r="L1588" s="26">
        <f>IF(J1588="Yes","",H1588-I1588)</f>
        <v/>
      </c>
      <c r="M1588" s="27">
        <f>IF(OR(J1588="Yes",I1588=0),"",H1588/I1588)</f>
        <v/>
      </c>
      <c r="N1588" s="21">
        <f>IF(J1588="Yes","",IF(H1588&gt;=I1588,1,0))</f>
        <v/>
      </c>
      <c r="O1588" s="21">
        <f>IF(I1588&lt;=5000000,"Under $5M",IF(I1588&lt;=20000000,"$5M-20M",IF(I1588&lt;=50000000,"$20M-50M",IF(I1588&lt;=100000000,"$50M-100M","$100M+"))))</f>
        <v/>
      </c>
      <c r="P1588" s="21">
        <f>IF(E1588&lt;=90,"90 or less",IF(E1588&lt;=105,"91-105",IF(E1588&lt;=120,"106-120",IF(E1588&lt;=140,"121-140","Over 140"))))</f>
        <v/>
      </c>
      <c r="Q1588" s="28">
        <f>INT(C1588/10)*10</f>
        <v/>
      </c>
    </row>
    <row r="1589">
      <c r="A1589" s="21" t="n">
        <v>1620</v>
      </c>
      <c r="B1589" s="21" t="inlineStr">
        <is>
          <t>On the Line</t>
        </is>
      </c>
      <c r="C1589" s="21" t="n">
        <v>2001</v>
      </c>
      <c r="D1589" s="21" t="inlineStr">
        <is>
          <t>USA</t>
        </is>
      </c>
      <c r="E1589" s="21" t="n">
        <v>85</v>
      </c>
      <c r="F1589" s="21" t="inlineStr">
        <is>
          <t>English</t>
        </is>
      </c>
      <c r="G1589" s="21" t="inlineStr">
        <is>
          <t>PG</t>
        </is>
      </c>
      <c r="H1589" s="22" t="n">
        <v>4356743</v>
      </c>
      <c r="I1589" s="22" t="n">
        <v>16000000</v>
      </c>
      <c r="J1589" s="21">
        <f>IF(OR(H1589="",H1589=25529689.5),"Yes","No")</f>
        <v/>
      </c>
      <c r="K1589" s="21">
        <f>IF(AND(D1589="USA",C1589&gt;=1980,J1589="No"),"Yes","No")</f>
        <v/>
      </c>
      <c r="L1589" s="26">
        <f>IF(J1589="Yes","",H1589-I1589)</f>
        <v/>
      </c>
      <c r="M1589" s="27">
        <f>IF(OR(J1589="Yes",I1589=0),"",H1589/I1589)</f>
        <v/>
      </c>
      <c r="N1589" s="21">
        <f>IF(J1589="Yes","",IF(H1589&gt;=I1589,1,0))</f>
        <v/>
      </c>
      <c r="O1589" s="21">
        <f>IF(I1589&lt;=5000000,"Under $5M",IF(I1589&lt;=20000000,"$5M-20M",IF(I1589&lt;=50000000,"$20M-50M",IF(I1589&lt;=100000000,"$50M-100M","$100M+"))))</f>
        <v/>
      </c>
      <c r="P1589" s="21">
        <f>IF(E1589&lt;=90,"90 or less",IF(E1589&lt;=105,"91-105",IF(E1589&lt;=120,"106-120",IF(E1589&lt;=140,"121-140","Over 140"))))</f>
        <v/>
      </c>
      <c r="Q1589" s="28">
        <f>INT(C1589/10)*10</f>
        <v/>
      </c>
    </row>
    <row r="1590">
      <c r="A1590" s="21" t="n">
        <v>1621</v>
      </c>
      <c r="B1590" s="21" t="inlineStr">
        <is>
          <t>Original Sin</t>
        </is>
      </c>
      <c r="C1590" s="21" t="n">
        <v>2001</v>
      </c>
      <c r="D1590" s="21" t="inlineStr">
        <is>
          <t>France</t>
        </is>
      </c>
      <c r="E1590" s="21" t="n">
        <v>118</v>
      </c>
      <c r="F1590" s="21" t="inlineStr">
        <is>
          <t>English</t>
        </is>
      </c>
      <c r="G1590" s="21" t="inlineStr">
        <is>
          <t>R</t>
        </is>
      </c>
      <c r="H1590" s="22" t="n">
        <v>16252765</v>
      </c>
      <c r="I1590" s="22" t="n">
        <v>42000000</v>
      </c>
      <c r="J1590" s="21">
        <f>IF(OR(H1590="",H1590=25529689.5),"Yes","No")</f>
        <v/>
      </c>
      <c r="K1590" s="21">
        <f>IF(AND(D1590="USA",C1590&gt;=1980,J1590="No"),"Yes","No")</f>
        <v/>
      </c>
      <c r="L1590" s="26">
        <f>IF(J1590="Yes","",H1590-I1590)</f>
        <v/>
      </c>
      <c r="M1590" s="27">
        <f>IF(OR(J1590="Yes",I1590=0),"",H1590/I1590)</f>
        <v/>
      </c>
      <c r="N1590" s="21">
        <f>IF(J1590="Yes","",IF(H1590&gt;=I1590,1,0))</f>
        <v/>
      </c>
      <c r="O1590" s="21">
        <f>IF(I1590&lt;=5000000,"Under $5M",IF(I1590&lt;=20000000,"$5M-20M",IF(I1590&lt;=50000000,"$20M-50M",IF(I1590&lt;=100000000,"$50M-100M","$100M+"))))</f>
        <v/>
      </c>
      <c r="P1590" s="21">
        <f>IF(E1590&lt;=90,"90 or less",IF(E1590&lt;=105,"91-105",IF(E1590&lt;=120,"106-120",IF(E1590&lt;=140,"121-140","Over 140"))))</f>
        <v/>
      </c>
      <c r="Q1590" s="28">
        <f>INT(C1590/10)*10</f>
        <v/>
      </c>
    </row>
    <row r="1591">
      <c r="A1591" s="21" t="n">
        <v>1622</v>
      </c>
      <c r="B1591" s="21" t="inlineStr">
        <is>
          <t>Osmosis Jones</t>
        </is>
      </c>
      <c r="C1591" s="21" t="n">
        <v>2001</v>
      </c>
      <c r="D1591" s="21" t="inlineStr">
        <is>
          <t>USA</t>
        </is>
      </c>
      <c r="E1591" s="21" t="n">
        <v>95</v>
      </c>
      <c r="F1591" s="21" t="inlineStr">
        <is>
          <t>English</t>
        </is>
      </c>
      <c r="G1591" s="21" t="inlineStr">
        <is>
          <t>PG</t>
        </is>
      </c>
      <c r="H1591" s="22" t="n">
        <v>13596911</v>
      </c>
      <c r="I1591" s="22" t="n">
        <v>70000000</v>
      </c>
      <c r="J1591" s="21">
        <f>IF(OR(H1591="",H1591=25529689.5),"Yes","No")</f>
        <v/>
      </c>
      <c r="K1591" s="21">
        <f>IF(AND(D1591="USA",C1591&gt;=1980,J1591="No"),"Yes","No")</f>
        <v/>
      </c>
      <c r="L1591" s="26">
        <f>IF(J1591="Yes","",H1591-I1591)</f>
        <v/>
      </c>
      <c r="M1591" s="27">
        <f>IF(OR(J1591="Yes",I1591=0),"",H1591/I1591)</f>
        <v/>
      </c>
      <c r="N1591" s="21">
        <f>IF(J1591="Yes","",IF(H1591&gt;=I1591,1,0))</f>
        <v/>
      </c>
      <c r="O1591" s="21">
        <f>IF(I1591&lt;=5000000,"Under $5M",IF(I1591&lt;=20000000,"$5M-20M",IF(I1591&lt;=50000000,"$20M-50M",IF(I1591&lt;=100000000,"$50M-100M","$100M+"))))</f>
        <v/>
      </c>
      <c r="P1591" s="21">
        <f>IF(E1591&lt;=90,"90 or less",IF(E1591&lt;=105,"91-105",IF(E1591&lt;=120,"106-120",IF(E1591&lt;=140,"121-140","Over 140"))))</f>
        <v/>
      </c>
      <c r="Q1591" s="28">
        <f>INT(C1591/10)*10</f>
        <v/>
      </c>
    </row>
    <row r="1592">
      <c r="A1592" s="21" t="n">
        <v>1623</v>
      </c>
      <c r="B1592" s="21" t="inlineStr">
        <is>
          <t>Out Cold</t>
        </is>
      </c>
      <c r="C1592" s="21" t="n">
        <v>2001</v>
      </c>
      <c r="D1592" s="21" t="inlineStr">
        <is>
          <t>USA</t>
        </is>
      </c>
      <c r="E1592" s="21" t="n">
        <v>89</v>
      </c>
      <c r="F1592" s="21" t="inlineStr">
        <is>
          <t>English</t>
        </is>
      </c>
      <c r="G1592" s="21" t="inlineStr">
        <is>
          <t>PG-13</t>
        </is>
      </c>
      <c r="H1592" s="22" t="n">
        <v>13903262</v>
      </c>
      <c r="I1592" s="22" t="n">
        <v>11000000</v>
      </c>
      <c r="J1592" s="21">
        <f>IF(OR(H1592="",H1592=25529689.5),"Yes","No")</f>
        <v/>
      </c>
      <c r="K1592" s="21">
        <f>IF(AND(D1592="USA",C1592&gt;=1980,J1592="No"),"Yes","No")</f>
        <v/>
      </c>
      <c r="L1592" s="26">
        <f>IF(J1592="Yes","",H1592-I1592)</f>
        <v/>
      </c>
      <c r="M1592" s="27">
        <f>IF(OR(J1592="Yes",I1592=0),"",H1592/I1592)</f>
        <v/>
      </c>
      <c r="N1592" s="21">
        <f>IF(J1592="Yes","",IF(H1592&gt;=I1592,1,0))</f>
        <v/>
      </c>
      <c r="O1592" s="21">
        <f>IF(I1592&lt;=5000000,"Under $5M",IF(I1592&lt;=20000000,"$5M-20M",IF(I1592&lt;=50000000,"$20M-50M",IF(I1592&lt;=100000000,"$50M-100M","$100M+"))))</f>
        <v/>
      </c>
      <c r="P1592" s="21">
        <f>IF(E1592&lt;=90,"90 or less",IF(E1592&lt;=105,"91-105",IF(E1592&lt;=120,"106-120",IF(E1592&lt;=140,"121-140","Over 140"))))</f>
        <v/>
      </c>
      <c r="Q1592" s="28">
        <f>INT(C1592/10)*10</f>
        <v/>
      </c>
    </row>
    <row r="1593">
      <c r="A1593" s="21" t="n">
        <v>1624</v>
      </c>
      <c r="B1593" s="21" t="inlineStr">
        <is>
          <t>Pearl Harbor</t>
        </is>
      </c>
      <c r="C1593" s="21" t="n">
        <v>2001</v>
      </c>
      <c r="D1593" s="21" t="inlineStr">
        <is>
          <t>USA</t>
        </is>
      </c>
      <c r="E1593" s="21" t="n">
        <v>184</v>
      </c>
      <c r="F1593" s="21" t="inlineStr">
        <is>
          <t>English</t>
        </is>
      </c>
      <c r="G1593" s="21" t="inlineStr">
        <is>
          <t>PG-13</t>
        </is>
      </c>
      <c r="H1593" s="22" t="n">
        <v>198539855</v>
      </c>
      <c r="I1593" s="22" t="n">
        <v>140000000</v>
      </c>
      <c r="J1593" s="21">
        <f>IF(OR(H1593="",H1593=25529689.5),"Yes","No")</f>
        <v/>
      </c>
      <c r="K1593" s="21">
        <f>IF(AND(D1593="USA",C1593&gt;=1980,J1593="No"),"Yes","No")</f>
        <v/>
      </c>
      <c r="L1593" s="26">
        <f>IF(J1593="Yes","",H1593-I1593)</f>
        <v/>
      </c>
      <c r="M1593" s="27">
        <f>IF(OR(J1593="Yes",I1593=0),"",H1593/I1593)</f>
        <v/>
      </c>
      <c r="N1593" s="21">
        <f>IF(J1593="Yes","",IF(H1593&gt;=I1593,1,0))</f>
        <v/>
      </c>
      <c r="O1593" s="21">
        <f>IF(I1593&lt;=5000000,"Under $5M",IF(I1593&lt;=20000000,"$5M-20M",IF(I1593&lt;=50000000,"$20M-50M",IF(I1593&lt;=100000000,"$50M-100M","$100M+"))))</f>
        <v/>
      </c>
      <c r="P1593" s="21">
        <f>IF(E1593&lt;=90,"90 or less",IF(E1593&lt;=105,"91-105",IF(E1593&lt;=120,"106-120",IF(E1593&lt;=140,"121-140","Over 140"))))</f>
        <v/>
      </c>
      <c r="Q1593" s="28">
        <f>INT(C1593/10)*10</f>
        <v/>
      </c>
    </row>
    <row r="1594">
      <c r="A1594" s="21" t="n">
        <v>1625</v>
      </c>
      <c r="B1594" s="21" t="inlineStr">
        <is>
          <t>Planet of the Apes</t>
        </is>
      </c>
      <c r="C1594" s="21" t="n">
        <v>2001</v>
      </c>
      <c r="D1594" s="21" t="inlineStr">
        <is>
          <t>USA</t>
        </is>
      </c>
      <c r="E1594" s="21" t="n">
        <v>119</v>
      </c>
      <c r="F1594" s="21" t="inlineStr">
        <is>
          <t>English</t>
        </is>
      </c>
      <c r="G1594" s="21" t="inlineStr">
        <is>
          <t>PG-13</t>
        </is>
      </c>
      <c r="H1594" s="22" t="n">
        <v>180011740</v>
      </c>
      <c r="I1594" s="22" t="n">
        <v>100000000</v>
      </c>
      <c r="J1594" s="21">
        <f>IF(OR(H1594="",H1594=25529689.5),"Yes","No")</f>
        <v/>
      </c>
      <c r="K1594" s="21">
        <f>IF(AND(D1594="USA",C1594&gt;=1980,J1594="No"),"Yes","No")</f>
        <v/>
      </c>
      <c r="L1594" s="26">
        <f>IF(J1594="Yes","",H1594-I1594)</f>
        <v/>
      </c>
      <c r="M1594" s="27">
        <f>IF(OR(J1594="Yes",I1594=0),"",H1594/I1594)</f>
        <v/>
      </c>
      <c r="N1594" s="21">
        <f>IF(J1594="Yes","",IF(H1594&gt;=I1594,1,0))</f>
        <v/>
      </c>
      <c r="O1594" s="21">
        <f>IF(I1594&lt;=5000000,"Under $5M",IF(I1594&lt;=20000000,"$5M-20M",IF(I1594&lt;=50000000,"$20M-50M",IF(I1594&lt;=100000000,"$50M-100M","$100M+"))))</f>
        <v/>
      </c>
      <c r="P1594" s="21">
        <f>IF(E1594&lt;=90,"90 or less",IF(E1594&lt;=105,"91-105",IF(E1594&lt;=120,"106-120",IF(E1594&lt;=140,"121-140","Over 140"))))</f>
        <v/>
      </c>
      <c r="Q1594" s="28">
        <f>INT(C1594/10)*10</f>
        <v/>
      </c>
    </row>
    <row r="1595">
      <c r="A1595" s="21" t="n">
        <v>1627</v>
      </c>
      <c r="B1595" s="21" t="inlineStr">
        <is>
          <t>Pootie Tang</t>
        </is>
      </c>
      <c r="C1595" s="21" t="n">
        <v>2001</v>
      </c>
      <c r="D1595" s="21" t="inlineStr">
        <is>
          <t>USA</t>
        </is>
      </c>
      <c r="E1595" s="21" t="n">
        <v>81</v>
      </c>
      <c r="F1595" s="21" t="inlineStr">
        <is>
          <t>English</t>
        </is>
      </c>
      <c r="G1595" s="21" t="inlineStr">
        <is>
          <t>PG-13</t>
        </is>
      </c>
      <c r="H1595" s="22" t="n">
        <v>3293258</v>
      </c>
      <c r="I1595" s="22" t="n">
        <v>3000000</v>
      </c>
      <c r="J1595" s="21">
        <f>IF(OR(H1595="",H1595=25529689.5),"Yes","No")</f>
        <v/>
      </c>
      <c r="K1595" s="21">
        <f>IF(AND(D1595="USA",C1595&gt;=1980,J1595="No"),"Yes","No")</f>
        <v/>
      </c>
      <c r="L1595" s="26">
        <f>IF(J1595="Yes","",H1595-I1595)</f>
        <v/>
      </c>
      <c r="M1595" s="27">
        <f>IF(OR(J1595="Yes",I1595=0),"",H1595/I1595)</f>
        <v/>
      </c>
      <c r="N1595" s="21">
        <f>IF(J1595="Yes","",IF(H1595&gt;=I1595,1,0))</f>
        <v/>
      </c>
      <c r="O1595" s="21">
        <f>IF(I1595&lt;=5000000,"Under $5M",IF(I1595&lt;=20000000,"$5M-20M",IF(I1595&lt;=50000000,"$20M-50M",IF(I1595&lt;=100000000,"$50M-100M","$100M+"))))</f>
        <v/>
      </c>
      <c r="P1595" s="21">
        <f>IF(E1595&lt;=90,"90 or less",IF(E1595&lt;=105,"91-105",IF(E1595&lt;=120,"106-120",IF(E1595&lt;=140,"121-140","Over 140"))))</f>
        <v/>
      </c>
      <c r="Q1595" s="28">
        <f>INT(C1595/10)*10</f>
        <v/>
      </c>
    </row>
    <row r="1596">
      <c r="A1596" s="21" t="n">
        <v>1628</v>
      </c>
      <c r="B1596" s="21" t="inlineStr">
        <is>
          <t>Rat Race</t>
        </is>
      </c>
      <c r="C1596" s="21" t="n">
        <v>2001</v>
      </c>
      <c r="D1596" s="21" t="inlineStr">
        <is>
          <t>Canada</t>
        </is>
      </c>
      <c r="E1596" s="21" t="n">
        <v>112</v>
      </c>
      <c r="F1596" s="21" t="inlineStr">
        <is>
          <t>English</t>
        </is>
      </c>
      <c r="G1596" s="21" t="inlineStr">
        <is>
          <t>PG-13</t>
        </is>
      </c>
      <c r="H1596" s="22" t="n">
        <v>56607223</v>
      </c>
      <c r="I1596" s="22" t="n">
        <v>48000000</v>
      </c>
      <c r="J1596" s="21">
        <f>IF(OR(H1596="",H1596=25529689.5),"Yes","No")</f>
        <v/>
      </c>
      <c r="K1596" s="21">
        <f>IF(AND(D1596="USA",C1596&gt;=1980,J1596="No"),"Yes","No")</f>
        <v/>
      </c>
      <c r="L1596" s="26">
        <f>IF(J1596="Yes","",H1596-I1596)</f>
        <v/>
      </c>
      <c r="M1596" s="27">
        <f>IF(OR(J1596="Yes",I1596=0),"",H1596/I1596)</f>
        <v/>
      </c>
      <c r="N1596" s="21">
        <f>IF(J1596="Yes","",IF(H1596&gt;=I1596,1,0))</f>
        <v/>
      </c>
      <c r="O1596" s="21">
        <f>IF(I1596&lt;=5000000,"Under $5M",IF(I1596&lt;=20000000,"$5M-20M",IF(I1596&lt;=50000000,"$20M-50M",IF(I1596&lt;=100000000,"$50M-100M","$100M+"))))</f>
        <v/>
      </c>
      <c r="P1596" s="21">
        <f>IF(E1596&lt;=90,"90 or less",IF(E1596&lt;=105,"91-105",IF(E1596&lt;=120,"106-120",IF(E1596&lt;=140,"121-140","Over 140"))))</f>
        <v/>
      </c>
      <c r="Q1596" s="28">
        <f>INT(C1596/10)*10</f>
        <v/>
      </c>
    </row>
    <row r="1597">
      <c r="A1597" s="21" t="n">
        <v>1629</v>
      </c>
      <c r="B1597" s="21" t="inlineStr">
        <is>
          <t>Recess: School's Out</t>
        </is>
      </c>
      <c r="C1597" s="21" t="n">
        <v>2001</v>
      </c>
      <c r="D1597" s="21" t="inlineStr">
        <is>
          <t>USA</t>
        </is>
      </c>
      <c r="E1597" s="21" t="n">
        <v>82</v>
      </c>
      <c r="F1597" s="21" t="inlineStr">
        <is>
          <t>English</t>
        </is>
      </c>
      <c r="G1597" s="21" t="inlineStr">
        <is>
          <t>G</t>
        </is>
      </c>
      <c r="H1597" s="22" t="n">
        <v>36696761</v>
      </c>
      <c r="I1597" s="22" t="n">
        <v>23000000</v>
      </c>
      <c r="J1597" s="21">
        <f>IF(OR(H1597="",H1597=25529689.5),"Yes","No")</f>
        <v/>
      </c>
      <c r="K1597" s="21">
        <f>IF(AND(D1597="USA",C1597&gt;=1980,J1597="No"),"Yes","No")</f>
        <v/>
      </c>
      <c r="L1597" s="26">
        <f>IF(J1597="Yes","",H1597-I1597)</f>
        <v/>
      </c>
      <c r="M1597" s="27">
        <f>IF(OR(J1597="Yes",I1597=0),"",H1597/I1597)</f>
        <v/>
      </c>
      <c r="N1597" s="21">
        <f>IF(J1597="Yes","",IF(H1597&gt;=I1597,1,0))</f>
        <v/>
      </c>
      <c r="O1597" s="21">
        <f>IF(I1597&lt;=5000000,"Under $5M",IF(I1597&lt;=20000000,"$5M-20M",IF(I1597&lt;=50000000,"$20M-50M",IF(I1597&lt;=100000000,"$50M-100M","$100M+"))))</f>
        <v/>
      </c>
      <c r="P1597" s="21">
        <f>IF(E1597&lt;=90,"90 or less",IF(E1597&lt;=105,"91-105",IF(E1597&lt;=120,"106-120",IF(E1597&lt;=140,"121-140","Over 140"))))</f>
        <v/>
      </c>
      <c r="Q1597" s="28">
        <f>INT(C1597/10)*10</f>
        <v/>
      </c>
    </row>
    <row r="1598">
      <c r="A1598" s="21" t="n">
        <v>1630</v>
      </c>
      <c r="B1598" s="21" t="inlineStr">
        <is>
          <t>Riding in Cars with Boys</t>
        </is>
      </c>
      <c r="C1598" s="21" t="n">
        <v>2001</v>
      </c>
      <c r="D1598" s="21" t="inlineStr">
        <is>
          <t>USA</t>
        </is>
      </c>
      <c r="E1598" s="21" t="n">
        <v>132</v>
      </c>
      <c r="F1598" s="21" t="inlineStr">
        <is>
          <t>English</t>
        </is>
      </c>
      <c r="G1598" s="21" t="inlineStr">
        <is>
          <t>PG-13</t>
        </is>
      </c>
      <c r="H1598" s="22" t="n">
        <v>29781453</v>
      </c>
      <c r="I1598" s="22" t="n">
        <v>48000000</v>
      </c>
      <c r="J1598" s="21">
        <f>IF(OR(H1598="",H1598=25529689.5),"Yes","No")</f>
        <v/>
      </c>
      <c r="K1598" s="21">
        <f>IF(AND(D1598="USA",C1598&gt;=1980,J1598="No"),"Yes","No")</f>
        <v/>
      </c>
      <c r="L1598" s="26">
        <f>IF(J1598="Yes","",H1598-I1598)</f>
        <v/>
      </c>
      <c r="M1598" s="27">
        <f>IF(OR(J1598="Yes",I1598=0),"",H1598/I1598)</f>
        <v/>
      </c>
      <c r="N1598" s="21">
        <f>IF(J1598="Yes","",IF(H1598&gt;=I1598,1,0))</f>
        <v/>
      </c>
      <c r="O1598" s="21">
        <f>IF(I1598&lt;=5000000,"Under $5M",IF(I1598&lt;=20000000,"$5M-20M",IF(I1598&lt;=50000000,"$20M-50M",IF(I1598&lt;=100000000,"$50M-100M","$100M+"))))</f>
        <v/>
      </c>
      <c r="P1598" s="21">
        <f>IF(E1598&lt;=90,"90 or less",IF(E1598&lt;=105,"91-105",IF(E1598&lt;=120,"106-120",IF(E1598&lt;=140,"121-140","Over 140"))))</f>
        <v/>
      </c>
      <c r="Q1598" s="28">
        <f>INT(C1598/10)*10</f>
        <v/>
      </c>
    </row>
    <row r="1599">
      <c r="A1599" s="21" t="n">
        <v>1631</v>
      </c>
      <c r="B1599" s="21" t="inlineStr">
        <is>
          <t>Rock Star</t>
        </is>
      </c>
      <c r="C1599" s="21" t="n">
        <v>2001</v>
      </c>
      <c r="D1599" s="21" t="inlineStr">
        <is>
          <t>USA</t>
        </is>
      </c>
      <c r="E1599" s="21" t="n">
        <v>105</v>
      </c>
      <c r="F1599" s="21" t="inlineStr">
        <is>
          <t>English</t>
        </is>
      </c>
      <c r="G1599" s="21" t="inlineStr">
        <is>
          <t>R</t>
        </is>
      </c>
      <c r="H1599" s="22" t="n">
        <v>16991902</v>
      </c>
      <c r="I1599" s="22" t="n">
        <v>57000000</v>
      </c>
      <c r="J1599" s="21">
        <f>IF(OR(H1599="",H1599=25529689.5),"Yes","No")</f>
        <v/>
      </c>
      <c r="K1599" s="21">
        <f>IF(AND(D1599="USA",C1599&gt;=1980,J1599="No"),"Yes","No")</f>
        <v/>
      </c>
      <c r="L1599" s="26">
        <f>IF(J1599="Yes","",H1599-I1599)</f>
        <v/>
      </c>
      <c r="M1599" s="27">
        <f>IF(OR(J1599="Yes",I1599=0),"",H1599/I1599)</f>
        <v/>
      </c>
      <c r="N1599" s="21">
        <f>IF(J1599="Yes","",IF(H1599&gt;=I1599,1,0))</f>
        <v/>
      </c>
      <c r="O1599" s="21">
        <f>IF(I1599&lt;=5000000,"Under $5M",IF(I1599&lt;=20000000,"$5M-20M",IF(I1599&lt;=50000000,"$20M-50M",IF(I1599&lt;=100000000,"$50M-100M","$100M+"))))</f>
        <v/>
      </c>
      <c r="P1599" s="21">
        <f>IF(E1599&lt;=90,"90 or less",IF(E1599&lt;=105,"91-105",IF(E1599&lt;=120,"106-120",IF(E1599&lt;=140,"121-140","Over 140"))))</f>
        <v/>
      </c>
      <c r="Q1599" s="28">
        <f>INT(C1599/10)*10</f>
        <v/>
      </c>
    </row>
    <row r="1600">
      <c r="A1600" s="21" t="n">
        <v>1632</v>
      </c>
      <c r="B1600" s="21" t="inlineStr">
        <is>
          <t>Rush Hour 2</t>
        </is>
      </c>
      <c r="C1600" s="21" t="n">
        <v>2001</v>
      </c>
      <c r="D1600" s="21" t="inlineStr">
        <is>
          <t>USA</t>
        </is>
      </c>
      <c r="E1600" s="21" t="n">
        <v>90</v>
      </c>
      <c r="F1600" s="21" t="inlineStr">
        <is>
          <t>English</t>
        </is>
      </c>
      <c r="G1600" s="21" t="inlineStr">
        <is>
          <t>PG-13</t>
        </is>
      </c>
      <c r="H1600" s="22" t="n">
        <v>226138454</v>
      </c>
      <c r="I1600" s="22" t="n">
        <v>90000000</v>
      </c>
      <c r="J1600" s="21">
        <f>IF(OR(H1600="",H1600=25529689.5),"Yes","No")</f>
        <v/>
      </c>
      <c r="K1600" s="21">
        <f>IF(AND(D1600="USA",C1600&gt;=1980,J1600="No"),"Yes","No")</f>
        <v/>
      </c>
      <c r="L1600" s="26">
        <f>IF(J1600="Yes","",H1600-I1600)</f>
        <v/>
      </c>
      <c r="M1600" s="27">
        <f>IF(OR(J1600="Yes",I1600=0),"",H1600/I1600)</f>
        <v/>
      </c>
      <c r="N1600" s="21">
        <f>IF(J1600="Yes","",IF(H1600&gt;=I1600,1,0))</f>
        <v/>
      </c>
      <c r="O1600" s="21">
        <f>IF(I1600&lt;=5000000,"Under $5M",IF(I1600&lt;=20000000,"$5M-20M",IF(I1600&lt;=50000000,"$20M-50M",IF(I1600&lt;=100000000,"$50M-100M","$100M+"))))</f>
        <v/>
      </c>
      <c r="P1600" s="21">
        <f>IF(E1600&lt;=90,"90 or less",IF(E1600&lt;=105,"91-105",IF(E1600&lt;=120,"106-120",IF(E1600&lt;=140,"121-140","Over 140"))))</f>
        <v/>
      </c>
      <c r="Q1600" s="28">
        <f>INT(C1600/10)*10</f>
        <v/>
      </c>
    </row>
    <row r="1601">
      <c r="A1601" s="21" t="n">
        <v>1633</v>
      </c>
      <c r="B1601" s="21" t="inlineStr">
        <is>
          <t>Save the Last Dance</t>
        </is>
      </c>
      <c r="C1601" s="21" t="n">
        <v>2001</v>
      </c>
      <c r="D1601" s="21" t="inlineStr">
        <is>
          <t>USA</t>
        </is>
      </c>
      <c r="E1601" s="21" t="n">
        <v>112</v>
      </c>
      <c r="F1601" s="21" t="inlineStr">
        <is>
          <t>English</t>
        </is>
      </c>
      <c r="G1601" s="21" t="inlineStr">
        <is>
          <t>PG-13</t>
        </is>
      </c>
      <c r="H1601" s="22" t="n">
        <v>91038276</v>
      </c>
      <c r="I1601" s="22" t="n">
        <v>13000000</v>
      </c>
      <c r="J1601" s="21">
        <f>IF(OR(H1601="",H1601=25529689.5),"Yes","No")</f>
        <v/>
      </c>
      <c r="K1601" s="21">
        <f>IF(AND(D1601="USA",C1601&gt;=1980,J1601="No"),"Yes","No")</f>
        <v/>
      </c>
      <c r="L1601" s="26">
        <f>IF(J1601="Yes","",H1601-I1601)</f>
        <v/>
      </c>
      <c r="M1601" s="27">
        <f>IF(OR(J1601="Yes",I1601=0),"",H1601/I1601)</f>
        <v/>
      </c>
      <c r="N1601" s="21">
        <f>IF(J1601="Yes","",IF(H1601&gt;=I1601,1,0))</f>
        <v/>
      </c>
      <c r="O1601" s="21">
        <f>IF(I1601&lt;=5000000,"Under $5M",IF(I1601&lt;=20000000,"$5M-20M",IF(I1601&lt;=50000000,"$20M-50M",IF(I1601&lt;=100000000,"$50M-100M","$100M+"))))</f>
        <v/>
      </c>
      <c r="P1601" s="21">
        <f>IF(E1601&lt;=90,"90 or less",IF(E1601&lt;=105,"91-105",IF(E1601&lt;=120,"106-120",IF(E1601&lt;=140,"121-140","Over 140"))))</f>
        <v/>
      </c>
      <c r="Q1601" s="28">
        <f>INT(C1601/10)*10</f>
        <v/>
      </c>
    </row>
    <row r="1602">
      <c r="A1602" s="21" t="n">
        <v>1634</v>
      </c>
      <c r="B1602" s="21" t="inlineStr">
        <is>
          <t>Saving Silverman</t>
        </is>
      </c>
      <c r="C1602" s="21" t="n">
        <v>2001</v>
      </c>
      <c r="D1602" s="21" t="inlineStr">
        <is>
          <t>USA</t>
        </is>
      </c>
      <c r="E1602" s="21" t="n">
        <v>96</v>
      </c>
      <c r="F1602" s="21" t="inlineStr">
        <is>
          <t>English</t>
        </is>
      </c>
      <c r="G1602" s="21" t="inlineStr">
        <is>
          <t>PG-13</t>
        </is>
      </c>
      <c r="H1602" s="22" t="n">
        <v>19351569</v>
      </c>
      <c r="I1602" s="22" t="n">
        <v>22000000</v>
      </c>
      <c r="J1602" s="21">
        <f>IF(OR(H1602="",H1602=25529689.5),"Yes","No")</f>
        <v/>
      </c>
      <c r="K1602" s="21">
        <f>IF(AND(D1602="USA",C1602&gt;=1980,J1602="No"),"Yes","No")</f>
        <v/>
      </c>
      <c r="L1602" s="26">
        <f>IF(J1602="Yes","",H1602-I1602)</f>
        <v/>
      </c>
      <c r="M1602" s="27">
        <f>IF(OR(J1602="Yes",I1602=0),"",H1602/I1602)</f>
        <v/>
      </c>
      <c r="N1602" s="21">
        <f>IF(J1602="Yes","",IF(H1602&gt;=I1602,1,0))</f>
        <v/>
      </c>
      <c r="O1602" s="21">
        <f>IF(I1602&lt;=5000000,"Under $5M",IF(I1602&lt;=20000000,"$5M-20M",IF(I1602&lt;=50000000,"$20M-50M",IF(I1602&lt;=100000000,"$50M-100M","$100M+"))))</f>
        <v/>
      </c>
      <c r="P1602" s="21">
        <f>IF(E1602&lt;=90,"90 or less",IF(E1602&lt;=105,"91-105",IF(E1602&lt;=120,"106-120",IF(E1602&lt;=140,"121-140","Over 140"))))</f>
        <v/>
      </c>
      <c r="Q1602" s="28">
        <f>INT(C1602/10)*10</f>
        <v/>
      </c>
    </row>
    <row r="1603">
      <c r="A1603" s="21" t="n">
        <v>1635</v>
      </c>
      <c r="B1603" s="21" t="inlineStr">
        <is>
          <t>Say It Isn't So</t>
        </is>
      </c>
      <c r="C1603" s="21" t="n">
        <v>2001</v>
      </c>
      <c r="D1603" s="21" t="inlineStr">
        <is>
          <t>USA</t>
        </is>
      </c>
      <c r="E1603" s="21" t="n">
        <v>95</v>
      </c>
      <c r="F1603" s="21" t="inlineStr">
        <is>
          <t>English</t>
        </is>
      </c>
      <c r="G1603" s="21" t="inlineStr">
        <is>
          <t>R</t>
        </is>
      </c>
      <c r="H1603" s="22" t="n">
        <v>5516708</v>
      </c>
      <c r="I1603" s="22" t="n">
        <v>25000000</v>
      </c>
      <c r="J1603" s="21">
        <f>IF(OR(H1603="",H1603=25529689.5),"Yes","No")</f>
        <v/>
      </c>
      <c r="K1603" s="21">
        <f>IF(AND(D1603="USA",C1603&gt;=1980,J1603="No"),"Yes","No")</f>
        <v/>
      </c>
      <c r="L1603" s="26">
        <f>IF(J1603="Yes","",H1603-I1603)</f>
        <v/>
      </c>
      <c r="M1603" s="27">
        <f>IF(OR(J1603="Yes",I1603=0),"",H1603/I1603)</f>
        <v/>
      </c>
      <c r="N1603" s="21">
        <f>IF(J1603="Yes","",IF(H1603&gt;=I1603,1,0))</f>
        <v/>
      </c>
      <c r="O1603" s="21">
        <f>IF(I1603&lt;=5000000,"Under $5M",IF(I1603&lt;=20000000,"$5M-20M",IF(I1603&lt;=50000000,"$20M-50M",IF(I1603&lt;=100000000,"$50M-100M","$100M+"))))</f>
        <v/>
      </c>
      <c r="P1603" s="21">
        <f>IF(E1603&lt;=90,"90 or less",IF(E1603&lt;=105,"91-105",IF(E1603&lt;=120,"106-120",IF(E1603&lt;=140,"121-140","Over 140"))))</f>
        <v/>
      </c>
      <c r="Q1603" s="28">
        <f>INT(C1603/10)*10</f>
        <v/>
      </c>
    </row>
    <row r="1604">
      <c r="A1604" s="21" t="n">
        <v>1636</v>
      </c>
      <c r="B1604" s="21" t="inlineStr">
        <is>
          <t>Scary Movie 2</t>
        </is>
      </c>
      <c r="C1604" s="21" t="n">
        <v>2001</v>
      </c>
      <c r="D1604" s="21" t="inlineStr">
        <is>
          <t>USA</t>
        </is>
      </c>
      <c r="E1604" s="21" t="n">
        <v>83</v>
      </c>
      <c r="F1604" s="21" t="inlineStr">
        <is>
          <t>English</t>
        </is>
      </c>
      <c r="G1604" s="21" t="inlineStr">
        <is>
          <t>R</t>
        </is>
      </c>
      <c r="H1604" s="22" t="n">
        <v>71277420</v>
      </c>
      <c r="I1604" s="22" t="n">
        <v>45000000</v>
      </c>
      <c r="J1604" s="21">
        <f>IF(OR(H1604="",H1604=25529689.5),"Yes","No")</f>
        <v/>
      </c>
      <c r="K1604" s="21">
        <f>IF(AND(D1604="USA",C1604&gt;=1980,J1604="No"),"Yes","No")</f>
        <v/>
      </c>
      <c r="L1604" s="26">
        <f>IF(J1604="Yes","",H1604-I1604)</f>
        <v/>
      </c>
      <c r="M1604" s="27">
        <f>IF(OR(J1604="Yes",I1604=0),"",H1604/I1604)</f>
        <v/>
      </c>
      <c r="N1604" s="21">
        <f>IF(J1604="Yes","",IF(H1604&gt;=I1604,1,0))</f>
        <v/>
      </c>
      <c r="O1604" s="21">
        <f>IF(I1604&lt;=5000000,"Under $5M",IF(I1604&lt;=20000000,"$5M-20M",IF(I1604&lt;=50000000,"$20M-50M",IF(I1604&lt;=100000000,"$50M-100M","$100M+"))))</f>
        <v/>
      </c>
      <c r="P1604" s="21">
        <f>IF(E1604&lt;=90,"90 or less",IF(E1604&lt;=105,"91-105",IF(E1604&lt;=120,"106-120",IF(E1604&lt;=140,"121-140","Over 140"))))</f>
        <v/>
      </c>
      <c r="Q1604" s="28">
        <f>INT(C1604/10)*10</f>
        <v/>
      </c>
    </row>
    <row r="1605">
      <c r="A1605" s="21" t="n">
        <v>1637</v>
      </c>
      <c r="B1605" s="21" t="inlineStr">
        <is>
          <t>See Spot Run</t>
        </is>
      </c>
      <c r="C1605" s="21" t="n">
        <v>2001</v>
      </c>
      <c r="D1605" s="21" t="inlineStr">
        <is>
          <t>USA</t>
        </is>
      </c>
      <c r="E1605" s="21" t="n">
        <v>94</v>
      </c>
      <c r="F1605" s="21" t="inlineStr">
        <is>
          <t>English</t>
        </is>
      </c>
      <c r="G1605" s="21" t="inlineStr">
        <is>
          <t>PG</t>
        </is>
      </c>
      <c r="H1605" s="22" t="n">
        <v>33357476</v>
      </c>
      <c r="I1605" s="22" t="n">
        <v>35000000</v>
      </c>
      <c r="J1605" s="21">
        <f>IF(OR(H1605="",H1605=25529689.5),"Yes","No")</f>
        <v/>
      </c>
      <c r="K1605" s="21">
        <f>IF(AND(D1605="USA",C1605&gt;=1980,J1605="No"),"Yes","No")</f>
        <v/>
      </c>
      <c r="L1605" s="26">
        <f>IF(J1605="Yes","",H1605-I1605)</f>
        <v/>
      </c>
      <c r="M1605" s="27">
        <f>IF(OR(J1605="Yes",I1605=0),"",H1605/I1605)</f>
        <v/>
      </c>
      <c r="N1605" s="21">
        <f>IF(J1605="Yes","",IF(H1605&gt;=I1605,1,0))</f>
        <v/>
      </c>
      <c r="O1605" s="21">
        <f>IF(I1605&lt;=5000000,"Under $5M",IF(I1605&lt;=20000000,"$5M-20M",IF(I1605&lt;=50000000,"$20M-50M",IF(I1605&lt;=100000000,"$50M-100M","$100M+"))))</f>
        <v/>
      </c>
      <c r="P1605" s="21">
        <f>IF(E1605&lt;=90,"90 or less",IF(E1605&lt;=105,"91-105",IF(E1605&lt;=120,"106-120",IF(E1605&lt;=140,"121-140","Over 140"))))</f>
        <v/>
      </c>
      <c r="Q1605" s="28">
        <f>INT(C1605/10)*10</f>
        <v/>
      </c>
    </row>
    <row r="1606">
      <c r="A1606" s="21" t="n">
        <v>1638</v>
      </c>
      <c r="B1606" s="21" t="inlineStr">
        <is>
          <t>Serendipity</t>
        </is>
      </c>
      <c r="C1606" s="21" t="n">
        <v>2001</v>
      </c>
      <c r="D1606" s="21" t="inlineStr">
        <is>
          <t>USA</t>
        </is>
      </c>
      <c r="E1606" s="21" t="n">
        <v>82</v>
      </c>
      <c r="F1606" s="21" t="inlineStr">
        <is>
          <t>English</t>
        </is>
      </c>
      <c r="G1606" s="21" t="inlineStr">
        <is>
          <t>PG-13</t>
        </is>
      </c>
      <c r="H1606" s="22" t="n">
        <v>49968653</v>
      </c>
      <c r="I1606" s="22" t="n">
        <v>28000000</v>
      </c>
      <c r="J1606" s="21">
        <f>IF(OR(H1606="",H1606=25529689.5),"Yes","No")</f>
        <v/>
      </c>
      <c r="K1606" s="21">
        <f>IF(AND(D1606="USA",C1606&gt;=1980,J1606="No"),"Yes","No")</f>
        <v/>
      </c>
      <c r="L1606" s="26">
        <f>IF(J1606="Yes","",H1606-I1606)</f>
        <v/>
      </c>
      <c r="M1606" s="27">
        <f>IF(OR(J1606="Yes",I1606=0),"",H1606/I1606)</f>
        <v/>
      </c>
      <c r="N1606" s="21">
        <f>IF(J1606="Yes","",IF(H1606&gt;=I1606,1,0))</f>
        <v/>
      </c>
      <c r="O1606" s="21">
        <f>IF(I1606&lt;=5000000,"Under $5M",IF(I1606&lt;=20000000,"$5M-20M",IF(I1606&lt;=50000000,"$20M-50M",IF(I1606&lt;=100000000,"$50M-100M","$100M+"))))</f>
        <v/>
      </c>
      <c r="P1606" s="21">
        <f>IF(E1606&lt;=90,"90 or less",IF(E1606&lt;=105,"91-105",IF(E1606&lt;=120,"106-120",IF(E1606&lt;=140,"121-140","Over 140"))))</f>
        <v/>
      </c>
      <c r="Q1606" s="28">
        <f>INT(C1606/10)*10</f>
        <v/>
      </c>
    </row>
    <row r="1607">
      <c r="A1607" s="21" t="n">
        <v>1639</v>
      </c>
      <c r="B1607" s="21" t="inlineStr">
        <is>
          <t>Session 9</t>
        </is>
      </c>
      <c r="C1607" s="21" t="n">
        <v>2001</v>
      </c>
      <c r="D1607" s="21" t="inlineStr">
        <is>
          <t>USA</t>
        </is>
      </c>
      <c r="E1607" s="21" t="n">
        <v>100</v>
      </c>
      <c r="F1607" s="21" t="inlineStr">
        <is>
          <t>English</t>
        </is>
      </c>
      <c r="G1607" s="21" t="inlineStr">
        <is>
          <t>R</t>
        </is>
      </c>
      <c r="H1607" s="22" t="n">
        <v>373967</v>
      </c>
      <c r="I1607" s="22" t="n">
        <v>1500000</v>
      </c>
      <c r="J1607" s="21">
        <f>IF(OR(H1607="",H1607=25529689.5),"Yes","No")</f>
        <v/>
      </c>
      <c r="K1607" s="21">
        <f>IF(AND(D1607="USA",C1607&gt;=1980,J1607="No"),"Yes","No")</f>
        <v/>
      </c>
      <c r="L1607" s="26">
        <f>IF(J1607="Yes","",H1607-I1607)</f>
        <v/>
      </c>
      <c r="M1607" s="27">
        <f>IF(OR(J1607="Yes",I1607=0),"",H1607/I1607)</f>
        <v/>
      </c>
      <c r="N1607" s="21">
        <f>IF(J1607="Yes","",IF(H1607&gt;=I1607,1,0))</f>
        <v/>
      </c>
      <c r="O1607" s="21">
        <f>IF(I1607&lt;=5000000,"Under $5M",IF(I1607&lt;=20000000,"$5M-20M",IF(I1607&lt;=50000000,"$20M-50M",IF(I1607&lt;=100000000,"$50M-100M","$100M+"))))</f>
        <v/>
      </c>
      <c r="P1607" s="21">
        <f>IF(E1607&lt;=90,"90 or less",IF(E1607&lt;=105,"91-105",IF(E1607&lt;=120,"106-120",IF(E1607&lt;=140,"121-140","Over 140"))))</f>
        <v/>
      </c>
      <c r="Q1607" s="28">
        <f>INT(C1607/10)*10</f>
        <v/>
      </c>
    </row>
    <row r="1608">
      <c r="A1608" s="21" t="n">
        <v>1640</v>
      </c>
      <c r="B1608" s="21" t="inlineStr">
        <is>
          <t>Shallow Hal</t>
        </is>
      </c>
      <c r="C1608" s="21" t="n">
        <v>2001</v>
      </c>
      <c r="D1608" s="21" t="inlineStr">
        <is>
          <t>USA</t>
        </is>
      </c>
      <c r="E1608" s="21" t="n">
        <v>114</v>
      </c>
      <c r="F1608" s="21" t="inlineStr">
        <is>
          <t>English</t>
        </is>
      </c>
      <c r="G1608" s="21" t="inlineStr">
        <is>
          <t>PG-13</t>
        </is>
      </c>
      <c r="H1608" s="22" t="n">
        <v>70836296</v>
      </c>
      <c r="I1608" s="22" t="n">
        <v>40000000</v>
      </c>
      <c r="J1608" s="21">
        <f>IF(OR(H1608="",H1608=25529689.5),"Yes","No")</f>
        <v/>
      </c>
      <c r="K1608" s="21">
        <f>IF(AND(D1608="USA",C1608&gt;=1980,J1608="No"),"Yes","No")</f>
        <v/>
      </c>
      <c r="L1608" s="26">
        <f>IF(J1608="Yes","",H1608-I1608)</f>
        <v/>
      </c>
      <c r="M1608" s="27">
        <f>IF(OR(J1608="Yes",I1608=0),"",H1608/I1608)</f>
        <v/>
      </c>
      <c r="N1608" s="21">
        <f>IF(J1608="Yes","",IF(H1608&gt;=I1608,1,0))</f>
        <v/>
      </c>
      <c r="O1608" s="21">
        <f>IF(I1608&lt;=5000000,"Under $5M",IF(I1608&lt;=20000000,"$5M-20M",IF(I1608&lt;=50000000,"$20M-50M",IF(I1608&lt;=100000000,"$50M-100M","$100M+"))))</f>
        <v/>
      </c>
      <c r="P1608" s="21">
        <f>IF(E1608&lt;=90,"90 or less",IF(E1608&lt;=105,"91-105",IF(E1608&lt;=120,"106-120",IF(E1608&lt;=140,"121-140","Over 140"))))</f>
        <v/>
      </c>
      <c r="Q1608" s="28">
        <f>INT(C1608/10)*10</f>
        <v/>
      </c>
    </row>
    <row r="1609">
      <c r="A1609" s="21" t="n">
        <v>1641</v>
      </c>
      <c r="B1609" s="21" t="inlineStr">
        <is>
          <t>Shaolin Soccer</t>
        </is>
      </c>
      <c r="C1609" s="21" t="n">
        <v>2001</v>
      </c>
      <c r="D1609" s="21" t="inlineStr">
        <is>
          <t>Hong Kong</t>
        </is>
      </c>
      <c r="E1609" s="21" t="n">
        <v>85</v>
      </c>
      <c r="F1609" s="21" t="inlineStr">
        <is>
          <t>Cantonese</t>
        </is>
      </c>
      <c r="G1609" s="21" t="inlineStr">
        <is>
          <t>PG</t>
        </is>
      </c>
      <c r="H1609" s="22" t="n">
        <v>488872</v>
      </c>
      <c r="I1609" s="22" t="n">
        <v>10000000</v>
      </c>
      <c r="J1609" s="21">
        <f>IF(OR(H1609="",H1609=25529689.5),"Yes","No")</f>
        <v/>
      </c>
      <c r="K1609" s="21">
        <f>IF(AND(D1609="USA",C1609&gt;=1980,J1609="No"),"Yes","No")</f>
        <v/>
      </c>
      <c r="L1609" s="26">
        <f>IF(J1609="Yes","",H1609-I1609)</f>
        <v/>
      </c>
      <c r="M1609" s="27">
        <f>IF(OR(J1609="Yes",I1609=0),"",H1609/I1609)</f>
        <v/>
      </c>
      <c r="N1609" s="21">
        <f>IF(J1609="Yes","",IF(H1609&gt;=I1609,1,0))</f>
        <v/>
      </c>
      <c r="O1609" s="21">
        <f>IF(I1609&lt;=5000000,"Under $5M",IF(I1609&lt;=20000000,"$5M-20M",IF(I1609&lt;=50000000,"$20M-50M",IF(I1609&lt;=100000000,"$50M-100M","$100M+"))))</f>
        <v/>
      </c>
      <c r="P1609" s="21">
        <f>IF(E1609&lt;=90,"90 or less",IF(E1609&lt;=105,"91-105",IF(E1609&lt;=120,"106-120",IF(E1609&lt;=140,"121-140","Over 140"))))</f>
        <v/>
      </c>
      <c r="Q1609" s="28">
        <f>INT(C1609/10)*10</f>
        <v/>
      </c>
    </row>
    <row r="1610">
      <c r="A1610" s="21" t="n">
        <v>1642</v>
      </c>
      <c r="B1610" s="21" t="inlineStr">
        <is>
          <t>Shrek</t>
        </is>
      </c>
      <c r="C1610" s="21" t="n">
        <v>2001</v>
      </c>
      <c r="D1610" s="21" t="inlineStr">
        <is>
          <t>USA</t>
        </is>
      </c>
      <c r="E1610" s="21" t="n">
        <v>90</v>
      </c>
      <c r="F1610" s="21" t="inlineStr">
        <is>
          <t>English</t>
        </is>
      </c>
      <c r="G1610" s="21" t="inlineStr">
        <is>
          <t>PG</t>
        </is>
      </c>
      <c r="H1610" s="22" t="n">
        <v>267652016</v>
      </c>
      <c r="I1610" s="22" t="n">
        <v>60000000</v>
      </c>
      <c r="J1610" s="21">
        <f>IF(OR(H1610="",H1610=25529689.5),"Yes","No")</f>
        <v/>
      </c>
      <c r="K1610" s="21">
        <f>IF(AND(D1610="USA",C1610&gt;=1980,J1610="No"),"Yes","No")</f>
        <v/>
      </c>
      <c r="L1610" s="26">
        <f>IF(J1610="Yes","",H1610-I1610)</f>
        <v/>
      </c>
      <c r="M1610" s="27">
        <f>IF(OR(J1610="Yes",I1610=0),"",H1610/I1610)</f>
        <v/>
      </c>
      <c r="N1610" s="21">
        <f>IF(J1610="Yes","",IF(H1610&gt;=I1610,1,0))</f>
        <v/>
      </c>
      <c r="O1610" s="21">
        <f>IF(I1610&lt;=5000000,"Under $5M",IF(I1610&lt;=20000000,"$5M-20M",IF(I1610&lt;=50000000,"$20M-50M",IF(I1610&lt;=100000000,"$50M-100M","$100M+"))))</f>
        <v/>
      </c>
      <c r="P1610" s="21">
        <f>IF(E1610&lt;=90,"90 or less",IF(E1610&lt;=105,"91-105",IF(E1610&lt;=120,"106-120",IF(E1610&lt;=140,"121-140","Over 140"))))</f>
        <v/>
      </c>
      <c r="Q1610" s="28">
        <f>INT(C1610/10)*10</f>
        <v/>
      </c>
    </row>
    <row r="1611">
      <c r="A1611" s="21" t="n">
        <v>1643</v>
      </c>
      <c r="B1611" s="21" t="inlineStr">
        <is>
          <t>Someone Like You...</t>
        </is>
      </c>
      <c r="C1611" s="21" t="n">
        <v>2001</v>
      </c>
      <c r="D1611" s="21" t="inlineStr">
        <is>
          <t>USA</t>
        </is>
      </c>
      <c r="E1611" s="21" t="n">
        <v>97</v>
      </c>
      <c r="F1611" s="21" t="inlineStr">
        <is>
          <t>English</t>
        </is>
      </c>
      <c r="G1611" s="21" t="inlineStr">
        <is>
          <t>PG-13</t>
        </is>
      </c>
      <c r="H1611" s="22" t="n">
        <v>27338033</v>
      </c>
      <c r="I1611" s="22" t="n">
        <v>23000000</v>
      </c>
      <c r="J1611" s="21">
        <f>IF(OR(H1611="",H1611=25529689.5),"Yes","No")</f>
        <v/>
      </c>
      <c r="K1611" s="21">
        <f>IF(AND(D1611="USA",C1611&gt;=1980,J1611="No"),"Yes","No")</f>
        <v/>
      </c>
      <c r="L1611" s="26">
        <f>IF(J1611="Yes","",H1611-I1611)</f>
        <v/>
      </c>
      <c r="M1611" s="27">
        <f>IF(OR(J1611="Yes",I1611=0),"",H1611/I1611)</f>
        <v/>
      </c>
      <c r="N1611" s="21">
        <f>IF(J1611="Yes","",IF(H1611&gt;=I1611,1,0))</f>
        <v/>
      </c>
      <c r="O1611" s="21">
        <f>IF(I1611&lt;=5000000,"Under $5M",IF(I1611&lt;=20000000,"$5M-20M",IF(I1611&lt;=50000000,"$20M-50M",IF(I1611&lt;=100000000,"$50M-100M","$100M+"))))</f>
        <v/>
      </c>
      <c r="P1611" s="21">
        <f>IF(E1611&lt;=90,"90 or less",IF(E1611&lt;=105,"91-105",IF(E1611&lt;=120,"106-120",IF(E1611&lt;=140,"121-140","Over 140"))))</f>
        <v/>
      </c>
      <c r="Q1611" s="28">
        <f>INT(C1611/10)*10</f>
        <v/>
      </c>
    </row>
    <row r="1612">
      <c r="A1612" s="21" t="n">
        <v>1644</v>
      </c>
      <c r="B1612" s="21" t="inlineStr">
        <is>
          <t>Soul Survivors</t>
        </is>
      </c>
      <c r="C1612" s="21" t="n">
        <v>2001</v>
      </c>
      <c r="D1612" s="21" t="inlineStr">
        <is>
          <t>USA</t>
        </is>
      </c>
      <c r="E1612" s="21" t="n">
        <v>84</v>
      </c>
      <c r="F1612" s="21" t="inlineStr">
        <is>
          <t>English</t>
        </is>
      </c>
      <c r="G1612" s="21" t="inlineStr">
        <is>
          <t>PG-13</t>
        </is>
      </c>
      <c r="H1612" s="22" t="n">
        <v>3100650</v>
      </c>
      <c r="I1612" s="22" t="n">
        <v>14000000</v>
      </c>
      <c r="J1612" s="21">
        <f>IF(OR(H1612="",H1612=25529689.5),"Yes","No")</f>
        <v/>
      </c>
      <c r="K1612" s="21">
        <f>IF(AND(D1612="USA",C1612&gt;=1980,J1612="No"),"Yes","No")</f>
        <v/>
      </c>
      <c r="L1612" s="26">
        <f>IF(J1612="Yes","",H1612-I1612)</f>
        <v/>
      </c>
      <c r="M1612" s="27">
        <f>IF(OR(J1612="Yes",I1612=0),"",H1612/I1612)</f>
        <v/>
      </c>
      <c r="N1612" s="21">
        <f>IF(J1612="Yes","",IF(H1612&gt;=I1612,1,0))</f>
        <v/>
      </c>
      <c r="O1612" s="21">
        <f>IF(I1612&lt;=5000000,"Under $5M",IF(I1612&lt;=20000000,"$5M-20M",IF(I1612&lt;=50000000,"$20M-50M",IF(I1612&lt;=100000000,"$50M-100M","$100M+"))))</f>
        <v/>
      </c>
      <c r="P1612" s="21">
        <f>IF(E1612&lt;=90,"90 or less",IF(E1612&lt;=105,"91-105",IF(E1612&lt;=120,"106-120",IF(E1612&lt;=140,"121-140","Over 140"))))</f>
        <v/>
      </c>
      <c r="Q1612" s="28">
        <f>INT(C1612/10)*10</f>
        <v/>
      </c>
    </row>
    <row r="1613">
      <c r="A1613" s="21" t="n">
        <v>1645</v>
      </c>
      <c r="B1613" s="21" t="inlineStr">
        <is>
          <t>Spirited Away</t>
        </is>
      </c>
      <c r="C1613" s="21" t="n">
        <v>2001</v>
      </c>
      <c r="D1613" s="21" t="inlineStr">
        <is>
          <t>Japan</t>
        </is>
      </c>
      <c r="E1613" s="21" t="n">
        <v>125</v>
      </c>
      <c r="F1613" s="21" t="inlineStr">
        <is>
          <t>Japanese</t>
        </is>
      </c>
      <c r="G1613" s="21" t="inlineStr">
        <is>
          <t>PG</t>
        </is>
      </c>
      <c r="H1613" s="22" t="n">
        <v>10049886</v>
      </c>
      <c r="I1613" s="22" t="n">
        <v>19000000</v>
      </c>
      <c r="J1613" s="21">
        <f>IF(OR(H1613="",H1613=25529689.5),"Yes","No")</f>
        <v/>
      </c>
      <c r="K1613" s="21">
        <f>IF(AND(D1613="USA",C1613&gt;=1980,J1613="No"),"Yes","No")</f>
        <v/>
      </c>
      <c r="L1613" s="26">
        <f>IF(J1613="Yes","",H1613-I1613)</f>
        <v/>
      </c>
      <c r="M1613" s="27">
        <f>IF(OR(J1613="Yes",I1613=0),"",H1613/I1613)</f>
        <v/>
      </c>
      <c r="N1613" s="21">
        <f>IF(J1613="Yes","",IF(H1613&gt;=I1613,1,0))</f>
        <v/>
      </c>
      <c r="O1613" s="21">
        <f>IF(I1613&lt;=5000000,"Under $5M",IF(I1613&lt;=20000000,"$5M-20M",IF(I1613&lt;=50000000,"$20M-50M",IF(I1613&lt;=100000000,"$50M-100M","$100M+"))))</f>
        <v/>
      </c>
      <c r="P1613" s="21">
        <f>IF(E1613&lt;=90,"90 or less",IF(E1613&lt;=105,"91-105",IF(E1613&lt;=120,"106-120",IF(E1613&lt;=140,"121-140","Over 140"))))</f>
        <v/>
      </c>
      <c r="Q1613" s="28">
        <f>INT(C1613/10)*10</f>
        <v/>
      </c>
    </row>
    <row r="1614">
      <c r="A1614" s="21" t="n">
        <v>1646</v>
      </c>
      <c r="B1614" s="21" t="inlineStr">
        <is>
          <t>Spy Game</t>
        </is>
      </c>
      <c r="C1614" s="21" t="n">
        <v>2001</v>
      </c>
      <c r="D1614" s="21" t="inlineStr">
        <is>
          <t>Germany</t>
        </is>
      </c>
      <c r="E1614" s="21" t="n">
        <v>114</v>
      </c>
      <c r="F1614" s="21" t="inlineStr">
        <is>
          <t>English</t>
        </is>
      </c>
      <c r="G1614" s="21" t="inlineStr">
        <is>
          <t>R</t>
        </is>
      </c>
      <c r="H1614" s="22" t="n">
        <v>26871</v>
      </c>
      <c r="I1614" s="22" t="n">
        <v>92000000</v>
      </c>
      <c r="J1614" s="21">
        <f>IF(OR(H1614="",H1614=25529689.5),"Yes","No")</f>
        <v/>
      </c>
      <c r="K1614" s="21">
        <f>IF(AND(D1614="USA",C1614&gt;=1980,J1614="No"),"Yes","No")</f>
        <v/>
      </c>
      <c r="L1614" s="26">
        <f>IF(J1614="Yes","",H1614-I1614)</f>
        <v/>
      </c>
      <c r="M1614" s="27">
        <f>IF(OR(J1614="Yes",I1614=0),"",H1614/I1614)</f>
        <v/>
      </c>
      <c r="N1614" s="21">
        <f>IF(J1614="Yes","",IF(H1614&gt;=I1614,1,0))</f>
        <v/>
      </c>
      <c r="O1614" s="21">
        <f>IF(I1614&lt;=5000000,"Under $5M",IF(I1614&lt;=20000000,"$5M-20M",IF(I1614&lt;=50000000,"$20M-50M",IF(I1614&lt;=100000000,"$50M-100M","$100M+"))))</f>
        <v/>
      </c>
      <c r="P1614" s="21">
        <f>IF(E1614&lt;=90,"90 or less",IF(E1614&lt;=105,"91-105",IF(E1614&lt;=120,"106-120",IF(E1614&lt;=140,"121-140","Over 140"))))</f>
        <v/>
      </c>
      <c r="Q1614" s="28">
        <f>INT(C1614/10)*10</f>
        <v/>
      </c>
    </row>
    <row r="1615">
      <c r="A1615" s="21" t="n">
        <v>1647</v>
      </c>
      <c r="B1615" s="21" t="inlineStr">
        <is>
          <t>Spy Kids</t>
        </is>
      </c>
      <c r="C1615" s="21" t="n">
        <v>2001</v>
      </c>
      <c r="D1615" s="21" t="inlineStr">
        <is>
          <t>USA</t>
        </is>
      </c>
      <c r="E1615" s="21" t="n">
        <v>88</v>
      </c>
      <c r="F1615" s="21" t="inlineStr">
        <is>
          <t>English</t>
        </is>
      </c>
      <c r="G1615" s="21" t="inlineStr">
        <is>
          <t>PG</t>
        </is>
      </c>
      <c r="H1615" s="22" t="n">
        <v>112692062</v>
      </c>
      <c r="I1615" s="22" t="n">
        <v>35000000</v>
      </c>
      <c r="J1615" s="21">
        <f>IF(OR(H1615="",H1615=25529689.5),"Yes","No")</f>
        <v/>
      </c>
      <c r="K1615" s="21">
        <f>IF(AND(D1615="USA",C1615&gt;=1980,J1615="No"),"Yes","No")</f>
        <v/>
      </c>
      <c r="L1615" s="26">
        <f>IF(J1615="Yes","",H1615-I1615)</f>
        <v/>
      </c>
      <c r="M1615" s="27">
        <f>IF(OR(J1615="Yes",I1615=0),"",H1615/I1615)</f>
        <v/>
      </c>
      <c r="N1615" s="21">
        <f>IF(J1615="Yes","",IF(H1615&gt;=I1615,1,0))</f>
        <v/>
      </c>
      <c r="O1615" s="21">
        <f>IF(I1615&lt;=5000000,"Under $5M",IF(I1615&lt;=20000000,"$5M-20M",IF(I1615&lt;=50000000,"$20M-50M",IF(I1615&lt;=100000000,"$50M-100M","$100M+"))))</f>
        <v/>
      </c>
      <c r="P1615" s="21">
        <f>IF(E1615&lt;=90,"90 or less",IF(E1615&lt;=105,"91-105",IF(E1615&lt;=120,"106-120",IF(E1615&lt;=140,"121-140","Over 140"))))</f>
        <v/>
      </c>
      <c r="Q1615" s="28">
        <f>INT(C1615/10)*10</f>
        <v/>
      </c>
    </row>
    <row r="1616">
      <c r="A1616" s="21" t="n">
        <v>1648</v>
      </c>
      <c r="B1616" s="21" t="inlineStr">
        <is>
          <t>Summer Catch</t>
        </is>
      </c>
      <c r="C1616" s="21" t="n">
        <v>2001</v>
      </c>
      <c r="D1616" s="21" t="inlineStr">
        <is>
          <t>USA</t>
        </is>
      </c>
      <c r="E1616" s="21" t="n">
        <v>108</v>
      </c>
      <c r="F1616" s="21" t="inlineStr">
        <is>
          <t>English</t>
        </is>
      </c>
      <c r="G1616" s="21" t="inlineStr">
        <is>
          <t>PG-13</t>
        </is>
      </c>
      <c r="H1616" s="22" t="n">
        <v>19693891</v>
      </c>
      <c r="I1616" s="22" t="n">
        <v>34000000</v>
      </c>
      <c r="J1616" s="21">
        <f>IF(OR(H1616="",H1616=25529689.5),"Yes","No")</f>
        <v/>
      </c>
      <c r="K1616" s="21">
        <f>IF(AND(D1616="USA",C1616&gt;=1980,J1616="No"),"Yes","No")</f>
        <v/>
      </c>
      <c r="L1616" s="26">
        <f>IF(J1616="Yes","",H1616-I1616)</f>
        <v/>
      </c>
      <c r="M1616" s="27">
        <f>IF(OR(J1616="Yes",I1616=0),"",H1616/I1616)</f>
        <v/>
      </c>
      <c r="N1616" s="21">
        <f>IF(J1616="Yes","",IF(H1616&gt;=I1616,1,0))</f>
        <v/>
      </c>
      <c r="O1616" s="21">
        <f>IF(I1616&lt;=5000000,"Under $5M",IF(I1616&lt;=20000000,"$5M-20M",IF(I1616&lt;=50000000,"$20M-50M",IF(I1616&lt;=100000000,"$50M-100M","$100M+"))))</f>
        <v/>
      </c>
      <c r="P1616" s="21">
        <f>IF(E1616&lt;=90,"90 or less",IF(E1616&lt;=105,"91-105",IF(E1616&lt;=120,"106-120",IF(E1616&lt;=140,"121-140","Over 140"))))</f>
        <v/>
      </c>
      <c r="Q1616" s="28">
        <f>INT(C1616/10)*10</f>
        <v/>
      </c>
    </row>
    <row r="1617">
      <c r="A1617" s="21" t="n">
        <v>1649</v>
      </c>
      <c r="B1617" s="21" t="inlineStr">
        <is>
          <t>Super Troopers</t>
        </is>
      </c>
      <c r="C1617" s="21" t="n">
        <v>2001</v>
      </c>
      <c r="D1617" s="21" t="inlineStr">
        <is>
          <t>USA</t>
        </is>
      </c>
      <c r="E1617" s="21" t="n">
        <v>100</v>
      </c>
      <c r="F1617" s="21" t="inlineStr">
        <is>
          <t>English</t>
        </is>
      </c>
      <c r="G1617" s="21" t="inlineStr">
        <is>
          <t>R</t>
        </is>
      </c>
      <c r="H1617" s="22" t="n">
        <v>18488314</v>
      </c>
      <c r="I1617" s="22" t="n">
        <v>1200000</v>
      </c>
      <c r="J1617" s="21">
        <f>IF(OR(H1617="",H1617=25529689.5),"Yes","No")</f>
        <v/>
      </c>
      <c r="K1617" s="21">
        <f>IF(AND(D1617="USA",C1617&gt;=1980,J1617="No"),"Yes","No")</f>
        <v/>
      </c>
      <c r="L1617" s="26">
        <f>IF(J1617="Yes","",H1617-I1617)</f>
        <v/>
      </c>
      <c r="M1617" s="27">
        <f>IF(OR(J1617="Yes",I1617=0),"",H1617/I1617)</f>
        <v/>
      </c>
      <c r="N1617" s="21">
        <f>IF(J1617="Yes","",IF(H1617&gt;=I1617,1,0))</f>
        <v/>
      </c>
      <c r="O1617" s="21">
        <f>IF(I1617&lt;=5000000,"Under $5M",IF(I1617&lt;=20000000,"$5M-20M",IF(I1617&lt;=50000000,"$20M-50M",IF(I1617&lt;=100000000,"$50M-100M","$100M+"))))</f>
        <v/>
      </c>
      <c r="P1617" s="21">
        <f>IF(E1617&lt;=90,"90 or less",IF(E1617&lt;=105,"91-105",IF(E1617&lt;=120,"106-120",IF(E1617&lt;=140,"121-140","Over 140"))))</f>
        <v/>
      </c>
      <c r="Q1617" s="28">
        <f>INT(C1617/10)*10</f>
        <v/>
      </c>
    </row>
    <row r="1618">
      <c r="A1618" s="21" t="n">
        <v>1650</v>
      </c>
      <c r="B1618" s="21" t="inlineStr">
        <is>
          <t>Sweet November</t>
        </is>
      </c>
      <c r="C1618" s="21" t="n">
        <v>2001</v>
      </c>
      <c r="D1618" s="21" t="inlineStr">
        <is>
          <t>USA</t>
        </is>
      </c>
      <c r="E1618" s="21" t="n">
        <v>119</v>
      </c>
      <c r="F1618" s="21" t="inlineStr">
        <is>
          <t>English</t>
        </is>
      </c>
      <c r="G1618" s="21" t="inlineStr">
        <is>
          <t>PG-13</t>
        </is>
      </c>
      <c r="H1618" s="22" t="n">
        <v>25178165</v>
      </c>
      <c r="I1618" s="22" t="n">
        <v>40000000</v>
      </c>
      <c r="J1618" s="21">
        <f>IF(OR(H1618="",H1618=25529689.5),"Yes","No")</f>
        <v/>
      </c>
      <c r="K1618" s="21">
        <f>IF(AND(D1618="USA",C1618&gt;=1980,J1618="No"),"Yes","No")</f>
        <v/>
      </c>
      <c r="L1618" s="26">
        <f>IF(J1618="Yes","",H1618-I1618)</f>
        <v/>
      </c>
      <c r="M1618" s="27">
        <f>IF(OR(J1618="Yes",I1618=0),"",H1618/I1618)</f>
        <v/>
      </c>
      <c r="N1618" s="21">
        <f>IF(J1618="Yes","",IF(H1618&gt;=I1618,1,0))</f>
        <v/>
      </c>
      <c r="O1618" s="21">
        <f>IF(I1618&lt;=5000000,"Under $5M",IF(I1618&lt;=20000000,"$5M-20M",IF(I1618&lt;=50000000,"$20M-50M",IF(I1618&lt;=100000000,"$50M-100M","$100M+"))))</f>
        <v/>
      </c>
      <c r="P1618" s="21">
        <f>IF(E1618&lt;=90,"90 or less",IF(E1618&lt;=105,"91-105",IF(E1618&lt;=120,"106-120",IF(E1618&lt;=140,"121-140","Over 140"))))</f>
        <v/>
      </c>
      <c r="Q1618" s="28">
        <f>INT(C1618/10)*10</f>
        <v/>
      </c>
    </row>
    <row r="1619">
      <c r="A1619" s="21" t="n">
        <v>1651</v>
      </c>
      <c r="B1619" s="21" t="inlineStr">
        <is>
          <t>Swordfish</t>
        </is>
      </c>
      <c r="C1619" s="21" t="n">
        <v>2001</v>
      </c>
      <c r="D1619" s="21" t="inlineStr">
        <is>
          <t>USA</t>
        </is>
      </c>
      <c r="E1619" s="21" t="n">
        <v>99</v>
      </c>
      <c r="F1619" s="21" t="inlineStr">
        <is>
          <t>English</t>
        </is>
      </c>
      <c r="G1619" s="21" t="inlineStr">
        <is>
          <t>R</t>
        </is>
      </c>
      <c r="H1619" s="22" t="n">
        <v>69772969</v>
      </c>
      <c r="I1619" s="22" t="n">
        <v>80000000</v>
      </c>
      <c r="J1619" s="21">
        <f>IF(OR(H1619="",H1619=25529689.5),"Yes","No")</f>
        <v/>
      </c>
      <c r="K1619" s="21">
        <f>IF(AND(D1619="USA",C1619&gt;=1980,J1619="No"),"Yes","No")</f>
        <v/>
      </c>
      <c r="L1619" s="26">
        <f>IF(J1619="Yes","",H1619-I1619)</f>
        <v/>
      </c>
      <c r="M1619" s="27">
        <f>IF(OR(J1619="Yes",I1619=0),"",H1619/I1619)</f>
        <v/>
      </c>
      <c r="N1619" s="21">
        <f>IF(J1619="Yes","",IF(H1619&gt;=I1619,1,0))</f>
        <v/>
      </c>
      <c r="O1619" s="21">
        <f>IF(I1619&lt;=5000000,"Under $5M",IF(I1619&lt;=20000000,"$5M-20M",IF(I1619&lt;=50000000,"$20M-50M",IF(I1619&lt;=100000000,"$50M-100M","$100M+"))))</f>
        <v/>
      </c>
      <c r="P1619" s="21">
        <f>IF(E1619&lt;=90,"90 or less",IF(E1619&lt;=105,"91-105",IF(E1619&lt;=120,"106-120",IF(E1619&lt;=140,"121-140","Over 140"))))</f>
        <v/>
      </c>
      <c r="Q1619" s="28">
        <f>INT(C1619/10)*10</f>
        <v/>
      </c>
    </row>
    <row r="1620">
      <c r="A1620" s="21" t="n">
        <v>1652</v>
      </c>
      <c r="B1620" s="21" t="inlineStr">
        <is>
          <t>Texas Rangers</t>
        </is>
      </c>
      <c r="C1620" s="21" t="n">
        <v>2001</v>
      </c>
      <c r="D1620" s="21" t="inlineStr">
        <is>
          <t>USA</t>
        </is>
      </c>
      <c r="E1620" s="21" t="n">
        <v>110</v>
      </c>
      <c r="F1620" s="21" t="inlineStr">
        <is>
          <t>English</t>
        </is>
      </c>
      <c r="G1620" s="21" t="inlineStr">
        <is>
          <t>PG-13</t>
        </is>
      </c>
      <c r="H1620" s="22" t="n">
        <v>623374</v>
      </c>
      <c r="I1620" s="22" t="n">
        <v>38000000</v>
      </c>
      <c r="J1620" s="21">
        <f>IF(OR(H1620="",H1620=25529689.5),"Yes","No")</f>
        <v/>
      </c>
      <c r="K1620" s="21">
        <f>IF(AND(D1620="USA",C1620&gt;=1980,J1620="No"),"Yes","No")</f>
        <v/>
      </c>
      <c r="L1620" s="26">
        <f>IF(J1620="Yes","",H1620-I1620)</f>
        <v/>
      </c>
      <c r="M1620" s="27">
        <f>IF(OR(J1620="Yes",I1620=0),"",H1620/I1620)</f>
        <v/>
      </c>
      <c r="N1620" s="21">
        <f>IF(J1620="Yes","",IF(H1620&gt;=I1620,1,0))</f>
        <v/>
      </c>
      <c r="O1620" s="21">
        <f>IF(I1620&lt;=5000000,"Under $5M",IF(I1620&lt;=20000000,"$5M-20M",IF(I1620&lt;=50000000,"$20M-50M",IF(I1620&lt;=100000000,"$50M-100M","$100M+"))))</f>
        <v/>
      </c>
      <c r="P1620" s="21">
        <f>IF(E1620&lt;=90,"90 or less",IF(E1620&lt;=105,"91-105",IF(E1620&lt;=120,"106-120",IF(E1620&lt;=140,"121-140","Over 140"))))</f>
        <v/>
      </c>
      <c r="Q1620" s="28">
        <f>INT(C1620/10)*10</f>
        <v/>
      </c>
    </row>
    <row r="1621">
      <c r="A1621" s="21" t="n">
        <v>1653</v>
      </c>
      <c r="B1621" s="21" t="inlineStr">
        <is>
          <t>The Animal</t>
        </is>
      </c>
      <c r="C1621" s="21" t="n">
        <v>2001</v>
      </c>
      <c r="D1621" s="21" t="inlineStr">
        <is>
          <t>USA</t>
        </is>
      </c>
      <c r="E1621" s="21" t="n">
        <v>84</v>
      </c>
      <c r="F1621" s="21" t="inlineStr">
        <is>
          <t>English</t>
        </is>
      </c>
      <c r="G1621" s="21" t="inlineStr">
        <is>
          <t>PG-13</t>
        </is>
      </c>
      <c r="H1621" s="22" t="n">
        <v>55762229</v>
      </c>
      <c r="I1621" s="22" t="n">
        <v>22000000</v>
      </c>
      <c r="J1621" s="21">
        <f>IF(OR(H1621="",H1621=25529689.5),"Yes","No")</f>
        <v/>
      </c>
      <c r="K1621" s="21">
        <f>IF(AND(D1621="USA",C1621&gt;=1980,J1621="No"),"Yes","No")</f>
        <v/>
      </c>
      <c r="L1621" s="26">
        <f>IF(J1621="Yes","",H1621-I1621)</f>
        <v/>
      </c>
      <c r="M1621" s="27">
        <f>IF(OR(J1621="Yes",I1621=0),"",H1621/I1621)</f>
        <v/>
      </c>
      <c r="N1621" s="21">
        <f>IF(J1621="Yes","",IF(H1621&gt;=I1621,1,0))</f>
        <v/>
      </c>
      <c r="O1621" s="21">
        <f>IF(I1621&lt;=5000000,"Under $5M",IF(I1621&lt;=20000000,"$5M-20M",IF(I1621&lt;=50000000,"$20M-50M",IF(I1621&lt;=100000000,"$50M-100M","$100M+"))))</f>
        <v/>
      </c>
      <c r="P1621" s="21">
        <f>IF(E1621&lt;=90,"90 or less",IF(E1621&lt;=105,"91-105",IF(E1621&lt;=120,"106-120",IF(E1621&lt;=140,"121-140","Over 140"))))</f>
        <v/>
      </c>
      <c r="Q1621" s="28">
        <f>INT(C1621/10)*10</f>
        <v/>
      </c>
    </row>
    <row r="1622">
      <c r="A1622" s="21" t="n">
        <v>1654</v>
      </c>
      <c r="B1622" s="21" t="inlineStr">
        <is>
          <t>The Believer</t>
        </is>
      </c>
      <c r="C1622" s="21" t="n">
        <v>2001</v>
      </c>
      <c r="D1622" s="21" t="inlineStr">
        <is>
          <t>USA</t>
        </is>
      </c>
      <c r="E1622" s="21" t="n">
        <v>98</v>
      </c>
      <c r="F1622" s="21" t="inlineStr">
        <is>
          <t>English</t>
        </is>
      </c>
      <c r="G1622" s="21" t="inlineStr">
        <is>
          <t>R</t>
        </is>
      </c>
      <c r="H1622" s="22" t="n">
        <v>406035</v>
      </c>
      <c r="I1622" s="22" t="n">
        <v>1500000</v>
      </c>
      <c r="J1622" s="21">
        <f>IF(OR(H1622="",H1622=25529689.5),"Yes","No")</f>
        <v/>
      </c>
      <c r="K1622" s="21">
        <f>IF(AND(D1622="USA",C1622&gt;=1980,J1622="No"),"Yes","No")</f>
        <v/>
      </c>
      <c r="L1622" s="26">
        <f>IF(J1622="Yes","",H1622-I1622)</f>
        <v/>
      </c>
      <c r="M1622" s="27">
        <f>IF(OR(J1622="Yes",I1622=0),"",H1622/I1622)</f>
        <v/>
      </c>
      <c r="N1622" s="21">
        <f>IF(J1622="Yes","",IF(H1622&gt;=I1622,1,0))</f>
        <v/>
      </c>
      <c r="O1622" s="21">
        <f>IF(I1622&lt;=5000000,"Under $5M",IF(I1622&lt;=20000000,"$5M-20M",IF(I1622&lt;=50000000,"$20M-50M",IF(I1622&lt;=100000000,"$50M-100M","$100M+"))))</f>
        <v/>
      </c>
      <c r="P1622" s="21">
        <f>IF(E1622&lt;=90,"90 or less",IF(E1622&lt;=105,"91-105",IF(E1622&lt;=120,"106-120",IF(E1622&lt;=140,"121-140","Over 140"))))</f>
        <v/>
      </c>
      <c r="Q1622" s="28">
        <f>INT(C1622/10)*10</f>
        <v/>
      </c>
    </row>
    <row r="1623">
      <c r="A1623" s="21" t="n">
        <v>1655</v>
      </c>
      <c r="B1623" s="21" t="inlineStr">
        <is>
          <t>The Brothers</t>
        </is>
      </c>
      <c r="C1623" s="21" t="n">
        <v>2001</v>
      </c>
      <c r="D1623" s="21" t="inlineStr">
        <is>
          <t>USA</t>
        </is>
      </c>
      <c r="E1623" s="21" t="n">
        <v>106</v>
      </c>
      <c r="F1623" s="21" t="inlineStr">
        <is>
          <t>English</t>
        </is>
      </c>
      <c r="G1623" s="21" t="inlineStr">
        <is>
          <t>R</t>
        </is>
      </c>
      <c r="H1623" s="22" t="n">
        <v>27457409</v>
      </c>
      <c r="I1623" s="22" t="n">
        <v>6000000</v>
      </c>
      <c r="J1623" s="21">
        <f>IF(OR(H1623="",H1623=25529689.5),"Yes","No")</f>
        <v/>
      </c>
      <c r="K1623" s="21">
        <f>IF(AND(D1623="USA",C1623&gt;=1980,J1623="No"),"Yes","No")</f>
        <v/>
      </c>
      <c r="L1623" s="26">
        <f>IF(J1623="Yes","",H1623-I1623)</f>
        <v/>
      </c>
      <c r="M1623" s="27">
        <f>IF(OR(J1623="Yes",I1623=0),"",H1623/I1623)</f>
        <v/>
      </c>
      <c r="N1623" s="21">
        <f>IF(J1623="Yes","",IF(H1623&gt;=I1623,1,0))</f>
        <v/>
      </c>
      <c r="O1623" s="21">
        <f>IF(I1623&lt;=5000000,"Under $5M",IF(I1623&lt;=20000000,"$5M-20M",IF(I1623&lt;=50000000,"$20M-50M",IF(I1623&lt;=100000000,"$50M-100M","$100M+"))))</f>
        <v/>
      </c>
      <c r="P1623" s="21">
        <f>IF(E1623&lt;=90,"90 or less",IF(E1623&lt;=105,"91-105",IF(E1623&lt;=120,"106-120",IF(E1623&lt;=140,"121-140","Over 140"))))</f>
        <v/>
      </c>
      <c r="Q1623" s="28">
        <f>INT(C1623/10)*10</f>
        <v/>
      </c>
    </row>
    <row r="1624">
      <c r="A1624" s="21" t="n">
        <v>1656</v>
      </c>
      <c r="B1624" s="21" t="inlineStr">
        <is>
          <t>The Business of Strangers</t>
        </is>
      </c>
      <c r="C1624" s="21" t="n">
        <v>2001</v>
      </c>
      <c r="D1624" s="21" t="inlineStr">
        <is>
          <t>USA</t>
        </is>
      </c>
      <c r="E1624" s="21" t="n">
        <v>84</v>
      </c>
      <c r="F1624" s="21" t="inlineStr">
        <is>
          <t>English</t>
        </is>
      </c>
      <c r="G1624" s="21" t="inlineStr">
        <is>
          <t>R</t>
        </is>
      </c>
      <c r="H1624" s="22" t="n">
        <v>1028337</v>
      </c>
      <c r="I1624" s="22" t="n">
        <v>20000000</v>
      </c>
      <c r="J1624" s="21">
        <f>IF(OR(H1624="",H1624=25529689.5),"Yes","No")</f>
        <v/>
      </c>
      <c r="K1624" s="21">
        <f>IF(AND(D1624="USA",C1624&gt;=1980,J1624="No"),"Yes","No")</f>
        <v/>
      </c>
      <c r="L1624" s="26">
        <f>IF(J1624="Yes","",H1624-I1624)</f>
        <v/>
      </c>
      <c r="M1624" s="27">
        <f>IF(OR(J1624="Yes",I1624=0),"",H1624/I1624)</f>
        <v/>
      </c>
      <c r="N1624" s="21">
        <f>IF(J1624="Yes","",IF(H1624&gt;=I1624,1,0))</f>
        <v/>
      </c>
      <c r="O1624" s="21">
        <f>IF(I1624&lt;=5000000,"Under $5M",IF(I1624&lt;=20000000,"$5M-20M",IF(I1624&lt;=50000000,"$20M-50M",IF(I1624&lt;=100000000,"$50M-100M","$100M+"))))</f>
        <v/>
      </c>
      <c r="P1624" s="21">
        <f>IF(E1624&lt;=90,"90 or less",IF(E1624&lt;=105,"91-105",IF(E1624&lt;=120,"106-120",IF(E1624&lt;=140,"121-140","Over 140"))))</f>
        <v/>
      </c>
      <c r="Q1624" s="28">
        <f>INT(C1624/10)*10</f>
        <v/>
      </c>
    </row>
    <row r="1625">
      <c r="A1625" s="21" t="n">
        <v>1657</v>
      </c>
      <c r="B1625" s="21" t="inlineStr">
        <is>
          <t>The Caveman's Valentine</t>
        </is>
      </c>
      <c r="C1625" s="21" t="n">
        <v>2001</v>
      </c>
      <c r="D1625" s="21" t="inlineStr">
        <is>
          <t>USA</t>
        </is>
      </c>
      <c r="E1625" s="21" t="n">
        <v>105</v>
      </c>
      <c r="F1625" s="21" t="inlineStr">
        <is>
          <t>English</t>
        </is>
      </c>
      <c r="G1625" s="21" t="inlineStr">
        <is>
          <t>R</t>
        </is>
      </c>
      <c r="H1625" s="22" t="n">
        <v>687081</v>
      </c>
      <c r="I1625" s="22" t="n">
        <v>20000000</v>
      </c>
      <c r="J1625" s="21">
        <f>IF(OR(H1625="",H1625=25529689.5),"Yes","No")</f>
        <v/>
      </c>
      <c r="K1625" s="21">
        <f>IF(AND(D1625="USA",C1625&gt;=1980,J1625="No"),"Yes","No")</f>
        <v/>
      </c>
      <c r="L1625" s="26">
        <f>IF(J1625="Yes","",H1625-I1625)</f>
        <v/>
      </c>
      <c r="M1625" s="27">
        <f>IF(OR(J1625="Yes",I1625=0),"",H1625/I1625)</f>
        <v/>
      </c>
      <c r="N1625" s="21">
        <f>IF(J1625="Yes","",IF(H1625&gt;=I1625,1,0))</f>
        <v/>
      </c>
      <c r="O1625" s="21">
        <f>IF(I1625&lt;=5000000,"Under $5M",IF(I1625&lt;=20000000,"$5M-20M",IF(I1625&lt;=50000000,"$20M-50M",IF(I1625&lt;=100000000,"$50M-100M","$100M+"))))</f>
        <v/>
      </c>
      <c r="P1625" s="21">
        <f>IF(E1625&lt;=90,"90 or less",IF(E1625&lt;=105,"91-105",IF(E1625&lt;=120,"106-120",IF(E1625&lt;=140,"121-140","Over 140"))))</f>
        <v/>
      </c>
      <c r="Q1625" s="28">
        <f>INT(C1625/10)*10</f>
        <v/>
      </c>
    </row>
    <row r="1626">
      <c r="A1626" s="21" t="n">
        <v>1658</v>
      </c>
      <c r="B1626" s="21" t="inlineStr">
        <is>
          <t>The Curse of the Jade Scorpion</t>
        </is>
      </c>
      <c r="C1626" s="21" t="n">
        <v>2001</v>
      </c>
      <c r="D1626" s="21" t="inlineStr">
        <is>
          <t>USA</t>
        </is>
      </c>
      <c r="E1626" s="21" t="n">
        <v>103</v>
      </c>
      <c r="F1626" s="21" t="inlineStr">
        <is>
          <t>English</t>
        </is>
      </c>
      <c r="G1626" s="21" t="inlineStr">
        <is>
          <t>PG-13</t>
        </is>
      </c>
      <c r="H1626" s="22" t="n">
        <v>7496522</v>
      </c>
      <c r="I1626" s="22" t="n">
        <v>26000000</v>
      </c>
      <c r="J1626" s="21">
        <f>IF(OR(H1626="",H1626=25529689.5),"Yes","No")</f>
        <v/>
      </c>
      <c r="K1626" s="21">
        <f>IF(AND(D1626="USA",C1626&gt;=1980,J1626="No"),"Yes","No")</f>
        <v/>
      </c>
      <c r="L1626" s="26">
        <f>IF(J1626="Yes","",H1626-I1626)</f>
        <v/>
      </c>
      <c r="M1626" s="27">
        <f>IF(OR(J1626="Yes",I1626=0),"",H1626/I1626)</f>
        <v/>
      </c>
      <c r="N1626" s="21">
        <f>IF(J1626="Yes","",IF(H1626&gt;=I1626,1,0))</f>
        <v/>
      </c>
      <c r="O1626" s="21">
        <f>IF(I1626&lt;=5000000,"Under $5M",IF(I1626&lt;=20000000,"$5M-20M",IF(I1626&lt;=50000000,"$20M-50M",IF(I1626&lt;=100000000,"$50M-100M","$100M+"))))</f>
        <v/>
      </c>
      <c r="P1626" s="21">
        <f>IF(E1626&lt;=90,"90 or less",IF(E1626&lt;=105,"91-105",IF(E1626&lt;=120,"106-120",IF(E1626&lt;=140,"121-140","Over 140"))))</f>
        <v/>
      </c>
      <c r="Q1626" s="28">
        <f>INT(C1626/10)*10</f>
        <v/>
      </c>
    </row>
    <row r="1627">
      <c r="A1627" s="21" t="n">
        <v>1659</v>
      </c>
      <c r="B1627" s="21" t="inlineStr">
        <is>
          <t>The Fast and the Furious</t>
        </is>
      </c>
      <c r="C1627" s="21" t="n">
        <v>2001</v>
      </c>
      <c r="D1627" s="21" t="inlineStr">
        <is>
          <t>USA</t>
        </is>
      </c>
      <c r="E1627" s="21" t="n">
        <v>106</v>
      </c>
      <c r="F1627" s="21" t="inlineStr">
        <is>
          <t>English</t>
        </is>
      </c>
      <c r="G1627" s="21" t="inlineStr">
        <is>
          <t>PG-13</t>
        </is>
      </c>
      <c r="H1627" s="22" t="n">
        <v>144512310</v>
      </c>
      <c r="I1627" s="22" t="n">
        <v>38000000</v>
      </c>
      <c r="J1627" s="21">
        <f>IF(OR(H1627="",H1627=25529689.5),"Yes","No")</f>
        <v/>
      </c>
      <c r="K1627" s="21">
        <f>IF(AND(D1627="USA",C1627&gt;=1980,J1627="No"),"Yes","No")</f>
        <v/>
      </c>
      <c r="L1627" s="26">
        <f>IF(J1627="Yes","",H1627-I1627)</f>
        <v/>
      </c>
      <c r="M1627" s="27">
        <f>IF(OR(J1627="Yes",I1627=0),"",H1627/I1627)</f>
        <v/>
      </c>
      <c r="N1627" s="21">
        <f>IF(J1627="Yes","",IF(H1627&gt;=I1627,1,0))</f>
        <v/>
      </c>
      <c r="O1627" s="21">
        <f>IF(I1627&lt;=5000000,"Under $5M",IF(I1627&lt;=20000000,"$5M-20M",IF(I1627&lt;=50000000,"$20M-50M",IF(I1627&lt;=100000000,"$50M-100M","$100M+"))))</f>
        <v/>
      </c>
      <c r="P1627" s="21">
        <f>IF(E1627&lt;=90,"90 or less",IF(E1627&lt;=105,"91-105",IF(E1627&lt;=120,"106-120",IF(E1627&lt;=140,"121-140","Over 140"))))</f>
        <v/>
      </c>
      <c r="Q1627" s="28">
        <f>INT(C1627/10)*10</f>
        <v/>
      </c>
    </row>
    <row r="1628">
      <c r="A1628" s="21" t="n">
        <v>1662</v>
      </c>
      <c r="B1628" s="21" t="inlineStr">
        <is>
          <t>The Forsaken</t>
        </is>
      </c>
      <c r="C1628" s="21" t="n">
        <v>2001</v>
      </c>
      <c r="D1628" s="21" t="inlineStr">
        <is>
          <t>USA</t>
        </is>
      </c>
      <c r="E1628" s="21" t="n">
        <v>90</v>
      </c>
      <c r="F1628" s="21" t="inlineStr">
        <is>
          <t>English</t>
        </is>
      </c>
      <c r="G1628" s="21" t="inlineStr">
        <is>
          <t>R</t>
        </is>
      </c>
      <c r="H1628" s="22" t="n">
        <v>6755271</v>
      </c>
      <c r="I1628" s="22" t="n">
        <v>5000000</v>
      </c>
      <c r="J1628" s="21">
        <f>IF(OR(H1628="",H1628=25529689.5),"Yes","No")</f>
        <v/>
      </c>
      <c r="K1628" s="21">
        <f>IF(AND(D1628="USA",C1628&gt;=1980,J1628="No"),"Yes","No")</f>
        <v/>
      </c>
      <c r="L1628" s="26">
        <f>IF(J1628="Yes","",H1628-I1628)</f>
        <v/>
      </c>
      <c r="M1628" s="27">
        <f>IF(OR(J1628="Yes",I1628=0),"",H1628/I1628)</f>
        <v/>
      </c>
      <c r="N1628" s="21">
        <f>IF(J1628="Yes","",IF(H1628&gt;=I1628,1,0))</f>
        <v/>
      </c>
      <c r="O1628" s="21">
        <f>IF(I1628&lt;=5000000,"Under $5M",IF(I1628&lt;=20000000,"$5M-20M",IF(I1628&lt;=50000000,"$20M-50M",IF(I1628&lt;=100000000,"$50M-100M","$100M+"))))</f>
        <v/>
      </c>
      <c r="P1628" s="21">
        <f>IF(E1628&lt;=90,"90 or less",IF(E1628&lt;=105,"91-105",IF(E1628&lt;=120,"106-120",IF(E1628&lt;=140,"121-140","Over 140"))))</f>
        <v/>
      </c>
      <c r="Q1628" s="28">
        <f>INT(C1628/10)*10</f>
        <v/>
      </c>
    </row>
    <row r="1629">
      <c r="A1629" s="21" t="n">
        <v>1663</v>
      </c>
      <c r="B1629" s="21" t="inlineStr">
        <is>
          <t>The Glass House</t>
        </is>
      </c>
      <c r="C1629" s="21" t="n">
        <v>2001</v>
      </c>
      <c r="D1629" s="21" t="inlineStr">
        <is>
          <t>USA</t>
        </is>
      </c>
      <c r="E1629" s="21" t="n">
        <v>106</v>
      </c>
      <c r="F1629" s="21" t="inlineStr">
        <is>
          <t>English</t>
        </is>
      </c>
      <c r="G1629" s="21" t="inlineStr">
        <is>
          <t>PG-13</t>
        </is>
      </c>
      <c r="H1629" s="22" t="n">
        <v>17951431</v>
      </c>
      <c r="I1629" s="22" t="n">
        <v>30000000</v>
      </c>
      <c r="J1629" s="21">
        <f>IF(OR(H1629="",H1629=25529689.5),"Yes","No")</f>
        <v/>
      </c>
      <c r="K1629" s="21">
        <f>IF(AND(D1629="USA",C1629&gt;=1980,J1629="No"),"Yes","No")</f>
        <v/>
      </c>
      <c r="L1629" s="26">
        <f>IF(J1629="Yes","",H1629-I1629)</f>
        <v/>
      </c>
      <c r="M1629" s="27">
        <f>IF(OR(J1629="Yes",I1629=0),"",H1629/I1629)</f>
        <v/>
      </c>
      <c r="N1629" s="21">
        <f>IF(J1629="Yes","",IF(H1629&gt;=I1629,1,0))</f>
        <v/>
      </c>
      <c r="O1629" s="21">
        <f>IF(I1629&lt;=5000000,"Under $5M",IF(I1629&lt;=20000000,"$5M-20M",IF(I1629&lt;=50000000,"$20M-50M",IF(I1629&lt;=100000000,"$50M-100M","$100M+"))))</f>
        <v/>
      </c>
      <c r="P1629" s="21">
        <f>IF(E1629&lt;=90,"90 or less",IF(E1629&lt;=105,"91-105",IF(E1629&lt;=120,"106-120",IF(E1629&lt;=140,"121-140","Over 140"))))</f>
        <v/>
      </c>
      <c r="Q1629" s="28">
        <f>INT(C1629/10)*10</f>
        <v/>
      </c>
    </row>
    <row r="1630">
      <c r="A1630" s="21" t="n">
        <v>1664</v>
      </c>
      <c r="B1630" s="21" t="inlineStr">
        <is>
          <t>The Jimmy Show</t>
        </is>
      </c>
      <c r="C1630" s="21" t="n">
        <v>2001</v>
      </c>
      <c r="D1630" s="21" t="inlineStr">
        <is>
          <t>USA</t>
        </is>
      </c>
      <c r="E1630" s="21" t="n">
        <v>96</v>
      </c>
      <c r="F1630" s="21" t="inlineStr">
        <is>
          <t>English</t>
        </is>
      </c>
      <c r="G1630" s="21" t="inlineStr">
        <is>
          <t>R</t>
        </is>
      </c>
      <c r="H1630" s="22" t="n">
        <v>703</v>
      </c>
      <c r="I1630" s="22" t="n">
        <v>1500000</v>
      </c>
      <c r="J1630" s="21">
        <f>IF(OR(H1630="",H1630=25529689.5),"Yes","No")</f>
        <v/>
      </c>
      <c r="K1630" s="21">
        <f>IF(AND(D1630="USA",C1630&gt;=1980,J1630="No"),"Yes","No")</f>
        <v/>
      </c>
      <c r="L1630" s="26">
        <f>IF(J1630="Yes","",H1630-I1630)</f>
        <v/>
      </c>
      <c r="M1630" s="27">
        <f>IF(OR(J1630="Yes",I1630=0),"",H1630/I1630)</f>
        <v/>
      </c>
      <c r="N1630" s="21">
        <f>IF(J1630="Yes","",IF(H1630&gt;=I1630,1,0))</f>
        <v/>
      </c>
      <c r="O1630" s="21">
        <f>IF(I1630&lt;=5000000,"Under $5M",IF(I1630&lt;=20000000,"$5M-20M",IF(I1630&lt;=50000000,"$20M-50M",IF(I1630&lt;=100000000,"$50M-100M","$100M+"))))</f>
        <v/>
      </c>
      <c r="P1630" s="21">
        <f>IF(E1630&lt;=90,"90 or less",IF(E1630&lt;=105,"91-105",IF(E1630&lt;=120,"106-120",IF(E1630&lt;=140,"121-140","Over 140"))))</f>
        <v/>
      </c>
      <c r="Q1630" s="28">
        <f>INT(C1630/10)*10</f>
        <v/>
      </c>
    </row>
    <row r="1631">
      <c r="A1631" s="21" t="n">
        <v>1665</v>
      </c>
      <c r="B1631" s="21" t="inlineStr">
        <is>
          <t>The Last Castle</t>
        </is>
      </c>
      <c r="C1631" s="21" t="n">
        <v>2001</v>
      </c>
      <c r="D1631" s="21" t="inlineStr">
        <is>
          <t>USA</t>
        </is>
      </c>
      <c r="E1631" s="21" t="n">
        <v>131</v>
      </c>
      <c r="F1631" s="21" t="inlineStr">
        <is>
          <t>English</t>
        </is>
      </c>
      <c r="G1631" s="21" t="inlineStr">
        <is>
          <t>R</t>
        </is>
      </c>
      <c r="H1631" s="22" t="n">
        <v>18208078</v>
      </c>
      <c r="I1631" s="22" t="n">
        <v>60000000</v>
      </c>
      <c r="J1631" s="21">
        <f>IF(OR(H1631="",H1631=25529689.5),"Yes","No")</f>
        <v/>
      </c>
      <c r="K1631" s="21">
        <f>IF(AND(D1631="USA",C1631&gt;=1980,J1631="No"),"Yes","No")</f>
        <v/>
      </c>
      <c r="L1631" s="26">
        <f>IF(J1631="Yes","",H1631-I1631)</f>
        <v/>
      </c>
      <c r="M1631" s="27">
        <f>IF(OR(J1631="Yes",I1631=0),"",H1631/I1631)</f>
        <v/>
      </c>
      <c r="N1631" s="21">
        <f>IF(J1631="Yes","",IF(H1631&gt;=I1631,1,0))</f>
        <v/>
      </c>
      <c r="O1631" s="21">
        <f>IF(I1631&lt;=5000000,"Under $5M",IF(I1631&lt;=20000000,"$5M-20M",IF(I1631&lt;=50000000,"$20M-50M",IF(I1631&lt;=100000000,"$50M-100M","$100M+"))))</f>
        <v/>
      </c>
      <c r="P1631" s="21">
        <f>IF(E1631&lt;=90,"90 or less",IF(E1631&lt;=105,"91-105",IF(E1631&lt;=120,"106-120",IF(E1631&lt;=140,"121-140","Over 140"))))</f>
        <v/>
      </c>
      <c r="Q1631" s="28">
        <f>INT(C1631/10)*10</f>
        <v/>
      </c>
    </row>
    <row r="1632">
      <c r="A1632" s="21" t="n">
        <v>1666</v>
      </c>
      <c r="B1632" s="21" t="inlineStr">
        <is>
          <t>The Legend of Suriyothai</t>
        </is>
      </c>
      <c r="C1632" s="21" t="n">
        <v>2001</v>
      </c>
      <c r="D1632" s="21" t="inlineStr">
        <is>
          <t>Thailand</t>
        </is>
      </c>
      <c r="E1632" s="21" t="n">
        <v>300</v>
      </c>
      <c r="F1632" s="21" t="inlineStr">
        <is>
          <t>Thai</t>
        </is>
      </c>
      <c r="G1632" s="21" t="inlineStr">
        <is>
          <t>R</t>
        </is>
      </c>
      <c r="H1632" s="22" t="n">
        <v>454255</v>
      </c>
      <c r="I1632" s="22" t="n">
        <v>400000000</v>
      </c>
      <c r="J1632" s="21">
        <f>IF(OR(H1632="",H1632=25529689.5),"Yes","No")</f>
        <v/>
      </c>
      <c r="K1632" s="21">
        <f>IF(AND(D1632="USA",C1632&gt;=1980,J1632="No"),"Yes","No")</f>
        <v/>
      </c>
      <c r="L1632" s="26">
        <f>IF(J1632="Yes","",H1632-I1632)</f>
        <v/>
      </c>
      <c r="M1632" s="27">
        <f>IF(OR(J1632="Yes",I1632=0),"",H1632/I1632)</f>
        <v/>
      </c>
      <c r="N1632" s="21">
        <f>IF(J1632="Yes","",IF(H1632&gt;=I1632,1,0))</f>
        <v/>
      </c>
      <c r="O1632" s="21">
        <f>IF(I1632&lt;=5000000,"Under $5M",IF(I1632&lt;=20000000,"$5M-20M",IF(I1632&lt;=50000000,"$20M-50M",IF(I1632&lt;=100000000,"$50M-100M","$100M+"))))</f>
        <v/>
      </c>
      <c r="P1632" s="21">
        <f>IF(E1632&lt;=90,"90 or less",IF(E1632&lt;=105,"91-105",IF(E1632&lt;=120,"106-120",IF(E1632&lt;=140,"121-140","Over 140"))))</f>
        <v/>
      </c>
      <c r="Q1632" s="28">
        <f>INT(C1632/10)*10</f>
        <v/>
      </c>
    </row>
    <row r="1633">
      <c r="A1633" s="21" t="n">
        <v>1667</v>
      </c>
      <c r="B1633" s="21" t="inlineStr">
        <is>
          <t>The Lord of the Rings: The Fellowship of the Ring</t>
        </is>
      </c>
      <c r="C1633" s="21" t="n">
        <v>2001</v>
      </c>
      <c r="D1633" s="21" t="inlineStr">
        <is>
          <t>New Zealand</t>
        </is>
      </c>
      <c r="E1633" s="21" t="n">
        <v>171</v>
      </c>
      <c r="F1633" s="21" t="inlineStr">
        <is>
          <t>English</t>
        </is>
      </c>
      <c r="G1633" s="21" t="inlineStr">
        <is>
          <t>PG-13</t>
        </is>
      </c>
      <c r="H1633" s="22" t="n">
        <v>313837577</v>
      </c>
      <c r="I1633" s="22" t="n">
        <v>93000000</v>
      </c>
      <c r="J1633" s="21">
        <f>IF(OR(H1633="",H1633=25529689.5),"Yes","No")</f>
        <v/>
      </c>
      <c r="K1633" s="21">
        <f>IF(AND(D1633="USA",C1633&gt;=1980,J1633="No"),"Yes","No")</f>
        <v/>
      </c>
      <c r="L1633" s="26">
        <f>IF(J1633="Yes","",H1633-I1633)</f>
        <v/>
      </c>
      <c r="M1633" s="27">
        <f>IF(OR(J1633="Yes",I1633=0),"",H1633/I1633)</f>
        <v/>
      </c>
      <c r="N1633" s="21">
        <f>IF(J1633="Yes","",IF(H1633&gt;=I1633,1,0))</f>
        <v/>
      </c>
      <c r="O1633" s="21">
        <f>IF(I1633&lt;=5000000,"Under $5M",IF(I1633&lt;=20000000,"$5M-20M",IF(I1633&lt;=50000000,"$20M-50M",IF(I1633&lt;=100000000,"$50M-100M","$100M+"))))</f>
        <v/>
      </c>
      <c r="P1633" s="21">
        <f>IF(E1633&lt;=90,"90 or less",IF(E1633&lt;=105,"91-105",IF(E1633&lt;=120,"106-120",IF(E1633&lt;=140,"121-140","Over 140"))))</f>
        <v/>
      </c>
      <c r="Q1633" s="28">
        <f>INT(C1633/10)*10</f>
        <v/>
      </c>
    </row>
    <row r="1634">
      <c r="A1634" s="21" t="n">
        <v>1668</v>
      </c>
      <c r="B1634" s="21" t="inlineStr">
        <is>
          <t>The Lost Skeleton of Cadavra</t>
        </is>
      </c>
      <c r="C1634" s="21" t="n">
        <v>2001</v>
      </c>
      <c r="D1634" s="21" t="inlineStr">
        <is>
          <t>USA</t>
        </is>
      </c>
      <c r="E1634" s="21" t="n">
        <v>90</v>
      </c>
      <c r="F1634" s="21" t="inlineStr">
        <is>
          <t>English</t>
        </is>
      </c>
      <c r="G1634" s="21" t="inlineStr">
        <is>
          <t>PG</t>
        </is>
      </c>
      <c r="H1634" s="22" t="n">
        <v>110536</v>
      </c>
      <c r="I1634" s="22" t="n">
        <v>40000</v>
      </c>
      <c r="J1634" s="21">
        <f>IF(OR(H1634="",H1634=25529689.5),"Yes","No")</f>
        <v/>
      </c>
      <c r="K1634" s="21">
        <f>IF(AND(D1634="USA",C1634&gt;=1980,J1634="No"),"Yes","No")</f>
        <v/>
      </c>
      <c r="L1634" s="26">
        <f>IF(J1634="Yes","",H1634-I1634)</f>
        <v/>
      </c>
      <c r="M1634" s="27">
        <f>IF(OR(J1634="Yes",I1634=0),"",H1634/I1634)</f>
        <v/>
      </c>
      <c r="N1634" s="21">
        <f>IF(J1634="Yes","",IF(H1634&gt;=I1634,1,0))</f>
        <v/>
      </c>
      <c r="O1634" s="21">
        <f>IF(I1634&lt;=5000000,"Under $5M",IF(I1634&lt;=20000000,"$5M-20M",IF(I1634&lt;=50000000,"$20M-50M",IF(I1634&lt;=100000000,"$50M-100M","$100M+"))))</f>
        <v/>
      </c>
      <c r="P1634" s="21">
        <f>IF(E1634&lt;=90,"90 or less",IF(E1634&lt;=105,"91-105",IF(E1634&lt;=120,"106-120",IF(E1634&lt;=140,"121-140","Over 140"))))</f>
        <v/>
      </c>
      <c r="Q1634" s="28">
        <f>INT(C1634/10)*10</f>
        <v/>
      </c>
    </row>
    <row r="1635">
      <c r="A1635" s="21" t="n">
        <v>1669</v>
      </c>
      <c r="B1635" s="21" t="inlineStr">
        <is>
          <t>The Majestic</t>
        </is>
      </c>
      <c r="C1635" s="21" t="n">
        <v>2001</v>
      </c>
      <c r="D1635" s="21" t="inlineStr">
        <is>
          <t>USA</t>
        </is>
      </c>
      <c r="E1635" s="21" t="n">
        <v>152</v>
      </c>
      <c r="F1635" s="21" t="inlineStr">
        <is>
          <t>English</t>
        </is>
      </c>
      <c r="G1635" s="21" t="inlineStr">
        <is>
          <t>PG</t>
        </is>
      </c>
      <c r="H1635" s="22" t="n">
        <v>27796042</v>
      </c>
      <c r="I1635" s="22" t="n">
        <v>72000000</v>
      </c>
      <c r="J1635" s="21">
        <f>IF(OR(H1635="",H1635=25529689.5),"Yes","No")</f>
        <v/>
      </c>
      <c r="K1635" s="21">
        <f>IF(AND(D1635="USA",C1635&gt;=1980,J1635="No"),"Yes","No")</f>
        <v/>
      </c>
      <c r="L1635" s="26">
        <f>IF(J1635="Yes","",H1635-I1635)</f>
        <v/>
      </c>
      <c r="M1635" s="27">
        <f>IF(OR(J1635="Yes",I1635=0),"",H1635/I1635)</f>
        <v/>
      </c>
      <c r="N1635" s="21">
        <f>IF(J1635="Yes","",IF(H1635&gt;=I1635,1,0))</f>
        <v/>
      </c>
      <c r="O1635" s="21">
        <f>IF(I1635&lt;=5000000,"Under $5M",IF(I1635&lt;=20000000,"$5M-20M",IF(I1635&lt;=50000000,"$20M-50M",IF(I1635&lt;=100000000,"$50M-100M","$100M+"))))</f>
        <v/>
      </c>
      <c r="P1635" s="21">
        <f>IF(E1635&lt;=90,"90 or less",IF(E1635&lt;=105,"91-105",IF(E1635&lt;=120,"106-120",IF(E1635&lt;=140,"121-140","Over 140"))))</f>
        <v/>
      </c>
      <c r="Q1635" s="28">
        <f>INT(C1635/10)*10</f>
        <v/>
      </c>
    </row>
    <row r="1636">
      <c r="A1636" s="21" t="n">
        <v>1670</v>
      </c>
      <c r="B1636" s="21" t="inlineStr">
        <is>
          <t>The Mexican</t>
        </is>
      </c>
      <c r="C1636" s="21" t="n">
        <v>2001</v>
      </c>
      <c r="D1636" s="21" t="inlineStr">
        <is>
          <t>USA</t>
        </is>
      </c>
      <c r="E1636" s="21" t="n">
        <v>123</v>
      </c>
      <c r="F1636" s="21" t="inlineStr">
        <is>
          <t>English</t>
        </is>
      </c>
      <c r="G1636" s="21" t="inlineStr">
        <is>
          <t>R</t>
        </is>
      </c>
      <c r="H1636" s="22" t="n">
        <v>66808615</v>
      </c>
      <c r="I1636" s="22" t="n">
        <v>34000000</v>
      </c>
      <c r="J1636" s="21">
        <f>IF(OR(H1636="",H1636=25529689.5),"Yes","No")</f>
        <v/>
      </c>
      <c r="K1636" s="21">
        <f>IF(AND(D1636="USA",C1636&gt;=1980,J1636="No"),"Yes","No")</f>
        <v/>
      </c>
      <c r="L1636" s="26">
        <f>IF(J1636="Yes","",H1636-I1636)</f>
        <v/>
      </c>
      <c r="M1636" s="27">
        <f>IF(OR(J1636="Yes",I1636=0),"",H1636/I1636)</f>
        <v/>
      </c>
      <c r="N1636" s="21">
        <f>IF(J1636="Yes","",IF(H1636&gt;=I1636,1,0))</f>
        <v/>
      </c>
      <c r="O1636" s="21">
        <f>IF(I1636&lt;=5000000,"Under $5M",IF(I1636&lt;=20000000,"$5M-20M",IF(I1636&lt;=50000000,"$20M-50M",IF(I1636&lt;=100000000,"$50M-100M","$100M+"))))</f>
        <v/>
      </c>
      <c r="P1636" s="21">
        <f>IF(E1636&lt;=90,"90 or less",IF(E1636&lt;=105,"91-105",IF(E1636&lt;=120,"106-120",IF(E1636&lt;=140,"121-140","Over 140"))))</f>
        <v/>
      </c>
      <c r="Q1636" s="28">
        <f>INT(C1636/10)*10</f>
        <v/>
      </c>
    </row>
    <row r="1637">
      <c r="A1637" s="21" t="n">
        <v>1671</v>
      </c>
      <c r="B1637" s="21" t="inlineStr">
        <is>
          <t>The Mummy Returns</t>
        </is>
      </c>
      <c r="C1637" s="21" t="n">
        <v>2001</v>
      </c>
      <c r="D1637" s="21" t="inlineStr">
        <is>
          <t>USA</t>
        </is>
      </c>
      <c r="E1637" s="21" t="n">
        <v>130</v>
      </c>
      <c r="F1637" s="21" t="inlineStr">
        <is>
          <t>English</t>
        </is>
      </c>
      <c r="G1637" s="21" t="inlineStr">
        <is>
          <t>PG-13</t>
        </is>
      </c>
      <c r="H1637" s="22" t="n">
        <v>202007640</v>
      </c>
      <c r="I1637" s="22" t="n">
        <v>98000000</v>
      </c>
      <c r="J1637" s="21">
        <f>IF(OR(H1637="",H1637=25529689.5),"Yes","No")</f>
        <v/>
      </c>
      <c r="K1637" s="21">
        <f>IF(AND(D1637="USA",C1637&gt;=1980,J1637="No"),"Yes","No")</f>
        <v/>
      </c>
      <c r="L1637" s="26">
        <f>IF(J1637="Yes","",H1637-I1637)</f>
        <v/>
      </c>
      <c r="M1637" s="27">
        <f>IF(OR(J1637="Yes",I1637=0),"",H1637/I1637)</f>
        <v/>
      </c>
      <c r="N1637" s="21">
        <f>IF(J1637="Yes","",IF(H1637&gt;=I1637,1,0))</f>
        <v/>
      </c>
      <c r="O1637" s="21">
        <f>IF(I1637&lt;=5000000,"Under $5M",IF(I1637&lt;=20000000,"$5M-20M",IF(I1637&lt;=50000000,"$20M-50M",IF(I1637&lt;=100000000,"$50M-100M","$100M+"))))</f>
        <v/>
      </c>
      <c r="P1637" s="21">
        <f>IF(E1637&lt;=90,"90 or less",IF(E1637&lt;=105,"91-105",IF(E1637&lt;=120,"106-120",IF(E1637&lt;=140,"121-140","Over 140"))))</f>
        <v/>
      </c>
      <c r="Q1637" s="28">
        <f>INT(C1637/10)*10</f>
        <v/>
      </c>
    </row>
    <row r="1638">
      <c r="A1638" s="21" t="n">
        <v>1672</v>
      </c>
      <c r="B1638" s="21" t="inlineStr">
        <is>
          <t>The Musketeer</t>
        </is>
      </c>
      <c r="C1638" s="21" t="n">
        <v>2001</v>
      </c>
      <c r="D1638" s="21" t="inlineStr">
        <is>
          <t>Germany</t>
        </is>
      </c>
      <c r="E1638" s="21" t="n">
        <v>104</v>
      </c>
      <c r="F1638" s="21" t="inlineStr">
        <is>
          <t>English</t>
        </is>
      </c>
      <c r="G1638" s="21" t="inlineStr">
        <is>
          <t>PG-13</t>
        </is>
      </c>
      <c r="H1638" s="22" t="n">
        <v>27053815</v>
      </c>
      <c r="I1638" s="22" t="n">
        <v>40000000</v>
      </c>
      <c r="J1638" s="21">
        <f>IF(OR(H1638="",H1638=25529689.5),"Yes","No")</f>
        <v/>
      </c>
      <c r="K1638" s="21">
        <f>IF(AND(D1638="USA",C1638&gt;=1980,J1638="No"),"Yes","No")</f>
        <v/>
      </c>
      <c r="L1638" s="26">
        <f>IF(J1638="Yes","",H1638-I1638)</f>
        <v/>
      </c>
      <c r="M1638" s="27">
        <f>IF(OR(J1638="Yes",I1638=0),"",H1638/I1638)</f>
        <v/>
      </c>
      <c r="N1638" s="21">
        <f>IF(J1638="Yes","",IF(H1638&gt;=I1638,1,0))</f>
        <v/>
      </c>
      <c r="O1638" s="21">
        <f>IF(I1638&lt;=5000000,"Under $5M",IF(I1638&lt;=20000000,"$5M-20M",IF(I1638&lt;=50000000,"$20M-50M",IF(I1638&lt;=100000000,"$50M-100M","$100M+"))))</f>
        <v/>
      </c>
      <c r="P1638" s="21">
        <f>IF(E1638&lt;=90,"90 or less",IF(E1638&lt;=105,"91-105",IF(E1638&lt;=120,"106-120",IF(E1638&lt;=140,"121-140","Over 140"))))</f>
        <v/>
      </c>
      <c r="Q1638" s="28">
        <f>INT(C1638/10)*10</f>
        <v/>
      </c>
    </row>
    <row r="1639">
      <c r="A1639" s="21" t="n">
        <v>1673</v>
      </c>
      <c r="B1639" s="21" t="inlineStr">
        <is>
          <t>The One</t>
        </is>
      </c>
      <c r="C1639" s="21" t="n">
        <v>2001</v>
      </c>
      <c r="D1639" s="21" t="inlineStr">
        <is>
          <t>USA</t>
        </is>
      </c>
      <c r="E1639" s="21" t="n">
        <v>85</v>
      </c>
      <c r="F1639" s="21" t="inlineStr">
        <is>
          <t>English</t>
        </is>
      </c>
      <c r="G1639" s="21" t="inlineStr">
        <is>
          <t>PG-13</t>
        </is>
      </c>
      <c r="H1639" s="22" t="n">
        <v>43905746</v>
      </c>
      <c r="I1639" s="22" t="n">
        <v>49000000</v>
      </c>
      <c r="J1639" s="21">
        <f>IF(OR(H1639="",H1639=25529689.5),"Yes","No")</f>
        <v/>
      </c>
      <c r="K1639" s="21">
        <f>IF(AND(D1639="USA",C1639&gt;=1980,J1639="No"),"Yes","No")</f>
        <v/>
      </c>
      <c r="L1639" s="26">
        <f>IF(J1639="Yes","",H1639-I1639)</f>
        <v/>
      </c>
      <c r="M1639" s="27">
        <f>IF(OR(J1639="Yes",I1639=0),"",H1639/I1639)</f>
        <v/>
      </c>
      <c r="N1639" s="21">
        <f>IF(J1639="Yes","",IF(H1639&gt;=I1639,1,0))</f>
        <v/>
      </c>
      <c r="O1639" s="21">
        <f>IF(I1639&lt;=5000000,"Under $5M",IF(I1639&lt;=20000000,"$5M-20M",IF(I1639&lt;=50000000,"$20M-50M",IF(I1639&lt;=100000000,"$50M-100M","$100M+"))))</f>
        <v/>
      </c>
      <c r="P1639" s="21">
        <f>IF(E1639&lt;=90,"90 or less",IF(E1639&lt;=105,"91-105",IF(E1639&lt;=120,"106-120",IF(E1639&lt;=140,"121-140","Over 140"))))</f>
        <v/>
      </c>
      <c r="Q1639" s="28">
        <f>INT(C1639/10)*10</f>
        <v/>
      </c>
    </row>
    <row r="1640">
      <c r="A1640" s="21" t="n">
        <v>1674</v>
      </c>
      <c r="B1640" s="21" t="inlineStr">
        <is>
          <t>The Other Side of Heaven</t>
        </is>
      </c>
      <c r="C1640" s="21" t="n">
        <v>2001</v>
      </c>
      <c r="D1640" s="21" t="inlineStr">
        <is>
          <t>USA</t>
        </is>
      </c>
      <c r="E1640" s="21" t="n">
        <v>113</v>
      </c>
      <c r="F1640" s="21" t="inlineStr">
        <is>
          <t>English</t>
        </is>
      </c>
      <c r="G1640" s="21" t="inlineStr">
        <is>
          <t>PG</t>
        </is>
      </c>
      <c r="H1640" s="22" t="n">
        <v>4720371</v>
      </c>
      <c r="I1640" s="22" t="n">
        <v>7000000</v>
      </c>
      <c r="J1640" s="21">
        <f>IF(OR(H1640="",H1640=25529689.5),"Yes","No")</f>
        <v/>
      </c>
      <c r="K1640" s="21">
        <f>IF(AND(D1640="USA",C1640&gt;=1980,J1640="No"),"Yes","No")</f>
        <v/>
      </c>
      <c r="L1640" s="26">
        <f>IF(J1640="Yes","",H1640-I1640)</f>
        <v/>
      </c>
      <c r="M1640" s="27">
        <f>IF(OR(J1640="Yes",I1640=0),"",H1640/I1640)</f>
        <v/>
      </c>
      <c r="N1640" s="21">
        <f>IF(J1640="Yes","",IF(H1640&gt;=I1640,1,0))</f>
        <v/>
      </c>
      <c r="O1640" s="21">
        <f>IF(I1640&lt;=5000000,"Under $5M",IF(I1640&lt;=20000000,"$5M-20M",IF(I1640&lt;=50000000,"$20M-50M",IF(I1640&lt;=100000000,"$50M-100M","$100M+"))))</f>
        <v/>
      </c>
      <c r="P1640" s="21">
        <f>IF(E1640&lt;=90,"90 or less",IF(E1640&lt;=105,"91-105",IF(E1640&lt;=120,"106-120",IF(E1640&lt;=140,"121-140","Over 140"))))</f>
        <v/>
      </c>
      <c r="Q1640" s="28">
        <f>INT(C1640/10)*10</f>
        <v/>
      </c>
    </row>
    <row r="1641">
      <c r="A1641" s="21" t="n">
        <v>1675</v>
      </c>
      <c r="B1641" s="21" t="inlineStr">
        <is>
          <t>The Others</t>
        </is>
      </c>
      <c r="C1641" s="21" t="n">
        <v>2001</v>
      </c>
      <c r="D1641" s="21" t="inlineStr">
        <is>
          <t>USA</t>
        </is>
      </c>
      <c r="E1641" s="21" t="n">
        <v>101</v>
      </c>
      <c r="F1641" s="21" t="inlineStr">
        <is>
          <t>English</t>
        </is>
      </c>
      <c r="G1641" s="21" t="inlineStr">
        <is>
          <t>PG-13</t>
        </is>
      </c>
      <c r="H1641" s="22" t="n">
        <v>96471845</v>
      </c>
      <c r="I1641" s="22" t="n">
        <v>17000000</v>
      </c>
      <c r="J1641" s="21">
        <f>IF(OR(H1641="",H1641=25529689.5),"Yes","No")</f>
        <v/>
      </c>
      <c r="K1641" s="21">
        <f>IF(AND(D1641="USA",C1641&gt;=1980,J1641="No"),"Yes","No")</f>
        <v/>
      </c>
      <c r="L1641" s="26">
        <f>IF(J1641="Yes","",H1641-I1641)</f>
        <v/>
      </c>
      <c r="M1641" s="27">
        <f>IF(OR(J1641="Yes",I1641=0),"",H1641/I1641)</f>
        <v/>
      </c>
      <c r="N1641" s="21">
        <f>IF(J1641="Yes","",IF(H1641&gt;=I1641,1,0))</f>
        <v/>
      </c>
      <c r="O1641" s="21">
        <f>IF(I1641&lt;=5000000,"Under $5M",IF(I1641&lt;=20000000,"$5M-20M",IF(I1641&lt;=50000000,"$20M-50M",IF(I1641&lt;=100000000,"$50M-100M","$100M+"))))</f>
        <v/>
      </c>
      <c r="P1641" s="21">
        <f>IF(E1641&lt;=90,"90 or less",IF(E1641&lt;=105,"91-105",IF(E1641&lt;=120,"106-120",IF(E1641&lt;=140,"121-140","Over 140"))))</f>
        <v/>
      </c>
      <c r="Q1641" s="28">
        <f>INT(C1641/10)*10</f>
        <v/>
      </c>
    </row>
    <row r="1642">
      <c r="A1642" s="21" t="n">
        <v>1676</v>
      </c>
      <c r="B1642" s="21" t="inlineStr">
        <is>
          <t>The Pledge</t>
        </is>
      </c>
      <c r="C1642" s="21" t="n">
        <v>2001</v>
      </c>
      <c r="D1642" s="21" t="inlineStr">
        <is>
          <t>USA</t>
        </is>
      </c>
      <c r="E1642" s="21" t="n">
        <v>124</v>
      </c>
      <c r="F1642" s="21" t="inlineStr">
        <is>
          <t>English</t>
        </is>
      </c>
      <c r="G1642" s="21" t="inlineStr">
        <is>
          <t>R</t>
        </is>
      </c>
      <c r="H1642" s="22" t="n">
        <v>19719930</v>
      </c>
      <c r="I1642" s="22" t="n">
        <v>45000000</v>
      </c>
      <c r="J1642" s="21">
        <f>IF(OR(H1642="",H1642=25529689.5),"Yes","No")</f>
        <v/>
      </c>
      <c r="K1642" s="21">
        <f>IF(AND(D1642="USA",C1642&gt;=1980,J1642="No"),"Yes","No")</f>
        <v/>
      </c>
      <c r="L1642" s="26">
        <f>IF(J1642="Yes","",H1642-I1642)</f>
        <v/>
      </c>
      <c r="M1642" s="27">
        <f>IF(OR(J1642="Yes",I1642=0),"",H1642/I1642)</f>
        <v/>
      </c>
      <c r="N1642" s="21">
        <f>IF(J1642="Yes","",IF(H1642&gt;=I1642,1,0))</f>
        <v/>
      </c>
      <c r="O1642" s="21">
        <f>IF(I1642&lt;=5000000,"Under $5M",IF(I1642&lt;=20000000,"$5M-20M",IF(I1642&lt;=50000000,"$20M-50M",IF(I1642&lt;=100000000,"$50M-100M","$100M+"))))</f>
        <v/>
      </c>
      <c r="P1642" s="21">
        <f>IF(E1642&lt;=90,"90 or less",IF(E1642&lt;=105,"91-105",IF(E1642&lt;=120,"106-120",IF(E1642&lt;=140,"121-140","Over 140"))))</f>
        <v/>
      </c>
      <c r="Q1642" s="28">
        <f>INT(C1642/10)*10</f>
        <v/>
      </c>
    </row>
    <row r="1643">
      <c r="A1643" s="21" t="n">
        <v>1677</v>
      </c>
      <c r="B1643" s="21" t="inlineStr">
        <is>
          <t>The Princess Diaries</t>
        </is>
      </c>
      <c r="C1643" s="21" t="n">
        <v>2001</v>
      </c>
      <c r="D1643" s="21" t="inlineStr">
        <is>
          <t>USA</t>
        </is>
      </c>
      <c r="E1643" s="21" t="n">
        <v>111</v>
      </c>
      <c r="F1643" s="21" t="inlineStr">
        <is>
          <t>English</t>
        </is>
      </c>
      <c r="G1643" s="21" t="inlineStr">
        <is>
          <t>G</t>
        </is>
      </c>
      <c r="H1643" s="22" t="n">
        <v>108244774</v>
      </c>
      <c r="I1643" s="22" t="n">
        <v>37000000</v>
      </c>
      <c r="J1643" s="21">
        <f>IF(OR(H1643="",H1643=25529689.5),"Yes","No")</f>
        <v/>
      </c>
      <c r="K1643" s="21">
        <f>IF(AND(D1643="USA",C1643&gt;=1980,J1643="No"),"Yes","No")</f>
        <v/>
      </c>
      <c r="L1643" s="26">
        <f>IF(J1643="Yes","",H1643-I1643)</f>
        <v/>
      </c>
      <c r="M1643" s="27">
        <f>IF(OR(J1643="Yes",I1643=0),"",H1643/I1643)</f>
        <v/>
      </c>
      <c r="N1643" s="21">
        <f>IF(J1643="Yes","",IF(H1643&gt;=I1643,1,0))</f>
        <v/>
      </c>
      <c r="O1643" s="21">
        <f>IF(I1643&lt;=5000000,"Under $5M",IF(I1643&lt;=20000000,"$5M-20M",IF(I1643&lt;=50000000,"$20M-50M",IF(I1643&lt;=100000000,"$50M-100M","$100M+"))))</f>
        <v/>
      </c>
      <c r="P1643" s="21">
        <f>IF(E1643&lt;=90,"90 or less",IF(E1643&lt;=105,"91-105",IF(E1643&lt;=120,"106-120",IF(E1643&lt;=140,"121-140","Over 140"))))</f>
        <v/>
      </c>
      <c r="Q1643" s="28">
        <f>INT(C1643/10)*10</f>
        <v/>
      </c>
    </row>
    <row r="1644">
      <c r="A1644" s="21" t="n">
        <v>1678</v>
      </c>
      <c r="B1644" s="21" t="inlineStr">
        <is>
          <t>The Royal Tenenbaums</t>
        </is>
      </c>
      <c r="C1644" s="21" t="n">
        <v>2001</v>
      </c>
      <c r="D1644" s="21" t="inlineStr">
        <is>
          <t>USA</t>
        </is>
      </c>
      <c r="E1644" s="21" t="n">
        <v>110</v>
      </c>
      <c r="F1644" s="21" t="inlineStr">
        <is>
          <t>English</t>
        </is>
      </c>
      <c r="G1644" s="21" t="inlineStr">
        <is>
          <t>R</t>
        </is>
      </c>
      <c r="H1644" s="22" t="n">
        <v>52353636</v>
      </c>
      <c r="I1644" s="22" t="n">
        <v>21000000</v>
      </c>
      <c r="J1644" s="21">
        <f>IF(OR(H1644="",H1644=25529689.5),"Yes","No")</f>
        <v/>
      </c>
      <c r="K1644" s="21">
        <f>IF(AND(D1644="USA",C1644&gt;=1980,J1644="No"),"Yes","No")</f>
        <v/>
      </c>
      <c r="L1644" s="26">
        <f>IF(J1644="Yes","",H1644-I1644)</f>
        <v/>
      </c>
      <c r="M1644" s="27">
        <f>IF(OR(J1644="Yes",I1644=0),"",H1644/I1644)</f>
        <v/>
      </c>
      <c r="N1644" s="21">
        <f>IF(J1644="Yes","",IF(H1644&gt;=I1644,1,0))</f>
        <v/>
      </c>
      <c r="O1644" s="21">
        <f>IF(I1644&lt;=5000000,"Under $5M",IF(I1644&lt;=20000000,"$5M-20M",IF(I1644&lt;=50000000,"$20M-50M",IF(I1644&lt;=100000000,"$50M-100M","$100M+"))))</f>
        <v/>
      </c>
      <c r="P1644" s="21">
        <f>IF(E1644&lt;=90,"90 or less",IF(E1644&lt;=105,"91-105",IF(E1644&lt;=120,"106-120",IF(E1644&lt;=140,"121-140","Over 140"))))</f>
        <v/>
      </c>
      <c r="Q1644" s="28">
        <f>INT(C1644/10)*10</f>
        <v/>
      </c>
    </row>
    <row r="1645">
      <c r="A1645" s="21" t="n">
        <v>1679</v>
      </c>
      <c r="B1645" s="21" t="inlineStr">
        <is>
          <t>The Score</t>
        </is>
      </c>
      <c r="C1645" s="21" t="n">
        <v>2001</v>
      </c>
      <c r="D1645" s="21" t="inlineStr">
        <is>
          <t>USA</t>
        </is>
      </c>
      <c r="E1645" s="21" t="n">
        <v>124</v>
      </c>
      <c r="F1645" s="21" t="inlineStr">
        <is>
          <t>English</t>
        </is>
      </c>
      <c r="G1645" s="21" t="inlineStr">
        <is>
          <t>R</t>
        </is>
      </c>
      <c r="H1645" s="22" t="n">
        <v>71069884</v>
      </c>
      <c r="I1645" s="22" t="n">
        <v>68000000</v>
      </c>
      <c r="J1645" s="21">
        <f>IF(OR(H1645="",H1645=25529689.5),"Yes","No")</f>
        <v/>
      </c>
      <c r="K1645" s="21">
        <f>IF(AND(D1645="USA",C1645&gt;=1980,J1645="No"),"Yes","No")</f>
        <v/>
      </c>
      <c r="L1645" s="26">
        <f>IF(J1645="Yes","",H1645-I1645)</f>
        <v/>
      </c>
      <c r="M1645" s="27">
        <f>IF(OR(J1645="Yes",I1645=0),"",H1645/I1645)</f>
        <v/>
      </c>
      <c r="N1645" s="21">
        <f>IF(J1645="Yes","",IF(H1645&gt;=I1645,1,0))</f>
        <v/>
      </c>
      <c r="O1645" s="21">
        <f>IF(I1645&lt;=5000000,"Under $5M",IF(I1645&lt;=20000000,"$5M-20M",IF(I1645&lt;=50000000,"$20M-50M",IF(I1645&lt;=100000000,"$50M-100M","$100M+"))))</f>
        <v/>
      </c>
      <c r="P1645" s="21">
        <f>IF(E1645&lt;=90,"90 or less",IF(E1645&lt;=105,"91-105",IF(E1645&lt;=120,"106-120",IF(E1645&lt;=140,"121-140","Over 140"))))</f>
        <v/>
      </c>
      <c r="Q1645" s="28">
        <f>INT(C1645/10)*10</f>
        <v/>
      </c>
    </row>
    <row r="1646">
      <c r="A1646" s="21" t="n">
        <v>1680</v>
      </c>
      <c r="B1646" s="21" t="inlineStr">
        <is>
          <t>The Shipping News</t>
        </is>
      </c>
      <c r="C1646" s="21" t="n">
        <v>2001</v>
      </c>
      <c r="D1646" s="21" t="inlineStr">
        <is>
          <t>USA</t>
        </is>
      </c>
      <c r="E1646" s="21" t="n">
        <v>111</v>
      </c>
      <c r="F1646" s="21" t="inlineStr">
        <is>
          <t>English</t>
        </is>
      </c>
      <c r="G1646" s="21" t="inlineStr">
        <is>
          <t>R</t>
        </is>
      </c>
      <c r="H1646" s="22" t="n">
        <v>11405825</v>
      </c>
      <c r="I1646" s="22" t="n">
        <v>35000000</v>
      </c>
      <c r="J1646" s="21">
        <f>IF(OR(H1646="",H1646=25529689.5),"Yes","No")</f>
        <v/>
      </c>
      <c r="K1646" s="21">
        <f>IF(AND(D1646="USA",C1646&gt;=1980,J1646="No"),"Yes","No")</f>
        <v/>
      </c>
      <c r="L1646" s="26">
        <f>IF(J1646="Yes","",H1646-I1646)</f>
        <v/>
      </c>
      <c r="M1646" s="27">
        <f>IF(OR(J1646="Yes",I1646=0),"",H1646/I1646)</f>
        <v/>
      </c>
      <c r="N1646" s="21">
        <f>IF(J1646="Yes","",IF(H1646&gt;=I1646,1,0))</f>
        <v/>
      </c>
      <c r="O1646" s="21">
        <f>IF(I1646&lt;=5000000,"Under $5M",IF(I1646&lt;=20000000,"$5M-20M",IF(I1646&lt;=50000000,"$20M-50M",IF(I1646&lt;=100000000,"$50M-100M","$100M+"))))</f>
        <v/>
      </c>
      <c r="P1646" s="21">
        <f>IF(E1646&lt;=90,"90 or less",IF(E1646&lt;=105,"91-105",IF(E1646&lt;=120,"106-120",IF(E1646&lt;=140,"121-140","Over 140"))))</f>
        <v/>
      </c>
      <c r="Q1646" s="28">
        <f>INT(C1646/10)*10</f>
        <v/>
      </c>
    </row>
    <row r="1647">
      <c r="A1647" s="21" t="n">
        <v>1681</v>
      </c>
      <c r="B1647" s="21" t="inlineStr">
        <is>
          <t>The Tailor of Panama</t>
        </is>
      </c>
      <c r="C1647" s="21" t="n">
        <v>2001</v>
      </c>
      <c r="D1647" s="21" t="inlineStr">
        <is>
          <t>USA</t>
        </is>
      </c>
      <c r="E1647" s="21" t="n">
        <v>109</v>
      </c>
      <c r="F1647" s="21" t="inlineStr">
        <is>
          <t>English</t>
        </is>
      </c>
      <c r="G1647" s="21" t="inlineStr">
        <is>
          <t>R</t>
        </is>
      </c>
      <c r="H1647" s="22" t="n">
        <v>13491653</v>
      </c>
      <c r="I1647" s="22" t="n">
        <v>18000000</v>
      </c>
      <c r="J1647" s="21">
        <f>IF(OR(H1647="",H1647=25529689.5),"Yes","No")</f>
        <v/>
      </c>
      <c r="K1647" s="21">
        <f>IF(AND(D1647="USA",C1647&gt;=1980,J1647="No"),"Yes","No")</f>
        <v/>
      </c>
      <c r="L1647" s="26">
        <f>IF(J1647="Yes","",H1647-I1647)</f>
        <v/>
      </c>
      <c r="M1647" s="27">
        <f>IF(OR(J1647="Yes",I1647=0),"",H1647/I1647)</f>
        <v/>
      </c>
      <c r="N1647" s="21">
        <f>IF(J1647="Yes","",IF(H1647&gt;=I1647,1,0))</f>
        <v/>
      </c>
      <c r="O1647" s="21">
        <f>IF(I1647&lt;=5000000,"Under $5M",IF(I1647&lt;=20000000,"$5M-20M",IF(I1647&lt;=50000000,"$20M-50M",IF(I1647&lt;=100000000,"$50M-100M","$100M+"))))</f>
        <v/>
      </c>
      <c r="P1647" s="21">
        <f>IF(E1647&lt;=90,"90 or less",IF(E1647&lt;=105,"91-105",IF(E1647&lt;=120,"106-120",IF(E1647&lt;=140,"121-140","Over 140"))))</f>
        <v/>
      </c>
      <c r="Q1647" s="28">
        <f>INT(C1647/10)*10</f>
        <v/>
      </c>
    </row>
    <row r="1648">
      <c r="A1648" s="21" t="n">
        <v>1682</v>
      </c>
      <c r="B1648" s="21" t="inlineStr">
        <is>
          <t>The Wash</t>
        </is>
      </c>
      <c r="C1648" s="21" t="n">
        <v>2001</v>
      </c>
      <c r="D1648" s="21" t="inlineStr">
        <is>
          <t>USA</t>
        </is>
      </c>
      <c r="E1648" s="21" t="n">
        <v>93</v>
      </c>
      <c r="F1648" s="21" t="inlineStr">
        <is>
          <t>English</t>
        </is>
      </c>
      <c r="G1648" s="21" t="inlineStr">
        <is>
          <t>R</t>
        </is>
      </c>
      <c r="H1648" s="22" t="n">
        <v>10097096</v>
      </c>
      <c r="I1648" s="22" t="n">
        <v>4000000</v>
      </c>
      <c r="J1648" s="21">
        <f>IF(OR(H1648="",H1648=25529689.5),"Yes","No")</f>
        <v/>
      </c>
      <c r="K1648" s="21">
        <f>IF(AND(D1648="USA",C1648&gt;=1980,J1648="No"),"Yes","No")</f>
        <v/>
      </c>
      <c r="L1648" s="26">
        <f>IF(J1648="Yes","",H1648-I1648)</f>
        <v/>
      </c>
      <c r="M1648" s="27">
        <f>IF(OR(J1648="Yes",I1648=0),"",H1648/I1648)</f>
        <v/>
      </c>
      <c r="N1648" s="21">
        <f>IF(J1648="Yes","",IF(H1648&gt;=I1648,1,0))</f>
        <v/>
      </c>
      <c r="O1648" s="21">
        <f>IF(I1648&lt;=5000000,"Under $5M",IF(I1648&lt;=20000000,"$5M-20M",IF(I1648&lt;=50000000,"$20M-50M",IF(I1648&lt;=100000000,"$50M-100M","$100M+"))))</f>
        <v/>
      </c>
      <c r="P1648" s="21">
        <f>IF(E1648&lt;=90,"90 or less",IF(E1648&lt;=105,"91-105",IF(E1648&lt;=120,"106-120",IF(E1648&lt;=140,"121-140","Over 140"))))</f>
        <v/>
      </c>
      <c r="Q1648" s="28">
        <f>INT(C1648/10)*10</f>
        <v/>
      </c>
    </row>
    <row r="1649">
      <c r="A1649" s="21" t="n">
        <v>1683</v>
      </c>
      <c r="B1649" s="21" t="inlineStr">
        <is>
          <t>The Wedding Planner</t>
        </is>
      </c>
      <c r="C1649" s="21" t="n">
        <v>2001</v>
      </c>
      <c r="D1649" s="21" t="inlineStr">
        <is>
          <t>Germany</t>
        </is>
      </c>
      <c r="E1649" s="21" t="n">
        <v>103</v>
      </c>
      <c r="F1649" s="21" t="inlineStr">
        <is>
          <t>English</t>
        </is>
      </c>
      <c r="G1649" s="21" t="inlineStr">
        <is>
          <t>PG-13</t>
        </is>
      </c>
      <c r="H1649" s="22" t="n">
        <v>60400856</v>
      </c>
      <c r="I1649" s="22" t="n">
        <v>35000000</v>
      </c>
      <c r="J1649" s="21">
        <f>IF(OR(H1649="",H1649=25529689.5),"Yes","No")</f>
        <v/>
      </c>
      <c r="K1649" s="21">
        <f>IF(AND(D1649="USA",C1649&gt;=1980,J1649="No"),"Yes","No")</f>
        <v/>
      </c>
      <c r="L1649" s="26">
        <f>IF(J1649="Yes","",H1649-I1649)</f>
        <v/>
      </c>
      <c r="M1649" s="27">
        <f>IF(OR(J1649="Yes",I1649=0),"",H1649/I1649)</f>
        <v/>
      </c>
      <c r="N1649" s="21">
        <f>IF(J1649="Yes","",IF(H1649&gt;=I1649,1,0))</f>
        <v/>
      </c>
      <c r="O1649" s="21">
        <f>IF(I1649&lt;=5000000,"Under $5M",IF(I1649&lt;=20000000,"$5M-20M",IF(I1649&lt;=50000000,"$20M-50M",IF(I1649&lt;=100000000,"$50M-100M","$100M+"))))</f>
        <v/>
      </c>
      <c r="P1649" s="21">
        <f>IF(E1649&lt;=90,"90 or less",IF(E1649&lt;=105,"91-105",IF(E1649&lt;=120,"106-120",IF(E1649&lt;=140,"121-140","Over 140"))))</f>
        <v/>
      </c>
      <c r="Q1649" s="28">
        <f>INT(C1649/10)*10</f>
        <v/>
      </c>
    </row>
    <row r="1650">
      <c r="A1650" s="21" t="n">
        <v>1684</v>
      </c>
      <c r="B1650" s="21" t="inlineStr">
        <is>
          <t>Thir13en Ghosts</t>
        </is>
      </c>
      <c r="C1650" s="21" t="n">
        <v>2001</v>
      </c>
      <c r="D1650" s="21" t="inlineStr">
        <is>
          <t>USA</t>
        </is>
      </c>
      <c r="E1650" s="21" t="n">
        <v>91</v>
      </c>
      <c r="F1650" s="21" t="inlineStr">
        <is>
          <t>English</t>
        </is>
      </c>
      <c r="G1650" s="21" t="inlineStr">
        <is>
          <t>R</t>
        </is>
      </c>
      <c r="H1650" s="22" t="n">
        <v>41867960</v>
      </c>
      <c r="I1650" s="22" t="n">
        <v>20000000</v>
      </c>
      <c r="J1650" s="21">
        <f>IF(OR(H1650="",H1650=25529689.5),"Yes","No")</f>
        <v/>
      </c>
      <c r="K1650" s="21">
        <f>IF(AND(D1650="USA",C1650&gt;=1980,J1650="No"),"Yes","No")</f>
        <v/>
      </c>
      <c r="L1650" s="26">
        <f>IF(J1650="Yes","",H1650-I1650)</f>
        <v/>
      </c>
      <c r="M1650" s="27">
        <f>IF(OR(J1650="Yes",I1650=0),"",H1650/I1650)</f>
        <v/>
      </c>
      <c r="N1650" s="21">
        <f>IF(J1650="Yes","",IF(H1650&gt;=I1650,1,0))</f>
        <v/>
      </c>
      <c r="O1650" s="21">
        <f>IF(I1650&lt;=5000000,"Under $5M",IF(I1650&lt;=20000000,"$5M-20M",IF(I1650&lt;=50000000,"$20M-50M",IF(I1650&lt;=100000000,"$50M-100M","$100M+"))))</f>
        <v/>
      </c>
      <c r="P1650" s="21">
        <f>IF(E1650&lt;=90,"90 or less",IF(E1650&lt;=105,"91-105",IF(E1650&lt;=120,"106-120",IF(E1650&lt;=140,"121-140","Over 140"))))</f>
        <v/>
      </c>
      <c r="Q1650" s="28">
        <f>INT(C1650/10)*10</f>
        <v/>
      </c>
    </row>
    <row r="1651">
      <c r="A1651" s="21" t="n">
        <v>1685</v>
      </c>
      <c r="B1651" s="21" t="inlineStr">
        <is>
          <t>Thirteen Conversations About One Thing</t>
        </is>
      </c>
      <c r="C1651" s="21" t="n">
        <v>2001</v>
      </c>
      <c r="D1651" s="21" t="inlineStr">
        <is>
          <t>USA</t>
        </is>
      </c>
      <c r="E1651" s="21" t="n">
        <v>104</v>
      </c>
      <c r="F1651" s="21" t="inlineStr">
        <is>
          <t>English</t>
        </is>
      </c>
      <c r="G1651" s="21" t="inlineStr">
        <is>
          <t>R</t>
        </is>
      </c>
      <c r="H1651" s="22" t="n">
        <v>3287435</v>
      </c>
      <c r="I1651" s="22" t="n">
        <v>4500000</v>
      </c>
      <c r="J1651" s="21">
        <f>IF(OR(H1651="",H1651=25529689.5),"Yes","No")</f>
        <v/>
      </c>
      <c r="K1651" s="21">
        <f>IF(AND(D1651="USA",C1651&gt;=1980,J1651="No"),"Yes","No")</f>
        <v/>
      </c>
      <c r="L1651" s="26">
        <f>IF(J1651="Yes","",H1651-I1651)</f>
        <v/>
      </c>
      <c r="M1651" s="27">
        <f>IF(OR(J1651="Yes",I1651=0),"",H1651/I1651)</f>
        <v/>
      </c>
      <c r="N1651" s="21">
        <f>IF(J1651="Yes","",IF(H1651&gt;=I1651,1,0))</f>
        <v/>
      </c>
      <c r="O1651" s="21">
        <f>IF(I1651&lt;=5000000,"Under $5M",IF(I1651&lt;=20000000,"$5M-20M",IF(I1651&lt;=50000000,"$20M-50M",IF(I1651&lt;=100000000,"$50M-100M","$100M+"))))</f>
        <v/>
      </c>
      <c r="P1651" s="21">
        <f>IF(E1651&lt;=90,"90 or less",IF(E1651&lt;=105,"91-105",IF(E1651&lt;=120,"106-120",IF(E1651&lt;=140,"121-140","Over 140"))))</f>
        <v/>
      </c>
      <c r="Q1651" s="28">
        <f>INT(C1651/10)*10</f>
        <v/>
      </c>
    </row>
    <row r="1652">
      <c r="A1652" s="21" t="n">
        <v>1686</v>
      </c>
      <c r="B1652" s="21" t="inlineStr">
        <is>
          <t>Tomcats</t>
        </is>
      </c>
      <c r="C1652" s="21" t="n">
        <v>2001</v>
      </c>
      <c r="D1652" s="21" t="inlineStr">
        <is>
          <t>USA</t>
        </is>
      </c>
      <c r="E1652" s="21" t="n">
        <v>95</v>
      </c>
      <c r="F1652" s="21" t="inlineStr">
        <is>
          <t>English</t>
        </is>
      </c>
      <c r="G1652" s="21" t="inlineStr">
        <is>
          <t>R</t>
        </is>
      </c>
      <c r="H1652" s="22" t="n">
        <v>13558739</v>
      </c>
      <c r="I1652" s="22" t="n">
        <v>11000000</v>
      </c>
      <c r="J1652" s="21">
        <f>IF(OR(H1652="",H1652=25529689.5),"Yes","No")</f>
        <v/>
      </c>
      <c r="K1652" s="21">
        <f>IF(AND(D1652="USA",C1652&gt;=1980,J1652="No"),"Yes","No")</f>
        <v/>
      </c>
      <c r="L1652" s="26">
        <f>IF(J1652="Yes","",H1652-I1652)</f>
        <v/>
      </c>
      <c r="M1652" s="27">
        <f>IF(OR(J1652="Yes",I1652=0),"",H1652/I1652)</f>
        <v/>
      </c>
      <c r="N1652" s="21">
        <f>IF(J1652="Yes","",IF(H1652&gt;=I1652,1,0))</f>
        <v/>
      </c>
      <c r="O1652" s="21">
        <f>IF(I1652&lt;=5000000,"Under $5M",IF(I1652&lt;=20000000,"$5M-20M",IF(I1652&lt;=50000000,"$20M-50M",IF(I1652&lt;=100000000,"$50M-100M","$100M+"))))</f>
        <v/>
      </c>
      <c r="P1652" s="21">
        <f>IF(E1652&lt;=90,"90 or less",IF(E1652&lt;=105,"91-105",IF(E1652&lt;=120,"106-120",IF(E1652&lt;=140,"121-140","Over 140"))))</f>
        <v/>
      </c>
      <c r="Q1652" s="28">
        <f>INT(C1652/10)*10</f>
        <v/>
      </c>
    </row>
    <row r="1653">
      <c r="A1653" s="21" t="n">
        <v>1687</v>
      </c>
      <c r="B1653" s="21" t="inlineStr">
        <is>
          <t>Town &amp; Country</t>
        </is>
      </c>
      <c r="C1653" s="21" t="n">
        <v>2001</v>
      </c>
      <c r="D1653" s="21" t="inlineStr">
        <is>
          <t>New Line</t>
        </is>
      </c>
      <c r="E1653" s="21" t="n">
        <v>104</v>
      </c>
      <c r="F1653" s="21" t="inlineStr">
        <is>
          <t>English</t>
        </is>
      </c>
      <c r="G1653" s="21" t="inlineStr">
        <is>
          <t>R</t>
        </is>
      </c>
      <c r="H1653" s="22" t="n">
        <v>6712451</v>
      </c>
      <c r="I1653" s="22" t="n">
        <v>90000000</v>
      </c>
      <c r="J1653" s="21">
        <f>IF(OR(H1653="",H1653=25529689.5),"Yes","No")</f>
        <v/>
      </c>
      <c r="K1653" s="21">
        <f>IF(AND(D1653="USA",C1653&gt;=1980,J1653="No"),"Yes","No")</f>
        <v/>
      </c>
      <c r="L1653" s="26">
        <f>IF(J1653="Yes","",H1653-I1653)</f>
        <v/>
      </c>
      <c r="M1653" s="27">
        <f>IF(OR(J1653="Yes",I1653=0),"",H1653/I1653)</f>
        <v/>
      </c>
      <c r="N1653" s="21">
        <f>IF(J1653="Yes","",IF(H1653&gt;=I1653,1,0))</f>
        <v/>
      </c>
      <c r="O1653" s="21">
        <f>IF(I1653&lt;=5000000,"Under $5M",IF(I1653&lt;=20000000,"$5M-20M",IF(I1653&lt;=50000000,"$20M-50M",IF(I1653&lt;=100000000,"$50M-100M","$100M+"))))</f>
        <v/>
      </c>
      <c r="P1653" s="21">
        <f>IF(E1653&lt;=90,"90 or less",IF(E1653&lt;=105,"91-105",IF(E1653&lt;=120,"106-120",IF(E1653&lt;=140,"121-140","Over 140"))))</f>
        <v/>
      </c>
      <c r="Q1653" s="28">
        <f>INT(C1653/10)*10</f>
        <v/>
      </c>
    </row>
    <row r="1654">
      <c r="A1654" s="21" t="n">
        <v>1688</v>
      </c>
      <c r="B1654" s="21" t="inlineStr">
        <is>
          <t>Training Day</t>
        </is>
      </c>
      <c r="C1654" s="21" t="n">
        <v>2001</v>
      </c>
      <c r="D1654" s="21" t="inlineStr">
        <is>
          <t>USA</t>
        </is>
      </c>
      <c r="E1654" s="21" t="n">
        <v>122</v>
      </c>
      <c r="F1654" s="21" t="inlineStr">
        <is>
          <t>English</t>
        </is>
      </c>
      <c r="G1654" s="21" t="inlineStr">
        <is>
          <t>R</t>
        </is>
      </c>
      <c r="H1654" s="22" t="n">
        <v>76261036</v>
      </c>
      <c r="I1654" s="22" t="n">
        <v>45000000</v>
      </c>
      <c r="J1654" s="21">
        <f>IF(OR(H1654="",H1654=25529689.5),"Yes","No")</f>
        <v/>
      </c>
      <c r="K1654" s="21">
        <f>IF(AND(D1654="USA",C1654&gt;=1980,J1654="No"),"Yes","No")</f>
        <v/>
      </c>
      <c r="L1654" s="26">
        <f>IF(J1654="Yes","",H1654-I1654)</f>
        <v/>
      </c>
      <c r="M1654" s="27">
        <f>IF(OR(J1654="Yes",I1654=0),"",H1654/I1654)</f>
        <v/>
      </c>
      <c r="N1654" s="21">
        <f>IF(J1654="Yes","",IF(H1654&gt;=I1654,1,0))</f>
        <v/>
      </c>
      <c r="O1654" s="21">
        <f>IF(I1654&lt;=5000000,"Under $5M",IF(I1654&lt;=20000000,"$5M-20M",IF(I1654&lt;=50000000,"$20M-50M",IF(I1654&lt;=100000000,"$50M-100M","$100M+"))))</f>
        <v/>
      </c>
      <c r="P1654" s="21">
        <f>IF(E1654&lt;=90,"90 or less",IF(E1654&lt;=105,"91-105",IF(E1654&lt;=120,"106-120",IF(E1654&lt;=140,"121-140","Over 140"))))</f>
        <v/>
      </c>
      <c r="Q1654" s="28">
        <f>INT(C1654/10)*10</f>
        <v/>
      </c>
    </row>
    <row r="1655">
      <c r="A1655" s="21" t="n">
        <v>1689</v>
      </c>
      <c r="B1655" s="21" t="inlineStr">
        <is>
          <t>Two Can Play That Game</t>
        </is>
      </c>
      <c r="C1655" s="21" t="n">
        <v>2001</v>
      </c>
      <c r="D1655" s="21" t="inlineStr">
        <is>
          <t>USA</t>
        </is>
      </c>
      <c r="E1655" s="21" t="n">
        <v>90</v>
      </c>
      <c r="F1655" s="21" t="inlineStr">
        <is>
          <t>English</t>
        </is>
      </c>
      <c r="G1655" s="21" t="inlineStr">
        <is>
          <t>R</t>
        </is>
      </c>
      <c r="H1655" s="22" t="n">
        <v>22235901</v>
      </c>
      <c r="I1655" s="22" t="n">
        <v>6000000</v>
      </c>
      <c r="J1655" s="21">
        <f>IF(OR(H1655="",H1655=25529689.5),"Yes","No")</f>
        <v/>
      </c>
      <c r="K1655" s="21">
        <f>IF(AND(D1655="USA",C1655&gt;=1980,J1655="No"),"Yes","No")</f>
        <v/>
      </c>
      <c r="L1655" s="26">
        <f>IF(J1655="Yes","",H1655-I1655)</f>
        <v/>
      </c>
      <c r="M1655" s="27">
        <f>IF(OR(J1655="Yes",I1655=0),"",H1655/I1655)</f>
        <v/>
      </c>
      <c r="N1655" s="21">
        <f>IF(J1655="Yes","",IF(H1655&gt;=I1655,1,0))</f>
        <v/>
      </c>
      <c r="O1655" s="21">
        <f>IF(I1655&lt;=5000000,"Under $5M",IF(I1655&lt;=20000000,"$5M-20M",IF(I1655&lt;=50000000,"$20M-50M",IF(I1655&lt;=100000000,"$50M-100M","$100M+"))))</f>
        <v/>
      </c>
      <c r="P1655" s="21">
        <f>IF(E1655&lt;=90,"90 or less",IF(E1655&lt;=105,"91-105",IF(E1655&lt;=120,"106-120",IF(E1655&lt;=140,"121-140","Over 140"))))</f>
        <v/>
      </c>
      <c r="Q1655" s="28">
        <f>INT(C1655/10)*10</f>
        <v/>
      </c>
    </row>
    <row r="1656">
      <c r="A1656" s="21" t="n">
        <v>1690</v>
      </c>
      <c r="B1656" s="21" t="inlineStr">
        <is>
          <t>Valentine</t>
        </is>
      </c>
      <c r="C1656" s="21" t="n">
        <v>2001</v>
      </c>
      <c r="D1656" s="21" t="inlineStr">
        <is>
          <t>USA</t>
        </is>
      </c>
      <c r="E1656" s="21" t="n">
        <v>96</v>
      </c>
      <c r="F1656" s="21" t="inlineStr">
        <is>
          <t>English</t>
        </is>
      </c>
      <c r="G1656" s="21" t="inlineStr">
        <is>
          <t>R</t>
        </is>
      </c>
      <c r="H1656" s="22" t="n">
        <v>20384136</v>
      </c>
      <c r="I1656" s="22" t="n">
        <v>10000000</v>
      </c>
      <c r="J1656" s="21">
        <f>IF(OR(H1656="",H1656=25529689.5),"Yes","No")</f>
        <v/>
      </c>
      <c r="K1656" s="21">
        <f>IF(AND(D1656="USA",C1656&gt;=1980,J1656="No"),"Yes","No")</f>
        <v/>
      </c>
      <c r="L1656" s="26">
        <f>IF(J1656="Yes","",H1656-I1656)</f>
        <v/>
      </c>
      <c r="M1656" s="27">
        <f>IF(OR(J1656="Yes",I1656=0),"",H1656/I1656)</f>
        <v/>
      </c>
      <c r="N1656" s="21">
        <f>IF(J1656="Yes","",IF(H1656&gt;=I1656,1,0))</f>
        <v/>
      </c>
      <c r="O1656" s="21">
        <f>IF(I1656&lt;=5000000,"Under $5M",IF(I1656&lt;=20000000,"$5M-20M",IF(I1656&lt;=50000000,"$20M-50M",IF(I1656&lt;=100000000,"$50M-100M","$100M+"))))</f>
        <v/>
      </c>
      <c r="P1656" s="21">
        <f>IF(E1656&lt;=90,"90 or less",IF(E1656&lt;=105,"91-105",IF(E1656&lt;=120,"106-120",IF(E1656&lt;=140,"121-140","Over 140"))))</f>
        <v/>
      </c>
      <c r="Q1656" s="28">
        <f>INT(C1656/10)*10</f>
        <v/>
      </c>
    </row>
    <row r="1657">
      <c r="A1657" s="21" t="n">
        <v>1691</v>
      </c>
      <c r="B1657" s="21" t="inlineStr">
        <is>
          <t>Vanilla Sky</t>
        </is>
      </c>
      <c r="C1657" s="21" t="n">
        <v>2001</v>
      </c>
      <c r="D1657" s="21" t="inlineStr">
        <is>
          <t>USA</t>
        </is>
      </c>
      <c r="E1657" s="21" t="n">
        <v>141</v>
      </c>
      <c r="F1657" s="21" t="inlineStr">
        <is>
          <t>English</t>
        </is>
      </c>
      <c r="G1657" s="21" t="inlineStr">
        <is>
          <t>R</t>
        </is>
      </c>
      <c r="H1657" s="22" t="n">
        <v>100614858</v>
      </c>
      <c r="I1657" s="22" t="n">
        <v>68000000</v>
      </c>
      <c r="J1657" s="21">
        <f>IF(OR(H1657="",H1657=25529689.5),"Yes","No")</f>
        <v/>
      </c>
      <c r="K1657" s="21">
        <f>IF(AND(D1657="USA",C1657&gt;=1980,J1657="No"),"Yes","No")</f>
        <v/>
      </c>
      <c r="L1657" s="26">
        <f>IF(J1657="Yes","",H1657-I1657)</f>
        <v/>
      </c>
      <c r="M1657" s="27">
        <f>IF(OR(J1657="Yes",I1657=0),"",H1657/I1657)</f>
        <v/>
      </c>
      <c r="N1657" s="21">
        <f>IF(J1657="Yes","",IF(H1657&gt;=I1657,1,0))</f>
        <v/>
      </c>
      <c r="O1657" s="21">
        <f>IF(I1657&lt;=5000000,"Under $5M",IF(I1657&lt;=20000000,"$5M-20M",IF(I1657&lt;=50000000,"$20M-50M",IF(I1657&lt;=100000000,"$50M-100M","$100M+"))))</f>
        <v/>
      </c>
      <c r="P1657" s="21">
        <f>IF(E1657&lt;=90,"90 or less",IF(E1657&lt;=105,"91-105",IF(E1657&lt;=120,"106-120",IF(E1657&lt;=140,"121-140","Over 140"))))</f>
        <v/>
      </c>
      <c r="Q1657" s="28">
        <f>INT(C1657/10)*10</f>
        <v/>
      </c>
    </row>
    <row r="1658">
      <c r="A1658" s="21" t="n">
        <v>1692</v>
      </c>
      <c r="B1658" s="21" t="inlineStr">
        <is>
          <t>Wasabi</t>
        </is>
      </c>
      <c r="C1658" s="21" t="n">
        <v>2001</v>
      </c>
      <c r="D1658" s="21" t="inlineStr">
        <is>
          <t>France</t>
        </is>
      </c>
      <c r="E1658" s="21" t="n">
        <v>94</v>
      </c>
      <c r="F1658" s="21" t="inlineStr">
        <is>
          <t>French</t>
        </is>
      </c>
      <c r="G1658" s="21" t="inlineStr">
        <is>
          <t>R</t>
        </is>
      </c>
      <c r="H1658" s="22" t="n">
        <v>81525</v>
      </c>
      <c r="I1658" s="22" t="n">
        <v>15300000</v>
      </c>
      <c r="J1658" s="21">
        <f>IF(OR(H1658="",H1658=25529689.5),"Yes","No")</f>
        <v/>
      </c>
      <c r="K1658" s="21">
        <f>IF(AND(D1658="USA",C1658&gt;=1980,J1658="No"),"Yes","No")</f>
        <v/>
      </c>
      <c r="L1658" s="26">
        <f>IF(J1658="Yes","",H1658-I1658)</f>
        <v/>
      </c>
      <c r="M1658" s="27">
        <f>IF(OR(J1658="Yes",I1658=0),"",H1658/I1658)</f>
        <v/>
      </c>
      <c r="N1658" s="21">
        <f>IF(J1658="Yes","",IF(H1658&gt;=I1658,1,0))</f>
        <v/>
      </c>
      <c r="O1658" s="21">
        <f>IF(I1658&lt;=5000000,"Under $5M",IF(I1658&lt;=20000000,"$5M-20M",IF(I1658&lt;=50000000,"$20M-50M",IF(I1658&lt;=100000000,"$50M-100M","$100M+"))))</f>
        <v/>
      </c>
      <c r="P1658" s="21">
        <f>IF(E1658&lt;=90,"90 or less",IF(E1658&lt;=105,"91-105",IF(E1658&lt;=120,"106-120",IF(E1658&lt;=140,"121-140","Over 140"))))</f>
        <v/>
      </c>
      <c r="Q1658" s="28">
        <f>INT(C1658/10)*10</f>
        <v/>
      </c>
    </row>
    <row r="1659">
      <c r="A1659" s="21" t="n">
        <v>1693</v>
      </c>
      <c r="B1659" s="21" t="inlineStr">
        <is>
          <t>What's the Worst That Could Happen?</t>
        </is>
      </c>
      <c r="C1659" s="21" t="n">
        <v>2001</v>
      </c>
      <c r="D1659" s="21" t="inlineStr">
        <is>
          <t>USA</t>
        </is>
      </c>
      <c r="E1659" s="21" t="n">
        <v>94</v>
      </c>
      <c r="F1659" s="21" t="inlineStr">
        <is>
          <t>English</t>
        </is>
      </c>
      <c r="G1659" s="21" t="inlineStr">
        <is>
          <t>PG-13</t>
        </is>
      </c>
      <c r="H1659" s="22" t="n">
        <v>32095318</v>
      </c>
      <c r="I1659" s="22" t="n">
        <v>45000000</v>
      </c>
      <c r="J1659" s="21">
        <f>IF(OR(H1659="",H1659=25529689.5),"Yes","No")</f>
        <v/>
      </c>
      <c r="K1659" s="21">
        <f>IF(AND(D1659="USA",C1659&gt;=1980,J1659="No"),"Yes","No")</f>
        <v/>
      </c>
      <c r="L1659" s="26">
        <f>IF(J1659="Yes","",H1659-I1659)</f>
        <v/>
      </c>
      <c r="M1659" s="27">
        <f>IF(OR(J1659="Yes",I1659=0),"",H1659/I1659)</f>
        <v/>
      </c>
      <c r="N1659" s="21">
        <f>IF(J1659="Yes","",IF(H1659&gt;=I1659,1,0))</f>
        <v/>
      </c>
      <c r="O1659" s="21">
        <f>IF(I1659&lt;=5000000,"Under $5M",IF(I1659&lt;=20000000,"$5M-20M",IF(I1659&lt;=50000000,"$20M-50M",IF(I1659&lt;=100000000,"$50M-100M","$100M+"))))</f>
        <v/>
      </c>
      <c r="P1659" s="21">
        <f>IF(E1659&lt;=90,"90 or less",IF(E1659&lt;=105,"91-105",IF(E1659&lt;=120,"106-120",IF(E1659&lt;=140,"121-140","Over 140"))))</f>
        <v/>
      </c>
      <c r="Q1659" s="28">
        <f>INT(C1659/10)*10</f>
        <v/>
      </c>
    </row>
    <row r="1660">
      <c r="A1660" s="21" t="n">
        <v>1694</v>
      </c>
      <c r="B1660" s="21" t="inlineStr">
        <is>
          <t>Winged Migration</t>
        </is>
      </c>
      <c r="C1660" s="21" t="n">
        <v>2001</v>
      </c>
      <c r="D1660" s="21" t="inlineStr">
        <is>
          <t>France</t>
        </is>
      </c>
      <c r="E1660" s="21" t="n">
        <v>81</v>
      </c>
      <c r="F1660" s="21" t="inlineStr">
        <is>
          <t>English</t>
        </is>
      </c>
      <c r="G1660" s="21" t="inlineStr">
        <is>
          <t>G</t>
        </is>
      </c>
      <c r="H1660" s="22" t="n">
        <v>10762178</v>
      </c>
      <c r="I1660" s="22" t="n">
        <v>160000000</v>
      </c>
      <c r="J1660" s="21">
        <f>IF(OR(H1660="",H1660=25529689.5),"Yes","No")</f>
        <v/>
      </c>
      <c r="K1660" s="21">
        <f>IF(AND(D1660="USA",C1660&gt;=1980,J1660="No"),"Yes","No")</f>
        <v/>
      </c>
      <c r="L1660" s="26">
        <f>IF(J1660="Yes","",H1660-I1660)</f>
        <v/>
      </c>
      <c r="M1660" s="27">
        <f>IF(OR(J1660="Yes",I1660=0),"",H1660/I1660)</f>
        <v/>
      </c>
      <c r="N1660" s="21">
        <f>IF(J1660="Yes","",IF(H1660&gt;=I1660,1,0))</f>
        <v/>
      </c>
      <c r="O1660" s="21">
        <f>IF(I1660&lt;=5000000,"Under $5M",IF(I1660&lt;=20000000,"$5M-20M",IF(I1660&lt;=50000000,"$20M-50M",IF(I1660&lt;=100000000,"$50M-100M","$100M+"))))</f>
        <v/>
      </c>
      <c r="P1660" s="21">
        <f>IF(E1660&lt;=90,"90 or less",IF(E1660&lt;=105,"91-105",IF(E1660&lt;=120,"106-120",IF(E1660&lt;=140,"121-140","Over 140"))))</f>
        <v/>
      </c>
      <c r="Q1660" s="28">
        <f>INT(C1660/10)*10</f>
        <v/>
      </c>
    </row>
    <row r="1661">
      <c r="A1661" s="21" t="n">
        <v>1695</v>
      </c>
      <c r="B1661" s="21" t="inlineStr">
        <is>
          <t>Y Tu MamÃ¡ TambiÃ©n</t>
        </is>
      </c>
      <c r="C1661" s="21" t="n">
        <v>2001</v>
      </c>
      <c r="D1661" s="21" t="inlineStr">
        <is>
          <t>Mexico</t>
        </is>
      </c>
      <c r="E1661" s="21" t="n">
        <v>106</v>
      </c>
      <c r="F1661" s="21" t="inlineStr">
        <is>
          <t>Spanish</t>
        </is>
      </c>
      <c r="G1661" s="21" t="inlineStr">
        <is>
          <t>R</t>
        </is>
      </c>
      <c r="H1661" s="22" t="n">
        <v>13622333</v>
      </c>
      <c r="I1661" s="22" t="n">
        <v>2000000</v>
      </c>
      <c r="J1661" s="21">
        <f>IF(OR(H1661="",H1661=25529689.5),"Yes","No")</f>
        <v/>
      </c>
      <c r="K1661" s="21">
        <f>IF(AND(D1661="USA",C1661&gt;=1980,J1661="No"),"Yes","No")</f>
        <v/>
      </c>
      <c r="L1661" s="26">
        <f>IF(J1661="Yes","",H1661-I1661)</f>
        <v/>
      </c>
      <c r="M1661" s="27">
        <f>IF(OR(J1661="Yes",I1661=0),"",H1661/I1661)</f>
        <v/>
      </c>
      <c r="N1661" s="21">
        <f>IF(J1661="Yes","",IF(H1661&gt;=I1661,1,0))</f>
        <v/>
      </c>
      <c r="O1661" s="21">
        <f>IF(I1661&lt;=5000000,"Under $5M",IF(I1661&lt;=20000000,"$5M-20M",IF(I1661&lt;=50000000,"$20M-50M",IF(I1661&lt;=100000000,"$50M-100M","$100M+"))))</f>
        <v/>
      </c>
      <c r="P1661" s="21">
        <f>IF(E1661&lt;=90,"90 or less",IF(E1661&lt;=105,"91-105",IF(E1661&lt;=120,"106-120",IF(E1661&lt;=140,"121-140","Over 140"))))</f>
        <v/>
      </c>
      <c r="Q1661" s="28">
        <f>INT(C1661/10)*10</f>
        <v/>
      </c>
    </row>
    <row r="1662">
      <c r="A1662" s="21" t="n">
        <v>1696</v>
      </c>
      <c r="B1662" s="21" t="inlineStr">
        <is>
          <t>Zoolander</t>
        </is>
      </c>
      <c r="C1662" s="21" t="n">
        <v>2001</v>
      </c>
      <c r="D1662" s="21" t="inlineStr">
        <is>
          <t>Germany</t>
        </is>
      </c>
      <c r="E1662" s="21" t="n">
        <v>90</v>
      </c>
      <c r="F1662" s="21" t="inlineStr">
        <is>
          <t>English</t>
        </is>
      </c>
      <c r="G1662" s="21" t="inlineStr">
        <is>
          <t>PG-13</t>
        </is>
      </c>
      <c r="H1662" s="22" t="n">
        <v>45162741</v>
      </c>
      <c r="I1662" s="22" t="n">
        <v>28000000</v>
      </c>
      <c r="J1662" s="21">
        <f>IF(OR(H1662="",H1662=25529689.5),"Yes","No")</f>
        <v/>
      </c>
      <c r="K1662" s="21">
        <f>IF(AND(D1662="USA",C1662&gt;=1980,J1662="No"),"Yes","No")</f>
        <v/>
      </c>
      <c r="L1662" s="26">
        <f>IF(J1662="Yes","",H1662-I1662)</f>
        <v/>
      </c>
      <c r="M1662" s="27">
        <f>IF(OR(J1662="Yes",I1662=0),"",H1662/I1662)</f>
        <v/>
      </c>
      <c r="N1662" s="21">
        <f>IF(J1662="Yes","",IF(H1662&gt;=I1662,1,0))</f>
        <v/>
      </c>
      <c r="O1662" s="21">
        <f>IF(I1662&lt;=5000000,"Under $5M",IF(I1662&lt;=20000000,"$5M-20M",IF(I1662&lt;=50000000,"$20M-50M",IF(I1662&lt;=100000000,"$50M-100M","$100M+"))))</f>
        <v/>
      </c>
      <c r="P1662" s="21">
        <f>IF(E1662&lt;=90,"90 or less",IF(E1662&lt;=105,"91-105",IF(E1662&lt;=120,"106-120",IF(E1662&lt;=140,"121-140","Over 140"))))</f>
        <v/>
      </c>
      <c r="Q1662" s="28">
        <f>INT(C1662/10)*10</f>
        <v/>
      </c>
    </row>
    <row r="1663">
      <c r="A1663" s="21" t="n">
        <v>1697</v>
      </c>
      <c r="B1663" s="21" t="inlineStr">
        <is>
          <t>25th Hour</t>
        </is>
      </c>
      <c r="C1663" s="21" t="n">
        <v>2002</v>
      </c>
      <c r="D1663" s="21" t="inlineStr">
        <is>
          <t>USA</t>
        </is>
      </c>
      <c r="E1663" s="21" t="n">
        <v>108</v>
      </c>
      <c r="F1663" s="21" t="inlineStr">
        <is>
          <t>English</t>
        </is>
      </c>
      <c r="G1663" s="21" t="inlineStr">
        <is>
          <t>R</t>
        </is>
      </c>
      <c r="H1663" s="22" t="n">
        <v>13060843</v>
      </c>
      <c r="I1663" s="22" t="n">
        <v>15000000</v>
      </c>
      <c r="J1663" s="21">
        <f>IF(OR(H1663="",H1663=25529689.5),"Yes","No")</f>
        <v/>
      </c>
      <c r="K1663" s="21">
        <f>IF(AND(D1663="USA",C1663&gt;=1980,J1663="No"),"Yes","No")</f>
        <v/>
      </c>
      <c r="L1663" s="26">
        <f>IF(J1663="Yes","",H1663-I1663)</f>
        <v/>
      </c>
      <c r="M1663" s="27">
        <f>IF(OR(J1663="Yes",I1663=0),"",H1663/I1663)</f>
        <v/>
      </c>
      <c r="N1663" s="21">
        <f>IF(J1663="Yes","",IF(H1663&gt;=I1663,1,0))</f>
        <v/>
      </c>
      <c r="O1663" s="21">
        <f>IF(I1663&lt;=5000000,"Under $5M",IF(I1663&lt;=20000000,"$5M-20M",IF(I1663&lt;=50000000,"$20M-50M",IF(I1663&lt;=100000000,"$50M-100M","$100M+"))))</f>
        <v/>
      </c>
      <c r="P1663" s="21">
        <f>IF(E1663&lt;=90,"90 or less",IF(E1663&lt;=105,"91-105",IF(E1663&lt;=120,"106-120",IF(E1663&lt;=140,"121-140","Over 140"))))</f>
        <v/>
      </c>
      <c r="Q1663" s="28">
        <f>INT(C1663/10)*10</f>
        <v/>
      </c>
    </row>
    <row r="1664">
      <c r="A1664" s="21" t="n">
        <v>1698</v>
      </c>
      <c r="B1664" s="21" t="inlineStr">
        <is>
          <t>28 Days Later...</t>
        </is>
      </c>
      <c r="C1664" s="21" t="n">
        <v>2002</v>
      </c>
      <c r="D1664" s="21" t="inlineStr">
        <is>
          <t>UK</t>
        </is>
      </c>
      <c r="E1664" s="21" t="n">
        <v>113</v>
      </c>
      <c r="F1664" s="21" t="inlineStr">
        <is>
          <t>English</t>
        </is>
      </c>
      <c r="G1664" s="21" t="inlineStr">
        <is>
          <t>R</t>
        </is>
      </c>
      <c r="H1664" s="22" t="n">
        <v>45063889</v>
      </c>
      <c r="I1664" s="22" t="n">
        <v>8000000</v>
      </c>
      <c r="J1664" s="21">
        <f>IF(OR(H1664="",H1664=25529689.5),"Yes","No")</f>
        <v/>
      </c>
      <c r="K1664" s="21">
        <f>IF(AND(D1664="USA",C1664&gt;=1980,J1664="No"),"Yes","No")</f>
        <v/>
      </c>
      <c r="L1664" s="26">
        <f>IF(J1664="Yes","",H1664-I1664)</f>
        <v/>
      </c>
      <c r="M1664" s="27">
        <f>IF(OR(J1664="Yes",I1664=0),"",H1664/I1664)</f>
        <v/>
      </c>
      <c r="N1664" s="21">
        <f>IF(J1664="Yes","",IF(H1664&gt;=I1664,1,0))</f>
        <v/>
      </c>
      <c r="O1664" s="21">
        <f>IF(I1664&lt;=5000000,"Under $5M",IF(I1664&lt;=20000000,"$5M-20M",IF(I1664&lt;=50000000,"$20M-50M",IF(I1664&lt;=100000000,"$50M-100M","$100M+"))))</f>
        <v/>
      </c>
      <c r="P1664" s="21">
        <f>IF(E1664&lt;=90,"90 or less",IF(E1664&lt;=105,"91-105",IF(E1664&lt;=120,"106-120",IF(E1664&lt;=140,"121-140","Over 140"))))</f>
        <v/>
      </c>
      <c r="Q1664" s="28">
        <f>INT(C1664/10)*10</f>
        <v/>
      </c>
    </row>
    <row r="1665">
      <c r="A1665" s="21" t="n">
        <v>1699</v>
      </c>
      <c r="B1665" s="21" t="inlineStr">
        <is>
          <t>40 Days and 40 Nights</t>
        </is>
      </c>
      <c r="C1665" s="21" t="n">
        <v>2002</v>
      </c>
      <c r="D1665" s="21" t="inlineStr">
        <is>
          <t>USA</t>
        </is>
      </c>
      <c r="E1665" s="21" t="n">
        <v>96</v>
      </c>
      <c r="F1665" s="21" t="inlineStr">
        <is>
          <t>English</t>
        </is>
      </c>
      <c r="G1665" s="21" t="inlineStr">
        <is>
          <t>R</t>
        </is>
      </c>
      <c r="H1665" s="22" t="n">
        <v>37939782</v>
      </c>
      <c r="I1665" s="22" t="n">
        <v>17000000</v>
      </c>
      <c r="J1665" s="21">
        <f>IF(OR(H1665="",H1665=25529689.5),"Yes","No")</f>
        <v/>
      </c>
      <c r="K1665" s="21">
        <f>IF(AND(D1665="USA",C1665&gt;=1980,J1665="No"),"Yes","No")</f>
        <v/>
      </c>
      <c r="L1665" s="26">
        <f>IF(J1665="Yes","",H1665-I1665)</f>
        <v/>
      </c>
      <c r="M1665" s="27">
        <f>IF(OR(J1665="Yes",I1665=0),"",H1665/I1665)</f>
        <v/>
      </c>
      <c r="N1665" s="21">
        <f>IF(J1665="Yes","",IF(H1665&gt;=I1665,1,0))</f>
        <v/>
      </c>
      <c r="O1665" s="21">
        <f>IF(I1665&lt;=5000000,"Under $5M",IF(I1665&lt;=20000000,"$5M-20M",IF(I1665&lt;=50000000,"$20M-50M",IF(I1665&lt;=100000000,"$50M-100M","$100M+"))))</f>
        <v/>
      </c>
      <c r="P1665" s="21">
        <f>IF(E1665&lt;=90,"90 or less",IF(E1665&lt;=105,"91-105",IF(E1665&lt;=120,"106-120",IF(E1665&lt;=140,"121-140","Over 140"))))</f>
        <v/>
      </c>
      <c r="Q1665" s="28">
        <f>INT(C1665/10)*10</f>
        <v/>
      </c>
    </row>
    <row r="1666">
      <c r="A1666" s="21" t="n">
        <v>1700</v>
      </c>
      <c r="B1666" s="21" t="inlineStr">
        <is>
          <t>8 Mile</t>
        </is>
      </c>
      <c r="C1666" s="21" t="n">
        <v>2002</v>
      </c>
      <c r="D1666" s="21" t="inlineStr">
        <is>
          <t>USA</t>
        </is>
      </c>
      <c r="E1666" s="21" t="n">
        <v>110</v>
      </c>
      <c r="F1666" s="21" t="inlineStr">
        <is>
          <t>English</t>
        </is>
      </c>
      <c r="G1666" s="21" t="inlineStr">
        <is>
          <t>R</t>
        </is>
      </c>
      <c r="H1666" s="22" t="n">
        <v>116724075</v>
      </c>
      <c r="I1666" s="22" t="n">
        <v>41000000</v>
      </c>
      <c r="J1666" s="21">
        <f>IF(OR(H1666="",H1666=25529689.5),"Yes","No")</f>
        <v/>
      </c>
      <c r="K1666" s="21">
        <f>IF(AND(D1666="USA",C1666&gt;=1980,J1666="No"),"Yes","No")</f>
        <v/>
      </c>
      <c r="L1666" s="26">
        <f>IF(J1666="Yes","",H1666-I1666)</f>
        <v/>
      </c>
      <c r="M1666" s="27">
        <f>IF(OR(J1666="Yes",I1666=0),"",H1666/I1666)</f>
        <v/>
      </c>
      <c r="N1666" s="21">
        <f>IF(J1666="Yes","",IF(H1666&gt;=I1666,1,0))</f>
        <v/>
      </c>
      <c r="O1666" s="21">
        <f>IF(I1666&lt;=5000000,"Under $5M",IF(I1666&lt;=20000000,"$5M-20M",IF(I1666&lt;=50000000,"$20M-50M",IF(I1666&lt;=100000000,"$50M-100M","$100M+"))))</f>
        <v/>
      </c>
      <c r="P1666" s="21">
        <f>IF(E1666&lt;=90,"90 or less",IF(E1666&lt;=105,"91-105",IF(E1666&lt;=120,"106-120",IF(E1666&lt;=140,"121-140","Over 140"))))</f>
        <v/>
      </c>
      <c r="Q1666" s="28">
        <f>INT(C1666/10)*10</f>
        <v/>
      </c>
    </row>
    <row r="1667">
      <c r="A1667" s="21" t="n">
        <v>1701</v>
      </c>
      <c r="B1667" s="21" t="inlineStr">
        <is>
          <t>8 Women</t>
        </is>
      </c>
      <c r="C1667" s="21" t="n">
        <v>2002</v>
      </c>
      <c r="D1667" s="21" t="inlineStr">
        <is>
          <t>France</t>
        </is>
      </c>
      <c r="E1667" s="21" t="n">
        <v>111</v>
      </c>
      <c r="F1667" s="21" t="inlineStr">
        <is>
          <t>French</t>
        </is>
      </c>
      <c r="G1667" s="21" t="inlineStr">
        <is>
          <t>R</t>
        </is>
      </c>
      <c r="H1667" s="22" t="n">
        <v>3076425</v>
      </c>
      <c r="I1667" s="22" t="n">
        <v>8000000</v>
      </c>
      <c r="J1667" s="21">
        <f>IF(OR(H1667="",H1667=25529689.5),"Yes","No")</f>
        <v/>
      </c>
      <c r="K1667" s="21">
        <f>IF(AND(D1667="USA",C1667&gt;=1980,J1667="No"),"Yes","No")</f>
        <v/>
      </c>
      <c r="L1667" s="26">
        <f>IF(J1667="Yes","",H1667-I1667)</f>
        <v/>
      </c>
      <c r="M1667" s="27">
        <f>IF(OR(J1667="Yes",I1667=0),"",H1667/I1667)</f>
        <v/>
      </c>
      <c r="N1667" s="21">
        <f>IF(J1667="Yes","",IF(H1667&gt;=I1667,1,0))</f>
        <v/>
      </c>
      <c r="O1667" s="21">
        <f>IF(I1667&lt;=5000000,"Under $5M",IF(I1667&lt;=20000000,"$5M-20M",IF(I1667&lt;=50000000,"$20M-50M",IF(I1667&lt;=100000000,"$50M-100M","$100M+"))))</f>
        <v/>
      </c>
      <c r="P1667" s="21">
        <f>IF(E1667&lt;=90,"90 or less",IF(E1667&lt;=105,"91-105",IF(E1667&lt;=120,"106-120",IF(E1667&lt;=140,"121-140","Over 140"))))</f>
        <v/>
      </c>
      <c r="Q1667" s="28">
        <f>INT(C1667/10)*10</f>
        <v/>
      </c>
    </row>
    <row r="1668">
      <c r="A1668" s="21" t="n">
        <v>1702</v>
      </c>
      <c r="B1668" s="21" t="inlineStr">
        <is>
          <t>A Walk to Remember</t>
        </is>
      </c>
      <c r="C1668" s="21" t="n">
        <v>2002</v>
      </c>
      <c r="D1668" s="21" t="inlineStr">
        <is>
          <t>USA</t>
        </is>
      </c>
      <c r="E1668" s="21" t="n">
        <v>101</v>
      </c>
      <c r="F1668" s="21" t="inlineStr">
        <is>
          <t>English</t>
        </is>
      </c>
      <c r="G1668" s="21" t="inlineStr">
        <is>
          <t>PG</t>
        </is>
      </c>
      <c r="H1668" s="22" t="n">
        <v>41227069</v>
      </c>
      <c r="I1668" s="22" t="n">
        <v>11000000</v>
      </c>
      <c r="J1668" s="21">
        <f>IF(OR(H1668="",H1668=25529689.5),"Yes","No")</f>
        <v/>
      </c>
      <c r="K1668" s="21">
        <f>IF(AND(D1668="USA",C1668&gt;=1980,J1668="No"),"Yes","No")</f>
        <v/>
      </c>
      <c r="L1668" s="26">
        <f>IF(J1668="Yes","",H1668-I1668)</f>
        <v/>
      </c>
      <c r="M1668" s="27">
        <f>IF(OR(J1668="Yes",I1668=0),"",H1668/I1668)</f>
        <v/>
      </c>
      <c r="N1668" s="21">
        <f>IF(J1668="Yes","",IF(H1668&gt;=I1668,1,0))</f>
        <v/>
      </c>
      <c r="O1668" s="21">
        <f>IF(I1668&lt;=5000000,"Under $5M",IF(I1668&lt;=20000000,"$5M-20M",IF(I1668&lt;=50000000,"$20M-50M",IF(I1668&lt;=100000000,"$50M-100M","$100M+"))))</f>
        <v/>
      </c>
      <c r="P1668" s="21">
        <f>IF(E1668&lt;=90,"90 or less",IF(E1668&lt;=105,"91-105",IF(E1668&lt;=120,"106-120",IF(E1668&lt;=140,"121-140","Over 140"))))</f>
        <v/>
      </c>
      <c r="Q1668" s="28">
        <f>INT(C1668/10)*10</f>
        <v/>
      </c>
    </row>
    <row r="1669">
      <c r="A1669" s="21" t="n">
        <v>1703</v>
      </c>
      <c r="B1669" s="21" t="inlineStr">
        <is>
          <t>Abandon</t>
        </is>
      </c>
      <c r="C1669" s="21" t="n">
        <v>2002</v>
      </c>
      <c r="D1669" s="21" t="inlineStr">
        <is>
          <t>USA</t>
        </is>
      </c>
      <c r="E1669" s="21" t="n">
        <v>99</v>
      </c>
      <c r="F1669" s="21" t="inlineStr">
        <is>
          <t>English</t>
        </is>
      </c>
      <c r="G1669" s="21" t="inlineStr">
        <is>
          <t>PG-13</t>
        </is>
      </c>
      <c r="H1669" s="22" t="n">
        <v>10719367</v>
      </c>
      <c r="I1669" s="22" t="n">
        <v>25000000</v>
      </c>
      <c r="J1669" s="21">
        <f>IF(OR(H1669="",H1669=25529689.5),"Yes","No")</f>
        <v/>
      </c>
      <c r="K1669" s="21">
        <f>IF(AND(D1669="USA",C1669&gt;=1980,J1669="No"),"Yes","No")</f>
        <v/>
      </c>
      <c r="L1669" s="26">
        <f>IF(J1669="Yes","",H1669-I1669)</f>
        <v/>
      </c>
      <c r="M1669" s="27">
        <f>IF(OR(J1669="Yes",I1669=0),"",H1669/I1669)</f>
        <v/>
      </c>
      <c r="N1669" s="21">
        <f>IF(J1669="Yes","",IF(H1669&gt;=I1669,1,0))</f>
        <v/>
      </c>
      <c r="O1669" s="21">
        <f>IF(I1669&lt;=5000000,"Under $5M",IF(I1669&lt;=20000000,"$5M-20M",IF(I1669&lt;=50000000,"$20M-50M",IF(I1669&lt;=100000000,"$50M-100M","$100M+"))))</f>
        <v/>
      </c>
      <c r="P1669" s="21">
        <f>IF(E1669&lt;=90,"90 or less",IF(E1669&lt;=105,"91-105",IF(E1669&lt;=120,"106-120",IF(E1669&lt;=140,"121-140","Over 140"))))</f>
        <v/>
      </c>
      <c r="Q1669" s="28">
        <f>INT(C1669/10)*10</f>
        <v/>
      </c>
    </row>
    <row r="1670">
      <c r="A1670" s="21" t="n">
        <v>1704</v>
      </c>
      <c r="B1670" s="21" t="inlineStr">
        <is>
          <t>About a Boy</t>
        </is>
      </c>
      <c r="C1670" s="21" t="n">
        <v>2002</v>
      </c>
      <c r="D1670" s="21" t="inlineStr">
        <is>
          <t>UK</t>
        </is>
      </c>
      <c r="E1670" s="21" t="n">
        <v>101</v>
      </c>
      <c r="F1670" s="21" t="inlineStr">
        <is>
          <t>English</t>
        </is>
      </c>
      <c r="G1670" s="21" t="inlineStr">
        <is>
          <t>PG-13</t>
        </is>
      </c>
      <c r="H1670" s="22" t="n">
        <v>40566655</v>
      </c>
      <c r="I1670" s="22" t="n">
        <v>30000000</v>
      </c>
      <c r="J1670" s="21">
        <f>IF(OR(H1670="",H1670=25529689.5),"Yes","No")</f>
        <v/>
      </c>
      <c r="K1670" s="21">
        <f>IF(AND(D1670="USA",C1670&gt;=1980,J1670="No"),"Yes","No")</f>
        <v/>
      </c>
      <c r="L1670" s="26">
        <f>IF(J1670="Yes","",H1670-I1670)</f>
        <v/>
      </c>
      <c r="M1670" s="27">
        <f>IF(OR(J1670="Yes",I1670=0),"",H1670/I1670)</f>
        <v/>
      </c>
      <c r="N1670" s="21">
        <f>IF(J1670="Yes","",IF(H1670&gt;=I1670,1,0))</f>
        <v/>
      </c>
      <c r="O1670" s="21">
        <f>IF(I1670&lt;=5000000,"Under $5M",IF(I1670&lt;=20000000,"$5M-20M",IF(I1670&lt;=50000000,"$20M-50M",IF(I1670&lt;=100000000,"$50M-100M","$100M+"))))</f>
        <v/>
      </c>
      <c r="P1670" s="21">
        <f>IF(E1670&lt;=90,"90 or less",IF(E1670&lt;=105,"91-105",IF(E1670&lt;=120,"106-120",IF(E1670&lt;=140,"121-140","Over 140"))))</f>
        <v/>
      </c>
      <c r="Q1670" s="28">
        <f>INT(C1670/10)*10</f>
        <v/>
      </c>
    </row>
    <row r="1671">
      <c r="A1671" s="21" t="n">
        <v>1705</v>
      </c>
      <c r="B1671" s="21" t="inlineStr">
        <is>
          <t>About Schmidt</t>
        </is>
      </c>
      <c r="C1671" s="21" t="n">
        <v>2002</v>
      </c>
      <c r="D1671" s="21" t="inlineStr">
        <is>
          <t>USA</t>
        </is>
      </c>
      <c r="E1671" s="21" t="n">
        <v>125</v>
      </c>
      <c r="F1671" s="21" t="inlineStr">
        <is>
          <t>English</t>
        </is>
      </c>
      <c r="G1671" s="21" t="inlineStr">
        <is>
          <t>R</t>
        </is>
      </c>
      <c r="H1671" s="22" t="n">
        <v>65010106</v>
      </c>
      <c r="I1671" s="22" t="n">
        <v>30000000</v>
      </c>
      <c r="J1671" s="21">
        <f>IF(OR(H1671="",H1671=25529689.5),"Yes","No")</f>
        <v/>
      </c>
      <c r="K1671" s="21">
        <f>IF(AND(D1671="USA",C1671&gt;=1980,J1671="No"),"Yes","No")</f>
        <v/>
      </c>
      <c r="L1671" s="26">
        <f>IF(J1671="Yes","",H1671-I1671)</f>
        <v/>
      </c>
      <c r="M1671" s="27">
        <f>IF(OR(J1671="Yes",I1671=0),"",H1671/I1671)</f>
        <v/>
      </c>
      <c r="N1671" s="21">
        <f>IF(J1671="Yes","",IF(H1671&gt;=I1671,1,0))</f>
        <v/>
      </c>
      <c r="O1671" s="21">
        <f>IF(I1671&lt;=5000000,"Under $5M",IF(I1671&lt;=20000000,"$5M-20M",IF(I1671&lt;=50000000,"$20M-50M",IF(I1671&lt;=100000000,"$50M-100M","$100M+"))))</f>
        <v/>
      </c>
      <c r="P1671" s="21">
        <f>IF(E1671&lt;=90,"90 or less",IF(E1671&lt;=105,"91-105",IF(E1671&lt;=120,"106-120",IF(E1671&lt;=140,"121-140","Over 140"))))</f>
        <v/>
      </c>
      <c r="Q1671" s="28">
        <f>INT(C1671/10)*10</f>
        <v/>
      </c>
    </row>
    <row r="1672">
      <c r="A1672" s="21" t="n">
        <v>1706</v>
      </c>
      <c r="B1672" s="21" t="inlineStr">
        <is>
          <t>Adaptation.</t>
        </is>
      </c>
      <c r="C1672" s="21" t="n">
        <v>2002</v>
      </c>
      <c r="D1672" s="21" t="inlineStr">
        <is>
          <t>USA</t>
        </is>
      </c>
      <c r="E1672" s="21" t="n">
        <v>81</v>
      </c>
      <c r="F1672" s="21" t="inlineStr">
        <is>
          <t>English</t>
        </is>
      </c>
      <c r="G1672" s="21" t="inlineStr">
        <is>
          <t>R</t>
        </is>
      </c>
      <c r="H1672" s="22" t="n">
        <v>22245861</v>
      </c>
      <c r="I1672" s="22" t="n">
        <v>19000000</v>
      </c>
      <c r="J1672" s="21">
        <f>IF(OR(H1672="",H1672=25529689.5),"Yes","No")</f>
        <v/>
      </c>
      <c r="K1672" s="21">
        <f>IF(AND(D1672="USA",C1672&gt;=1980,J1672="No"),"Yes","No")</f>
        <v/>
      </c>
      <c r="L1672" s="26">
        <f>IF(J1672="Yes","",H1672-I1672)</f>
        <v/>
      </c>
      <c r="M1672" s="27">
        <f>IF(OR(J1672="Yes",I1672=0),"",H1672/I1672)</f>
        <v/>
      </c>
      <c r="N1672" s="21">
        <f>IF(J1672="Yes","",IF(H1672&gt;=I1672,1,0))</f>
        <v/>
      </c>
      <c r="O1672" s="21">
        <f>IF(I1672&lt;=5000000,"Under $5M",IF(I1672&lt;=20000000,"$5M-20M",IF(I1672&lt;=50000000,"$20M-50M",IF(I1672&lt;=100000000,"$50M-100M","$100M+"))))</f>
        <v/>
      </c>
      <c r="P1672" s="21">
        <f>IF(E1672&lt;=90,"90 or less",IF(E1672&lt;=105,"91-105",IF(E1672&lt;=120,"106-120",IF(E1672&lt;=140,"121-140","Over 140"))))</f>
        <v/>
      </c>
      <c r="Q1672" s="28">
        <f>INT(C1672/10)*10</f>
        <v/>
      </c>
    </row>
    <row r="1673">
      <c r="A1673" s="21" t="n">
        <v>1707</v>
      </c>
      <c r="B1673" s="21" t="inlineStr">
        <is>
          <t>All About the Benjamins</t>
        </is>
      </c>
      <c r="C1673" s="21" t="n">
        <v>2002</v>
      </c>
      <c r="D1673" s="21" t="inlineStr">
        <is>
          <t>USA</t>
        </is>
      </c>
      <c r="E1673" s="21" t="n">
        <v>95</v>
      </c>
      <c r="F1673" s="21" t="inlineStr">
        <is>
          <t>English</t>
        </is>
      </c>
      <c r="G1673" s="21" t="inlineStr">
        <is>
          <t>R</t>
        </is>
      </c>
      <c r="H1673" s="22" t="n">
        <v>25482931</v>
      </c>
      <c r="I1673" s="22" t="n">
        <v>14000000</v>
      </c>
      <c r="J1673" s="21">
        <f>IF(OR(H1673="",H1673=25529689.5),"Yes","No")</f>
        <v/>
      </c>
      <c r="K1673" s="21">
        <f>IF(AND(D1673="USA",C1673&gt;=1980,J1673="No"),"Yes","No")</f>
        <v/>
      </c>
      <c r="L1673" s="26">
        <f>IF(J1673="Yes","",H1673-I1673)</f>
        <v/>
      </c>
      <c r="M1673" s="27">
        <f>IF(OR(J1673="Yes",I1673=0),"",H1673/I1673)</f>
        <v/>
      </c>
      <c r="N1673" s="21">
        <f>IF(J1673="Yes","",IF(H1673&gt;=I1673,1,0))</f>
        <v/>
      </c>
      <c r="O1673" s="21">
        <f>IF(I1673&lt;=5000000,"Under $5M",IF(I1673&lt;=20000000,"$5M-20M",IF(I1673&lt;=50000000,"$20M-50M",IF(I1673&lt;=100000000,"$50M-100M","$100M+"))))</f>
        <v/>
      </c>
      <c r="P1673" s="21">
        <f>IF(E1673&lt;=90,"90 or less",IF(E1673&lt;=105,"91-105",IF(E1673&lt;=120,"106-120",IF(E1673&lt;=140,"121-140","Over 140"))))</f>
        <v/>
      </c>
      <c r="Q1673" s="28">
        <f>INT(C1673/10)*10</f>
        <v/>
      </c>
    </row>
    <row r="1674">
      <c r="A1674" s="21" t="n">
        <v>1708</v>
      </c>
      <c r="B1674" s="21" t="inlineStr">
        <is>
          <t>All or Nothing</t>
        </is>
      </c>
      <c r="C1674" s="21" t="n">
        <v>2002</v>
      </c>
      <c r="D1674" s="21" t="inlineStr">
        <is>
          <t>UK</t>
        </is>
      </c>
      <c r="E1674" s="21" t="n">
        <v>121</v>
      </c>
      <c r="F1674" s="21" t="inlineStr">
        <is>
          <t>English</t>
        </is>
      </c>
      <c r="G1674" s="21" t="inlineStr">
        <is>
          <t>R</t>
        </is>
      </c>
      <c r="H1674" s="22" t="n">
        <v>112935</v>
      </c>
      <c r="I1674" s="22" t="n">
        <v>9000000</v>
      </c>
      <c r="J1674" s="21">
        <f>IF(OR(H1674="",H1674=25529689.5),"Yes","No")</f>
        <v/>
      </c>
      <c r="K1674" s="21">
        <f>IF(AND(D1674="USA",C1674&gt;=1980,J1674="No"),"Yes","No")</f>
        <v/>
      </c>
      <c r="L1674" s="26">
        <f>IF(J1674="Yes","",H1674-I1674)</f>
        <v/>
      </c>
      <c r="M1674" s="27">
        <f>IF(OR(J1674="Yes",I1674=0),"",H1674/I1674)</f>
        <v/>
      </c>
      <c r="N1674" s="21">
        <f>IF(J1674="Yes","",IF(H1674&gt;=I1674,1,0))</f>
        <v/>
      </c>
      <c r="O1674" s="21">
        <f>IF(I1674&lt;=5000000,"Under $5M",IF(I1674&lt;=20000000,"$5M-20M",IF(I1674&lt;=50000000,"$20M-50M",IF(I1674&lt;=100000000,"$50M-100M","$100M+"))))</f>
        <v/>
      </c>
      <c r="P1674" s="21">
        <f>IF(E1674&lt;=90,"90 or less",IF(E1674&lt;=105,"91-105",IF(E1674&lt;=120,"106-120",IF(E1674&lt;=140,"121-140","Over 140"))))</f>
        <v/>
      </c>
      <c r="Q1674" s="28">
        <f>INT(C1674/10)*10</f>
        <v/>
      </c>
    </row>
    <row r="1675">
      <c r="A1675" s="21" t="n">
        <v>1709</v>
      </c>
      <c r="B1675" s="21" t="inlineStr">
        <is>
          <t>Amen.</t>
        </is>
      </c>
      <c r="C1675" s="21" t="n">
        <v>2002</v>
      </c>
      <c r="D1675" s="21" t="inlineStr">
        <is>
          <t>France</t>
        </is>
      </c>
      <c r="E1675" s="21" t="n">
        <v>132</v>
      </c>
      <c r="F1675" s="21" t="inlineStr">
        <is>
          <t>English</t>
        </is>
      </c>
      <c r="G1675" s="21" t="inlineStr">
        <is>
          <t>Unrated</t>
        </is>
      </c>
      <c r="H1675" s="22" t="n">
        <v>274299</v>
      </c>
      <c r="I1675" s="22" t="n">
        <v>103000000</v>
      </c>
      <c r="J1675" s="21">
        <f>IF(OR(H1675="",H1675=25529689.5),"Yes","No")</f>
        <v/>
      </c>
      <c r="K1675" s="21">
        <f>IF(AND(D1675="USA",C1675&gt;=1980,J1675="No"),"Yes","No")</f>
        <v/>
      </c>
      <c r="L1675" s="26">
        <f>IF(J1675="Yes","",H1675-I1675)</f>
        <v/>
      </c>
      <c r="M1675" s="27">
        <f>IF(OR(J1675="Yes",I1675=0),"",H1675/I1675)</f>
        <v/>
      </c>
      <c r="N1675" s="21">
        <f>IF(J1675="Yes","",IF(H1675&gt;=I1675,1,0))</f>
        <v/>
      </c>
      <c r="O1675" s="21">
        <f>IF(I1675&lt;=5000000,"Under $5M",IF(I1675&lt;=20000000,"$5M-20M",IF(I1675&lt;=50000000,"$20M-50M",IF(I1675&lt;=100000000,"$50M-100M","$100M+"))))</f>
        <v/>
      </c>
      <c r="P1675" s="21">
        <f>IF(E1675&lt;=90,"90 or less",IF(E1675&lt;=105,"91-105",IF(E1675&lt;=120,"106-120",IF(E1675&lt;=140,"121-140","Over 140"))))</f>
        <v/>
      </c>
      <c r="Q1675" s="28">
        <f>INT(C1675/10)*10</f>
        <v/>
      </c>
    </row>
    <row r="1676">
      <c r="A1676" s="21" t="n">
        <v>1710</v>
      </c>
      <c r="B1676" s="21" t="inlineStr">
        <is>
          <t>Analyze That</t>
        </is>
      </c>
      <c r="C1676" s="21" t="n">
        <v>2002</v>
      </c>
      <c r="D1676" s="21" t="inlineStr">
        <is>
          <t>USA</t>
        </is>
      </c>
      <c r="E1676" s="21" t="n">
        <v>96</v>
      </c>
      <c r="F1676" s="21" t="inlineStr">
        <is>
          <t>English</t>
        </is>
      </c>
      <c r="G1676" s="21" t="inlineStr">
        <is>
          <t>R</t>
        </is>
      </c>
      <c r="H1676" s="22" t="n">
        <v>32122249</v>
      </c>
      <c r="I1676" s="22" t="n">
        <v>60000000</v>
      </c>
      <c r="J1676" s="21">
        <f>IF(OR(H1676="",H1676=25529689.5),"Yes","No")</f>
        <v/>
      </c>
      <c r="K1676" s="21">
        <f>IF(AND(D1676="USA",C1676&gt;=1980,J1676="No"),"Yes","No")</f>
        <v/>
      </c>
      <c r="L1676" s="26">
        <f>IF(J1676="Yes","",H1676-I1676)</f>
        <v/>
      </c>
      <c r="M1676" s="27">
        <f>IF(OR(J1676="Yes",I1676=0),"",H1676/I1676)</f>
        <v/>
      </c>
      <c r="N1676" s="21">
        <f>IF(J1676="Yes","",IF(H1676&gt;=I1676,1,0))</f>
        <v/>
      </c>
      <c r="O1676" s="21">
        <f>IF(I1676&lt;=5000000,"Under $5M",IF(I1676&lt;=20000000,"$5M-20M",IF(I1676&lt;=50000000,"$20M-50M",IF(I1676&lt;=100000000,"$50M-100M","$100M+"))))</f>
        <v/>
      </c>
      <c r="P1676" s="21">
        <f>IF(E1676&lt;=90,"90 or less",IF(E1676&lt;=105,"91-105",IF(E1676&lt;=120,"106-120",IF(E1676&lt;=140,"121-140","Over 140"))))</f>
        <v/>
      </c>
      <c r="Q1676" s="28">
        <f>INT(C1676/10)*10</f>
        <v/>
      </c>
    </row>
    <row r="1677">
      <c r="A1677" s="21" t="n">
        <v>1711</v>
      </c>
      <c r="B1677" s="21" t="inlineStr">
        <is>
          <t>Antwone Fisher</t>
        </is>
      </c>
      <c r="C1677" s="21" t="n">
        <v>2002</v>
      </c>
      <c r="D1677" s="21" t="inlineStr">
        <is>
          <t>USA</t>
        </is>
      </c>
      <c r="E1677" s="21" t="n">
        <v>117</v>
      </c>
      <c r="F1677" s="21" t="inlineStr">
        <is>
          <t>English</t>
        </is>
      </c>
      <c r="G1677" s="21" t="inlineStr">
        <is>
          <t>PG-13</t>
        </is>
      </c>
      <c r="H1677" s="22" t="n">
        <v>21078145</v>
      </c>
      <c r="I1677" s="22" t="n">
        <v>12500000</v>
      </c>
      <c r="J1677" s="21">
        <f>IF(OR(H1677="",H1677=25529689.5),"Yes","No")</f>
        <v/>
      </c>
      <c r="K1677" s="21">
        <f>IF(AND(D1677="USA",C1677&gt;=1980,J1677="No"),"Yes","No")</f>
        <v/>
      </c>
      <c r="L1677" s="26">
        <f>IF(J1677="Yes","",H1677-I1677)</f>
        <v/>
      </c>
      <c r="M1677" s="27">
        <f>IF(OR(J1677="Yes",I1677=0),"",H1677/I1677)</f>
        <v/>
      </c>
      <c r="N1677" s="21">
        <f>IF(J1677="Yes","",IF(H1677&gt;=I1677,1,0))</f>
        <v/>
      </c>
      <c r="O1677" s="21">
        <f>IF(I1677&lt;=5000000,"Under $5M",IF(I1677&lt;=20000000,"$5M-20M",IF(I1677&lt;=50000000,"$20M-50M",IF(I1677&lt;=100000000,"$50M-100M","$100M+"))))</f>
        <v/>
      </c>
      <c r="P1677" s="21">
        <f>IF(E1677&lt;=90,"90 or less",IF(E1677&lt;=105,"91-105",IF(E1677&lt;=120,"106-120",IF(E1677&lt;=140,"121-140","Over 140"))))</f>
        <v/>
      </c>
      <c r="Q1677" s="28">
        <f>INT(C1677/10)*10</f>
        <v/>
      </c>
    </row>
    <row r="1678">
      <c r="A1678" s="21" t="n">
        <v>1712</v>
      </c>
      <c r="B1678" s="21" t="inlineStr">
        <is>
          <t>Ararat</t>
        </is>
      </c>
      <c r="C1678" s="21" t="n">
        <v>2002</v>
      </c>
      <c r="D1678" s="21" t="inlineStr">
        <is>
          <t>Canada</t>
        </is>
      </c>
      <c r="E1678" s="21" t="n">
        <v>115</v>
      </c>
      <c r="F1678" s="21" t="inlineStr">
        <is>
          <t>English</t>
        </is>
      </c>
      <c r="G1678" s="21" t="inlineStr">
        <is>
          <t>R</t>
        </is>
      </c>
      <c r="H1678" s="22" t="n">
        <v>1554566</v>
      </c>
      <c r="I1678" s="22" t="n">
        <v>20000000</v>
      </c>
      <c r="J1678" s="21">
        <f>IF(OR(H1678="",H1678=25529689.5),"Yes","No")</f>
        <v/>
      </c>
      <c r="K1678" s="21">
        <f>IF(AND(D1678="USA",C1678&gt;=1980,J1678="No"),"Yes","No")</f>
        <v/>
      </c>
      <c r="L1678" s="26">
        <f>IF(J1678="Yes","",H1678-I1678)</f>
        <v/>
      </c>
      <c r="M1678" s="27">
        <f>IF(OR(J1678="Yes",I1678=0),"",H1678/I1678)</f>
        <v/>
      </c>
      <c r="N1678" s="21">
        <f>IF(J1678="Yes","",IF(H1678&gt;=I1678,1,0))</f>
        <v/>
      </c>
      <c r="O1678" s="21">
        <f>IF(I1678&lt;=5000000,"Under $5M",IF(I1678&lt;=20000000,"$5M-20M",IF(I1678&lt;=50000000,"$20M-50M",IF(I1678&lt;=100000000,"$50M-100M","$100M+"))))</f>
        <v/>
      </c>
      <c r="P1678" s="21">
        <f>IF(E1678&lt;=90,"90 or less",IF(E1678&lt;=105,"91-105",IF(E1678&lt;=120,"106-120",IF(E1678&lt;=140,"121-140","Over 140"))))</f>
        <v/>
      </c>
      <c r="Q1678" s="28">
        <f>INT(C1678/10)*10</f>
        <v/>
      </c>
    </row>
    <row r="1679">
      <c r="A1679" s="21" t="n">
        <v>1713</v>
      </c>
      <c r="B1679" s="21" t="inlineStr">
        <is>
          <t>Austin Powers in Goldmember</t>
        </is>
      </c>
      <c r="C1679" s="21" t="n">
        <v>2002</v>
      </c>
      <c r="D1679" s="21" t="inlineStr">
        <is>
          <t>USA</t>
        </is>
      </c>
      <c r="E1679" s="21" t="n">
        <v>94</v>
      </c>
      <c r="F1679" s="21" t="inlineStr">
        <is>
          <t>English</t>
        </is>
      </c>
      <c r="G1679" s="21" t="inlineStr">
        <is>
          <t>PG-13</t>
        </is>
      </c>
      <c r="H1679" s="22" t="n">
        <v>213079163</v>
      </c>
      <c r="I1679" s="22" t="n">
        <v>63000000</v>
      </c>
      <c r="J1679" s="21">
        <f>IF(OR(H1679="",H1679=25529689.5),"Yes","No")</f>
        <v/>
      </c>
      <c r="K1679" s="21">
        <f>IF(AND(D1679="USA",C1679&gt;=1980,J1679="No"),"Yes","No")</f>
        <v/>
      </c>
      <c r="L1679" s="26">
        <f>IF(J1679="Yes","",H1679-I1679)</f>
        <v/>
      </c>
      <c r="M1679" s="27">
        <f>IF(OR(J1679="Yes",I1679=0),"",H1679/I1679)</f>
        <v/>
      </c>
      <c r="N1679" s="21">
        <f>IF(J1679="Yes","",IF(H1679&gt;=I1679,1,0))</f>
        <v/>
      </c>
      <c r="O1679" s="21">
        <f>IF(I1679&lt;=5000000,"Under $5M",IF(I1679&lt;=20000000,"$5M-20M",IF(I1679&lt;=50000000,"$20M-50M",IF(I1679&lt;=100000000,"$50M-100M","$100M+"))))</f>
        <v/>
      </c>
      <c r="P1679" s="21">
        <f>IF(E1679&lt;=90,"90 or less",IF(E1679&lt;=105,"91-105",IF(E1679&lt;=120,"106-120",IF(E1679&lt;=140,"121-140","Over 140"))))</f>
        <v/>
      </c>
      <c r="Q1679" s="28">
        <f>INT(C1679/10)*10</f>
        <v/>
      </c>
    </row>
    <row r="1680">
      <c r="A1680" s="21" t="n">
        <v>1714</v>
      </c>
      <c r="B1680" s="21" t="inlineStr">
        <is>
          <t>Auto Focus</t>
        </is>
      </c>
      <c r="C1680" s="21" t="n">
        <v>2002</v>
      </c>
      <c r="D1680" s="21" t="inlineStr">
        <is>
          <t>USA</t>
        </is>
      </c>
      <c r="E1680" s="21" t="n">
        <v>105</v>
      </c>
      <c r="F1680" s="21" t="inlineStr">
        <is>
          <t>English</t>
        </is>
      </c>
      <c r="G1680" s="21" t="inlineStr">
        <is>
          <t>R</t>
        </is>
      </c>
      <c r="H1680" s="22" t="n">
        <v>2062066</v>
      </c>
      <c r="I1680" s="22" t="n">
        <v>7000000</v>
      </c>
      <c r="J1680" s="21">
        <f>IF(OR(H1680="",H1680=25529689.5),"Yes","No")</f>
        <v/>
      </c>
      <c r="K1680" s="21">
        <f>IF(AND(D1680="USA",C1680&gt;=1980,J1680="No"),"Yes","No")</f>
        <v/>
      </c>
      <c r="L1680" s="26">
        <f>IF(J1680="Yes","",H1680-I1680)</f>
        <v/>
      </c>
      <c r="M1680" s="27">
        <f>IF(OR(J1680="Yes",I1680=0),"",H1680/I1680)</f>
        <v/>
      </c>
      <c r="N1680" s="21">
        <f>IF(J1680="Yes","",IF(H1680&gt;=I1680,1,0))</f>
        <v/>
      </c>
      <c r="O1680" s="21">
        <f>IF(I1680&lt;=5000000,"Under $5M",IF(I1680&lt;=20000000,"$5M-20M",IF(I1680&lt;=50000000,"$20M-50M",IF(I1680&lt;=100000000,"$50M-100M","$100M+"))))</f>
        <v/>
      </c>
      <c r="P1680" s="21">
        <f>IF(E1680&lt;=90,"90 or less",IF(E1680&lt;=105,"91-105",IF(E1680&lt;=120,"106-120",IF(E1680&lt;=140,"121-140","Over 140"))))</f>
        <v/>
      </c>
      <c r="Q1680" s="28">
        <f>INT(C1680/10)*10</f>
        <v/>
      </c>
    </row>
    <row r="1681">
      <c r="A1681" s="21" t="n">
        <v>1715</v>
      </c>
      <c r="B1681" s="21" t="inlineStr">
        <is>
          <t>Bad Company</t>
        </is>
      </c>
      <c r="C1681" s="21" t="n">
        <v>2002</v>
      </c>
      <c r="D1681" s="21" t="inlineStr">
        <is>
          <t>USA</t>
        </is>
      </c>
      <c r="E1681" s="21" t="n">
        <v>116</v>
      </c>
      <c r="F1681" s="21" t="inlineStr">
        <is>
          <t>English</t>
        </is>
      </c>
      <c r="G1681" s="21" t="inlineStr">
        <is>
          <t>PG-13</t>
        </is>
      </c>
      <c r="H1681" s="22" t="n">
        <v>30157016</v>
      </c>
      <c r="I1681" s="22" t="n">
        <v>70000000</v>
      </c>
      <c r="J1681" s="21">
        <f>IF(OR(H1681="",H1681=25529689.5),"Yes","No")</f>
        <v/>
      </c>
      <c r="K1681" s="21">
        <f>IF(AND(D1681="USA",C1681&gt;=1980,J1681="No"),"Yes","No")</f>
        <v/>
      </c>
      <c r="L1681" s="26">
        <f>IF(J1681="Yes","",H1681-I1681)</f>
        <v/>
      </c>
      <c r="M1681" s="27">
        <f>IF(OR(J1681="Yes",I1681=0),"",H1681/I1681)</f>
        <v/>
      </c>
      <c r="N1681" s="21">
        <f>IF(J1681="Yes","",IF(H1681&gt;=I1681,1,0))</f>
        <v/>
      </c>
      <c r="O1681" s="21">
        <f>IF(I1681&lt;=5000000,"Under $5M",IF(I1681&lt;=20000000,"$5M-20M",IF(I1681&lt;=50000000,"$20M-50M",IF(I1681&lt;=100000000,"$50M-100M","$100M+"))))</f>
        <v/>
      </c>
      <c r="P1681" s="21">
        <f>IF(E1681&lt;=90,"90 or less",IF(E1681&lt;=105,"91-105",IF(E1681&lt;=120,"106-120",IF(E1681&lt;=140,"121-140","Over 140"))))</f>
        <v/>
      </c>
      <c r="Q1681" s="28">
        <f>INT(C1681/10)*10</f>
        <v/>
      </c>
    </row>
    <row r="1682">
      <c r="A1682" s="21" t="n">
        <v>1716</v>
      </c>
      <c r="B1682" s="21" t="inlineStr">
        <is>
          <t>Ballistic: Ecks vs. Sever</t>
        </is>
      </c>
      <c r="C1682" s="21" t="n">
        <v>2002</v>
      </c>
      <c r="D1682" s="21" t="inlineStr">
        <is>
          <t>USA</t>
        </is>
      </c>
      <c r="E1682" s="21" t="n">
        <v>91</v>
      </c>
      <c r="F1682" s="21" t="inlineStr">
        <is>
          <t>English</t>
        </is>
      </c>
      <c r="G1682" s="21" t="inlineStr">
        <is>
          <t>R</t>
        </is>
      </c>
      <c r="H1682" s="22" t="n">
        <v>14294842</v>
      </c>
      <c r="I1682" s="22" t="n">
        <v>70000000</v>
      </c>
      <c r="J1682" s="21">
        <f>IF(OR(H1682="",H1682=25529689.5),"Yes","No")</f>
        <v/>
      </c>
      <c r="K1682" s="21">
        <f>IF(AND(D1682="USA",C1682&gt;=1980,J1682="No"),"Yes","No")</f>
        <v/>
      </c>
      <c r="L1682" s="26">
        <f>IF(J1682="Yes","",H1682-I1682)</f>
        <v/>
      </c>
      <c r="M1682" s="27">
        <f>IF(OR(J1682="Yes",I1682=0),"",H1682/I1682)</f>
        <v/>
      </c>
      <c r="N1682" s="21">
        <f>IF(J1682="Yes","",IF(H1682&gt;=I1682,1,0))</f>
        <v/>
      </c>
      <c r="O1682" s="21">
        <f>IF(I1682&lt;=5000000,"Under $5M",IF(I1682&lt;=20000000,"$5M-20M",IF(I1682&lt;=50000000,"$20M-50M",IF(I1682&lt;=100000000,"$50M-100M","$100M+"))))</f>
        <v/>
      </c>
      <c r="P1682" s="21">
        <f>IF(E1682&lt;=90,"90 or less",IF(E1682&lt;=105,"91-105",IF(E1682&lt;=120,"106-120",IF(E1682&lt;=140,"121-140","Over 140"))))</f>
        <v/>
      </c>
      <c r="Q1682" s="28">
        <f>INT(C1682/10)*10</f>
        <v/>
      </c>
    </row>
    <row r="1683">
      <c r="A1683" s="21" t="n">
        <v>1717</v>
      </c>
      <c r="B1683" s="21" t="inlineStr">
        <is>
          <t>Barbershop</t>
        </is>
      </c>
      <c r="C1683" s="21" t="n">
        <v>2002</v>
      </c>
      <c r="D1683" s="21" t="inlineStr">
        <is>
          <t>USA</t>
        </is>
      </c>
      <c r="E1683" s="21" t="n">
        <v>102</v>
      </c>
      <c r="F1683" s="21" t="inlineStr">
        <is>
          <t>English</t>
        </is>
      </c>
      <c r="G1683" s="21" t="inlineStr">
        <is>
          <t>PG-13</t>
        </is>
      </c>
      <c r="H1683" s="22" t="n">
        <v>75074950</v>
      </c>
      <c r="I1683" s="22" t="n">
        <v>12000000</v>
      </c>
      <c r="J1683" s="21">
        <f>IF(OR(H1683="",H1683=25529689.5),"Yes","No")</f>
        <v/>
      </c>
      <c r="K1683" s="21">
        <f>IF(AND(D1683="USA",C1683&gt;=1980,J1683="No"),"Yes","No")</f>
        <v/>
      </c>
      <c r="L1683" s="26">
        <f>IF(J1683="Yes","",H1683-I1683)</f>
        <v/>
      </c>
      <c r="M1683" s="27">
        <f>IF(OR(J1683="Yes",I1683=0),"",H1683/I1683)</f>
        <v/>
      </c>
      <c r="N1683" s="21">
        <f>IF(J1683="Yes","",IF(H1683&gt;=I1683,1,0))</f>
        <v/>
      </c>
      <c r="O1683" s="21">
        <f>IF(I1683&lt;=5000000,"Under $5M",IF(I1683&lt;=20000000,"$5M-20M",IF(I1683&lt;=50000000,"$20M-50M",IF(I1683&lt;=100000000,"$50M-100M","$100M+"))))</f>
        <v/>
      </c>
      <c r="P1683" s="21">
        <f>IF(E1683&lt;=90,"90 or less",IF(E1683&lt;=105,"91-105",IF(E1683&lt;=120,"106-120",IF(E1683&lt;=140,"121-140","Over 140"))))</f>
        <v/>
      </c>
      <c r="Q1683" s="28">
        <f>INT(C1683/10)*10</f>
        <v/>
      </c>
    </row>
    <row r="1684">
      <c r="A1684" s="21" t="n">
        <v>1718</v>
      </c>
      <c r="B1684" s="21" t="inlineStr">
        <is>
          <t>Bend It Like Beckham</t>
        </is>
      </c>
      <c r="C1684" s="21" t="n">
        <v>2002</v>
      </c>
      <c r="D1684" s="21" t="inlineStr">
        <is>
          <t>UK</t>
        </is>
      </c>
      <c r="E1684" s="21" t="n">
        <v>112</v>
      </c>
      <c r="F1684" s="21" t="inlineStr">
        <is>
          <t>English</t>
        </is>
      </c>
      <c r="G1684" s="21" t="inlineStr">
        <is>
          <t>PG-13</t>
        </is>
      </c>
      <c r="H1684" s="22" t="n">
        <v>32541719</v>
      </c>
      <c r="I1684" s="22" t="n">
        <v>3500159</v>
      </c>
      <c r="J1684" s="21">
        <f>IF(OR(H1684="",H1684=25529689.5),"Yes","No")</f>
        <v/>
      </c>
      <c r="K1684" s="21">
        <f>IF(AND(D1684="USA",C1684&gt;=1980,J1684="No"),"Yes","No")</f>
        <v/>
      </c>
      <c r="L1684" s="26">
        <f>IF(J1684="Yes","",H1684-I1684)</f>
        <v/>
      </c>
      <c r="M1684" s="27">
        <f>IF(OR(J1684="Yes",I1684=0),"",H1684/I1684)</f>
        <v/>
      </c>
      <c r="N1684" s="21">
        <f>IF(J1684="Yes","",IF(H1684&gt;=I1684,1,0))</f>
        <v/>
      </c>
      <c r="O1684" s="21">
        <f>IF(I1684&lt;=5000000,"Under $5M",IF(I1684&lt;=20000000,"$5M-20M",IF(I1684&lt;=50000000,"$20M-50M",IF(I1684&lt;=100000000,"$50M-100M","$100M+"))))</f>
        <v/>
      </c>
      <c r="P1684" s="21">
        <f>IF(E1684&lt;=90,"90 or less",IF(E1684&lt;=105,"91-105",IF(E1684&lt;=120,"106-120",IF(E1684&lt;=140,"121-140","Over 140"))))</f>
        <v/>
      </c>
      <c r="Q1684" s="28">
        <f>INT(C1684/10)*10</f>
        <v/>
      </c>
    </row>
    <row r="1685">
      <c r="A1685" s="21" t="n">
        <v>1719</v>
      </c>
      <c r="B1685" s="21" t="inlineStr">
        <is>
          <t>Better Luck Tomorrow</t>
        </is>
      </c>
      <c r="C1685" s="21" t="n">
        <v>2002</v>
      </c>
      <c r="D1685" s="21" t="inlineStr">
        <is>
          <t>USA</t>
        </is>
      </c>
      <c r="E1685" s="21" t="n">
        <v>98</v>
      </c>
      <c r="F1685" s="21" t="inlineStr">
        <is>
          <t>English</t>
        </is>
      </c>
      <c r="G1685" s="21" t="inlineStr">
        <is>
          <t>R</t>
        </is>
      </c>
      <c r="H1685" s="22" t="n">
        <v>3799339</v>
      </c>
      <c r="I1685" s="22" t="n">
        <v>250000</v>
      </c>
      <c r="J1685" s="21">
        <f>IF(OR(H1685="",H1685=25529689.5),"Yes","No")</f>
        <v/>
      </c>
      <c r="K1685" s="21">
        <f>IF(AND(D1685="USA",C1685&gt;=1980,J1685="No"),"Yes","No")</f>
        <v/>
      </c>
      <c r="L1685" s="26">
        <f>IF(J1685="Yes","",H1685-I1685)</f>
        <v/>
      </c>
      <c r="M1685" s="27">
        <f>IF(OR(J1685="Yes",I1685=0),"",H1685/I1685)</f>
        <v/>
      </c>
      <c r="N1685" s="21">
        <f>IF(J1685="Yes","",IF(H1685&gt;=I1685,1,0))</f>
        <v/>
      </c>
      <c r="O1685" s="21">
        <f>IF(I1685&lt;=5000000,"Under $5M",IF(I1685&lt;=20000000,"$5M-20M",IF(I1685&lt;=50000000,"$20M-50M",IF(I1685&lt;=100000000,"$50M-100M","$100M+"))))</f>
        <v/>
      </c>
      <c r="P1685" s="21">
        <f>IF(E1685&lt;=90,"90 or less",IF(E1685&lt;=105,"91-105",IF(E1685&lt;=120,"106-120",IF(E1685&lt;=140,"121-140","Over 140"))))</f>
        <v/>
      </c>
      <c r="Q1685" s="28">
        <f>INT(C1685/10)*10</f>
        <v/>
      </c>
    </row>
    <row r="1686">
      <c r="A1686" s="21" t="n">
        <v>1720</v>
      </c>
      <c r="B1686" s="21" t="inlineStr">
        <is>
          <t>Big Fat Liar</t>
        </is>
      </c>
      <c r="C1686" s="21" t="n">
        <v>2002</v>
      </c>
      <c r="D1686" s="21" t="inlineStr">
        <is>
          <t>USA</t>
        </is>
      </c>
      <c r="E1686" s="21" t="n">
        <v>88</v>
      </c>
      <c r="F1686" s="21" t="inlineStr">
        <is>
          <t>English</t>
        </is>
      </c>
      <c r="G1686" s="21" t="inlineStr">
        <is>
          <t>PG</t>
        </is>
      </c>
      <c r="H1686" s="22" t="n">
        <v>47811275</v>
      </c>
      <c r="I1686" s="22" t="n">
        <v>15000000</v>
      </c>
      <c r="J1686" s="21">
        <f>IF(OR(H1686="",H1686=25529689.5),"Yes","No")</f>
        <v/>
      </c>
      <c r="K1686" s="21">
        <f>IF(AND(D1686="USA",C1686&gt;=1980,J1686="No"),"Yes","No")</f>
        <v/>
      </c>
      <c r="L1686" s="26">
        <f>IF(J1686="Yes","",H1686-I1686)</f>
        <v/>
      </c>
      <c r="M1686" s="27">
        <f>IF(OR(J1686="Yes",I1686=0),"",H1686/I1686)</f>
        <v/>
      </c>
      <c r="N1686" s="21">
        <f>IF(J1686="Yes","",IF(H1686&gt;=I1686,1,0))</f>
        <v/>
      </c>
      <c r="O1686" s="21">
        <f>IF(I1686&lt;=5000000,"Under $5M",IF(I1686&lt;=20000000,"$5M-20M",IF(I1686&lt;=50000000,"$20M-50M",IF(I1686&lt;=100000000,"$50M-100M","$100M+"))))</f>
        <v/>
      </c>
      <c r="P1686" s="21">
        <f>IF(E1686&lt;=90,"90 or less",IF(E1686&lt;=105,"91-105",IF(E1686&lt;=120,"106-120",IF(E1686&lt;=140,"121-140","Over 140"))))</f>
        <v/>
      </c>
      <c r="Q1686" s="28">
        <f>INT(C1686/10)*10</f>
        <v/>
      </c>
    </row>
    <row r="1687">
      <c r="A1687" s="21" t="n">
        <v>1722</v>
      </c>
      <c r="B1687" s="21" t="inlineStr">
        <is>
          <t>Big Trouble</t>
        </is>
      </c>
      <c r="C1687" s="21" t="n">
        <v>2002</v>
      </c>
      <c r="D1687" s="21" t="inlineStr">
        <is>
          <t>USA</t>
        </is>
      </c>
      <c r="E1687" s="21" t="n">
        <v>74</v>
      </c>
      <c r="F1687" s="21" t="inlineStr">
        <is>
          <t>English</t>
        </is>
      </c>
      <c r="G1687" s="21" t="inlineStr">
        <is>
          <t>PG-13</t>
        </is>
      </c>
      <c r="H1687" s="22" t="n">
        <v>7262288</v>
      </c>
      <c r="I1687" s="22" t="n">
        <v>40000000</v>
      </c>
      <c r="J1687" s="21">
        <f>IF(OR(H1687="",H1687=25529689.5),"Yes","No")</f>
        <v/>
      </c>
      <c r="K1687" s="21">
        <f>IF(AND(D1687="USA",C1687&gt;=1980,J1687="No"),"Yes","No")</f>
        <v/>
      </c>
      <c r="L1687" s="26">
        <f>IF(J1687="Yes","",H1687-I1687)</f>
        <v/>
      </c>
      <c r="M1687" s="27">
        <f>IF(OR(J1687="Yes",I1687=0),"",H1687/I1687)</f>
        <v/>
      </c>
      <c r="N1687" s="21">
        <f>IF(J1687="Yes","",IF(H1687&gt;=I1687,1,0))</f>
        <v/>
      </c>
      <c r="O1687" s="21">
        <f>IF(I1687&lt;=5000000,"Under $5M",IF(I1687&lt;=20000000,"$5M-20M",IF(I1687&lt;=50000000,"$20M-50M",IF(I1687&lt;=100000000,"$50M-100M","$100M+"))))</f>
        <v/>
      </c>
      <c r="P1687" s="21">
        <f>IF(E1687&lt;=90,"90 or less",IF(E1687&lt;=105,"91-105",IF(E1687&lt;=120,"106-120",IF(E1687&lt;=140,"121-140","Over 140"))))</f>
        <v/>
      </c>
      <c r="Q1687" s="28">
        <f>INT(C1687/10)*10</f>
        <v/>
      </c>
    </row>
    <row r="1688">
      <c r="A1688" s="21" t="n">
        <v>1723</v>
      </c>
      <c r="B1688" s="21" t="inlineStr">
        <is>
          <t>Blade II</t>
        </is>
      </c>
      <c r="C1688" s="21" t="n">
        <v>2002</v>
      </c>
      <c r="D1688" s="21" t="inlineStr">
        <is>
          <t>USA</t>
        </is>
      </c>
      <c r="E1688" s="21" t="n">
        <v>117</v>
      </c>
      <c r="F1688" s="21" t="inlineStr">
        <is>
          <t>English</t>
        </is>
      </c>
      <c r="G1688" s="21" t="inlineStr">
        <is>
          <t>R</t>
        </is>
      </c>
      <c r="H1688" s="22" t="n">
        <v>81645152</v>
      </c>
      <c r="I1688" s="22" t="n">
        <v>54000000</v>
      </c>
      <c r="J1688" s="21">
        <f>IF(OR(H1688="",H1688=25529689.5),"Yes","No")</f>
        <v/>
      </c>
      <c r="K1688" s="21">
        <f>IF(AND(D1688="USA",C1688&gt;=1980,J1688="No"),"Yes","No")</f>
        <v/>
      </c>
      <c r="L1688" s="26">
        <f>IF(J1688="Yes","",H1688-I1688)</f>
        <v/>
      </c>
      <c r="M1688" s="27">
        <f>IF(OR(J1688="Yes",I1688=0),"",H1688/I1688)</f>
        <v/>
      </c>
      <c r="N1688" s="21">
        <f>IF(J1688="Yes","",IF(H1688&gt;=I1688,1,0))</f>
        <v/>
      </c>
      <c r="O1688" s="21">
        <f>IF(I1688&lt;=5000000,"Under $5M",IF(I1688&lt;=20000000,"$5M-20M",IF(I1688&lt;=50000000,"$20M-50M",IF(I1688&lt;=100000000,"$50M-100M","$100M+"))))</f>
        <v/>
      </c>
      <c r="P1688" s="21">
        <f>IF(E1688&lt;=90,"90 or less",IF(E1688&lt;=105,"91-105",IF(E1688&lt;=120,"106-120",IF(E1688&lt;=140,"121-140","Over 140"))))</f>
        <v/>
      </c>
      <c r="Q1688" s="28">
        <f>INT(C1688/10)*10</f>
        <v/>
      </c>
    </row>
    <row r="1689">
      <c r="A1689" s="21" t="n">
        <v>1724</v>
      </c>
      <c r="B1689" s="21" t="inlineStr">
        <is>
          <t>Blood Work</t>
        </is>
      </c>
      <c r="C1689" s="21" t="n">
        <v>2002</v>
      </c>
      <c r="D1689" s="21" t="inlineStr">
        <is>
          <t>USA</t>
        </is>
      </c>
      <c r="E1689" s="21" t="n">
        <v>110</v>
      </c>
      <c r="F1689" s="21" t="inlineStr">
        <is>
          <t>English</t>
        </is>
      </c>
      <c r="G1689" s="21" t="inlineStr">
        <is>
          <t>R</t>
        </is>
      </c>
      <c r="H1689" s="22" t="n">
        <v>26199517</v>
      </c>
      <c r="I1689" s="22" t="n">
        <v>50000000</v>
      </c>
      <c r="J1689" s="21">
        <f>IF(OR(H1689="",H1689=25529689.5),"Yes","No")</f>
        <v/>
      </c>
      <c r="K1689" s="21">
        <f>IF(AND(D1689="USA",C1689&gt;=1980,J1689="No"),"Yes","No")</f>
        <v/>
      </c>
      <c r="L1689" s="26">
        <f>IF(J1689="Yes","",H1689-I1689)</f>
        <v/>
      </c>
      <c r="M1689" s="27">
        <f>IF(OR(J1689="Yes",I1689=0),"",H1689/I1689)</f>
        <v/>
      </c>
      <c r="N1689" s="21">
        <f>IF(J1689="Yes","",IF(H1689&gt;=I1689,1,0))</f>
        <v/>
      </c>
      <c r="O1689" s="21">
        <f>IF(I1689&lt;=5000000,"Under $5M",IF(I1689&lt;=20000000,"$5M-20M",IF(I1689&lt;=50000000,"$20M-50M",IF(I1689&lt;=100000000,"$50M-100M","$100M+"))))</f>
        <v/>
      </c>
      <c r="P1689" s="21">
        <f>IF(E1689&lt;=90,"90 or less",IF(E1689&lt;=105,"91-105",IF(E1689&lt;=120,"106-120",IF(E1689&lt;=140,"121-140","Over 140"))))</f>
        <v/>
      </c>
      <c r="Q1689" s="28">
        <f>INT(C1689/10)*10</f>
        <v/>
      </c>
    </row>
    <row r="1690">
      <c r="A1690" s="21" t="n">
        <v>1725</v>
      </c>
      <c r="B1690" s="21" t="inlineStr">
        <is>
          <t>Bloody Sunday</t>
        </is>
      </c>
      <c r="C1690" s="21" t="n">
        <v>2002</v>
      </c>
      <c r="D1690" s="21" t="inlineStr">
        <is>
          <t>UK</t>
        </is>
      </c>
      <c r="E1690" s="21" t="n">
        <v>107</v>
      </c>
      <c r="F1690" s="21" t="inlineStr">
        <is>
          <t>English</t>
        </is>
      </c>
      <c r="G1690" s="21" t="inlineStr">
        <is>
          <t>R</t>
        </is>
      </c>
      <c r="H1690" s="22" t="n">
        <v>768045</v>
      </c>
      <c r="I1690" s="22" t="n">
        <v>2000000</v>
      </c>
      <c r="J1690" s="21">
        <f>IF(OR(H1690="",H1690=25529689.5),"Yes","No")</f>
        <v/>
      </c>
      <c r="K1690" s="21">
        <f>IF(AND(D1690="USA",C1690&gt;=1980,J1690="No"),"Yes","No")</f>
        <v/>
      </c>
      <c r="L1690" s="26">
        <f>IF(J1690="Yes","",H1690-I1690)</f>
        <v/>
      </c>
      <c r="M1690" s="27">
        <f>IF(OR(J1690="Yes",I1690=0),"",H1690/I1690)</f>
        <v/>
      </c>
      <c r="N1690" s="21">
        <f>IF(J1690="Yes","",IF(H1690&gt;=I1690,1,0))</f>
        <v/>
      </c>
      <c r="O1690" s="21">
        <f>IF(I1690&lt;=5000000,"Under $5M",IF(I1690&lt;=20000000,"$5M-20M",IF(I1690&lt;=50000000,"$20M-50M",IF(I1690&lt;=100000000,"$50M-100M","$100M+"))))</f>
        <v/>
      </c>
      <c r="P1690" s="21">
        <f>IF(E1690&lt;=90,"90 or less",IF(E1690&lt;=105,"91-105",IF(E1690&lt;=120,"106-120",IF(E1690&lt;=140,"121-140","Over 140"))))</f>
        <v/>
      </c>
      <c r="Q1690" s="28">
        <f>INT(C1690/10)*10</f>
        <v/>
      </c>
    </row>
    <row r="1691">
      <c r="A1691" s="21" t="n">
        <v>1726</v>
      </c>
      <c r="B1691" s="21" t="inlineStr">
        <is>
          <t>Blue Car</t>
        </is>
      </c>
      <c r="C1691" s="21" t="n">
        <v>2002</v>
      </c>
      <c r="D1691" s="21" t="inlineStr">
        <is>
          <t>USA</t>
        </is>
      </c>
      <c r="E1691" s="21" t="n">
        <v>88</v>
      </c>
      <c r="F1691" s="21" t="inlineStr">
        <is>
          <t>English</t>
        </is>
      </c>
      <c r="G1691" s="21" t="inlineStr">
        <is>
          <t>R</t>
        </is>
      </c>
      <c r="H1691" s="22" t="n">
        <v>464126</v>
      </c>
      <c r="I1691" s="22" t="n">
        <v>1000000</v>
      </c>
      <c r="J1691" s="21">
        <f>IF(OR(H1691="",H1691=25529689.5),"Yes","No")</f>
        <v/>
      </c>
      <c r="K1691" s="21">
        <f>IF(AND(D1691="USA",C1691&gt;=1980,J1691="No"),"Yes","No")</f>
        <v/>
      </c>
      <c r="L1691" s="26">
        <f>IF(J1691="Yes","",H1691-I1691)</f>
        <v/>
      </c>
      <c r="M1691" s="27">
        <f>IF(OR(J1691="Yes",I1691=0),"",H1691/I1691)</f>
        <v/>
      </c>
      <c r="N1691" s="21">
        <f>IF(J1691="Yes","",IF(H1691&gt;=I1691,1,0))</f>
        <v/>
      </c>
      <c r="O1691" s="21">
        <f>IF(I1691&lt;=5000000,"Under $5M",IF(I1691&lt;=20000000,"$5M-20M",IF(I1691&lt;=50000000,"$20M-50M",IF(I1691&lt;=100000000,"$50M-100M","$100M+"))))</f>
        <v/>
      </c>
      <c r="P1691" s="21">
        <f>IF(E1691&lt;=90,"90 or less",IF(E1691&lt;=105,"91-105",IF(E1691&lt;=120,"106-120",IF(E1691&lt;=140,"121-140","Over 140"))))</f>
        <v/>
      </c>
      <c r="Q1691" s="28">
        <f>INT(C1691/10)*10</f>
        <v/>
      </c>
    </row>
    <row r="1692">
      <c r="A1692" s="21" t="n">
        <v>1727</v>
      </c>
      <c r="B1692" s="21" t="inlineStr">
        <is>
          <t>Blue Crush</t>
        </is>
      </c>
      <c r="C1692" s="21" t="n">
        <v>2002</v>
      </c>
      <c r="D1692" s="21" t="inlineStr">
        <is>
          <t>USA</t>
        </is>
      </c>
      <c r="E1692" s="21" t="n">
        <v>104</v>
      </c>
      <c r="F1692" s="21" t="inlineStr">
        <is>
          <t>English</t>
        </is>
      </c>
      <c r="G1692" s="21" t="inlineStr">
        <is>
          <t>PG-13</t>
        </is>
      </c>
      <c r="H1692" s="22" t="n">
        <v>40118420</v>
      </c>
      <c r="I1692" s="22" t="n">
        <v>30000000</v>
      </c>
      <c r="J1692" s="21">
        <f>IF(OR(H1692="",H1692=25529689.5),"Yes","No")</f>
        <v/>
      </c>
      <c r="K1692" s="21">
        <f>IF(AND(D1692="USA",C1692&gt;=1980,J1692="No"),"Yes","No")</f>
        <v/>
      </c>
      <c r="L1692" s="26">
        <f>IF(J1692="Yes","",H1692-I1692)</f>
        <v/>
      </c>
      <c r="M1692" s="27">
        <f>IF(OR(J1692="Yes",I1692=0),"",H1692/I1692)</f>
        <v/>
      </c>
      <c r="N1692" s="21">
        <f>IF(J1692="Yes","",IF(H1692&gt;=I1692,1,0))</f>
        <v/>
      </c>
      <c r="O1692" s="21">
        <f>IF(I1692&lt;=5000000,"Under $5M",IF(I1692&lt;=20000000,"$5M-20M",IF(I1692&lt;=50000000,"$20M-50M",IF(I1692&lt;=100000000,"$50M-100M","$100M+"))))</f>
        <v/>
      </c>
      <c r="P1692" s="21">
        <f>IF(E1692&lt;=90,"90 or less",IF(E1692&lt;=105,"91-105",IF(E1692&lt;=120,"106-120",IF(E1692&lt;=140,"121-140","Over 140"))))</f>
        <v/>
      </c>
      <c r="Q1692" s="28">
        <f>INT(C1692/10)*10</f>
        <v/>
      </c>
    </row>
    <row r="1693">
      <c r="A1693" s="21" t="n">
        <v>1728</v>
      </c>
      <c r="B1693" s="21" t="inlineStr">
        <is>
          <t>Boat Trip</t>
        </is>
      </c>
      <c r="C1693" s="21" t="n">
        <v>2002</v>
      </c>
      <c r="D1693" s="21" t="inlineStr">
        <is>
          <t>USA</t>
        </is>
      </c>
      <c r="E1693" s="21" t="n">
        <v>97</v>
      </c>
      <c r="F1693" s="21" t="inlineStr">
        <is>
          <t>English</t>
        </is>
      </c>
      <c r="G1693" s="21" t="inlineStr">
        <is>
          <t>R</t>
        </is>
      </c>
      <c r="H1693" s="22" t="n">
        <v>8586376</v>
      </c>
      <c r="I1693" s="22" t="n">
        <v>20000000</v>
      </c>
      <c r="J1693" s="21">
        <f>IF(OR(H1693="",H1693=25529689.5),"Yes","No")</f>
        <v/>
      </c>
      <c r="K1693" s="21">
        <f>IF(AND(D1693="USA",C1693&gt;=1980,J1693="No"),"Yes","No")</f>
        <v/>
      </c>
      <c r="L1693" s="26">
        <f>IF(J1693="Yes","",H1693-I1693)</f>
        <v/>
      </c>
      <c r="M1693" s="27">
        <f>IF(OR(J1693="Yes",I1693=0),"",H1693/I1693)</f>
        <v/>
      </c>
      <c r="N1693" s="21">
        <f>IF(J1693="Yes","",IF(H1693&gt;=I1693,1,0))</f>
        <v/>
      </c>
      <c r="O1693" s="21">
        <f>IF(I1693&lt;=5000000,"Under $5M",IF(I1693&lt;=20000000,"$5M-20M",IF(I1693&lt;=50000000,"$20M-50M",IF(I1693&lt;=100000000,"$50M-100M","$100M+"))))</f>
        <v/>
      </c>
      <c r="P1693" s="21">
        <f>IF(E1693&lt;=90,"90 or less",IF(E1693&lt;=105,"91-105",IF(E1693&lt;=120,"106-120",IF(E1693&lt;=140,"121-140","Over 140"))))</f>
        <v/>
      </c>
      <c r="Q1693" s="28">
        <f>INT(C1693/10)*10</f>
        <v/>
      </c>
    </row>
    <row r="1694">
      <c r="A1694" s="21" t="n">
        <v>1729</v>
      </c>
      <c r="B1694" s="21" t="inlineStr">
        <is>
          <t>Bowling for Columbine</t>
        </is>
      </c>
      <c r="C1694" s="21" t="n">
        <v>2002</v>
      </c>
      <c r="D1694" s="21" t="inlineStr">
        <is>
          <t>Germany</t>
        </is>
      </c>
      <c r="E1694" s="21" t="n">
        <v>120</v>
      </c>
      <c r="F1694" s="21" t="inlineStr">
        <is>
          <t>English</t>
        </is>
      </c>
      <c r="G1694" s="21" t="inlineStr">
        <is>
          <t>R</t>
        </is>
      </c>
      <c r="H1694" s="22" t="n">
        <v>21244913</v>
      </c>
      <c r="I1694" s="22" t="n">
        <v>4000000</v>
      </c>
      <c r="J1694" s="21">
        <f>IF(OR(H1694="",H1694=25529689.5),"Yes","No")</f>
        <v/>
      </c>
      <c r="K1694" s="21">
        <f>IF(AND(D1694="USA",C1694&gt;=1980,J1694="No"),"Yes","No")</f>
        <v/>
      </c>
      <c r="L1694" s="26">
        <f>IF(J1694="Yes","",H1694-I1694)</f>
        <v/>
      </c>
      <c r="M1694" s="27">
        <f>IF(OR(J1694="Yes",I1694=0),"",H1694/I1694)</f>
        <v/>
      </c>
      <c r="N1694" s="21">
        <f>IF(J1694="Yes","",IF(H1694&gt;=I1694,1,0))</f>
        <v/>
      </c>
      <c r="O1694" s="21">
        <f>IF(I1694&lt;=5000000,"Under $5M",IF(I1694&lt;=20000000,"$5M-20M",IF(I1694&lt;=50000000,"$20M-50M",IF(I1694&lt;=100000000,"$50M-100M","$100M+"))))</f>
        <v/>
      </c>
      <c r="P1694" s="21">
        <f>IF(E1694&lt;=90,"90 or less",IF(E1694&lt;=105,"91-105",IF(E1694&lt;=120,"106-120",IF(E1694&lt;=140,"121-140","Over 140"))))</f>
        <v/>
      </c>
      <c r="Q1694" s="28">
        <f>INT(C1694/10)*10</f>
        <v/>
      </c>
    </row>
    <row r="1695">
      <c r="A1695" s="21" t="n">
        <v>1730</v>
      </c>
      <c r="B1695" s="21" t="inlineStr">
        <is>
          <t>Brown Sugar</t>
        </is>
      </c>
      <c r="C1695" s="21" t="n">
        <v>2002</v>
      </c>
      <c r="D1695" s="21" t="inlineStr">
        <is>
          <t>USA</t>
        </is>
      </c>
      <c r="E1695" s="21" t="n">
        <v>109</v>
      </c>
      <c r="F1695" s="21" t="inlineStr">
        <is>
          <t>English</t>
        </is>
      </c>
      <c r="G1695" s="21" t="inlineStr">
        <is>
          <t>PG-13</t>
        </is>
      </c>
      <c r="H1695" s="22" t="n">
        <v>27362712</v>
      </c>
      <c r="I1695" s="22" t="n">
        <v>8000000</v>
      </c>
      <c r="J1695" s="21">
        <f>IF(OR(H1695="",H1695=25529689.5),"Yes","No")</f>
        <v/>
      </c>
      <c r="K1695" s="21">
        <f>IF(AND(D1695="USA",C1695&gt;=1980,J1695="No"),"Yes","No")</f>
        <v/>
      </c>
      <c r="L1695" s="26">
        <f>IF(J1695="Yes","",H1695-I1695)</f>
        <v/>
      </c>
      <c r="M1695" s="27">
        <f>IF(OR(J1695="Yes",I1695=0),"",H1695/I1695)</f>
        <v/>
      </c>
      <c r="N1695" s="21">
        <f>IF(J1695="Yes","",IF(H1695&gt;=I1695,1,0))</f>
        <v/>
      </c>
      <c r="O1695" s="21">
        <f>IF(I1695&lt;=5000000,"Under $5M",IF(I1695&lt;=20000000,"$5M-20M",IF(I1695&lt;=50000000,"$20M-50M",IF(I1695&lt;=100000000,"$50M-100M","$100M+"))))</f>
        <v/>
      </c>
      <c r="P1695" s="21">
        <f>IF(E1695&lt;=90,"90 or less",IF(E1695&lt;=105,"91-105",IF(E1695&lt;=120,"106-120",IF(E1695&lt;=140,"121-140","Over 140"))))</f>
        <v/>
      </c>
      <c r="Q1695" s="28">
        <f>INT(C1695/10)*10</f>
        <v/>
      </c>
    </row>
    <row r="1696">
      <c r="A1696" s="21" t="n">
        <v>1731</v>
      </c>
      <c r="B1696" s="21" t="inlineStr">
        <is>
          <t>Bubba Ho-Tep</t>
        </is>
      </c>
      <c r="C1696" s="21" t="n">
        <v>2002</v>
      </c>
      <c r="D1696" s="21" t="inlineStr">
        <is>
          <t>USA</t>
        </is>
      </c>
      <c r="E1696" s="21" t="n">
        <v>92</v>
      </c>
      <c r="F1696" s="21" t="inlineStr">
        <is>
          <t>English</t>
        </is>
      </c>
      <c r="G1696" s="21" t="inlineStr">
        <is>
          <t>R</t>
        </is>
      </c>
      <c r="H1696" s="22" t="n">
        <v>25529689.5</v>
      </c>
      <c r="I1696" s="22" t="n">
        <v>1000000</v>
      </c>
      <c r="J1696" s="21">
        <f>IF(OR(H1696="",H1696=25529689.5),"Yes","No")</f>
        <v/>
      </c>
      <c r="K1696" s="21">
        <f>IF(AND(D1696="USA",C1696&gt;=1980,J1696="No"),"Yes","No")</f>
        <v/>
      </c>
      <c r="L1696" s="26">
        <f>IF(J1696="Yes","",H1696-I1696)</f>
        <v/>
      </c>
      <c r="M1696" s="27">
        <f>IF(OR(J1696="Yes",I1696=0),"",H1696/I1696)</f>
        <v/>
      </c>
      <c r="N1696" s="21">
        <f>IF(J1696="Yes","",IF(H1696&gt;=I1696,1,0))</f>
        <v/>
      </c>
      <c r="O1696" s="21">
        <f>IF(I1696&lt;=5000000,"Under $5M",IF(I1696&lt;=20000000,"$5M-20M",IF(I1696&lt;=50000000,"$20M-50M",IF(I1696&lt;=100000000,"$50M-100M","$100M+"))))</f>
        <v/>
      </c>
      <c r="P1696" s="21">
        <f>IF(E1696&lt;=90,"90 or less",IF(E1696&lt;=105,"91-105",IF(E1696&lt;=120,"106-120",IF(E1696&lt;=140,"121-140","Over 140"))))</f>
        <v/>
      </c>
      <c r="Q1696" s="28">
        <f>INT(C1696/10)*10</f>
        <v/>
      </c>
    </row>
    <row r="1697">
      <c r="A1697" s="21" t="n">
        <v>1732</v>
      </c>
      <c r="B1697" s="21" t="inlineStr">
        <is>
          <t>Catch Me If You Can</t>
        </is>
      </c>
      <c r="C1697" s="21" t="n">
        <v>2002</v>
      </c>
      <c r="D1697" s="21" t="inlineStr">
        <is>
          <t>USA</t>
        </is>
      </c>
      <c r="E1697" s="21" t="n">
        <v>141</v>
      </c>
      <c r="F1697" s="21" t="inlineStr">
        <is>
          <t>English</t>
        </is>
      </c>
      <c r="G1697" s="21" t="inlineStr">
        <is>
          <t>PG-13</t>
        </is>
      </c>
      <c r="H1697" s="22" t="n">
        <v>164435221</v>
      </c>
      <c r="I1697" s="22" t="n">
        <v>52000000</v>
      </c>
      <c r="J1697" s="21">
        <f>IF(OR(H1697="",H1697=25529689.5),"Yes","No")</f>
        <v/>
      </c>
      <c r="K1697" s="21">
        <f>IF(AND(D1697="USA",C1697&gt;=1980,J1697="No"),"Yes","No")</f>
        <v/>
      </c>
      <c r="L1697" s="26">
        <f>IF(J1697="Yes","",H1697-I1697)</f>
        <v/>
      </c>
      <c r="M1697" s="27">
        <f>IF(OR(J1697="Yes",I1697=0),"",H1697/I1697)</f>
        <v/>
      </c>
      <c r="N1697" s="21">
        <f>IF(J1697="Yes","",IF(H1697&gt;=I1697,1,0))</f>
        <v/>
      </c>
      <c r="O1697" s="21">
        <f>IF(I1697&lt;=5000000,"Under $5M",IF(I1697&lt;=20000000,"$5M-20M",IF(I1697&lt;=50000000,"$20M-50M",IF(I1697&lt;=100000000,"$50M-100M","$100M+"))))</f>
        <v/>
      </c>
      <c r="P1697" s="21">
        <f>IF(E1697&lt;=90,"90 or less",IF(E1697&lt;=105,"91-105",IF(E1697&lt;=120,"106-120",IF(E1697&lt;=140,"121-140","Over 140"))))</f>
        <v/>
      </c>
      <c r="Q1697" s="28">
        <f>INT(C1697/10)*10</f>
        <v/>
      </c>
    </row>
    <row r="1698">
      <c r="A1698" s="21" t="n">
        <v>1733</v>
      </c>
      <c r="B1698" s="21" t="inlineStr">
        <is>
          <t>Changing Lanes</t>
        </is>
      </c>
      <c r="C1698" s="21" t="n">
        <v>2002</v>
      </c>
      <c r="D1698" s="21" t="inlineStr">
        <is>
          <t>USA</t>
        </is>
      </c>
      <c r="E1698" s="21" t="n">
        <v>91</v>
      </c>
      <c r="F1698" s="21" t="inlineStr">
        <is>
          <t>English</t>
        </is>
      </c>
      <c r="G1698" s="21" t="inlineStr">
        <is>
          <t>R</t>
        </is>
      </c>
      <c r="H1698" s="22" t="n">
        <v>66790248</v>
      </c>
      <c r="I1698" s="22" t="n">
        <v>45000000</v>
      </c>
      <c r="J1698" s="21">
        <f>IF(OR(H1698="",H1698=25529689.5),"Yes","No")</f>
        <v/>
      </c>
      <c r="K1698" s="21">
        <f>IF(AND(D1698="USA",C1698&gt;=1980,J1698="No"),"Yes","No")</f>
        <v/>
      </c>
      <c r="L1698" s="26">
        <f>IF(J1698="Yes","",H1698-I1698)</f>
        <v/>
      </c>
      <c r="M1698" s="27">
        <f>IF(OR(J1698="Yes",I1698=0),"",H1698/I1698)</f>
        <v/>
      </c>
      <c r="N1698" s="21">
        <f>IF(J1698="Yes","",IF(H1698&gt;=I1698,1,0))</f>
        <v/>
      </c>
      <c r="O1698" s="21">
        <f>IF(I1698&lt;=5000000,"Under $5M",IF(I1698&lt;=20000000,"$5M-20M",IF(I1698&lt;=50000000,"$20M-50M",IF(I1698&lt;=100000000,"$50M-100M","$100M+"))))</f>
        <v/>
      </c>
      <c r="P1698" s="21">
        <f>IF(E1698&lt;=90,"90 or less",IF(E1698&lt;=105,"91-105",IF(E1698&lt;=120,"106-120",IF(E1698&lt;=140,"121-140","Over 140"))))</f>
        <v/>
      </c>
      <c r="Q1698" s="28">
        <f>INT(C1698/10)*10</f>
        <v/>
      </c>
    </row>
    <row r="1699">
      <c r="A1699" s="21" t="n">
        <v>1734</v>
      </c>
      <c r="B1699" s="21" t="inlineStr">
        <is>
          <t>Chicago</t>
        </is>
      </c>
      <c r="C1699" s="21" t="n">
        <v>2002</v>
      </c>
      <c r="D1699" s="21" t="inlineStr">
        <is>
          <t>USA</t>
        </is>
      </c>
      <c r="E1699" s="21" t="n">
        <v>113</v>
      </c>
      <c r="F1699" s="21" t="inlineStr">
        <is>
          <t>English</t>
        </is>
      </c>
      <c r="G1699" s="21" t="inlineStr">
        <is>
          <t>PG-13</t>
        </is>
      </c>
      <c r="H1699" s="22" t="n">
        <v>170684505</v>
      </c>
      <c r="I1699" s="22" t="n">
        <v>45000000</v>
      </c>
      <c r="J1699" s="21">
        <f>IF(OR(H1699="",H1699=25529689.5),"Yes","No")</f>
        <v/>
      </c>
      <c r="K1699" s="21">
        <f>IF(AND(D1699="USA",C1699&gt;=1980,J1699="No"),"Yes","No")</f>
        <v/>
      </c>
      <c r="L1699" s="26">
        <f>IF(J1699="Yes","",H1699-I1699)</f>
        <v/>
      </c>
      <c r="M1699" s="27">
        <f>IF(OR(J1699="Yes",I1699=0),"",H1699/I1699)</f>
        <v/>
      </c>
      <c r="N1699" s="21">
        <f>IF(J1699="Yes","",IF(H1699&gt;=I1699,1,0))</f>
        <v/>
      </c>
      <c r="O1699" s="21">
        <f>IF(I1699&lt;=5000000,"Under $5M",IF(I1699&lt;=20000000,"$5M-20M",IF(I1699&lt;=50000000,"$20M-50M",IF(I1699&lt;=100000000,"$50M-100M","$100M+"))))</f>
        <v/>
      </c>
      <c r="P1699" s="21">
        <f>IF(E1699&lt;=90,"90 or less",IF(E1699&lt;=105,"91-105",IF(E1699&lt;=120,"106-120",IF(E1699&lt;=140,"121-140","Over 140"))))</f>
        <v/>
      </c>
      <c r="Q1699" s="28">
        <f>INT(C1699/10)*10</f>
        <v/>
      </c>
    </row>
    <row r="1700">
      <c r="A1700" s="21" t="n">
        <v>1735</v>
      </c>
      <c r="B1700" s="21" t="inlineStr">
        <is>
          <t>City by the Sea</t>
        </is>
      </c>
      <c r="C1700" s="21" t="n">
        <v>2002</v>
      </c>
      <c r="D1700" s="21" t="inlineStr">
        <is>
          <t>USA</t>
        </is>
      </c>
      <c r="E1700" s="21" t="n">
        <v>108</v>
      </c>
      <c r="F1700" s="21" t="inlineStr">
        <is>
          <t>English</t>
        </is>
      </c>
      <c r="G1700" s="21" t="inlineStr">
        <is>
          <t>R</t>
        </is>
      </c>
      <c r="H1700" s="22" t="n">
        <v>22433915</v>
      </c>
      <c r="I1700" s="22" t="n">
        <v>60000000</v>
      </c>
      <c r="J1700" s="21">
        <f>IF(OR(H1700="",H1700=25529689.5),"Yes","No")</f>
        <v/>
      </c>
      <c r="K1700" s="21">
        <f>IF(AND(D1700="USA",C1700&gt;=1980,J1700="No"),"Yes","No")</f>
        <v/>
      </c>
      <c r="L1700" s="26">
        <f>IF(J1700="Yes","",H1700-I1700)</f>
        <v/>
      </c>
      <c r="M1700" s="27">
        <f>IF(OR(J1700="Yes",I1700=0),"",H1700/I1700)</f>
        <v/>
      </c>
      <c r="N1700" s="21">
        <f>IF(J1700="Yes","",IF(H1700&gt;=I1700,1,0))</f>
        <v/>
      </c>
      <c r="O1700" s="21">
        <f>IF(I1700&lt;=5000000,"Under $5M",IF(I1700&lt;=20000000,"$5M-20M",IF(I1700&lt;=50000000,"$20M-50M",IF(I1700&lt;=100000000,"$50M-100M","$100M+"))))</f>
        <v/>
      </c>
      <c r="P1700" s="21">
        <f>IF(E1700&lt;=90,"90 or less",IF(E1700&lt;=105,"91-105",IF(E1700&lt;=120,"106-120",IF(E1700&lt;=140,"121-140","Over 140"))))</f>
        <v/>
      </c>
      <c r="Q1700" s="28">
        <f>INT(C1700/10)*10</f>
        <v/>
      </c>
    </row>
    <row r="1701">
      <c r="A1701" s="21" t="n">
        <v>1736</v>
      </c>
      <c r="B1701" s="21" t="inlineStr">
        <is>
          <t>City of Ghosts</t>
        </is>
      </c>
      <c r="C1701" s="21" t="n">
        <v>2002</v>
      </c>
      <c r="D1701" s="21" t="inlineStr">
        <is>
          <t>USA</t>
        </is>
      </c>
      <c r="E1701" s="21" t="n">
        <v>116</v>
      </c>
      <c r="F1701" s="21" t="inlineStr">
        <is>
          <t>English</t>
        </is>
      </c>
      <c r="G1701" s="21" t="inlineStr">
        <is>
          <t>R</t>
        </is>
      </c>
      <c r="H1701" s="22" t="n">
        <v>325491</v>
      </c>
      <c r="I1701" s="22" t="n">
        <v>17500000</v>
      </c>
      <c r="J1701" s="21">
        <f>IF(OR(H1701="",H1701=25529689.5),"Yes","No")</f>
        <v/>
      </c>
      <c r="K1701" s="21">
        <f>IF(AND(D1701="USA",C1701&gt;=1980,J1701="No"),"Yes","No")</f>
        <v/>
      </c>
      <c r="L1701" s="26">
        <f>IF(J1701="Yes","",H1701-I1701)</f>
        <v/>
      </c>
      <c r="M1701" s="27">
        <f>IF(OR(J1701="Yes",I1701=0),"",H1701/I1701)</f>
        <v/>
      </c>
      <c r="N1701" s="21">
        <f>IF(J1701="Yes","",IF(H1701&gt;=I1701,1,0))</f>
        <v/>
      </c>
      <c r="O1701" s="21">
        <f>IF(I1701&lt;=5000000,"Under $5M",IF(I1701&lt;=20000000,"$5M-20M",IF(I1701&lt;=50000000,"$20M-50M",IF(I1701&lt;=100000000,"$50M-100M","$100M+"))))</f>
        <v/>
      </c>
      <c r="P1701" s="21">
        <f>IF(E1701&lt;=90,"90 or less",IF(E1701&lt;=105,"91-105",IF(E1701&lt;=120,"106-120",IF(E1701&lt;=140,"121-140","Over 140"))))</f>
        <v/>
      </c>
      <c r="Q1701" s="28">
        <f>INT(C1701/10)*10</f>
        <v/>
      </c>
    </row>
    <row r="1702">
      <c r="A1702" s="21" t="n">
        <v>1737</v>
      </c>
      <c r="B1702" s="21" t="inlineStr">
        <is>
          <t>City of God</t>
        </is>
      </c>
      <c r="C1702" s="21" t="n">
        <v>2002</v>
      </c>
      <c r="D1702" s="21" t="inlineStr">
        <is>
          <t>Brazil</t>
        </is>
      </c>
      <c r="E1702" s="21" t="n">
        <v>135</v>
      </c>
      <c r="F1702" s="21" t="inlineStr">
        <is>
          <t>Portuguese</t>
        </is>
      </c>
      <c r="G1702" s="21" t="inlineStr">
        <is>
          <t>R</t>
        </is>
      </c>
      <c r="H1702" s="22" t="n">
        <v>7563397</v>
      </c>
      <c r="I1702" s="22" t="n">
        <v>3300000</v>
      </c>
      <c r="J1702" s="21">
        <f>IF(OR(H1702="",H1702=25529689.5),"Yes","No")</f>
        <v/>
      </c>
      <c r="K1702" s="21">
        <f>IF(AND(D1702="USA",C1702&gt;=1980,J1702="No"),"Yes","No")</f>
        <v/>
      </c>
      <c r="L1702" s="26">
        <f>IF(J1702="Yes","",H1702-I1702)</f>
        <v/>
      </c>
      <c r="M1702" s="27">
        <f>IF(OR(J1702="Yes",I1702=0),"",H1702/I1702)</f>
        <v/>
      </c>
      <c r="N1702" s="21">
        <f>IF(J1702="Yes","",IF(H1702&gt;=I1702,1,0))</f>
        <v/>
      </c>
      <c r="O1702" s="21">
        <f>IF(I1702&lt;=5000000,"Under $5M",IF(I1702&lt;=20000000,"$5M-20M",IF(I1702&lt;=50000000,"$20M-50M",IF(I1702&lt;=100000000,"$50M-100M","$100M+"))))</f>
        <v/>
      </c>
      <c r="P1702" s="21">
        <f>IF(E1702&lt;=90,"90 or less",IF(E1702&lt;=105,"91-105",IF(E1702&lt;=120,"106-120",IF(E1702&lt;=140,"121-140","Over 140"))))</f>
        <v/>
      </c>
      <c r="Q1702" s="28">
        <f>INT(C1702/10)*10</f>
        <v/>
      </c>
    </row>
    <row r="1703">
      <c r="A1703" s="21" t="n">
        <v>1738</v>
      </c>
      <c r="B1703" s="21" t="inlineStr">
        <is>
          <t>Civil Brand</t>
        </is>
      </c>
      <c r="C1703" s="21" t="n">
        <v>2002</v>
      </c>
      <c r="D1703" s="21" t="inlineStr">
        <is>
          <t>USA</t>
        </is>
      </c>
      <c r="E1703" s="21" t="n">
        <v>91</v>
      </c>
      <c r="F1703" s="21" t="inlineStr">
        <is>
          <t>English</t>
        </is>
      </c>
      <c r="G1703" s="21" t="inlineStr">
        <is>
          <t>R</t>
        </is>
      </c>
      <c r="H1703" s="22" t="n">
        <v>243347</v>
      </c>
      <c r="I1703" s="22" t="n">
        <v>500000</v>
      </c>
      <c r="J1703" s="21">
        <f>IF(OR(H1703="",H1703=25529689.5),"Yes","No")</f>
        <v/>
      </c>
      <c r="K1703" s="21">
        <f>IF(AND(D1703="USA",C1703&gt;=1980,J1703="No"),"Yes","No")</f>
        <v/>
      </c>
      <c r="L1703" s="26">
        <f>IF(J1703="Yes","",H1703-I1703)</f>
        <v/>
      </c>
      <c r="M1703" s="27">
        <f>IF(OR(J1703="Yes",I1703=0),"",H1703/I1703)</f>
        <v/>
      </c>
      <c r="N1703" s="21">
        <f>IF(J1703="Yes","",IF(H1703&gt;=I1703,1,0))</f>
        <v/>
      </c>
      <c r="O1703" s="21">
        <f>IF(I1703&lt;=5000000,"Under $5M",IF(I1703&lt;=20000000,"$5M-20M",IF(I1703&lt;=50000000,"$20M-50M",IF(I1703&lt;=100000000,"$50M-100M","$100M+"))))</f>
        <v/>
      </c>
      <c r="P1703" s="21">
        <f>IF(E1703&lt;=90,"90 or less",IF(E1703&lt;=105,"91-105",IF(E1703&lt;=120,"106-120",IF(E1703&lt;=140,"121-140","Over 140"))))</f>
        <v/>
      </c>
      <c r="Q1703" s="28">
        <f>INT(C1703/10)*10</f>
        <v/>
      </c>
    </row>
    <row r="1704">
      <c r="A1704" s="21" t="n">
        <v>1739</v>
      </c>
      <c r="B1704" s="21" t="inlineStr">
        <is>
          <t>Clockstoppers</t>
        </is>
      </c>
      <c r="C1704" s="21" t="n">
        <v>2002</v>
      </c>
      <c r="D1704" s="21" t="inlineStr">
        <is>
          <t>USA</t>
        </is>
      </c>
      <c r="E1704" s="21" t="n">
        <v>94</v>
      </c>
      <c r="F1704" s="21" t="inlineStr">
        <is>
          <t>English</t>
        </is>
      </c>
      <c r="G1704" s="21" t="inlineStr">
        <is>
          <t>PG</t>
        </is>
      </c>
      <c r="H1704" s="22" t="n">
        <v>36985501</v>
      </c>
      <c r="I1704" s="22" t="n">
        <v>26000000</v>
      </c>
      <c r="J1704" s="21">
        <f>IF(OR(H1704="",H1704=25529689.5),"Yes","No")</f>
        <v/>
      </c>
      <c r="K1704" s="21">
        <f>IF(AND(D1704="USA",C1704&gt;=1980,J1704="No"),"Yes","No")</f>
        <v/>
      </c>
      <c r="L1704" s="26">
        <f>IF(J1704="Yes","",H1704-I1704)</f>
        <v/>
      </c>
      <c r="M1704" s="27">
        <f>IF(OR(J1704="Yes",I1704=0),"",H1704/I1704)</f>
        <v/>
      </c>
      <c r="N1704" s="21">
        <f>IF(J1704="Yes","",IF(H1704&gt;=I1704,1,0))</f>
        <v/>
      </c>
      <c r="O1704" s="21">
        <f>IF(I1704&lt;=5000000,"Under $5M",IF(I1704&lt;=20000000,"$5M-20M",IF(I1704&lt;=50000000,"$20M-50M",IF(I1704&lt;=100000000,"$50M-100M","$100M+"))))</f>
        <v/>
      </c>
      <c r="P1704" s="21">
        <f>IF(E1704&lt;=90,"90 or less",IF(E1704&lt;=105,"91-105",IF(E1704&lt;=120,"106-120",IF(E1704&lt;=140,"121-140","Over 140"))))</f>
        <v/>
      </c>
      <c r="Q1704" s="28">
        <f>INT(C1704/10)*10</f>
        <v/>
      </c>
    </row>
    <row r="1705">
      <c r="A1705" s="21" t="n">
        <v>1740</v>
      </c>
      <c r="B1705" s="21" t="inlineStr">
        <is>
          <t>Collateral Damage</t>
        </is>
      </c>
      <c r="C1705" s="21" t="n">
        <v>2002</v>
      </c>
      <c r="D1705" s="21" t="inlineStr">
        <is>
          <t>USA</t>
        </is>
      </c>
      <c r="E1705" s="21" t="n">
        <v>108</v>
      </c>
      <c r="F1705" s="21" t="inlineStr">
        <is>
          <t>English</t>
        </is>
      </c>
      <c r="G1705" s="21" t="inlineStr">
        <is>
          <t>R</t>
        </is>
      </c>
      <c r="H1705" s="22" t="n">
        <v>40048332</v>
      </c>
      <c r="I1705" s="22" t="n">
        <v>85000000</v>
      </c>
      <c r="J1705" s="21">
        <f>IF(OR(H1705="",H1705=25529689.5),"Yes","No")</f>
        <v/>
      </c>
      <c r="K1705" s="21">
        <f>IF(AND(D1705="USA",C1705&gt;=1980,J1705="No"),"Yes","No")</f>
        <v/>
      </c>
      <c r="L1705" s="26">
        <f>IF(J1705="Yes","",H1705-I1705)</f>
        <v/>
      </c>
      <c r="M1705" s="27">
        <f>IF(OR(J1705="Yes",I1705=0),"",H1705/I1705)</f>
        <v/>
      </c>
      <c r="N1705" s="21">
        <f>IF(J1705="Yes","",IF(H1705&gt;=I1705,1,0))</f>
        <v/>
      </c>
      <c r="O1705" s="21">
        <f>IF(I1705&lt;=5000000,"Under $5M",IF(I1705&lt;=20000000,"$5M-20M",IF(I1705&lt;=50000000,"$20M-50M",IF(I1705&lt;=100000000,"$50M-100M","$100M+"))))</f>
        <v/>
      </c>
      <c r="P1705" s="21">
        <f>IF(E1705&lt;=90,"90 or less",IF(E1705&lt;=105,"91-105",IF(E1705&lt;=120,"106-120",IF(E1705&lt;=140,"121-140","Over 140"))))</f>
        <v/>
      </c>
      <c r="Q1705" s="28">
        <f>INT(C1705/10)*10</f>
        <v/>
      </c>
    </row>
    <row r="1706">
      <c r="A1706" s="21" t="n">
        <v>1741</v>
      </c>
      <c r="B1706" s="21" t="inlineStr">
        <is>
          <t>Confessions of a Dangerous Mind</t>
        </is>
      </c>
      <c r="C1706" s="21" t="n">
        <v>2002</v>
      </c>
      <c r="D1706" s="21" t="inlineStr">
        <is>
          <t>USA</t>
        </is>
      </c>
      <c r="E1706" s="21" t="n">
        <v>113</v>
      </c>
      <c r="F1706" s="21" t="inlineStr">
        <is>
          <t>English</t>
        </is>
      </c>
      <c r="G1706" s="21" t="inlineStr">
        <is>
          <t>R</t>
        </is>
      </c>
      <c r="H1706" s="22" t="n">
        <v>25529689.5</v>
      </c>
      <c r="I1706" s="22" t="n">
        <v>29000000</v>
      </c>
      <c r="J1706" s="21">
        <f>IF(OR(H1706="",H1706=25529689.5),"Yes","No")</f>
        <v/>
      </c>
      <c r="K1706" s="21">
        <f>IF(AND(D1706="USA",C1706&gt;=1980,J1706="No"),"Yes","No")</f>
        <v/>
      </c>
      <c r="L1706" s="26">
        <f>IF(J1706="Yes","",H1706-I1706)</f>
        <v/>
      </c>
      <c r="M1706" s="27">
        <f>IF(OR(J1706="Yes",I1706=0),"",H1706/I1706)</f>
        <v/>
      </c>
      <c r="N1706" s="21">
        <f>IF(J1706="Yes","",IF(H1706&gt;=I1706,1,0))</f>
        <v/>
      </c>
      <c r="O1706" s="21">
        <f>IF(I1706&lt;=5000000,"Under $5M",IF(I1706&lt;=20000000,"$5M-20M",IF(I1706&lt;=50000000,"$20M-50M",IF(I1706&lt;=100000000,"$50M-100M","$100M+"))))</f>
        <v/>
      </c>
      <c r="P1706" s="21">
        <f>IF(E1706&lt;=90,"90 or less",IF(E1706&lt;=105,"91-105",IF(E1706&lt;=120,"106-120",IF(E1706&lt;=140,"121-140","Over 140"))))</f>
        <v/>
      </c>
      <c r="Q1706" s="28">
        <f>INT(C1706/10)*10</f>
        <v/>
      </c>
    </row>
    <row r="1707">
      <c r="A1707" s="21" t="n">
        <v>1742</v>
      </c>
      <c r="B1707" s="21" t="inlineStr">
        <is>
          <t>Crop Circles: Quest for Truth</t>
        </is>
      </c>
      <c r="C1707" s="21" t="n">
        <v>2002</v>
      </c>
      <c r="D1707" s="21" t="inlineStr">
        <is>
          <t>USA</t>
        </is>
      </c>
      <c r="E1707" s="21" t="n">
        <v>115</v>
      </c>
      <c r="F1707" s="21" t="inlineStr">
        <is>
          <t>English</t>
        </is>
      </c>
      <c r="G1707" s="21" t="n"/>
      <c r="H1707" s="22" t="n">
        <v>25529689.5</v>
      </c>
      <c r="I1707" s="22" t="n">
        <v>750000</v>
      </c>
      <c r="J1707" s="21">
        <f>IF(OR(H1707="",H1707=25529689.5),"Yes","No")</f>
        <v/>
      </c>
      <c r="K1707" s="21">
        <f>IF(AND(D1707="USA",C1707&gt;=1980,J1707="No"),"Yes","No")</f>
        <v/>
      </c>
      <c r="L1707" s="26">
        <f>IF(J1707="Yes","",H1707-I1707)</f>
        <v/>
      </c>
      <c r="M1707" s="27">
        <f>IF(OR(J1707="Yes",I1707=0),"",H1707/I1707)</f>
        <v/>
      </c>
      <c r="N1707" s="21">
        <f>IF(J1707="Yes","",IF(H1707&gt;=I1707,1,0))</f>
        <v/>
      </c>
      <c r="O1707" s="21">
        <f>IF(I1707&lt;=5000000,"Under $5M",IF(I1707&lt;=20000000,"$5M-20M",IF(I1707&lt;=50000000,"$20M-50M",IF(I1707&lt;=100000000,"$50M-100M","$100M+"))))</f>
        <v/>
      </c>
      <c r="P1707" s="21">
        <f>IF(E1707&lt;=90,"90 or less",IF(E1707&lt;=105,"91-105",IF(E1707&lt;=120,"106-120",IF(E1707&lt;=140,"121-140","Over 140"))))</f>
        <v/>
      </c>
      <c r="Q1707" s="28">
        <f>INT(C1707/10)*10</f>
        <v/>
      </c>
    </row>
    <row r="1708">
      <c r="A1708" s="21" t="n">
        <v>1743</v>
      </c>
      <c r="B1708" s="21" t="inlineStr">
        <is>
          <t>Crossroads</t>
        </is>
      </c>
      <c r="C1708" s="21" t="n">
        <v>2002</v>
      </c>
      <c r="D1708" s="21" t="inlineStr">
        <is>
          <t>USA</t>
        </is>
      </c>
      <c r="E1708" s="21" t="n">
        <v>93</v>
      </c>
      <c r="F1708" s="21" t="inlineStr">
        <is>
          <t>English</t>
        </is>
      </c>
      <c r="G1708" s="21" t="inlineStr">
        <is>
          <t>PG-13</t>
        </is>
      </c>
      <c r="H1708" s="22" t="n">
        <v>37188667</v>
      </c>
      <c r="I1708" s="22" t="n">
        <v>12000000</v>
      </c>
      <c r="J1708" s="21">
        <f>IF(OR(H1708="",H1708=25529689.5),"Yes","No")</f>
        <v/>
      </c>
      <c r="K1708" s="21">
        <f>IF(AND(D1708="USA",C1708&gt;=1980,J1708="No"),"Yes","No")</f>
        <v/>
      </c>
      <c r="L1708" s="26">
        <f>IF(J1708="Yes","",H1708-I1708)</f>
        <v/>
      </c>
      <c r="M1708" s="27">
        <f>IF(OR(J1708="Yes",I1708=0),"",H1708/I1708)</f>
        <v/>
      </c>
      <c r="N1708" s="21">
        <f>IF(J1708="Yes","",IF(H1708&gt;=I1708,1,0))</f>
        <v/>
      </c>
      <c r="O1708" s="21">
        <f>IF(I1708&lt;=5000000,"Under $5M",IF(I1708&lt;=20000000,"$5M-20M",IF(I1708&lt;=50000000,"$20M-50M",IF(I1708&lt;=100000000,"$50M-100M","$100M+"))))</f>
        <v/>
      </c>
      <c r="P1708" s="21">
        <f>IF(E1708&lt;=90,"90 or less",IF(E1708&lt;=105,"91-105",IF(E1708&lt;=120,"106-120",IF(E1708&lt;=140,"121-140","Over 140"))))</f>
        <v/>
      </c>
      <c r="Q1708" s="28">
        <f>INT(C1708/10)*10</f>
        <v/>
      </c>
    </row>
    <row r="1709">
      <c r="A1709" s="21" t="n">
        <v>1745</v>
      </c>
      <c r="B1709" s="21" t="inlineStr">
        <is>
          <t>Cypher</t>
        </is>
      </c>
      <c r="C1709" s="21" t="n">
        <v>2002</v>
      </c>
      <c r="D1709" s="21" t="inlineStr">
        <is>
          <t>USA</t>
        </is>
      </c>
      <c r="E1709" s="21" t="n">
        <v>95</v>
      </c>
      <c r="F1709" s="21" t="inlineStr">
        <is>
          <t>English</t>
        </is>
      </c>
      <c r="G1709" s="21" t="inlineStr">
        <is>
          <t>R</t>
        </is>
      </c>
      <c r="H1709" s="22" t="n">
        <v>25529689.5</v>
      </c>
      <c r="I1709" s="22" t="n">
        <v>7500000</v>
      </c>
      <c r="J1709" s="21">
        <f>IF(OR(H1709="",H1709=25529689.5),"Yes","No")</f>
        <v/>
      </c>
      <c r="K1709" s="21">
        <f>IF(AND(D1709="USA",C1709&gt;=1980,J1709="No"),"Yes","No")</f>
        <v/>
      </c>
      <c r="L1709" s="26">
        <f>IF(J1709="Yes","",H1709-I1709)</f>
        <v/>
      </c>
      <c r="M1709" s="27">
        <f>IF(OR(J1709="Yes",I1709=0),"",H1709/I1709)</f>
        <v/>
      </c>
      <c r="N1709" s="21">
        <f>IF(J1709="Yes","",IF(H1709&gt;=I1709,1,0))</f>
        <v/>
      </c>
      <c r="O1709" s="21">
        <f>IF(I1709&lt;=5000000,"Under $5M",IF(I1709&lt;=20000000,"$5M-20M",IF(I1709&lt;=50000000,"$20M-50M",IF(I1709&lt;=100000000,"$50M-100M","$100M+"))))</f>
        <v/>
      </c>
      <c r="P1709" s="21">
        <f>IF(E1709&lt;=90,"90 or less",IF(E1709&lt;=105,"91-105",IF(E1709&lt;=120,"106-120",IF(E1709&lt;=140,"121-140","Over 140"))))</f>
        <v/>
      </c>
      <c r="Q1709" s="28">
        <f>INT(C1709/10)*10</f>
        <v/>
      </c>
    </row>
    <row r="1710">
      <c r="A1710" s="21" t="n">
        <v>1746</v>
      </c>
      <c r="B1710" s="21" t="inlineStr">
        <is>
          <t>Dark Blue</t>
        </is>
      </c>
      <c r="C1710" s="21" t="n">
        <v>2002</v>
      </c>
      <c r="D1710" s="21" t="inlineStr">
        <is>
          <t>USA</t>
        </is>
      </c>
      <c r="E1710" s="21" t="n">
        <v>118</v>
      </c>
      <c r="F1710" s="21" t="inlineStr">
        <is>
          <t>English</t>
        </is>
      </c>
      <c r="G1710" s="21" t="inlineStr">
        <is>
          <t>R</t>
        </is>
      </c>
      <c r="H1710" s="22" t="n">
        <v>9059588</v>
      </c>
      <c r="I1710" s="22" t="n">
        <v>15000000</v>
      </c>
      <c r="J1710" s="21">
        <f>IF(OR(H1710="",H1710=25529689.5),"Yes","No")</f>
        <v/>
      </c>
      <c r="K1710" s="21">
        <f>IF(AND(D1710="USA",C1710&gt;=1980,J1710="No"),"Yes","No")</f>
        <v/>
      </c>
      <c r="L1710" s="26">
        <f>IF(J1710="Yes","",H1710-I1710)</f>
        <v/>
      </c>
      <c r="M1710" s="27">
        <f>IF(OR(J1710="Yes",I1710=0),"",H1710/I1710)</f>
        <v/>
      </c>
      <c r="N1710" s="21">
        <f>IF(J1710="Yes","",IF(H1710&gt;=I1710,1,0))</f>
        <v/>
      </c>
      <c r="O1710" s="21">
        <f>IF(I1710&lt;=5000000,"Under $5M",IF(I1710&lt;=20000000,"$5M-20M",IF(I1710&lt;=50000000,"$20M-50M",IF(I1710&lt;=100000000,"$50M-100M","$100M+"))))</f>
        <v/>
      </c>
      <c r="P1710" s="21">
        <f>IF(E1710&lt;=90,"90 or less",IF(E1710&lt;=105,"91-105",IF(E1710&lt;=120,"106-120",IF(E1710&lt;=140,"121-140","Over 140"))))</f>
        <v/>
      </c>
      <c r="Q1710" s="28">
        <f>INT(C1710/10)*10</f>
        <v/>
      </c>
    </row>
    <row r="1711">
      <c r="A1711" s="21" t="n">
        <v>1747</v>
      </c>
      <c r="B1711" s="21" t="inlineStr">
        <is>
          <t>Darkness</t>
        </is>
      </c>
      <c r="C1711" s="21" t="n">
        <v>2002</v>
      </c>
      <c r="D1711" s="21" t="inlineStr">
        <is>
          <t>USA</t>
        </is>
      </c>
      <c r="E1711" s="21" t="n">
        <v>103</v>
      </c>
      <c r="F1711" s="21" t="inlineStr">
        <is>
          <t>English</t>
        </is>
      </c>
      <c r="G1711" s="21" t="inlineStr">
        <is>
          <t>PG-13</t>
        </is>
      </c>
      <c r="H1711" s="22" t="n">
        <v>22160085</v>
      </c>
      <c r="I1711" s="22" t="n">
        <v>10600000</v>
      </c>
      <c r="J1711" s="21">
        <f>IF(OR(H1711="",H1711=25529689.5),"Yes","No")</f>
        <v/>
      </c>
      <c r="K1711" s="21">
        <f>IF(AND(D1711="USA",C1711&gt;=1980,J1711="No"),"Yes","No")</f>
        <v/>
      </c>
      <c r="L1711" s="26">
        <f>IF(J1711="Yes","",H1711-I1711)</f>
        <v/>
      </c>
      <c r="M1711" s="27">
        <f>IF(OR(J1711="Yes",I1711=0),"",H1711/I1711)</f>
        <v/>
      </c>
      <c r="N1711" s="21">
        <f>IF(J1711="Yes","",IF(H1711&gt;=I1711,1,0))</f>
        <v/>
      </c>
      <c r="O1711" s="21">
        <f>IF(I1711&lt;=5000000,"Under $5M",IF(I1711&lt;=20000000,"$5M-20M",IF(I1711&lt;=50000000,"$20M-50M",IF(I1711&lt;=100000000,"$50M-100M","$100M+"))))</f>
        <v/>
      </c>
      <c r="P1711" s="21">
        <f>IF(E1711&lt;=90,"90 or less",IF(E1711&lt;=105,"91-105",IF(E1711&lt;=120,"106-120",IF(E1711&lt;=140,"121-140","Over 140"))))</f>
        <v/>
      </c>
      <c r="Q1711" s="28">
        <f>INT(C1711/10)*10</f>
        <v/>
      </c>
    </row>
    <row r="1712">
      <c r="A1712" s="21" t="n">
        <v>1748</v>
      </c>
      <c r="B1712" s="21" t="inlineStr">
        <is>
          <t>Death to Smoochy</t>
        </is>
      </c>
      <c r="C1712" s="21" t="n">
        <v>2002</v>
      </c>
      <c r="D1712" s="21" t="inlineStr">
        <is>
          <t>UK</t>
        </is>
      </c>
      <c r="E1712" s="21" t="n">
        <v>109</v>
      </c>
      <c r="F1712" s="21" t="inlineStr">
        <is>
          <t>English</t>
        </is>
      </c>
      <c r="G1712" s="21" t="inlineStr">
        <is>
          <t>R</t>
        </is>
      </c>
      <c r="H1712" s="22" t="n">
        <v>8355815</v>
      </c>
      <c r="I1712" s="22" t="n">
        <v>55000000</v>
      </c>
      <c r="J1712" s="21">
        <f>IF(OR(H1712="",H1712=25529689.5),"Yes","No")</f>
        <v/>
      </c>
      <c r="K1712" s="21">
        <f>IF(AND(D1712="USA",C1712&gt;=1980,J1712="No"),"Yes","No")</f>
        <v/>
      </c>
      <c r="L1712" s="26">
        <f>IF(J1712="Yes","",H1712-I1712)</f>
        <v/>
      </c>
      <c r="M1712" s="27">
        <f>IF(OR(J1712="Yes",I1712=0),"",H1712/I1712)</f>
        <v/>
      </c>
      <c r="N1712" s="21">
        <f>IF(J1712="Yes","",IF(H1712&gt;=I1712,1,0))</f>
        <v/>
      </c>
      <c r="O1712" s="21">
        <f>IF(I1712&lt;=5000000,"Under $5M",IF(I1712&lt;=20000000,"$5M-20M",IF(I1712&lt;=50000000,"$20M-50M",IF(I1712&lt;=100000000,"$50M-100M","$100M+"))))</f>
        <v/>
      </c>
      <c r="P1712" s="21">
        <f>IF(E1712&lt;=90,"90 or less",IF(E1712&lt;=105,"91-105",IF(E1712&lt;=120,"106-120",IF(E1712&lt;=140,"121-140","Over 140"))))</f>
        <v/>
      </c>
      <c r="Q1712" s="28">
        <f>INT(C1712/10)*10</f>
        <v/>
      </c>
    </row>
    <row r="1713">
      <c r="A1713" s="21" t="n">
        <v>1749</v>
      </c>
      <c r="B1713" s="21" t="inlineStr">
        <is>
          <t>Deuces Wild</t>
        </is>
      </c>
      <c r="C1713" s="21" t="n">
        <v>2002</v>
      </c>
      <c r="D1713" s="21" t="inlineStr">
        <is>
          <t>USA</t>
        </is>
      </c>
      <c r="E1713" s="21" t="n">
        <v>96</v>
      </c>
      <c r="F1713" s="21" t="inlineStr">
        <is>
          <t>English</t>
        </is>
      </c>
      <c r="G1713" s="21" t="inlineStr">
        <is>
          <t>R</t>
        </is>
      </c>
      <c r="H1713" s="22" t="n">
        <v>6044618</v>
      </c>
      <c r="I1713" s="22" t="n">
        <v>10000000</v>
      </c>
      <c r="J1713" s="21">
        <f>IF(OR(H1713="",H1713=25529689.5),"Yes","No")</f>
        <v/>
      </c>
      <c r="K1713" s="21">
        <f>IF(AND(D1713="USA",C1713&gt;=1980,J1713="No"),"Yes","No")</f>
        <v/>
      </c>
      <c r="L1713" s="26">
        <f>IF(J1713="Yes","",H1713-I1713)</f>
        <v/>
      </c>
      <c r="M1713" s="27">
        <f>IF(OR(J1713="Yes",I1713=0),"",H1713/I1713)</f>
        <v/>
      </c>
      <c r="N1713" s="21">
        <f>IF(J1713="Yes","",IF(H1713&gt;=I1713,1,0))</f>
        <v/>
      </c>
      <c r="O1713" s="21">
        <f>IF(I1713&lt;=5000000,"Under $5M",IF(I1713&lt;=20000000,"$5M-20M",IF(I1713&lt;=50000000,"$20M-50M",IF(I1713&lt;=100000000,"$50M-100M","$100M+"))))</f>
        <v/>
      </c>
      <c r="P1713" s="21">
        <f>IF(E1713&lt;=90,"90 or less",IF(E1713&lt;=105,"91-105",IF(E1713&lt;=120,"106-120",IF(E1713&lt;=140,"121-140","Over 140"))))</f>
        <v/>
      </c>
      <c r="Q1713" s="28">
        <f>INT(C1713/10)*10</f>
        <v/>
      </c>
    </row>
    <row r="1714">
      <c r="A1714" s="21" t="n">
        <v>1750</v>
      </c>
      <c r="B1714" s="21" t="inlineStr">
        <is>
          <t>Die Another Day</t>
        </is>
      </c>
      <c r="C1714" s="21" t="n">
        <v>2002</v>
      </c>
      <c r="D1714" s="21" t="inlineStr">
        <is>
          <t>UK</t>
        </is>
      </c>
      <c r="E1714" s="21" t="n">
        <v>133</v>
      </c>
      <c r="F1714" s="21" t="inlineStr">
        <is>
          <t>English</t>
        </is>
      </c>
      <c r="G1714" s="21" t="inlineStr">
        <is>
          <t>PG-13</t>
        </is>
      </c>
      <c r="H1714" s="22" t="n">
        <v>160201106</v>
      </c>
      <c r="I1714" s="22" t="n">
        <v>142000000</v>
      </c>
      <c r="J1714" s="21">
        <f>IF(OR(H1714="",H1714=25529689.5),"Yes","No")</f>
        <v/>
      </c>
      <c r="K1714" s="21">
        <f>IF(AND(D1714="USA",C1714&gt;=1980,J1714="No"),"Yes","No")</f>
        <v/>
      </c>
      <c r="L1714" s="26">
        <f>IF(J1714="Yes","",H1714-I1714)</f>
        <v/>
      </c>
      <c r="M1714" s="27">
        <f>IF(OR(J1714="Yes",I1714=0),"",H1714/I1714)</f>
        <v/>
      </c>
      <c r="N1714" s="21">
        <f>IF(J1714="Yes","",IF(H1714&gt;=I1714,1,0))</f>
        <v/>
      </c>
      <c r="O1714" s="21">
        <f>IF(I1714&lt;=5000000,"Under $5M",IF(I1714&lt;=20000000,"$5M-20M",IF(I1714&lt;=50000000,"$20M-50M",IF(I1714&lt;=100000000,"$50M-100M","$100M+"))))</f>
        <v/>
      </c>
      <c r="P1714" s="21">
        <f>IF(E1714&lt;=90,"90 or less",IF(E1714&lt;=105,"91-105",IF(E1714&lt;=120,"106-120",IF(E1714&lt;=140,"121-140","Over 140"))))</f>
        <v/>
      </c>
      <c r="Q1714" s="28">
        <f>INT(C1714/10)*10</f>
        <v/>
      </c>
    </row>
    <row r="1715">
      <c r="A1715" s="21" t="n">
        <v>1751</v>
      </c>
      <c r="B1715" s="21" t="inlineStr">
        <is>
          <t>Dirty Pretty Things</t>
        </is>
      </c>
      <c r="C1715" s="21" t="n">
        <v>2002</v>
      </c>
      <c r="D1715" s="21" t="inlineStr">
        <is>
          <t>UK</t>
        </is>
      </c>
      <c r="E1715" s="21" t="n">
        <v>97</v>
      </c>
      <c r="F1715" s="21" t="inlineStr">
        <is>
          <t>English</t>
        </is>
      </c>
      <c r="G1715" s="21" t="inlineStr">
        <is>
          <t>R</t>
        </is>
      </c>
      <c r="H1715" s="22" t="n">
        <v>8111360</v>
      </c>
      <c r="I1715" s="22" t="n">
        <v>10000000</v>
      </c>
      <c r="J1715" s="21">
        <f>IF(OR(H1715="",H1715=25529689.5),"Yes","No")</f>
        <v/>
      </c>
      <c r="K1715" s="21">
        <f>IF(AND(D1715="USA",C1715&gt;=1980,J1715="No"),"Yes","No")</f>
        <v/>
      </c>
      <c r="L1715" s="26">
        <f>IF(J1715="Yes","",H1715-I1715)</f>
        <v/>
      </c>
      <c r="M1715" s="27">
        <f>IF(OR(J1715="Yes",I1715=0),"",H1715/I1715)</f>
        <v/>
      </c>
      <c r="N1715" s="21">
        <f>IF(J1715="Yes","",IF(H1715&gt;=I1715,1,0))</f>
        <v/>
      </c>
      <c r="O1715" s="21">
        <f>IF(I1715&lt;=5000000,"Under $5M",IF(I1715&lt;=20000000,"$5M-20M",IF(I1715&lt;=50000000,"$20M-50M",IF(I1715&lt;=100000000,"$50M-100M","$100M+"))))</f>
        <v/>
      </c>
      <c r="P1715" s="21">
        <f>IF(E1715&lt;=90,"90 or less",IF(E1715&lt;=105,"91-105",IF(E1715&lt;=120,"106-120",IF(E1715&lt;=140,"121-140","Over 140"))))</f>
        <v/>
      </c>
      <c r="Q1715" s="28">
        <f>INT(C1715/10)*10</f>
        <v/>
      </c>
    </row>
    <row r="1716">
      <c r="A1716" s="21" t="n">
        <v>1752</v>
      </c>
      <c r="B1716" s="21" t="inlineStr">
        <is>
          <t>Divine Secrets of the Ya-Ya Sisterhood</t>
        </is>
      </c>
      <c r="C1716" s="21" t="n">
        <v>2002</v>
      </c>
      <c r="D1716" s="21" t="inlineStr">
        <is>
          <t>USA</t>
        </is>
      </c>
      <c r="E1716" s="21" t="n">
        <v>116</v>
      </c>
      <c r="F1716" s="21" t="inlineStr">
        <is>
          <t>English</t>
        </is>
      </c>
      <c r="G1716" s="21" t="inlineStr">
        <is>
          <t>PG-13</t>
        </is>
      </c>
      <c r="H1716" s="22" t="n">
        <v>69586544</v>
      </c>
      <c r="I1716" s="22" t="n">
        <v>27000000</v>
      </c>
      <c r="J1716" s="21">
        <f>IF(OR(H1716="",H1716=25529689.5),"Yes","No")</f>
        <v/>
      </c>
      <c r="K1716" s="21">
        <f>IF(AND(D1716="USA",C1716&gt;=1980,J1716="No"),"Yes","No")</f>
        <v/>
      </c>
      <c r="L1716" s="26">
        <f>IF(J1716="Yes","",H1716-I1716)</f>
        <v/>
      </c>
      <c r="M1716" s="27">
        <f>IF(OR(J1716="Yes",I1716=0),"",H1716/I1716)</f>
        <v/>
      </c>
      <c r="N1716" s="21">
        <f>IF(J1716="Yes","",IF(H1716&gt;=I1716,1,0))</f>
        <v/>
      </c>
      <c r="O1716" s="21">
        <f>IF(I1716&lt;=5000000,"Under $5M",IF(I1716&lt;=20000000,"$5M-20M",IF(I1716&lt;=50000000,"$20M-50M",IF(I1716&lt;=100000000,"$50M-100M","$100M+"))))</f>
        <v/>
      </c>
      <c r="P1716" s="21">
        <f>IF(E1716&lt;=90,"90 or less",IF(E1716&lt;=105,"91-105",IF(E1716&lt;=120,"106-120",IF(E1716&lt;=140,"121-140","Over 140"))))</f>
        <v/>
      </c>
      <c r="Q1716" s="28">
        <f>INT(C1716/10)*10</f>
        <v/>
      </c>
    </row>
    <row r="1717">
      <c r="A1717" s="21" t="n">
        <v>1753</v>
      </c>
      <c r="B1717" s="21" t="inlineStr">
        <is>
          <t>Dracula: Pages from a Virgin's Diary</t>
        </is>
      </c>
      <c r="C1717" s="21" t="n">
        <v>2002</v>
      </c>
      <c r="D1717" s="21" t="inlineStr">
        <is>
          <t>Canada</t>
        </is>
      </c>
      <c r="E1717" s="21" t="n">
        <v>73</v>
      </c>
      <c r="F1717" s="21" t="inlineStr">
        <is>
          <t>English</t>
        </is>
      </c>
      <c r="G1717" s="21" t="n"/>
      <c r="H1717" s="22" t="n">
        <v>39659</v>
      </c>
      <c r="I1717" s="22" t="n">
        <v>1600000</v>
      </c>
      <c r="J1717" s="21">
        <f>IF(OR(H1717="",H1717=25529689.5),"Yes","No")</f>
        <v/>
      </c>
      <c r="K1717" s="21">
        <f>IF(AND(D1717="USA",C1717&gt;=1980,J1717="No"),"Yes","No")</f>
        <v/>
      </c>
      <c r="L1717" s="26">
        <f>IF(J1717="Yes","",H1717-I1717)</f>
        <v/>
      </c>
      <c r="M1717" s="27">
        <f>IF(OR(J1717="Yes",I1717=0),"",H1717/I1717)</f>
        <v/>
      </c>
      <c r="N1717" s="21">
        <f>IF(J1717="Yes","",IF(H1717&gt;=I1717,1,0))</f>
        <v/>
      </c>
      <c r="O1717" s="21">
        <f>IF(I1717&lt;=5000000,"Under $5M",IF(I1717&lt;=20000000,"$5M-20M",IF(I1717&lt;=50000000,"$20M-50M",IF(I1717&lt;=100000000,"$50M-100M","$100M+"))))</f>
        <v/>
      </c>
      <c r="P1717" s="21">
        <f>IF(E1717&lt;=90,"90 or less",IF(E1717&lt;=105,"91-105",IF(E1717&lt;=120,"106-120",IF(E1717&lt;=140,"121-140","Over 140"))))</f>
        <v/>
      </c>
      <c r="Q1717" s="28">
        <f>INT(C1717/10)*10</f>
        <v/>
      </c>
    </row>
    <row r="1718">
      <c r="A1718" s="21" t="n">
        <v>1754</v>
      </c>
      <c r="B1718" s="21" t="inlineStr">
        <is>
          <t>Dragonfly</t>
        </is>
      </c>
      <c r="C1718" s="21" t="n">
        <v>2002</v>
      </c>
      <c r="D1718" s="21" t="inlineStr">
        <is>
          <t>USA</t>
        </is>
      </c>
      <c r="E1718" s="21" t="n">
        <v>104</v>
      </c>
      <c r="F1718" s="21" t="inlineStr">
        <is>
          <t>English</t>
        </is>
      </c>
      <c r="G1718" s="21" t="inlineStr">
        <is>
          <t>PG-13</t>
        </is>
      </c>
      <c r="H1718" s="22" t="n">
        <v>30063805</v>
      </c>
      <c r="I1718" s="22" t="n">
        <v>60000000</v>
      </c>
      <c r="J1718" s="21">
        <f>IF(OR(H1718="",H1718=25529689.5),"Yes","No")</f>
        <v/>
      </c>
      <c r="K1718" s="21">
        <f>IF(AND(D1718="USA",C1718&gt;=1980,J1718="No"),"Yes","No")</f>
        <v/>
      </c>
      <c r="L1718" s="26">
        <f>IF(J1718="Yes","",H1718-I1718)</f>
        <v/>
      </c>
      <c r="M1718" s="27">
        <f>IF(OR(J1718="Yes",I1718=0),"",H1718/I1718)</f>
        <v/>
      </c>
      <c r="N1718" s="21">
        <f>IF(J1718="Yes","",IF(H1718&gt;=I1718,1,0))</f>
        <v/>
      </c>
      <c r="O1718" s="21">
        <f>IF(I1718&lt;=5000000,"Under $5M",IF(I1718&lt;=20000000,"$5M-20M",IF(I1718&lt;=50000000,"$20M-50M",IF(I1718&lt;=100000000,"$50M-100M","$100M+"))))</f>
        <v/>
      </c>
      <c r="P1718" s="21">
        <f>IF(E1718&lt;=90,"90 or less",IF(E1718&lt;=105,"91-105",IF(E1718&lt;=120,"106-120",IF(E1718&lt;=140,"121-140","Over 140"))))</f>
        <v/>
      </c>
      <c r="Q1718" s="28">
        <f>INT(C1718/10)*10</f>
        <v/>
      </c>
    </row>
    <row r="1719">
      <c r="A1719" s="21" t="n">
        <v>1755</v>
      </c>
      <c r="B1719" s="21" t="inlineStr">
        <is>
          <t>Drumline</t>
        </is>
      </c>
      <c r="C1719" s="21" t="n">
        <v>2002</v>
      </c>
      <c r="D1719" s="21" t="inlineStr">
        <is>
          <t>USA</t>
        </is>
      </c>
      <c r="E1719" s="21" t="n">
        <v>118</v>
      </c>
      <c r="F1719" s="21" t="inlineStr">
        <is>
          <t>English</t>
        </is>
      </c>
      <c r="G1719" s="21" t="inlineStr">
        <is>
          <t>PG-13</t>
        </is>
      </c>
      <c r="H1719" s="22" t="n">
        <v>56398162</v>
      </c>
      <c r="I1719" s="22" t="n">
        <v>20000000</v>
      </c>
      <c r="J1719" s="21">
        <f>IF(OR(H1719="",H1719=25529689.5),"Yes","No")</f>
        <v/>
      </c>
      <c r="K1719" s="21">
        <f>IF(AND(D1719="USA",C1719&gt;=1980,J1719="No"),"Yes","No")</f>
        <v/>
      </c>
      <c r="L1719" s="26">
        <f>IF(J1719="Yes","",H1719-I1719)</f>
        <v/>
      </c>
      <c r="M1719" s="27">
        <f>IF(OR(J1719="Yes",I1719=0),"",H1719/I1719)</f>
        <v/>
      </c>
      <c r="N1719" s="21">
        <f>IF(J1719="Yes","",IF(H1719&gt;=I1719,1,0))</f>
        <v/>
      </c>
      <c r="O1719" s="21">
        <f>IF(I1719&lt;=5000000,"Under $5M",IF(I1719&lt;=20000000,"$5M-20M",IF(I1719&lt;=50000000,"$20M-50M",IF(I1719&lt;=100000000,"$50M-100M","$100M+"))))</f>
        <v/>
      </c>
      <c r="P1719" s="21">
        <f>IF(E1719&lt;=90,"90 or less",IF(E1719&lt;=105,"91-105",IF(E1719&lt;=120,"106-120",IF(E1719&lt;=140,"121-140","Over 140"))))</f>
        <v/>
      </c>
      <c r="Q1719" s="28">
        <f>INT(C1719/10)*10</f>
        <v/>
      </c>
    </row>
    <row r="1720">
      <c r="A1720" s="21" t="n">
        <v>1756</v>
      </c>
      <c r="B1720" s="21" t="inlineStr">
        <is>
          <t>Eight Legged Freaks</t>
        </is>
      </c>
      <c r="C1720" s="21" t="n">
        <v>2002</v>
      </c>
      <c r="D1720" s="21" t="inlineStr">
        <is>
          <t>USA</t>
        </is>
      </c>
      <c r="E1720" s="21" t="n">
        <v>99</v>
      </c>
      <c r="F1720" s="21" t="inlineStr">
        <is>
          <t>English</t>
        </is>
      </c>
      <c r="G1720" s="21" t="inlineStr">
        <is>
          <t>PG-13</t>
        </is>
      </c>
      <c r="H1720" s="22" t="n">
        <v>17266505</v>
      </c>
      <c r="I1720" s="22" t="n">
        <v>30000000</v>
      </c>
      <c r="J1720" s="21">
        <f>IF(OR(H1720="",H1720=25529689.5),"Yes","No")</f>
        <v/>
      </c>
      <c r="K1720" s="21">
        <f>IF(AND(D1720="USA",C1720&gt;=1980,J1720="No"),"Yes","No")</f>
        <v/>
      </c>
      <c r="L1720" s="26">
        <f>IF(J1720="Yes","",H1720-I1720)</f>
        <v/>
      </c>
      <c r="M1720" s="27">
        <f>IF(OR(J1720="Yes",I1720=0),"",H1720/I1720)</f>
        <v/>
      </c>
      <c r="N1720" s="21">
        <f>IF(J1720="Yes","",IF(H1720&gt;=I1720,1,0))</f>
        <v/>
      </c>
      <c r="O1720" s="21">
        <f>IF(I1720&lt;=5000000,"Under $5M",IF(I1720&lt;=20000000,"$5M-20M",IF(I1720&lt;=50000000,"$20M-50M",IF(I1720&lt;=100000000,"$50M-100M","$100M+"))))</f>
        <v/>
      </c>
      <c r="P1720" s="21">
        <f>IF(E1720&lt;=90,"90 or less",IF(E1720&lt;=105,"91-105",IF(E1720&lt;=120,"106-120",IF(E1720&lt;=140,"121-140","Over 140"))))</f>
        <v/>
      </c>
      <c r="Q1720" s="28">
        <f>INT(C1720/10)*10</f>
        <v/>
      </c>
    </row>
    <row r="1721">
      <c r="A1721" s="21" t="n">
        <v>1757</v>
      </c>
      <c r="B1721" s="21" t="inlineStr">
        <is>
          <t>El crimen del padre Amaro</t>
        </is>
      </c>
      <c r="C1721" s="21" t="n">
        <v>2002</v>
      </c>
      <c r="D1721" s="21" t="inlineStr">
        <is>
          <t>Mexico</t>
        </is>
      </c>
      <c r="E1721" s="21" t="n">
        <v>118</v>
      </c>
      <c r="F1721" s="21" t="inlineStr">
        <is>
          <t>Spanish</t>
        </is>
      </c>
      <c r="G1721" s="21" t="inlineStr">
        <is>
          <t>R</t>
        </is>
      </c>
      <c r="H1721" s="22" t="n">
        <v>5709616</v>
      </c>
      <c r="I1721" s="22" t="n">
        <v>1800000</v>
      </c>
      <c r="J1721" s="21">
        <f>IF(OR(H1721="",H1721=25529689.5),"Yes","No")</f>
        <v/>
      </c>
      <c r="K1721" s="21">
        <f>IF(AND(D1721="USA",C1721&gt;=1980,J1721="No"),"Yes","No")</f>
        <v/>
      </c>
      <c r="L1721" s="26">
        <f>IF(J1721="Yes","",H1721-I1721)</f>
        <v/>
      </c>
      <c r="M1721" s="27">
        <f>IF(OR(J1721="Yes",I1721=0),"",H1721/I1721)</f>
        <v/>
      </c>
      <c r="N1721" s="21">
        <f>IF(J1721="Yes","",IF(H1721&gt;=I1721,1,0))</f>
        <v/>
      </c>
      <c r="O1721" s="21">
        <f>IF(I1721&lt;=5000000,"Under $5M",IF(I1721&lt;=20000000,"$5M-20M",IF(I1721&lt;=50000000,"$20M-50M",IF(I1721&lt;=100000000,"$50M-100M","$100M+"))))</f>
        <v/>
      </c>
      <c r="P1721" s="21">
        <f>IF(E1721&lt;=90,"90 or less",IF(E1721&lt;=105,"91-105",IF(E1721&lt;=120,"106-120",IF(E1721&lt;=140,"121-140","Over 140"))))</f>
        <v/>
      </c>
      <c r="Q1721" s="28">
        <f>INT(C1721/10)*10</f>
        <v/>
      </c>
    </row>
    <row r="1722">
      <c r="A1722" s="21" t="n">
        <v>1758</v>
      </c>
      <c r="B1722" s="21" t="inlineStr">
        <is>
          <t>Enough</t>
        </is>
      </c>
      <c r="C1722" s="21" t="n">
        <v>2002</v>
      </c>
      <c r="D1722" s="21" t="inlineStr">
        <is>
          <t>USA</t>
        </is>
      </c>
      <c r="E1722" s="21" t="n">
        <v>115</v>
      </c>
      <c r="F1722" s="21" t="inlineStr">
        <is>
          <t>English</t>
        </is>
      </c>
      <c r="G1722" s="21" t="inlineStr">
        <is>
          <t>PG-13</t>
        </is>
      </c>
      <c r="H1722" s="22" t="n">
        <v>39177215</v>
      </c>
      <c r="I1722" s="22" t="n">
        <v>38000000</v>
      </c>
      <c r="J1722" s="21">
        <f>IF(OR(H1722="",H1722=25529689.5),"Yes","No")</f>
        <v/>
      </c>
      <c r="K1722" s="21">
        <f>IF(AND(D1722="USA",C1722&gt;=1980,J1722="No"),"Yes","No")</f>
        <v/>
      </c>
      <c r="L1722" s="26">
        <f>IF(J1722="Yes","",H1722-I1722)</f>
        <v/>
      </c>
      <c r="M1722" s="27">
        <f>IF(OR(J1722="Yes",I1722=0),"",H1722/I1722)</f>
        <v/>
      </c>
      <c r="N1722" s="21">
        <f>IF(J1722="Yes","",IF(H1722&gt;=I1722,1,0))</f>
        <v/>
      </c>
      <c r="O1722" s="21">
        <f>IF(I1722&lt;=5000000,"Under $5M",IF(I1722&lt;=20000000,"$5M-20M",IF(I1722&lt;=50000000,"$20M-50M",IF(I1722&lt;=100000000,"$50M-100M","$100M+"))))</f>
        <v/>
      </c>
      <c r="P1722" s="21">
        <f>IF(E1722&lt;=90,"90 or less",IF(E1722&lt;=105,"91-105",IF(E1722&lt;=120,"106-120",IF(E1722&lt;=140,"121-140","Over 140"))))</f>
        <v/>
      </c>
      <c r="Q1722" s="28">
        <f>INT(C1722/10)*10</f>
        <v/>
      </c>
    </row>
    <row r="1723">
      <c r="A1723" s="21" t="n">
        <v>1759</v>
      </c>
      <c r="B1723" s="21" t="inlineStr">
        <is>
          <t>Equilibrium</t>
        </is>
      </c>
      <c r="C1723" s="21" t="n">
        <v>2002</v>
      </c>
      <c r="D1723" s="21" t="inlineStr">
        <is>
          <t>USA</t>
        </is>
      </c>
      <c r="E1723" s="21" t="n">
        <v>107</v>
      </c>
      <c r="F1723" s="21" t="inlineStr">
        <is>
          <t>English</t>
        </is>
      </c>
      <c r="G1723" s="21" t="inlineStr">
        <is>
          <t>R</t>
        </is>
      </c>
      <c r="H1723" s="22" t="n">
        <v>1190018</v>
      </c>
      <c r="I1723" s="22" t="n">
        <v>20000000</v>
      </c>
      <c r="J1723" s="21">
        <f>IF(OR(H1723="",H1723=25529689.5),"Yes","No")</f>
        <v/>
      </c>
      <c r="K1723" s="21">
        <f>IF(AND(D1723="USA",C1723&gt;=1980,J1723="No"),"Yes","No")</f>
        <v/>
      </c>
      <c r="L1723" s="26">
        <f>IF(J1723="Yes","",H1723-I1723)</f>
        <v/>
      </c>
      <c r="M1723" s="27">
        <f>IF(OR(J1723="Yes",I1723=0),"",H1723/I1723)</f>
        <v/>
      </c>
      <c r="N1723" s="21">
        <f>IF(J1723="Yes","",IF(H1723&gt;=I1723,1,0))</f>
        <v/>
      </c>
      <c r="O1723" s="21">
        <f>IF(I1723&lt;=5000000,"Under $5M",IF(I1723&lt;=20000000,"$5M-20M",IF(I1723&lt;=50000000,"$20M-50M",IF(I1723&lt;=100000000,"$50M-100M","$100M+"))))</f>
        <v/>
      </c>
      <c r="P1723" s="21">
        <f>IF(E1723&lt;=90,"90 or less",IF(E1723&lt;=105,"91-105",IF(E1723&lt;=120,"106-120",IF(E1723&lt;=140,"121-140","Over 140"))))</f>
        <v/>
      </c>
      <c r="Q1723" s="28">
        <f>INT(C1723/10)*10</f>
        <v/>
      </c>
    </row>
    <row r="1724">
      <c r="A1724" s="21" t="n">
        <v>1760</v>
      </c>
      <c r="B1724" s="21" t="inlineStr">
        <is>
          <t>Extreme Ops</t>
        </is>
      </c>
      <c r="C1724" s="21" t="n">
        <v>2002</v>
      </c>
      <c r="D1724" s="21" t="inlineStr">
        <is>
          <t>UK</t>
        </is>
      </c>
      <c r="E1724" s="21" t="n">
        <v>93</v>
      </c>
      <c r="F1724" s="21" t="inlineStr">
        <is>
          <t>English</t>
        </is>
      </c>
      <c r="G1724" s="21" t="inlineStr">
        <is>
          <t>PG-13</t>
        </is>
      </c>
      <c r="H1724" s="22" t="n">
        <v>4835968</v>
      </c>
      <c r="I1724" s="22" t="n">
        <v>40000000</v>
      </c>
      <c r="J1724" s="21">
        <f>IF(OR(H1724="",H1724=25529689.5),"Yes","No")</f>
        <v/>
      </c>
      <c r="K1724" s="21">
        <f>IF(AND(D1724="USA",C1724&gt;=1980,J1724="No"),"Yes","No")</f>
        <v/>
      </c>
      <c r="L1724" s="26">
        <f>IF(J1724="Yes","",H1724-I1724)</f>
        <v/>
      </c>
      <c r="M1724" s="27">
        <f>IF(OR(J1724="Yes",I1724=0),"",H1724/I1724)</f>
        <v/>
      </c>
      <c r="N1724" s="21">
        <f>IF(J1724="Yes","",IF(H1724&gt;=I1724,1,0))</f>
        <v/>
      </c>
      <c r="O1724" s="21">
        <f>IF(I1724&lt;=5000000,"Under $5M",IF(I1724&lt;=20000000,"$5M-20M",IF(I1724&lt;=50000000,"$20M-50M",IF(I1724&lt;=100000000,"$50M-100M","$100M+"))))</f>
        <v/>
      </c>
      <c r="P1724" s="21">
        <f>IF(E1724&lt;=90,"90 or less",IF(E1724&lt;=105,"91-105",IF(E1724&lt;=120,"106-120",IF(E1724&lt;=140,"121-140","Over 140"))))</f>
        <v/>
      </c>
      <c r="Q1724" s="28">
        <f>INT(C1724/10)*10</f>
        <v/>
      </c>
    </row>
    <row r="1725">
      <c r="A1725" s="21" t="n">
        <v>1761</v>
      </c>
      <c r="B1725" s="21" t="inlineStr">
        <is>
          <t>Eye See You</t>
        </is>
      </c>
      <c r="C1725" s="21" t="n">
        <v>2002</v>
      </c>
      <c r="D1725" s="21" t="inlineStr">
        <is>
          <t>USA</t>
        </is>
      </c>
      <c r="E1725" s="21" t="n">
        <v>96</v>
      </c>
      <c r="F1725" s="21" t="inlineStr">
        <is>
          <t>English</t>
        </is>
      </c>
      <c r="G1725" s="21" t="inlineStr">
        <is>
          <t>R</t>
        </is>
      </c>
      <c r="H1725" s="22" t="n">
        <v>25529689.5</v>
      </c>
      <c r="I1725" s="22" t="n">
        <v>55000000</v>
      </c>
      <c r="J1725" s="21">
        <f>IF(OR(H1725="",H1725=25529689.5),"Yes","No")</f>
        <v/>
      </c>
      <c r="K1725" s="21">
        <f>IF(AND(D1725="USA",C1725&gt;=1980,J1725="No"),"Yes","No")</f>
        <v/>
      </c>
      <c r="L1725" s="26">
        <f>IF(J1725="Yes","",H1725-I1725)</f>
        <v/>
      </c>
      <c r="M1725" s="27">
        <f>IF(OR(J1725="Yes",I1725=0),"",H1725/I1725)</f>
        <v/>
      </c>
      <c r="N1725" s="21">
        <f>IF(J1725="Yes","",IF(H1725&gt;=I1725,1,0))</f>
        <v/>
      </c>
      <c r="O1725" s="21">
        <f>IF(I1725&lt;=5000000,"Under $5M",IF(I1725&lt;=20000000,"$5M-20M",IF(I1725&lt;=50000000,"$20M-50M",IF(I1725&lt;=100000000,"$50M-100M","$100M+"))))</f>
        <v/>
      </c>
      <c r="P1725" s="21">
        <f>IF(E1725&lt;=90,"90 or less",IF(E1725&lt;=105,"91-105",IF(E1725&lt;=120,"106-120",IF(E1725&lt;=140,"121-140","Over 140"))))</f>
        <v/>
      </c>
      <c r="Q1725" s="28">
        <f>INT(C1725/10)*10</f>
        <v/>
      </c>
    </row>
    <row r="1726">
      <c r="A1726" s="21" t="n">
        <v>1762</v>
      </c>
      <c r="B1726" s="21" t="inlineStr">
        <is>
          <t>Fabled</t>
        </is>
      </c>
      <c r="C1726" s="21" t="n">
        <v>2002</v>
      </c>
      <c r="D1726" s="21" t="inlineStr">
        <is>
          <t>USA</t>
        </is>
      </c>
      <c r="E1726" s="21" t="n">
        <v>84</v>
      </c>
      <c r="F1726" s="21" t="inlineStr">
        <is>
          <t>English</t>
        </is>
      </c>
      <c r="G1726" s="21" t="inlineStr">
        <is>
          <t>R</t>
        </is>
      </c>
      <c r="H1726" s="22" t="n">
        <v>25918</v>
      </c>
      <c r="I1726" s="22" t="n">
        <v>20000000</v>
      </c>
      <c r="J1726" s="21">
        <f>IF(OR(H1726="",H1726=25529689.5),"Yes","No")</f>
        <v/>
      </c>
      <c r="K1726" s="21">
        <f>IF(AND(D1726="USA",C1726&gt;=1980,J1726="No"),"Yes","No")</f>
        <v/>
      </c>
      <c r="L1726" s="26">
        <f>IF(J1726="Yes","",H1726-I1726)</f>
        <v/>
      </c>
      <c r="M1726" s="27">
        <f>IF(OR(J1726="Yes",I1726=0),"",H1726/I1726)</f>
        <v/>
      </c>
      <c r="N1726" s="21">
        <f>IF(J1726="Yes","",IF(H1726&gt;=I1726,1,0))</f>
        <v/>
      </c>
      <c r="O1726" s="21">
        <f>IF(I1726&lt;=5000000,"Under $5M",IF(I1726&lt;=20000000,"$5M-20M",IF(I1726&lt;=50000000,"$20M-50M",IF(I1726&lt;=100000000,"$50M-100M","$100M+"))))</f>
        <v/>
      </c>
      <c r="P1726" s="21">
        <f>IF(E1726&lt;=90,"90 or less",IF(E1726&lt;=105,"91-105",IF(E1726&lt;=120,"106-120",IF(E1726&lt;=140,"121-140","Over 140"))))</f>
        <v/>
      </c>
      <c r="Q1726" s="28">
        <f>INT(C1726/10)*10</f>
        <v/>
      </c>
    </row>
    <row r="1727">
      <c r="A1727" s="21" t="n">
        <v>1763</v>
      </c>
      <c r="B1727" s="21" t="inlineStr">
        <is>
          <t>Far from Heaven</t>
        </is>
      </c>
      <c r="C1727" s="21" t="n">
        <v>2002</v>
      </c>
      <c r="D1727" s="21" t="inlineStr">
        <is>
          <t>USA</t>
        </is>
      </c>
      <c r="E1727" s="21" t="n">
        <v>107</v>
      </c>
      <c r="F1727" s="21" t="inlineStr">
        <is>
          <t>English</t>
        </is>
      </c>
      <c r="G1727" s="21" t="inlineStr">
        <is>
          <t>PG-13</t>
        </is>
      </c>
      <c r="H1727" s="22" t="n">
        <v>15854988</v>
      </c>
      <c r="I1727" s="22" t="n">
        <v>13500000</v>
      </c>
      <c r="J1727" s="21">
        <f>IF(OR(H1727="",H1727=25529689.5),"Yes","No")</f>
        <v/>
      </c>
      <c r="K1727" s="21">
        <f>IF(AND(D1727="USA",C1727&gt;=1980,J1727="No"),"Yes","No")</f>
        <v/>
      </c>
      <c r="L1727" s="26">
        <f>IF(J1727="Yes","",H1727-I1727)</f>
        <v/>
      </c>
      <c r="M1727" s="27">
        <f>IF(OR(J1727="Yes",I1727=0),"",H1727/I1727)</f>
        <v/>
      </c>
      <c r="N1727" s="21">
        <f>IF(J1727="Yes","",IF(H1727&gt;=I1727,1,0))</f>
        <v/>
      </c>
      <c r="O1727" s="21">
        <f>IF(I1727&lt;=5000000,"Under $5M",IF(I1727&lt;=20000000,"$5M-20M",IF(I1727&lt;=50000000,"$20M-50M",IF(I1727&lt;=100000000,"$50M-100M","$100M+"))))</f>
        <v/>
      </c>
      <c r="P1727" s="21">
        <f>IF(E1727&lt;=90,"90 or less",IF(E1727&lt;=105,"91-105",IF(E1727&lt;=120,"106-120",IF(E1727&lt;=140,"121-140","Over 140"))))</f>
        <v/>
      </c>
      <c r="Q1727" s="28">
        <f>INT(C1727/10)*10</f>
        <v/>
      </c>
    </row>
    <row r="1728">
      <c r="A1728" s="21" t="n">
        <v>1764</v>
      </c>
      <c r="B1728" s="21" t="inlineStr">
        <is>
          <t>Feardotcom</t>
        </is>
      </c>
      <c r="C1728" s="21" t="n">
        <v>2002</v>
      </c>
      <c r="D1728" s="21" t="inlineStr">
        <is>
          <t>UK</t>
        </is>
      </c>
      <c r="E1728" s="21" t="n">
        <v>101</v>
      </c>
      <c r="F1728" s="21" t="inlineStr">
        <is>
          <t>English</t>
        </is>
      </c>
      <c r="G1728" s="21" t="inlineStr">
        <is>
          <t>R</t>
        </is>
      </c>
      <c r="H1728" s="22" t="n">
        <v>13208023</v>
      </c>
      <c r="I1728" s="22" t="n">
        <v>42000000</v>
      </c>
      <c r="J1728" s="21">
        <f>IF(OR(H1728="",H1728=25529689.5),"Yes","No")</f>
        <v/>
      </c>
      <c r="K1728" s="21">
        <f>IF(AND(D1728="USA",C1728&gt;=1980,J1728="No"),"Yes","No")</f>
        <v/>
      </c>
      <c r="L1728" s="26">
        <f>IF(J1728="Yes","",H1728-I1728)</f>
        <v/>
      </c>
      <c r="M1728" s="27">
        <f>IF(OR(J1728="Yes",I1728=0),"",H1728/I1728)</f>
        <v/>
      </c>
      <c r="N1728" s="21">
        <f>IF(J1728="Yes","",IF(H1728&gt;=I1728,1,0))</f>
        <v/>
      </c>
      <c r="O1728" s="21">
        <f>IF(I1728&lt;=5000000,"Under $5M",IF(I1728&lt;=20000000,"$5M-20M",IF(I1728&lt;=50000000,"$20M-50M",IF(I1728&lt;=100000000,"$50M-100M","$100M+"))))</f>
        <v/>
      </c>
      <c r="P1728" s="21">
        <f>IF(E1728&lt;=90,"90 or less",IF(E1728&lt;=105,"91-105",IF(E1728&lt;=120,"106-120",IF(E1728&lt;=140,"121-140","Over 140"))))</f>
        <v/>
      </c>
      <c r="Q1728" s="28">
        <f>INT(C1728/10)*10</f>
        <v/>
      </c>
    </row>
    <row r="1729">
      <c r="A1729" s="21" t="n">
        <v>1765</v>
      </c>
      <c r="B1729" s="21" t="inlineStr">
        <is>
          <t>Femme Fatale</t>
        </is>
      </c>
      <c r="C1729" s="21" t="n">
        <v>2002</v>
      </c>
      <c r="D1729" s="21" t="inlineStr">
        <is>
          <t>France</t>
        </is>
      </c>
      <c r="E1729" s="21" t="n">
        <v>114</v>
      </c>
      <c r="F1729" s="21" t="inlineStr">
        <is>
          <t>English</t>
        </is>
      </c>
      <c r="G1729" s="21" t="inlineStr">
        <is>
          <t>R</t>
        </is>
      </c>
      <c r="H1729" s="22" t="n">
        <v>6592103</v>
      </c>
      <c r="I1729" s="22" t="n">
        <v>35000000</v>
      </c>
      <c r="J1729" s="21">
        <f>IF(OR(H1729="",H1729=25529689.5),"Yes","No")</f>
        <v/>
      </c>
      <c r="K1729" s="21">
        <f>IF(AND(D1729="USA",C1729&gt;=1980,J1729="No"),"Yes","No")</f>
        <v/>
      </c>
      <c r="L1729" s="26">
        <f>IF(J1729="Yes","",H1729-I1729)</f>
        <v/>
      </c>
      <c r="M1729" s="27">
        <f>IF(OR(J1729="Yes",I1729=0),"",H1729/I1729)</f>
        <v/>
      </c>
      <c r="N1729" s="21">
        <f>IF(J1729="Yes","",IF(H1729&gt;=I1729,1,0))</f>
        <v/>
      </c>
      <c r="O1729" s="21">
        <f>IF(I1729&lt;=5000000,"Under $5M",IF(I1729&lt;=20000000,"$5M-20M",IF(I1729&lt;=50000000,"$20M-50M",IF(I1729&lt;=100000000,"$50M-100M","$100M+"))))</f>
        <v/>
      </c>
      <c r="P1729" s="21">
        <f>IF(E1729&lt;=90,"90 or less",IF(E1729&lt;=105,"91-105",IF(E1729&lt;=120,"106-120",IF(E1729&lt;=140,"121-140","Over 140"))))</f>
        <v/>
      </c>
      <c r="Q1729" s="28">
        <f>INT(C1729/10)*10</f>
        <v/>
      </c>
    </row>
    <row r="1730">
      <c r="A1730" s="21" t="n">
        <v>1766</v>
      </c>
      <c r="B1730" s="21" t="inlineStr">
        <is>
          <t>Frida</t>
        </is>
      </c>
      <c r="C1730" s="21" t="n">
        <v>2002</v>
      </c>
      <c r="D1730" s="21" t="inlineStr">
        <is>
          <t>USA</t>
        </is>
      </c>
      <c r="E1730" s="21" t="n">
        <v>123</v>
      </c>
      <c r="F1730" s="21" t="inlineStr">
        <is>
          <t>English</t>
        </is>
      </c>
      <c r="G1730" s="21" t="inlineStr">
        <is>
          <t>R</t>
        </is>
      </c>
      <c r="H1730" s="22" t="n">
        <v>25776062</v>
      </c>
      <c r="I1730" s="22" t="n">
        <v>12000000</v>
      </c>
      <c r="J1730" s="21">
        <f>IF(OR(H1730="",H1730=25529689.5),"Yes","No")</f>
        <v/>
      </c>
      <c r="K1730" s="21">
        <f>IF(AND(D1730="USA",C1730&gt;=1980,J1730="No"),"Yes","No")</f>
        <v/>
      </c>
      <c r="L1730" s="26">
        <f>IF(J1730="Yes","",H1730-I1730)</f>
        <v/>
      </c>
      <c r="M1730" s="27">
        <f>IF(OR(J1730="Yes",I1730=0),"",H1730/I1730)</f>
        <v/>
      </c>
      <c r="N1730" s="21">
        <f>IF(J1730="Yes","",IF(H1730&gt;=I1730,1,0))</f>
        <v/>
      </c>
      <c r="O1730" s="21">
        <f>IF(I1730&lt;=5000000,"Under $5M",IF(I1730&lt;=20000000,"$5M-20M",IF(I1730&lt;=50000000,"$20M-50M",IF(I1730&lt;=100000000,"$50M-100M","$100M+"))))</f>
        <v/>
      </c>
      <c r="P1730" s="21">
        <f>IF(E1730&lt;=90,"90 or less",IF(E1730&lt;=105,"91-105",IF(E1730&lt;=120,"106-120",IF(E1730&lt;=140,"121-140","Over 140"))))</f>
        <v/>
      </c>
      <c r="Q1730" s="28">
        <f>INT(C1730/10)*10</f>
        <v/>
      </c>
    </row>
    <row r="1731">
      <c r="A1731" s="21" t="n">
        <v>1767</v>
      </c>
      <c r="B1731" s="21" t="inlineStr">
        <is>
          <t>Friday After Next</t>
        </is>
      </c>
      <c r="C1731" s="21" t="n">
        <v>2002</v>
      </c>
      <c r="D1731" s="21" t="inlineStr">
        <is>
          <t>USA</t>
        </is>
      </c>
      <c r="E1731" s="21" t="n">
        <v>85</v>
      </c>
      <c r="F1731" s="21" t="inlineStr">
        <is>
          <t>English</t>
        </is>
      </c>
      <c r="G1731" s="21" t="inlineStr">
        <is>
          <t>R</t>
        </is>
      </c>
      <c r="H1731" s="22" t="n">
        <v>32983713</v>
      </c>
      <c r="I1731" s="22" t="n">
        <v>20000000</v>
      </c>
      <c r="J1731" s="21">
        <f>IF(OR(H1731="",H1731=25529689.5),"Yes","No")</f>
        <v/>
      </c>
      <c r="K1731" s="21">
        <f>IF(AND(D1731="USA",C1731&gt;=1980,J1731="No"),"Yes","No")</f>
        <v/>
      </c>
      <c r="L1731" s="26">
        <f>IF(J1731="Yes","",H1731-I1731)</f>
        <v/>
      </c>
      <c r="M1731" s="27">
        <f>IF(OR(J1731="Yes",I1731=0),"",H1731/I1731)</f>
        <v/>
      </c>
      <c r="N1731" s="21">
        <f>IF(J1731="Yes","",IF(H1731&gt;=I1731,1,0))</f>
        <v/>
      </c>
      <c r="O1731" s="21">
        <f>IF(I1731&lt;=5000000,"Under $5M",IF(I1731&lt;=20000000,"$5M-20M",IF(I1731&lt;=50000000,"$20M-50M",IF(I1731&lt;=100000000,"$50M-100M","$100M+"))))</f>
        <v/>
      </c>
      <c r="P1731" s="21">
        <f>IF(E1731&lt;=90,"90 or less",IF(E1731&lt;=105,"91-105",IF(E1731&lt;=120,"106-120",IF(E1731&lt;=140,"121-140","Over 140"))))</f>
        <v/>
      </c>
      <c r="Q1731" s="28">
        <f>INT(C1731/10)*10</f>
        <v/>
      </c>
    </row>
    <row r="1732">
      <c r="A1732" s="21" t="n">
        <v>1768</v>
      </c>
      <c r="B1732" s="21" t="inlineStr">
        <is>
          <t>Full Frontal</t>
        </is>
      </c>
      <c r="C1732" s="21" t="n">
        <v>2002</v>
      </c>
      <c r="D1732" s="21" t="inlineStr">
        <is>
          <t>USA</t>
        </is>
      </c>
      <c r="E1732" s="21" t="n">
        <v>101</v>
      </c>
      <c r="F1732" s="21" t="inlineStr">
        <is>
          <t>English</t>
        </is>
      </c>
      <c r="G1732" s="21" t="inlineStr">
        <is>
          <t>R</t>
        </is>
      </c>
      <c r="H1732" s="22" t="n">
        <v>2506446</v>
      </c>
      <c r="I1732" s="22" t="n">
        <v>2000000</v>
      </c>
      <c r="J1732" s="21">
        <f>IF(OR(H1732="",H1732=25529689.5),"Yes","No")</f>
        <v/>
      </c>
      <c r="K1732" s="21">
        <f>IF(AND(D1732="USA",C1732&gt;=1980,J1732="No"),"Yes","No")</f>
        <v/>
      </c>
      <c r="L1732" s="26">
        <f>IF(J1732="Yes","",H1732-I1732)</f>
        <v/>
      </c>
      <c r="M1732" s="27">
        <f>IF(OR(J1732="Yes",I1732=0),"",H1732/I1732)</f>
        <v/>
      </c>
      <c r="N1732" s="21">
        <f>IF(J1732="Yes","",IF(H1732&gt;=I1732,1,0))</f>
        <v/>
      </c>
      <c r="O1732" s="21">
        <f>IF(I1732&lt;=5000000,"Under $5M",IF(I1732&lt;=20000000,"$5M-20M",IF(I1732&lt;=50000000,"$20M-50M",IF(I1732&lt;=100000000,"$50M-100M","$100M+"))))</f>
        <v/>
      </c>
      <c r="P1732" s="21">
        <f>IF(E1732&lt;=90,"90 or less",IF(E1732&lt;=105,"91-105",IF(E1732&lt;=120,"106-120",IF(E1732&lt;=140,"121-140","Over 140"))))</f>
        <v/>
      </c>
      <c r="Q1732" s="28">
        <f>INT(C1732/10)*10</f>
        <v/>
      </c>
    </row>
    <row r="1733">
      <c r="A1733" s="21" t="n">
        <v>1769</v>
      </c>
      <c r="B1733" s="21" t="inlineStr">
        <is>
          <t>Funny Ha Ha</t>
        </is>
      </c>
      <c r="C1733" s="21" t="n">
        <v>2002</v>
      </c>
      <c r="D1733" s="21" t="inlineStr">
        <is>
          <t>USA</t>
        </is>
      </c>
      <c r="E1733" s="21" t="n">
        <v>85</v>
      </c>
      <c r="F1733" s="21" t="inlineStr">
        <is>
          <t>English</t>
        </is>
      </c>
      <c r="G1733" s="21" t="n"/>
      <c r="H1733" s="22" t="n">
        <v>25529689.5</v>
      </c>
      <c r="I1733" s="22" t="n">
        <v>20000000</v>
      </c>
      <c r="J1733" s="21">
        <f>IF(OR(H1733="",H1733=25529689.5),"Yes","No")</f>
        <v/>
      </c>
      <c r="K1733" s="21">
        <f>IF(AND(D1733="USA",C1733&gt;=1980,J1733="No"),"Yes","No")</f>
        <v/>
      </c>
      <c r="L1733" s="26">
        <f>IF(J1733="Yes","",H1733-I1733)</f>
        <v/>
      </c>
      <c r="M1733" s="27">
        <f>IF(OR(J1733="Yes",I1733=0),"",H1733/I1733)</f>
        <v/>
      </c>
      <c r="N1733" s="21">
        <f>IF(J1733="Yes","",IF(H1733&gt;=I1733,1,0))</f>
        <v/>
      </c>
      <c r="O1733" s="21">
        <f>IF(I1733&lt;=5000000,"Under $5M",IF(I1733&lt;=20000000,"$5M-20M",IF(I1733&lt;=50000000,"$20M-50M",IF(I1733&lt;=100000000,"$50M-100M","$100M+"))))</f>
        <v/>
      </c>
      <c r="P1733" s="21">
        <f>IF(E1733&lt;=90,"90 or less",IF(E1733&lt;=105,"91-105",IF(E1733&lt;=120,"106-120",IF(E1733&lt;=140,"121-140","Over 140"))))</f>
        <v/>
      </c>
      <c r="Q1733" s="28">
        <f>INT(C1733/10)*10</f>
        <v/>
      </c>
    </row>
    <row r="1734">
      <c r="A1734" s="21" t="n">
        <v>1770</v>
      </c>
      <c r="B1734" s="21" t="inlineStr">
        <is>
          <t>Gangs of New York</t>
        </is>
      </c>
      <c r="C1734" s="21" t="n">
        <v>2002</v>
      </c>
      <c r="D1734" s="21" t="inlineStr">
        <is>
          <t>USA</t>
        </is>
      </c>
      <c r="E1734" s="21" t="n">
        <v>216</v>
      </c>
      <c r="F1734" s="21" t="inlineStr">
        <is>
          <t>English</t>
        </is>
      </c>
      <c r="G1734" s="21" t="inlineStr">
        <is>
          <t>R</t>
        </is>
      </c>
      <c r="H1734" s="22" t="n">
        <v>77679638</v>
      </c>
      <c r="I1734" s="22" t="n">
        <v>100000000</v>
      </c>
      <c r="J1734" s="21">
        <f>IF(OR(H1734="",H1734=25529689.5),"Yes","No")</f>
        <v/>
      </c>
      <c r="K1734" s="21">
        <f>IF(AND(D1734="USA",C1734&gt;=1980,J1734="No"),"Yes","No")</f>
        <v/>
      </c>
      <c r="L1734" s="26">
        <f>IF(J1734="Yes","",H1734-I1734)</f>
        <v/>
      </c>
      <c r="M1734" s="27">
        <f>IF(OR(J1734="Yes",I1734=0),"",H1734/I1734)</f>
        <v/>
      </c>
      <c r="N1734" s="21">
        <f>IF(J1734="Yes","",IF(H1734&gt;=I1734,1,0))</f>
        <v/>
      </c>
      <c r="O1734" s="21">
        <f>IF(I1734&lt;=5000000,"Under $5M",IF(I1734&lt;=20000000,"$5M-20M",IF(I1734&lt;=50000000,"$20M-50M",IF(I1734&lt;=100000000,"$50M-100M","$100M+"))))</f>
        <v/>
      </c>
      <c r="P1734" s="21">
        <f>IF(E1734&lt;=90,"90 or less",IF(E1734&lt;=105,"91-105",IF(E1734&lt;=120,"106-120",IF(E1734&lt;=140,"121-140","Over 140"))))</f>
        <v/>
      </c>
      <c r="Q1734" s="28">
        <f>INT(C1734/10)*10</f>
        <v/>
      </c>
    </row>
    <row r="1735">
      <c r="A1735" s="21" t="n">
        <v>1771</v>
      </c>
      <c r="B1735" s="21" t="inlineStr">
        <is>
          <t>Gerry</t>
        </is>
      </c>
      <c r="C1735" s="21" t="n">
        <v>2002</v>
      </c>
      <c r="D1735" s="21" t="inlineStr">
        <is>
          <t>USA</t>
        </is>
      </c>
      <c r="E1735" s="21" t="n">
        <v>103</v>
      </c>
      <c r="F1735" s="21" t="inlineStr">
        <is>
          <t>English</t>
        </is>
      </c>
      <c r="G1735" s="21" t="inlineStr">
        <is>
          <t>R</t>
        </is>
      </c>
      <c r="H1735" s="22" t="n">
        <v>236266</v>
      </c>
      <c r="I1735" s="22" t="n">
        <v>3500000</v>
      </c>
      <c r="J1735" s="21">
        <f>IF(OR(H1735="",H1735=25529689.5),"Yes","No")</f>
        <v/>
      </c>
      <c r="K1735" s="21">
        <f>IF(AND(D1735="USA",C1735&gt;=1980,J1735="No"),"Yes","No")</f>
        <v/>
      </c>
      <c r="L1735" s="26">
        <f>IF(J1735="Yes","",H1735-I1735)</f>
        <v/>
      </c>
      <c r="M1735" s="27">
        <f>IF(OR(J1735="Yes",I1735=0),"",H1735/I1735)</f>
        <v/>
      </c>
      <c r="N1735" s="21">
        <f>IF(J1735="Yes","",IF(H1735&gt;=I1735,1,0))</f>
        <v/>
      </c>
      <c r="O1735" s="21">
        <f>IF(I1735&lt;=5000000,"Under $5M",IF(I1735&lt;=20000000,"$5M-20M",IF(I1735&lt;=50000000,"$20M-50M",IF(I1735&lt;=100000000,"$50M-100M","$100M+"))))</f>
        <v/>
      </c>
      <c r="P1735" s="21">
        <f>IF(E1735&lt;=90,"90 or less",IF(E1735&lt;=105,"91-105",IF(E1735&lt;=120,"106-120",IF(E1735&lt;=140,"121-140","Over 140"))))</f>
        <v/>
      </c>
      <c r="Q1735" s="28">
        <f>INT(C1735/10)*10</f>
        <v/>
      </c>
    </row>
    <row r="1736">
      <c r="A1736" s="21" t="n">
        <v>1772</v>
      </c>
      <c r="B1736" s="21" t="inlineStr">
        <is>
          <t>Ghost Ship</t>
        </is>
      </c>
      <c r="C1736" s="21" t="n">
        <v>2002</v>
      </c>
      <c r="D1736" s="21" t="inlineStr">
        <is>
          <t>USA</t>
        </is>
      </c>
      <c r="E1736" s="21" t="n">
        <v>91</v>
      </c>
      <c r="F1736" s="21" t="inlineStr">
        <is>
          <t>English</t>
        </is>
      </c>
      <c r="G1736" s="21" t="inlineStr">
        <is>
          <t>R</t>
        </is>
      </c>
      <c r="H1736" s="22" t="n">
        <v>30079316</v>
      </c>
      <c r="I1736" s="22" t="n">
        <v>35000000</v>
      </c>
      <c r="J1736" s="21">
        <f>IF(OR(H1736="",H1736=25529689.5),"Yes","No")</f>
        <v/>
      </c>
      <c r="K1736" s="21">
        <f>IF(AND(D1736="USA",C1736&gt;=1980,J1736="No"),"Yes","No")</f>
        <v/>
      </c>
      <c r="L1736" s="26">
        <f>IF(J1736="Yes","",H1736-I1736)</f>
        <v/>
      </c>
      <c r="M1736" s="27">
        <f>IF(OR(J1736="Yes",I1736=0),"",H1736/I1736)</f>
        <v/>
      </c>
      <c r="N1736" s="21">
        <f>IF(J1736="Yes","",IF(H1736&gt;=I1736,1,0))</f>
        <v/>
      </c>
      <c r="O1736" s="21">
        <f>IF(I1736&lt;=5000000,"Under $5M",IF(I1736&lt;=20000000,"$5M-20M",IF(I1736&lt;=50000000,"$20M-50M",IF(I1736&lt;=100000000,"$50M-100M","$100M+"))))</f>
        <v/>
      </c>
      <c r="P1736" s="21">
        <f>IF(E1736&lt;=90,"90 or less",IF(E1736&lt;=105,"91-105",IF(E1736&lt;=120,"106-120",IF(E1736&lt;=140,"121-140","Over 140"))))</f>
        <v/>
      </c>
      <c r="Q1736" s="28">
        <f>INT(C1736/10)*10</f>
        <v/>
      </c>
    </row>
    <row r="1737">
      <c r="A1737" s="21" t="n">
        <v>1773</v>
      </c>
      <c r="B1737" s="21" t="inlineStr">
        <is>
          <t>Half Past Dead</t>
        </is>
      </c>
      <c r="C1737" s="21" t="n">
        <v>2002</v>
      </c>
      <c r="D1737" s="21" t="inlineStr">
        <is>
          <t>Germany</t>
        </is>
      </c>
      <c r="E1737" s="21" t="n">
        <v>98</v>
      </c>
      <c r="F1737" s="21" t="inlineStr">
        <is>
          <t>English</t>
        </is>
      </c>
      <c r="G1737" s="21" t="inlineStr">
        <is>
          <t>PG-13</t>
        </is>
      </c>
      <c r="H1737" s="22" t="n">
        <v>15361537</v>
      </c>
      <c r="I1737" s="22" t="n">
        <v>13000000</v>
      </c>
      <c r="J1737" s="21">
        <f>IF(OR(H1737="",H1737=25529689.5),"Yes","No")</f>
        <v/>
      </c>
      <c r="K1737" s="21">
        <f>IF(AND(D1737="USA",C1737&gt;=1980,J1737="No"),"Yes","No")</f>
        <v/>
      </c>
      <c r="L1737" s="26">
        <f>IF(J1737="Yes","",H1737-I1737)</f>
        <v/>
      </c>
      <c r="M1737" s="27">
        <f>IF(OR(J1737="Yes",I1737=0),"",H1737/I1737)</f>
        <v/>
      </c>
      <c r="N1737" s="21">
        <f>IF(J1737="Yes","",IF(H1737&gt;=I1737,1,0))</f>
        <v/>
      </c>
      <c r="O1737" s="21">
        <f>IF(I1737&lt;=5000000,"Under $5M",IF(I1737&lt;=20000000,"$5M-20M",IF(I1737&lt;=50000000,"$20M-50M",IF(I1737&lt;=100000000,"$50M-100M","$100M+"))))</f>
        <v/>
      </c>
      <c r="P1737" s="21">
        <f>IF(E1737&lt;=90,"90 or less",IF(E1737&lt;=105,"91-105",IF(E1737&lt;=120,"106-120",IF(E1737&lt;=140,"121-140","Over 140"))))</f>
        <v/>
      </c>
      <c r="Q1737" s="28">
        <f>INT(C1737/10)*10</f>
        <v/>
      </c>
    </row>
    <row r="1738">
      <c r="A1738" s="21" t="n">
        <v>1774</v>
      </c>
      <c r="B1738" s="21" t="inlineStr">
        <is>
          <t>Halloween: Resurrection</t>
        </is>
      </c>
      <c r="C1738" s="21" t="n">
        <v>2002</v>
      </c>
      <c r="D1738" s="21" t="inlineStr">
        <is>
          <t>USA</t>
        </is>
      </c>
      <c r="E1738" s="21" t="n">
        <v>94</v>
      </c>
      <c r="F1738" s="21" t="inlineStr">
        <is>
          <t>English</t>
        </is>
      </c>
      <c r="G1738" s="21" t="inlineStr">
        <is>
          <t>R</t>
        </is>
      </c>
      <c r="H1738" s="22" t="n">
        <v>30259652</v>
      </c>
      <c r="I1738" s="22" t="n">
        <v>15000000</v>
      </c>
      <c r="J1738" s="21">
        <f>IF(OR(H1738="",H1738=25529689.5),"Yes","No")</f>
        <v/>
      </c>
      <c r="K1738" s="21">
        <f>IF(AND(D1738="USA",C1738&gt;=1980,J1738="No"),"Yes","No")</f>
        <v/>
      </c>
      <c r="L1738" s="26">
        <f>IF(J1738="Yes","",H1738-I1738)</f>
        <v/>
      </c>
      <c r="M1738" s="27">
        <f>IF(OR(J1738="Yes",I1738=0),"",H1738/I1738)</f>
        <v/>
      </c>
      <c r="N1738" s="21">
        <f>IF(J1738="Yes","",IF(H1738&gt;=I1738,1,0))</f>
        <v/>
      </c>
      <c r="O1738" s="21">
        <f>IF(I1738&lt;=5000000,"Under $5M",IF(I1738&lt;=20000000,"$5M-20M",IF(I1738&lt;=50000000,"$20M-50M",IF(I1738&lt;=100000000,"$50M-100M","$100M+"))))</f>
        <v/>
      </c>
      <c r="P1738" s="21">
        <f>IF(E1738&lt;=90,"90 or less",IF(E1738&lt;=105,"91-105",IF(E1738&lt;=120,"106-120",IF(E1738&lt;=140,"121-140","Over 140"))))</f>
        <v/>
      </c>
      <c r="Q1738" s="28">
        <f>INT(C1738/10)*10</f>
        <v/>
      </c>
    </row>
    <row r="1739">
      <c r="A1739" s="21" t="n">
        <v>1775</v>
      </c>
      <c r="B1739" s="21" t="inlineStr">
        <is>
          <t>Harry Potter and the Chamber of Secrets</t>
        </is>
      </c>
      <c r="C1739" s="21" t="n">
        <v>2002</v>
      </c>
      <c r="D1739" s="21" t="inlineStr">
        <is>
          <t>UK</t>
        </is>
      </c>
      <c r="E1739" s="21" t="n">
        <v>174</v>
      </c>
      <c r="F1739" s="21" t="inlineStr">
        <is>
          <t>English</t>
        </is>
      </c>
      <c r="G1739" s="21" t="inlineStr">
        <is>
          <t>PG</t>
        </is>
      </c>
      <c r="H1739" s="22" t="n">
        <v>261970615</v>
      </c>
      <c r="I1739" s="22" t="n">
        <v>100000000</v>
      </c>
      <c r="J1739" s="21">
        <f>IF(OR(H1739="",H1739=25529689.5),"Yes","No")</f>
        <v/>
      </c>
      <c r="K1739" s="21">
        <f>IF(AND(D1739="USA",C1739&gt;=1980,J1739="No"),"Yes","No")</f>
        <v/>
      </c>
      <c r="L1739" s="26">
        <f>IF(J1739="Yes","",H1739-I1739)</f>
        <v/>
      </c>
      <c r="M1739" s="27">
        <f>IF(OR(J1739="Yes",I1739=0),"",H1739/I1739)</f>
        <v/>
      </c>
      <c r="N1739" s="21">
        <f>IF(J1739="Yes","",IF(H1739&gt;=I1739,1,0))</f>
        <v/>
      </c>
      <c r="O1739" s="21">
        <f>IF(I1739&lt;=5000000,"Under $5M",IF(I1739&lt;=20000000,"$5M-20M",IF(I1739&lt;=50000000,"$20M-50M",IF(I1739&lt;=100000000,"$50M-100M","$100M+"))))</f>
        <v/>
      </c>
      <c r="P1739" s="21">
        <f>IF(E1739&lt;=90,"90 or less",IF(E1739&lt;=105,"91-105",IF(E1739&lt;=120,"106-120",IF(E1739&lt;=140,"121-140","Over 140"))))</f>
        <v/>
      </c>
      <c r="Q1739" s="28">
        <f>INT(C1739/10)*10</f>
        <v/>
      </c>
    </row>
    <row r="1740">
      <c r="A1740" s="21" t="n">
        <v>1776</v>
      </c>
      <c r="B1740" s="21" t="inlineStr">
        <is>
          <t>Hart's War</t>
        </is>
      </c>
      <c r="C1740" s="21" t="n">
        <v>2002</v>
      </c>
      <c r="D1740" s="21" t="inlineStr">
        <is>
          <t>USA</t>
        </is>
      </c>
      <c r="E1740" s="21" t="n">
        <v>125</v>
      </c>
      <c r="F1740" s="21" t="inlineStr">
        <is>
          <t>English</t>
        </is>
      </c>
      <c r="G1740" s="21" t="inlineStr">
        <is>
          <t>R</t>
        </is>
      </c>
      <c r="H1740" s="22" t="n">
        <v>19076815</v>
      </c>
      <c r="I1740" s="22" t="n">
        <v>60000000</v>
      </c>
      <c r="J1740" s="21">
        <f>IF(OR(H1740="",H1740=25529689.5),"Yes","No")</f>
        <v/>
      </c>
      <c r="K1740" s="21">
        <f>IF(AND(D1740="USA",C1740&gt;=1980,J1740="No"),"Yes","No")</f>
        <v/>
      </c>
      <c r="L1740" s="26">
        <f>IF(J1740="Yes","",H1740-I1740)</f>
        <v/>
      </c>
      <c r="M1740" s="27">
        <f>IF(OR(J1740="Yes",I1740=0),"",H1740/I1740)</f>
        <v/>
      </c>
      <c r="N1740" s="21">
        <f>IF(J1740="Yes","",IF(H1740&gt;=I1740,1,0))</f>
        <v/>
      </c>
      <c r="O1740" s="21">
        <f>IF(I1740&lt;=5000000,"Under $5M",IF(I1740&lt;=20000000,"$5M-20M",IF(I1740&lt;=50000000,"$20M-50M",IF(I1740&lt;=100000000,"$50M-100M","$100M+"))))</f>
        <v/>
      </c>
      <c r="P1740" s="21">
        <f>IF(E1740&lt;=90,"90 or less",IF(E1740&lt;=105,"91-105",IF(E1740&lt;=120,"106-120",IF(E1740&lt;=140,"121-140","Over 140"))))</f>
        <v/>
      </c>
      <c r="Q1740" s="28">
        <f>INT(C1740/10)*10</f>
        <v/>
      </c>
    </row>
    <row r="1741">
      <c r="A1741" s="21" t="n">
        <v>1777</v>
      </c>
      <c r="B1741" s="21" t="inlineStr">
        <is>
          <t>Hero</t>
        </is>
      </c>
      <c r="C1741" s="21" t="n">
        <v>2002</v>
      </c>
      <c r="D1741" s="21" t="inlineStr">
        <is>
          <t>China</t>
        </is>
      </c>
      <c r="E1741" s="21" t="n">
        <v>80</v>
      </c>
      <c r="F1741" s="21" t="inlineStr">
        <is>
          <t>Mandarin</t>
        </is>
      </c>
      <c r="G1741" s="21" t="inlineStr">
        <is>
          <t>PG-13</t>
        </is>
      </c>
      <c r="H1741" s="22" t="n">
        <v>84961</v>
      </c>
      <c r="I1741" s="22" t="n">
        <v>31000000</v>
      </c>
      <c r="J1741" s="21">
        <f>IF(OR(H1741="",H1741=25529689.5),"Yes","No")</f>
        <v/>
      </c>
      <c r="K1741" s="21">
        <f>IF(AND(D1741="USA",C1741&gt;=1980,J1741="No"),"Yes","No")</f>
        <v/>
      </c>
      <c r="L1741" s="26">
        <f>IF(J1741="Yes","",H1741-I1741)</f>
        <v/>
      </c>
      <c r="M1741" s="27">
        <f>IF(OR(J1741="Yes",I1741=0),"",H1741/I1741)</f>
        <v/>
      </c>
      <c r="N1741" s="21">
        <f>IF(J1741="Yes","",IF(H1741&gt;=I1741,1,0))</f>
        <v/>
      </c>
      <c r="O1741" s="21">
        <f>IF(I1741&lt;=5000000,"Under $5M",IF(I1741&lt;=20000000,"$5M-20M",IF(I1741&lt;=50000000,"$20M-50M",IF(I1741&lt;=100000000,"$50M-100M","$100M+"))))</f>
        <v/>
      </c>
      <c r="P1741" s="21">
        <f>IF(E1741&lt;=90,"90 or less",IF(E1741&lt;=105,"91-105",IF(E1741&lt;=120,"106-120",IF(E1741&lt;=140,"121-140","Over 140"))))</f>
        <v/>
      </c>
      <c r="Q1741" s="28">
        <f>INT(C1741/10)*10</f>
        <v/>
      </c>
    </row>
    <row r="1742">
      <c r="A1742" s="21" t="n">
        <v>1779</v>
      </c>
      <c r="B1742" s="21" t="inlineStr">
        <is>
          <t>Hey Arnold! The Movie</t>
        </is>
      </c>
      <c r="C1742" s="21" t="n">
        <v>2002</v>
      </c>
      <c r="D1742" s="21" t="inlineStr">
        <is>
          <t>USA</t>
        </is>
      </c>
      <c r="E1742" s="21" t="n">
        <v>76</v>
      </c>
      <c r="F1742" s="21" t="inlineStr">
        <is>
          <t>English</t>
        </is>
      </c>
      <c r="G1742" s="21" t="inlineStr">
        <is>
          <t>PG</t>
        </is>
      </c>
      <c r="H1742" s="22" t="n">
        <v>13684949</v>
      </c>
      <c r="I1742" s="22" t="n">
        <v>3000000</v>
      </c>
      <c r="J1742" s="21">
        <f>IF(OR(H1742="",H1742=25529689.5),"Yes","No")</f>
        <v/>
      </c>
      <c r="K1742" s="21">
        <f>IF(AND(D1742="USA",C1742&gt;=1980,J1742="No"),"Yes","No")</f>
        <v/>
      </c>
      <c r="L1742" s="26">
        <f>IF(J1742="Yes","",H1742-I1742)</f>
        <v/>
      </c>
      <c r="M1742" s="27">
        <f>IF(OR(J1742="Yes",I1742=0),"",H1742/I1742)</f>
        <v/>
      </c>
      <c r="N1742" s="21">
        <f>IF(J1742="Yes","",IF(H1742&gt;=I1742,1,0))</f>
        <v/>
      </c>
      <c r="O1742" s="21">
        <f>IF(I1742&lt;=5000000,"Under $5M",IF(I1742&lt;=20000000,"$5M-20M",IF(I1742&lt;=50000000,"$20M-50M",IF(I1742&lt;=100000000,"$50M-100M","$100M+"))))</f>
        <v/>
      </c>
      <c r="P1742" s="21">
        <f>IF(E1742&lt;=90,"90 or less",IF(E1742&lt;=105,"91-105",IF(E1742&lt;=120,"106-120",IF(E1742&lt;=140,"121-140","Over 140"))))</f>
        <v/>
      </c>
      <c r="Q1742" s="28">
        <f>INT(C1742/10)*10</f>
        <v/>
      </c>
    </row>
    <row r="1743">
      <c r="A1743" s="21" t="n">
        <v>1780</v>
      </c>
      <c r="B1743" s="21" t="inlineStr">
        <is>
          <t>High Crimes</t>
        </is>
      </c>
      <c r="C1743" s="21" t="n">
        <v>2002</v>
      </c>
      <c r="D1743" s="21" t="inlineStr">
        <is>
          <t>USA</t>
        </is>
      </c>
      <c r="E1743" s="21" t="n">
        <v>115</v>
      </c>
      <c r="F1743" s="21" t="inlineStr">
        <is>
          <t>English</t>
        </is>
      </c>
      <c r="G1743" s="21" t="inlineStr">
        <is>
          <t>PG-13</t>
        </is>
      </c>
      <c r="H1743" s="22" t="n">
        <v>41543207</v>
      </c>
      <c r="I1743" s="22" t="n">
        <v>42000000</v>
      </c>
      <c r="J1743" s="21">
        <f>IF(OR(H1743="",H1743=25529689.5),"Yes","No")</f>
        <v/>
      </c>
      <c r="K1743" s="21">
        <f>IF(AND(D1743="USA",C1743&gt;=1980,J1743="No"),"Yes","No")</f>
        <v/>
      </c>
      <c r="L1743" s="26">
        <f>IF(J1743="Yes","",H1743-I1743)</f>
        <v/>
      </c>
      <c r="M1743" s="27">
        <f>IF(OR(J1743="Yes",I1743=0),"",H1743/I1743)</f>
        <v/>
      </c>
      <c r="N1743" s="21">
        <f>IF(J1743="Yes","",IF(H1743&gt;=I1743,1,0))</f>
        <v/>
      </c>
      <c r="O1743" s="21">
        <f>IF(I1743&lt;=5000000,"Under $5M",IF(I1743&lt;=20000000,"$5M-20M",IF(I1743&lt;=50000000,"$20M-50M",IF(I1743&lt;=100000000,"$50M-100M","$100M+"))))</f>
        <v/>
      </c>
      <c r="P1743" s="21">
        <f>IF(E1743&lt;=90,"90 or less",IF(E1743&lt;=105,"91-105",IF(E1743&lt;=120,"106-120",IF(E1743&lt;=140,"121-140","Over 140"))))</f>
        <v/>
      </c>
      <c r="Q1743" s="28">
        <f>INT(C1743/10)*10</f>
        <v/>
      </c>
    </row>
    <row r="1744">
      <c r="A1744" s="21" t="n">
        <v>1781</v>
      </c>
      <c r="B1744" s="21" t="inlineStr">
        <is>
          <t>Highway</t>
        </is>
      </c>
      <c r="C1744" s="21" t="n">
        <v>2002</v>
      </c>
      <c r="D1744" s="21" t="inlineStr">
        <is>
          <t>USA</t>
        </is>
      </c>
      <c r="E1744" s="21" t="n">
        <v>97</v>
      </c>
      <c r="F1744" s="21" t="inlineStr">
        <is>
          <t>English</t>
        </is>
      </c>
      <c r="G1744" s="21" t="inlineStr">
        <is>
          <t>R</t>
        </is>
      </c>
      <c r="H1744" s="22" t="n">
        <v>25529689.5</v>
      </c>
      <c r="I1744" s="22" t="n">
        <v>14000000</v>
      </c>
      <c r="J1744" s="21">
        <f>IF(OR(H1744="",H1744=25529689.5),"Yes","No")</f>
        <v/>
      </c>
      <c r="K1744" s="21">
        <f>IF(AND(D1744="USA",C1744&gt;=1980,J1744="No"),"Yes","No")</f>
        <v/>
      </c>
      <c r="L1744" s="26">
        <f>IF(J1744="Yes","",H1744-I1744)</f>
        <v/>
      </c>
      <c r="M1744" s="27">
        <f>IF(OR(J1744="Yes",I1744=0),"",H1744/I1744)</f>
        <v/>
      </c>
      <c r="N1744" s="21">
        <f>IF(J1744="Yes","",IF(H1744&gt;=I1744,1,0))</f>
        <v/>
      </c>
      <c r="O1744" s="21">
        <f>IF(I1744&lt;=5000000,"Under $5M",IF(I1744&lt;=20000000,"$5M-20M",IF(I1744&lt;=50000000,"$20M-50M",IF(I1744&lt;=100000000,"$50M-100M","$100M+"))))</f>
        <v/>
      </c>
      <c r="P1744" s="21">
        <f>IF(E1744&lt;=90,"90 or less",IF(E1744&lt;=105,"91-105",IF(E1744&lt;=120,"106-120",IF(E1744&lt;=140,"121-140","Over 140"))))</f>
        <v/>
      </c>
      <c r="Q1744" s="28">
        <f>INT(C1744/10)*10</f>
        <v/>
      </c>
    </row>
    <row r="1745">
      <c r="A1745" s="21" t="n">
        <v>1782</v>
      </c>
      <c r="B1745" s="21" t="inlineStr">
        <is>
          <t>Hollywood Ending</t>
        </is>
      </c>
      <c r="C1745" s="21" t="n">
        <v>2002</v>
      </c>
      <c r="D1745" s="21" t="inlineStr">
        <is>
          <t>USA</t>
        </is>
      </c>
      <c r="E1745" s="21" t="n">
        <v>112</v>
      </c>
      <c r="F1745" s="21" t="inlineStr">
        <is>
          <t>English</t>
        </is>
      </c>
      <c r="G1745" s="21" t="inlineStr">
        <is>
          <t>PG-13</t>
        </is>
      </c>
      <c r="H1745" s="22" t="n">
        <v>4839383</v>
      </c>
      <c r="I1745" s="22" t="n">
        <v>16000000</v>
      </c>
      <c r="J1745" s="21">
        <f>IF(OR(H1745="",H1745=25529689.5),"Yes","No")</f>
        <v/>
      </c>
      <c r="K1745" s="21">
        <f>IF(AND(D1745="USA",C1745&gt;=1980,J1745="No"),"Yes","No")</f>
        <v/>
      </c>
      <c r="L1745" s="26">
        <f>IF(J1745="Yes","",H1745-I1745)</f>
        <v/>
      </c>
      <c r="M1745" s="27">
        <f>IF(OR(J1745="Yes",I1745=0),"",H1745/I1745)</f>
        <v/>
      </c>
      <c r="N1745" s="21">
        <f>IF(J1745="Yes","",IF(H1745&gt;=I1745,1,0))</f>
        <v/>
      </c>
      <c r="O1745" s="21">
        <f>IF(I1745&lt;=5000000,"Under $5M",IF(I1745&lt;=20000000,"$5M-20M",IF(I1745&lt;=50000000,"$20M-50M",IF(I1745&lt;=100000000,"$50M-100M","$100M+"))))</f>
        <v/>
      </c>
      <c r="P1745" s="21">
        <f>IF(E1745&lt;=90,"90 or less",IF(E1745&lt;=105,"91-105",IF(E1745&lt;=120,"106-120",IF(E1745&lt;=140,"121-140","Over 140"))))</f>
        <v/>
      </c>
      <c r="Q1745" s="28">
        <f>INT(C1745/10)*10</f>
        <v/>
      </c>
    </row>
    <row r="1746">
      <c r="A1746" s="21" t="n">
        <v>1783</v>
      </c>
      <c r="B1746" s="21" t="inlineStr">
        <is>
          <t>I Spy</t>
        </is>
      </c>
      <c r="C1746" s="21" t="n">
        <v>2002</v>
      </c>
      <c r="D1746" s="21" t="inlineStr">
        <is>
          <t>USA</t>
        </is>
      </c>
      <c r="E1746" s="21" t="n">
        <v>97</v>
      </c>
      <c r="F1746" s="21" t="inlineStr">
        <is>
          <t>English</t>
        </is>
      </c>
      <c r="G1746" s="21" t="inlineStr">
        <is>
          <t>PG-13</t>
        </is>
      </c>
      <c r="H1746" s="22" t="n">
        <v>33105600</v>
      </c>
      <c r="I1746" s="22" t="n">
        <v>70000000</v>
      </c>
      <c r="J1746" s="21">
        <f>IF(OR(H1746="",H1746=25529689.5),"Yes","No")</f>
        <v/>
      </c>
      <c r="K1746" s="21">
        <f>IF(AND(D1746="USA",C1746&gt;=1980,J1746="No"),"Yes","No")</f>
        <v/>
      </c>
      <c r="L1746" s="26">
        <f>IF(J1746="Yes","",H1746-I1746)</f>
        <v/>
      </c>
      <c r="M1746" s="27">
        <f>IF(OR(J1746="Yes",I1746=0),"",H1746/I1746)</f>
        <v/>
      </c>
      <c r="N1746" s="21">
        <f>IF(J1746="Yes","",IF(H1746&gt;=I1746,1,0))</f>
        <v/>
      </c>
      <c r="O1746" s="21">
        <f>IF(I1746&lt;=5000000,"Under $5M",IF(I1746&lt;=20000000,"$5M-20M",IF(I1746&lt;=50000000,"$20M-50M",IF(I1746&lt;=100000000,"$50M-100M","$100M+"))))</f>
        <v/>
      </c>
      <c r="P1746" s="21">
        <f>IF(E1746&lt;=90,"90 or less",IF(E1746&lt;=105,"91-105",IF(E1746&lt;=120,"106-120",IF(E1746&lt;=140,"121-140","Over 140"))))</f>
        <v/>
      </c>
      <c r="Q1746" s="28">
        <f>INT(C1746/10)*10</f>
        <v/>
      </c>
    </row>
    <row r="1747">
      <c r="A1747" s="21" t="n">
        <v>1784</v>
      </c>
      <c r="B1747" s="21" t="inlineStr">
        <is>
          <t>Ice Age</t>
        </is>
      </c>
      <c r="C1747" s="21" t="n">
        <v>2002</v>
      </c>
      <c r="D1747" s="21" t="inlineStr">
        <is>
          <t>USA</t>
        </is>
      </c>
      <c r="E1747" s="21" t="n">
        <v>103</v>
      </c>
      <c r="F1747" s="21" t="inlineStr">
        <is>
          <t>English</t>
        </is>
      </c>
      <c r="G1747" s="21" t="inlineStr">
        <is>
          <t>PG</t>
        </is>
      </c>
      <c r="H1747" s="22" t="n">
        <v>176387405</v>
      </c>
      <c r="I1747" s="22" t="n">
        <v>59000000</v>
      </c>
      <c r="J1747" s="21">
        <f>IF(OR(H1747="",H1747=25529689.5),"Yes","No")</f>
        <v/>
      </c>
      <c r="K1747" s="21">
        <f>IF(AND(D1747="USA",C1747&gt;=1980,J1747="No"),"Yes","No")</f>
        <v/>
      </c>
      <c r="L1747" s="26">
        <f>IF(J1747="Yes","",H1747-I1747)</f>
        <v/>
      </c>
      <c r="M1747" s="27">
        <f>IF(OR(J1747="Yes",I1747=0),"",H1747/I1747)</f>
        <v/>
      </c>
      <c r="N1747" s="21">
        <f>IF(J1747="Yes","",IF(H1747&gt;=I1747,1,0))</f>
        <v/>
      </c>
      <c r="O1747" s="21">
        <f>IF(I1747&lt;=5000000,"Under $5M",IF(I1747&lt;=20000000,"$5M-20M",IF(I1747&lt;=50000000,"$20M-50M",IF(I1747&lt;=100000000,"$50M-100M","$100M+"))))</f>
        <v/>
      </c>
      <c r="P1747" s="21">
        <f>IF(E1747&lt;=90,"90 or less",IF(E1747&lt;=105,"91-105",IF(E1747&lt;=120,"106-120",IF(E1747&lt;=140,"121-140","Over 140"))))</f>
        <v/>
      </c>
      <c r="Q1747" s="28">
        <f>INT(C1747/10)*10</f>
        <v/>
      </c>
    </row>
    <row r="1748">
      <c r="A1748" s="21" t="n">
        <v>1785</v>
      </c>
      <c r="B1748" s="21" t="inlineStr">
        <is>
          <t>Igby Goes Down</t>
        </is>
      </c>
      <c r="C1748" s="21" t="n">
        <v>2002</v>
      </c>
      <c r="D1748" s="21" t="inlineStr">
        <is>
          <t>USA</t>
        </is>
      </c>
      <c r="E1748" s="21" t="n">
        <v>99</v>
      </c>
      <c r="F1748" s="21" t="inlineStr">
        <is>
          <t>English</t>
        </is>
      </c>
      <c r="G1748" s="21" t="inlineStr">
        <is>
          <t>R</t>
        </is>
      </c>
      <c r="H1748" s="22" t="n">
        <v>4681503</v>
      </c>
      <c r="I1748" s="22" t="n">
        <v>9000000</v>
      </c>
      <c r="J1748" s="21">
        <f>IF(OR(H1748="",H1748=25529689.5),"Yes","No")</f>
        <v/>
      </c>
      <c r="K1748" s="21">
        <f>IF(AND(D1748="USA",C1748&gt;=1980,J1748="No"),"Yes","No")</f>
        <v/>
      </c>
      <c r="L1748" s="26">
        <f>IF(J1748="Yes","",H1748-I1748)</f>
        <v/>
      </c>
      <c r="M1748" s="27">
        <f>IF(OR(J1748="Yes",I1748=0),"",H1748/I1748)</f>
        <v/>
      </c>
      <c r="N1748" s="21">
        <f>IF(J1748="Yes","",IF(H1748&gt;=I1748,1,0))</f>
        <v/>
      </c>
      <c r="O1748" s="21">
        <f>IF(I1748&lt;=5000000,"Under $5M",IF(I1748&lt;=20000000,"$5M-20M",IF(I1748&lt;=50000000,"$20M-50M",IF(I1748&lt;=100000000,"$50M-100M","$100M+"))))</f>
        <v/>
      </c>
      <c r="P1748" s="21">
        <f>IF(E1748&lt;=90,"90 or less",IF(E1748&lt;=105,"91-105",IF(E1748&lt;=120,"106-120",IF(E1748&lt;=140,"121-140","Over 140"))))</f>
        <v/>
      </c>
      <c r="Q1748" s="28">
        <f>INT(C1748/10)*10</f>
        <v/>
      </c>
    </row>
    <row r="1749">
      <c r="A1749" s="21" t="n">
        <v>1786</v>
      </c>
      <c r="B1749" s="21" t="inlineStr">
        <is>
          <t>Insomnia</t>
        </is>
      </c>
      <c r="C1749" s="21" t="n">
        <v>2002</v>
      </c>
      <c r="D1749" s="21" t="inlineStr">
        <is>
          <t>USA</t>
        </is>
      </c>
      <c r="E1749" s="21" t="n">
        <v>118</v>
      </c>
      <c r="F1749" s="21" t="inlineStr">
        <is>
          <t>English</t>
        </is>
      </c>
      <c r="G1749" s="21" t="inlineStr">
        <is>
          <t>R</t>
        </is>
      </c>
      <c r="H1749" s="22" t="n">
        <v>67263182</v>
      </c>
      <c r="I1749" s="22" t="n">
        <v>46000000</v>
      </c>
      <c r="J1749" s="21">
        <f>IF(OR(H1749="",H1749=25529689.5),"Yes","No")</f>
        <v/>
      </c>
      <c r="K1749" s="21">
        <f>IF(AND(D1749="USA",C1749&gt;=1980,J1749="No"),"Yes","No")</f>
        <v/>
      </c>
      <c r="L1749" s="26">
        <f>IF(J1749="Yes","",H1749-I1749)</f>
        <v/>
      </c>
      <c r="M1749" s="27">
        <f>IF(OR(J1749="Yes",I1749=0),"",H1749/I1749)</f>
        <v/>
      </c>
      <c r="N1749" s="21">
        <f>IF(J1749="Yes","",IF(H1749&gt;=I1749,1,0))</f>
        <v/>
      </c>
      <c r="O1749" s="21">
        <f>IF(I1749&lt;=5000000,"Under $5M",IF(I1749&lt;=20000000,"$5M-20M",IF(I1749&lt;=50000000,"$20M-50M",IF(I1749&lt;=100000000,"$50M-100M","$100M+"))))</f>
        <v/>
      </c>
      <c r="P1749" s="21">
        <f>IF(E1749&lt;=90,"90 or less",IF(E1749&lt;=105,"91-105",IF(E1749&lt;=120,"106-120",IF(E1749&lt;=140,"121-140","Over 140"))))</f>
        <v/>
      </c>
      <c r="Q1749" s="28">
        <f>INT(C1749/10)*10</f>
        <v/>
      </c>
    </row>
    <row r="1750">
      <c r="A1750" s="21" t="n">
        <v>1787</v>
      </c>
      <c r="B1750" s="21" t="inlineStr">
        <is>
          <t>Interview with the Assassin</t>
        </is>
      </c>
      <c r="C1750" s="21" t="n">
        <v>2002</v>
      </c>
      <c r="D1750" s="21" t="inlineStr">
        <is>
          <t>USA</t>
        </is>
      </c>
      <c r="E1750" s="21" t="n">
        <v>88</v>
      </c>
      <c r="F1750" s="21" t="inlineStr">
        <is>
          <t>English</t>
        </is>
      </c>
      <c r="G1750" s="21" t="inlineStr">
        <is>
          <t>R</t>
        </is>
      </c>
      <c r="H1750" s="22" t="n">
        <v>47329</v>
      </c>
      <c r="I1750" s="22" t="n">
        <v>750000</v>
      </c>
      <c r="J1750" s="21">
        <f>IF(OR(H1750="",H1750=25529689.5),"Yes","No")</f>
        <v/>
      </c>
      <c r="K1750" s="21">
        <f>IF(AND(D1750="USA",C1750&gt;=1980,J1750="No"),"Yes","No")</f>
        <v/>
      </c>
      <c r="L1750" s="26">
        <f>IF(J1750="Yes","",H1750-I1750)</f>
        <v/>
      </c>
      <c r="M1750" s="27">
        <f>IF(OR(J1750="Yes",I1750=0),"",H1750/I1750)</f>
        <v/>
      </c>
      <c r="N1750" s="21">
        <f>IF(J1750="Yes","",IF(H1750&gt;=I1750,1,0))</f>
        <v/>
      </c>
      <c r="O1750" s="21">
        <f>IF(I1750&lt;=5000000,"Under $5M",IF(I1750&lt;=20000000,"$5M-20M",IF(I1750&lt;=50000000,"$20M-50M",IF(I1750&lt;=100000000,"$50M-100M","$100M+"))))</f>
        <v/>
      </c>
      <c r="P1750" s="21">
        <f>IF(E1750&lt;=90,"90 or less",IF(E1750&lt;=105,"91-105",IF(E1750&lt;=120,"106-120",IF(E1750&lt;=140,"121-140","Over 140"))))</f>
        <v/>
      </c>
      <c r="Q1750" s="28">
        <f>INT(C1750/10)*10</f>
        <v/>
      </c>
    </row>
    <row r="1751">
      <c r="A1751" s="21" t="n">
        <v>1788</v>
      </c>
      <c r="B1751" s="21" t="inlineStr">
        <is>
          <t>Irreversible</t>
        </is>
      </c>
      <c r="C1751" s="21" t="n">
        <v>2002</v>
      </c>
      <c r="D1751" s="21" t="inlineStr">
        <is>
          <t>France</t>
        </is>
      </c>
      <c r="E1751" s="21" t="n">
        <v>99</v>
      </c>
      <c r="F1751" s="21" t="inlineStr">
        <is>
          <t>French</t>
        </is>
      </c>
      <c r="G1751" s="21" t="inlineStr">
        <is>
          <t>Not Rated</t>
        </is>
      </c>
      <c r="H1751" s="22" t="n">
        <v>753501</v>
      </c>
      <c r="I1751" s="22" t="n">
        <v>20000000</v>
      </c>
      <c r="J1751" s="21">
        <f>IF(OR(H1751="",H1751=25529689.5),"Yes","No")</f>
        <v/>
      </c>
      <c r="K1751" s="21">
        <f>IF(AND(D1751="USA",C1751&gt;=1980,J1751="No"),"Yes","No")</f>
        <v/>
      </c>
      <c r="L1751" s="26">
        <f>IF(J1751="Yes","",H1751-I1751)</f>
        <v/>
      </c>
      <c r="M1751" s="27">
        <f>IF(OR(J1751="Yes",I1751=0),"",H1751/I1751)</f>
        <v/>
      </c>
      <c r="N1751" s="21">
        <f>IF(J1751="Yes","",IF(H1751&gt;=I1751,1,0))</f>
        <v/>
      </c>
      <c r="O1751" s="21">
        <f>IF(I1751&lt;=5000000,"Under $5M",IF(I1751&lt;=20000000,"$5M-20M",IF(I1751&lt;=50000000,"$20M-50M",IF(I1751&lt;=100000000,"$50M-100M","$100M+"))))</f>
        <v/>
      </c>
      <c r="P1751" s="21">
        <f>IF(E1751&lt;=90,"90 or less",IF(E1751&lt;=105,"91-105",IF(E1751&lt;=120,"106-120",IF(E1751&lt;=140,"121-140","Over 140"))))</f>
        <v/>
      </c>
      <c r="Q1751" s="28">
        <f>INT(C1751/10)*10</f>
        <v/>
      </c>
    </row>
    <row r="1752">
      <c r="A1752" s="21" t="n">
        <v>1789</v>
      </c>
      <c r="B1752" s="21" t="inlineStr">
        <is>
          <t>Jackass: The Movie</t>
        </is>
      </c>
      <c r="C1752" s="21" t="n">
        <v>2002</v>
      </c>
      <c r="D1752" s="21" t="inlineStr">
        <is>
          <t>USA</t>
        </is>
      </c>
      <c r="E1752" s="21" t="n">
        <v>87</v>
      </c>
      <c r="F1752" s="21" t="inlineStr">
        <is>
          <t>English</t>
        </is>
      </c>
      <c r="G1752" s="21" t="inlineStr">
        <is>
          <t>R</t>
        </is>
      </c>
      <c r="H1752" s="22" t="n">
        <v>64267897</v>
      </c>
      <c r="I1752" s="22" t="n">
        <v>5000000</v>
      </c>
      <c r="J1752" s="21">
        <f>IF(OR(H1752="",H1752=25529689.5),"Yes","No")</f>
        <v/>
      </c>
      <c r="K1752" s="21">
        <f>IF(AND(D1752="USA",C1752&gt;=1980,J1752="No"),"Yes","No")</f>
        <v/>
      </c>
      <c r="L1752" s="26">
        <f>IF(J1752="Yes","",H1752-I1752)</f>
        <v/>
      </c>
      <c r="M1752" s="27">
        <f>IF(OR(J1752="Yes",I1752=0),"",H1752/I1752)</f>
        <v/>
      </c>
      <c r="N1752" s="21">
        <f>IF(J1752="Yes","",IF(H1752&gt;=I1752,1,0))</f>
        <v/>
      </c>
      <c r="O1752" s="21">
        <f>IF(I1752&lt;=5000000,"Under $5M",IF(I1752&lt;=20000000,"$5M-20M",IF(I1752&lt;=50000000,"$20M-50M",IF(I1752&lt;=100000000,"$50M-100M","$100M+"))))</f>
        <v/>
      </c>
      <c r="P1752" s="21">
        <f>IF(E1752&lt;=90,"90 or less",IF(E1752&lt;=105,"91-105",IF(E1752&lt;=120,"106-120",IF(E1752&lt;=140,"121-140","Over 140"))))</f>
        <v/>
      </c>
      <c r="Q1752" s="28">
        <f>INT(C1752/10)*10</f>
        <v/>
      </c>
    </row>
    <row r="1753">
      <c r="A1753" s="21" t="n">
        <v>1790</v>
      </c>
      <c r="B1753" s="21" t="inlineStr">
        <is>
          <t>John Q</t>
        </is>
      </c>
      <c r="C1753" s="21" t="n">
        <v>2002</v>
      </c>
      <c r="D1753" s="21" t="inlineStr">
        <is>
          <t>USA</t>
        </is>
      </c>
      <c r="E1753" s="21" t="n">
        <v>116</v>
      </c>
      <c r="F1753" s="21" t="inlineStr">
        <is>
          <t>English</t>
        </is>
      </c>
      <c r="G1753" s="21" t="inlineStr">
        <is>
          <t>PG-13</t>
        </is>
      </c>
      <c r="H1753" s="22" t="n">
        <v>71026631</v>
      </c>
      <c r="I1753" s="22" t="n">
        <v>36000000</v>
      </c>
      <c r="J1753" s="21">
        <f>IF(OR(H1753="",H1753=25529689.5),"Yes","No")</f>
        <v/>
      </c>
      <c r="K1753" s="21">
        <f>IF(AND(D1753="USA",C1753&gt;=1980,J1753="No"),"Yes","No")</f>
        <v/>
      </c>
      <c r="L1753" s="26">
        <f>IF(J1753="Yes","",H1753-I1753)</f>
        <v/>
      </c>
      <c r="M1753" s="27">
        <f>IF(OR(J1753="Yes",I1753=0),"",H1753/I1753)</f>
        <v/>
      </c>
      <c r="N1753" s="21">
        <f>IF(J1753="Yes","",IF(H1753&gt;=I1753,1,0))</f>
        <v/>
      </c>
      <c r="O1753" s="21">
        <f>IF(I1753&lt;=5000000,"Under $5M",IF(I1753&lt;=20000000,"$5M-20M",IF(I1753&lt;=50000000,"$20M-50M",IF(I1753&lt;=100000000,"$50M-100M","$100M+"))))</f>
        <v/>
      </c>
      <c r="P1753" s="21">
        <f>IF(E1753&lt;=90,"90 or less",IF(E1753&lt;=105,"91-105",IF(E1753&lt;=120,"106-120",IF(E1753&lt;=140,"121-140","Over 140"))))</f>
        <v/>
      </c>
      <c r="Q1753" s="28">
        <f>INT(C1753/10)*10</f>
        <v/>
      </c>
    </row>
    <row r="1754">
      <c r="A1754" s="21" t="n">
        <v>1791</v>
      </c>
      <c r="B1754" s="21" t="inlineStr">
        <is>
          <t>Jonah: A VeggieTales Movie</t>
        </is>
      </c>
      <c r="C1754" s="21" t="n">
        <v>2002</v>
      </c>
      <c r="D1754" s="21" t="inlineStr">
        <is>
          <t>USA</t>
        </is>
      </c>
      <c r="E1754" s="21" t="n">
        <v>82</v>
      </c>
      <c r="F1754" s="21" t="inlineStr">
        <is>
          <t>English</t>
        </is>
      </c>
      <c r="G1754" s="21" t="inlineStr">
        <is>
          <t>G</t>
        </is>
      </c>
      <c r="H1754" s="22" t="n">
        <v>25571351</v>
      </c>
      <c r="I1754" s="22" t="n">
        <v>14000000</v>
      </c>
      <c r="J1754" s="21">
        <f>IF(OR(H1754="",H1754=25529689.5),"Yes","No")</f>
        <v/>
      </c>
      <c r="K1754" s="21">
        <f>IF(AND(D1754="USA",C1754&gt;=1980,J1754="No"),"Yes","No")</f>
        <v/>
      </c>
      <c r="L1754" s="26">
        <f>IF(J1754="Yes","",H1754-I1754)</f>
        <v/>
      </c>
      <c r="M1754" s="27">
        <f>IF(OR(J1754="Yes",I1754=0),"",H1754/I1754)</f>
        <v/>
      </c>
      <c r="N1754" s="21">
        <f>IF(J1754="Yes","",IF(H1754&gt;=I1754,1,0))</f>
        <v/>
      </c>
      <c r="O1754" s="21">
        <f>IF(I1754&lt;=5000000,"Under $5M",IF(I1754&lt;=20000000,"$5M-20M",IF(I1754&lt;=50000000,"$20M-50M",IF(I1754&lt;=100000000,"$50M-100M","$100M+"))))</f>
        <v/>
      </c>
      <c r="P1754" s="21">
        <f>IF(E1754&lt;=90,"90 or less",IF(E1754&lt;=105,"91-105",IF(E1754&lt;=120,"106-120",IF(E1754&lt;=140,"121-140","Over 140"))))</f>
        <v/>
      </c>
      <c r="Q1754" s="28">
        <f>INT(C1754/10)*10</f>
        <v/>
      </c>
    </row>
    <row r="1755">
      <c r="A1755" s="21" t="n">
        <v>1792</v>
      </c>
      <c r="B1755" s="21" t="inlineStr">
        <is>
          <t>Juwanna Mann</t>
        </is>
      </c>
      <c r="C1755" s="21" t="n">
        <v>2002</v>
      </c>
      <c r="D1755" s="21" t="inlineStr">
        <is>
          <t>USA</t>
        </is>
      </c>
      <c r="E1755" s="21" t="n">
        <v>91</v>
      </c>
      <c r="F1755" s="21" t="inlineStr">
        <is>
          <t>English</t>
        </is>
      </c>
      <c r="G1755" s="21" t="inlineStr">
        <is>
          <t>PG-13</t>
        </is>
      </c>
      <c r="H1755" s="22" t="n">
        <v>13571817</v>
      </c>
      <c r="I1755" s="22" t="n">
        <v>15600000</v>
      </c>
      <c r="J1755" s="21">
        <f>IF(OR(H1755="",H1755=25529689.5),"Yes","No")</f>
        <v/>
      </c>
      <c r="K1755" s="21">
        <f>IF(AND(D1755="USA",C1755&gt;=1980,J1755="No"),"Yes","No")</f>
        <v/>
      </c>
      <c r="L1755" s="26">
        <f>IF(J1755="Yes","",H1755-I1755)</f>
        <v/>
      </c>
      <c r="M1755" s="27">
        <f>IF(OR(J1755="Yes",I1755=0),"",H1755/I1755)</f>
        <v/>
      </c>
      <c r="N1755" s="21">
        <f>IF(J1755="Yes","",IF(H1755&gt;=I1755,1,0))</f>
        <v/>
      </c>
      <c r="O1755" s="21">
        <f>IF(I1755&lt;=5000000,"Under $5M",IF(I1755&lt;=20000000,"$5M-20M",IF(I1755&lt;=50000000,"$20M-50M",IF(I1755&lt;=100000000,"$50M-100M","$100M+"))))</f>
        <v/>
      </c>
      <c r="P1755" s="21">
        <f>IF(E1755&lt;=90,"90 or less",IF(E1755&lt;=105,"91-105",IF(E1755&lt;=120,"106-120",IF(E1755&lt;=140,"121-140","Over 140"))))</f>
        <v/>
      </c>
      <c r="Q1755" s="28">
        <f>INT(C1755/10)*10</f>
        <v/>
      </c>
    </row>
    <row r="1756">
      <c r="A1756" s="21" t="n">
        <v>1793</v>
      </c>
      <c r="B1756" s="21" t="inlineStr">
        <is>
          <t>K-19: The Widowmaker</t>
        </is>
      </c>
      <c r="C1756" s="21" t="n">
        <v>2002</v>
      </c>
      <c r="D1756" s="21" t="inlineStr">
        <is>
          <t>UK</t>
        </is>
      </c>
      <c r="E1756" s="21" t="n">
        <v>138</v>
      </c>
      <c r="F1756" s="21" t="inlineStr">
        <is>
          <t>English</t>
        </is>
      </c>
      <c r="G1756" s="21" t="inlineStr">
        <is>
          <t>PG-13</t>
        </is>
      </c>
      <c r="H1756" s="22" t="n">
        <v>35168677</v>
      </c>
      <c r="I1756" s="22" t="n">
        <v>100000000</v>
      </c>
      <c r="J1756" s="21">
        <f>IF(OR(H1756="",H1756=25529689.5),"Yes","No")</f>
        <v/>
      </c>
      <c r="K1756" s="21">
        <f>IF(AND(D1756="USA",C1756&gt;=1980,J1756="No"),"Yes","No")</f>
        <v/>
      </c>
      <c r="L1756" s="26">
        <f>IF(J1756="Yes","",H1756-I1756)</f>
        <v/>
      </c>
      <c r="M1756" s="27">
        <f>IF(OR(J1756="Yes",I1756=0),"",H1756/I1756)</f>
        <v/>
      </c>
      <c r="N1756" s="21">
        <f>IF(J1756="Yes","",IF(H1756&gt;=I1756,1,0))</f>
        <v/>
      </c>
      <c r="O1756" s="21">
        <f>IF(I1756&lt;=5000000,"Under $5M",IF(I1756&lt;=20000000,"$5M-20M",IF(I1756&lt;=50000000,"$20M-50M",IF(I1756&lt;=100000000,"$50M-100M","$100M+"))))</f>
        <v/>
      </c>
      <c r="P1756" s="21">
        <f>IF(E1756&lt;=90,"90 or less",IF(E1756&lt;=105,"91-105",IF(E1756&lt;=120,"106-120",IF(E1756&lt;=140,"121-140","Over 140"))))</f>
        <v/>
      </c>
      <c r="Q1756" s="28">
        <f>INT(C1756/10)*10</f>
        <v/>
      </c>
    </row>
    <row r="1757">
      <c r="A1757" s="21" t="n">
        <v>1794</v>
      </c>
      <c r="B1757" s="21" t="inlineStr">
        <is>
          <t>Kung Pow: Enter the Fist</t>
        </is>
      </c>
      <c r="C1757" s="21" t="n">
        <v>2002</v>
      </c>
      <c r="D1757" s="21" t="inlineStr">
        <is>
          <t>USA</t>
        </is>
      </c>
      <c r="E1757" s="21" t="n">
        <v>81</v>
      </c>
      <c r="F1757" s="21" t="inlineStr">
        <is>
          <t>English</t>
        </is>
      </c>
      <c r="G1757" s="21" t="inlineStr">
        <is>
          <t>PG-13</t>
        </is>
      </c>
      <c r="H1757" s="22" t="n">
        <v>16033556</v>
      </c>
      <c r="I1757" s="22" t="n">
        <v>10000000</v>
      </c>
      <c r="J1757" s="21">
        <f>IF(OR(H1757="",H1757=25529689.5),"Yes","No")</f>
        <v/>
      </c>
      <c r="K1757" s="21">
        <f>IF(AND(D1757="USA",C1757&gt;=1980,J1757="No"),"Yes","No")</f>
        <v/>
      </c>
      <c r="L1757" s="26">
        <f>IF(J1757="Yes","",H1757-I1757)</f>
        <v/>
      </c>
      <c r="M1757" s="27">
        <f>IF(OR(J1757="Yes",I1757=0),"",H1757/I1757)</f>
        <v/>
      </c>
      <c r="N1757" s="21">
        <f>IF(J1757="Yes","",IF(H1757&gt;=I1757,1,0))</f>
        <v/>
      </c>
      <c r="O1757" s="21">
        <f>IF(I1757&lt;=5000000,"Under $5M",IF(I1757&lt;=20000000,"$5M-20M",IF(I1757&lt;=50000000,"$20M-50M",IF(I1757&lt;=100000000,"$50M-100M","$100M+"))))</f>
        <v/>
      </c>
      <c r="P1757" s="21">
        <f>IF(E1757&lt;=90,"90 or less",IF(E1757&lt;=105,"91-105",IF(E1757&lt;=120,"106-120",IF(E1757&lt;=140,"121-140","Over 140"))))</f>
        <v/>
      </c>
      <c r="Q1757" s="28">
        <f>INT(C1757/10)*10</f>
        <v/>
      </c>
    </row>
    <row r="1758">
      <c r="A1758" s="21" t="n">
        <v>1795</v>
      </c>
      <c r="B1758" s="21" t="inlineStr">
        <is>
          <t>L'auberge espagnole</t>
        </is>
      </c>
      <c r="C1758" s="21" t="n">
        <v>2002</v>
      </c>
      <c r="D1758" s="21" t="inlineStr">
        <is>
          <t>France</t>
        </is>
      </c>
      <c r="E1758" s="21" t="n">
        <v>111</v>
      </c>
      <c r="F1758" s="21" t="inlineStr">
        <is>
          <t>French</t>
        </is>
      </c>
      <c r="G1758" s="21" t="inlineStr">
        <is>
          <t>R</t>
        </is>
      </c>
      <c r="H1758" s="22" t="n">
        <v>3895664</v>
      </c>
      <c r="I1758" s="22" t="n">
        <v>5300000</v>
      </c>
      <c r="J1758" s="21">
        <f>IF(OR(H1758="",H1758=25529689.5),"Yes","No")</f>
        <v/>
      </c>
      <c r="K1758" s="21">
        <f>IF(AND(D1758="USA",C1758&gt;=1980,J1758="No"),"Yes","No")</f>
        <v/>
      </c>
      <c r="L1758" s="26">
        <f>IF(J1758="Yes","",H1758-I1758)</f>
        <v/>
      </c>
      <c r="M1758" s="27">
        <f>IF(OR(J1758="Yes",I1758=0),"",H1758/I1758)</f>
        <v/>
      </c>
      <c r="N1758" s="21">
        <f>IF(J1758="Yes","",IF(H1758&gt;=I1758,1,0))</f>
        <v/>
      </c>
      <c r="O1758" s="21">
        <f>IF(I1758&lt;=5000000,"Under $5M",IF(I1758&lt;=20000000,"$5M-20M",IF(I1758&lt;=50000000,"$20M-50M",IF(I1758&lt;=100000000,"$50M-100M","$100M+"))))</f>
        <v/>
      </c>
      <c r="P1758" s="21">
        <f>IF(E1758&lt;=90,"90 or less",IF(E1758&lt;=105,"91-105",IF(E1758&lt;=120,"106-120",IF(E1758&lt;=140,"121-140","Over 140"))))</f>
        <v/>
      </c>
      <c r="Q1758" s="28">
        <f>INT(C1758/10)*10</f>
        <v/>
      </c>
    </row>
    <row r="1759">
      <c r="A1759" s="21" t="n">
        <v>1796</v>
      </c>
      <c r="B1759" s="21" t="inlineStr">
        <is>
          <t>Life or Something Like It</t>
        </is>
      </c>
      <c r="C1759" s="21" t="n">
        <v>2002</v>
      </c>
      <c r="D1759" s="21" t="inlineStr">
        <is>
          <t>USA</t>
        </is>
      </c>
      <c r="E1759" s="21" t="n">
        <v>103</v>
      </c>
      <c r="F1759" s="21" t="inlineStr">
        <is>
          <t>English</t>
        </is>
      </c>
      <c r="G1759" s="21" t="inlineStr">
        <is>
          <t>PG-13</t>
        </is>
      </c>
      <c r="H1759" s="22" t="n">
        <v>14448589</v>
      </c>
      <c r="I1759" s="22" t="n">
        <v>40000000</v>
      </c>
      <c r="J1759" s="21">
        <f>IF(OR(H1759="",H1759=25529689.5),"Yes","No")</f>
        <v/>
      </c>
      <c r="K1759" s="21">
        <f>IF(AND(D1759="USA",C1759&gt;=1980,J1759="No"),"Yes","No")</f>
        <v/>
      </c>
      <c r="L1759" s="26">
        <f>IF(J1759="Yes","",H1759-I1759)</f>
        <v/>
      </c>
      <c r="M1759" s="27">
        <f>IF(OR(J1759="Yes",I1759=0),"",H1759/I1759)</f>
        <v/>
      </c>
      <c r="N1759" s="21">
        <f>IF(J1759="Yes","",IF(H1759&gt;=I1759,1,0))</f>
        <v/>
      </c>
      <c r="O1759" s="21">
        <f>IF(I1759&lt;=5000000,"Under $5M",IF(I1759&lt;=20000000,"$5M-20M",IF(I1759&lt;=50000000,"$20M-50M",IF(I1759&lt;=100000000,"$50M-100M","$100M+"))))</f>
        <v/>
      </c>
      <c r="P1759" s="21">
        <f>IF(E1759&lt;=90,"90 or less",IF(E1759&lt;=105,"91-105",IF(E1759&lt;=120,"106-120",IF(E1759&lt;=140,"121-140","Over 140"))))</f>
        <v/>
      </c>
      <c r="Q1759" s="28">
        <f>INT(C1759/10)*10</f>
        <v/>
      </c>
    </row>
    <row r="1760">
      <c r="A1760" s="21" t="n">
        <v>1797</v>
      </c>
      <c r="B1760" s="21" t="inlineStr">
        <is>
          <t>Like Mike</t>
        </is>
      </c>
      <c r="C1760" s="21" t="n">
        <v>2002</v>
      </c>
      <c r="D1760" s="21" t="inlineStr">
        <is>
          <t>USA</t>
        </is>
      </c>
      <c r="E1760" s="21" t="n">
        <v>99</v>
      </c>
      <c r="F1760" s="21" t="inlineStr">
        <is>
          <t>English</t>
        </is>
      </c>
      <c r="G1760" s="21" t="inlineStr">
        <is>
          <t>PG</t>
        </is>
      </c>
      <c r="H1760" s="22" t="n">
        <v>51432423</v>
      </c>
      <c r="I1760" s="22" t="n">
        <v>30000000</v>
      </c>
      <c r="J1760" s="21">
        <f>IF(OR(H1760="",H1760=25529689.5),"Yes","No")</f>
        <v/>
      </c>
      <c r="K1760" s="21">
        <f>IF(AND(D1760="USA",C1760&gt;=1980,J1760="No"),"Yes","No")</f>
        <v/>
      </c>
      <c r="L1760" s="26">
        <f>IF(J1760="Yes","",H1760-I1760)</f>
        <v/>
      </c>
      <c r="M1760" s="27">
        <f>IF(OR(J1760="Yes",I1760=0),"",H1760/I1760)</f>
        <v/>
      </c>
      <c r="N1760" s="21">
        <f>IF(J1760="Yes","",IF(H1760&gt;=I1760,1,0))</f>
        <v/>
      </c>
      <c r="O1760" s="21">
        <f>IF(I1760&lt;=5000000,"Under $5M",IF(I1760&lt;=20000000,"$5M-20M",IF(I1760&lt;=50000000,"$20M-50M",IF(I1760&lt;=100000000,"$50M-100M","$100M+"))))</f>
        <v/>
      </c>
      <c r="P1760" s="21">
        <f>IF(E1760&lt;=90,"90 or less",IF(E1760&lt;=105,"91-105",IF(E1760&lt;=120,"106-120",IF(E1760&lt;=140,"121-140","Over 140"))))</f>
        <v/>
      </c>
      <c r="Q1760" s="28">
        <f>INT(C1760/10)*10</f>
        <v/>
      </c>
    </row>
    <row r="1761">
      <c r="A1761" s="21" t="n">
        <v>1798</v>
      </c>
      <c r="B1761" s="21" t="inlineStr">
        <is>
          <t>Lilo &amp; Stitch</t>
        </is>
      </c>
      <c r="C1761" s="21" t="n">
        <v>2002</v>
      </c>
      <c r="D1761" s="21" t="inlineStr">
        <is>
          <t>USA</t>
        </is>
      </c>
      <c r="E1761" s="21" t="n">
        <v>85</v>
      </c>
      <c r="F1761" s="21" t="inlineStr">
        <is>
          <t>English</t>
        </is>
      </c>
      <c r="G1761" s="21" t="inlineStr">
        <is>
          <t>PG</t>
        </is>
      </c>
      <c r="H1761" s="22" t="n">
        <v>145771527</v>
      </c>
      <c r="I1761" s="22" t="n">
        <v>80000000</v>
      </c>
      <c r="J1761" s="21">
        <f>IF(OR(H1761="",H1761=25529689.5),"Yes","No")</f>
        <v/>
      </c>
      <c r="K1761" s="21">
        <f>IF(AND(D1761="USA",C1761&gt;=1980,J1761="No"),"Yes","No")</f>
        <v/>
      </c>
      <c r="L1761" s="26">
        <f>IF(J1761="Yes","",H1761-I1761)</f>
        <v/>
      </c>
      <c r="M1761" s="27">
        <f>IF(OR(J1761="Yes",I1761=0),"",H1761/I1761)</f>
        <v/>
      </c>
      <c r="N1761" s="21">
        <f>IF(J1761="Yes","",IF(H1761&gt;=I1761,1,0))</f>
        <v/>
      </c>
      <c r="O1761" s="21">
        <f>IF(I1761&lt;=5000000,"Under $5M",IF(I1761&lt;=20000000,"$5M-20M",IF(I1761&lt;=50000000,"$20M-50M",IF(I1761&lt;=100000000,"$50M-100M","$100M+"))))</f>
        <v/>
      </c>
      <c r="P1761" s="21">
        <f>IF(E1761&lt;=90,"90 or less",IF(E1761&lt;=105,"91-105",IF(E1761&lt;=120,"106-120",IF(E1761&lt;=140,"121-140","Over 140"))))</f>
        <v/>
      </c>
      <c r="Q1761" s="28">
        <f>INT(C1761/10)*10</f>
        <v/>
      </c>
    </row>
    <row r="1762">
      <c r="A1762" s="21" t="n">
        <v>1799</v>
      </c>
      <c r="B1762" s="21" t="inlineStr">
        <is>
          <t>Lilya 4-Ever</t>
        </is>
      </c>
      <c r="C1762" s="21" t="n">
        <v>2002</v>
      </c>
      <c r="D1762" s="21" t="inlineStr">
        <is>
          <t>Sweden</t>
        </is>
      </c>
      <c r="E1762" s="21" t="n">
        <v>109</v>
      </c>
      <c r="F1762" s="21" t="inlineStr">
        <is>
          <t>Russian</t>
        </is>
      </c>
      <c r="G1762" s="21" t="inlineStr">
        <is>
          <t>R</t>
        </is>
      </c>
      <c r="H1762" s="22" t="n">
        <v>181655</v>
      </c>
      <c r="I1762" s="22" t="n">
        <v>20000000</v>
      </c>
      <c r="J1762" s="21">
        <f>IF(OR(H1762="",H1762=25529689.5),"Yes","No")</f>
        <v/>
      </c>
      <c r="K1762" s="21">
        <f>IF(AND(D1762="USA",C1762&gt;=1980,J1762="No"),"Yes","No")</f>
        <v/>
      </c>
      <c r="L1762" s="26">
        <f>IF(J1762="Yes","",H1762-I1762)</f>
        <v/>
      </c>
      <c r="M1762" s="27">
        <f>IF(OR(J1762="Yes",I1762=0),"",H1762/I1762)</f>
        <v/>
      </c>
      <c r="N1762" s="21">
        <f>IF(J1762="Yes","",IF(H1762&gt;=I1762,1,0))</f>
        <v/>
      </c>
      <c r="O1762" s="21">
        <f>IF(I1762&lt;=5000000,"Under $5M",IF(I1762&lt;=20000000,"$5M-20M",IF(I1762&lt;=50000000,"$20M-50M",IF(I1762&lt;=100000000,"$50M-100M","$100M+"))))</f>
        <v/>
      </c>
      <c r="P1762" s="21">
        <f>IF(E1762&lt;=90,"90 or less",IF(E1762&lt;=105,"91-105",IF(E1762&lt;=120,"106-120",IF(E1762&lt;=140,"121-140","Over 140"))))</f>
        <v/>
      </c>
      <c r="Q1762" s="28">
        <f>INT(C1762/10)*10</f>
        <v/>
      </c>
    </row>
    <row r="1763">
      <c r="A1763" s="21" t="n">
        <v>1800</v>
      </c>
      <c r="B1763" s="21" t="inlineStr">
        <is>
          <t>Maid in Manhattan</t>
        </is>
      </c>
      <c r="C1763" s="21" t="n">
        <v>2002</v>
      </c>
      <c r="D1763" s="21" t="inlineStr">
        <is>
          <t>USA</t>
        </is>
      </c>
      <c r="E1763" s="21" t="n">
        <v>105</v>
      </c>
      <c r="F1763" s="21" t="inlineStr">
        <is>
          <t>English</t>
        </is>
      </c>
      <c r="G1763" s="21" t="inlineStr">
        <is>
          <t>PG-13</t>
        </is>
      </c>
      <c r="H1763" s="22" t="n">
        <v>93815117</v>
      </c>
      <c r="I1763" s="22" t="n">
        <v>55000000</v>
      </c>
      <c r="J1763" s="21">
        <f>IF(OR(H1763="",H1763=25529689.5),"Yes","No")</f>
        <v/>
      </c>
      <c r="K1763" s="21">
        <f>IF(AND(D1763="USA",C1763&gt;=1980,J1763="No"),"Yes","No")</f>
        <v/>
      </c>
      <c r="L1763" s="26">
        <f>IF(J1763="Yes","",H1763-I1763)</f>
        <v/>
      </c>
      <c r="M1763" s="27">
        <f>IF(OR(J1763="Yes",I1763=0),"",H1763/I1763)</f>
        <v/>
      </c>
      <c r="N1763" s="21">
        <f>IF(J1763="Yes","",IF(H1763&gt;=I1763,1,0))</f>
        <v/>
      </c>
      <c r="O1763" s="21">
        <f>IF(I1763&lt;=5000000,"Under $5M",IF(I1763&lt;=20000000,"$5M-20M",IF(I1763&lt;=50000000,"$20M-50M",IF(I1763&lt;=100000000,"$50M-100M","$100M+"))))</f>
        <v/>
      </c>
      <c r="P1763" s="21">
        <f>IF(E1763&lt;=90,"90 or less",IF(E1763&lt;=105,"91-105",IF(E1763&lt;=120,"106-120",IF(E1763&lt;=140,"121-140","Over 140"))))</f>
        <v/>
      </c>
      <c r="Q1763" s="28">
        <f>INT(C1763/10)*10</f>
        <v/>
      </c>
    </row>
    <row r="1764">
      <c r="A1764" s="21" t="n">
        <v>1801</v>
      </c>
      <c r="B1764" s="21" t="inlineStr">
        <is>
          <t>Manito</t>
        </is>
      </c>
      <c r="C1764" s="21" t="n">
        <v>2002</v>
      </c>
      <c r="D1764" s="21" t="inlineStr">
        <is>
          <t>USA</t>
        </is>
      </c>
      <c r="E1764" s="21" t="n">
        <v>79</v>
      </c>
      <c r="F1764" s="21" t="inlineStr">
        <is>
          <t>English</t>
        </is>
      </c>
      <c r="G1764" s="21" t="n"/>
      <c r="H1764" s="22" t="n">
        <v>25529689.5</v>
      </c>
      <c r="I1764" s="22" t="n">
        <v>24000</v>
      </c>
      <c r="J1764" s="21">
        <f>IF(OR(H1764="",H1764=25529689.5),"Yes","No")</f>
        <v/>
      </c>
      <c r="K1764" s="21">
        <f>IF(AND(D1764="USA",C1764&gt;=1980,J1764="No"),"Yes","No")</f>
        <v/>
      </c>
      <c r="L1764" s="26">
        <f>IF(J1764="Yes","",H1764-I1764)</f>
        <v/>
      </c>
      <c r="M1764" s="27">
        <f>IF(OR(J1764="Yes",I1764=0),"",H1764/I1764)</f>
        <v/>
      </c>
      <c r="N1764" s="21">
        <f>IF(J1764="Yes","",IF(H1764&gt;=I1764,1,0))</f>
        <v/>
      </c>
      <c r="O1764" s="21">
        <f>IF(I1764&lt;=5000000,"Under $5M",IF(I1764&lt;=20000000,"$5M-20M",IF(I1764&lt;=50000000,"$20M-50M",IF(I1764&lt;=100000000,"$50M-100M","$100M+"))))</f>
        <v/>
      </c>
      <c r="P1764" s="21">
        <f>IF(E1764&lt;=90,"90 or less",IF(E1764&lt;=105,"91-105",IF(E1764&lt;=120,"106-120",IF(E1764&lt;=140,"121-140","Over 140"))))</f>
        <v/>
      </c>
      <c r="Q1764" s="28">
        <f>INT(C1764/10)*10</f>
        <v/>
      </c>
    </row>
    <row r="1765">
      <c r="A1765" s="21" t="n">
        <v>1802</v>
      </c>
      <c r="B1765" s="21" t="inlineStr">
        <is>
          <t>Martin Lawrence Live: Runteldat</t>
        </is>
      </c>
      <c r="C1765" s="21" t="n">
        <v>2002</v>
      </c>
      <c r="D1765" s="21" t="inlineStr">
        <is>
          <t>USA</t>
        </is>
      </c>
      <c r="E1765" s="21" t="n">
        <v>113</v>
      </c>
      <c r="F1765" s="21" t="inlineStr">
        <is>
          <t>English</t>
        </is>
      </c>
      <c r="G1765" s="21" t="inlineStr">
        <is>
          <t>R</t>
        </is>
      </c>
      <c r="H1765" s="22" t="n">
        <v>19184015</v>
      </c>
      <c r="I1765" s="22" t="n">
        <v>3000000</v>
      </c>
      <c r="J1765" s="21">
        <f>IF(OR(H1765="",H1765=25529689.5),"Yes","No")</f>
        <v/>
      </c>
      <c r="K1765" s="21">
        <f>IF(AND(D1765="USA",C1765&gt;=1980,J1765="No"),"Yes","No")</f>
        <v/>
      </c>
      <c r="L1765" s="26">
        <f>IF(J1765="Yes","",H1765-I1765)</f>
        <v/>
      </c>
      <c r="M1765" s="27">
        <f>IF(OR(J1765="Yes",I1765=0),"",H1765/I1765)</f>
        <v/>
      </c>
      <c r="N1765" s="21">
        <f>IF(J1765="Yes","",IF(H1765&gt;=I1765,1,0))</f>
        <v/>
      </c>
      <c r="O1765" s="21">
        <f>IF(I1765&lt;=5000000,"Under $5M",IF(I1765&lt;=20000000,"$5M-20M",IF(I1765&lt;=50000000,"$20M-50M",IF(I1765&lt;=100000000,"$50M-100M","$100M+"))))</f>
        <v/>
      </c>
      <c r="P1765" s="21">
        <f>IF(E1765&lt;=90,"90 or less",IF(E1765&lt;=105,"91-105",IF(E1765&lt;=120,"106-120",IF(E1765&lt;=140,"121-140","Over 140"))))</f>
        <v/>
      </c>
      <c r="Q1765" s="28">
        <f>INT(C1765/10)*10</f>
        <v/>
      </c>
    </row>
    <row r="1766">
      <c r="A1766" s="21" t="n">
        <v>1803</v>
      </c>
      <c r="B1766" s="21" t="inlineStr">
        <is>
          <t>May</t>
        </is>
      </c>
      <c r="C1766" s="21" t="n">
        <v>2002</v>
      </c>
      <c r="D1766" s="21" t="inlineStr">
        <is>
          <t>USA</t>
        </is>
      </c>
      <c r="E1766" s="21" t="n">
        <v>93</v>
      </c>
      <c r="F1766" s="21" t="inlineStr">
        <is>
          <t>English</t>
        </is>
      </c>
      <c r="G1766" s="21" t="inlineStr">
        <is>
          <t>R</t>
        </is>
      </c>
      <c r="H1766" s="22" t="n">
        <v>145540</v>
      </c>
      <c r="I1766" s="22" t="n">
        <v>500000</v>
      </c>
      <c r="J1766" s="21">
        <f>IF(OR(H1766="",H1766=25529689.5),"Yes","No")</f>
        <v/>
      </c>
      <c r="K1766" s="21">
        <f>IF(AND(D1766="USA",C1766&gt;=1980,J1766="No"),"Yes","No")</f>
        <v/>
      </c>
      <c r="L1766" s="26">
        <f>IF(J1766="Yes","",H1766-I1766)</f>
        <v/>
      </c>
      <c r="M1766" s="27">
        <f>IF(OR(J1766="Yes",I1766=0),"",H1766/I1766)</f>
        <v/>
      </c>
      <c r="N1766" s="21">
        <f>IF(J1766="Yes","",IF(H1766&gt;=I1766,1,0))</f>
        <v/>
      </c>
      <c r="O1766" s="21">
        <f>IF(I1766&lt;=5000000,"Under $5M",IF(I1766&lt;=20000000,"$5M-20M",IF(I1766&lt;=50000000,"$20M-50M",IF(I1766&lt;=100000000,"$50M-100M","$100M+"))))</f>
        <v/>
      </c>
      <c r="P1766" s="21">
        <f>IF(E1766&lt;=90,"90 or less",IF(E1766&lt;=105,"91-105",IF(E1766&lt;=120,"106-120",IF(E1766&lt;=140,"121-140","Over 140"))))</f>
        <v/>
      </c>
      <c r="Q1766" s="28">
        <f>INT(C1766/10)*10</f>
        <v/>
      </c>
    </row>
    <row r="1767">
      <c r="A1767" s="21" t="n">
        <v>1804</v>
      </c>
      <c r="B1767" s="21" t="inlineStr">
        <is>
          <t>Men in Black II</t>
        </is>
      </c>
      <c r="C1767" s="21" t="n">
        <v>2002</v>
      </c>
      <c r="D1767" s="21" t="inlineStr">
        <is>
          <t>USA</t>
        </is>
      </c>
      <c r="E1767" s="21" t="n">
        <v>88</v>
      </c>
      <c r="F1767" s="21" t="inlineStr">
        <is>
          <t>English</t>
        </is>
      </c>
      <c r="G1767" s="21" t="inlineStr">
        <is>
          <t>PG-13</t>
        </is>
      </c>
      <c r="H1767" s="22" t="n">
        <v>190418803</v>
      </c>
      <c r="I1767" s="22" t="n">
        <v>140000000</v>
      </c>
      <c r="J1767" s="21">
        <f>IF(OR(H1767="",H1767=25529689.5),"Yes","No")</f>
        <v/>
      </c>
      <c r="K1767" s="21">
        <f>IF(AND(D1767="USA",C1767&gt;=1980,J1767="No"),"Yes","No")</f>
        <v/>
      </c>
      <c r="L1767" s="26">
        <f>IF(J1767="Yes","",H1767-I1767)</f>
        <v/>
      </c>
      <c r="M1767" s="27">
        <f>IF(OR(J1767="Yes",I1767=0),"",H1767/I1767)</f>
        <v/>
      </c>
      <c r="N1767" s="21">
        <f>IF(J1767="Yes","",IF(H1767&gt;=I1767,1,0))</f>
        <v/>
      </c>
      <c r="O1767" s="21">
        <f>IF(I1767&lt;=5000000,"Under $5M",IF(I1767&lt;=20000000,"$5M-20M",IF(I1767&lt;=50000000,"$20M-50M",IF(I1767&lt;=100000000,"$50M-100M","$100M+"))))</f>
        <v/>
      </c>
      <c r="P1767" s="21">
        <f>IF(E1767&lt;=90,"90 or less",IF(E1767&lt;=105,"91-105",IF(E1767&lt;=120,"106-120",IF(E1767&lt;=140,"121-140","Over 140"))))</f>
        <v/>
      </c>
      <c r="Q1767" s="28">
        <f>INT(C1767/10)*10</f>
        <v/>
      </c>
    </row>
    <row r="1768">
      <c r="A1768" s="21" t="n">
        <v>1805</v>
      </c>
      <c r="B1768" s="21" t="inlineStr">
        <is>
          <t>Men with Brooms</t>
        </is>
      </c>
      <c r="C1768" s="21" t="n">
        <v>2002</v>
      </c>
      <c r="D1768" s="21" t="inlineStr">
        <is>
          <t>Canada</t>
        </is>
      </c>
      <c r="E1768" s="21" t="n">
        <v>102</v>
      </c>
      <c r="F1768" s="21" t="inlineStr">
        <is>
          <t>English</t>
        </is>
      </c>
      <c r="G1768" s="21" t="inlineStr">
        <is>
          <t>R</t>
        </is>
      </c>
      <c r="H1768" s="22" t="n">
        <v>4239767</v>
      </c>
      <c r="I1768" s="22" t="n">
        <v>7500000</v>
      </c>
      <c r="J1768" s="21">
        <f>IF(OR(H1768="",H1768=25529689.5),"Yes","No")</f>
        <v/>
      </c>
      <c r="K1768" s="21">
        <f>IF(AND(D1768="USA",C1768&gt;=1980,J1768="No"),"Yes","No")</f>
        <v/>
      </c>
      <c r="L1768" s="26">
        <f>IF(J1768="Yes","",H1768-I1768)</f>
        <v/>
      </c>
      <c r="M1768" s="27">
        <f>IF(OR(J1768="Yes",I1768=0),"",H1768/I1768)</f>
        <v/>
      </c>
      <c r="N1768" s="21">
        <f>IF(J1768="Yes","",IF(H1768&gt;=I1768,1,0))</f>
        <v/>
      </c>
      <c r="O1768" s="21">
        <f>IF(I1768&lt;=5000000,"Under $5M",IF(I1768&lt;=20000000,"$5M-20M",IF(I1768&lt;=50000000,"$20M-50M",IF(I1768&lt;=100000000,"$50M-100M","$100M+"))))</f>
        <v/>
      </c>
      <c r="P1768" s="21">
        <f>IF(E1768&lt;=90,"90 or less",IF(E1768&lt;=105,"91-105",IF(E1768&lt;=120,"106-120",IF(E1768&lt;=140,"121-140","Over 140"))))</f>
        <v/>
      </c>
      <c r="Q1768" s="28">
        <f>INT(C1768/10)*10</f>
        <v/>
      </c>
    </row>
    <row r="1769">
      <c r="A1769" s="21" t="n">
        <v>1806</v>
      </c>
      <c r="B1769" s="21" t="inlineStr">
        <is>
          <t>Minority Report</t>
        </is>
      </c>
      <c r="C1769" s="21" t="n">
        <v>2002</v>
      </c>
      <c r="D1769" s="21" t="inlineStr">
        <is>
          <t>USA</t>
        </is>
      </c>
      <c r="E1769" s="21" t="n">
        <v>145</v>
      </c>
      <c r="F1769" s="21" t="inlineStr">
        <is>
          <t>English</t>
        </is>
      </c>
      <c r="G1769" s="21" t="inlineStr">
        <is>
          <t>PG-13</t>
        </is>
      </c>
      <c r="H1769" s="22" t="n">
        <v>132014112</v>
      </c>
      <c r="I1769" s="22" t="n">
        <v>102000000</v>
      </c>
      <c r="J1769" s="21">
        <f>IF(OR(H1769="",H1769=25529689.5),"Yes","No")</f>
        <v/>
      </c>
      <c r="K1769" s="21">
        <f>IF(AND(D1769="USA",C1769&gt;=1980,J1769="No"),"Yes","No")</f>
        <v/>
      </c>
      <c r="L1769" s="26">
        <f>IF(J1769="Yes","",H1769-I1769)</f>
        <v/>
      </c>
      <c r="M1769" s="27">
        <f>IF(OR(J1769="Yes",I1769=0),"",H1769/I1769)</f>
        <v/>
      </c>
      <c r="N1769" s="21">
        <f>IF(J1769="Yes","",IF(H1769&gt;=I1769,1,0))</f>
        <v/>
      </c>
      <c r="O1769" s="21">
        <f>IF(I1769&lt;=5000000,"Under $5M",IF(I1769&lt;=20000000,"$5M-20M",IF(I1769&lt;=50000000,"$20M-50M",IF(I1769&lt;=100000000,"$50M-100M","$100M+"))))</f>
        <v/>
      </c>
      <c r="P1769" s="21">
        <f>IF(E1769&lt;=90,"90 or less",IF(E1769&lt;=105,"91-105",IF(E1769&lt;=120,"106-120",IF(E1769&lt;=140,"121-140","Over 140"))))</f>
        <v/>
      </c>
      <c r="Q1769" s="28">
        <f>INT(C1769/10)*10</f>
        <v/>
      </c>
    </row>
    <row r="1770">
      <c r="A1770" s="21" t="n">
        <v>1807</v>
      </c>
      <c r="B1770" s="21" t="inlineStr">
        <is>
          <t>Mondays in the Sun</t>
        </is>
      </c>
      <c r="C1770" s="21" t="n">
        <v>2002</v>
      </c>
      <c r="D1770" s="21" t="inlineStr">
        <is>
          <t>Spain</t>
        </is>
      </c>
      <c r="E1770" s="21" t="n">
        <v>113</v>
      </c>
      <c r="F1770" s="21" t="inlineStr">
        <is>
          <t>Spanish</t>
        </is>
      </c>
      <c r="G1770" s="21" t="inlineStr">
        <is>
          <t>R</t>
        </is>
      </c>
      <c r="H1770" s="22" t="n">
        <v>146402</v>
      </c>
      <c r="I1770" s="22" t="n">
        <v>4000000</v>
      </c>
      <c r="J1770" s="21">
        <f>IF(OR(H1770="",H1770=25529689.5),"Yes","No")</f>
        <v/>
      </c>
      <c r="K1770" s="21">
        <f>IF(AND(D1770="USA",C1770&gt;=1980,J1770="No"),"Yes","No")</f>
        <v/>
      </c>
      <c r="L1770" s="26">
        <f>IF(J1770="Yes","",H1770-I1770)</f>
        <v/>
      </c>
      <c r="M1770" s="27">
        <f>IF(OR(J1770="Yes",I1770=0),"",H1770/I1770)</f>
        <v/>
      </c>
      <c r="N1770" s="21">
        <f>IF(J1770="Yes","",IF(H1770&gt;=I1770,1,0))</f>
        <v/>
      </c>
      <c r="O1770" s="21">
        <f>IF(I1770&lt;=5000000,"Under $5M",IF(I1770&lt;=20000000,"$5M-20M",IF(I1770&lt;=50000000,"$20M-50M",IF(I1770&lt;=100000000,"$50M-100M","$100M+"))))</f>
        <v/>
      </c>
      <c r="P1770" s="21">
        <f>IF(E1770&lt;=90,"90 or less",IF(E1770&lt;=105,"91-105",IF(E1770&lt;=120,"106-120",IF(E1770&lt;=140,"121-140","Over 140"))))</f>
        <v/>
      </c>
      <c r="Q1770" s="28">
        <f>INT(C1770/10)*10</f>
        <v/>
      </c>
    </row>
    <row r="1771">
      <c r="A1771" s="21" t="n">
        <v>1808</v>
      </c>
      <c r="B1771" s="21" t="inlineStr">
        <is>
          <t>Moonlight Mile</t>
        </is>
      </c>
      <c r="C1771" s="21" t="n">
        <v>2002</v>
      </c>
      <c r="D1771" s="21" t="inlineStr">
        <is>
          <t>USA</t>
        </is>
      </c>
      <c r="E1771" s="21" t="n">
        <v>112</v>
      </c>
      <c r="F1771" s="21" t="inlineStr">
        <is>
          <t>English</t>
        </is>
      </c>
      <c r="G1771" s="21" t="inlineStr">
        <is>
          <t>PG-13</t>
        </is>
      </c>
      <c r="H1771" s="22" t="n">
        <v>6830957</v>
      </c>
      <c r="I1771" s="22" t="n">
        <v>21000000</v>
      </c>
      <c r="J1771" s="21">
        <f>IF(OR(H1771="",H1771=25529689.5),"Yes","No")</f>
        <v/>
      </c>
      <c r="K1771" s="21">
        <f>IF(AND(D1771="USA",C1771&gt;=1980,J1771="No"),"Yes","No")</f>
        <v/>
      </c>
      <c r="L1771" s="26">
        <f>IF(J1771="Yes","",H1771-I1771)</f>
        <v/>
      </c>
      <c r="M1771" s="27">
        <f>IF(OR(J1771="Yes",I1771=0),"",H1771/I1771)</f>
        <v/>
      </c>
      <c r="N1771" s="21">
        <f>IF(J1771="Yes","",IF(H1771&gt;=I1771,1,0))</f>
        <v/>
      </c>
      <c r="O1771" s="21">
        <f>IF(I1771&lt;=5000000,"Under $5M",IF(I1771&lt;=20000000,"$5M-20M",IF(I1771&lt;=50000000,"$20M-50M",IF(I1771&lt;=100000000,"$50M-100M","$100M+"))))</f>
        <v/>
      </c>
      <c r="P1771" s="21">
        <f>IF(E1771&lt;=90,"90 or less",IF(E1771&lt;=105,"91-105",IF(E1771&lt;=120,"106-120",IF(E1771&lt;=140,"121-140","Over 140"))))</f>
        <v/>
      </c>
      <c r="Q1771" s="28">
        <f>INT(C1771/10)*10</f>
        <v/>
      </c>
    </row>
    <row r="1772">
      <c r="A1772" s="21" t="n">
        <v>1809</v>
      </c>
      <c r="B1772" s="21" t="inlineStr">
        <is>
          <t>Morvern Callar</t>
        </is>
      </c>
      <c r="C1772" s="21" t="n">
        <v>2002</v>
      </c>
      <c r="D1772" s="21" t="inlineStr">
        <is>
          <t>UK</t>
        </is>
      </c>
      <c r="E1772" s="21" t="n">
        <v>97</v>
      </c>
      <c r="F1772" s="21" t="inlineStr">
        <is>
          <t>English</t>
        </is>
      </c>
      <c r="G1772" s="21" t="inlineStr">
        <is>
          <t>R</t>
        </is>
      </c>
      <c r="H1772" s="22" t="n">
        <v>267194</v>
      </c>
      <c r="I1772" s="22" t="n">
        <v>20000000</v>
      </c>
      <c r="J1772" s="21">
        <f>IF(OR(H1772="",H1772=25529689.5),"Yes","No")</f>
        <v/>
      </c>
      <c r="K1772" s="21">
        <f>IF(AND(D1772="USA",C1772&gt;=1980,J1772="No"),"Yes","No")</f>
        <v/>
      </c>
      <c r="L1772" s="26">
        <f>IF(J1772="Yes","",H1772-I1772)</f>
        <v/>
      </c>
      <c r="M1772" s="27">
        <f>IF(OR(J1772="Yes",I1772=0),"",H1772/I1772)</f>
        <v/>
      </c>
      <c r="N1772" s="21">
        <f>IF(J1772="Yes","",IF(H1772&gt;=I1772,1,0))</f>
        <v/>
      </c>
      <c r="O1772" s="21">
        <f>IF(I1772&lt;=5000000,"Under $5M",IF(I1772&lt;=20000000,"$5M-20M",IF(I1772&lt;=50000000,"$20M-50M",IF(I1772&lt;=100000000,"$50M-100M","$100M+"))))</f>
        <v/>
      </c>
      <c r="P1772" s="21">
        <f>IF(E1772&lt;=90,"90 or less",IF(E1772&lt;=105,"91-105",IF(E1772&lt;=120,"106-120",IF(E1772&lt;=140,"121-140","Over 140"))))</f>
        <v/>
      </c>
      <c r="Q1772" s="28">
        <f>INT(C1772/10)*10</f>
        <v/>
      </c>
    </row>
    <row r="1773">
      <c r="A1773" s="21" t="n">
        <v>1810</v>
      </c>
      <c r="B1773" s="21" t="inlineStr">
        <is>
          <t>Mr. Deeds</t>
        </is>
      </c>
      <c r="C1773" s="21" t="n">
        <v>2002</v>
      </c>
      <c r="D1773" s="21" t="inlineStr">
        <is>
          <t>USA</t>
        </is>
      </c>
      <c r="E1773" s="21" t="n">
        <v>96</v>
      </c>
      <c r="F1773" s="21" t="inlineStr">
        <is>
          <t>English</t>
        </is>
      </c>
      <c r="G1773" s="21" t="inlineStr">
        <is>
          <t>PG-13</t>
        </is>
      </c>
      <c r="H1773" s="22" t="n">
        <v>126203320</v>
      </c>
      <c r="I1773" s="22" t="n">
        <v>50000000</v>
      </c>
      <c r="J1773" s="21">
        <f>IF(OR(H1773="",H1773=25529689.5),"Yes","No")</f>
        <v/>
      </c>
      <c r="K1773" s="21">
        <f>IF(AND(D1773="USA",C1773&gt;=1980,J1773="No"),"Yes","No")</f>
        <v/>
      </c>
      <c r="L1773" s="26">
        <f>IF(J1773="Yes","",H1773-I1773)</f>
        <v/>
      </c>
      <c r="M1773" s="27">
        <f>IF(OR(J1773="Yes",I1773=0),"",H1773/I1773)</f>
        <v/>
      </c>
      <c r="N1773" s="21">
        <f>IF(J1773="Yes","",IF(H1773&gt;=I1773,1,0))</f>
        <v/>
      </c>
      <c r="O1773" s="21">
        <f>IF(I1773&lt;=5000000,"Under $5M",IF(I1773&lt;=20000000,"$5M-20M",IF(I1773&lt;=50000000,"$20M-50M",IF(I1773&lt;=100000000,"$50M-100M","$100M+"))))</f>
        <v/>
      </c>
      <c r="P1773" s="21">
        <f>IF(E1773&lt;=90,"90 or less",IF(E1773&lt;=105,"91-105",IF(E1773&lt;=120,"106-120",IF(E1773&lt;=140,"121-140","Over 140"))))</f>
        <v/>
      </c>
      <c r="Q1773" s="28">
        <f>INT(C1773/10)*10</f>
        <v/>
      </c>
    </row>
    <row r="1774">
      <c r="A1774" s="21" t="n">
        <v>1811</v>
      </c>
      <c r="B1774" s="21" t="inlineStr">
        <is>
          <t>Murder by Numbers</t>
        </is>
      </c>
      <c r="C1774" s="21" t="n">
        <v>2002</v>
      </c>
      <c r="D1774" s="21" t="inlineStr">
        <is>
          <t>USA</t>
        </is>
      </c>
      <c r="E1774" s="21" t="n">
        <v>115</v>
      </c>
      <c r="F1774" s="21" t="inlineStr">
        <is>
          <t>English</t>
        </is>
      </c>
      <c r="G1774" s="21" t="inlineStr">
        <is>
          <t>R</t>
        </is>
      </c>
      <c r="H1774" s="22" t="n">
        <v>31874869</v>
      </c>
      <c r="I1774" s="22" t="n">
        <v>50000000</v>
      </c>
      <c r="J1774" s="21">
        <f>IF(OR(H1774="",H1774=25529689.5),"Yes","No")</f>
        <v/>
      </c>
      <c r="K1774" s="21">
        <f>IF(AND(D1774="USA",C1774&gt;=1980,J1774="No"),"Yes","No")</f>
        <v/>
      </c>
      <c r="L1774" s="26">
        <f>IF(J1774="Yes","",H1774-I1774)</f>
        <v/>
      </c>
      <c r="M1774" s="27">
        <f>IF(OR(J1774="Yes",I1774=0),"",H1774/I1774)</f>
        <v/>
      </c>
      <c r="N1774" s="21">
        <f>IF(J1774="Yes","",IF(H1774&gt;=I1774,1,0))</f>
        <v/>
      </c>
      <c r="O1774" s="21">
        <f>IF(I1774&lt;=5000000,"Under $5M",IF(I1774&lt;=20000000,"$5M-20M",IF(I1774&lt;=50000000,"$20M-50M",IF(I1774&lt;=100000000,"$50M-100M","$100M+"))))</f>
        <v/>
      </c>
      <c r="P1774" s="21">
        <f>IF(E1774&lt;=90,"90 or less",IF(E1774&lt;=105,"91-105",IF(E1774&lt;=120,"106-120",IF(E1774&lt;=140,"121-140","Over 140"))))</f>
        <v/>
      </c>
      <c r="Q1774" s="28">
        <f>INT(C1774/10)*10</f>
        <v/>
      </c>
    </row>
    <row r="1775">
      <c r="A1775" s="21" t="n">
        <v>1813</v>
      </c>
      <c r="B1775" s="21" t="inlineStr">
        <is>
          <t>My Big Fat Greek Wedding</t>
        </is>
      </c>
      <c r="C1775" s="21" t="n">
        <v>2002</v>
      </c>
      <c r="D1775" s="21" t="inlineStr">
        <is>
          <t>USA</t>
        </is>
      </c>
      <c r="E1775" s="21" t="n">
        <v>95</v>
      </c>
      <c r="F1775" s="21" t="inlineStr">
        <is>
          <t>English</t>
        </is>
      </c>
      <c r="G1775" s="21" t="inlineStr">
        <is>
          <t>PG</t>
        </is>
      </c>
      <c r="H1775" s="22" t="n">
        <v>241437427</v>
      </c>
      <c r="I1775" s="22" t="n">
        <v>5000000</v>
      </c>
      <c r="J1775" s="21">
        <f>IF(OR(H1775="",H1775=25529689.5),"Yes","No")</f>
        <v/>
      </c>
      <c r="K1775" s="21">
        <f>IF(AND(D1775="USA",C1775&gt;=1980,J1775="No"),"Yes","No")</f>
        <v/>
      </c>
      <c r="L1775" s="26">
        <f>IF(J1775="Yes","",H1775-I1775)</f>
        <v/>
      </c>
      <c r="M1775" s="27">
        <f>IF(OR(J1775="Yes",I1775=0),"",H1775/I1775)</f>
        <v/>
      </c>
      <c r="N1775" s="21">
        <f>IF(J1775="Yes","",IF(H1775&gt;=I1775,1,0))</f>
        <v/>
      </c>
      <c r="O1775" s="21">
        <f>IF(I1775&lt;=5000000,"Under $5M",IF(I1775&lt;=20000000,"$5M-20M",IF(I1775&lt;=50000000,"$20M-50M",IF(I1775&lt;=100000000,"$50M-100M","$100M+"))))</f>
        <v/>
      </c>
      <c r="P1775" s="21">
        <f>IF(E1775&lt;=90,"90 or less",IF(E1775&lt;=105,"91-105",IF(E1775&lt;=120,"106-120",IF(E1775&lt;=140,"121-140","Over 140"))))</f>
        <v/>
      </c>
      <c r="Q1775" s="28">
        <f>INT(C1775/10)*10</f>
        <v/>
      </c>
    </row>
    <row r="1776">
      <c r="A1776" s="21" t="n">
        <v>1814</v>
      </c>
      <c r="B1776" s="21" t="inlineStr">
        <is>
          <t>Narc</t>
        </is>
      </c>
      <c r="C1776" s="21" t="n">
        <v>2002</v>
      </c>
      <c r="D1776" s="21" t="inlineStr">
        <is>
          <t>USA</t>
        </is>
      </c>
      <c r="E1776" s="21" t="n">
        <v>105</v>
      </c>
      <c r="F1776" s="21" t="inlineStr">
        <is>
          <t>English</t>
        </is>
      </c>
      <c r="G1776" s="21" t="inlineStr">
        <is>
          <t>R</t>
        </is>
      </c>
      <c r="H1776" s="22" t="n">
        <v>10460089</v>
      </c>
      <c r="I1776" s="22" t="n">
        <v>7500000</v>
      </c>
      <c r="J1776" s="21">
        <f>IF(OR(H1776="",H1776=25529689.5),"Yes","No")</f>
        <v/>
      </c>
      <c r="K1776" s="21">
        <f>IF(AND(D1776="USA",C1776&gt;=1980,J1776="No"),"Yes","No")</f>
        <v/>
      </c>
      <c r="L1776" s="26">
        <f>IF(J1776="Yes","",H1776-I1776)</f>
        <v/>
      </c>
      <c r="M1776" s="27">
        <f>IF(OR(J1776="Yes",I1776=0),"",H1776/I1776)</f>
        <v/>
      </c>
      <c r="N1776" s="21">
        <f>IF(J1776="Yes","",IF(H1776&gt;=I1776,1,0))</f>
        <v/>
      </c>
      <c r="O1776" s="21">
        <f>IF(I1776&lt;=5000000,"Under $5M",IF(I1776&lt;=20000000,"$5M-20M",IF(I1776&lt;=50000000,"$20M-50M",IF(I1776&lt;=100000000,"$50M-100M","$100M+"))))</f>
        <v/>
      </c>
      <c r="P1776" s="21">
        <f>IF(E1776&lt;=90,"90 or less",IF(E1776&lt;=105,"91-105",IF(E1776&lt;=120,"106-120",IF(E1776&lt;=140,"121-140","Over 140"))))</f>
        <v/>
      </c>
      <c r="Q1776" s="28">
        <f>INT(C1776/10)*10</f>
        <v/>
      </c>
    </row>
    <row r="1777">
      <c r="A1777" s="21" t="n">
        <v>1815</v>
      </c>
      <c r="B1777" s="21" t="inlineStr">
        <is>
          <t>Nicholas Nickleby</t>
        </is>
      </c>
      <c r="C1777" s="21" t="n">
        <v>2002</v>
      </c>
      <c r="D1777" s="21" t="inlineStr">
        <is>
          <t>UK</t>
        </is>
      </c>
      <c r="E1777" s="21" t="n">
        <v>132</v>
      </c>
      <c r="F1777" s="21" t="inlineStr">
        <is>
          <t>English</t>
        </is>
      </c>
      <c r="G1777" s="21" t="inlineStr">
        <is>
          <t>PG</t>
        </is>
      </c>
      <c r="H1777" s="22" t="n">
        <v>1309849</v>
      </c>
      <c r="I1777" s="22" t="n">
        <v>10000000</v>
      </c>
      <c r="J1777" s="21">
        <f>IF(OR(H1777="",H1777=25529689.5),"Yes","No")</f>
        <v/>
      </c>
      <c r="K1777" s="21">
        <f>IF(AND(D1777="USA",C1777&gt;=1980,J1777="No"),"Yes","No")</f>
        <v/>
      </c>
      <c r="L1777" s="26">
        <f>IF(J1777="Yes","",H1777-I1777)</f>
        <v/>
      </c>
      <c r="M1777" s="27">
        <f>IF(OR(J1777="Yes",I1777=0),"",H1777/I1777)</f>
        <v/>
      </c>
      <c r="N1777" s="21">
        <f>IF(J1777="Yes","",IF(H1777&gt;=I1777,1,0))</f>
        <v/>
      </c>
      <c r="O1777" s="21">
        <f>IF(I1777&lt;=5000000,"Under $5M",IF(I1777&lt;=20000000,"$5M-20M",IF(I1777&lt;=50000000,"$20M-50M",IF(I1777&lt;=100000000,"$50M-100M","$100M+"))))</f>
        <v/>
      </c>
      <c r="P1777" s="21">
        <f>IF(E1777&lt;=90,"90 or less",IF(E1777&lt;=105,"91-105",IF(E1777&lt;=120,"106-120",IF(E1777&lt;=140,"121-140","Over 140"))))</f>
        <v/>
      </c>
      <c r="Q1777" s="28">
        <f>INT(C1777/10)*10</f>
        <v/>
      </c>
    </row>
    <row r="1778">
      <c r="A1778" s="21" t="n">
        <v>1816</v>
      </c>
      <c r="B1778" s="21" t="inlineStr">
        <is>
          <t>One Hour Photo</t>
        </is>
      </c>
      <c r="C1778" s="21" t="n">
        <v>2002</v>
      </c>
      <c r="D1778" s="21" t="inlineStr">
        <is>
          <t>USA</t>
        </is>
      </c>
      <c r="E1778" s="21" t="n">
        <v>96</v>
      </c>
      <c r="F1778" s="21" t="inlineStr">
        <is>
          <t>English</t>
        </is>
      </c>
      <c r="G1778" s="21" t="inlineStr">
        <is>
          <t>R</t>
        </is>
      </c>
      <c r="H1778" s="22" t="n">
        <v>31597131</v>
      </c>
      <c r="I1778" s="22" t="n">
        <v>12000000</v>
      </c>
      <c r="J1778" s="21">
        <f>IF(OR(H1778="",H1778=25529689.5),"Yes","No")</f>
        <v/>
      </c>
      <c r="K1778" s="21">
        <f>IF(AND(D1778="USA",C1778&gt;=1980,J1778="No"),"Yes","No")</f>
        <v/>
      </c>
      <c r="L1778" s="26">
        <f>IF(J1778="Yes","",H1778-I1778)</f>
        <v/>
      </c>
      <c r="M1778" s="27">
        <f>IF(OR(J1778="Yes",I1778=0),"",H1778/I1778)</f>
        <v/>
      </c>
      <c r="N1778" s="21">
        <f>IF(J1778="Yes","",IF(H1778&gt;=I1778,1,0))</f>
        <v/>
      </c>
      <c r="O1778" s="21">
        <f>IF(I1778&lt;=5000000,"Under $5M",IF(I1778&lt;=20000000,"$5M-20M",IF(I1778&lt;=50000000,"$20M-50M",IF(I1778&lt;=100000000,"$50M-100M","$100M+"))))</f>
        <v/>
      </c>
      <c r="P1778" s="21">
        <f>IF(E1778&lt;=90,"90 or less",IF(E1778&lt;=105,"91-105",IF(E1778&lt;=120,"106-120",IF(E1778&lt;=140,"121-140","Over 140"))))</f>
        <v/>
      </c>
      <c r="Q1778" s="28">
        <f>INT(C1778/10)*10</f>
        <v/>
      </c>
    </row>
    <row r="1779">
      <c r="A1779" s="21" t="n">
        <v>1817</v>
      </c>
      <c r="B1779" s="21" t="inlineStr">
        <is>
          <t>Panic Room</t>
        </is>
      </c>
      <c r="C1779" s="21" t="n">
        <v>2002</v>
      </c>
      <c r="D1779" s="21" t="inlineStr">
        <is>
          <t>USA</t>
        </is>
      </c>
      <c r="E1779" s="21" t="n">
        <v>112</v>
      </c>
      <c r="F1779" s="21" t="inlineStr">
        <is>
          <t>English</t>
        </is>
      </c>
      <c r="G1779" s="21" t="inlineStr">
        <is>
          <t>R</t>
        </is>
      </c>
      <c r="H1779" s="22" t="n">
        <v>95308367</v>
      </c>
      <c r="I1779" s="22" t="n">
        <v>48000000</v>
      </c>
      <c r="J1779" s="21">
        <f>IF(OR(H1779="",H1779=25529689.5),"Yes","No")</f>
        <v/>
      </c>
      <c r="K1779" s="21">
        <f>IF(AND(D1779="USA",C1779&gt;=1980,J1779="No"),"Yes","No")</f>
        <v/>
      </c>
      <c r="L1779" s="26">
        <f>IF(J1779="Yes","",H1779-I1779)</f>
        <v/>
      </c>
      <c r="M1779" s="27">
        <f>IF(OR(J1779="Yes",I1779=0),"",H1779/I1779)</f>
        <v/>
      </c>
      <c r="N1779" s="21">
        <f>IF(J1779="Yes","",IF(H1779&gt;=I1779,1,0))</f>
        <v/>
      </c>
      <c r="O1779" s="21">
        <f>IF(I1779&lt;=5000000,"Under $5M",IF(I1779&lt;=20000000,"$5M-20M",IF(I1779&lt;=50000000,"$20M-50M",IF(I1779&lt;=100000000,"$50M-100M","$100M+"))))</f>
        <v/>
      </c>
      <c r="P1779" s="21">
        <f>IF(E1779&lt;=90,"90 or less",IF(E1779&lt;=105,"91-105",IF(E1779&lt;=120,"106-120",IF(E1779&lt;=140,"121-140","Over 140"))))</f>
        <v/>
      </c>
      <c r="Q1779" s="28">
        <f>INT(C1779/10)*10</f>
        <v/>
      </c>
    </row>
    <row r="1780">
      <c r="A1780" s="21" t="n">
        <v>1818</v>
      </c>
      <c r="B1780" s="21" t="inlineStr">
        <is>
          <t>People I Know</t>
        </is>
      </c>
      <c r="C1780" s="21" t="n">
        <v>2002</v>
      </c>
      <c r="D1780" s="21" t="inlineStr">
        <is>
          <t>USA</t>
        </is>
      </c>
      <c r="E1780" s="21" t="n">
        <v>100</v>
      </c>
      <c r="F1780" s="21" t="inlineStr">
        <is>
          <t>English</t>
        </is>
      </c>
      <c r="G1780" s="21" t="inlineStr">
        <is>
          <t>R</t>
        </is>
      </c>
      <c r="H1780" s="22" t="n">
        <v>121972</v>
      </c>
      <c r="I1780" s="22" t="n">
        <v>22000000</v>
      </c>
      <c r="J1780" s="21">
        <f>IF(OR(H1780="",H1780=25529689.5),"Yes","No")</f>
        <v/>
      </c>
      <c r="K1780" s="21">
        <f>IF(AND(D1780="USA",C1780&gt;=1980,J1780="No"),"Yes","No")</f>
        <v/>
      </c>
      <c r="L1780" s="26">
        <f>IF(J1780="Yes","",H1780-I1780)</f>
        <v/>
      </c>
      <c r="M1780" s="27">
        <f>IF(OR(J1780="Yes",I1780=0),"",H1780/I1780)</f>
        <v/>
      </c>
      <c r="N1780" s="21">
        <f>IF(J1780="Yes","",IF(H1780&gt;=I1780,1,0))</f>
        <v/>
      </c>
      <c r="O1780" s="21">
        <f>IF(I1780&lt;=5000000,"Under $5M",IF(I1780&lt;=20000000,"$5M-20M",IF(I1780&lt;=50000000,"$20M-50M",IF(I1780&lt;=100000000,"$50M-100M","$100M+"))))</f>
        <v/>
      </c>
      <c r="P1780" s="21">
        <f>IF(E1780&lt;=90,"90 or less",IF(E1780&lt;=105,"91-105",IF(E1780&lt;=120,"106-120",IF(E1780&lt;=140,"121-140","Over 140"))))</f>
        <v/>
      </c>
      <c r="Q1780" s="28">
        <f>INT(C1780/10)*10</f>
        <v/>
      </c>
    </row>
    <row r="1781">
      <c r="A1781" s="21" t="n">
        <v>1819</v>
      </c>
      <c r="B1781" s="21" t="inlineStr">
        <is>
          <t>Phone Booth</t>
        </is>
      </c>
      <c r="C1781" s="21" t="n">
        <v>2002</v>
      </c>
      <c r="D1781" s="21" t="inlineStr">
        <is>
          <t>USA</t>
        </is>
      </c>
      <c r="E1781" s="21" t="n">
        <v>81</v>
      </c>
      <c r="F1781" s="21" t="inlineStr">
        <is>
          <t>English</t>
        </is>
      </c>
      <c r="G1781" s="21" t="inlineStr">
        <is>
          <t>R</t>
        </is>
      </c>
      <c r="H1781" s="22" t="n">
        <v>46563158</v>
      </c>
      <c r="I1781" s="22" t="n">
        <v>13000000</v>
      </c>
      <c r="J1781" s="21">
        <f>IF(OR(H1781="",H1781=25529689.5),"Yes","No")</f>
        <v/>
      </c>
      <c r="K1781" s="21">
        <f>IF(AND(D1781="USA",C1781&gt;=1980,J1781="No"),"Yes","No")</f>
        <v/>
      </c>
      <c r="L1781" s="26">
        <f>IF(J1781="Yes","",H1781-I1781)</f>
        <v/>
      </c>
      <c r="M1781" s="27">
        <f>IF(OR(J1781="Yes",I1781=0),"",H1781/I1781)</f>
        <v/>
      </c>
      <c r="N1781" s="21">
        <f>IF(J1781="Yes","",IF(H1781&gt;=I1781,1,0))</f>
        <v/>
      </c>
      <c r="O1781" s="21">
        <f>IF(I1781&lt;=5000000,"Under $5M",IF(I1781&lt;=20000000,"$5M-20M",IF(I1781&lt;=50000000,"$20M-50M",IF(I1781&lt;=100000000,"$50M-100M","$100M+"))))</f>
        <v/>
      </c>
      <c r="P1781" s="21">
        <f>IF(E1781&lt;=90,"90 or less",IF(E1781&lt;=105,"91-105",IF(E1781&lt;=120,"106-120",IF(E1781&lt;=140,"121-140","Over 140"))))</f>
        <v/>
      </c>
      <c r="Q1781" s="28">
        <f>INT(C1781/10)*10</f>
        <v/>
      </c>
    </row>
    <row r="1782">
      <c r="A1782" s="21" t="n">
        <v>1820</v>
      </c>
      <c r="B1782" s="21" t="inlineStr">
        <is>
          <t>Poolhall Junkies</t>
        </is>
      </c>
      <c r="C1782" s="21" t="n">
        <v>2002</v>
      </c>
      <c r="D1782" s="21" t="inlineStr">
        <is>
          <t>USA</t>
        </is>
      </c>
      <c r="E1782" s="21" t="n">
        <v>99</v>
      </c>
      <c r="F1782" s="21" t="inlineStr">
        <is>
          <t>English</t>
        </is>
      </c>
      <c r="G1782" s="21" t="inlineStr">
        <is>
          <t>R</t>
        </is>
      </c>
      <c r="H1782" s="22" t="n">
        <v>562059</v>
      </c>
      <c r="I1782" s="22" t="n">
        <v>4000000</v>
      </c>
      <c r="J1782" s="21">
        <f>IF(OR(H1782="",H1782=25529689.5),"Yes","No")</f>
        <v/>
      </c>
      <c r="K1782" s="21">
        <f>IF(AND(D1782="USA",C1782&gt;=1980,J1782="No"),"Yes","No")</f>
        <v/>
      </c>
      <c r="L1782" s="26">
        <f>IF(J1782="Yes","",H1782-I1782)</f>
        <v/>
      </c>
      <c r="M1782" s="27">
        <f>IF(OR(J1782="Yes",I1782=0),"",H1782/I1782)</f>
        <v/>
      </c>
      <c r="N1782" s="21">
        <f>IF(J1782="Yes","",IF(H1782&gt;=I1782,1,0))</f>
        <v/>
      </c>
      <c r="O1782" s="21">
        <f>IF(I1782&lt;=5000000,"Under $5M",IF(I1782&lt;=20000000,"$5M-20M",IF(I1782&lt;=50000000,"$20M-50M",IF(I1782&lt;=100000000,"$50M-100M","$100M+"))))</f>
        <v/>
      </c>
      <c r="P1782" s="21">
        <f>IF(E1782&lt;=90,"90 or less",IF(E1782&lt;=105,"91-105",IF(E1782&lt;=120,"106-120",IF(E1782&lt;=140,"121-140","Over 140"))))</f>
        <v/>
      </c>
      <c r="Q1782" s="28">
        <f>INT(C1782/10)*10</f>
        <v/>
      </c>
    </row>
    <row r="1783">
      <c r="A1783" s="21" t="n">
        <v>1821</v>
      </c>
      <c r="B1783" s="21" t="inlineStr">
        <is>
          <t>Punch-Drunk Love</t>
        </is>
      </c>
      <c r="C1783" s="21" t="n">
        <v>2002</v>
      </c>
      <c r="D1783" s="21" t="inlineStr">
        <is>
          <t>USA</t>
        </is>
      </c>
      <c r="E1783" s="21" t="n">
        <v>95</v>
      </c>
      <c r="F1783" s="21" t="inlineStr">
        <is>
          <t>English</t>
        </is>
      </c>
      <c r="G1783" s="21" t="inlineStr">
        <is>
          <t>R</t>
        </is>
      </c>
      <c r="H1783" s="22" t="n">
        <v>17791031</v>
      </c>
      <c r="I1783" s="22" t="n">
        <v>25000000</v>
      </c>
      <c r="J1783" s="21">
        <f>IF(OR(H1783="",H1783=25529689.5),"Yes","No")</f>
        <v/>
      </c>
      <c r="K1783" s="21">
        <f>IF(AND(D1783="USA",C1783&gt;=1980,J1783="No"),"Yes","No")</f>
        <v/>
      </c>
      <c r="L1783" s="26">
        <f>IF(J1783="Yes","",H1783-I1783)</f>
        <v/>
      </c>
      <c r="M1783" s="27">
        <f>IF(OR(J1783="Yes",I1783=0),"",H1783/I1783)</f>
        <v/>
      </c>
      <c r="N1783" s="21">
        <f>IF(J1783="Yes","",IF(H1783&gt;=I1783,1,0))</f>
        <v/>
      </c>
      <c r="O1783" s="21">
        <f>IF(I1783&lt;=5000000,"Under $5M",IF(I1783&lt;=20000000,"$5M-20M",IF(I1783&lt;=50000000,"$20M-50M",IF(I1783&lt;=100000000,"$50M-100M","$100M+"))))</f>
        <v/>
      </c>
      <c r="P1783" s="21">
        <f>IF(E1783&lt;=90,"90 or less",IF(E1783&lt;=105,"91-105",IF(E1783&lt;=120,"106-120",IF(E1783&lt;=140,"121-140","Over 140"))))</f>
        <v/>
      </c>
      <c r="Q1783" s="28">
        <f>INT(C1783/10)*10</f>
        <v/>
      </c>
    </row>
    <row r="1784">
      <c r="A1784" s="21" t="n">
        <v>1822</v>
      </c>
      <c r="B1784" s="21" t="inlineStr">
        <is>
          <t>Queen of the Damned</t>
        </is>
      </c>
      <c r="C1784" s="21" t="n">
        <v>2002</v>
      </c>
      <c r="D1784" s="21" t="inlineStr">
        <is>
          <t>USA</t>
        </is>
      </c>
      <c r="E1784" s="21" t="n">
        <v>101</v>
      </c>
      <c r="F1784" s="21" t="inlineStr">
        <is>
          <t>English</t>
        </is>
      </c>
      <c r="G1784" s="21" t="inlineStr">
        <is>
          <t>R</t>
        </is>
      </c>
      <c r="H1784" s="22" t="n">
        <v>30307804</v>
      </c>
      <c r="I1784" s="22" t="n">
        <v>35000000</v>
      </c>
      <c r="J1784" s="21">
        <f>IF(OR(H1784="",H1784=25529689.5),"Yes","No")</f>
        <v/>
      </c>
      <c r="K1784" s="21">
        <f>IF(AND(D1784="USA",C1784&gt;=1980,J1784="No"),"Yes","No")</f>
        <v/>
      </c>
      <c r="L1784" s="26">
        <f>IF(J1784="Yes","",H1784-I1784)</f>
        <v/>
      </c>
      <c r="M1784" s="27">
        <f>IF(OR(J1784="Yes",I1784=0),"",H1784/I1784)</f>
        <v/>
      </c>
      <c r="N1784" s="21">
        <f>IF(J1784="Yes","",IF(H1784&gt;=I1784,1,0))</f>
        <v/>
      </c>
      <c r="O1784" s="21">
        <f>IF(I1784&lt;=5000000,"Under $5M",IF(I1784&lt;=20000000,"$5M-20M",IF(I1784&lt;=50000000,"$20M-50M",IF(I1784&lt;=100000000,"$50M-100M","$100M+"))))</f>
        <v/>
      </c>
      <c r="P1784" s="21">
        <f>IF(E1784&lt;=90,"90 or less",IF(E1784&lt;=105,"91-105",IF(E1784&lt;=120,"106-120",IF(E1784&lt;=140,"121-140","Over 140"))))</f>
        <v/>
      </c>
      <c r="Q1784" s="28">
        <f>INT(C1784/10)*10</f>
        <v/>
      </c>
    </row>
    <row r="1785">
      <c r="A1785" s="21" t="n">
        <v>1823</v>
      </c>
      <c r="B1785" s="21" t="inlineStr">
        <is>
          <t>Rabbit-Proof Fence</t>
        </is>
      </c>
      <c r="C1785" s="21" t="n">
        <v>2002</v>
      </c>
      <c r="D1785" s="21" t="inlineStr">
        <is>
          <t>Australia</t>
        </is>
      </c>
      <c r="E1785" s="21" t="n">
        <v>94</v>
      </c>
      <c r="F1785" s="21" t="inlineStr">
        <is>
          <t>Aboriginal</t>
        </is>
      </c>
      <c r="G1785" s="21" t="inlineStr">
        <is>
          <t>PG</t>
        </is>
      </c>
      <c r="H1785" s="22" t="n">
        <v>6165429</v>
      </c>
      <c r="I1785" s="22" t="n">
        <v>6000000</v>
      </c>
      <c r="J1785" s="21">
        <f>IF(OR(H1785="",H1785=25529689.5),"Yes","No")</f>
        <v/>
      </c>
      <c r="K1785" s="21">
        <f>IF(AND(D1785="USA",C1785&gt;=1980,J1785="No"),"Yes","No")</f>
        <v/>
      </c>
      <c r="L1785" s="26">
        <f>IF(J1785="Yes","",H1785-I1785)</f>
        <v/>
      </c>
      <c r="M1785" s="27">
        <f>IF(OR(J1785="Yes",I1785=0),"",H1785/I1785)</f>
        <v/>
      </c>
      <c r="N1785" s="21">
        <f>IF(J1785="Yes","",IF(H1785&gt;=I1785,1,0))</f>
        <v/>
      </c>
      <c r="O1785" s="21">
        <f>IF(I1785&lt;=5000000,"Under $5M",IF(I1785&lt;=20000000,"$5M-20M",IF(I1785&lt;=50000000,"$20M-50M",IF(I1785&lt;=100000000,"$50M-100M","$100M+"))))</f>
        <v/>
      </c>
      <c r="P1785" s="21">
        <f>IF(E1785&lt;=90,"90 or less",IF(E1785&lt;=105,"91-105",IF(E1785&lt;=120,"106-120",IF(E1785&lt;=140,"121-140","Over 140"))))</f>
        <v/>
      </c>
      <c r="Q1785" s="28">
        <f>INT(C1785/10)*10</f>
        <v/>
      </c>
    </row>
    <row r="1786">
      <c r="A1786" s="21" t="n">
        <v>1824</v>
      </c>
      <c r="B1786" s="21" t="inlineStr">
        <is>
          <t>Raising Victor Vargas</t>
        </is>
      </c>
      <c r="C1786" s="21" t="n">
        <v>2002</v>
      </c>
      <c r="D1786" s="21" t="inlineStr">
        <is>
          <t>France</t>
        </is>
      </c>
      <c r="E1786" s="21" t="n">
        <v>88</v>
      </c>
      <c r="F1786" s="21" t="inlineStr">
        <is>
          <t>English</t>
        </is>
      </c>
      <c r="G1786" s="21" t="inlineStr">
        <is>
          <t>R</t>
        </is>
      </c>
      <c r="H1786" s="22" t="n">
        <v>2073984</v>
      </c>
      <c r="I1786" s="22" t="n">
        <v>800000</v>
      </c>
      <c r="J1786" s="21">
        <f>IF(OR(H1786="",H1786=25529689.5),"Yes","No")</f>
        <v/>
      </c>
      <c r="K1786" s="21">
        <f>IF(AND(D1786="USA",C1786&gt;=1980,J1786="No"),"Yes","No")</f>
        <v/>
      </c>
      <c r="L1786" s="26">
        <f>IF(J1786="Yes","",H1786-I1786)</f>
        <v/>
      </c>
      <c r="M1786" s="27">
        <f>IF(OR(J1786="Yes",I1786=0),"",H1786/I1786)</f>
        <v/>
      </c>
      <c r="N1786" s="21">
        <f>IF(J1786="Yes","",IF(H1786&gt;=I1786,1,0))</f>
        <v/>
      </c>
      <c r="O1786" s="21">
        <f>IF(I1786&lt;=5000000,"Under $5M",IF(I1786&lt;=20000000,"$5M-20M",IF(I1786&lt;=50000000,"$20M-50M",IF(I1786&lt;=100000000,"$50M-100M","$100M+"))))</f>
        <v/>
      </c>
      <c r="P1786" s="21">
        <f>IF(E1786&lt;=90,"90 or less",IF(E1786&lt;=105,"91-105",IF(E1786&lt;=120,"106-120",IF(E1786&lt;=140,"121-140","Over 140"))))</f>
        <v/>
      </c>
      <c r="Q1786" s="28">
        <f>INT(C1786/10)*10</f>
        <v/>
      </c>
    </row>
    <row r="1787">
      <c r="A1787" s="21" t="n">
        <v>1825</v>
      </c>
      <c r="B1787" s="21" t="inlineStr">
        <is>
          <t>Real Women Have Curves</t>
        </is>
      </c>
      <c r="C1787" s="21" t="n">
        <v>2002</v>
      </c>
      <c r="D1787" s="21" t="inlineStr">
        <is>
          <t>USA</t>
        </is>
      </c>
      <c r="E1787" s="21" t="n">
        <v>90</v>
      </c>
      <c r="F1787" s="21" t="inlineStr">
        <is>
          <t>English</t>
        </is>
      </c>
      <c r="G1787" s="21" t="inlineStr">
        <is>
          <t>PG-13</t>
        </is>
      </c>
      <c r="H1787" s="22" t="n">
        <v>5844929</v>
      </c>
      <c r="I1787" s="22" t="n">
        <v>3000000</v>
      </c>
      <c r="J1787" s="21">
        <f>IF(OR(H1787="",H1787=25529689.5),"Yes","No")</f>
        <v/>
      </c>
      <c r="K1787" s="21">
        <f>IF(AND(D1787="USA",C1787&gt;=1980,J1787="No"),"Yes","No")</f>
        <v/>
      </c>
      <c r="L1787" s="26">
        <f>IF(J1787="Yes","",H1787-I1787)</f>
        <v/>
      </c>
      <c r="M1787" s="27">
        <f>IF(OR(J1787="Yes",I1787=0),"",H1787/I1787)</f>
        <v/>
      </c>
      <c r="N1787" s="21">
        <f>IF(J1787="Yes","",IF(H1787&gt;=I1787,1,0))</f>
        <v/>
      </c>
      <c r="O1787" s="21">
        <f>IF(I1787&lt;=5000000,"Under $5M",IF(I1787&lt;=20000000,"$5M-20M",IF(I1787&lt;=50000000,"$20M-50M",IF(I1787&lt;=100000000,"$50M-100M","$100M+"))))</f>
        <v/>
      </c>
      <c r="P1787" s="21">
        <f>IF(E1787&lt;=90,"90 or less",IF(E1787&lt;=105,"91-105",IF(E1787&lt;=120,"106-120",IF(E1787&lt;=140,"121-140","Over 140"))))</f>
        <v/>
      </c>
      <c r="Q1787" s="28">
        <f>INT(C1787/10)*10</f>
        <v/>
      </c>
    </row>
    <row r="1788">
      <c r="A1788" s="21" t="n">
        <v>1826</v>
      </c>
      <c r="B1788" s="21" t="inlineStr">
        <is>
          <t>Red Dragon</t>
        </is>
      </c>
      <c r="C1788" s="21" t="n">
        <v>2002</v>
      </c>
      <c r="D1788" s="21" t="inlineStr">
        <is>
          <t>Germany</t>
        </is>
      </c>
      <c r="E1788" s="21" t="n">
        <v>124</v>
      </c>
      <c r="F1788" s="21" t="inlineStr">
        <is>
          <t>English</t>
        </is>
      </c>
      <c r="G1788" s="21" t="inlineStr">
        <is>
          <t>R</t>
        </is>
      </c>
      <c r="H1788" s="22" t="n">
        <v>92930005</v>
      </c>
      <c r="I1788" s="22" t="n">
        <v>78000000</v>
      </c>
      <c r="J1788" s="21">
        <f>IF(OR(H1788="",H1788=25529689.5),"Yes","No")</f>
        <v/>
      </c>
      <c r="K1788" s="21">
        <f>IF(AND(D1788="USA",C1788&gt;=1980,J1788="No"),"Yes","No")</f>
        <v/>
      </c>
      <c r="L1788" s="26">
        <f>IF(J1788="Yes","",H1788-I1788)</f>
        <v/>
      </c>
      <c r="M1788" s="27">
        <f>IF(OR(J1788="Yes",I1788=0),"",H1788/I1788)</f>
        <v/>
      </c>
      <c r="N1788" s="21">
        <f>IF(J1788="Yes","",IF(H1788&gt;=I1788,1,0))</f>
        <v/>
      </c>
      <c r="O1788" s="21">
        <f>IF(I1788&lt;=5000000,"Under $5M",IF(I1788&lt;=20000000,"$5M-20M",IF(I1788&lt;=50000000,"$20M-50M",IF(I1788&lt;=100000000,"$50M-100M","$100M+"))))</f>
        <v/>
      </c>
      <c r="P1788" s="21">
        <f>IF(E1788&lt;=90,"90 or less",IF(E1788&lt;=105,"91-105",IF(E1788&lt;=120,"106-120",IF(E1788&lt;=140,"121-140","Over 140"))))</f>
        <v/>
      </c>
      <c r="Q1788" s="28">
        <f>INT(C1788/10)*10</f>
        <v/>
      </c>
    </row>
    <row r="1789">
      <c r="A1789" s="21" t="n">
        <v>1827</v>
      </c>
      <c r="B1789" s="21" t="inlineStr">
        <is>
          <t>Reign of Fire</t>
        </is>
      </c>
      <c r="C1789" s="21" t="n">
        <v>2002</v>
      </c>
      <c r="D1789" s="21" t="inlineStr">
        <is>
          <t>USA</t>
        </is>
      </c>
      <c r="E1789" s="21" t="n">
        <v>101</v>
      </c>
      <c r="F1789" s="21" t="inlineStr">
        <is>
          <t>English</t>
        </is>
      </c>
      <c r="G1789" s="21" t="inlineStr">
        <is>
          <t>PG-13</t>
        </is>
      </c>
      <c r="H1789" s="22" t="n">
        <v>43060566</v>
      </c>
      <c r="I1789" s="22" t="n">
        <v>60000000</v>
      </c>
      <c r="J1789" s="21">
        <f>IF(OR(H1789="",H1789=25529689.5),"Yes","No")</f>
        <v/>
      </c>
      <c r="K1789" s="21">
        <f>IF(AND(D1789="USA",C1789&gt;=1980,J1789="No"),"Yes","No")</f>
        <v/>
      </c>
      <c r="L1789" s="26">
        <f>IF(J1789="Yes","",H1789-I1789)</f>
        <v/>
      </c>
      <c r="M1789" s="27">
        <f>IF(OR(J1789="Yes",I1789=0),"",H1789/I1789)</f>
        <v/>
      </c>
      <c r="N1789" s="21">
        <f>IF(J1789="Yes","",IF(H1789&gt;=I1789,1,0))</f>
        <v/>
      </c>
      <c r="O1789" s="21">
        <f>IF(I1789&lt;=5000000,"Under $5M",IF(I1789&lt;=20000000,"$5M-20M",IF(I1789&lt;=50000000,"$20M-50M",IF(I1789&lt;=100000000,"$50M-100M","$100M+"))))</f>
        <v/>
      </c>
      <c r="P1789" s="21">
        <f>IF(E1789&lt;=90,"90 or less",IF(E1789&lt;=105,"91-105",IF(E1789&lt;=120,"106-120",IF(E1789&lt;=140,"121-140","Over 140"))))</f>
        <v/>
      </c>
      <c r="Q1789" s="28">
        <f>INT(C1789/10)*10</f>
        <v/>
      </c>
    </row>
    <row r="1790">
      <c r="A1790" s="21" t="n">
        <v>1828</v>
      </c>
      <c r="B1790" s="21" t="inlineStr">
        <is>
          <t>Resident Evil</t>
        </is>
      </c>
      <c r="C1790" s="21" t="n">
        <v>2002</v>
      </c>
      <c r="D1790" s="21" t="inlineStr">
        <is>
          <t>UK</t>
        </is>
      </c>
      <c r="E1790" s="21" t="n">
        <v>100</v>
      </c>
      <c r="F1790" s="21" t="inlineStr">
        <is>
          <t>English</t>
        </is>
      </c>
      <c r="G1790" s="21" t="inlineStr">
        <is>
          <t>R</t>
        </is>
      </c>
      <c r="H1790" s="22" t="n">
        <v>39532308</v>
      </c>
      <c r="I1790" s="22" t="n">
        <v>33000000</v>
      </c>
      <c r="J1790" s="21">
        <f>IF(OR(H1790="",H1790=25529689.5),"Yes","No")</f>
        <v/>
      </c>
      <c r="K1790" s="21">
        <f>IF(AND(D1790="USA",C1790&gt;=1980,J1790="No"),"Yes","No")</f>
        <v/>
      </c>
      <c r="L1790" s="26">
        <f>IF(J1790="Yes","",H1790-I1790)</f>
        <v/>
      </c>
      <c r="M1790" s="27">
        <f>IF(OR(J1790="Yes",I1790=0),"",H1790/I1790)</f>
        <v/>
      </c>
      <c r="N1790" s="21">
        <f>IF(J1790="Yes","",IF(H1790&gt;=I1790,1,0))</f>
        <v/>
      </c>
      <c r="O1790" s="21">
        <f>IF(I1790&lt;=5000000,"Under $5M",IF(I1790&lt;=20000000,"$5M-20M",IF(I1790&lt;=50000000,"$20M-50M",IF(I1790&lt;=100000000,"$50M-100M","$100M+"))))</f>
        <v/>
      </c>
      <c r="P1790" s="21">
        <f>IF(E1790&lt;=90,"90 or less",IF(E1790&lt;=105,"91-105",IF(E1790&lt;=120,"106-120",IF(E1790&lt;=140,"121-140","Over 140"))))</f>
        <v/>
      </c>
      <c r="Q1790" s="28">
        <f>INT(C1790/10)*10</f>
        <v/>
      </c>
    </row>
    <row r="1791">
      <c r="A1791" s="21" t="n">
        <v>1829</v>
      </c>
      <c r="B1791" s="21" t="inlineStr">
        <is>
          <t>Return to Never Land</t>
        </is>
      </c>
      <c r="C1791" s="21" t="n">
        <v>2002</v>
      </c>
      <c r="D1791" s="21" t="inlineStr">
        <is>
          <t>USA</t>
        </is>
      </c>
      <c r="E1791" s="21" t="n">
        <v>72</v>
      </c>
      <c r="F1791" s="21" t="inlineStr">
        <is>
          <t>English</t>
        </is>
      </c>
      <c r="G1791" s="21" t="inlineStr">
        <is>
          <t>G</t>
        </is>
      </c>
      <c r="H1791" s="22" t="n">
        <v>48423368</v>
      </c>
      <c r="I1791" s="22" t="n">
        <v>20000000</v>
      </c>
      <c r="J1791" s="21">
        <f>IF(OR(H1791="",H1791=25529689.5),"Yes","No")</f>
        <v/>
      </c>
      <c r="K1791" s="21">
        <f>IF(AND(D1791="USA",C1791&gt;=1980,J1791="No"),"Yes","No")</f>
        <v/>
      </c>
      <c r="L1791" s="26">
        <f>IF(J1791="Yes","",H1791-I1791)</f>
        <v/>
      </c>
      <c r="M1791" s="27">
        <f>IF(OR(J1791="Yes",I1791=0),"",H1791/I1791)</f>
        <v/>
      </c>
      <c r="N1791" s="21">
        <f>IF(J1791="Yes","",IF(H1791&gt;=I1791,1,0))</f>
        <v/>
      </c>
      <c r="O1791" s="21">
        <f>IF(I1791&lt;=5000000,"Under $5M",IF(I1791&lt;=20000000,"$5M-20M",IF(I1791&lt;=50000000,"$20M-50M",IF(I1791&lt;=100000000,"$50M-100M","$100M+"))))</f>
        <v/>
      </c>
      <c r="P1791" s="21">
        <f>IF(E1791&lt;=90,"90 or less",IF(E1791&lt;=105,"91-105",IF(E1791&lt;=120,"106-120",IF(E1791&lt;=140,"121-140","Over 140"))))</f>
        <v/>
      </c>
      <c r="Q1791" s="28">
        <f>INT(C1791/10)*10</f>
        <v/>
      </c>
    </row>
    <row r="1792">
      <c r="A1792" s="21" t="n">
        <v>1830</v>
      </c>
      <c r="B1792" s="21" t="inlineStr">
        <is>
          <t>Ripley's Game</t>
        </is>
      </c>
      <c r="C1792" s="21" t="n">
        <v>2002</v>
      </c>
      <c r="D1792" s="21" t="inlineStr">
        <is>
          <t>Italy</t>
        </is>
      </c>
      <c r="E1792" s="21" t="n">
        <v>110</v>
      </c>
      <c r="F1792" s="21" t="inlineStr">
        <is>
          <t>English</t>
        </is>
      </c>
      <c r="G1792" s="21" t="inlineStr">
        <is>
          <t>R</t>
        </is>
      </c>
      <c r="H1792" s="22" t="n">
        <v>25529689.5</v>
      </c>
      <c r="I1792" s="22" t="n">
        <v>30000000</v>
      </c>
      <c r="J1792" s="21">
        <f>IF(OR(H1792="",H1792=25529689.5),"Yes","No")</f>
        <v/>
      </c>
      <c r="K1792" s="21">
        <f>IF(AND(D1792="USA",C1792&gt;=1980,J1792="No"),"Yes","No")</f>
        <v/>
      </c>
      <c r="L1792" s="26">
        <f>IF(J1792="Yes","",H1792-I1792)</f>
        <v/>
      </c>
      <c r="M1792" s="27">
        <f>IF(OR(J1792="Yes",I1792=0),"",H1792/I1792)</f>
        <v/>
      </c>
      <c r="N1792" s="21">
        <f>IF(J1792="Yes","",IF(H1792&gt;=I1792,1,0))</f>
        <v/>
      </c>
      <c r="O1792" s="21">
        <f>IF(I1792&lt;=5000000,"Under $5M",IF(I1792&lt;=20000000,"$5M-20M",IF(I1792&lt;=50000000,"$20M-50M",IF(I1792&lt;=100000000,"$50M-100M","$100M+"))))</f>
        <v/>
      </c>
      <c r="P1792" s="21">
        <f>IF(E1792&lt;=90,"90 or less",IF(E1792&lt;=105,"91-105",IF(E1792&lt;=120,"106-120",IF(E1792&lt;=140,"121-140","Over 140"))))</f>
        <v/>
      </c>
      <c r="Q1792" s="28">
        <f>INT(C1792/10)*10</f>
        <v/>
      </c>
    </row>
    <row r="1793">
      <c r="A1793" s="21" t="n">
        <v>1831</v>
      </c>
      <c r="B1793" s="21" t="inlineStr">
        <is>
          <t>Road to Perdition</t>
        </is>
      </c>
      <c r="C1793" s="21" t="n">
        <v>2002</v>
      </c>
      <c r="D1793" s="21" t="inlineStr">
        <is>
          <t>USA</t>
        </is>
      </c>
      <c r="E1793" s="21" t="n">
        <v>117</v>
      </c>
      <c r="F1793" s="21" t="inlineStr">
        <is>
          <t>English</t>
        </is>
      </c>
      <c r="G1793" s="21" t="inlineStr">
        <is>
          <t>R</t>
        </is>
      </c>
      <c r="H1793" s="22" t="n">
        <v>104054514</v>
      </c>
      <c r="I1793" s="22" t="n">
        <v>80000000</v>
      </c>
      <c r="J1793" s="21">
        <f>IF(OR(H1793="",H1793=25529689.5),"Yes","No")</f>
        <v/>
      </c>
      <c r="K1793" s="21">
        <f>IF(AND(D1793="USA",C1793&gt;=1980,J1793="No"),"Yes","No")</f>
        <v/>
      </c>
      <c r="L1793" s="26">
        <f>IF(J1793="Yes","",H1793-I1793)</f>
        <v/>
      </c>
      <c r="M1793" s="27">
        <f>IF(OR(J1793="Yes",I1793=0),"",H1793/I1793)</f>
        <v/>
      </c>
      <c r="N1793" s="21">
        <f>IF(J1793="Yes","",IF(H1793&gt;=I1793,1,0))</f>
        <v/>
      </c>
      <c r="O1793" s="21">
        <f>IF(I1793&lt;=5000000,"Under $5M",IF(I1793&lt;=20000000,"$5M-20M",IF(I1793&lt;=50000000,"$20M-50M",IF(I1793&lt;=100000000,"$50M-100M","$100M+"))))</f>
        <v/>
      </c>
      <c r="P1793" s="21">
        <f>IF(E1793&lt;=90,"90 or less",IF(E1793&lt;=105,"91-105",IF(E1793&lt;=120,"106-120",IF(E1793&lt;=140,"121-140","Over 140"))))</f>
        <v/>
      </c>
      <c r="Q1793" s="28">
        <f>INT(C1793/10)*10</f>
        <v/>
      </c>
    </row>
    <row r="1794">
      <c r="A1794" s="21" t="n">
        <v>1832</v>
      </c>
      <c r="B1794" s="21" t="inlineStr">
        <is>
          <t>Rollerball</t>
        </is>
      </c>
      <c r="C1794" s="21" t="n">
        <v>2002</v>
      </c>
      <c r="D1794" s="21" t="inlineStr">
        <is>
          <t>USA</t>
        </is>
      </c>
      <c r="E1794" s="21" t="n">
        <v>98</v>
      </c>
      <c r="F1794" s="21" t="inlineStr">
        <is>
          <t>English</t>
        </is>
      </c>
      <c r="G1794" s="21" t="inlineStr">
        <is>
          <t>R</t>
        </is>
      </c>
      <c r="H1794" s="22" t="n">
        <v>18990542</v>
      </c>
      <c r="I1794" s="22" t="n">
        <v>70000000</v>
      </c>
      <c r="J1794" s="21">
        <f>IF(OR(H1794="",H1794=25529689.5),"Yes","No")</f>
        <v/>
      </c>
      <c r="K1794" s="21">
        <f>IF(AND(D1794="USA",C1794&gt;=1980,J1794="No"),"Yes","No")</f>
        <v/>
      </c>
      <c r="L1794" s="26">
        <f>IF(J1794="Yes","",H1794-I1794)</f>
        <v/>
      </c>
      <c r="M1794" s="27">
        <f>IF(OR(J1794="Yes",I1794=0),"",H1794/I1794)</f>
        <v/>
      </c>
      <c r="N1794" s="21">
        <f>IF(J1794="Yes","",IF(H1794&gt;=I1794,1,0))</f>
        <v/>
      </c>
      <c r="O1794" s="21">
        <f>IF(I1794&lt;=5000000,"Under $5M",IF(I1794&lt;=20000000,"$5M-20M",IF(I1794&lt;=50000000,"$20M-50M",IF(I1794&lt;=100000000,"$50M-100M","$100M+"))))</f>
        <v/>
      </c>
      <c r="P1794" s="21">
        <f>IF(E1794&lt;=90,"90 or less",IF(E1794&lt;=105,"91-105",IF(E1794&lt;=120,"106-120",IF(E1794&lt;=140,"121-140","Over 140"))))</f>
        <v/>
      </c>
      <c r="Q1794" s="28">
        <f>INT(C1794/10)*10</f>
        <v/>
      </c>
    </row>
    <row r="1795">
      <c r="A1795" s="21" t="n">
        <v>1833</v>
      </c>
      <c r="B1795" s="21" t="inlineStr">
        <is>
          <t>Scooby-Doo</t>
        </is>
      </c>
      <c r="C1795" s="21" t="n">
        <v>2002</v>
      </c>
      <c r="D1795" s="21" t="inlineStr">
        <is>
          <t>USA</t>
        </is>
      </c>
      <c r="E1795" s="21" t="n">
        <v>86</v>
      </c>
      <c r="F1795" s="21" t="inlineStr">
        <is>
          <t>English</t>
        </is>
      </c>
      <c r="G1795" s="21" t="inlineStr">
        <is>
          <t>PG</t>
        </is>
      </c>
      <c r="H1795" s="22" t="n">
        <v>153288182</v>
      </c>
      <c r="I1795" s="22" t="n">
        <v>84000000</v>
      </c>
      <c r="J1795" s="21">
        <f>IF(OR(H1795="",H1795=25529689.5),"Yes","No")</f>
        <v/>
      </c>
      <c r="K1795" s="21">
        <f>IF(AND(D1795="USA",C1795&gt;=1980,J1795="No"),"Yes","No")</f>
        <v/>
      </c>
      <c r="L1795" s="26">
        <f>IF(J1795="Yes","",H1795-I1795)</f>
        <v/>
      </c>
      <c r="M1795" s="27">
        <f>IF(OR(J1795="Yes",I1795=0),"",H1795/I1795)</f>
        <v/>
      </c>
      <c r="N1795" s="21">
        <f>IF(J1795="Yes","",IF(H1795&gt;=I1795,1,0))</f>
        <v/>
      </c>
      <c r="O1795" s="21">
        <f>IF(I1795&lt;=5000000,"Under $5M",IF(I1795&lt;=20000000,"$5M-20M",IF(I1795&lt;=50000000,"$20M-50M",IF(I1795&lt;=100000000,"$50M-100M","$100M+"))))</f>
        <v/>
      </c>
      <c r="P1795" s="21">
        <f>IF(E1795&lt;=90,"90 or less",IF(E1795&lt;=105,"91-105",IF(E1795&lt;=120,"106-120",IF(E1795&lt;=140,"121-140","Over 140"))))</f>
        <v/>
      </c>
      <c r="Q1795" s="28">
        <f>INT(C1795/10)*10</f>
        <v/>
      </c>
    </row>
    <row r="1796">
      <c r="A1796" s="21" t="n">
        <v>1834</v>
      </c>
      <c r="B1796" s="21" t="inlineStr">
        <is>
          <t>Secretary</t>
        </is>
      </c>
      <c r="C1796" s="21" t="n">
        <v>2002</v>
      </c>
      <c r="D1796" s="21" t="inlineStr">
        <is>
          <t>USA</t>
        </is>
      </c>
      <c r="E1796" s="21" t="n">
        <v>104</v>
      </c>
      <c r="F1796" s="21" t="inlineStr">
        <is>
          <t>English</t>
        </is>
      </c>
      <c r="G1796" s="21" t="inlineStr">
        <is>
          <t>R</t>
        </is>
      </c>
      <c r="H1796" s="22" t="n">
        <v>4046737</v>
      </c>
      <c r="I1796" s="22" t="n">
        <v>4000000</v>
      </c>
      <c r="J1796" s="21">
        <f>IF(OR(H1796="",H1796=25529689.5),"Yes","No")</f>
        <v/>
      </c>
      <c r="K1796" s="21">
        <f>IF(AND(D1796="USA",C1796&gt;=1980,J1796="No"),"Yes","No")</f>
        <v/>
      </c>
      <c r="L1796" s="26">
        <f>IF(J1796="Yes","",H1796-I1796)</f>
        <v/>
      </c>
      <c r="M1796" s="27">
        <f>IF(OR(J1796="Yes",I1796=0),"",H1796/I1796)</f>
        <v/>
      </c>
      <c r="N1796" s="21">
        <f>IF(J1796="Yes","",IF(H1796&gt;=I1796,1,0))</f>
        <v/>
      </c>
      <c r="O1796" s="21">
        <f>IF(I1796&lt;=5000000,"Under $5M",IF(I1796&lt;=20000000,"$5M-20M",IF(I1796&lt;=50000000,"$20M-50M",IF(I1796&lt;=100000000,"$50M-100M","$100M+"))))</f>
        <v/>
      </c>
      <c r="P1796" s="21">
        <f>IF(E1796&lt;=90,"90 or less",IF(E1796&lt;=105,"91-105",IF(E1796&lt;=120,"106-120",IF(E1796&lt;=140,"121-140","Over 140"))))</f>
        <v/>
      </c>
      <c r="Q1796" s="28">
        <f>INT(C1796/10)*10</f>
        <v/>
      </c>
    </row>
    <row r="1797">
      <c r="A1797" s="21" t="n">
        <v>1835</v>
      </c>
      <c r="B1797" s="21" t="inlineStr">
        <is>
          <t>Serving Sara</t>
        </is>
      </c>
      <c r="C1797" s="21" t="n">
        <v>2002</v>
      </c>
      <c r="D1797" s="21" t="inlineStr">
        <is>
          <t>Germany</t>
        </is>
      </c>
      <c r="E1797" s="21" t="n">
        <v>99</v>
      </c>
      <c r="F1797" s="21" t="inlineStr">
        <is>
          <t>English</t>
        </is>
      </c>
      <c r="G1797" s="21" t="inlineStr">
        <is>
          <t>PG-13</t>
        </is>
      </c>
      <c r="H1797" s="22" t="n">
        <v>16930185</v>
      </c>
      <c r="I1797" s="22" t="n">
        <v>29000000</v>
      </c>
      <c r="J1797" s="21">
        <f>IF(OR(H1797="",H1797=25529689.5),"Yes","No")</f>
        <v/>
      </c>
      <c r="K1797" s="21">
        <f>IF(AND(D1797="USA",C1797&gt;=1980,J1797="No"),"Yes","No")</f>
        <v/>
      </c>
      <c r="L1797" s="26">
        <f>IF(J1797="Yes","",H1797-I1797)</f>
        <v/>
      </c>
      <c r="M1797" s="27">
        <f>IF(OR(J1797="Yes",I1797=0),"",H1797/I1797)</f>
        <v/>
      </c>
      <c r="N1797" s="21">
        <f>IF(J1797="Yes","",IF(H1797&gt;=I1797,1,0))</f>
        <v/>
      </c>
      <c r="O1797" s="21">
        <f>IF(I1797&lt;=5000000,"Under $5M",IF(I1797&lt;=20000000,"$5M-20M",IF(I1797&lt;=50000000,"$20M-50M",IF(I1797&lt;=100000000,"$50M-100M","$100M+"))))</f>
        <v/>
      </c>
      <c r="P1797" s="21">
        <f>IF(E1797&lt;=90,"90 or less",IF(E1797&lt;=105,"91-105",IF(E1797&lt;=120,"106-120",IF(E1797&lt;=140,"121-140","Over 140"))))</f>
        <v/>
      </c>
      <c r="Q1797" s="28">
        <f>INT(C1797/10)*10</f>
        <v/>
      </c>
    </row>
    <row r="1798">
      <c r="A1798" s="21" t="n">
        <v>1836</v>
      </c>
      <c r="B1798" s="21" t="inlineStr">
        <is>
          <t>Sex with Strangers</t>
        </is>
      </c>
      <c r="C1798" s="21" t="n">
        <v>2002</v>
      </c>
      <c r="D1798" s="21" t="inlineStr">
        <is>
          <t>USA</t>
        </is>
      </c>
      <c r="E1798" s="21" t="n">
        <v>105</v>
      </c>
      <c r="F1798" s="21" t="inlineStr">
        <is>
          <t>English</t>
        </is>
      </c>
      <c r="G1798" s="21" t="n"/>
      <c r="H1798" s="22" t="n">
        <v>247740</v>
      </c>
      <c r="I1798" s="22" t="n">
        <v>20000000</v>
      </c>
      <c r="J1798" s="21">
        <f>IF(OR(H1798="",H1798=25529689.5),"Yes","No")</f>
        <v/>
      </c>
      <c r="K1798" s="21">
        <f>IF(AND(D1798="USA",C1798&gt;=1980,J1798="No"),"Yes","No")</f>
        <v/>
      </c>
      <c r="L1798" s="26">
        <f>IF(J1798="Yes","",H1798-I1798)</f>
        <v/>
      </c>
      <c r="M1798" s="27">
        <f>IF(OR(J1798="Yes",I1798=0),"",H1798/I1798)</f>
        <v/>
      </c>
      <c r="N1798" s="21">
        <f>IF(J1798="Yes","",IF(H1798&gt;=I1798,1,0))</f>
        <v/>
      </c>
      <c r="O1798" s="21">
        <f>IF(I1798&lt;=5000000,"Under $5M",IF(I1798&lt;=20000000,"$5M-20M",IF(I1798&lt;=50000000,"$20M-50M",IF(I1798&lt;=100000000,"$50M-100M","$100M+"))))</f>
        <v/>
      </c>
      <c r="P1798" s="21">
        <f>IF(E1798&lt;=90,"90 or less",IF(E1798&lt;=105,"91-105",IF(E1798&lt;=120,"106-120",IF(E1798&lt;=140,"121-140","Over 140"))))</f>
        <v/>
      </c>
      <c r="Q1798" s="28">
        <f>INT(C1798/10)*10</f>
        <v/>
      </c>
    </row>
    <row r="1799">
      <c r="A1799" s="21" t="n">
        <v>1837</v>
      </c>
      <c r="B1799" s="21" t="inlineStr">
        <is>
          <t>Signs</t>
        </is>
      </c>
      <c r="C1799" s="21" t="n">
        <v>2002</v>
      </c>
      <c r="D1799" s="21" t="inlineStr">
        <is>
          <t>USA</t>
        </is>
      </c>
      <c r="E1799" s="21" t="n">
        <v>106</v>
      </c>
      <c r="F1799" s="21" t="inlineStr">
        <is>
          <t>English</t>
        </is>
      </c>
      <c r="G1799" s="21" t="inlineStr">
        <is>
          <t>PG-13</t>
        </is>
      </c>
      <c r="H1799" s="22" t="n">
        <v>227965690</v>
      </c>
      <c r="I1799" s="22" t="n">
        <v>72000000</v>
      </c>
      <c r="J1799" s="21">
        <f>IF(OR(H1799="",H1799=25529689.5),"Yes","No")</f>
        <v/>
      </c>
      <c r="K1799" s="21">
        <f>IF(AND(D1799="USA",C1799&gt;=1980,J1799="No"),"Yes","No")</f>
        <v/>
      </c>
      <c r="L1799" s="26">
        <f>IF(J1799="Yes","",H1799-I1799)</f>
        <v/>
      </c>
      <c r="M1799" s="27">
        <f>IF(OR(J1799="Yes",I1799=0),"",H1799/I1799)</f>
        <v/>
      </c>
      <c r="N1799" s="21">
        <f>IF(J1799="Yes","",IF(H1799&gt;=I1799,1,0))</f>
        <v/>
      </c>
      <c r="O1799" s="21">
        <f>IF(I1799&lt;=5000000,"Under $5M",IF(I1799&lt;=20000000,"$5M-20M",IF(I1799&lt;=50000000,"$20M-50M",IF(I1799&lt;=100000000,"$50M-100M","$100M+"))))</f>
        <v/>
      </c>
      <c r="P1799" s="21">
        <f>IF(E1799&lt;=90,"90 or less",IF(E1799&lt;=105,"91-105",IF(E1799&lt;=120,"106-120",IF(E1799&lt;=140,"121-140","Over 140"))))</f>
        <v/>
      </c>
      <c r="Q1799" s="28">
        <f>INT(C1799/10)*10</f>
        <v/>
      </c>
    </row>
    <row r="1800">
      <c r="A1800" s="21" t="n">
        <v>1838</v>
      </c>
      <c r="B1800" s="21" t="inlineStr">
        <is>
          <t>Slackers</t>
        </is>
      </c>
      <c r="C1800" s="21" t="n">
        <v>2002</v>
      </c>
      <c r="D1800" s="21" t="inlineStr">
        <is>
          <t>Canada</t>
        </is>
      </c>
      <c r="E1800" s="21" t="n">
        <v>86</v>
      </c>
      <c r="F1800" s="21" t="inlineStr">
        <is>
          <t>English</t>
        </is>
      </c>
      <c r="G1800" s="21" t="inlineStr">
        <is>
          <t>R</t>
        </is>
      </c>
      <c r="H1800" s="22" t="n">
        <v>4814244</v>
      </c>
      <c r="I1800" s="22" t="n">
        <v>11000000</v>
      </c>
      <c r="J1800" s="21">
        <f>IF(OR(H1800="",H1800=25529689.5),"Yes","No")</f>
        <v/>
      </c>
      <c r="K1800" s="21">
        <f>IF(AND(D1800="USA",C1800&gt;=1980,J1800="No"),"Yes","No")</f>
        <v/>
      </c>
      <c r="L1800" s="26">
        <f>IF(J1800="Yes","",H1800-I1800)</f>
        <v/>
      </c>
      <c r="M1800" s="27">
        <f>IF(OR(J1800="Yes",I1800=0),"",H1800/I1800)</f>
        <v/>
      </c>
      <c r="N1800" s="21">
        <f>IF(J1800="Yes","",IF(H1800&gt;=I1800,1,0))</f>
        <v/>
      </c>
      <c r="O1800" s="21">
        <f>IF(I1800&lt;=5000000,"Under $5M",IF(I1800&lt;=20000000,"$5M-20M",IF(I1800&lt;=50000000,"$20M-50M",IF(I1800&lt;=100000000,"$50M-100M","$100M+"))))</f>
        <v/>
      </c>
      <c r="P1800" s="21">
        <f>IF(E1800&lt;=90,"90 or less",IF(E1800&lt;=105,"91-105",IF(E1800&lt;=120,"106-120",IF(E1800&lt;=140,"121-140","Over 140"))))</f>
        <v/>
      </c>
      <c r="Q1800" s="28">
        <f>INT(C1800/10)*10</f>
        <v/>
      </c>
    </row>
    <row r="1801">
      <c r="A1801" s="21" t="n">
        <v>1839</v>
      </c>
      <c r="B1801" s="21" t="inlineStr">
        <is>
          <t>Snow Dogs</t>
        </is>
      </c>
      <c r="C1801" s="21" t="n">
        <v>2002</v>
      </c>
      <c r="D1801" s="21" t="inlineStr">
        <is>
          <t>Canada</t>
        </is>
      </c>
      <c r="E1801" s="21" t="n">
        <v>99</v>
      </c>
      <c r="F1801" s="21" t="inlineStr">
        <is>
          <t>English</t>
        </is>
      </c>
      <c r="G1801" s="21" t="inlineStr">
        <is>
          <t>PG</t>
        </is>
      </c>
      <c r="H1801" s="22" t="n">
        <v>81150692</v>
      </c>
      <c r="I1801" s="22" t="n">
        <v>35000000</v>
      </c>
      <c r="J1801" s="21">
        <f>IF(OR(H1801="",H1801=25529689.5),"Yes","No")</f>
        <v/>
      </c>
      <c r="K1801" s="21">
        <f>IF(AND(D1801="USA",C1801&gt;=1980,J1801="No"),"Yes","No")</f>
        <v/>
      </c>
      <c r="L1801" s="26">
        <f>IF(J1801="Yes","",H1801-I1801)</f>
        <v/>
      </c>
      <c r="M1801" s="27">
        <f>IF(OR(J1801="Yes",I1801=0),"",H1801/I1801)</f>
        <v/>
      </c>
      <c r="N1801" s="21">
        <f>IF(J1801="Yes","",IF(H1801&gt;=I1801,1,0))</f>
        <v/>
      </c>
      <c r="O1801" s="21">
        <f>IF(I1801&lt;=5000000,"Under $5M",IF(I1801&lt;=20000000,"$5M-20M",IF(I1801&lt;=50000000,"$20M-50M",IF(I1801&lt;=100000000,"$50M-100M","$100M+"))))</f>
        <v/>
      </c>
      <c r="P1801" s="21">
        <f>IF(E1801&lt;=90,"90 or less",IF(E1801&lt;=105,"91-105",IF(E1801&lt;=120,"106-120",IF(E1801&lt;=140,"121-140","Over 140"))))</f>
        <v/>
      </c>
      <c r="Q1801" s="28">
        <f>INT(C1801/10)*10</f>
        <v/>
      </c>
    </row>
    <row r="1802">
      <c r="A1802" s="21" t="n">
        <v>1840</v>
      </c>
      <c r="B1802" s="21" t="inlineStr">
        <is>
          <t>Sorority Boys</t>
        </is>
      </c>
      <c r="C1802" s="21" t="n">
        <v>2002</v>
      </c>
      <c r="D1802" s="21" t="inlineStr">
        <is>
          <t>USA</t>
        </is>
      </c>
      <c r="E1802" s="21" t="n">
        <v>93</v>
      </c>
      <c r="F1802" s="21" t="inlineStr">
        <is>
          <t>English</t>
        </is>
      </c>
      <c r="G1802" s="21" t="inlineStr">
        <is>
          <t>R</t>
        </is>
      </c>
      <c r="H1802" s="22" t="n">
        <v>10198766</v>
      </c>
      <c r="I1802" s="22" t="n">
        <v>12000000</v>
      </c>
      <c r="J1802" s="21">
        <f>IF(OR(H1802="",H1802=25529689.5),"Yes","No")</f>
        <v/>
      </c>
      <c r="K1802" s="21">
        <f>IF(AND(D1802="USA",C1802&gt;=1980,J1802="No"),"Yes","No")</f>
        <v/>
      </c>
      <c r="L1802" s="26">
        <f>IF(J1802="Yes","",H1802-I1802)</f>
        <v/>
      </c>
      <c r="M1802" s="27">
        <f>IF(OR(J1802="Yes",I1802=0),"",H1802/I1802)</f>
        <v/>
      </c>
      <c r="N1802" s="21">
        <f>IF(J1802="Yes","",IF(H1802&gt;=I1802,1,0))</f>
        <v/>
      </c>
      <c r="O1802" s="21">
        <f>IF(I1802&lt;=5000000,"Under $5M",IF(I1802&lt;=20000000,"$5M-20M",IF(I1802&lt;=50000000,"$20M-50M",IF(I1802&lt;=100000000,"$50M-100M","$100M+"))))</f>
        <v/>
      </c>
      <c r="P1802" s="21">
        <f>IF(E1802&lt;=90,"90 or less",IF(E1802&lt;=105,"91-105",IF(E1802&lt;=120,"106-120",IF(E1802&lt;=140,"121-140","Over 140"))))</f>
        <v/>
      </c>
      <c r="Q1802" s="28">
        <f>INT(C1802/10)*10</f>
        <v/>
      </c>
    </row>
    <row r="1803">
      <c r="A1803" s="21" t="n">
        <v>1841</v>
      </c>
      <c r="B1803" s="21" t="inlineStr">
        <is>
          <t>Spider</t>
        </is>
      </c>
      <c r="C1803" s="21" t="n">
        <v>2002</v>
      </c>
      <c r="D1803" s="21" t="inlineStr">
        <is>
          <t>Canada</t>
        </is>
      </c>
      <c r="E1803" s="21" t="n">
        <v>98</v>
      </c>
      <c r="F1803" s="21" t="inlineStr">
        <is>
          <t>English</t>
        </is>
      </c>
      <c r="G1803" s="21" t="inlineStr">
        <is>
          <t>R</t>
        </is>
      </c>
      <c r="H1803" s="22" t="n">
        <v>1641788</v>
      </c>
      <c r="I1803" s="22" t="n">
        <v>8000000</v>
      </c>
      <c r="J1803" s="21">
        <f>IF(OR(H1803="",H1803=25529689.5),"Yes","No")</f>
        <v/>
      </c>
      <c r="K1803" s="21">
        <f>IF(AND(D1803="USA",C1803&gt;=1980,J1803="No"),"Yes","No")</f>
        <v/>
      </c>
      <c r="L1803" s="26">
        <f>IF(J1803="Yes","",H1803-I1803)</f>
        <v/>
      </c>
      <c r="M1803" s="27">
        <f>IF(OR(J1803="Yes",I1803=0),"",H1803/I1803)</f>
        <v/>
      </c>
      <c r="N1803" s="21">
        <f>IF(J1803="Yes","",IF(H1803&gt;=I1803,1,0))</f>
        <v/>
      </c>
      <c r="O1803" s="21">
        <f>IF(I1803&lt;=5000000,"Under $5M",IF(I1803&lt;=20000000,"$5M-20M",IF(I1803&lt;=50000000,"$20M-50M",IF(I1803&lt;=100000000,"$50M-100M","$100M+"))))</f>
        <v/>
      </c>
      <c r="P1803" s="21">
        <f>IF(E1803&lt;=90,"90 or less",IF(E1803&lt;=105,"91-105",IF(E1803&lt;=120,"106-120",IF(E1803&lt;=140,"121-140","Over 140"))))</f>
        <v/>
      </c>
      <c r="Q1803" s="28">
        <f>INT(C1803/10)*10</f>
        <v/>
      </c>
    </row>
    <row r="1804">
      <c r="A1804" s="21" t="n">
        <v>1842</v>
      </c>
      <c r="B1804" s="21" t="inlineStr">
        <is>
          <t>Spider-Man</t>
        </is>
      </c>
      <c r="C1804" s="21" t="n">
        <v>2002</v>
      </c>
      <c r="D1804" s="21" t="inlineStr">
        <is>
          <t>USA</t>
        </is>
      </c>
      <c r="E1804" s="21" t="n">
        <v>121</v>
      </c>
      <c r="F1804" s="21" t="inlineStr">
        <is>
          <t>English</t>
        </is>
      </c>
      <c r="G1804" s="21" t="inlineStr">
        <is>
          <t>PG-13</t>
        </is>
      </c>
      <c r="H1804" s="22" t="n">
        <v>403706375</v>
      </c>
      <c r="I1804" s="22" t="n">
        <v>139000000</v>
      </c>
      <c r="J1804" s="21">
        <f>IF(OR(H1804="",H1804=25529689.5),"Yes","No")</f>
        <v/>
      </c>
      <c r="K1804" s="21">
        <f>IF(AND(D1804="USA",C1804&gt;=1980,J1804="No"),"Yes","No")</f>
        <v/>
      </c>
      <c r="L1804" s="26">
        <f>IF(J1804="Yes","",H1804-I1804)</f>
        <v/>
      </c>
      <c r="M1804" s="27">
        <f>IF(OR(J1804="Yes",I1804=0),"",H1804/I1804)</f>
        <v/>
      </c>
      <c r="N1804" s="21">
        <f>IF(J1804="Yes","",IF(H1804&gt;=I1804,1,0))</f>
        <v/>
      </c>
      <c r="O1804" s="21">
        <f>IF(I1804&lt;=5000000,"Under $5M",IF(I1804&lt;=20000000,"$5M-20M",IF(I1804&lt;=50000000,"$20M-50M",IF(I1804&lt;=100000000,"$50M-100M","$100M+"))))</f>
        <v/>
      </c>
      <c r="P1804" s="21">
        <f>IF(E1804&lt;=90,"90 or less",IF(E1804&lt;=105,"91-105",IF(E1804&lt;=120,"106-120",IF(E1804&lt;=140,"121-140","Over 140"))))</f>
        <v/>
      </c>
      <c r="Q1804" s="28">
        <f>INT(C1804/10)*10</f>
        <v/>
      </c>
    </row>
    <row r="1805">
      <c r="A1805" s="21" t="n">
        <v>1843</v>
      </c>
      <c r="B1805" s="21" t="inlineStr">
        <is>
          <t>Spirit: Stallion of the Cimarron</t>
        </is>
      </c>
      <c r="C1805" s="21" t="n">
        <v>2002</v>
      </c>
      <c r="D1805" s="21" t="inlineStr">
        <is>
          <t>USA</t>
        </is>
      </c>
      <c r="E1805" s="21" t="n">
        <v>83</v>
      </c>
      <c r="F1805" s="21" t="inlineStr">
        <is>
          <t>English</t>
        </is>
      </c>
      <c r="G1805" s="21" t="inlineStr">
        <is>
          <t>G</t>
        </is>
      </c>
      <c r="H1805" s="22" t="n">
        <v>73215310</v>
      </c>
      <c r="I1805" s="22" t="n">
        <v>80000000</v>
      </c>
      <c r="J1805" s="21">
        <f>IF(OR(H1805="",H1805=25529689.5),"Yes","No")</f>
        <v/>
      </c>
      <c r="K1805" s="21">
        <f>IF(AND(D1805="USA",C1805&gt;=1980,J1805="No"),"Yes","No")</f>
        <v/>
      </c>
      <c r="L1805" s="26">
        <f>IF(J1805="Yes","",H1805-I1805)</f>
        <v/>
      </c>
      <c r="M1805" s="27">
        <f>IF(OR(J1805="Yes",I1805=0),"",H1805/I1805)</f>
        <v/>
      </c>
      <c r="N1805" s="21">
        <f>IF(J1805="Yes","",IF(H1805&gt;=I1805,1,0))</f>
        <v/>
      </c>
      <c r="O1805" s="21">
        <f>IF(I1805&lt;=5000000,"Under $5M",IF(I1805&lt;=20000000,"$5M-20M",IF(I1805&lt;=50000000,"$20M-50M",IF(I1805&lt;=100000000,"$50M-100M","$100M+"))))</f>
        <v/>
      </c>
      <c r="P1805" s="21">
        <f>IF(E1805&lt;=90,"90 or less",IF(E1805&lt;=105,"91-105",IF(E1805&lt;=120,"106-120",IF(E1805&lt;=140,"121-140","Over 140"))))</f>
        <v/>
      </c>
      <c r="Q1805" s="28">
        <f>INT(C1805/10)*10</f>
        <v/>
      </c>
    </row>
    <row r="1806">
      <c r="A1806" s="21" t="n">
        <v>1844</v>
      </c>
      <c r="B1806" s="21" t="inlineStr">
        <is>
          <t>Spun</t>
        </is>
      </c>
      <c r="C1806" s="21" t="n">
        <v>2002</v>
      </c>
      <c r="D1806" s="21" t="inlineStr">
        <is>
          <t>USA</t>
        </is>
      </c>
      <c r="E1806" s="21" t="n">
        <v>106</v>
      </c>
      <c r="F1806" s="21" t="inlineStr">
        <is>
          <t>English</t>
        </is>
      </c>
      <c r="G1806" s="21" t="inlineStr">
        <is>
          <t>R</t>
        </is>
      </c>
      <c r="H1806" s="22" t="n">
        <v>410241</v>
      </c>
      <c r="I1806" s="22" t="n">
        <v>2000000</v>
      </c>
      <c r="J1806" s="21">
        <f>IF(OR(H1806="",H1806=25529689.5),"Yes","No")</f>
        <v/>
      </c>
      <c r="K1806" s="21">
        <f>IF(AND(D1806="USA",C1806&gt;=1980,J1806="No"),"Yes","No")</f>
        <v/>
      </c>
      <c r="L1806" s="26">
        <f>IF(J1806="Yes","",H1806-I1806)</f>
        <v/>
      </c>
      <c r="M1806" s="27">
        <f>IF(OR(J1806="Yes",I1806=0),"",H1806/I1806)</f>
        <v/>
      </c>
      <c r="N1806" s="21">
        <f>IF(J1806="Yes","",IF(H1806&gt;=I1806,1,0))</f>
        <v/>
      </c>
      <c r="O1806" s="21">
        <f>IF(I1806&lt;=5000000,"Under $5M",IF(I1806&lt;=20000000,"$5M-20M",IF(I1806&lt;=50000000,"$20M-50M",IF(I1806&lt;=100000000,"$50M-100M","$100M+"))))</f>
        <v/>
      </c>
      <c r="P1806" s="21">
        <f>IF(E1806&lt;=90,"90 or less",IF(E1806&lt;=105,"91-105",IF(E1806&lt;=120,"106-120",IF(E1806&lt;=140,"121-140","Over 140"))))</f>
        <v/>
      </c>
      <c r="Q1806" s="28">
        <f>INT(C1806/10)*10</f>
        <v/>
      </c>
    </row>
    <row r="1807">
      <c r="A1807" s="21" t="n">
        <v>1845</v>
      </c>
      <c r="B1807" s="21" t="inlineStr">
        <is>
          <t>Spy Kids 2: Island of Lost Dreams</t>
        </is>
      </c>
      <c r="C1807" s="21" t="n">
        <v>2002</v>
      </c>
      <c r="D1807" s="21" t="inlineStr">
        <is>
          <t>USA</t>
        </is>
      </c>
      <c r="E1807" s="21" t="n">
        <v>100</v>
      </c>
      <c r="F1807" s="21" t="inlineStr">
        <is>
          <t>English</t>
        </is>
      </c>
      <c r="G1807" s="21" t="inlineStr">
        <is>
          <t>PG</t>
        </is>
      </c>
      <c r="H1807" s="22" t="n">
        <v>85570368</v>
      </c>
      <c r="I1807" s="22" t="n">
        <v>38000000</v>
      </c>
      <c r="J1807" s="21">
        <f>IF(OR(H1807="",H1807=25529689.5),"Yes","No")</f>
        <v/>
      </c>
      <c r="K1807" s="21">
        <f>IF(AND(D1807="USA",C1807&gt;=1980,J1807="No"),"Yes","No")</f>
        <v/>
      </c>
      <c r="L1807" s="26">
        <f>IF(J1807="Yes","",H1807-I1807)</f>
        <v/>
      </c>
      <c r="M1807" s="27">
        <f>IF(OR(J1807="Yes",I1807=0),"",H1807/I1807)</f>
        <v/>
      </c>
      <c r="N1807" s="21">
        <f>IF(J1807="Yes","",IF(H1807&gt;=I1807,1,0))</f>
        <v/>
      </c>
      <c r="O1807" s="21">
        <f>IF(I1807&lt;=5000000,"Under $5M",IF(I1807&lt;=20000000,"$5M-20M",IF(I1807&lt;=50000000,"$20M-50M",IF(I1807&lt;=100000000,"$50M-100M","$100M+"))))</f>
        <v/>
      </c>
      <c r="P1807" s="21">
        <f>IF(E1807&lt;=90,"90 or less",IF(E1807&lt;=105,"91-105",IF(E1807&lt;=120,"106-120",IF(E1807&lt;=140,"121-140","Over 140"))))</f>
        <v/>
      </c>
      <c r="Q1807" s="28">
        <f>INT(C1807/10)*10</f>
        <v/>
      </c>
    </row>
    <row r="1808">
      <c r="A1808" s="21" t="n">
        <v>1846</v>
      </c>
      <c r="B1808" s="21" t="inlineStr">
        <is>
          <t>Star Trek: Nemesis</t>
        </is>
      </c>
      <c r="C1808" s="21" t="n">
        <v>2002</v>
      </c>
      <c r="D1808" s="21" t="inlineStr">
        <is>
          <t>USA</t>
        </is>
      </c>
      <c r="E1808" s="21" t="n">
        <v>116</v>
      </c>
      <c r="F1808" s="21" t="inlineStr">
        <is>
          <t>English</t>
        </is>
      </c>
      <c r="G1808" s="21" t="inlineStr">
        <is>
          <t>PG-13</t>
        </is>
      </c>
      <c r="H1808" s="22" t="n">
        <v>43119879</v>
      </c>
      <c r="I1808" s="22" t="n">
        <v>60000000</v>
      </c>
      <c r="J1808" s="21">
        <f>IF(OR(H1808="",H1808=25529689.5),"Yes","No")</f>
        <v/>
      </c>
      <c r="K1808" s="21">
        <f>IF(AND(D1808="USA",C1808&gt;=1980,J1808="No"),"Yes","No")</f>
        <v/>
      </c>
      <c r="L1808" s="26">
        <f>IF(J1808="Yes","",H1808-I1808)</f>
        <v/>
      </c>
      <c r="M1808" s="27">
        <f>IF(OR(J1808="Yes",I1808=0),"",H1808/I1808)</f>
        <v/>
      </c>
      <c r="N1808" s="21">
        <f>IF(J1808="Yes","",IF(H1808&gt;=I1808,1,0))</f>
        <v/>
      </c>
      <c r="O1808" s="21">
        <f>IF(I1808&lt;=5000000,"Under $5M",IF(I1808&lt;=20000000,"$5M-20M",IF(I1808&lt;=50000000,"$20M-50M",IF(I1808&lt;=100000000,"$50M-100M","$100M+"))))</f>
        <v/>
      </c>
      <c r="P1808" s="21">
        <f>IF(E1808&lt;=90,"90 or less",IF(E1808&lt;=105,"91-105",IF(E1808&lt;=120,"106-120",IF(E1808&lt;=140,"121-140","Over 140"))))</f>
        <v/>
      </c>
      <c r="Q1808" s="28">
        <f>INT(C1808/10)*10</f>
        <v/>
      </c>
    </row>
    <row r="1809">
      <c r="A1809" s="21" t="n">
        <v>1847</v>
      </c>
      <c r="B1809" s="21" t="inlineStr">
        <is>
          <t>Star Wars: Episode II - Attack of the Clones</t>
        </is>
      </c>
      <c r="C1809" s="21" t="n">
        <v>2002</v>
      </c>
      <c r="D1809" s="21" t="inlineStr">
        <is>
          <t>USA</t>
        </is>
      </c>
      <c r="E1809" s="21" t="n">
        <v>142</v>
      </c>
      <c r="F1809" s="21" t="inlineStr">
        <is>
          <t>English</t>
        </is>
      </c>
      <c r="G1809" s="21" t="inlineStr">
        <is>
          <t>PG</t>
        </is>
      </c>
      <c r="H1809" s="22" t="n">
        <v>310675583</v>
      </c>
      <c r="I1809" s="22" t="n">
        <v>115000000</v>
      </c>
      <c r="J1809" s="21">
        <f>IF(OR(H1809="",H1809=25529689.5),"Yes","No")</f>
        <v/>
      </c>
      <c r="K1809" s="21">
        <f>IF(AND(D1809="USA",C1809&gt;=1980,J1809="No"),"Yes","No")</f>
        <v/>
      </c>
      <c r="L1809" s="26">
        <f>IF(J1809="Yes","",H1809-I1809)</f>
        <v/>
      </c>
      <c r="M1809" s="27">
        <f>IF(OR(J1809="Yes",I1809=0),"",H1809/I1809)</f>
        <v/>
      </c>
      <c r="N1809" s="21">
        <f>IF(J1809="Yes","",IF(H1809&gt;=I1809,1,0))</f>
        <v/>
      </c>
      <c r="O1809" s="21">
        <f>IF(I1809&lt;=5000000,"Under $5M",IF(I1809&lt;=20000000,"$5M-20M",IF(I1809&lt;=50000000,"$20M-50M",IF(I1809&lt;=100000000,"$50M-100M","$100M+"))))</f>
        <v/>
      </c>
      <c r="P1809" s="21">
        <f>IF(E1809&lt;=90,"90 or less",IF(E1809&lt;=105,"91-105",IF(E1809&lt;=120,"106-120",IF(E1809&lt;=140,"121-140","Over 140"))))</f>
        <v/>
      </c>
      <c r="Q1809" s="28">
        <f>INT(C1809/10)*10</f>
        <v/>
      </c>
    </row>
    <row r="1810">
      <c r="A1810" s="21" t="n">
        <v>1848</v>
      </c>
      <c r="B1810" s="21" t="inlineStr">
        <is>
          <t>Stealing Harvard</t>
        </is>
      </c>
      <c r="C1810" s="21" t="n">
        <v>2002</v>
      </c>
      <c r="D1810" s="21" t="inlineStr">
        <is>
          <t>USA</t>
        </is>
      </c>
      <c r="E1810" s="21" t="n">
        <v>85</v>
      </c>
      <c r="F1810" s="21" t="inlineStr">
        <is>
          <t>English</t>
        </is>
      </c>
      <c r="G1810" s="21" t="inlineStr">
        <is>
          <t>PG-13</t>
        </is>
      </c>
      <c r="H1810" s="22" t="n">
        <v>13973532</v>
      </c>
      <c r="I1810" s="22" t="n">
        <v>25000000</v>
      </c>
      <c r="J1810" s="21">
        <f>IF(OR(H1810="",H1810=25529689.5),"Yes","No")</f>
        <v/>
      </c>
      <c r="K1810" s="21">
        <f>IF(AND(D1810="USA",C1810&gt;=1980,J1810="No"),"Yes","No")</f>
        <v/>
      </c>
      <c r="L1810" s="26">
        <f>IF(J1810="Yes","",H1810-I1810)</f>
        <v/>
      </c>
      <c r="M1810" s="27">
        <f>IF(OR(J1810="Yes",I1810=0),"",H1810/I1810)</f>
        <v/>
      </c>
      <c r="N1810" s="21">
        <f>IF(J1810="Yes","",IF(H1810&gt;=I1810,1,0))</f>
        <v/>
      </c>
      <c r="O1810" s="21">
        <f>IF(I1810&lt;=5000000,"Under $5M",IF(I1810&lt;=20000000,"$5M-20M",IF(I1810&lt;=50000000,"$20M-50M",IF(I1810&lt;=100000000,"$50M-100M","$100M+"))))</f>
        <v/>
      </c>
      <c r="P1810" s="21">
        <f>IF(E1810&lt;=90,"90 or less",IF(E1810&lt;=105,"91-105",IF(E1810&lt;=120,"106-120",IF(E1810&lt;=140,"121-140","Over 140"))))</f>
        <v/>
      </c>
      <c r="Q1810" s="28">
        <f>INT(C1810/10)*10</f>
        <v/>
      </c>
    </row>
    <row r="1811">
      <c r="A1811" s="21" t="n">
        <v>1850</v>
      </c>
      <c r="B1811" s="21" t="inlineStr">
        <is>
          <t>Stolen Summer</t>
        </is>
      </c>
      <c r="C1811" s="21" t="n">
        <v>2002</v>
      </c>
      <c r="D1811" s="21" t="inlineStr">
        <is>
          <t>USA</t>
        </is>
      </c>
      <c r="E1811" s="21" t="n">
        <v>91</v>
      </c>
      <c r="F1811" s="21" t="inlineStr">
        <is>
          <t>English</t>
        </is>
      </c>
      <c r="G1811" s="21" t="inlineStr">
        <is>
          <t>PG</t>
        </is>
      </c>
      <c r="H1811" s="22" t="n">
        <v>119841</v>
      </c>
      <c r="I1811" s="22" t="n">
        <v>1500000</v>
      </c>
      <c r="J1811" s="21">
        <f>IF(OR(H1811="",H1811=25529689.5),"Yes","No")</f>
        <v/>
      </c>
      <c r="K1811" s="21">
        <f>IF(AND(D1811="USA",C1811&gt;=1980,J1811="No"),"Yes","No")</f>
        <v/>
      </c>
      <c r="L1811" s="26">
        <f>IF(J1811="Yes","",H1811-I1811)</f>
        <v/>
      </c>
      <c r="M1811" s="27">
        <f>IF(OR(J1811="Yes",I1811=0),"",H1811/I1811)</f>
        <v/>
      </c>
      <c r="N1811" s="21">
        <f>IF(J1811="Yes","",IF(H1811&gt;=I1811,1,0))</f>
        <v/>
      </c>
      <c r="O1811" s="21">
        <f>IF(I1811&lt;=5000000,"Under $5M",IF(I1811&lt;=20000000,"$5M-20M",IF(I1811&lt;=50000000,"$20M-50M",IF(I1811&lt;=100000000,"$50M-100M","$100M+"))))</f>
        <v/>
      </c>
      <c r="P1811" s="21">
        <f>IF(E1811&lt;=90,"90 or less",IF(E1811&lt;=105,"91-105",IF(E1811&lt;=120,"106-120",IF(E1811&lt;=140,"121-140","Over 140"))))</f>
        <v/>
      </c>
      <c r="Q1811" s="28">
        <f>INT(C1811/10)*10</f>
        <v/>
      </c>
    </row>
    <row r="1812">
      <c r="A1812" s="21" t="n">
        <v>1851</v>
      </c>
      <c r="B1812" s="21" t="inlineStr">
        <is>
          <t>Stuart Little 2</t>
        </is>
      </c>
      <c r="C1812" s="21" t="n">
        <v>2002</v>
      </c>
      <c r="D1812" s="21" t="inlineStr">
        <is>
          <t>USA</t>
        </is>
      </c>
      <c r="E1812" s="21" t="n">
        <v>77</v>
      </c>
      <c r="F1812" s="21" t="inlineStr">
        <is>
          <t>English</t>
        </is>
      </c>
      <c r="G1812" s="21" t="inlineStr">
        <is>
          <t>PG</t>
        </is>
      </c>
      <c r="H1812" s="22" t="n">
        <v>64736114</v>
      </c>
      <c r="I1812" s="22" t="n">
        <v>120000000</v>
      </c>
      <c r="J1812" s="21">
        <f>IF(OR(H1812="",H1812=25529689.5),"Yes","No")</f>
        <v/>
      </c>
      <c r="K1812" s="21">
        <f>IF(AND(D1812="USA",C1812&gt;=1980,J1812="No"),"Yes","No")</f>
        <v/>
      </c>
      <c r="L1812" s="26">
        <f>IF(J1812="Yes","",H1812-I1812)</f>
        <v/>
      </c>
      <c r="M1812" s="27">
        <f>IF(OR(J1812="Yes",I1812=0),"",H1812/I1812)</f>
        <v/>
      </c>
      <c r="N1812" s="21">
        <f>IF(J1812="Yes","",IF(H1812&gt;=I1812,1,0))</f>
        <v/>
      </c>
      <c r="O1812" s="21">
        <f>IF(I1812&lt;=5000000,"Under $5M",IF(I1812&lt;=20000000,"$5M-20M",IF(I1812&lt;=50000000,"$20M-50M",IF(I1812&lt;=100000000,"$50M-100M","$100M+"))))</f>
        <v/>
      </c>
      <c r="P1812" s="21">
        <f>IF(E1812&lt;=90,"90 or less",IF(E1812&lt;=105,"91-105",IF(E1812&lt;=120,"106-120",IF(E1812&lt;=140,"121-140","Over 140"))))</f>
        <v/>
      </c>
      <c r="Q1812" s="28">
        <f>INT(C1812/10)*10</f>
        <v/>
      </c>
    </row>
    <row r="1813">
      <c r="A1813" s="21" t="n">
        <v>1852</v>
      </c>
      <c r="B1813" s="21" t="inlineStr">
        <is>
          <t>Sunshine State</t>
        </is>
      </c>
      <c r="C1813" s="21" t="n">
        <v>2002</v>
      </c>
      <c r="D1813" s="21" t="inlineStr">
        <is>
          <t>USA</t>
        </is>
      </c>
      <c r="E1813" s="21" t="n">
        <v>141</v>
      </c>
      <c r="F1813" s="21" t="inlineStr">
        <is>
          <t>English</t>
        </is>
      </c>
      <c r="G1813" s="21" t="inlineStr">
        <is>
          <t>PG-13</t>
        </is>
      </c>
      <c r="H1813" s="22" t="n">
        <v>3064356</v>
      </c>
      <c r="I1813" s="22" t="n">
        <v>5600000</v>
      </c>
      <c r="J1813" s="21">
        <f>IF(OR(H1813="",H1813=25529689.5),"Yes","No")</f>
        <v/>
      </c>
      <c r="K1813" s="21">
        <f>IF(AND(D1813="USA",C1813&gt;=1980,J1813="No"),"Yes","No")</f>
        <v/>
      </c>
      <c r="L1813" s="26">
        <f>IF(J1813="Yes","",H1813-I1813)</f>
        <v/>
      </c>
      <c r="M1813" s="27">
        <f>IF(OR(J1813="Yes",I1813=0),"",H1813/I1813)</f>
        <v/>
      </c>
      <c r="N1813" s="21">
        <f>IF(J1813="Yes","",IF(H1813&gt;=I1813,1,0))</f>
        <v/>
      </c>
      <c r="O1813" s="21">
        <f>IF(I1813&lt;=5000000,"Under $5M",IF(I1813&lt;=20000000,"$5M-20M",IF(I1813&lt;=50000000,"$20M-50M",IF(I1813&lt;=100000000,"$50M-100M","$100M+"))))</f>
        <v/>
      </c>
      <c r="P1813" s="21">
        <f>IF(E1813&lt;=90,"90 or less",IF(E1813&lt;=105,"91-105",IF(E1813&lt;=120,"106-120",IF(E1813&lt;=140,"121-140","Over 140"))))</f>
        <v/>
      </c>
      <c r="Q1813" s="28">
        <f>INT(C1813/10)*10</f>
        <v/>
      </c>
    </row>
    <row r="1814">
      <c r="A1814" s="21" t="n">
        <v>1853</v>
      </c>
      <c r="B1814" s="21" t="inlineStr">
        <is>
          <t>Sweet Home Alabama</t>
        </is>
      </c>
      <c r="C1814" s="21" t="n">
        <v>2002</v>
      </c>
      <c r="D1814" s="21" t="inlineStr">
        <is>
          <t>USA</t>
        </is>
      </c>
      <c r="E1814" s="21" t="n">
        <v>108</v>
      </c>
      <c r="F1814" s="21" t="inlineStr">
        <is>
          <t>English</t>
        </is>
      </c>
      <c r="G1814" s="21" t="inlineStr">
        <is>
          <t>PG-13</t>
        </is>
      </c>
      <c r="H1814" s="22" t="n">
        <v>127214072</v>
      </c>
      <c r="I1814" s="22" t="n">
        <v>38000000</v>
      </c>
      <c r="J1814" s="21">
        <f>IF(OR(H1814="",H1814=25529689.5),"Yes","No")</f>
        <v/>
      </c>
      <c r="K1814" s="21">
        <f>IF(AND(D1814="USA",C1814&gt;=1980,J1814="No"),"Yes","No")</f>
        <v/>
      </c>
      <c r="L1814" s="26">
        <f>IF(J1814="Yes","",H1814-I1814)</f>
        <v/>
      </c>
      <c r="M1814" s="27">
        <f>IF(OR(J1814="Yes",I1814=0),"",H1814/I1814)</f>
        <v/>
      </c>
      <c r="N1814" s="21">
        <f>IF(J1814="Yes","",IF(H1814&gt;=I1814,1,0))</f>
        <v/>
      </c>
      <c r="O1814" s="21">
        <f>IF(I1814&lt;=5000000,"Under $5M",IF(I1814&lt;=20000000,"$5M-20M",IF(I1814&lt;=50000000,"$20M-50M",IF(I1814&lt;=100000000,"$50M-100M","$100M+"))))</f>
        <v/>
      </c>
      <c r="P1814" s="21">
        <f>IF(E1814&lt;=90,"90 or less",IF(E1814&lt;=105,"91-105",IF(E1814&lt;=120,"106-120",IF(E1814&lt;=140,"121-140","Over 140"))))</f>
        <v/>
      </c>
      <c r="Q1814" s="28">
        <f>INT(C1814/10)*10</f>
        <v/>
      </c>
    </row>
    <row r="1815">
      <c r="A1815" s="21" t="n">
        <v>1854</v>
      </c>
      <c r="B1815" s="21" t="inlineStr">
        <is>
          <t>Swept Away</t>
        </is>
      </c>
      <c r="C1815" s="21" t="n">
        <v>2002</v>
      </c>
      <c r="D1815" s="21" t="inlineStr">
        <is>
          <t>UK</t>
        </is>
      </c>
      <c r="E1815" s="21" t="n">
        <v>89</v>
      </c>
      <c r="F1815" s="21" t="inlineStr">
        <is>
          <t>English</t>
        </is>
      </c>
      <c r="G1815" s="21" t="inlineStr">
        <is>
          <t>R</t>
        </is>
      </c>
      <c r="H1815" s="22" t="n">
        <v>598645</v>
      </c>
      <c r="I1815" s="22" t="n">
        <v>10000000</v>
      </c>
      <c r="J1815" s="21">
        <f>IF(OR(H1815="",H1815=25529689.5),"Yes","No")</f>
        <v/>
      </c>
      <c r="K1815" s="21">
        <f>IF(AND(D1815="USA",C1815&gt;=1980,J1815="No"),"Yes","No")</f>
        <v/>
      </c>
      <c r="L1815" s="26">
        <f>IF(J1815="Yes","",H1815-I1815)</f>
        <v/>
      </c>
      <c r="M1815" s="27">
        <f>IF(OR(J1815="Yes",I1815=0),"",H1815/I1815)</f>
        <v/>
      </c>
      <c r="N1815" s="21">
        <f>IF(J1815="Yes","",IF(H1815&gt;=I1815,1,0))</f>
        <v/>
      </c>
      <c r="O1815" s="21">
        <f>IF(I1815&lt;=5000000,"Under $5M",IF(I1815&lt;=20000000,"$5M-20M",IF(I1815&lt;=50000000,"$20M-50M",IF(I1815&lt;=100000000,"$50M-100M","$100M+"))))</f>
        <v/>
      </c>
      <c r="P1815" s="21">
        <f>IF(E1815&lt;=90,"90 or less",IF(E1815&lt;=105,"91-105",IF(E1815&lt;=120,"106-120",IF(E1815&lt;=140,"121-140","Over 140"))))</f>
        <v/>
      </c>
      <c r="Q1815" s="28">
        <f>INT(C1815/10)*10</f>
        <v/>
      </c>
    </row>
    <row r="1816">
      <c r="A1816" s="21" t="n">
        <v>1855</v>
      </c>
      <c r="B1816" s="21" t="inlineStr">
        <is>
          <t>Swimfan</t>
        </is>
      </c>
      <c r="C1816" s="21" t="n">
        <v>2002</v>
      </c>
      <c r="D1816" s="21" t="inlineStr">
        <is>
          <t>USA</t>
        </is>
      </c>
      <c r="E1816" s="21" t="n">
        <v>85</v>
      </c>
      <c r="F1816" s="21" t="inlineStr">
        <is>
          <t>English</t>
        </is>
      </c>
      <c r="G1816" s="21" t="inlineStr">
        <is>
          <t>PG-13</t>
        </is>
      </c>
      <c r="H1816" s="22" t="n">
        <v>28563926</v>
      </c>
      <c r="I1816" s="22" t="n">
        <v>8500000</v>
      </c>
      <c r="J1816" s="21">
        <f>IF(OR(H1816="",H1816=25529689.5),"Yes","No")</f>
        <v/>
      </c>
      <c r="K1816" s="21">
        <f>IF(AND(D1816="USA",C1816&gt;=1980,J1816="No"),"Yes","No")</f>
        <v/>
      </c>
      <c r="L1816" s="26">
        <f>IF(J1816="Yes","",H1816-I1816)</f>
        <v/>
      </c>
      <c r="M1816" s="27">
        <f>IF(OR(J1816="Yes",I1816=0),"",H1816/I1816)</f>
        <v/>
      </c>
      <c r="N1816" s="21">
        <f>IF(J1816="Yes","",IF(H1816&gt;=I1816,1,0))</f>
        <v/>
      </c>
      <c r="O1816" s="21">
        <f>IF(I1816&lt;=5000000,"Under $5M",IF(I1816&lt;=20000000,"$5M-20M",IF(I1816&lt;=50000000,"$20M-50M",IF(I1816&lt;=100000000,"$50M-100M","$100M+"))))</f>
        <v/>
      </c>
      <c r="P1816" s="21">
        <f>IF(E1816&lt;=90,"90 or less",IF(E1816&lt;=105,"91-105",IF(E1816&lt;=120,"106-120",IF(E1816&lt;=140,"121-140","Over 140"))))</f>
        <v/>
      </c>
      <c r="Q1816" s="28">
        <f>INT(C1816/10)*10</f>
        <v/>
      </c>
    </row>
    <row r="1817">
      <c r="A1817" s="21" t="n">
        <v>1856</v>
      </c>
      <c r="B1817" s="21" t="inlineStr">
        <is>
          <t>The Adventures of Pluto Nash</t>
        </is>
      </c>
      <c r="C1817" s="21" t="n">
        <v>2002</v>
      </c>
      <c r="D1817" s="21" t="inlineStr">
        <is>
          <t>USA</t>
        </is>
      </c>
      <c r="E1817" s="21" t="n">
        <v>95</v>
      </c>
      <c r="F1817" s="21" t="inlineStr">
        <is>
          <t>English</t>
        </is>
      </c>
      <c r="G1817" s="21" t="inlineStr">
        <is>
          <t>PG-13</t>
        </is>
      </c>
      <c r="H1817" s="22" t="n">
        <v>4411102</v>
      </c>
      <c r="I1817" s="22" t="n">
        <v>100000000</v>
      </c>
      <c r="J1817" s="21">
        <f>IF(OR(H1817="",H1817=25529689.5),"Yes","No")</f>
        <v/>
      </c>
      <c r="K1817" s="21">
        <f>IF(AND(D1817="USA",C1817&gt;=1980,J1817="No"),"Yes","No")</f>
        <v/>
      </c>
      <c r="L1817" s="26">
        <f>IF(J1817="Yes","",H1817-I1817)</f>
        <v/>
      </c>
      <c r="M1817" s="27">
        <f>IF(OR(J1817="Yes",I1817=0),"",H1817/I1817)</f>
        <v/>
      </c>
      <c r="N1817" s="21">
        <f>IF(J1817="Yes","",IF(H1817&gt;=I1817,1,0))</f>
        <v/>
      </c>
      <c r="O1817" s="21">
        <f>IF(I1817&lt;=5000000,"Under $5M",IF(I1817&lt;=20000000,"$5M-20M",IF(I1817&lt;=50000000,"$20M-50M",IF(I1817&lt;=100000000,"$50M-100M","$100M+"))))</f>
        <v/>
      </c>
      <c r="P1817" s="21">
        <f>IF(E1817&lt;=90,"90 or less",IF(E1817&lt;=105,"91-105",IF(E1817&lt;=120,"106-120",IF(E1817&lt;=140,"121-140","Over 140"))))</f>
        <v/>
      </c>
      <c r="Q1817" s="28">
        <f>INT(C1817/10)*10</f>
        <v/>
      </c>
    </row>
    <row r="1818">
      <c r="A1818" s="21" t="n">
        <v>1857</v>
      </c>
      <c r="B1818" s="21" t="inlineStr">
        <is>
          <t>The Banger Sisters</t>
        </is>
      </c>
      <c r="C1818" s="21" t="n">
        <v>2002</v>
      </c>
      <c r="D1818" s="21" t="inlineStr">
        <is>
          <t>USA</t>
        </is>
      </c>
      <c r="E1818" s="21" t="n">
        <v>98</v>
      </c>
      <c r="F1818" s="21" t="inlineStr">
        <is>
          <t>English</t>
        </is>
      </c>
      <c r="G1818" s="21" t="inlineStr">
        <is>
          <t>R</t>
        </is>
      </c>
      <c r="H1818" s="22" t="n">
        <v>30306281</v>
      </c>
      <c r="I1818" s="22" t="n">
        <v>10000000</v>
      </c>
      <c r="J1818" s="21">
        <f>IF(OR(H1818="",H1818=25529689.5),"Yes","No")</f>
        <v/>
      </c>
      <c r="K1818" s="21">
        <f>IF(AND(D1818="USA",C1818&gt;=1980,J1818="No"),"Yes","No")</f>
        <v/>
      </c>
      <c r="L1818" s="26">
        <f>IF(J1818="Yes","",H1818-I1818)</f>
        <v/>
      </c>
      <c r="M1818" s="27">
        <f>IF(OR(J1818="Yes",I1818=0),"",H1818/I1818)</f>
        <v/>
      </c>
      <c r="N1818" s="21">
        <f>IF(J1818="Yes","",IF(H1818&gt;=I1818,1,0))</f>
        <v/>
      </c>
      <c r="O1818" s="21">
        <f>IF(I1818&lt;=5000000,"Under $5M",IF(I1818&lt;=20000000,"$5M-20M",IF(I1818&lt;=50000000,"$20M-50M",IF(I1818&lt;=100000000,"$50M-100M","$100M+"))))</f>
        <v/>
      </c>
      <c r="P1818" s="21">
        <f>IF(E1818&lt;=90,"90 or less",IF(E1818&lt;=105,"91-105",IF(E1818&lt;=120,"106-120",IF(E1818&lt;=140,"121-140","Over 140"))))</f>
        <v/>
      </c>
      <c r="Q1818" s="28">
        <f>INT(C1818/10)*10</f>
        <v/>
      </c>
    </row>
    <row r="1819">
      <c r="A1819" s="21" t="n">
        <v>1858</v>
      </c>
      <c r="B1819" s="21" t="inlineStr">
        <is>
          <t>The Bourne Identity</t>
        </is>
      </c>
      <c r="C1819" s="21" t="n">
        <v>2002</v>
      </c>
      <c r="D1819" s="21" t="inlineStr">
        <is>
          <t>USA</t>
        </is>
      </c>
      <c r="E1819" s="21" t="n">
        <v>119</v>
      </c>
      <c r="F1819" s="21" t="inlineStr">
        <is>
          <t>English</t>
        </is>
      </c>
      <c r="G1819" s="21" t="inlineStr">
        <is>
          <t>PG-13</t>
        </is>
      </c>
      <c r="H1819" s="22" t="n">
        <v>121468960</v>
      </c>
      <c r="I1819" s="22" t="n">
        <v>60000000</v>
      </c>
      <c r="J1819" s="21">
        <f>IF(OR(H1819="",H1819=25529689.5),"Yes","No")</f>
        <v/>
      </c>
      <c r="K1819" s="21">
        <f>IF(AND(D1819="USA",C1819&gt;=1980,J1819="No"),"Yes","No")</f>
        <v/>
      </c>
      <c r="L1819" s="26">
        <f>IF(J1819="Yes","",H1819-I1819)</f>
        <v/>
      </c>
      <c r="M1819" s="27">
        <f>IF(OR(J1819="Yes",I1819=0),"",H1819/I1819)</f>
        <v/>
      </c>
      <c r="N1819" s="21">
        <f>IF(J1819="Yes","",IF(H1819&gt;=I1819,1,0))</f>
        <v/>
      </c>
      <c r="O1819" s="21">
        <f>IF(I1819&lt;=5000000,"Under $5M",IF(I1819&lt;=20000000,"$5M-20M",IF(I1819&lt;=50000000,"$20M-50M",IF(I1819&lt;=100000000,"$50M-100M","$100M+"))))</f>
        <v/>
      </c>
      <c r="P1819" s="21">
        <f>IF(E1819&lt;=90,"90 or less",IF(E1819&lt;=105,"91-105",IF(E1819&lt;=120,"106-120",IF(E1819&lt;=140,"121-140","Over 140"))))</f>
        <v/>
      </c>
      <c r="Q1819" s="28">
        <f>INT(C1819/10)*10</f>
        <v/>
      </c>
    </row>
    <row r="1820">
      <c r="A1820" s="21" t="n">
        <v>1859</v>
      </c>
      <c r="B1820" s="21" t="inlineStr">
        <is>
          <t>The Business of Fancydancing</t>
        </is>
      </c>
      <c r="C1820" s="21" t="n">
        <v>2002</v>
      </c>
      <c r="D1820" s="21" t="inlineStr">
        <is>
          <t>USA</t>
        </is>
      </c>
      <c r="E1820" s="21" t="n">
        <v>103</v>
      </c>
      <c r="F1820" s="21" t="inlineStr">
        <is>
          <t>English</t>
        </is>
      </c>
      <c r="G1820" s="21" t="n"/>
      <c r="H1820" s="22" t="n">
        <v>174682</v>
      </c>
      <c r="I1820" s="22" t="n">
        <v>200000</v>
      </c>
      <c r="J1820" s="21">
        <f>IF(OR(H1820="",H1820=25529689.5),"Yes","No")</f>
        <v/>
      </c>
      <c r="K1820" s="21">
        <f>IF(AND(D1820="USA",C1820&gt;=1980,J1820="No"),"Yes","No")</f>
        <v/>
      </c>
      <c r="L1820" s="26">
        <f>IF(J1820="Yes","",H1820-I1820)</f>
        <v/>
      </c>
      <c r="M1820" s="27">
        <f>IF(OR(J1820="Yes",I1820=0),"",H1820/I1820)</f>
        <v/>
      </c>
      <c r="N1820" s="21">
        <f>IF(J1820="Yes","",IF(H1820&gt;=I1820,1,0))</f>
        <v/>
      </c>
      <c r="O1820" s="21">
        <f>IF(I1820&lt;=5000000,"Under $5M",IF(I1820&lt;=20000000,"$5M-20M",IF(I1820&lt;=50000000,"$20M-50M",IF(I1820&lt;=100000000,"$50M-100M","$100M+"))))</f>
        <v/>
      </c>
      <c r="P1820" s="21">
        <f>IF(E1820&lt;=90,"90 or less",IF(E1820&lt;=105,"91-105",IF(E1820&lt;=120,"106-120",IF(E1820&lt;=140,"121-140","Over 140"))))</f>
        <v/>
      </c>
      <c r="Q1820" s="28">
        <f>INT(C1820/10)*10</f>
        <v/>
      </c>
    </row>
    <row r="1821">
      <c r="A1821" s="21" t="n">
        <v>1860</v>
      </c>
      <c r="B1821" s="21" t="inlineStr">
        <is>
          <t>The Count of Monte Cristo</t>
        </is>
      </c>
      <c r="C1821" s="21" t="n">
        <v>2002</v>
      </c>
      <c r="D1821" s="21" t="inlineStr">
        <is>
          <t>UK</t>
        </is>
      </c>
      <c r="E1821" s="21" t="n">
        <v>131</v>
      </c>
      <c r="F1821" s="21" t="inlineStr">
        <is>
          <t>English</t>
        </is>
      </c>
      <c r="G1821" s="21" t="inlineStr">
        <is>
          <t>PG-13</t>
        </is>
      </c>
      <c r="H1821" s="22" t="n">
        <v>54228104</v>
      </c>
      <c r="I1821" s="22" t="n">
        <v>35000000</v>
      </c>
      <c r="J1821" s="21">
        <f>IF(OR(H1821="",H1821=25529689.5),"Yes","No")</f>
        <v/>
      </c>
      <c r="K1821" s="21">
        <f>IF(AND(D1821="USA",C1821&gt;=1980,J1821="No"),"Yes","No")</f>
        <v/>
      </c>
      <c r="L1821" s="26">
        <f>IF(J1821="Yes","",H1821-I1821)</f>
        <v/>
      </c>
      <c r="M1821" s="27">
        <f>IF(OR(J1821="Yes",I1821=0),"",H1821/I1821)</f>
        <v/>
      </c>
      <c r="N1821" s="21">
        <f>IF(J1821="Yes","",IF(H1821&gt;=I1821,1,0))</f>
        <v/>
      </c>
      <c r="O1821" s="21">
        <f>IF(I1821&lt;=5000000,"Under $5M",IF(I1821&lt;=20000000,"$5M-20M",IF(I1821&lt;=50000000,"$20M-50M",IF(I1821&lt;=100000000,"$50M-100M","$100M+"))))</f>
        <v/>
      </c>
      <c r="P1821" s="21">
        <f>IF(E1821&lt;=90,"90 or less",IF(E1821&lt;=105,"91-105",IF(E1821&lt;=120,"106-120",IF(E1821&lt;=140,"121-140","Over 140"))))</f>
        <v/>
      </c>
      <c r="Q1821" s="28">
        <f>INT(C1821/10)*10</f>
        <v/>
      </c>
    </row>
    <row r="1822">
      <c r="A1822" s="21" t="n">
        <v>1861</v>
      </c>
      <c r="B1822" s="21" t="inlineStr">
        <is>
          <t>The Country Bears</t>
        </is>
      </c>
      <c r="C1822" s="21" t="n">
        <v>2002</v>
      </c>
      <c r="D1822" s="21" t="inlineStr">
        <is>
          <t>USA</t>
        </is>
      </c>
      <c r="E1822" s="21" t="n">
        <v>88</v>
      </c>
      <c r="F1822" s="21" t="inlineStr">
        <is>
          <t>English</t>
        </is>
      </c>
      <c r="G1822" s="21" t="inlineStr">
        <is>
          <t>G</t>
        </is>
      </c>
      <c r="H1822" s="22" t="n">
        <v>16988996</v>
      </c>
      <c r="I1822" s="22" t="n">
        <v>35000000</v>
      </c>
      <c r="J1822" s="21">
        <f>IF(OR(H1822="",H1822=25529689.5),"Yes","No")</f>
        <v/>
      </c>
      <c r="K1822" s="21">
        <f>IF(AND(D1822="USA",C1822&gt;=1980,J1822="No"),"Yes","No")</f>
        <v/>
      </c>
      <c r="L1822" s="26">
        <f>IF(J1822="Yes","",H1822-I1822)</f>
        <v/>
      </c>
      <c r="M1822" s="27">
        <f>IF(OR(J1822="Yes",I1822=0),"",H1822/I1822)</f>
        <v/>
      </c>
      <c r="N1822" s="21">
        <f>IF(J1822="Yes","",IF(H1822&gt;=I1822,1,0))</f>
        <v/>
      </c>
      <c r="O1822" s="21">
        <f>IF(I1822&lt;=5000000,"Under $5M",IF(I1822&lt;=20000000,"$5M-20M",IF(I1822&lt;=50000000,"$20M-50M",IF(I1822&lt;=100000000,"$50M-100M","$100M+"))))</f>
        <v/>
      </c>
      <c r="P1822" s="21">
        <f>IF(E1822&lt;=90,"90 or less",IF(E1822&lt;=105,"91-105",IF(E1822&lt;=120,"106-120",IF(E1822&lt;=140,"121-140","Over 140"))))</f>
        <v/>
      </c>
      <c r="Q1822" s="28">
        <f>INT(C1822/10)*10</f>
        <v/>
      </c>
    </row>
    <row r="1823">
      <c r="A1823" s="21" t="n">
        <v>1862</v>
      </c>
      <c r="B1823" s="21" t="inlineStr">
        <is>
          <t>The Crocodile Hunter: Collision Course</t>
        </is>
      </c>
      <c r="C1823" s="21" t="n">
        <v>2002</v>
      </c>
      <c r="D1823" s="21" t="inlineStr">
        <is>
          <t>Australia</t>
        </is>
      </c>
      <c r="E1823" s="21" t="n">
        <v>90</v>
      </c>
      <c r="F1823" s="21" t="inlineStr">
        <is>
          <t>English</t>
        </is>
      </c>
      <c r="G1823" s="21" t="inlineStr">
        <is>
          <t>PG</t>
        </is>
      </c>
      <c r="H1823" s="22" t="n">
        <v>28399192</v>
      </c>
      <c r="I1823" s="22" t="n">
        <v>13000000</v>
      </c>
      <c r="J1823" s="21">
        <f>IF(OR(H1823="",H1823=25529689.5),"Yes","No")</f>
        <v/>
      </c>
      <c r="K1823" s="21">
        <f>IF(AND(D1823="USA",C1823&gt;=1980,J1823="No"),"Yes","No")</f>
        <v/>
      </c>
      <c r="L1823" s="26">
        <f>IF(J1823="Yes","",H1823-I1823)</f>
        <v/>
      </c>
      <c r="M1823" s="27">
        <f>IF(OR(J1823="Yes",I1823=0),"",H1823/I1823)</f>
        <v/>
      </c>
      <c r="N1823" s="21">
        <f>IF(J1823="Yes","",IF(H1823&gt;=I1823,1,0))</f>
        <v/>
      </c>
      <c r="O1823" s="21">
        <f>IF(I1823&lt;=5000000,"Under $5M",IF(I1823&lt;=20000000,"$5M-20M",IF(I1823&lt;=50000000,"$20M-50M",IF(I1823&lt;=100000000,"$50M-100M","$100M+"))))</f>
        <v/>
      </c>
      <c r="P1823" s="21">
        <f>IF(E1823&lt;=90,"90 or less",IF(E1823&lt;=105,"91-105",IF(E1823&lt;=120,"106-120",IF(E1823&lt;=140,"121-140","Over 140"))))</f>
        <v/>
      </c>
      <c r="Q1823" s="28">
        <f>INT(C1823/10)*10</f>
        <v/>
      </c>
    </row>
    <row r="1824">
      <c r="A1824" s="21" t="n">
        <v>1863</v>
      </c>
      <c r="B1824" s="21" t="inlineStr">
        <is>
          <t>The Dangerous Lives of Altar Boys</t>
        </is>
      </c>
      <c r="C1824" s="21" t="n">
        <v>2002</v>
      </c>
      <c r="D1824" s="21" t="inlineStr">
        <is>
          <t>USA</t>
        </is>
      </c>
      <c r="E1824" s="21" t="n">
        <v>104</v>
      </c>
      <c r="F1824" s="21" t="inlineStr">
        <is>
          <t>English</t>
        </is>
      </c>
      <c r="G1824" s="21" t="inlineStr">
        <is>
          <t>R</t>
        </is>
      </c>
      <c r="H1824" s="22" t="n">
        <v>1779284</v>
      </c>
      <c r="I1824" s="22" t="n">
        <v>12000000</v>
      </c>
      <c r="J1824" s="21">
        <f>IF(OR(H1824="",H1824=25529689.5),"Yes","No")</f>
        <v/>
      </c>
      <c r="K1824" s="21">
        <f>IF(AND(D1824="USA",C1824&gt;=1980,J1824="No"),"Yes","No")</f>
        <v/>
      </c>
      <c r="L1824" s="26">
        <f>IF(J1824="Yes","",H1824-I1824)</f>
        <v/>
      </c>
      <c r="M1824" s="27">
        <f>IF(OR(J1824="Yes",I1824=0),"",H1824/I1824)</f>
        <v/>
      </c>
      <c r="N1824" s="21">
        <f>IF(J1824="Yes","",IF(H1824&gt;=I1824,1,0))</f>
        <v/>
      </c>
      <c r="O1824" s="21">
        <f>IF(I1824&lt;=5000000,"Under $5M",IF(I1824&lt;=20000000,"$5M-20M",IF(I1824&lt;=50000000,"$20M-50M",IF(I1824&lt;=100000000,"$50M-100M","$100M+"))))</f>
        <v/>
      </c>
      <c r="P1824" s="21">
        <f>IF(E1824&lt;=90,"90 or less",IF(E1824&lt;=105,"91-105",IF(E1824&lt;=120,"106-120",IF(E1824&lt;=140,"121-140","Over 140"))))</f>
        <v/>
      </c>
      <c r="Q1824" s="28">
        <f>INT(C1824/10)*10</f>
        <v/>
      </c>
    </row>
    <row r="1825">
      <c r="A1825" s="21" t="n">
        <v>1864</v>
      </c>
      <c r="B1825" s="21" t="inlineStr">
        <is>
          <t>The Emperor's Club</t>
        </is>
      </c>
      <c r="C1825" s="21" t="n">
        <v>2002</v>
      </c>
      <c r="D1825" s="21" t="inlineStr">
        <is>
          <t>USA</t>
        </is>
      </c>
      <c r="E1825" s="21" t="n">
        <v>109</v>
      </c>
      <c r="F1825" s="21" t="inlineStr">
        <is>
          <t>English</t>
        </is>
      </c>
      <c r="G1825" s="21" t="inlineStr">
        <is>
          <t>PG-13</t>
        </is>
      </c>
      <c r="H1825" s="22" t="n">
        <v>14060950</v>
      </c>
      <c r="I1825" s="22" t="n">
        <v>12500000</v>
      </c>
      <c r="J1825" s="21">
        <f>IF(OR(H1825="",H1825=25529689.5),"Yes","No")</f>
        <v/>
      </c>
      <c r="K1825" s="21">
        <f>IF(AND(D1825="USA",C1825&gt;=1980,J1825="No"),"Yes","No")</f>
        <v/>
      </c>
      <c r="L1825" s="26">
        <f>IF(J1825="Yes","",H1825-I1825)</f>
        <v/>
      </c>
      <c r="M1825" s="27">
        <f>IF(OR(J1825="Yes",I1825=0),"",H1825/I1825)</f>
        <v/>
      </c>
      <c r="N1825" s="21">
        <f>IF(J1825="Yes","",IF(H1825&gt;=I1825,1,0))</f>
        <v/>
      </c>
      <c r="O1825" s="21">
        <f>IF(I1825&lt;=5000000,"Under $5M",IF(I1825&lt;=20000000,"$5M-20M",IF(I1825&lt;=50000000,"$20M-50M",IF(I1825&lt;=100000000,"$50M-100M","$100M+"))))</f>
        <v/>
      </c>
      <c r="P1825" s="21">
        <f>IF(E1825&lt;=90,"90 or less",IF(E1825&lt;=105,"91-105",IF(E1825&lt;=120,"106-120",IF(E1825&lt;=140,"121-140","Over 140"))))</f>
        <v/>
      </c>
      <c r="Q1825" s="28">
        <f>INT(C1825/10)*10</f>
        <v/>
      </c>
    </row>
    <row r="1826">
      <c r="A1826" s="21" t="n">
        <v>1865</v>
      </c>
      <c r="B1826" s="21" t="inlineStr">
        <is>
          <t>The Four Feathers</t>
        </is>
      </c>
      <c r="C1826" s="21" t="n">
        <v>2002</v>
      </c>
      <c r="D1826" s="21" t="inlineStr">
        <is>
          <t>UK</t>
        </is>
      </c>
      <c r="E1826" s="21" t="n">
        <v>125</v>
      </c>
      <c r="F1826" s="21" t="inlineStr">
        <is>
          <t>English</t>
        </is>
      </c>
      <c r="G1826" s="21" t="inlineStr">
        <is>
          <t>PG-13</t>
        </is>
      </c>
      <c r="H1826" s="22" t="n">
        <v>18306166</v>
      </c>
      <c r="I1826" s="22" t="n">
        <v>35000000</v>
      </c>
      <c r="J1826" s="21">
        <f>IF(OR(H1826="",H1826=25529689.5),"Yes","No")</f>
        <v/>
      </c>
      <c r="K1826" s="21">
        <f>IF(AND(D1826="USA",C1826&gt;=1980,J1826="No"),"Yes","No")</f>
        <v/>
      </c>
      <c r="L1826" s="26">
        <f>IF(J1826="Yes","",H1826-I1826)</f>
        <v/>
      </c>
      <c r="M1826" s="27">
        <f>IF(OR(J1826="Yes",I1826=0),"",H1826/I1826)</f>
        <v/>
      </c>
      <c r="N1826" s="21">
        <f>IF(J1826="Yes","",IF(H1826&gt;=I1826,1,0))</f>
        <v/>
      </c>
      <c r="O1826" s="21">
        <f>IF(I1826&lt;=5000000,"Under $5M",IF(I1826&lt;=20000000,"$5M-20M",IF(I1826&lt;=50000000,"$20M-50M",IF(I1826&lt;=100000000,"$50M-100M","$100M+"))))</f>
        <v/>
      </c>
      <c r="P1826" s="21">
        <f>IF(E1826&lt;=90,"90 or less",IF(E1826&lt;=105,"91-105",IF(E1826&lt;=120,"106-120",IF(E1826&lt;=140,"121-140","Over 140"))))</f>
        <v/>
      </c>
      <c r="Q1826" s="28">
        <f>INT(C1826/10)*10</f>
        <v/>
      </c>
    </row>
    <row r="1827">
      <c r="A1827" s="21" t="n">
        <v>1866</v>
      </c>
      <c r="B1827" s="21" t="inlineStr">
        <is>
          <t>The Good Girl</t>
        </is>
      </c>
      <c r="C1827" s="21" t="n">
        <v>2002</v>
      </c>
      <c r="D1827" s="21" t="inlineStr">
        <is>
          <t>USA</t>
        </is>
      </c>
      <c r="E1827" s="21" t="n">
        <v>93</v>
      </c>
      <c r="F1827" s="21" t="inlineStr">
        <is>
          <t>English</t>
        </is>
      </c>
      <c r="G1827" s="21" t="inlineStr">
        <is>
          <t>R</t>
        </is>
      </c>
      <c r="H1827" s="22" t="n">
        <v>14015786</v>
      </c>
      <c r="I1827" s="22" t="n">
        <v>5000000</v>
      </c>
      <c r="J1827" s="21">
        <f>IF(OR(H1827="",H1827=25529689.5),"Yes","No")</f>
        <v/>
      </c>
      <c r="K1827" s="21">
        <f>IF(AND(D1827="USA",C1827&gt;=1980,J1827="No"),"Yes","No")</f>
        <v/>
      </c>
      <c r="L1827" s="26">
        <f>IF(J1827="Yes","",H1827-I1827)</f>
        <v/>
      </c>
      <c r="M1827" s="27">
        <f>IF(OR(J1827="Yes",I1827=0),"",H1827/I1827)</f>
        <v/>
      </c>
      <c r="N1827" s="21">
        <f>IF(J1827="Yes","",IF(H1827&gt;=I1827,1,0))</f>
        <v/>
      </c>
      <c r="O1827" s="21">
        <f>IF(I1827&lt;=5000000,"Under $5M",IF(I1827&lt;=20000000,"$5M-20M",IF(I1827&lt;=50000000,"$20M-50M",IF(I1827&lt;=100000000,"$50M-100M","$100M+"))))</f>
        <v/>
      </c>
      <c r="P1827" s="21">
        <f>IF(E1827&lt;=90,"90 or less",IF(E1827&lt;=105,"91-105",IF(E1827&lt;=120,"106-120",IF(E1827&lt;=140,"121-140","Over 140"))))</f>
        <v/>
      </c>
      <c r="Q1827" s="28">
        <f>INT(C1827/10)*10</f>
        <v/>
      </c>
    </row>
    <row r="1828">
      <c r="A1828" s="21" t="n">
        <v>1867</v>
      </c>
      <c r="B1828" s="21" t="inlineStr">
        <is>
          <t>The Good Thief</t>
        </is>
      </c>
      <c r="C1828" s="21" t="n">
        <v>2002</v>
      </c>
      <c r="D1828" s="21" t="inlineStr">
        <is>
          <t>France</t>
        </is>
      </c>
      <c r="E1828" s="21" t="n">
        <v>109</v>
      </c>
      <c r="F1828" s="21" t="inlineStr">
        <is>
          <t>English</t>
        </is>
      </c>
      <c r="G1828" s="21" t="inlineStr">
        <is>
          <t>R</t>
        </is>
      </c>
      <c r="H1828" s="22" t="n">
        <v>3517797</v>
      </c>
      <c r="I1828" s="22" t="n">
        <v>25000000</v>
      </c>
      <c r="J1828" s="21">
        <f>IF(OR(H1828="",H1828=25529689.5),"Yes","No")</f>
        <v/>
      </c>
      <c r="K1828" s="21">
        <f>IF(AND(D1828="USA",C1828&gt;=1980,J1828="No"),"Yes","No")</f>
        <v/>
      </c>
      <c r="L1828" s="26">
        <f>IF(J1828="Yes","",H1828-I1828)</f>
        <v/>
      </c>
      <c r="M1828" s="27">
        <f>IF(OR(J1828="Yes",I1828=0),"",H1828/I1828)</f>
        <v/>
      </c>
      <c r="N1828" s="21">
        <f>IF(J1828="Yes","",IF(H1828&gt;=I1828,1,0))</f>
        <v/>
      </c>
      <c r="O1828" s="21">
        <f>IF(I1828&lt;=5000000,"Under $5M",IF(I1828&lt;=20000000,"$5M-20M",IF(I1828&lt;=50000000,"$20M-50M",IF(I1828&lt;=100000000,"$50M-100M","$100M+"))))</f>
        <v/>
      </c>
      <c r="P1828" s="21">
        <f>IF(E1828&lt;=90,"90 or less",IF(E1828&lt;=105,"91-105",IF(E1828&lt;=120,"106-120",IF(E1828&lt;=140,"121-140","Over 140"))))</f>
        <v/>
      </c>
      <c r="Q1828" s="28">
        <f>INT(C1828/10)*10</f>
        <v/>
      </c>
    </row>
    <row r="1829">
      <c r="A1829" s="21" t="n">
        <v>1868</v>
      </c>
      <c r="B1829" s="21" t="inlineStr">
        <is>
          <t>The Guru</t>
        </is>
      </c>
      <c r="C1829" s="21" t="n">
        <v>2002</v>
      </c>
      <c r="D1829" s="21" t="inlineStr">
        <is>
          <t>UK</t>
        </is>
      </c>
      <c r="E1829" s="21" t="n">
        <v>94</v>
      </c>
      <c r="F1829" s="21" t="inlineStr">
        <is>
          <t>English</t>
        </is>
      </c>
      <c r="G1829" s="21" t="inlineStr">
        <is>
          <t>R</t>
        </is>
      </c>
      <c r="H1829" s="22" t="n">
        <v>3034181</v>
      </c>
      <c r="I1829" s="22" t="n">
        <v>11000000</v>
      </c>
      <c r="J1829" s="21">
        <f>IF(OR(H1829="",H1829=25529689.5),"Yes","No")</f>
        <v/>
      </c>
      <c r="K1829" s="21">
        <f>IF(AND(D1829="USA",C1829&gt;=1980,J1829="No"),"Yes","No")</f>
        <v/>
      </c>
      <c r="L1829" s="26">
        <f>IF(J1829="Yes","",H1829-I1829)</f>
        <v/>
      </c>
      <c r="M1829" s="27">
        <f>IF(OR(J1829="Yes",I1829=0),"",H1829/I1829)</f>
        <v/>
      </c>
      <c r="N1829" s="21">
        <f>IF(J1829="Yes","",IF(H1829&gt;=I1829,1,0))</f>
        <v/>
      </c>
      <c r="O1829" s="21">
        <f>IF(I1829&lt;=5000000,"Under $5M",IF(I1829&lt;=20000000,"$5M-20M",IF(I1829&lt;=50000000,"$20M-50M",IF(I1829&lt;=100000000,"$50M-100M","$100M+"))))</f>
        <v/>
      </c>
      <c r="P1829" s="21">
        <f>IF(E1829&lt;=90,"90 or less",IF(E1829&lt;=105,"91-105",IF(E1829&lt;=120,"106-120",IF(E1829&lt;=140,"121-140","Over 140"))))</f>
        <v/>
      </c>
      <c r="Q1829" s="28">
        <f>INT(C1829/10)*10</f>
        <v/>
      </c>
    </row>
    <row r="1830">
      <c r="A1830" s="21" t="n">
        <v>1869</v>
      </c>
      <c r="B1830" s="21" t="inlineStr">
        <is>
          <t>The Heart of Me</t>
        </is>
      </c>
      <c r="C1830" s="21" t="n">
        <v>2002</v>
      </c>
      <c r="D1830" s="21" t="inlineStr">
        <is>
          <t>UK</t>
        </is>
      </c>
      <c r="E1830" s="21" t="n">
        <v>96</v>
      </c>
      <c r="F1830" s="21" t="inlineStr">
        <is>
          <t>English</t>
        </is>
      </c>
      <c r="G1830" s="21" t="inlineStr">
        <is>
          <t>R</t>
        </is>
      </c>
      <c r="H1830" s="22" t="n">
        <v>196067</v>
      </c>
      <c r="I1830" s="22" t="n">
        <v>7000000</v>
      </c>
      <c r="J1830" s="21">
        <f>IF(OR(H1830="",H1830=25529689.5),"Yes","No")</f>
        <v/>
      </c>
      <c r="K1830" s="21">
        <f>IF(AND(D1830="USA",C1830&gt;=1980,J1830="No"),"Yes","No")</f>
        <v/>
      </c>
      <c r="L1830" s="26">
        <f>IF(J1830="Yes","",H1830-I1830)</f>
        <v/>
      </c>
      <c r="M1830" s="27">
        <f>IF(OR(J1830="Yes",I1830=0),"",H1830/I1830)</f>
        <v/>
      </c>
      <c r="N1830" s="21">
        <f>IF(J1830="Yes","",IF(H1830&gt;=I1830,1,0))</f>
        <v/>
      </c>
      <c r="O1830" s="21">
        <f>IF(I1830&lt;=5000000,"Under $5M",IF(I1830&lt;=20000000,"$5M-20M",IF(I1830&lt;=50000000,"$20M-50M",IF(I1830&lt;=100000000,"$50M-100M","$100M+"))))</f>
        <v/>
      </c>
      <c r="P1830" s="21">
        <f>IF(E1830&lt;=90,"90 or less",IF(E1830&lt;=105,"91-105",IF(E1830&lt;=120,"106-120",IF(E1830&lt;=140,"121-140","Over 140"))))</f>
        <v/>
      </c>
      <c r="Q1830" s="28">
        <f>INT(C1830/10)*10</f>
        <v/>
      </c>
    </row>
    <row r="1831">
      <c r="A1831" s="21" t="n">
        <v>1870</v>
      </c>
      <c r="B1831" s="21" t="inlineStr">
        <is>
          <t>The Hours</t>
        </is>
      </c>
      <c r="C1831" s="21" t="n">
        <v>2002</v>
      </c>
      <c r="D1831" s="21" t="inlineStr">
        <is>
          <t>USA</t>
        </is>
      </c>
      <c r="E1831" s="21" t="n">
        <v>114</v>
      </c>
      <c r="F1831" s="21" t="inlineStr">
        <is>
          <t>English</t>
        </is>
      </c>
      <c r="G1831" s="21" t="inlineStr">
        <is>
          <t>PG-13</t>
        </is>
      </c>
      <c r="H1831" s="22" t="n">
        <v>41597830</v>
      </c>
      <c r="I1831" s="22" t="n">
        <v>25000000</v>
      </c>
      <c r="J1831" s="21">
        <f>IF(OR(H1831="",H1831=25529689.5),"Yes","No")</f>
        <v/>
      </c>
      <c r="K1831" s="21">
        <f>IF(AND(D1831="USA",C1831&gt;=1980,J1831="No"),"Yes","No")</f>
        <v/>
      </c>
      <c r="L1831" s="26">
        <f>IF(J1831="Yes","",H1831-I1831)</f>
        <v/>
      </c>
      <c r="M1831" s="27">
        <f>IF(OR(J1831="Yes",I1831=0),"",H1831/I1831)</f>
        <v/>
      </c>
      <c r="N1831" s="21">
        <f>IF(J1831="Yes","",IF(H1831&gt;=I1831,1,0))</f>
        <v/>
      </c>
      <c r="O1831" s="21">
        <f>IF(I1831&lt;=5000000,"Under $5M",IF(I1831&lt;=20000000,"$5M-20M",IF(I1831&lt;=50000000,"$20M-50M",IF(I1831&lt;=100000000,"$50M-100M","$100M+"))))</f>
        <v/>
      </c>
      <c r="P1831" s="21">
        <f>IF(E1831&lt;=90,"90 or less",IF(E1831&lt;=105,"91-105",IF(E1831&lt;=120,"106-120",IF(E1831&lt;=140,"121-140","Over 140"))))</f>
        <v/>
      </c>
      <c r="Q1831" s="28">
        <f>INT(C1831/10)*10</f>
        <v/>
      </c>
    </row>
    <row r="1832">
      <c r="A1832" s="21" t="n">
        <v>1871</v>
      </c>
      <c r="B1832" s="21" t="inlineStr">
        <is>
          <t>The Importance of Being Earnest</t>
        </is>
      </c>
      <c r="C1832" s="21" t="n">
        <v>2002</v>
      </c>
      <c r="D1832" s="21" t="inlineStr">
        <is>
          <t>UK</t>
        </is>
      </c>
      <c r="E1832" s="21" t="n">
        <v>97</v>
      </c>
      <c r="F1832" s="21" t="inlineStr">
        <is>
          <t>English</t>
        </is>
      </c>
      <c r="G1832" s="21" t="inlineStr">
        <is>
          <t>PG</t>
        </is>
      </c>
      <c r="H1832" s="22" t="n">
        <v>8378141</v>
      </c>
      <c r="I1832" s="22" t="n">
        <v>15000000</v>
      </c>
      <c r="J1832" s="21">
        <f>IF(OR(H1832="",H1832=25529689.5),"Yes","No")</f>
        <v/>
      </c>
      <c r="K1832" s="21">
        <f>IF(AND(D1832="USA",C1832&gt;=1980,J1832="No"),"Yes","No")</f>
        <v/>
      </c>
      <c r="L1832" s="26">
        <f>IF(J1832="Yes","",H1832-I1832)</f>
        <v/>
      </c>
      <c r="M1832" s="27">
        <f>IF(OR(J1832="Yes",I1832=0),"",H1832/I1832)</f>
        <v/>
      </c>
      <c r="N1832" s="21">
        <f>IF(J1832="Yes","",IF(H1832&gt;=I1832,1,0))</f>
        <v/>
      </c>
      <c r="O1832" s="21">
        <f>IF(I1832&lt;=5000000,"Under $5M",IF(I1832&lt;=20000000,"$5M-20M",IF(I1832&lt;=50000000,"$20M-50M",IF(I1832&lt;=100000000,"$50M-100M","$100M+"))))</f>
        <v/>
      </c>
      <c r="P1832" s="21">
        <f>IF(E1832&lt;=90,"90 or less",IF(E1832&lt;=105,"91-105",IF(E1832&lt;=120,"106-120",IF(E1832&lt;=140,"121-140","Over 140"))))</f>
        <v/>
      </c>
      <c r="Q1832" s="28">
        <f>INT(C1832/10)*10</f>
        <v/>
      </c>
    </row>
    <row r="1833">
      <c r="A1833" s="21" t="n">
        <v>1872</v>
      </c>
      <c r="B1833" s="21" t="inlineStr">
        <is>
          <t>The Lord of the Rings: The Two Towers</t>
        </is>
      </c>
      <c r="C1833" s="21" t="n">
        <v>2002</v>
      </c>
      <c r="D1833" s="21" t="inlineStr">
        <is>
          <t>USA</t>
        </is>
      </c>
      <c r="E1833" s="21" t="n">
        <v>172</v>
      </c>
      <c r="F1833" s="21" t="inlineStr">
        <is>
          <t>English</t>
        </is>
      </c>
      <c r="G1833" s="21" t="inlineStr">
        <is>
          <t>PG-13</t>
        </is>
      </c>
      <c r="H1833" s="22" t="n">
        <v>340478898</v>
      </c>
      <c r="I1833" s="22" t="n">
        <v>94000000</v>
      </c>
      <c r="J1833" s="21">
        <f>IF(OR(H1833="",H1833=25529689.5),"Yes","No")</f>
        <v/>
      </c>
      <c r="K1833" s="21">
        <f>IF(AND(D1833="USA",C1833&gt;=1980,J1833="No"),"Yes","No")</f>
        <v/>
      </c>
      <c r="L1833" s="26">
        <f>IF(J1833="Yes","",H1833-I1833)</f>
        <v/>
      </c>
      <c r="M1833" s="27">
        <f>IF(OR(J1833="Yes",I1833=0),"",H1833/I1833)</f>
        <v/>
      </c>
      <c r="N1833" s="21">
        <f>IF(J1833="Yes","",IF(H1833&gt;=I1833,1,0))</f>
        <v/>
      </c>
      <c r="O1833" s="21">
        <f>IF(I1833&lt;=5000000,"Under $5M",IF(I1833&lt;=20000000,"$5M-20M",IF(I1833&lt;=50000000,"$20M-50M",IF(I1833&lt;=100000000,"$50M-100M","$100M+"))))</f>
        <v/>
      </c>
      <c r="P1833" s="21">
        <f>IF(E1833&lt;=90,"90 or less",IF(E1833&lt;=105,"91-105",IF(E1833&lt;=120,"106-120",IF(E1833&lt;=140,"121-140","Over 140"))))</f>
        <v/>
      </c>
      <c r="Q1833" s="28">
        <f>INT(C1833/10)*10</f>
        <v/>
      </c>
    </row>
    <row r="1834">
      <c r="A1834" s="21" t="n">
        <v>1873</v>
      </c>
      <c r="B1834" s="21" t="inlineStr">
        <is>
          <t>The Master of Disguise</t>
        </is>
      </c>
      <c r="C1834" s="21" t="n">
        <v>2002</v>
      </c>
      <c r="D1834" s="21" t="inlineStr">
        <is>
          <t>USA</t>
        </is>
      </c>
      <c r="E1834" s="21" t="n">
        <v>80</v>
      </c>
      <c r="F1834" s="21" t="inlineStr">
        <is>
          <t>English</t>
        </is>
      </c>
      <c r="G1834" s="21" t="inlineStr">
        <is>
          <t>PG</t>
        </is>
      </c>
      <c r="H1834" s="22" t="n">
        <v>40363530</v>
      </c>
      <c r="I1834" s="22" t="n">
        <v>16000000</v>
      </c>
      <c r="J1834" s="21">
        <f>IF(OR(H1834="",H1834=25529689.5),"Yes","No")</f>
        <v/>
      </c>
      <c r="K1834" s="21">
        <f>IF(AND(D1834="USA",C1834&gt;=1980,J1834="No"),"Yes","No")</f>
        <v/>
      </c>
      <c r="L1834" s="26">
        <f>IF(J1834="Yes","",H1834-I1834)</f>
        <v/>
      </c>
      <c r="M1834" s="27">
        <f>IF(OR(J1834="Yes",I1834=0),"",H1834/I1834)</f>
        <v/>
      </c>
      <c r="N1834" s="21">
        <f>IF(J1834="Yes","",IF(H1834&gt;=I1834,1,0))</f>
        <v/>
      </c>
      <c r="O1834" s="21">
        <f>IF(I1834&lt;=5000000,"Under $5M",IF(I1834&lt;=20000000,"$5M-20M",IF(I1834&lt;=50000000,"$20M-50M",IF(I1834&lt;=100000000,"$50M-100M","$100M+"))))</f>
        <v/>
      </c>
      <c r="P1834" s="21">
        <f>IF(E1834&lt;=90,"90 or less",IF(E1834&lt;=105,"91-105",IF(E1834&lt;=120,"106-120",IF(E1834&lt;=140,"121-140","Over 140"))))</f>
        <v/>
      </c>
      <c r="Q1834" s="28">
        <f>INT(C1834/10)*10</f>
        <v/>
      </c>
    </row>
    <row r="1835">
      <c r="A1835" s="21" t="n">
        <v>1874</v>
      </c>
      <c r="B1835" s="21" t="inlineStr">
        <is>
          <t>The Mothman Prophecies</t>
        </is>
      </c>
      <c r="C1835" s="21" t="n">
        <v>2002</v>
      </c>
      <c r="D1835" s="21" t="inlineStr">
        <is>
          <t>USA</t>
        </is>
      </c>
      <c r="E1835" s="21" t="n">
        <v>119</v>
      </c>
      <c r="F1835" s="21" t="inlineStr">
        <is>
          <t>English</t>
        </is>
      </c>
      <c r="G1835" s="21" t="inlineStr">
        <is>
          <t>PG-13</t>
        </is>
      </c>
      <c r="H1835" s="22" t="n">
        <v>35228696</v>
      </c>
      <c r="I1835" s="22" t="n">
        <v>32000000</v>
      </c>
      <c r="J1835" s="21">
        <f>IF(OR(H1835="",H1835=25529689.5),"Yes","No")</f>
        <v/>
      </c>
      <c r="K1835" s="21">
        <f>IF(AND(D1835="USA",C1835&gt;=1980,J1835="No"),"Yes","No")</f>
        <v/>
      </c>
      <c r="L1835" s="26">
        <f>IF(J1835="Yes","",H1835-I1835)</f>
        <v/>
      </c>
      <c r="M1835" s="27">
        <f>IF(OR(J1835="Yes",I1835=0),"",H1835/I1835)</f>
        <v/>
      </c>
      <c r="N1835" s="21">
        <f>IF(J1835="Yes","",IF(H1835&gt;=I1835,1,0))</f>
        <v/>
      </c>
      <c r="O1835" s="21">
        <f>IF(I1835&lt;=5000000,"Under $5M",IF(I1835&lt;=20000000,"$5M-20M",IF(I1835&lt;=50000000,"$20M-50M",IF(I1835&lt;=100000000,"$50M-100M","$100M+"))))</f>
        <v/>
      </c>
      <c r="P1835" s="21">
        <f>IF(E1835&lt;=90,"90 or less",IF(E1835&lt;=105,"91-105",IF(E1835&lt;=120,"106-120",IF(E1835&lt;=140,"121-140","Over 140"))))</f>
        <v/>
      </c>
      <c r="Q1835" s="28">
        <f>INT(C1835/10)*10</f>
        <v/>
      </c>
    </row>
    <row r="1836">
      <c r="A1836" s="21" t="n">
        <v>1875</v>
      </c>
      <c r="B1836" s="21" t="inlineStr">
        <is>
          <t>The New Guy</t>
        </is>
      </c>
      <c r="C1836" s="21" t="n">
        <v>2002</v>
      </c>
      <c r="D1836" s="21" t="inlineStr">
        <is>
          <t>USA</t>
        </is>
      </c>
      <c r="E1836" s="21" t="n">
        <v>92</v>
      </c>
      <c r="F1836" s="21" t="inlineStr">
        <is>
          <t>English</t>
        </is>
      </c>
      <c r="G1836" s="21" t="inlineStr">
        <is>
          <t>PG-13</t>
        </is>
      </c>
      <c r="H1836" s="22" t="n">
        <v>28972187</v>
      </c>
      <c r="I1836" s="22" t="n">
        <v>13000000</v>
      </c>
      <c r="J1836" s="21">
        <f>IF(OR(H1836="",H1836=25529689.5),"Yes","No")</f>
        <v/>
      </c>
      <c r="K1836" s="21">
        <f>IF(AND(D1836="USA",C1836&gt;=1980,J1836="No"),"Yes","No")</f>
        <v/>
      </c>
      <c r="L1836" s="26">
        <f>IF(J1836="Yes","",H1836-I1836)</f>
        <v/>
      </c>
      <c r="M1836" s="27">
        <f>IF(OR(J1836="Yes",I1836=0),"",H1836/I1836)</f>
        <v/>
      </c>
      <c r="N1836" s="21">
        <f>IF(J1836="Yes","",IF(H1836&gt;=I1836,1,0))</f>
        <v/>
      </c>
      <c r="O1836" s="21">
        <f>IF(I1836&lt;=5000000,"Under $5M",IF(I1836&lt;=20000000,"$5M-20M",IF(I1836&lt;=50000000,"$20M-50M",IF(I1836&lt;=100000000,"$50M-100M","$100M+"))))</f>
        <v/>
      </c>
      <c r="P1836" s="21">
        <f>IF(E1836&lt;=90,"90 or less",IF(E1836&lt;=105,"91-105",IF(E1836&lt;=120,"106-120",IF(E1836&lt;=140,"121-140","Over 140"))))</f>
        <v/>
      </c>
      <c r="Q1836" s="28">
        <f>INT(C1836/10)*10</f>
        <v/>
      </c>
    </row>
    <row r="1837">
      <c r="A1837" s="21" t="n">
        <v>1876</v>
      </c>
      <c r="B1837" s="21" t="inlineStr">
        <is>
          <t>The Pianist</t>
        </is>
      </c>
      <c r="C1837" s="21" t="n">
        <v>2002</v>
      </c>
      <c r="D1837" s="21" t="inlineStr">
        <is>
          <t>France</t>
        </is>
      </c>
      <c r="E1837" s="21" t="n">
        <v>150</v>
      </c>
      <c r="F1837" s="21" t="inlineStr">
        <is>
          <t>English</t>
        </is>
      </c>
      <c r="G1837" s="21" t="inlineStr">
        <is>
          <t>R</t>
        </is>
      </c>
      <c r="H1837" s="22" t="n">
        <v>32519322</v>
      </c>
      <c r="I1837" s="22" t="n">
        <v>35000000</v>
      </c>
      <c r="J1837" s="21">
        <f>IF(OR(H1837="",H1837=25529689.5),"Yes","No")</f>
        <v/>
      </c>
      <c r="K1837" s="21">
        <f>IF(AND(D1837="USA",C1837&gt;=1980,J1837="No"),"Yes","No")</f>
        <v/>
      </c>
      <c r="L1837" s="26">
        <f>IF(J1837="Yes","",H1837-I1837)</f>
        <v/>
      </c>
      <c r="M1837" s="27">
        <f>IF(OR(J1837="Yes",I1837=0),"",H1837/I1837)</f>
        <v/>
      </c>
      <c r="N1837" s="21">
        <f>IF(J1837="Yes","",IF(H1837&gt;=I1837,1,0))</f>
        <v/>
      </c>
      <c r="O1837" s="21">
        <f>IF(I1837&lt;=5000000,"Under $5M",IF(I1837&lt;=20000000,"$5M-20M",IF(I1837&lt;=50000000,"$20M-50M",IF(I1837&lt;=100000000,"$50M-100M","$100M+"))))</f>
        <v/>
      </c>
      <c r="P1837" s="21">
        <f>IF(E1837&lt;=90,"90 or less",IF(E1837&lt;=105,"91-105",IF(E1837&lt;=120,"106-120",IF(E1837&lt;=140,"121-140","Over 140"))))</f>
        <v/>
      </c>
      <c r="Q1837" s="28">
        <f>INT(C1837/10)*10</f>
        <v/>
      </c>
    </row>
    <row r="1838">
      <c r="A1838" s="21" t="n">
        <v>1877</v>
      </c>
      <c r="B1838" s="21" t="inlineStr">
        <is>
          <t>The Quiet American</t>
        </is>
      </c>
      <c r="C1838" s="21" t="n">
        <v>2002</v>
      </c>
      <c r="D1838" s="21" t="inlineStr">
        <is>
          <t>UK</t>
        </is>
      </c>
      <c r="E1838" s="21" t="n">
        <v>101</v>
      </c>
      <c r="F1838" s="21" t="inlineStr">
        <is>
          <t>English</t>
        </is>
      </c>
      <c r="G1838" s="21" t="inlineStr">
        <is>
          <t>R</t>
        </is>
      </c>
      <c r="H1838" s="22" t="n">
        <v>12987647</v>
      </c>
      <c r="I1838" s="22" t="n">
        <v>30000000</v>
      </c>
      <c r="J1838" s="21">
        <f>IF(OR(H1838="",H1838=25529689.5),"Yes","No")</f>
        <v/>
      </c>
      <c r="K1838" s="21">
        <f>IF(AND(D1838="USA",C1838&gt;=1980,J1838="No"),"Yes","No")</f>
        <v/>
      </c>
      <c r="L1838" s="26">
        <f>IF(J1838="Yes","",H1838-I1838)</f>
        <v/>
      </c>
      <c r="M1838" s="27">
        <f>IF(OR(J1838="Yes",I1838=0),"",H1838/I1838)</f>
        <v/>
      </c>
      <c r="N1838" s="21">
        <f>IF(J1838="Yes","",IF(H1838&gt;=I1838,1,0))</f>
        <v/>
      </c>
      <c r="O1838" s="21">
        <f>IF(I1838&lt;=5000000,"Under $5M",IF(I1838&lt;=20000000,"$5M-20M",IF(I1838&lt;=50000000,"$20M-50M",IF(I1838&lt;=100000000,"$50M-100M","$100M+"))))</f>
        <v/>
      </c>
      <c r="P1838" s="21">
        <f>IF(E1838&lt;=90,"90 or less",IF(E1838&lt;=105,"91-105",IF(E1838&lt;=120,"106-120",IF(E1838&lt;=140,"121-140","Over 140"))))</f>
        <v/>
      </c>
      <c r="Q1838" s="28">
        <f>INT(C1838/10)*10</f>
        <v/>
      </c>
    </row>
    <row r="1839">
      <c r="A1839" s="21" t="n">
        <v>1878</v>
      </c>
      <c r="B1839" s="21" t="inlineStr">
        <is>
          <t>The Rookie</t>
        </is>
      </c>
      <c r="C1839" s="21" t="n">
        <v>2002</v>
      </c>
      <c r="D1839" s="21" t="inlineStr">
        <is>
          <t>USA</t>
        </is>
      </c>
      <c r="E1839" s="21" t="n">
        <v>127</v>
      </c>
      <c r="F1839" s="21" t="inlineStr">
        <is>
          <t>English</t>
        </is>
      </c>
      <c r="G1839" s="21" t="inlineStr">
        <is>
          <t>G</t>
        </is>
      </c>
      <c r="H1839" s="22" t="n">
        <v>75597042</v>
      </c>
      <c r="I1839" s="22" t="n">
        <v>20000000</v>
      </c>
      <c r="J1839" s="21">
        <f>IF(OR(H1839="",H1839=25529689.5),"Yes","No")</f>
        <v/>
      </c>
      <c r="K1839" s="21">
        <f>IF(AND(D1839="USA",C1839&gt;=1980,J1839="No"),"Yes","No")</f>
        <v/>
      </c>
      <c r="L1839" s="26">
        <f>IF(J1839="Yes","",H1839-I1839)</f>
        <v/>
      </c>
      <c r="M1839" s="27">
        <f>IF(OR(J1839="Yes",I1839=0),"",H1839/I1839)</f>
        <v/>
      </c>
      <c r="N1839" s="21">
        <f>IF(J1839="Yes","",IF(H1839&gt;=I1839,1,0))</f>
        <v/>
      </c>
      <c r="O1839" s="21">
        <f>IF(I1839&lt;=5000000,"Under $5M",IF(I1839&lt;=20000000,"$5M-20M",IF(I1839&lt;=50000000,"$20M-50M",IF(I1839&lt;=100000000,"$50M-100M","$100M+"))))</f>
        <v/>
      </c>
      <c r="P1839" s="21">
        <f>IF(E1839&lt;=90,"90 or less",IF(E1839&lt;=105,"91-105",IF(E1839&lt;=120,"106-120",IF(E1839&lt;=140,"121-140","Over 140"))))</f>
        <v/>
      </c>
      <c r="Q1839" s="28">
        <f>INT(C1839/10)*10</f>
        <v/>
      </c>
    </row>
    <row r="1840">
      <c r="A1840" s="21" t="n">
        <v>1879</v>
      </c>
      <c r="B1840" s="21" t="inlineStr">
        <is>
          <t>The Rules of Attraction</t>
        </is>
      </c>
      <c r="C1840" s="21" t="n">
        <v>2002</v>
      </c>
      <c r="D1840" s="21" t="inlineStr">
        <is>
          <t>USA</t>
        </is>
      </c>
      <c r="E1840" s="21" t="n">
        <v>110</v>
      </c>
      <c r="F1840" s="21" t="inlineStr">
        <is>
          <t>English</t>
        </is>
      </c>
      <c r="G1840" s="21" t="inlineStr">
        <is>
          <t>R</t>
        </is>
      </c>
      <c r="H1840" s="22" t="n">
        <v>6525762</v>
      </c>
      <c r="I1840" s="22" t="n">
        <v>4000000</v>
      </c>
      <c r="J1840" s="21">
        <f>IF(OR(H1840="",H1840=25529689.5),"Yes","No")</f>
        <v/>
      </c>
      <c r="K1840" s="21">
        <f>IF(AND(D1840="USA",C1840&gt;=1980,J1840="No"),"Yes","No")</f>
        <v/>
      </c>
      <c r="L1840" s="26">
        <f>IF(J1840="Yes","",H1840-I1840)</f>
        <v/>
      </c>
      <c r="M1840" s="27">
        <f>IF(OR(J1840="Yes",I1840=0),"",H1840/I1840)</f>
        <v/>
      </c>
      <c r="N1840" s="21">
        <f>IF(J1840="Yes","",IF(H1840&gt;=I1840,1,0))</f>
        <v/>
      </c>
      <c r="O1840" s="21">
        <f>IF(I1840&lt;=5000000,"Under $5M",IF(I1840&lt;=20000000,"$5M-20M",IF(I1840&lt;=50000000,"$20M-50M",IF(I1840&lt;=100000000,"$50M-100M","$100M+"))))</f>
        <v/>
      </c>
      <c r="P1840" s="21">
        <f>IF(E1840&lt;=90,"90 or less",IF(E1840&lt;=105,"91-105",IF(E1840&lt;=120,"106-120",IF(E1840&lt;=140,"121-140","Over 140"))))</f>
        <v/>
      </c>
      <c r="Q1840" s="28">
        <f>INT(C1840/10)*10</f>
        <v/>
      </c>
    </row>
    <row r="1841">
      <c r="A1841" s="21" t="n">
        <v>1880</v>
      </c>
      <c r="B1841" s="21" t="inlineStr">
        <is>
          <t>The Salton Sea</t>
        </is>
      </c>
      <c r="C1841" s="21" t="n">
        <v>2002</v>
      </c>
      <c r="D1841" s="21" t="inlineStr">
        <is>
          <t>USA</t>
        </is>
      </c>
      <c r="E1841" s="21" t="n">
        <v>103</v>
      </c>
      <c r="F1841" s="21" t="inlineStr">
        <is>
          <t>English</t>
        </is>
      </c>
      <c r="G1841" s="21" t="inlineStr">
        <is>
          <t>R</t>
        </is>
      </c>
      <c r="H1841" s="22" t="n">
        <v>676698</v>
      </c>
      <c r="I1841" s="22" t="n">
        <v>18000000</v>
      </c>
      <c r="J1841" s="21">
        <f>IF(OR(H1841="",H1841=25529689.5),"Yes","No")</f>
        <v/>
      </c>
      <c r="K1841" s="21">
        <f>IF(AND(D1841="USA",C1841&gt;=1980,J1841="No"),"Yes","No")</f>
        <v/>
      </c>
      <c r="L1841" s="26">
        <f>IF(J1841="Yes","",H1841-I1841)</f>
        <v/>
      </c>
      <c r="M1841" s="27">
        <f>IF(OR(J1841="Yes",I1841=0),"",H1841/I1841)</f>
        <v/>
      </c>
      <c r="N1841" s="21">
        <f>IF(J1841="Yes","",IF(H1841&gt;=I1841,1,0))</f>
        <v/>
      </c>
      <c r="O1841" s="21">
        <f>IF(I1841&lt;=5000000,"Under $5M",IF(I1841&lt;=20000000,"$5M-20M",IF(I1841&lt;=50000000,"$20M-50M",IF(I1841&lt;=100000000,"$50M-100M","$100M+"))))</f>
        <v/>
      </c>
      <c r="P1841" s="21">
        <f>IF(E1841&lt;=90,"90 or less",IF(E1841&lt;=105,"91-105",IF(E1841&lt;=120,"106-120",IF(E1841&lt;=140,"121-140","Over 140"))))</f>
        <v/>
      </c>
      <c r="Q1841" s="28">
        <f>INT(C1841/10)*10</f>
        <v/>
      </c>
    </row>
    <row r="1842">
      <c r="A1842" s="21" t="n">
        <v>1881</v>
      </c>
      <c r="B1842" s="21" t="inlineStr">
        <is>
          <t>The Santa Clause 2</t>
        </is>
      </c>
      <c r="C1842" s="21" t="n">
        <v>2002</v>
      </c>
      <c r="D1842" s="21" t="inlineStr">
        <is>
          <t>USA</t>
        </is>
      </c>
      <c r="E1842" s="21" t="n">
        <v>104</v>
      </c>
      <c r="F1842" s="21" t="inlineStr">
        <is>
          <t>English</t>
        </is>
      </c>
      <c r="G1842" s="21" t="inlineStr">
        <is>
          <t>G</t>
        </is>
      </c>
      <c r="H1842" s="22" t="n">
        <v>139225854</v>
      </c>
      <c r="I1842" s="22" t="n">
        <v>60000000</v>
      </c>
      <c r="J1842" s="21">
        <f>IF(OR(H1842="",H1842=25529689.5),"Yes","No")</f>
        <v/>
      </c>
      <c r="K1842" s="21">
        <f>IF(AND(D1842="USA",C1842&gt;=1980,J1842="No"),"Yes","No")</f>
        <v/>
      </c>
      <c r="L1842" s="26">
        <f>IF(J1842="Yes","",H1842-I1842)</f>
        <v/>
      </c>
      <c r="M1842" s="27">
        <f>IF(OR(J1842="Yes",I1842=0),"",H1842/I1842)</f>
        <v/>
      </c>
      <c r="N1842" s="21">
        <f>IF(J1842="Yes","",IF(H1842&gt;=I1842,1,0))</f>
        <v/>
      </c>
      <c r="O1842" s="21">
        <f>IF(I1842&lt;=5000000,"Under $5M",IF(I1842&lt;=20000000,"$5M-20M",IF(I1842&lt;=50000000,"$20M-50M",IF(I1842&lt;=100000000,"$50M-100M","$100M+"))))</f>
        <v/>
      </c>
      <c r="P1842" s="21">
        <f>IF(E1842&lt;=90,"90 or less",IF(E1842&lt;=105,"91-105",IF(E1842&lt;=120,"106-120",IF(E1842&lt;=140,"121-140","Over 140"))))</f>
        <v/>
      </c>
      <c r="Q1842" s="28">
        <f>INT(C1842/10)*10</f>
        <v/>
      </c>
    </row>
    <row r="1843">
      <c r="A1843" s="21" t="n">
        <v>1882</v>
      </c>
      <c r="B1843" s="21" t="inlineStr">
        <is>
          <t>The Scorpion King</t>
        </is>
      </c>
      <c r="C1843" s="21" t="n">
        <v>2002</v>
      </c>
      <c r="D1843" s="21" t="inlineStr">
        <is>
          <t>USA</t>
        </is>
      </c>
      <c r="E1843" s="21" t="n">
        <v>100</v>
      </c>
      <c r="F1843" s="21" t="inlineStr">
        <is>
          <t>English</t>
        </is>
      </c>
      <c r="G1843" s="21" t="inlineStr">
        <is>
          <t>PG-13</t>
        </is>
      </c>
      <c r="H1843" s="22" t="n">
        <v>90341670</v>
      </c>
      <c r="I1843" s="22" t="n">
        <v>60000000</v>
      </c>
      <c r="J1843" s="21">
        <f>IF(OR(H1843="",H1843=25529689.5),"Yes","No")</f>
        <v/>
      </c>
      <c r="K1843" s="21">
        <f>IF(AND(D1843="USA",C1843&gt;=1980,J1843="No"),"Yes","No")</f>
        <v/>
      </c>
      <c r="L1843" s="26">
        <f>IF(J1843="Yes","",H1843-I1843)</f>
        <v/>
      </c>
      <c r="M1843" s="27">
        <f>IF(OR(J1843="Yes",I1843=0),"",H1843/I1843)</f>
        <v/>
      </c>
      <c r="N1843" s="21">
        <f>IF(J1843="Yes","",IF(H1843&gt;=I1843,1,0))</f>
        <v/>
      </c>
      <c r="O1843" s="21">
        <f>IF(I1843&lt;=5000000,"Under $5M",IF(I1843&lt;=20000000,"$5M-20M",IF(I1843&lt;=50000000,"$20M-50M",IF(I1843&lt;=100000000,"$50M-100M","$100M+"))))</f>
        <v/>
      </c>
      <c r="P1843" s="21">
        <f>IF(E1843&lt;=90,"90 or less",IF(E1843&lt;=105,"91-105",IF(E1843&lt;=120,"106-120",IF(E1843&lt;=140,"121-140","Over 140"))))</f>
        <v/>
      </c>
      <c r="Q1843" s="28">
        <f>INT(C1843/10)*10</f>
        <v/>
      </c>
    </row>
    <row r="1844">
      <c r="A1844" s="21" t="n">
        <v>1883</v>
      </c>
      <c r="B1844" s="21" t="inlineStr">
        <is>
          <t>The Singles Ward</t>
        </is>
      </c>
      <c r="C1844" s="21" t="n">
        <v>2002</v>
      </c>
      <c r="D1844" s="21" t="inlineStr">
        <is>
          <t>USA</t>
        </is>
      </c>
      <c r="E1844" s="21" t="n">
        <v>102</v>
      </c>
      <c r="F1844" s="21" t="inlineStr">
        <is>
          <t>English</t>
        </is>
      </c>
      <c r="G1844" s="21" t="inlineStr">
        <is>
          <t>PG</t>
        </is>
      </c>
      <c r="H1844" s="22" t="n">
        <v>1250798</v>
      </c>
      <c r="I1844" s="22" t="n">
        <v>500000</v>
      </c>
      <c r="J1844" s="21">
        <f>IF(OR(H1844="",H1844=25529689.5),"Yes","No")</f>
        <v/>
      </c>
      <c r="K1844" s="21">
        <f>IF(AND(D1844="USA",C1844&gt;=1980,J1844="No"),"Yes","No")</f>
        <v/>
      </c>
      <c r="L1844" s="26">
        <f>IF(J1844="Yes","",H1844-I1844)</f>
        <v/>
      </c>
      <c r="M1844" s="27">
        <f>IF(OR(J1844="Yes",I1844=0),"",H1844/I1844)</f>
        <v/>
      </c>
      <c r="N1844" s="21">
        <f>IF(J1844="Yes","",IF(H1844&gt;=I1844,1,0))</f>
        <v/>
      </c>
      <c r="O1844" s="21">
        <f>IF(I1844&lt;=5000000,"Under $5M",IF(I1844&lt;=20000000,"$5M-20M",IF(I1844&lt;=50000000,"$20M-50M",IF(I1844&lt;=100000000,"$50M-100M","$100M+"))))</f>
        <v/>
      </c>
      <c r="P1844" s="21">
        <f>IF(E1844&lt;=90,"90 or less",IF(E1844&lt;=105,"91-105",IF(E1844&lt;=120,"106-120",IF(E1844&lt;=140,"121-140","Over 140"))))</f>
        <v/>
      </c>
      <c r="Q1844" s="28">
        <f>INT(C1844/10)*10</f>
        <v/>
      </c>
    </row>
    <row r="1845">
      <c r="A1845" s="21" t="n">
        <v>1884</v>
      </c>
      <c r="B1845" s="21" t="inlineStr">
        <is>
          <t>The Slaughter Rule</t>
        </is>
      </c>
      <c r="C1845" s="21" t="n">
        <v>2002</v>
      </c>
      <c r="D1845" s="21" t="inlineStr">
        <is>
          <t>USA</t>
        </is>
      </c>
      <c r="E1845" s="21" t="n">
        <v>112</v>
      </c>
      <c r="F1845" s="21" t="inlineStr">
        <is>
          <t>English</t>
        </is>
      </c>
      <c r="G1845" s="21" t="inlineStr">
        <is>
          <t>R</t>
        </is>
      </c>
      <c r="H1845" s="22" t="n">
        <v>13134</v>
      </c>
      <c r="I1845" s="22" t="n">
        <v>500000</v>
      </c>
      <c r="J1845" s="21">
        <f>IF(OR(H1845="",H1845=25529689.5),"Yes","No")</f>
        <v/>
      </c>
      <c r="K1845" s="21">
        <f>IF(AND(D1845="USA",C1845&gt;=1980,J1845="No"),"Yes","No")</f>
        <v/>
      </c>
      <c r="L1845" s="26">
        <f>IF(J1845="Yes","",H1845-I1845)</f>
        <v/>
      </c>
      <c r="M1845" s="27">
        <f>IF(OR(J1845="Yes",I1845=0),"",H1845/I1845)</f>
        <v/>
      </c>
      <c r="N1845" s="21">
        <f>IF(J1845="Yes","",IF(H1845&gt;=I1845,1,0))</f>
        <v/>
      </c>
      <c r="O1845" s="21">
        <f>IF(I1845&lt;=5000000,"Under $5M",IF(I1845&lt;=20000000,"$5M-20M",IF(I1845&lt;=50000000,"$20M-50M",IF(I1845&lt;=100000000,"$50M-100M","$100M+"))))</f>
        <v/>
      </c>
      <c r="P1845" s="21">
        <f>IF(E1845&lt;=90,"90 or less",IF(E1845&lt;=105,"91-105",IF(E1845&lt;=120,"106-120",IF(E1845&lt;=140,"121-140","Over 140"))))</f>
        <v/>
      </c>
      <c r="Q1845" s="28">
        <f>INT(C1845/10)*10</f>
        <v/>
      </c>
    </row>
    <row r="1846">
      <c r="A1846" s="21" t="n">
        <v>1885</v>
      </c>
      <c r="B1846" s="21" t="inlineStr">
        <is>
          <t>The Sum of All Fears</t>
        </is>
      </c>
      <c r="C1846" s="21" t="n">
        <v>2002</v>
      </c>
      <c r="D1846" s="21" t="inlineStr">
        <is>
          <t>USA</t>
        </is>
      </c>
      <c r="E1846" s="21" t="n">
        <v>124</v>
      </c>
      <c r="F1846" s="21" t="inlineStr">
        <is>
          <t>English</t>
        </is>
      </c>
      <c r="G1846" s="21" t="inlineStr">
        <is>
          <t>PG-13</t>
        </is>
      </c>
      <c r="H1846" s="22" t="n">
        <v>118471320</v>
      </c>
      <c r="I1846" s="22" t="n">
        <v>68000000</v>
      </c>
      <c r="J1846" s="21">
        <f>IF(OR(H1846="",H1846=25529689.5),"Yes","No")</f>
        <v/>
      </c>
      <c r="K1846" s="21">
        <f>IF(AND(D1846="USA",C1846&gt;=1980,J1846="No"),"Yes","No")</f>
        <v/>
      </c>
      <c r="L1846" s="26">
        <f>IF(J1846="Yes","",H1846-I1846)</f>
        <v/>
      </c>
      <c r="M1846" s="27">
        <f>IF(OR(J1846="Yes",I1846=0),"",H1846/I1846)</f>
        <v/>
      </c>
      <c r="N1846" s="21">
        <f>IF(J1846="Yes","",IF(H1846&gt;=I1846,1,0))</f>
        <v/>
      </c>
      <c r="O1846" s="21">
        <f>IF(I1846&lt;=5000000,"Under $5M",IF(I1846&lt;=20000000,"$5M-20M",IF(I1846&lt;=50000000,"$20M-50M",IF(I1846&lt;=100000000,"$50M-100M","$100M+"))))</f>
        <v/>
      </c>
      <c r="P1846" s="21">
        <f>IF(E1846&lt;=90,"90 or less",IF(E1846&lt;=105,"91-105",IF(E1846&lt;=120,"106-120",IF(E1846&lt;=140,"121-140","Over 140"))))</f>
        <v/>
      </c>
      <c r="Q1846" s="28">
        <f>INT(C1846/10)*10</f>
        <v/>
      </c>
    </row>
    <row r="1847">
      <c r="A1847" s="21" t="n">
        <v>1886</v>
      </c>
      <c r="B1847" s="21" t="inlineStr">
        <is>
          <t>The Sweetest Thing</t>
        </is>
      </c>
      <c r="C1847" s="21" t="n">
        <v>2002</v>
      </c>
      <c r="D1847" s="21" t="inlineStr">
        <is>
          <t>USA</t>
        </is>
      </c>
      <c r="E1847" s="21" t="n">
        <v>90</v>
      </c>
      <c r="F1847" s="21" t="inlineStr">
        <is>
          <t>English</t>
        </is>
      </c>
      <c r="G1847" s="21" t="inlineStr">
        <is>
          <t>R</t>
        </is>
      </c>
      <c r="H1847" s="22" t="n">
        <v>24430272</v>
      </c>
      <c r="I1847" s="22" t="n">
        <v>43000000</v>
      </c>
      <c r="J1847" s="21">
        <f>IF(OR(H1847="",H1847=25529689.5),"Yes","No")</f>
        <v/>
      </c>
      <c r="K1847" s="21">
        <f>IF(AND(D1847="USA",C1847&gt;=1980,J1847="No"),"Yes","No")</f>
        <v/>
      </c>
      <c r="L1847" s="26">
        <f>IF(J1847="Yes","",H1847-I1847)</f>
        <v/>
      </c>
      <c r="M1847" s="27">
        <f>IF(OR(J1847="Yes",I1847=0),"",H1847/I1847)</f>
        <v/>
      </c>
      <c r="N1847" s="21">
        <f>IF(J1847="Yes","",IF(H1847&gt;=I1847,1,0))</f>
        <v/>
      </c>
      <c r="O1847" s="21">
        <f>IF(I1847&lt;=5000000,"Under $5M",IF(I1847&lt;=20000000,"$5M-20M",IF(I1847&lt;=50000000,"$20M-50M",IF(I1847&lt;=100000000,"$50M-100M","$100M+"))))</f>
        <v/>
      </c>
      <c r="P1847" s="21">
        <f>IF(E1847&lt;=90,"90 or less",IF(E1847&lt;=105,"91-105",IF(E1847&lt;=120,"106-120",IF(E1847&lt;=140,"121-140","Over 140"))))</f>
        <v/>
      </c>
      <c r="Q1847" s="28">
        <f>INT(C1847/10)*10</f>
        <v/>
      </c>
    </row>
    <row r="1848">
      <c r="A1848" s="21" t="n">
        <v>1887</v>
      </c>
      <c r="B1848" s="21" t="inlineStr">
        <is>
          <t>The Time Machine</t>
        </is>
      </c>
      <c r="C1848" s="21" t="n">
        <v>2002</v>
      </c>
      <c r="D1848" s="21" t="inlineStr">
        <is>
          <t>USA</t>
        </is>
      </c>
      <c r="E1848" s="21" t="n">
        <v>96</v>
      </c>
      <c r="F1848" s="21" t="inlineStr">
        <is>
          <t>English</t>
        </is>
      </c>
      <c r="G1848" s="21" t="inlineStr">
        <is>
          <t>PG-13</t>
        </is>
      </c>
      <c r="H1848" s="22" t="n">
        <v>56684819</v>
      </c>
      <c r="I1848" s="22" t="n">
        <v>80000000</v>
      </c>
      <c r="J1848" s="21">
        <f>IF(OR(H1848="",H1848=25529689.5),"Yes","No")</f>
        <v/>
      </c>
      <c r="K1848" s="21">
        <f>IF(AND(D1848="USA",C1848&gt;=1980,J1848="No"),"Yes","No")</f>
        <v/>
      </c>
      <c r="L1848" s="26">
        <f>IF(J1848="Yes","",H1848-I1848)</f>
        <v/>
      </c>
      <c r="M1848" s="27">
        <f>IF(OR(J1848="Yes",I1848=0),"",H1848/I1848)</f>
        <v/>
      </c>
      <c r="N1848" s="21">
        <f>IF(J1848="Yes","",IF(H1848&gt;=I1848,1,0))</f>
        <v/>
      </c>
      <c r="O1848" s="21">
        <f>IF(I1848&lt;=5000000,"Under $5M",IF(I1848&lt;=20000000,"$5M-20M",IF(I1848&lt;=50000000,"$20M-50M",IF(I1848&lt;=100000000,"$50M-100M","$100M+"))))</f>
        <v/>
      </c>
      <c r="P1848" s="21">
        <f>IF(E1848&lt;=90,"90 or less",IF(E1848&lt;=105,"91-105",IF(E1848&lt;=120,"106-120",IF(E1848&lt;=140,"121-140","Over 140"))))</f>
        <v/>
      </c>
      <c r="Q1848" s="28">
        <f>INT(C1848/10)*10</f>
        <v/>
      </c>
    </row>
    <row r="1849">
      <c r="A1849" s="21" t="n">
        <v>1888</v>
      </c>
      <c r="B1849" s="21" t="inlineStr">
        <is>
          <t>The Transporter</t>
        </is>
      </c>
      <c r="C1849" s="21" t="n">
        <v>2002</v>
      </c>
      <c r="D1849" s="21" t="inlineStr">
        <is>
          <t>France</t>
        </is>
      </c>
      <c r="E1849" s="21" t="n">
        <v>92</v>
      </c>
      <c r="F1849" s="21" t="inlineStr">
        <is>
          <t>English</t>
        </is>
      </c>
      <c r="G1849" s="21" t="inlineStr">
        <is>
          <t>PG-13</t>
        </is>
      </c>
      <c r="H1849" s="22" t="n">
        <v>25296447</v>
      </c>
      <c r="I1849" s="22" t="n">
        <v>21000000</v>
      </c>
      <c r="J1849" s="21">
        <f>IF(OR(H1849="",H1849=25529689.5),"Yes","No")</f>
        <v/>
      </c>
      <c r="K1849" s="21">
        <f>IF(AND(D1849="USA",C1849&gt;=1980,J1849="No"),"Yes","No")</f>
        <v/>
      </c>
      <c r="L1849" s="26">
        <f>IF(J1849="Yes","",H1849-I1849)</f>
        <v/>
      </c>
      <c r="M1849" s="27">
        <f>IF(OR(J1849="Yes",I1849=0),"",H1849/I1849)</f>
        <v/>
      </c>
      <c r="N1849" s="21">
        <f>IF(J1849="Yes","",IF(H1849&gt;=I1849,1,0))</f>
        <v/>
      </c>
      <c r="O1849" s="21">
        <f>IF(I1849&lt;=5000000,"Under $5M",IF(I1849&lt;=20000000,"$5M-20M",IF(I1849&lt;=50000000,"$20M-50M",IF(I1849&lt;=100000000,"$50M-100M","$100M+"))))</f>
        <v/>
      </c>
      <c r="P1849" s="21">
        <f>IF(E1849&lt;=90,"90 or less",IF(E1849&lt;=105,"91-105",IF(E1849&lt;=120,"106-120",IF(E1849&lt;=140,"121-140","Over 140"))))</f>
        <v/>
      </c>
      <c r="Q1849" s="28">
        <f>INT(C1849/10)*10</f>
        <v/>
      </c>
    </row>
    <row r="1850">
      <c r="A1850" s="21" t="n">
        <v>1889</v>
      </c>
      <c r="B1850" s="21" t="inlineStr">
        <is>
          <t>The Tuxedo</t>
        </is>
      </c>
      <c r="C1850" s="21" t="n">
        <v>2002</v>
      </c>
      <c r="D1850" s="21" t="inlineStr">
        <is>
          <t>USA</t>
        </is>
      </c>
      <c r="E1850" s="21" t="n">
        <v>98</v>
      </c>
      <c r="F1850" s="21" t="inlineStr">
        <is>
          <t>English</t>
        </is>
      </c>
      <c r="G1850" s="21" t="inlineStr">
        <is>
          <t>PG-13</t>
        </is>
      </c>
      <c r="H1850" s="22" t="n">
        <v>50189179</v>
      </c>
      <c r="I1850" s="22" t="n">
        <v>60000000</v>
      </c>
      <c r="J1850" s="21">
        <f>IF(OR(H1850="",H1850=25529689.5),"Yes","No")</f>
        <v/>
      </c>
      <c r="K1850" s="21">
        <f>IF(AND(D1850="USA",C1850&gt;=1980,J1850="No"),"Yes","No")</f>
        <v/>
      </c>
      <c r="L1850" s="26">
        <f>IF(J1850="Yes","",H1850-I1850)</f>
        <v/>
      </c>
      <c r="M1850" s="27">
        <f>IF(OR(J1850="Yes",I1850=0),"",H1850/I1850)</f>
        <v/>
      </c>
      <c r="N1850" s="21">
        <f>IF(J1850="Yes","",IF(H1850&gt;=I1850,1,0))</f>
        <v/>
      </c>
      <c r="O1850" s="21">
        <f>IF(I1850&lt;=5000000,"Under $5M",IF(I1850&lt;=20000000,"$5M-20M",IF(I1850&lt;=50000000,"$20M-50M",IF(I1850&lt;=100000000,"$50M-100M","$100M+"))))</f>
        <v/>
      </c>
      <c r="P1850" s="21">
        <f>IF(E1850&lt;=90,"90 or less",IF(E1850&lt;=105,"91-105",IF(E1850&lt;=120,"106-120",IF(E1850&lt;=140,"121-140","Over 140"))))</f>
        <v/>
      </c>
      <c r="Q1850" s="28">
        <f>INT(C1850/10)*10</f>
        <v/>
      </c>
    </row>
    <row r="1851">
      <c r="A1851" s="21" t="n">
        <v>1890</v>
      </c>
      <c r="B1851" s="21" t="inlineStr">
        <is>
          <t>The Wild Thornberrys Movie</t>
        </is>
      </c>
      <c r="C1851" s="21" t="n">
        <v>2002</v>
      </c>
      <c r="D1851" s="21" t="inlineStr">
        <is>
          <t>USA</t>
        </is>
      </c>
      <c r="E1851" s="21" t="n">
        <v>85</v>
      </c>
      <c r="F1851" s="21" t="inlineStr">
        <is>
          <t>English</t>
        </is>
      </c>
      <c r="G1851" s="21" t="inlineStr">
        <is>
          <t>PG</t>
        </is>
      </c>
      <c r="H1851" s="22" t="n">
        <v>39880476</v>
      </c>
      <c r="I1851" s="22" t="n">
        <v>25000000</v>
      </c>
      <c r="J1851" s="21">
        <f>IF(OR(H1851="",H1851=25529689.5),"Yes","No")</f>
        <v/>
      </c>
      <c r="K1851" s="21">
        <f>IF(AND(D1851="USA",C1851&gt;=1980,J1851="No"),"Yes","No")</f>
        <v/>
      </c>
      <c r="L1851" s="26">
        <f>IF(J1851="Yes","",H1851-I1851)</f>
        <v/>
      </c>
      <c r="M1851" s="27">
        <f>IF(OR(J1851="Yes",I1851=0),"",H1851/I1851)</f>
        <v/>
      </c>
      <c r="N1851" s="21">
        <f>IF(J1851="Yes","",IF(H1851&gt;=I1851,1,0))</f>
        <v/>
      </c>
      <c r="O1851" s="21">
        <f>IF(I1851&lt;=5000000,"Under $5M",IF(I1851&lt;=20000000,"$5M-20M",IF(I1851&lt;=50000000,"$20M-50M",IF(I1851&lt;=100000000,"$50M-100M","$100M+"))))</f>
        <v/>
      </c>
      <c r="P1851" s="21">
        <f>IF(E1851&lt;=90,"90 or less",IF(E1851&lt;=105,"91-105",IF(E1851&lt;=120,"106-120",IF(E1851&lt;=140,"121-140","Over 140"))))</f>
        <v/>
      </c>
      <c r="Q1851" s="28">
        <f>INT(C1851/10)*10</f>
        <v/>
      </c>
    </row>
    <row r="1852">
      <c r="A1852" s="21" t="n">
        <v>1891</v>
      </c>
      <c r="B1852" s="21" t="inlineStr">
        <is>
          <t>They</t>
        </is>
      </c>
      <c r="C1852" s="21" t="n">
        <v>2002</v>
      </c>
      <c r="D1852" s="21" t="inlineStr">
        <is>
          <t>USA</t>
        </is>
      </c>
      <c r="E1852" s="21" t="n">
        <v>89</v>
      </c>
      <c r="F1852" s="21" t="inlineStr">
        <is>
          <t>English</t>
        </is>
      </c>
      <c r="G1852" s="21" t="inlineStr">
        <is>
          <t>PG-13</t>
        </is>
      </c>
      <c r="H1852" s="22" t="n">
        <v>12693621</v>
      </c>
      <c r="I1852" s="22" t="n">
        <v>17000000</v>
      </c>
      <c r="J1852" s="21">
        <f>IF(OR(H1852="",H1852=25529689.5),"Yes","No")</f>
        <v/>
      </c>
      <c r="K1852" s="21">
        <f>IF(AND(D1852="USA",C1852&gt;=1980,J1852="No"),"Yes","No")</f>
        <v/>
      </c>
      <c r="L1852" s="26">
        <f>IF(J1852="Yes","",H1852-I1852)</f>
        <v/>
      </c>
      <c r="M1852" s="27">
        <f>IF(OR(J1852="Yes",I1852=0),"",H1852/I1852)</f>
        <v/>
      </c>
      <c r="N1852" s="21">
        <f>IF(J1852="Yes","",IF(H1852&gt;=I1852,1,0))</f>
        <v/>
      </c>
      <c r="O1852" s="21">
        <f>IF(I1852&lt;=5000000,"Under $5M",IF(I1852&lt;=20000000,"$5M-20M",IF(I1852&lt;=50000000,"$20M-50M",IF(I1852&lt;=100000000,"$50M-100M","$100M+"))))</f>
        <v/>
      </c>
      <c r="P1852" s="21">
        <f>IF(E1852&lt;=90,"90 or less",IF(E1852&lt;=105,"91-105",IF(E1852&lt;=120,"106-120",IF(E1852&lt;=140,"121-140","Over 140"))))</f>
        <v/>
      </c>
      <c r="Q1852" s="28">
        <f>INT(C1852/10)*10</f>
        <v/>
      </c>
    </row>
    <row r="1853">
      <c r="A1853" s="21" t="n">
        <v>1892</v>
      </c>
      <c r="B1853" s="21" t="inlineStr">
        <is>
          <t>Time Changer</t>
        </is>
      </c>
      <c r="C1853" s="21" t="n">
        <v>2002</v>
      </c>
      <c r="D1853" s="21" t="inlineStr">
        <is>
          <t>USA</t>
        </is>
      </c>
      <c r="E1853" s="21" t="n">
        <v>95</v>
      </c>
      <c r="F1853" s="21" t="inlineStr">
        <is>
          <t>English</t>
        </is>
      </c>
      <c r="G1853" s="21" t="inlineStr">
        <is>
          <t>PG</t>
        </is>
      </c>
      <c r="H1853" s="22" t="n">
        <v>15278</v>
      </c>
      <c r="I1853" s="22" t="n">
        <v>825000</v>
      </c>
      <c r="J1853" s="21">
        <f>IF(OR(H1853="",H1853=25529689.5),"Yes","No")</f>
        <v/>
      </c>
      <c r="K1853" s="21">
        <f>IF(AND(D1853="USA",C1853&gt;=1980,J1853="No"),"Yes","No")</f>
        <v/>
      </c>
      <c r="L1853" s="26">
        <f>IF(J1853="Yes","",H1853-I1853)</f>
        <v/>
      </c>
      <c r="M1853" s="27">
        <f>IF(OR(J1853="Yes",I1853=0),"",H1853/I1853)</f>
        <v/>
      </c>
      <c r="N1853" s="21">
        <f>IF(J1853="Yes","",IF(H1853&gt;=I1853,1,0))</f>
        <v/>
      </c>
      <c r="O1853" s="21">
        <f>IF(I1853&lt;=5000000,"Under $5M",IF(I1853&lt;=20000000,"$5M-20M",IF(I1853&lt;=50000000,"$20M-50M",IF(I1853&lt;=100000000,"$50M-100M","$100M+"))))</f>
        <v/>
      </c>
      <c r="P1853" s="21">
        <f>IF(E1853&lt;=90,"90 or less",IF(E1853&lt;=105,"91-105",IF(E1853&lt;=120,"106-120",IF(E1853&lt;=140,"121-140","Over 140"))))</f>
        <v/>
      </c>
      <c r="Q1853" s="28">
        <f>INT(C1853/10)*10</f>
        <v/>
      </c>
    </row>
    <row r="1854">
      <c r="A1854" s="21" t="n">
        <v>1893</v>
      </c>
      <c r="B1854" s="21" t="inlineStr">
        <is>
          <t>Treasure Planet</t>
        </is>
      </c>
      <c r="C1854" s="21" t="n">
        <v>2002</v>
      </c>
      <c r="D1854" s="21" t="inlineStr">
        <is>
          <t>USA</t>
        </is>
      </c>
      <c r="E1854" s="21" t="n">
        <v>95</v>
      </c>
      <c r="F1854" s="21" t="inlineStr">
        <is>
          <t>English</t>
        </is>
      </c>
      <c r="G1854" s="21" t="inlineStr">
        <is>
          <t>PG</t>
        </is>
      </c>
      <c r="H1854" s="22" t="n">
        <v>38120554</v>
      </c>
      <c r="I1854" s="22" t="n">
        <v>140000000</v>
      </c>
      <c r="J1854" s="21">
        <f>IF(OR(H1854="",H1854=25529689.5),"Yes","No")</f>
        <v/>
      </c>
      <c r="K1854" s="21">
        <f>IF(AND(D1854="USA",C1854&gt;=1980,J1854="No"),"Yes","No")</f>
        <v/>
      </c>
      <c r="L1854" s="26">
        <f>IF(J1854="Yes","",H1854-I1854)</f>
        <v/>
      </c>
      <c r="M1854" s="27">
        <f>IF(OR(J1854="Yes",I1854=0),"",H1854/I1854)</f>
        <v/>
      </c>
      <c r="N1854" s="21">
        <f>IF(J1854="Yes","",IF(H1854&gt;=I1854,1,0))</f>
        <v/>
      </c>
      <c r="O1854" s="21">
        <f>IF(I1854&lt;=5000000,"Under $5M",IF(I1854&lt;=20000000,"$5M-20M",IF(I1854&lt;=50000000,"$20M-50M",IF(I1854&lt;=100000000,"$50M-100M","$100M+"))))</f>
        <v/>
      </c>
      <c r="P1854" s="21">
        <f>IF(E1854&lt;=90,"90 or less",IF(E1854&lt;=105,"91-105",IF(E1854&lt;=120,"106-120",IF(E1854&lt;=140,"121-140","Over 140"))))</f>
        <v/>
      </c>
      <c r="Q1854" s="28">
        <f>INT(C1854/10)*10</f>
        <v/>
      </c>
    </row>
    <row r="1855">
      <c r="A1855" s="21" t="n">
        <v>1894</v>
      </c>
      <c r="B1855" s="21" t="inlineStr">
        <is>
          <t>Tuck Everlasting</t>
        </is>
      </c>
      <c r="C1855" s="21" t="n">
        <v>2002</v>
      </c>
      <c r="D1855" s="21" t="inlineStr">
        <is>
          <t>USA</t>
        </is>
      </c>
      <c r="E1855" s="21" t="n">
        <v>90</v>
      </c>
      <c r="F1855" s="21" t="inlineStr">
        <is>
          <t>English</t>
        </is>
      </c>
      <c r="G1855" s="21" t="inlineStr">
        <is>
          <t>PG</t>
        </is>
      </c>
      <c r="H1855" s="22" t="n">
        <v>19158074</v>
      </c>
      <c r="I1855" s="22" t="n">
        <v>15000000</v>
      </c>
      <c r="J1855" s="21">
        <f>IF(OR(H1855="",H1855=25529689.5),"Yes","No")</f>
        <v/>
      </c>
      <c r="K1855" s="21">
        <f>IF(AND(D1855="USA",C1855&gt;=1980,J1855="No"),"Yes","No")</f>
        <v/>
      </c>
      <c r="L1855" s="26">
        <f>IF(J1855="Yes","",H1855-I1855)</f>
        <v/>
      </c>
      <c r="M1855" s="27">
        <f>IF(OR(J1855="Yes",I1855=0),"",H1855/I1855)</f>
        <v/>
      </c>
      <c r="N1855" s="21">
        <f>IF(J1855="Yes","",IF(H1855&gt;=I1855,1,0))</f>
        <v/>
      </c>
      <c r="O1855" s="21">
        <f>IF(I1855&lt;=5000000,"Under $5M",IF(I1855&lt;=20000000,"$5M-20M",IF(I1855&lt;=50000000,"$20M-50M",IF(I1855&lt;=100000000,"$50M-100M","$100M+"))))</f>
        <v/>
      </c>
      <c r="P1855" s="21">
        <f>IF(E1855&lt;=90,"90 or less",IF(E1855&lt;=105,"91-105",IF(E1855&lt;=120,"106-120",IF(E1855&lt;=140,"121-140","Over 140"))))</f>
        <v/>
      </c>
      <c r="Q1855" s="28">
        <f>INT(C1855/10)*10</f>
        <v/>
      </c>
    </row>
    <row r="1856">
      <c r="A1856" s="21" t="n">
        <v>1895</v>
      </c>
      <c r="B1856" s="21" t="inlineStr">
        <is>
          <t>Two Weeks Notice</t>
        </is>
      </c>
      <c r="C1856" s="21" t="n">
        <v>2002</v>
      </c>
      <c r="D1856" s="21" t="inlineStr">
        <is>
          <t>USA</t>
        </is>
      </c>
      <c r="E1856" s="21" t="n">
        <v>101</v>
      </c>
      <c r="F1856" s="21" t="inlineStr">
        <is>
          <t>English</t>
        </is>
      </c>
      <c r="G1856" s="21" t="inlineStr">
        <is>
          <t>PG-13</t>
        </is>
      </c>
      <c r="H1856" s="22" t="n">
        <v>93307796</v>
      </c>
      <c r="I1856" s="22" t="n">
        <v>60000000</v>
      </c>
      <c r="J1856" s="21">
        <f>IF(OR(H1856="",H1856=25529689.5),"Yes","No")</f>
        <v/>
      </c>
      <c r="K1856" s="21">
        <f>IF(AND(D1856="USA",C1856&gt;=1980,J1856="No"),"Yes","No")</f>
        <v/>
      </c>
      <c r="L1856" s="26">
        <f>IF(J1856="Yes","",H1856-I1856)</f>
        <v/>
      </c>
      <c r="M1856" s="27">
        <f>IF(OR(J1856="Yes",I1856=0),"",H1856/I1856)</f>
        <v/>
      </c>
      <c r="N1856" s="21">
        <f>IF(J1856="Yes","",IF(H1856&gt;=I1856,1,0))</f>
        <v/>
      </c>
      <c r="O1856" s="21">
        <f>IF(I1856&lt;=5000000,"Under $5M",IF(I1856&lt;=20000000,"$5M-20M",IF(I1856&lt;=50000000,"$20M-50M",IF(I1856&lt;=100000000,"$50M-100M","$100M+"))))</f>
        <v/>
      </c>
      <c r="P1856" s="21">
        <f>IF(E1856&lt;=90,"90 or less",IF(E1856&lt;=105,"91-105",IF(E1856&lt;=120,"106-120",IF(E1856&lt;=140,"121-140","Over 140"))))</f>
        <v/>
      </c>
      <c r="Q1856" s="28">
        <f>INT(C1856/10)*10</f>
        <v/>
      </c>
    </row>
    <row r="1857">
      <c r="A1857" s="21" t="n">
        <v>1896</v>
      </c>
      <c r="B1857" s="21" t="inlineStr">
        <is>
          <t>Undercover Brother</t>
        </is>
      </c>
      <c r="C1857" s="21" t="n">
        <v>2002</v>
      </c>
      <c r="D1857" s="21" t="inlineStr">
        <is>
          <t>USA</t>
        </is>
      </c>
      <c r="E1857" s="21" t="n">
        <v>86</v>
      </c>
      <c r="F1857" s="21" t="inlineStr">
        <is>
          <t>English</t>
        </is>
      </c>
      <c r="G1857" s="21" t="inlineStr">
        <is>
          <t>PG-13</t>
        </is>
      </c>
      <c r="H1857" s="22" t="n">
        <v>38230435</v>
      </c>
      <c r="I1857" s="22" t="n">
        <v>25000000</v>
      </c>
      <c r="J1857" s="21">
        <f>IF(OR(H1857="",H1857=25529689.5),"Yes","No")</f>
        <v/>
      </c>
      <c r="K1857" s="21">
        <f>IF(AND(D1857="USA",C1857&gt;=1980,J1857="No"),"Yes","No")</f>
        <v/>
      </c>
      <c r="L1857" s="26">
        <f>IF(J1857="Yes","",H1857-I1857)</f>
        <v/>
      </c>
      <c r="M1857" s="27">
        <f>IF(OR(J1857="Yes",I1857=0),"",H1857/I1857)</f>
        <v/>
      </c>
      <c r="N1857" s="21">
        <f>IF(J1857="Yes","",IF(H1857&gt;=I1857,1,0))</f>
        <v/>
      </c>
      <c r="O1857" s="21">
        <f>IF(I1857&lt;=5000000,"Under $5M",IF(I1857&lt;=20000000,"$5M-20M",IF(I1857&lt;=50000000,"$20M-50M",IF(I1857&lt;=100000000,"$50M-100M","$100M+"))))</f>
        <v/>
      </c>
      <c r="P1857" s="21">
        <f>IF(E1857&lt;=90,"90 or less",IF(E1857&lt;=105,"91-105",IF(E1857&lt;=120,"106-120",IF(E1857&lt;=140,"121-140","Over 140"))))</f>
        <v/>
      </c>
      <c r="Q1857" s="28">
        <f>INT(C1857/10)*10</f>
        <v/>
      </c>
    </row>
    <row r="1858">
      <c r="A1858" s="21" t="n">
        <v>1897</v>
      </c>
      <c r="B1858" s="21" t="inlineStr">
        <is>
          <t>Undisputed</t>
        </is>
      </c>
      <c r="C1858" s="21" t="n">
        <v>2002</v>
      </c>
      <c r="D1858" s="21" t="inlineStr">
        <is>
          <t>USA</t>
        </is>
      </c>
      <c r="E1858" s="21" t="n">
        <v>94</v>
      </c>
      <c r="F1858" s="21" t="inlineStr">
        <is>
          <t>English</t>
        </is>
      </c>
      <c r="G1858" s="21" t="inlineStr">
        <is>
          <t>R</t>
        </is>
      </c>
      <c r="H1858" s="22" t="n">
        <v>12398628</v>
      </c>
      <c r="I1858" s="22" t="n">
        <v>20000000</v>
      </c>
      <c r="J1858" s="21">
        <f>IF(OR(H1858="",H1858=25529689.5),"Yes","No")</f>
        <v/>
      </c>
      <c r="K1858" s="21">
        <f>IF(AND(D1858="USA",C1858&gt;=1980,J1858="No"),"Yes","No")</f>
        <v/>
      </c>
      <c r="L1858" s="26">
        <f>IF(J1858="Yes","",H1858-I1858)</f>
        <v/>
      </c>
      <c r="M1858" s="27">
        <f>IF(OR(J1858="Yes",I1858=0),"",H1858/I1858)</f>
        <v/>
      </c>
      <c r="N1858" s="21">
        <f>IF(J1858="Yes","",IF(H1858&gt;=I1858,1,0))</f>
        <v/>
      </c>
      <c r="O1858" s="21">
        <f>IF(I1858&lt;=5000000,"Under $5M",IF(I1858&lt;=20000000,"$5M-20M",IF(I1858&lt;=50000000,"$20M-50M",IF(I1858&lt;=100000000,"$50M-100M","$100M+"))))</f>
        <v/>
      </c>
      <c r="P1858" s="21">
        <f>IF(E1858&lt;=90,"90 or less",IF(E1858&lt;=105,"91-105",IF(E1858&lt;=120,"106-120",IF(E1858&lt;=140,"121-140","Over 140"))))</f>
        <v/>
      </c>
      <c r="Q1858" s="28">
        <f>INT(C1858/10)*10</f>
        <v/>
      </c>
    </row>
    <row r="1859">
      <c r="A1859" s="21" t="n">
        <v>1898</v>
      </c>
      <c r="B1859" s="21" t="inlineStr">
        <is>
          <t>Unfaithful</t>
        </is>
      </c>
      <c r="C1859" s="21" t="n">
        <v>2002</v>
      </c>
      <c r="D1859" s="21" t="inlineStr">
        <is>
          <t>USA</t>
        </is>
      </c>
      <c r="E1859" s="21" t="n">
        <v>124</v>
      </c>
      <c r="F1859" s="21" t="inlineStr">
        <is>
          <t>English</t>
        </is>
      </c>
      <c r="G1859" s="21" t="inlineStr">
        <is>
          <t>R</t>
        </is>
      </c>
      <c r="H1859" s="22" t="n">
        <v>52752475</v>
      </c>
      <c r="I1859" s="22" t="n">
        <v>50000000</v>
      </c>
      <c r="J1859" s="21">
        <f>IF(OR(H1859="",H1859=25529689.5),"Yes","No")</f>
        <v/>
      </c>
      <c r="K1859" s="21">
        <f>IF(AND(D1859="USA",C1859&gt;=1980,J1859="No"),"Yes","No")</f>
        <v/>
      </c>
      <c r="L1859" s="26">
        <f>IF(J1859="Yes","",H1859-I1859)</f>
        <v/>
      </c>
      <c r="M1859" s="27">
        <f>IF(OR(J1859="Yes",I1859=0),"",H1859/I1859)</f>
        <v/>
      </c>
      <c r="N1859" s="21">
        <f>IF(J1859="Yes","",IF(H1859&gt;=I1859,1,0))</f>
        <v/>
      </c>
      <c r="O1859" s="21">
        <f>IF(I1859&lt;=5000000,"Under $5M",IF(I1859&lt;=20000000,"$5M-20M",IF(I1859&lt;=50000000,"$20M-50M",IF(I1859&lt;=100000000,"$50M-100M","$100M+"))))</f>
        <v/>
      </c>
      <c r="P1859" s="21">
        <f>IF(E1859&lt;=90,"90 or less",IF(E1859&lt;=105,"91-105",IF(E1859&lt;=120,"106-120",IF(E1859&lt;=140,"121-140","Over 140"))))</f>
        <v/>
      </c>
      <c r="Q1859" s="28">
        <f>INT(C1859/10)*10</f>
        <v/>
      </c>
    </row>
    <row r="1860">
      <c r="A1860" s="21" t="n">
        <v>1899</v>
      </c>
      <c r="B1860" s="21" t="inlineStr">
        <is>
          <t>Van Wilder: Party Liaison</t>
        </is>
      </c>
      <c r="C1860" s="21" t="n">
        <v>2002</v>
      </c>
      <c r="D1860" s="21" t="inlineStr">
        <is>
          <t>Germany</t>
        </is>
      </c>
      <c r="E1860" s="21" t="n">
        <v>94</v>
      </c>
      <c r="F1860" s="21" t="inlineStr">
        <is>
          <t>English</t>
        </is>
      </c>
      <c r="G1860" s="21" t="inlineStr">
        <is>
          <t>R</t>
        </is>
      </c>
      <c r="H1860" s="22" t="n">
        <v>21005329</v>
      </c>
      <c r="I1860" s="22" t="n">
        <v>6000000</v>
      </c>
      <c r="J1860" s="21">
        <f>IF(OR(H1860="",H1860=25529689.5),"Yes","No")</f>
        <v/>
      </c>
      <c r="K1860" s="21">
        <f>IF(AND(D1860="USA",C1860&gt;=1980,J1860="No"),"Yes","No")</f>
        <v/>
      </c>
      <c r="L1860" s="26">
        <f>IF(J1860="Yes","",H1860-I1860)</f>
        <v/>
      </c>
      <c r="M1860" s="27">
        <f>IF(OR(J1860="Yes",I1860=0),"",H1860/I1860)</f>
        <v/>
      </c>
      <c r="N1860" s="21">
        <f>IF(J1860="Yes","",IF(H1860&gt;=I1860,1,0))</f>
        <v/>
      </c>
      <c r="O1860" s="21">
        <f>IF(I1860&lt;=5000000,"Under $5M",IF(I1860&lt;=20000000,"$5M-20M",IF(I1860&lt;=50000000,"$20M-50M",IF(I1860&lt;=100000000,"$50M-100M","$100M+"))))</f>
        <v/>
      </c>
      <c r="P1860" s="21">
        <f>IF(E1860&lt;=90,"90 or less",IF(E1860&lt;=105,"91-105",IF(E1860&lt;=120,"106-120",IF(E1860&lt;=140,"121-140","Over 140"))))</f>
        <v/>
      </c>
      <c r="Q1860" s="28">
        <f>INT(C1860/10)*10</f>
        <v/>
      </c>
    </row>
    <row r="1861">
      <c r="A1861" s="21" t="n">
        <v>1900</v>
      </c>
      <c r="B1861" s="21" t="inlineStr">
        <is>
          <t>We Were Soldiers</t>
        </is>
      </c>
      <c r="C1861" s="21" t="n">
        <v>2002</v>
      </c>
      <c r="D1861" s="21" t="inlineStr">
        <is>
          <t>USA</t>
        </is>
      </c>
      <c r="E1861" s="21" t="n">
        <v>124</v>
      </c>
      <c r="F1861" s="21" t="inlineStr">
        <is>
          <t>English</t>
        </is>
      </c>
      <c r="G1861" s="21" t="inlineStr">
        <is>
          <t>R</t>
        </is>
      </c>
      <c r="H1861" s="22" t="n">
        <v>78120196</v>
      </c>
      <c r="I1861" s="22" t="n">
        <v>75000000</v>
      </c>
      <c r="J1861" s="21">
        <f>IF(OR(H1861="",H1861=25529689.5),"Yes","No")</f>
        <v/>
      </c>
      <c r="K1861" s="21">
        <f>IF(AND(D1861="USA",C1861&gt;=1980,J1861="No"),"Yes","No")</f>
        <v/>
      </c>
      <c r="L1861" s="26">
        <f>IF(J1861="Yes","",H1861-I1861)</f>
        <v/>
      </c>
      <c r="M1861" s="27">
        <f>IF(OR(J1861="Yes",I1861=0),"",H1861/I1861)</f>
        <v/>
      </c>
      <c r="N1861" s="21">
        <f>IF(J1861="Yes","",IF(H1861&gt;=I1861,1,0))</f>
        <v/>
      </c>
      <c r="O1861" s="21">
        <f>IF(I1861&lt;=5000000,"Under $5M",IF(I1861&lt;=20000000,"$5M-20M",IF(I1861&lt;=50000000,"$20M-50M",IF(I1861&lt;=100000000,"$50M-100M","$100M+"))))</f>
        <v/>
      </c>
      <c r="P1861" s="21">
        <f>IF(E1861&lt;=90,"90 or less",IF(E1861&lt;=105,"91-105",IF(E1861&lt;=120,"106-120",IF(E1861&lt;=140,"121-140","Over 140"))))</f>
        <v/>
      </c>
      <c r="Q1861" s="28">
        <f>INT(C1861/10)*10</f>
        <v/>
      </c>
    </row>
    <row r="1862">
      <c r="A1862" s="21" t="n">
        <v>1901</v>
      </c>
      <c r="B1862" s="21" t="inlineStr">
        <is>
          <t>Welcome to Collinwood</t>
        </is>
      </c>
      <c r="C1862" s="21" t="n">
        <v>2002</v>
      </c>
      <c r="D1862" s="21" t="inlineStr">
        <is>
          <t>USA</t>
        </is>
      </c>
      <c r="E1862" s="21" t="n">
        <v>86</v>
      </c>
      <c r="F1862" s="21" t="inlineStr">
        <is>
          <t>English</t>
        </is>
      </c>
      <c r="G1862" s="21" t="inlineStr">
        <is>
          <t>R</t>
        </is>
      </c>
      <c r="H1862" s="22" t="n">
        <v>333976</v>
      </c>
      <c r="I1862" s="22" t="n">
        <v>12000000</v>
      </c>
      <c r="J1862" s="21">
        <f>IF(OR(H1862="",H1862=25529689.5),"Yes","No")</f>
        <v/>
      </c>
      <c r="K1862" s="21">
        <f>IF(AND(D1862="USA",C1862&gt;=1980,J1862="No"),"Yes","No")</f>
        <v/>
      </c>
      <c r="L1862" s="26">
        <f>IF(J1862="Yes","",H1862-I1862)</f>
        <v/>
      </c>
      <c r="M1862" s="27">
        <f>IF(OR(J1862="Yes",I1862=0),"",H1862/I1862)</f>
        <v/>
      </c>
      <c r="N1862" s="21">
        <f>IF(J1862="Yes","",IF(H1862&gt;=I1862,1,0))</f>
        <v/>
      </c>
      <c r="O1862" s="21">
        <f>IF(I1862&lt;=5000000,"Under $5M",IF(I1862&lt;=20000000,"$5M-20M",IF(I1862&lt;=50000000,"$20M-50M",IF(I1862&lt;=100000000,"$50M-100M","$100M+"))))</f>
        <v/>
      </c>
      <c r="P1862" s="21">
        <f>IF(E1862&lt;=90,"90 or less",IF(E1862&lt;=105,"91-105",IF(E1862&lt;=120,"106-120",IF(E1862&lt;=140,"121-140","Over 140"))))</f>
        <v/>
      </c>
      <c r="Q1862" s="28">
        <f>INT(C1862/10)*10</f>
        <v/>
      </c>
    </row>
    <row r="1863">
      <c r="A1863" s="21" t="n">
        <v>1902</v>
      </c>
      <c r="B1863" s="21" t="inlineStr">
        <is>
          <t>Whale Rider</t>
        </is>
      </c>
      <c r="C1863" s="21" t="n">
        <v>2002</v>
      </c>
      <c r="D1863" s="21" t="inlineStr">
        <is>
          <t>New Zealand</t>
        </is>
      </c>
      <c r="E1863" s="21" t="n">
        <v>101</v>
      </c>
      <c r="F1863" s="21" t="inlineStr">
        <is>
          <t>English</t>
        </is>
      </c>
      <c r="G1863" s="21" t="inlineStr">
        <is>
          <t>PG-13</t>
        </is>
      </c>
      <c r="H1863" s="22" t="n">
        <v>20772796</v>
      </c>
      <c r="I1863" s="22" t="n">
        <v>6000000</v>
      </c>
      <c r="J1863" s="21">
        <f>IF(OR(H1863="",H1863=25529689.5),"Yes","No")</f>
        <v/>
      </c>
      <c r="K1863" s="21">
        <f>IF(AND(D1863="USA",C1863&gt;=1980,J1863="No"),"Yes","No")</f>
        <v/>
      </c>
      <c r="L1863" s="26">
        <f>IF(J1863="Yes","",H1863-I1863)</f>
        <v/>
      </c>
      <c r="M1863" s="27">
        <f>IF(OR(J1863="Yes",I1863=0),"",H1863/I1863)</f>
        <v/>
      </c>
      <c r="N1863" s="21">
        <f>IF(J1863="Yes","",IF(H1863&gt;=I1863,1,0))</f>
        <v/>
      </c>
      <c r="O1863" s="21">
        <f>IF(I1863&lt;=5000000,"Under $5M",IF(I1863&lt;=20000000,"$5M-20M",IF(I1863&lt;=50000000,"$20M-50M",IF(I1863&lt;=100000000,"$50M-100M","$100M+"))))</f>
        <v/>
      </c>
      <c r="P1863" s="21">
        <f>IF(E1863&lt;=90,"90 or less",IF(E1863&lt;=105,"91-105",IF(E1863&lt;=120,"106-120",IF(E1863&lt;=140,"121-140","Over 140"))))</f>
        <v/>
      </c>
      <c r="Q1863" s="28">
        <f>INT(C1863/10)*10</f>
        <v/>
      </c>
    </row>
    <row r="1864">
      <c r="A1864" s="21" t="n">
        <v>1903</v>
      </c>
      <c r="B1864" s="21" t="inlineStr">
        <is>
          <t>White Oleander</t>
        </is>
      </c>
      <c r="C1864" s="21" t="n">
        <v>2002</v>
      </c>
      <c r="D1864" s="21" t="inlineStr">
        <is>
          <t>USA</t>
        </is>
      </c>
      <c r="E1864" s="21" t="n">
        <v>109</v>
      </c>
      <c r="F1864" s="21" t="inlineStr">
        <is>
          <t>English</t>
        </is>
      </c>
      <c r="G1864" s="21" t="inlineStr">
        <is>
          <t>PG-13</t>
        </is>
      </c>
      <c r="H1864" s="22" t="n">
        <v>16346122</v>
      </c>
      <c r="I1864" s="22" t="n">
        <v>16000000</v>
      </c>
      <c r="J1864" s="21">
        <f>IF(OR(H1864="",H1864=25529689.5),"Yes","No")</f>
        <v/>
      </c>
      <c r="K1864" s="21">
        <f>IF(AND(D1864="USA",C1864&gt;=1980,J1864="No"),"Yes","No")</f>
        <v/>
      </c>
      <c r="L1864" s="26">
        <f>IF(J1864="Yes","",H1864-I1864)</f>
        <v/>
      </c>
      <c r="M1864" s="27">
        <f>IF(OR(J1864="Yes",I1864=0),"",H1864/I1864)</f>
        <v/>
      </c>
      <c r="N1864" s="21">
        <f>IF(J1864="Yes","",IF(H1864&gt;=I1864,1,0))</f>
        <v/>
      </c>
      <c r="O1864" s="21">
        <f>IF(I1864&lt;=5000000,"Under $5M",IF(I1864&lt;=20000000,"$5M-20M",IF(I1864&lt;=50000000,"$20M-50M",IF(I1864&lt;=100000000,"$50M-100M","$100M+"))))</f>
        <v/>
      </c>
      <c r="P1864" s="21">
        <f>IF(E1864&lt;=90,"90 or less",IF(E1864&lt;=105,"91-105",IF(E1864&lt;=120,"106-120",IF(E1864&lt;=140,"121-140","Over 140"))))</f>
        <v/>
      </c>
      <c r="Q1864" s="28">
        <f>INT(C1864/10)*10</f>
        <v/>
      </c>
    </row>
    <row r="1865">
      <c r="A1865" s="21" t="n">
        <v>1904</v>
      </c>
      <c r="B1865" s="21" t="inlineStr">
        <is>
          <t>Windtalkers</t>
        </is>
      </c>
      <c r="C1865" s="21" t="n">
        <v>2002</v>
      </c>
      <c r="D1865" s="21" t="inlineStr">
        <is>
          <t>USA</t>
        </is>
      </c>
      <c r="E1865" s="21" t="n">
        <v>153</v>
      </c>
      <c r="F1865" s="21" t="inlineStr">
        <is>
          <t>English</t>
        </is>
      </c>
      <c r="G1865" s="21" t="inlineStr">
        <is>
          <t>R</t>
        </is>
      </c>
      <c r="H1865" s="22" t="n">
        <v>40911830</v>
      </c>
      <c r="I1865" s="22" t="n">
        <v>115000000</v>
      </c>
      <c r="J1865" s="21">
        <f>IF(OR(H1865="",H1865=25529689.5),"Yes","No")</f>
        <v/>
      </c>
      <c r="K1865" s="21">
        <f>IF(AND(D1865="USA",C1865&gt;=1980,J1865="No"),"Yes","No")</f>
        <v/>
      </c>
      <c r="L1865" s="26">
        <f>IF(J1865="Yes","",H1865-I1865)</f>
        <v/>
      </c>
      <c r="M1865" s="27">
        <f>IF(OR(J1865="Yes",I1865=0),"",H1865/I1865)</f>
        <v/>
      </c>
      <c r="N1865" s="21">
        <f>IF(J1865="Yes","",IF(H1865&gt;=I1865,1,0))</f>
        <v/>
      </c>
      <c r="O1865" s="21">
        <f>IF(I1865&lt;=5000000,"Under $5M",IF(I1865&lt;=20000000,"$5M-20M",IF(I1865&lt;=50000000,"$20M-50M",IF(I1865&lt;=100000000,"$50M-100M","$100M+"))))</f>
        <v/>
      </c>
      <c r="P1865" s="21">
        <f>IF(E1865&lt;=90,"90 or less",IF(E1865&lt;=105,"91-105",IF(E1865&lt;=120,"106-120",IF(E1865&lt;=140,"121-140","Over 140"))))</f>
        <v/>
      </c>
      <c r="Q1865" s="28">
        <f>INT(C1865/10)*10</f>
        <v/>
      </c>
    </row>
    <row r="1866">
      <c r="A1866" s="21" t="n">
        <v>1905</v>
      </c>
      <c r="B1866" s="21" t="inlineStr">
        <is>
          <t>xXx</t>
        </is>
      </c>
      <c r="C1866" s="21" t="n">
        <v>2002</v>
      </c>
      <c r="D1866" s="21" t="inlineStr">
        <is>
          <t>USA</t>
        </is>
      </c>
      <c r="E1866" s="21" t="n">
        <v>132</v>
      </c>
      <c r="F1866" s="21" t="inlineStr">
        <is>
          <t>English</t>
        </is>
      </c>
      <c r="G1866" s="21" t="inlineStr">
        <is>
          <t>PG-13</t>
        </is>
      </c>
      <c r="H1866" s="22" t="n">
        <v>141204016</v>
      </c>
      <c r="I1866" s="22" t="n">
        <v>70000000</v>
      </c>
      <c r="J1866" s="21">
        <f>IF(OR(H1866="",H1866=25529689.5),"Yes","No")</f>
        <v/>
      </c>
      <c r="K1866" s="21">
        <f>IF(AND(D1866="USA",C1866&gt;=1980,J1866="No"),"Yes","No")</f>
        <v/>
      </c>
      <c r="L1866" s="26">
        <f>IF(J1866="Yes","",H1866-I1866)</f>
        <v/>
      </c>
      <c r="M1866" s="27">
        <f>IF(OR(J1866="Yes",I1866=0),"",H1866/I1866)</f>
        <v/>
      </c>
      <c r="N1866" s="21">
        <f>IF(J1866="Yes","",IF(H1866&gt;=I1866,1,0))</f>
        <v/>
      </c>
      <c r="O1866" s="21">
        <f>IF(I1866&lt;=5000000,"Under $5M",IF(I1866&lt;=20000000,"$5M-20M",IF(I1866&lt;=50000000,"$20M-50M",IF(I1866&lt;=100000000,"$50M-100M","$100M+"))))</f>
        <v/>
      </c>
      <c r="P1866" s="21">
        <f>IF(E1866&lt;=90,"90 or less",IF(E1866&lt;=105,"91-105",IF(E1866&lt;=120,"106-120",IF(E1866&lt;=140,"121-140","Over 140"))))</f>
        <v/>
      </c>
      <c r="Q1866" s="28">
        <f>INT(C1866/10)*10</f>
        <v/>
      </c>
    </row>
    <row r="1867">
      <c r="A1867" s="21" t="n">
        <v>1906</v>
      </c>
      <c r="B1867" s="21" t="inlineStr">
        <is>
          <t>11:14</t>
        </is>
      </c>
      <c r="C1867" s="21" t="n">
        <v>2003</v>
      </c>
      <c r="D1867" s="21" t="inlineStr">
        <is>
          <t>USA</t>
        </is>
      </c>
      <c r="E1867" s="21" t="n">
        <v>85</v>
      </c>
      <c r="F1867" s="21" t="inlineStr">
        <is>
          <t>English</t>
        </is>
      </c>
      <c r="G1867" s="21" t="inlineStr">
        <is>
          <t>R</t>
        </is>
      </c>
      <c r="H1867" s="22" t="n">
        <v>25529689.5</v>
      </c>
      <c r="I1867" s="22" t="n">
        <v>6000000</v>
      </c>
      <c r="J1867" s="21">
        <f>IF(OR(H1867="",H1867=25529689.5),"Yes","No")</f>
        <v/>
      </c>
      <c r="K1867" s="21">
        <f>IF(AND(D1867="USA",C1867&gt;=1980,J1867="No"),"Yes","No")</f>
        <v/>
      </c>
      <c r="L1867" s="26">
        <f>IF(J1867="Yes","",H1867-I1867)</f>
        <v/>
      </c>
      <c r="M1867" s="27">
        <f>IF(OR(J1867="Yes",I1867=0),"",H1867/I1867)</f>
        <v/>
      </c>
      <c r="N1867" s="21">
        <f>IF(J1867="Yes","",IF(H1867&gt;=I1867,1,0))</f>
        <v/>
      </c>
      <c r="O1867" s="21">
        <f>IF(I1867&lt;=5000000,"Under $5M",IF(I1867&lt;=20000000,"$5M-20M",IF(I1867&lt;=50000000,"$20M-50M",IF(I1867&lt;=100000000,"$50M-100M","$100M+"))))</f>
        <v/>
      </c>
      <c r="P1867" s="21">
        <f>IF(E1867&lt;=90,"90 or less",IF(E1867&lt;=105,"91-105",IF(E1867&lt;=120,"106-120",IF(E1867&lt;=140,"121-140","Over 140"))))</f>
        <v/>
      </c>
      <c r="Q1867" s="28">
        <f>INT(C1867/10)*10</f>
        <v/>
      </c>
    </row>
    <row r="1868">
      <c r="A1868" s="21" t="n">
        <v>1907</v>
      </c>
      <c r="B1868" s="21" t="inlineStr">
        <is>
          <t>2 Fast 2 Furious</t>
        </is>
      </c>
      <c r="C1868" s="21" t="n">
        <v>2003</v>
      </c>
      <c r="D1868" s="21" t="inlineStr">
        <is>
          <t>USA</t>
        </is>
      </c>
      <c r="E1868" s="21" t="n">
        <v>107</v>
      </c>
      <c r="F1868" s="21" t="inlineStr">
        <is>
          <t>English</t>
        </is>
      </c>
      <c r="G1868" s="21" t="inlineStr">
        <is>
          <t>PG-13</t>
        </is>
      </c>
      <c r="H1868" s="22" t="n">
        <v>127083765</v>
      </c>
      <c r="I1868" s="22" t="n">
        <v>76000000</v>
      </c>
      <c r="J1868" s="21">
        <f>IF(OR(H1868="",H1868=25529689.5),"Yes","No")</f>
        <v/>
      </c>
      <c r="K1868" s="21">
        <f>IF(AND(D1868="USA",C1868&gt;=1980,J1868="No"),"Yes","No")</f>
        <v/>
      </c>
      <c r="L1868" s="26">
        <f>IF(J1868="Yes","",H1868-I1868)</f>
        <v/>
      </c>
      <c r="M1868" s="27">
        <f>IF(OR(J1868="Yes",I1868=0),"",H1868/I1868)</f>
        <v/>
      </c>
      <c r="N1868" s="21">
        <f>IF(J1868="Yes","",IF(H1868&gt;=I1868,1,0))</f>
        <v/>
      </c>
      <c r="O1868" s="21">
        <f>IF(I1868&lt;=5000000,"Under $5M",IF(I1868&lt;=20000000,"$5M-20M",IF(I1868&lt;=50000000,"$20M-50M",IF(I1868&lt;=100000000,"$50M-100M","$100M+"))))</f>
        <v/>
      </c>
      <c r="P1868" s="21">
        <f>IF(E1868&lt;=90,"90 or less",IF(E1868&lt;=105,"91-105",IF(E1868&lt;=120,"106-120",IF(E1868&lt;=140,"121-140","Over 140"))))</f>
        <v/>
      </c>
      <c r="Q1868" s="28">
        <f>INT(C1868/10)*10</f>
        <v/>
      </c>
    </row>
    <row r="1869">
      <c r="A1869" s="21" t="n">
        <v>1908</v>
      </c>
      <c r="B1869" s="21" t="inlineStr">
        <is>
          <t>21 Grams</t>
        </is>
      </c>
      <c r="C1869" s="21" t="n">
        <v>2003</v>
      </c>
      <c r="D1869" s="21" t="inlineStr">
        <is>
          <t>USA</t>
        </is>
      </c>
      <c r="E1869" s="21" t="n">
        <v>124</v>
      </c>
      <c r="F1869" s="21" t="inlineStr">
        <is>
          <t>English</t>
        </is>
      </c>
      <c r="G1869" s="21" t="inlineStr">
        <is>
          <t>R</t>
        </is>
      </c>
      <c r="H1869" s="22" t="n">
        <v>16248701</v>
      </c>
      <c r="I1869" s="22" t="n">
        <v>20000000</v>
      </c>
      <c r="J1869" s="21">
        <f>IF(OR(H1869="",H1869=25529689.5),"Yes","No")</f>
        <v/>
      </c>
      <c r="K1869" s="21">
        <f>IF(AND(D1869="USA",C1869&gt;=1980,J1869="No"),"Yes","No")</f>
        <v/>
      </c>
      <c r="L1869" s="26">
        <f>IF(J1869="Yes","",H1869-I1869)</f>
        <v/>
      </c>
      <c r="M1869" s="27">
        <f>IF(OR(J1869="Yes",I1869=0),"",H1869/I1869)</f>
        <v/>
      </c>
      <c r="N1869" s="21">
        <f>IF(J1869="Yes","",IF(H1869&gt;=I1869,1,0))</f>
        <v/>
      </c>
      <c r="O1869" s="21">
        <f>IF(I1869&lt;=5000000,"Under $5M",IF(I1869&lt;=20000000,"$5M-20M",IF(I1869&lt;=50000000,"$20M-50M",IF(I1869&lt;=100000000,"$50M-100M","$100M+"))))</f>
        <v/>
      </c>
      <c r="P1869" s="21">
        <f>IF(E1869&lt;=90,"90 or less",IF(E1869&lt;=105,"91-105",IF(E1869&lt;=120,"106-120",IF(E1869&lt;=140,"121-140","Over 140"))))</f>
        <v/>
      </c>
      <c r="Q1869" s="28">
        <f>INT(C1869/10)*10</f>
        <v/>
      </c>
    </row>
    <row r="1870">
      <c r="A1870" s="21" t="n">
        <v>1909</v>
      </c>
      <c r="B1870" s="21" t="inlineStr">
        <is>
          <t>A Guy Thing</t>
        </is>
      </c>
      <c r="C1870" s="21" t="n">
        <v>2003</v>
      </c>
      <c r="D1870" s="21" t="inlineStr">
        <is>
          <t>USA</t>
        </is>
      </c>
      <c r="E1870" s="21" t="n">
        <v>101</v>
      </c>
      <c r="F1870" s="21" t="inlineStr">
        <is>
          <t>English</t>
        </is>
      </c>
      <c r="G1870" s="21" t="inlineStr">
        <is>
          <t>PG-13</t>
        </is>
      </c>
      <c r="H1870" s="22" t="n">
        <v>15408822</v>
      </c>
      <c r="I1870" s="22" t="n">
        <v>20000000</v>
      </c>
      <c r="J1870" s="21">
        <f>IF(OR(H1870="",H1870=25529689.5),"Yes","No")</f>
        <v/>
      </c>
      <c r="K1870" s="21">
        <f>IF(AND(D1870="USA",C1870&gt;=1980,J1870="No"),"Yes","No")</f>
        <v/>
      </c>
      <c r="L1870" s="26">
        <f>IF(J1870="Yes","",H1870-I1870)</f>
        <v/>
      </c>
      <c r="M1870" s="27">
        <f>IF(OR(J1870="Yes",I1870=0),"",H1870/I1870)</f>
        <v/>
      </c>
      <c r="N1870" s="21">
        <f>IF(J1870="Yes","",IF(H1870&gt;=I1870,1,0))</f>
        <v/>
      </c>
      <c r="O1870" s="21">
        <f>IF(I1870&lt;=5000000,"Under $5M",IF(I1870&lt;=20000000,"$5M-20M",IF(I1870&lt;=50000000,"$20M-50M",IF(I1870&lt;=100000000,"$50M-100M","$100M+"))))</f>
        <v/>
      </c>
      <c r="P1870" s="21">
        <f>IF(E1870&lt;=90,"90 or less",IF(E1870&lt;=105,"91-105",IF(E1870&lt;=120,"106-120",IF(E1870&lt;=140,"121-140","Over 140"))))</f>
        <v/>
      </c>
      <c r="Q1870" s="28">
        <f>INT(C1870/10)*10</f>
        <v/>
      </c>
    </row>
    <row r="1871">
      <c r="A1871" s="21" t="n">
        <v>1910</v>
      </c>
      <c r="B1871" s="21" t="inlineStr">
        <is>
          <t>A Man Apart</t>
        </is>
      </c>
      <c r="C1871" s="21" t="n">
        <v>2003</v>
      </c>
      <c r="D1871" s="21" t="inlineStr">
        <is>
          <t>USA</t>
        </is>
      </c>
      <c r="E1871" s="21" t="n">
        <v>109</v>
      </c>
      <c r="F1871" s="21" t="inlineStr">
        <is>
          <t>English</t>
        </is>
      </c>
      <c r="G1871" s="21" t="inlineStr">
        <is>
          <t>R</t>
        </is>
      </c>
      <c r="H1871" s="22" t="n">
        <v>26183197</v>
      </c>
      <c r="I1871" s="22" t="n">
        <v>36000000</v>
      </c>
      <c r="J1871" s="21">
        <f>IF(OR(H1871="",H1871=25529689.5),"Yes","No")</f>
        <v/>
      </c>
      <c r="K1871" s="21">
        <f>IF(AND(D1871="USA",C1871&gt;=1980,J1871="No"),"Yes","No")</f>
        <v/>
      </c>
      <c r="L1871" s="26">
        <f>IF(J1871="Yes","",H1871-I1871)</f>
        <v/>
      </c>
      <c r="M1871" s="27">
        <f>IF(OR(J1871="Yes",I1871=0),"",H1871/I1871)</f>
        <v/>
      </c>
      <c r="N1871" s="21">
        <f>IF(J1871="Yes","",IF(H1871&gt;=I1871,1,0))</f>
        <v/>
      </c>
      <c r="O1871" s="21">
        <f>IF(I1871&lt;=5000000,"Under $5M",IF(I1871&lt;=20000000,"$5M-20M",IF(I1871&lt;=50000000,"$20M-50M",IF(I1871&lt;=100000000,"$50M-100M","$100M+"))))</f>
        <v/>
      </c>
      <c r="P1871" s="21">
        <f>IF(E1871&lt;=90,"90 or less",IF(E1871&lt;=105,"91-105",IF(E1871&lt;=120,"106-120",IF(E1871&lt;=140,"121-140","Over 140"))))</f>
        <v/>
      </c>
      <c r="Q1871" s="28">
        <f>INT(C1871/10)*10</f>
        <v/>
      </c>
    </row>
    <row r="1872">
      <c r="A1872" s="21" t="n">
        <v>1911</v>
      </c>
      <c r="B1872" s="21" t="inlineStr">
        <is>
          <t>A Mighty Wind</t>
        </is>
      </c>
      <c r="C1872" s="21" t="n">
        <v>2003</v>
      </c>
      <c r="D1872" s="21" t="inlineStr">
        <is>
          <t>USA</t>
        </is>
      </c>
      <c r="E1872" s="21" t="n">
        <v>91</v>
      </c>
      <c r="F1872" s="21" t="inlineStr">
        <is>
          <t>English</t>
        </is>
      </c>
      <c r="G1872" s="21" t="inlineStr">
        <is>
          <t>PG-13</t>
        </is>
      </c>
      <c r="H1872" s="22" t="n">
        <v>17508936</v>
      </c>
      <c r="I1872" s="22" t="n">
        <v>20000000</v>
      </c>
      <c r="J1872" s="21">
        <f>IF(OR(H1872="",H1872=25529689.5),"Yes","No")</f>
        <v/>
      </c>
      <c r="K1872" s="21">
        <f>IF(AND(D1872="USA",C1872&gt;=1980,J1872="No"),"Yes","No")</f>
        <v/>
      </c>
      <c r="L1872" s="26">
        <f>IF(J1872="Yes","",H1872-I1872)</f>
        <v/>
      </c>
      <c r="M1872" s="27">
        <f>IF(OR(J1872="Yes",I1872=0),"",H1872/I1872)</f>
        <v/>
      </c>
      <c r="N1872" s="21">
        <f>IF(J1872="Yes","",IF(H1872&gt;=I1872,1,0))</f>
        <v/>
      </c>
      <c r="O1872" s="21">
        <f>IF(I1872&lt;=5000000,"Under $5M",IF(I1872&lt;=20000000,"$5M-20M",IF(I1872&lt;=50000000,"$20M-50M",IF(I1872&lt;=100000000,"$50M-100M","$100M+"))))</f>
        <v/>
      </c>
      <c r="P1872" s="21">
        <f>IF(E1872&lt;=90,"90 or less",IF(E1872&lt;=105,"91-105",IF(E1872&lt;=120,"106-120",IF(E1872&lt;=140,"121-140","Over 140"))))</f>
        <v/>
      </c>
      <c r="Q1872" s="28">
        <f>INT(C1872/10)*10</f>
        <v/>
      </c>
    </row>
    <row r="1873">
      <c r="A1873" s="21" t="n">
        <v>1912</v>
      </c>
      <c r="B1873" s="21" t="inlineStr">
        <is>
          <t>Agent Cody Banks</t>
        </is>
      </c>
      <c r="C1873" s="21" t="n">
        <v>2003</v>
      </c>
      <c r="D1873" s="21" t="inlineStr">
        <is>
          <t>USA</t>
        </is>
      </c>
      <c r="E1873" s="21" t="n">
        <v>102</v>
      </c>
      <c r="F1873" s="21" t="inlineStr">
        <is>
          <t>English</t>
        </is>
      </c>
      <c r="G1873" s="21" t="inlineStr">
        <is>
          <t>PG</t>
        </is>
      </c>
      <c r="H1873" s="22" t="n">
        <v>47285499</v>
      </c>
      <c r="I1873" s="22" t="n">
        <v>26000000</v>
      </c>
      <c r="J1873" s="21">
        <f>IF(OR(H1873="",H1873=25529689.5),"Yes","No")</f>
        <v/>
      </c>
      <c r="K1873" s="21">
        <f>IF(AND(D1873="USA",C1873&gt;=1980,J1873="No"),"Yes","No")</f>
        <v/>
      </c>
      <c r="L1873" s="26">
        <f>IF(J1873="Yes","",H1873-I1873)</f>
        <v/>
      </c>
      <c r="M1873" s="27">
        <f>IF(OR(J1873="Yes",I1873=0),"",H1873/I1873)</f>
        <v/>
      </c>
      <c r="N1873" s="21">
        <f>IF(J1873="Yes","",IF(H1873&gt;=I1873,1,0))</f>
        <v/>
      </c>
      <c r="O1873" s="21">
        <f>IF(I1873&lt;=5000000,"Under $5M",IF(I1873&lt;=20000000,"$5M-20M",IF(I1873&lt;=50000000,"$20M-50M",IF(I1873&lt;=100000000,"$50M-100M","$100M+"))))</f>
        <v/>
      </c>
      <c r="P1873" s="21">
        <f>IF(E1873&lt;=90,"90 or less",IF(E1873&lt;=105,"91-105",IF(E1873&lt;=120,"106-120",IF(E1873&lt;=140,"121-140","Over 140"))))</f>
        <v/>
      </c>
      <c r="Q1873" s="28">
        <f>INT(C1873/10)*10</f>
        <v/>
      </c>
    </row>
    <row r="1874">
      <c r="A1874" s="21" t="n">
        <v>1913</v>
      </c>
      <c r="B1874" s="21" t="inlineStr">
        <is>
          <t>Alex &amp; Emma</t>
        </is>
      </c>
      <c r="C1874" s="21" t="n">
        <v>2003</v>
      </c>
      <c r="D1874" s="21" t="inlineStr">
        <is>
          <t>USA</t>
        </is>
      </c>
      <c r="E1874" s="21" t="n">
        <v>96</v>
      </c>
      <c r="F1874" s="21" t="inlineStr">
        <is>
          <t>English</t>
        </is>
      </c>
      <c r="G1874" s="21" t="inlineStr">
        <is>
          <t>PG-13</t>
        </is>
      </c>
      <c r="H1874" s="22" t="n">
        <v>14208384</v>
      </c>
      <c r="I1874" s="22" t="n">
        <v>30000000</v>
      </c>
      <c r="J1874" s="21">
        <f>IF(OR(H1874="",H1874=25529689.5),"Yes","No")</f>
        <v/>
      </c>
      <c r="K1874" s="21">
        <f>IF(AND(D1874="USA",C1874&gt;=1980,J1874="No"),"Yes","No")</f>
        <v/>
      </c>
      <c r="L1874" s="26">
        <f>IF(J1874="Yes","",H1874-I1874)</f>
        <v/>
      </c>
      <c r="M1874" s="27">
        <f>IF(OR(J1874="Yes",I1874=0),"",H1874/I1874)</f>
        <v/>
      </c>
      <c r="N1874" s="21">
        <f>IF(J1874="Yes","",IF(H1874&gt;=I1874,1,0))</f>
        <v/>
      </c>
      <c r="O1874" s="21">
        <f>IF(I1874&lt;=5000000,"Under $5M",IF(I1874&lt;=20000000,"$5M-20M",IF(I1874&lt;=50000000,"$20M-50M",IF(I1874&lt;=100000000,"$50M-100M","$100M+"))))</f>
        <v/>
      </c>
      <c r="P1874" s="21">
        <f>IF(E1874&lt;=90,"90 or less",IF(E1874&lt;=105,"91-105",IF(E1874&lt;=120,"106-120",IF(E1874&lt;=140,"121-140","Over 140"))))</f>
        <v/>
      </c>
      <c r="Q1874" s="28">
        <f>INT(C1874/10)*10</f>
        <v/>
      </c>
    </row>
    <row r="1875">
      <c r="A1875" s="21" t="n">
        <v>1914</v>
      </c>
      <c r="B1875" s="21" t="inlineStr">
        <is>
          <t>All the Real Girls</t>
        </is>
      </c>
      <c r="C1875" s="21" t="n">
        <v>2003</v>
      </c>
      <c r="D1875" s="21" t="inlineStr">
        <is>
          <t>USA</t>
        </is>
      </c>
      <c r="E1875" s="21" t="n">
        <v>108</v>
      </c>
      <c r="F1875" s="21" t="inlineStr">
        <is>
          <t>English</t>
        </is>
      </c>
      <c r="G1875" s="21" t="inlineStr">
        <is>
          <t>R</t>
        </is>
      </c>
      <c r="H1875" s="22" t="n">
        <v>548712</v>
      </c>
      <c r="I1875" s="22" t="n">
        <v>2500000</v>
      </c>
      <c r="J1875" s="21">
        <f>IF(OR(H1875="",H1875=25529689.5),"Yes","No")</f>
        <v/>
      </c>
      <c r="K1875" s="21">
        <f>IF(AND(D1875="USA",C1875&gt;=1980,J1875="No"),"Yes","No")</f>
        <v/>
      </c>
      <c r="L1875" s="26">
        <f>IF(J1875="Yes","",H1875-I1875)</f>
        <v/>
      </c>
      <c r="M1875" s="27">
        <f>IF(OR(J1875="Yes",I1875=0),"",H1875/I1875)</f>
        <v/>
      </c>
      <c r="N1875" s="21">
        <f>IF(J1875="Yes","",IF(H1875&gt;=I1875,1,0))</f>
        <v/>
      </c>
      <c r="O1875" s="21">
        <f>IF(I1875&lt;=5000000,"Under $5M",IF(I1875&lt;=20000000,"$5M-20M",IF(I1875&lt;=50000000,"$20M-50M",IF(I1875&lt;=100000000,"$50M-100M","$100M+"))))</f>
        <v/>
      </c>
      <c r="P1875" s="21">
        <f>IF(E1875&lt;=90,"90 or less",IF(E1875&lt;=105,"91-105",IF(E1875&lt;=120,"106-120",IF(E1875&lt;=140,"121-140","Over 140"))))</f>
        <v/>
      </c>
      <c r="Q1875" s="28">
        <f>INT(C1875/10)*10</f>
        <v/>
      </c>
    </row>
    <row r="1876">
      <c r="A1876" s="21" t="n">
        <v>1915</v>
      </c>
      <c r="B1876" s="21" t="inlineStr">
        <is>
          <t>American Splendor</t>
        </is>
      </c>
      <c r="C1876" s="21" t="n">
        <v>2003</v>
      </c>
      <c r="D1876" s="21" t="inlineStr">
        <is>
          <t>USA</t>
        </is>
      </c>
      <c r="E1876" s="21" t="n">
        <v>101</v>
      </c>
      <c r="F1876" s="21" t="inlineStr">
        <is>
          <t>English</t>
        </is>
      </c>
      <c r="G1876" s="21" t="inlineStr">
        <is>
          <t>R</t>
        </is>
      </c>
      <c r="H1876" s="22" t="n">
        <v>6003587</v>
      </c>
      <c r="I1876" s="22" t="n">
        <v>20000000</v>
      </c>
      <c r="J1876" s="21">
        <f>IF(OR(H1876="",H1876=25529689.5),"Yes","No")</f>
        <v/>
      </c>
      <c r="K1876" s="21">
        <f>IF(AND(D1876="USA",C1876&gt;=1980,J1876="No"),"Yes","No")</f>
        <v/>
      </c>
      <c r="L1876" s="26">
        <f>IF(J1876="Yes","",H1876-I1876)</f>
        <v/>
      </c>
      <c r="M1876" s="27">
        <f>IF(OR(J1876="Yes",I1876=0),"",H1876/I1876)</f>
        <v/>
      </c>
      <c r="N1876" s="21">
        <f>IF(J1876="Yes","",IF(H1876&gt;=I1876,1,0))</f>
        <v/>
      </c>
      <c r="O1876" s="21">
        <f>IF(I1876&lt;=5000000,"Under $5M",IF(I1876&lt;=20000000,"$5M-20M",IF(I1876&lt;=50000000,"$20M-50M",IF(I1876&lt;=100000000,"$50M-100M","$100M+"))))</f>
        <v/>
      </c>
      <c r="P1876" s="21">
        <f>IF(E1876&lt;=90,"90 or less",IF(E1876&lt;=105,"91-105",IF(E1876&lt;=120,"106-120",IF(E1876&lt;=140,"121-140","Over 140"))))</f>
        <v/>
      </c>
      <c r="Q1876" s="28">
        <f>INT(C1876/10)*10</f>
        <v/>
      </c>
    </row>
    <row r="1877">
      <c r="A1877" s="21" t="n">
        <v>1916</v>
      </c>
      <c r="B1877" s="21" t="inlineStr">
        <is>
          <t>American Wedding</t>
        </is>
      </c>
      <c r="C1877" s="21" t="n">
        <v>2003</v>
      </c>
      <c r="D1877" s="21" t="inlineStr">
        <is>
          <t>USA</t>
        </is>
      </c>
      <c r="E1877" s="21" t="n">
        <v>74</v>
      </c>
      <c r="F1877" s="21" t="inlineStr">
        <is>
          <t>English</t>
        </is>
      </c>
      <c r="G1877" s="21" t="inlineStr">
        <is>
          <t>R</t>
        </is>
      </c>
      <c r="H1877" s="22" t="n">
        <v>104354205</v>
      </c>
      <c r="I1877" s="22" t="n">
        <v>55000000</v>
      </c>
      <c r="J1877" s="21">
        <f>IF(OR(H1877="",H1877=25529689.5),"Yes","No")</f>
        <v/>
      </c>
      <c r="K1877" s="21">
        <f>IF(AND(D1877="USA",C1877&gt;=1980,J1877="No"),"Yes","No")</f>
        <v/>
      </c>
      <c r="L1877" s="26">
        <f>IF(J1877="Yes","",H1877-I1877)</f>
        <v/>
      </c>
      <c r="M1877" s="27">
        <f>IF(OR(J1877="Yes",I1877=0),"",H1877/I1877)</f>
        <v/>
      </c>
      <c r="N1877" s="21">
        <f>IF(J1877="Yes","",IF(H1877&gt;=I1877,1,0))</f>
        <v/>
      </c>
      <c r="O1877" s="21">
        <f>IF(I1877&lt;=5000000,"Under $5M",IF(I1877&lt;=20000000,"$5M-20M",IF(I1877&lt;=50000000,"$20M-50M",IF(I1877&lt;=100000000,"$50M-100M","$100M+"))))</f>
        <v/>
      </c>
      <c r="P1877" s="21">
        <f>IF(E1877&lt;=90,"90 or less",IF(E1877&lt;=105,"91-105",IF(E1877&lt;=120,"106-120",IF(E1877&lt;=140,"121-140","Over 140"))))</f>
        <v/>
      </c>
      <c r="Q1877" s="28">
        <f>INT(C1877/10)*10</f>
        <v/>
      </c>
    </row>
    <row r="1878">
      <c r="A1878" s="21" t="n">
        <v>1917</v>
      </c>
      <c r="B1878" s="21" t="inlineStr">
        <is>
          <t>Anything Else</t>
        </is>
      </c>
      <c r="C1878" s="21" t="n">
        <v>2003</v>
      </c>
      <c r="D1878" s="21" t="inlineStr">
        <is>
          <t>USA</t>
        </is>
      </c>
      <c r="E1878" s="21" t="n">
        <v>108</v>
      </c>
      <c r="F1878" s="21" t="inlineStr">
        <is>
          <t>English</t>
        </is>
      </c>
      <c r="G1878" s="21" t="inlineStr">
        <is>
          <t>R</t>
        </is>
      </c>
      <c r="H1878" s="22" t="n">
        <v>3203044</v>
      </c>
      <c r="I1878" s="22" t="n">
        <v>18000000</v>
      </c>
      <c r="J1878" s="21">
        <f>IF(OR(H1878="",H1878=25529689.5),"Yes","No")</f>
        <v/>
      </c>
      <c r="K1878" s="21">
        <f>IF(AND(D1878="USA",C1878&gt;=1980,J1878="No"),"Yes","No")</f>
        <v/>
      </c>
      <c r="L1878" s="26">
        <f>IF(J1878="Yes","",H1878-I1878)</f>
        <v/>
      </c>
      <c r="M1878" s="27">
        <f>IF(OR(J1878="Yes",I1878=0),"",H1878/I1878)</f>
        <v/>
      </c>
      <c r="N1878" s="21">
        <f>IF(J1878="Yes","",IF(H1878&gt;=I1878,1,0))</f>
        <v/>
      </c>
      <c r="O1878" s="21">
        <f>IF(I1878&lt;=5000000,"Under $5M",IF(I1878&lt;=20000000,"$5M-20M",IF(I1878&lt;=50000000,"$20M-50M",IF(I1878&lt;=100000000,"$50M-100M","$100M+"))))</f>
        <v/>
      </c>
      <c r="P1878" s="21">
        <f>IF(E1878&lt;=90,"90 or less",IF(E1878&lt;=105,"91-105",IF(E1878&lt;=120,"106-120",IF(E1878&lt;=140,"121-140","Over 140"))))</f>
        <v/>
      </c>
      <c r="Q1878" s="28">
        <f>INT(C1878/10)*10</f>
        <v/>
      </c>
    </row>
    <row r="1879">
      <c r="A1879" s="21" t="n">
        <v>1918</v>
      </c>
      <c r="B1879" s="21" t="inlineStr">
        <is>
          <t>Bad Boys II</t>
        </is>
      </c>
      <c r="C1879" s="21" t="n">
        <v>2003</v>
      </c>
      <c r="D1879" s="21" t="inlineStr">
        <is>
          <t>USA</t>
        </is>
      </c>
      <c r="E1879" s="21" t="n">
        <v>147</v>
      </c>
      <c r="F1879" s="21" t="inlineStr">
        <is>
          <t>English</t>
        </is>
      </c>
      <c r="G1879" s="21" t="inlineStr">
        <is>
          <t>R</t>
        </is>
      </c>
      <c r="H1879" s="22" t="n">
        <v>138396624</v>
      </c>
      <c r="I1879" s="22" t="n">
        <v>130000000</v>
      </c>
      <c r="J1879" s="21">
        <f>IF(OR(H1879="",H1879=25529689.5),"Yes","No")</f>
        <v/>
      </c>
      <c r="K1879" s="21">
        <f>IF(AND(D1879="USA",C1879&gt;=1980,J1879="No"),"Yes","No")</f>
        <v/>
      </c>
      <c r="L1879" s="26">
        <f>IF(J1879="Yes","",H1879-I1879)</f>
        <v/>
      </c>
      <c r="M1879" s="27">
        <f>IF(OR(J1879="Yes",I1879=0),"",H1879/I1879)</f>
        <v/>
      </c>
      <c r="N1879" s="21">
        <f>IF(J1879="Yes","",IF(H1879&gt;=I1879,1,0))</f>
        <v/>
      </c>
      <c r="O1879" s="21">
        <f>IF(I1879&lt;=5000000,"Under $5M",IF(I1879&lt;=20000000,"$5M-20M",IF(I1879&lt;=50000000,"$20M-50M",IF(I1879&lt;=100000000,"$50M-100M","$100M+"))))</f>
        <v/>
      </c>
      <c r="P1879" s="21">
        <f>IF(E1879&lt;=90,"90 or less",IF(E1879&lt;=105,"91-105",IF(E1879&lt;=120,"106-120",IF(E1879&lt;=140,"121-140","Over 140"))))</f>
        <v/>
      </c>
      <c r="Q1879" s="28">
        <f>INT(C1879/10)*10</f>
        <v/>
      </c>
    </row>
    <row r="1880">
      <c r="A1880" s="21" t="n">
        <v>1919</v>
      </c>
      <c r="B1880" s="21" t="inlineStr">
        <is>
          <t>Bad Santa</t>
        </is>
      </c>
      <c r="C1880" s="21" t="n">
        <v>2003</v>
      </c>
      <c r="D1880" s="21" t="inlineStr">
        <is>
          <t>USA</t>
        </is>
      </c>
      <c r="E1880" s="21" t="n">
        <v>98</v>
      </c>
      <c r="F1880" s="21" t="inlineStr">
        <is>
          <t>English</t>
        </is>
      </c>
      <c r="G1880" s="21" t="inlineStr">
        <is>
          <t>R</t>
        </is>
      </c>
      <c r="H1880" s="22" t="n">
        <v>60057639</v>
      </c>
      <c r="I1880" s="22" t="n">
        <v>18000000</v>
      </c>
      <c r="J1880" s="21">
        <f>IF(OR(H1880="",H1880=25529689.5),"Yes","No")</f>
        <v/>
      </c>
      <c r="K1880" s="21">
        <f>IF(AND(D1880="USA",C1880&gt;=1980,J1880="No"),"Yes","No")</f>
        <v/>
      </c>
      <c r="L1880" s="26">
        <f>IF(J1880="Yes","",H1880-I1880)</f>
        <v/>
      </c>
      <c r="M1880" s="27">
        <f>IF(OR(J1880="Yes",I1880=0),"",H1880/I1880)</f>
        <v/>
      </c>
      <c r="N1880" s="21">
        <f>IF(J1880="Yes","",IF(H1880&gt;=I1880,1,0))</f>
        <v/>
      </c>
      <c r="O1880" s="21">
        <f>IF(I1880&lt;=5000000,"Under $5M",IF(I1880&lt;=20000000,"$5M-20M",IF(I1880&lt;=50000000,"$20M-50M",IF(I1880&lt;=100000000,"$50M-100M","$100M+"))))</f>
        <v/>
      </c>
      <c r="P1880" s="21">
        <f>IF(E1880&lt;=90,"90 or less",IF(E1880&lt;=105,"91-105",IF(E1880&lt;=120,"106-120",IF(E1880&lt;=140,"121-140","Over 140"))))</f>
        <v/>
      </c>
      <c r="Q1880" s="28">
        <f>INT(C1880/10)*10</f>
        <v/>
      </c>
    </row>
    <row r="1881">
      <c r="A1881" s="21" t="n">
        <v>1920</v>
      </c>
      <c r="B1881" s="21" t="inlineStr">
        <is>
          <t>Basic</t>
        </is>
      </c>
      <c r="C1881" s="21" t="n">
        <v>2003</v>
      </c>
      <c r="D1881" s="21" t="inlineStr">
        <is>
          <t>Germany</t>
        </is>
      </c>
      <c r="E1881" s="21" t="n">
        <v>98</v>
      </c>
      <c r="F1881" s="21" t="inlineStr">
        <is>
          <t>English</t>
        </is>
      </c>
      <c r="G1881" s="21" t="inlineStr">
        <is>
          <t>R</t>
        </is>
      </c>
      <c r="H1881" s="22" t="n">
        <v>26536120</v>
      </c>
      <c r="I1881" s="22" t="n">
        <v>50000000</v>
      </c>
      <c r="J1881" s="21">
        <f>IF(OR(H1881="",H1881=25529689.5),"Yes","No")</f>
        <v/>
      </c>
      <c r="K1881" s="21">
        <f>IF(AND(D1881="USA",C1881&gt;=1980,J1881="No"),"Yes","No")</f>
        <v/>
      </c>
      <c r="L1881" s="26">
        <f>IF(J1881="Yes","",H1881-I1881)</f>
        <v/>
      </c>
      <c r="M1881" s="27">
        <f>IF(OR(J1881="Yes",I1881=0),"",H1881/I1881)</f>
        <v/>
      </c>
      <c r="N1881" s="21">
        <f>IF(J1881="Yes","",IF(H1881&gt;=I1881,1,0))</f>
        <v/>
      </c>
      <c r="O1881" s="21">
        <f>IF(I1881&lt;=5000000,"Under $5M",IF(I1881&lt;=20000000,"$5M-20M",IF(I1881&lt;=50000000,"$20M-50M",IF(I1881&lt;=100000000,"$50M-100M","$100M+"))))</f>
        <v/>
      </c>
      <c r="P1881" s="21">
        <f>IF(E1881&lt;=90,"90 or less",IF(E1881&lt;=105,"91-105",IF(E1881&lt;=120,"106-120",IF(E1881&lt;=140,"121-140","Over 140"))))</f>
        <v/>
      </c>
      <c r="Q1881" s="28">
        <f>INT(C1881/10)*10</f>
        <v/>
      </c>
    </row>
    <row r="1882">
      <c r="A1882" s="21" t="n">
        <v>1921</v>
      </c>
      <c r="B1882" s="21" t="inlineStr">
        <is>
          <t>Beyond Borders</t>
        </is>
      </c>
      <c r="C1882" s="21" t="n">
        <v>2003</v>
      </c>
      <c r="D1882" s="21" t="inlineStr">
        <is>
          <t>USA</t>
        </is>
      </c>
      <c r="E1882" s="21" t="n">
        <v>127</v>
      </c>
      <c r="F1882" s="21" t="inlineStr">
        <is>
          <t>English</t>
        </is>
      </c>
      <c r="G1882" s="21" t="inlineStr">
        <is>
          <t>R</t>
        </is>
      </c>
      <c r="H1882" s="22" t="n">
        <v>4426297</v>
      </c>
      <c r="I1882" s="22" t="n">
        <v>35000000</v>
      </c>
      <c r="J1882" s="21">
        <f>IF(OR(H1882="",H1882=25529689.5),"Yes","No")</f>
        <v/>
      </c>
      <c r="K1882" s="21">
        <f>IF(AND(D1882="USA",C1882&gt;=1980,J1882="No"),"Yes","No")</f>
        <v/>
      </c>
      <c r="L1882" s="26">
        <f>IF(J1882="Yes","",H1882-I1882)</f>
        <v/>
      </c>
      <c r="M1882" s="27">
        <f>IF(OR(J1882="Yes",I1882=0),"",H1882/I1882)</f>
        <v/>
      </c>
      <c r="N1882" s="21">
        <f>IF(J1882="Yes","",IF(H1882&gt;=I1882,1,0))</f>
        <v/>
      </c>
      <c r="O1882" s="21">
        <f>IF(I1882&lt;=5000000,"Under $5M",IF(I1882&lt;=20000000,"$5M-20M",IF(I1882&lt;=50000000,"$20M-50M",IF(I1882&lt;=100000000,"$50M-100M","$100M+"))))</f>
        <v/>
      </c>
      <c r="P1882" s="21">
        <f>IF(E1882&lt;=90,"90 or less",IF(E1882&lt;=105,"91-105",IF(E1882&lt;=120,"106-120",IF(E1882&lt;=140,"121-140","Over 140"))))</f>
        <v/>
      </c>
      <c r="Q1882" s="28">
        <f>INT(C1882/10)*10</f>
        <v/>
      </c>
    </row>
    <row r="1883">
      <c r="A1883" s="21" t="n">
        <v>1922</v>
      </c>
      <c r="B1883" s="21" t="inlineStr">
        <is>
          <t>Big Fish</t>
        </is>
      </c>
      <c r="C1883" s="21" t="n">
        <v>2003</v>
      </c>
      <c r="D1883" s="21" t="inlineStr">
        <is>
          <t>USA</t>
        </is>
      </c>
      <c r="E1883" s="21" t="n">
        <v>125</v>
      </c>
      <c r="F1883" s="21" t="inlineStr">
        <is>
          <t>English</t>
        </is>
      </c>
      <c r="G1883" s="21" t="inlineStr">
        <is>
          <t>PG-13</t>
        </is>
      </c>
      <c r="H1883" s="22" t="n">
        <v>66257002</v>
      </c>
      <c r="I1883" s="22" t="n">
        <v>70000000</v>
      </c>
      <c r="J1883" s="21">
        <f>IF(OR(H1883="",H1883=25529689.5),"Yes","No")</f>
        <v/>
      </c>
      <c r="K1883" s="21">
        <f>IF(AND(D1883="USA",C1883&gt;=1980,J1883="No"),"Yes","No")</f>
        <v/>
      </c>
      <c r="L1883" s="26">
        <f>IF(J1883="Yes","",H1883-I1883)</f>
        <v/>
      </c>
      <c r="M1883" s="27">
        <f>IF(OR(J1883="Yes",I1883=0),"",H1883/I1883)</f>
        <v/>
      </c>
      <c r="N1883" s="21">
        <f>IF(J1883="Yes","",IF(H1883&gt;=I1883,1,0))</f>
        <v/>
      </c>
      <c r="O1883" s="21">
        <f>IF(I1883&lt;=5000000,"Under $5M",IF(I1883&lt;=20000000,"$5M-20M",IF(I1883&lt;=50000000,"$20M-50M",IF(I1883&lt;=100000000,"$50M-100M","$100M+"))))</f>
        <v/>
      </c>
      <c r="P1883" s="21">
        <f>IF(E1883&lt;=90,"90 or less",IF(E1883&lt;=105,"91-105",IF(E1883&lt;=120,"106-120",IF(E1883&lt;=140,"121-140","Over 140"))))</f>
        <v/>
      </c>
      <c r="Q1883" s="28">
        <f>INT(C1883/10)*10</f>
        <v/>
      </c>
    </row>
    <row r="1884">
      <c r="A1884" s="21" t="n">
        <v>1923</v>
      </c>
      <c r="B1884" s="21" t="inlineStr">
        <is>
          <t>Bon voyage</t>
        </is>
      </c>
      <c r="C1884" s="21" t="n">
        <v>2003</v>
      </c>
      <c r="D1884" s="21" t="inlineStr">
        <is>
          <t>France</t>
        </is>
      </c>
      <c r="E1884" s="21" t="n">
        <v>114</v>
      </c>
      <c r="F1884" s="21" t="inlineStr">
        <is>
          <t>French</t>
        </is>
      </c>
      <c r="G1884" s="21" t="inlineStr">
        <is>
          <t>PG-13</t>
        </is>
      </c>
      <c r="H1884" s="22" t="n">
        <v>2353728</v>
      </c>
      <c r="I1884" s="22" t="n">
        <v>20000000</v>
      </c>
      <c r="J1884" s="21">
        <f>IF(OR(H1884="",H1884=25529689.5),"Yes","No")</f>
        <v/>
      </c>
      <c r="K1884" s="21">
        <f>IF(AND(D1884="USA",C1884&gt;=1980,J1884="No"),"Yes","No")</f>
        <v/>
      </c>
      <c r="L1884" s="26">
        <f>IF(J1884="Yes","",H1884-I1884)</f>
        <v/>
      </c>
      <c r="M1884" s="27">
        <f>IF(OR(J1884="Yes",I1884=0),"",H1884/I1884)</f>
        <v/>
      </c>
      <c r="N1884" s="21">
        <f>IF(J1884="Yes","",IF(H1884&gt;=I1884,1,0))</f>
        <v/>
      </c>
      <c r="O1884" s="21">
        <f>IF(I1884&lt;=5000000,"Under $5M",IF(I1884&lt;=20000000,"$5M-20M",IF(I1884&lt;=50000000,"$20M-50M",IF(I1884&lt;=100000000,"$50M-100M","$100M+"))))</f>
        <v/>
      </c>
      <c r="P1884" s="21">
        <f>IF(E1884&lt;=90,"90 or less",IF(E1884&lt;=105,"91-105",IF(E1884&lt;=120,"106-120",IF(E1884&lt;=140,"121-140","Over 140"))))</f>
        <v/>
      </c>
      <c r="Q1884" s="28">
        <f>INT(C1884/10)*10</f>
        <v/>
      </c>
    </row>
    <row r="1885">
      <c r="A1885" s="21" t="n">
        <v>1924</v>
      </c>
      <c r="B1885" s="21" t="inlineStr">
        <is>
          <t>Bringing Down the House</t>
        </is>
      </c>
      <c r="C1885" s="21" t="n">
        <v>2003</v>
      </c>
      <c r="D1885" s="21" t="inlineStr">
        <is>
          <t>USA</t>
        </is>
      </c>
      <c r="E1885" s="21" t="n">
        <v>105</v>
      </c>
      <c r="F1885" s="21" t="inlineStr">
        <is>
          <t>English</t>
        </is>
      </c>
      <c r="G1885" s="21" t="inlineStr">
        <is>
          <t>PG-13</t>
        </is>
      </c>
      <c r="H1885" s="22" t="n">
        <v>132541238</v>
      </c>
      <c r="I1885" s="22" t="n">
        <v>33000000</v>
      </c>
      <c r="J1885" s="21">
        <f>IF(OR(H1885="",H1885=25529689.5),"Yes","No")</f>
        <v/>
      </c>
      <c r="K1885" s="21">
        <f>IF(AND(D1885="USA",C1885&gt;=1980,J1885="No"),"Yes","No")</f>
        <v/>
      </c>
      <c r="L1885" s="26">
        <f>IF(J1885="Yes","",H1885-I1885)</f>
        <v/>
      </c>
      <c r="M1885" s="27">
        <f>IF(OR(J1885="Yes",I1885=0),"",H1885/I1885)</f>
        <v/>
      </c>
      <c r="N1885" s="21">
        <f>IF(J1885="Yes","",IF(H1885&gt;=I1885,1,0))</f>
        <v/>
      </c>
      <c r="O1885" s="21">
        <f>IF(I1885&lt;=5000000,"Under $5M",IF(I1885&lt;=20000000,"$5M-20M",IF(I1885&lt;=50000000,"$20M-50M",IF(I1885&lt;=100000000,"$50M-100M","$100M+"))))</f>
        <v/>
      </c>
      <c r="P1885" s="21">
        <f>IF(E1885&lt;=90,"90 or less",IF(E1885&lt;=105,"91-105",IF(E1885&lt;=120,"106-120",IF(E1885&lt;=140,"121-140","Over 140"))))</f>
        <v/>
      </c>
      <c r="Q1885" s="28">
        <f>INT(C1885/10)*10</f>
        <v/>
      </c>
    </row>
    <row r="1886">
      <c r="A1886" s="21" t="n">
        <v>1925</v>
      </c>
      <c r="B1886" s="21" t="inlineStr">
        <is>
          <t>Bruce Almighty</t>
        </is>
      </c>
      <c r="C1886" s="21" t="n">
        <v>2003</v>
      </c>
      <c r="D1886" s="21" t="inlineStr">
        <is>
          <t>USA</t>
        </is>
      </c>
      <c r="E1886" s="21" t="n">
        <v>101</v>
      </c>
      <c r="F1886" s="21" t="inlineStr">
        <is>
          <t>English</t>
        </is>
      </c>
      <c r="G1886" s="21" t="inlineStr">
        <is>
          <t>PG-13</t>
        </is>
      </c>
      <c r="H1886" s="22" t="n">
        <v>242589580</v>
      </c>
      <c r="I1886" s="22" t="n">
        <v>81000000</v>
      </c>
      <c r="J1886" s="21">
        <f>IF(OR(H1886="",H1886=25529689.5),"Yes","No")</f>
        <v/>
      </c>
      <c r="K1886" s="21">
        <f>IF(AND(D1886="USA",C1886&gt;=1980,J1886="No"),"Yes","No")</f>
        <v/>
      </c>
      <c r="L1886" s="26">
        <f>IF(J1886="Yes","",H1886-I1886)</f>
        <v/>
      </c>
      <c r="M1886" s="27">
        <f>IF(OR(J1886="Yes",I1886=0),"",H1886/I1886)</f>
        <v/>
      </c>
      <c r="N1886" s="21">
        <f>IF(J1886="Yes","",IF(H1886&gt;=I1886,1,0))</f>
        <v/>
      </c>
      <c r="O1886" s="21">
        <f>IF(I1886&lt;=5000000,"Under $5M",IF(I1886&lt;=20000000,"$5M-20M",IF(I1886&lt;=50000000,"$20M-50M",IF(I1886&lt;=100000000,"$50M-100M","$100M+"))))</f>
        <v/>
      </c>
      <c r="P1886" s="21">
        <f>IF(E1886&lt;=90,"90 or less",IF(E1886&lt;=105,"91-105",IF(E1886&lt;=120,"106-120",IF(E1886&lt;=140,"121-140","Over 140"))))</f>
        <v/>
      </c>
      <c r="Q1886" s="28">
        <f>INT(C1886/10)*10</f>
        <v/>
      </c>
    </row>
    <row r="1887">
      <c r="A1887" s="21" t="n">
        <v>1926</v>
      </c>
      <c r="B1887" s="21" t="inlineStr">
        <is>
          <t>Bulletproof Monk</t>
        </is>
      </c>
      <c r="C1887" s="21" t="n">
        <v>2003</v>
      </c>
      <c r="D1887" s="21" t="inlineStr">
        <is>
          <t>USA</t>
        </is>
      </c>
      <c r="E1887" s="21" t="n">
        <v>104</v>
      </c>
      <c r="F1887" s="21" t="inlineStr">
        <is>
          <t>English</t>
        </is>
      </c>
      <c r="G1887" s="21" t="inlineStr">
        <is>
          <t>PG-13</t>
        </is>
      </c>
      <c r="H1887" s="22" t="n">
        <v>23020488</v>
      </c>
      <c r="I1887" s="22" t="n">
        <v>52000000</v>
      </c>
      <c r="J1887" s="21">
        <f>IF(OR(H1887="",H1887=25529689.5),"Yes","No")</f>
        <v/>
      </c>
      <c r="K1887" s="21">
        <f>IF(AND(D1887="USA",C1887&gt;=1980,J1887="No"),"Yes","No")</f>
        <v/>
      </c>
      <c r="L1887" s="26">
        <f>IF(J1887="Yes","",H1887-I1887)</f>
        <v/>
      </c>
      <c r="M1887" s="27">
        <f>IF(OR(J1887="Yes",I1887=0),"",H1887/I1887)</f>
        <v/>
      </c>
      <c r="N1887" s="21">
        <f>IF(J1887="Yes","",IF(H1887&gt;=I1887,1,0))</f>
        <v/>
      </c>
      <c r="O1887" s="21">
        <f>IF(I1887&lt;=5000000,"Under $5M",IF(I1887&lt;=20000000,"$5M-20M",IF(I1887&lt;=50000000,"$20M-50M",IF(I1887&lt;=100000000,"$50M-100M","$100M+"))))</f>
        <v/>
      </c>
      <c r="P1887" s="21">
        <f>IF(E1887&lt;=90,"90 or less",IF(E1887&lt;=105,"91-105",IF(E1887&lt;=120,"106-120",IF(E1887&lt;=140,"121-140","Over 140"))))</f>
        <v/>
      </c>
      <c r="Q1887" s="28">
        <f>INT(C1887/10)*10</f>
        <v/>
      </c>
    </row>
    <row r="1888">
      <c r="A1888" s="21" t="n">
        <v>1927</v>
      </c>
      <c r="B1888" s="21" t="inlineStr">
        <is>
          <t>Charlie's Angels: Full Throttle</t>
        </is>
      </c>
      <c r="C1888" s="21" t="n">
        <v>2003</v>
      </c>
      <c r="D1888" s="21" t="inlineStr">
        <is>
          <t>USA</t>
        </is>
      </c>
      <c r="E1888" s="21" t="n">
        <v>107</v>
      </c>
      <c r="F1888" s="21" t="inlineStr">
        <is>
          <t>English</t>
        </is>
      </c>
      <c r="G1888" s="21" t="inlineStr">
        <is>
          <t>PG-13</t>
        </is>
      </c>
      <c r="H1888" s="22" t="n">
        <v>100685880</v>
      </c>
      <c r="I1888" s="22" t="n">
        <v>120000000</v>
      </c>
      <c r="J1888" s="21">
        <f>IF(OR(H1888="",H1888=25529689.5),"Yes","No")</f>
        <v/>
      </c>
      <c r="K1888" s="21">
        <f>IF(AND(D1888="USA",C1888&gt;=1980,J1888="No"),"Yes","No")</f>
        <v/>
      </c>
      <c r="L1888" s="26">
        <f>IF(J1888="Yes","",H1888-I1888)</f>
        <v/>
      </c>
      <c r="M1888" s="27">
        <f>IF(OR(J1888="Yes",I1888=0),"",H1888/I1888)</f>
        <v/>
      </c>
      <c r="N1888" s="21">
        <f>IF(J1888="Yes","",IF(H1888&gt;=I1888,1,0))</f>
        <v/>
      </c>
      <c r="O1888" s="21">
        <f>IF(I1888&lt;=5000000,"Under $5M",IF(I1888&lt;=20000000,"$5M-20M",IF(I1888&lt;=50000000,"$20M-50M",IF(I1888&lt;=100000000,"$50M-100M","$100M+"))))</f>
        <v/>
      </c>
      <c r="P1888" s="21">
        <f>IF(E1888&lt;=90,"90 or less",IF(E1888&lt;=105,"91-105",IF(E1888&lt;=120,"106-120",IF(E1888&lt;=140,"121-140","Over 140"))))</f>
        <v/>
      </c>
      <c r="Q1888" s="28">
        <f>INT(C1888/10)*10</f>
        <v/>
      </c>
    </row>
    <row r="1889">
      <c r="A1889" s="21" t="n">
        <v>1928</v>
      </c>
      <c r="B1889" s="21" t="inlineStr">
        <is>
          <t>Chasing Papi</t>
        </is>
      </c>
      <c r="C1889" s="21" t="n">
        <v>2003</v>
      </c>
      <c r="D1889" s="21" t="inlineStr">
        <is>
          <t>USA</t>
        </is>
      </c>
      <c r="E1889" s="21" t="n">
        <v>76</v>
      </c>
      <c r="F1889" s="21" t="inlineStr">
        <is>
          <t>English</t>
        </is>
      </c>
      <c r="G1889" s="21" t="inlineStr">
        <is>
          <t>PG</t>
        </is>
      </c>
      <c r="H1889" s="22" t="n">
        <v>6126237</v>
      </c>
      <c r="I1889" s="22" t="n">
        <v>20000000</v>
      </c>
      <c r="J1889" s="21">
        <f>IF(OR(H1889="",H1889=25529689.5),"Yes","No")</f>
        <v/>
      </c>
      <c r="K1889" s="21">
        <f>IF(AND(D1889="USA",C1889&gt;=1980,J1889="No"),"Yes","No")</f>
        <v/>
      </c>
      <c r="L1889" s="26">
        <f>IF(J1889="Yes","",H1889-I1889)</f>
        <v/>
      </c>
      <c r="M1889" s="27">
        <f>IF(OR(J1889="Yes",I1889=0),"",H1889/I1889)</f>
        <v/>
      </c>
      <c r="N1889" s="21">
        <f>IF(J1889="Yes","",IF(H1889&gt;=I1889,1,0))</f>
        <v/>
      </c>
      <c r="O1889" s="21">
        <f>IF(I1889&lt;=5000000,"Under $5M",IF(I1889&lt;=20000000,"$5M-20M",IF(I1889&lt;=50000000,"$20M-50M",IF(I1889&lt;=100000000,"$50M-100M","$100M+"))))</f>
        <v/>
      </c>
      <c r="P1889" s="21">
        <f>IF(E1889&lt;=90,"90 or less",IF(E1889&lt;=105,"91-105",IF(E1889&lt;=120,"106-120",IF(E1889&lt;=140,"121-140","Over 140"))))</f>
        <v/>
      </c>
      <c r="Q1889" s="28">
        <f>INT(C1889/10)*10</f>
        <v/>
      </c>
    </row>
    <row r="1890">
      <c r="A1890" s="21" t="n">
        <v>1929</v>
      </c>
      <c r="B1890" s="21" t="inlineStr">
        <is>
          <t>Cheaper by the Dozen</t>
        </is>
      </c>
      <c r="C1890" s="21" t="n">
        <v>2003</v>
      </c>
      <c r="D1890" s="21" t="inlineStr">
        <is>
          <t>USA</t>
        </is>
      </c>
      <c r="E1890" s="21" t="n">
        <v>94</v>
      </c>
      <c r="F1890" s="21" t="inlineStr">
        <is>
          <t>English</t>
        </is>
      </c>
      <c r="G1890" s="21" t="inlineStr">
        <is>
          <t>PG</t>
        </is>
      </c>
      <c r="H1890" s="22" t="n">
        <v>138614544</v>
      </c>
      <c r="I1890" s="22" t="n">
        <v>40000000</v>
      </c>
      <c r="J1890" s="21">
        <f>IF(OR(H1890="",H1890=25529689.5),"Yes","No")</f>
        <v/>
      </c>
      <c r="K1890" s="21">
        <f>IF(AND(D1890="USA",C1890&gt;=1980,J1890="No"),"Yes","No")</f>
        <v/>
      </c>
      <c r="L1890" s="26">
        <f>IF(J1890="Yes","",H1890-I1890)</f>
        <v/>
      </c>
      <c r="M1890" s="27">
        <f>IF(OR(J1890="Yes",I1890=0),"",H1890/I1890)</f>
        <v/>
      </c>
      <c r="N1890" s="21">
        <f>IF(J1890="Yes","",IF(H1890&gt;=I1890,1,0))</f>
        <v/>
      </c>
      <c r="O1890" s="21">
        <f>IF(I1890&lt;=5000000,"Under $5M",IF(I1890&lt;=20000000,"$5M-20M",IF(I1890&lt;=50000000,"$20M-50M",IF(I1890&lt;=100000000,"$50M-100M","$100M+"))))</f>
        <v/>
      </c>
      <c r="P1890" s="21">
        <f>IF(E1890&lt;=90,"90 or less",IF(E1890&lt;=105,"91-105",IF(E1890&lt;=120,"106-120",IF(E1890&lt;=140,"121-140","Over 140"))))</f>
        <v/>
      </c>
      <c r="Q1890" s="28">
        <f>INT(C1890/10)*10</f>
        <v/>
      </c>
    </row>
    <row r="1891">
      <c r="A1891" s="21" t="n">
        <v>1930</v>
      </c>
      <c r="B1891" s="21" t="inlineStr">
        <is>
          <t>Code 46</t>
        </is>
      </c>
      <c r="C1891" s="21" t="n">
        <v>2003</v>
      </c>
      <c r="D1891" s="21" t="inlineStr">
        <is>
          <t>UK</t>
        </is>
      </c>
      <c r="E1891" s="21" t="n">
        <v>93</v>
      </c>
      <c r="F1891" s="21" t="inlineStr">
        <is>
          <t>English</t>
        </is>
      </c>
      <c r="G1891" s="21" t="inlineStr">
        <is>
          <t>R</t>
        </is>
      </c>
      <c r="H1891" s="22" t="n">
        <v>197148</v>
      </c>
      <c r="I1891" s="22" t="n">
        <v>7500000</v>
      </c>
      <c r="J1891" s="21">
        <f>IF(OR(H1891="",H1891=25529689.5),"Yes","No")</f>
        <v/>
      </c>
      <c r="K1891" s="21">
        <f>IF(AND(D1891="USA",C1891&gt;=1980,J1891="No"),"Yes","No")</f>
        <v/>
      </c>
      <c r="L1891" s="26">
        <f>IF(J1891="Yes","",H1891-I1891)</f>
        <v/>
      </c>
      <c r="M1891" s="27">
        <f>IF(OR(J1891="Yes",I1891=0),"",H1891/I1891)</f>
        <v/>
      </c>
      <c r="N1891" s="21">
        <f>IF(J1891="Yes","",IF(H1891&gt;=I1891,1,0))</f>
        <v/>
      </c>
      <c r="O1891" s="21">
        <f>IF(I1891&lt;=5000000,"Under $5M",IF(I1891&lt;=20000000,"$5M-20M",IF(I1891&lt;=50000000,"$20M-50M",IF(I1891&lt;=100000000,"$50M-100M","$100M+"))))</f>
        <v/>
      </c>
      <c r="P1891" s="21">
        <f>IF(E1891&lt;=90,"90 or less",IF(E1891&lt;=105,"91-105",IF(E1891&lt;=120,"106-120",IF(E1891&lt;=140,"121-140","Over 140"))))</f>
        <v/>
      </c>
      <c r="Q1891" s="28">
        <f>INT(C1891/10)*10</f>
        <v/>
      </c>
    </row>
    <row r="1892">
      <c r="A1892" s="21" t="n">
        <v>1931</v>
      </c>
      <c r="B1892" s="21" t="inlineStr">
        <is>
          <t>Cold Mountain</t>
        </is>
      </c>
      <c r="C1892" s="21" t="n">
        <v>2003</v>
      </c>
      <c r="D1892" s="21" t="inlineStr">
        <is>
          <t>USA</t>
        </is>
      </c>
      <c r="E1892" s="21" t="n">
        <v>154</v>
      </c>
      <c r="F1892" s="21" t="inlineStr">
        <is>
          <t>English</t>
        </is>
      </c>
      <c r="G1892" s="21" t="inlineStr">
        <is>
          <t>R</t>
        </is>
      </c>
      <c r="H1892" s="22" t="n">
        <v>95632614</v>
      </c>
      <c r="I1892" s="22" t="n">
        <v>79000000</v>
      </c>
      <c r="J1892" s="21">
        <f>IF(OR(H1892="",H1892=25529689.5),"Yes","No")</f>
        <v/>
      </c>
      <c r="K1892" s="21">
        <f>IF(AND(D1892="USA",C1892&gt;=1980,J1892="No"),"Yes","No")</f>
        <v/>
      </c>
      <c r="L1892" s="26">
        <f>IF(J1892="Yes","",H1892-I1892)</f>
        <v/>
      </c>
      <c r="M1892" s="27">
        <f>IF(OR(J1892="Yes",I1892=0),"",H1892/I1892)</f>
        <v/>
      </c>
      <c r="N1892" s="21">
        <f>IF(J1892="Yes","",IF(H1892&gt;=I1892,1,0))</f>
        <v/>
      </c>
      <c r="O1892" s="21">
        <f>IF(I1892&lt;=5000000,"Under $5M",IF(I1892&lt;=20000000,"$5M-20M",IF(I1892&lt;=50000000,"$20M-50M",IF(I1892&lt;=100000000,"$50M-100M","$100M+"))))</f>
        <v/>
      </c>
      <c r="P1892" s="21">
        <f>IF(E1892&lt;=90,"90 or less",IF(E1892&lt;=105,"91-105",IF(E1892&lt;=120,"106-120",IF(E1892&lt;=140,"121-140","Over 140"))))</f>
        <v/>
      </c>
      <c r="Q1892" s="28">
        <f>INT(C1892/10)*10</f>
        <v/>
      </c>
    </row>
    <row r="1893">
      <c r="A1893" s="21" t="n">
        <v>1932</v>
      </c>
      <c r="B1893" s="21" t="inlineStr">
        <is>
          <t>Confidence</t>
        </is>
      </c>
      <c r="C1893" s="21" t="n">
        <v>2003</v>
      </c>
      <c r="D1893" s="21" t="inlineStr">
        <is>
          <t>USA</t>
        </is>
      </c>
      <c r="E1893" s="21" t="n">
        <v>97</v>
      </c>
      <c r="F1893" s="21" t="inlineStr">
        <is>
          <t>English</t>
        </is>
      </c>
      <c r="G1893" s="21" t="inlineStr">
        <is>
          <t>R</t>
        </is>
      </c>
      <c r="H1893" s="22" t="n">
        <v>12212417</v>
      </c>
      <c r="I1893" s="22" t="n">
        <v>15000000</v>
      </c>
      <c r="J1893" s="21">
        <f>IF(OR(H1893="",H1893=25529689.5),"Yes","No")</f>
        <v/>
      </c>
      <c r="K1893" s="21">
        <f>IF(AND(D1893="USA",C1893&gt;=1980,J1893="No"),"Yes","No")</f>
        <v/>
      </c>
      <c r="L1893" s="26">
        <f>IF(J1893="Yes","",H1893-I1893)</f>
        <v/>
      </c>
      <c r="M1893" s="27">
        <f>IF(OR(J1893="Yes",I1893=0),"",H1893/I1893)</f>
        <v/>
      </c>
      <c r="N1893" s="21">
        <f>IF(J1893="Yes","",IF(H1893&gt;=I1893,1,0))</f>
        <v/>
      </c>
      <c r="O1893" s="21">
        <f>IF(I1893&lt;=5000000,"Under $5M",IF(I1893&lt;=20000000,"$5M-20M",IF(I1893&lt;=50000000,"$20M-50M",IF(I1893&lt;=100000000,"$50M-100M","$100M+"))))</f>
        <v/>
      </c>
      <c r="P1893" s="21">
        <f>IF(E1893&lt;=90,"90 or less",IF(E1893&lt;=105,"91-105",IF(E1893&lt;=120,"106-120",IF(E1893&lt;=140,"121-140","Over 140"))))</f>
        <v/>
      </c>
      <c r="Q1893" s="28">
        <f>INT(C1893/10)*10</f>
        <v/>
      </c>
    </row>
    <row r="1894">
      <c r="A1894" s="21" t="n">
        <v>1933</v>
      </c>
      <c r="B1894" s="21" t="inlineStr">
        <is>
          <t>Cradle 2 the Grave</t>
        </is>
      </c>
      <c r="C1894" s="21" t="n">
        <v>2003</v>
      </c>
      <c r="D1894" s="21" t="inlineStr">
        <is>
          <t>USA</t>
        </is>
      </c>
      <c r="E1894" s="21" t="n">
        <v>101</v>
      </c>
      <c r="F1894" s="21" t="inlineStr">
        <is>
          <t>English</t>
        </is>
      </c>
      <c r="G1894" s="21" t="inlineStr">
        <is>
          <t>R</t>
        </is>
      </c>
      <c r="H1894" s="22" t="n">
        <v>34604054</v>
      </c>
      <c r="I1894" s="22" t="n">
        <v>30000000</v>
      </c>
      <c r="J1894" s="21">
        <f>IF(OR(H1894="",H1894=25529689.5),"Yes","No")</f>
        <v/>
      </c>
      <c r="K1894" s="21">
        <f>IF(AND(D1894="USA",C1894&gt;=1980,J1894="No"),"Yes","No")</f>
        <v/>
      </c>
      <c r="L1894" s="26">
        <f>IF(J1894="Yes","",H1894-I1894)</f>
        <v/>
      </c>
      <c r="M1894" s="27">
        <f>IF(OR(J1894="Yes",I1894=0),"",H1894/I1894)</f>
        <v/>
      </c>
      <c r="N1894" s="21">
        <f>IF(J1894="Yes","",IF(H1894&gt;=I1894,1,0))</f>
        <v/>
      </c>
      <c r="O1894" s="21">
        <f>IF(I1894&lt;=5000000,"Under $5M",IF(I1894&lt;=20000000,"$5M-20M",IF(I1894&lt;=50000000,"$20M-50M",IF(I1894&lt;=100000000,"$50M-100M","$100M+"))))</f>
        <v/>
      </c>
      <c r="P1894" s="21">
        <f>IF(E1894&lt;=90,"90 or less",IF(E1894&lt;=105,"91-105",IF(E1894&lt;=120,"106-120",IF(E1894&lt;=140,"121-140","Over 140"))))</f>
        <v/>
      </c>
      <c r="Q1894" s="28">
        <f>INT(C1894/10)*10</f>
        <v/>
      </c>
    </row>
    <row r="1895">
      <c r="A1895" s="21" t="n">
        <v>1934</v>
      </c>
      <c r="B1895" s="21" t="inlineStr">
        <is>
          <t>Daddy Day Care</t>
        </is>
      </c>
      <c r="C1895" s="21" t="n">
        <v>2003</v>
      </c>
      <c r="D1895" s="21" t="inlineStr">
        <is>
          <t>USA</t>
        </is>
      </c>
      <c r="E1895" s="21" t="n">
        <v>92</v>
      </c>
      <c r="F1895" s="21" t="inlineStr">
        <is>
          <t>English</t>
        </is>
      </c>
      <c r="G1895" s="21" t="inlineStr">
        <is>
          <t>PG</t>
        </is>
      </c>
      <c r="H1895" s="22" t="n">
        <v>104148781</v>
      </c>
      <c r="I1895" s="22" t="n">
        <v>60000000</v>
      </c>
      <c r="J1895" s="21">
        <f>IF(OR(H1895="",H1895=25529689.5),"Yes","No")</f>
        <v/>
      </c>
      <c r="K1895" s="21">
        <f>IF(AND(D1895="USA",C1895&gt;=1980,J1895="No"),"Yes","No")</f>
        <v/>
      </c>
      <c r="L1895" s="26">
        <f>IF(J1895="Yes","",H1895-I1895)</f>
        <v/>
      </c>
      <c r="M1895" s="27">
        <f>IF(OR(J1895="Yes",I1895=0),"",H1895/I1895)</f>
        <v/>
      </c>
      <c r="N1895" s="21">
        <f>IF(J1895="Yes","",IF(H1895&gt;=I1895,1,0))</f>
        <v/>
      </c>
      <c r="O1895" s="21">
        <f>IF(I1895&lt;=5000000,"Under $5M",IF(I1895&lt;=20000000,"$5M-20M",IF(I1895&lt;=50000000,"$20M-50M",IF(I1895&lt;=100000000,"$50M-100M","$100M+"))))</f>
        <v/>
      </c>
      <c r="P1895" s="21">
        <f>IF(E1895&lt;=90,"90 or less",IF(E1895&lt;=105,"91-105",IF(E1895&lt;=120,"106-120",IF(E1895&lt;=140,"121-140","Over 140"))))</f>
        <v/>
      </c>
      <c r="Q1895" s="28">
        <f>INT(C1895/10)*10</f>
        <v/>
      </c>
    </row>
    <row r="1896">
      <c r="A1896" s="21" t="n">
        <v>1935</v>
      </c>
      <c r="B1896" s="21" t="inlineStr">
        <is>
          <t>Darkness Falls</t>
        </is>
      </c>
      <c r="C1896" s="21" t="n">
        <v>2003</v>
      </c>
      <c r="D1896" s="21" t="inlineStr">
        <is>
          <t>USA</t>
        </is>
      </c>
      <c r="E1896" s="21" t="n">
        <v>96</v>
      </c>
      <c r="F1896" s="21" t="inlineStr">
        <is>
          <t>English</t>
        </is>
      </c>
      <c r="G1896" s="21" t="inlineStr">
        <is>
          <t>PG-13</t>
        </is>
      </c>
      <c r="H1896" s="22" t="n">
        <v>32131483</v>
      </c>
      <c r="I1896" s="22" t="n">
        <v>11000000</v>
      </c>
      <c r="J1896" s="21">
        <f>IF(OR(H1896="",H1896=25529689.5),"Yes","No")</f>
        <v/>
      </c>
      <c r="K1896" s="21">
        <f>IF(AND(D1896="USA",C1896&gt;=1980,J1896="No"),"Yes","No")</f>
        <v/>
      </c>
      <c r="L1896" s="26">
        <f>IF(J1896="Yes","",H1896-I1896)</f>
        <v/>
      </c>
      <c r="M1896" s="27">
        <f>IF(OR(J1896="Yes",I1896=0),"",H1896/I1896)</f>
        <v/>
      </c>
      <c r="N1896" s="21">
        <f>IF(J1896="Yes","",IF(H1896&gt;=I1896,1,0))</f>
        <v/>
      </c>
      <c r="O1896" s="21">
        <f>IF(I1896&lt;=5000000,"Under $5M",IF(I1896&lt;=20000000,"$5M-20M",IF(I1896&lt;=50000000,"$20M-50M",IF(I1896&lt;=100000000,"$50M-100M","$100M+"))))</f>
        <v/>
      </c>
      <c r="P1896" s="21">
        <f>IF(E1896&lt;=90,"90 or less",IF(E1896&lt;=105,"91-105",IF(E1896&lt;=120,"106-120",IF(E1896&lt;=140,"121-140","Over 140"))))</f>
        <v/>
      </c>
      <c r="Q1896" s="28">
        <f>INT(C1896/10)*10</f>
        <v/>
      </c>
    </row>
    <row r="1897">
      <c r="A1897" s="21" t="n">
        <v>1936</v>
      </c>
      <c r="B1897" s="21" t="inlineStr">
        <is>
          <t>Dickie Roberts: Former Child Star</t>
        </is>
      </c>
      <c r="C1897" s="21" t="n">
        <v>2003</v>
      </c>
      <c r="D1897" s="21" t="inlineStr">
        <is>
          <t>USA</t>
        </is>
      </c>
      <c r="E1897" s="21" t="n">
        <v>98</v>
      </c>
      <c r="F1897" s="21" t="inlineStr">
        <is>
          <t>English</t>
        </is>
      </c>
      <c r="G1897" s="21" t="inlineStr">
        <is>
          <t>PG-13</t>
        </is>
      </c>
      <c r="H1897" s="22" t="n">
        <v>22734486</v>
      </c>
      <c r="I1897" s="22" t="n">
        <v>17000000</v>
      </c>
      <c r="J1897" s="21">
        <f>IF(OR(H1897="",H1897=25529689.5),"Yes","No")</f>
        <v/>
      </c>
      <c r="K1897" s="21">
        <f>IF(AND(D1897="USA",C1897&gt;=1980,J1897="No"),"Yes","No")</f>
        <v/>
      </c>
      <c r="L1897" s="26">
        <f>IF(J1897="Yes","",H1897-I1897)</f>
        <v/>
      </c>
      <c r="M1897" s="27">
        <f>IF(OR(J1897="Yes",I1897=0),"",H1897/I1897)</f>
        <v/>
      </c>
      <c r="N1897" s="21">
        <f>IF(J1897="Yes","",IF(H1897&gt;=I1897,1,0))</f>
        <v/>
      </c>
      <c r="O1897" s="21">
        <f>IF(I1897&lt;=5000000,"Under $5M",IF(I1897&lt;=20000000,"$5M-20M",IF(I1897&lt;=50000000,"$20M-50M",IF(I1897&lt;=100000000,"$50M-100M","$100M+"))))</f>
        <v/>
      </c>
      <c r="P1897" s="21">
        <f>IF(E1897&lt;=90,"90 or less",IF(E1897&lt;=105,"91-105",IF(E1897&lt;=120,"106-120",IF(E1897&lt;=140,"121-140","Over 140"))))</f>
        <v/>
      </c>
      <c r="Q1897" s="28">
        <f>INT(C1897/10)*10</f>
        <v/>
      </c>
    </row>
    <row r="1898">
      <c r="A1898" s="21" t="n">
        <v>1937</v>
      </c>
      <c r="B1898" s="21" t="inlineStr">
        <is>
          <t>Dreamcatcher</t>
        </is>
      </c>
      <c r="C1898" s="21" t="n">
        <v>2003</v>
      </c>
      <c r="D1898" s="21" t="inlineStr">
        <is>
          <t>USA</t>
        </is>
      </c>
      <c r="E1898" s="21" t="n">
        <v>136</v>
      </c>
      <c r="F1898" s="21" t="inlineStr">
        <is>
          <t>English</t>
        </is>
      </c>
      <c r="G1898" s="21" t="inlineStr">
        <is>
          <t>R</t>
        </is>
      </c>
      <c r="H1898" s="22" t="n">
        <v>33685268</v>
      </c>
      <c r="I1898" s="22" t="n">
        <v>68000000</v>
      </c>
      <c r="J1898" s="21">
        <f>IF(OR(H1898="",H1898=25529689.5),"Yes","No")</f>
        <v/>
      </c>
      <c r="K1898" s="21">
        <f>IF(AND(D1898="USA",C1898&gt;=1980,J1898="No"),"Yes","No")</f>
        <v/>
      </c>
      <c r="L1898" s="26">
        <f>IF(J1898="Yes","",H1898-I1898)</f>
        <v/>
      </c>
      <c r="M1898" s="27">
        <f>IF(OR(J1898="Yes",I1898=0),"",H1898/I1898)</f>
        <v/>
      </c>
      <c r="N1898" s="21">
        <f>IF(J1898="Yes","",IF(H1898&gt;=I1898,1,0))</f>
        <v/>
      </c>
      <c r="O1898" s="21">
        <f>IF(I1898&lt;=5000000,"Under $5M",IF(I1898&lt;=20000000,"$5M-20M",IF(I1898&lt;=50000000,"$20M-50M",IF(I1898&lt;=100000000,"$50M-100M","$100M+"))))</f>
        <v/>
      </c>
      <c r="P1898" s="21">
        <f>IF(E1898&lt;=90,"90 or less",IF(E1898&lt;=105,"91-105",IF(E1898&lt;=120,"106-120",IF(E1898&lt;=140,"121-140","Over 140"))))</f>
        <v/>
      </c>
      <c r="Q1898" s="28">
        <f>INT(C1898/10)*10</f>
        <v/>
      </c>
    </row>
    <row r="1899">
      <c r="A1899" s="21" t="n">
        <v>1938</v>
      </c>
      <c r="B1899" s="21" t="inlineStr">
        <is>
          <t>Dumb and Dumberer: When Harry Met Lloyd</t>
        </is>
      </c>
      <c r="C1899" s="21" t="n">
        <v>2003</v>
      </c>
      <c r="D1899" s="21" t="inlineStr">
        <is>
          <t>USA</t>
        </is>
      </c>
      <c r="E1899" s="21" t="n">
        <v>85</v>
      </c>
      <c r="F1899" s="21" t="inlineStr">
        <is>
          <t>English</t>
        </is>
      </c>
      <c r="G1899" s="21" t="inlineStr">
        <is>
          <t>PG-13</t>
        </is>
      </c>
      <c r="H1899" s="22" t="n">
        <v>26096584</v>
      </c>
      <c r="I1899" s="22" t="n">
        <v>19000000</v>
      </c>
      <c r="J1899" s="21">
        <f>IF(OR(H1899="",H1899=25529689.5),"Yes","No")</f>
        <v/>
      </c>
      <c r="K1899" s="21">
        <f>IF(AND(D1899="USA",C1899&gt;=1980,J1899="No"),"Yes","No")</f>
        <v/>
      </c>
      <c r="L1899" s="26">
        <f>IF(J1899="Yes","",H1899-I1899)</f>
        <v/>
      </c>
      <c r="M1899" s="27">
        <f>IF(OR(J1899="Yes",I1899=0),"",H1899/I1899)</f>
        <v/>
      </c>
      <c r="N1899" s="21">
        <f>IF(J1899="Yes","",IF(H1899&gt;=I1899,1,0))</f>
        <v/>
      </c>
      <c r="O1899" s="21">
        <f>IF(I1899&lt;=5000000,"Under $5M",IF(I1899&lt;=20000000,"$5M-20M",IF(I1899&lt;=50000000,"$20M-50M",IF(I1899&lt;=100000000,"$50M-100M","$100M+"))))</f>
        <v/>
      </c>
      <c r="P1899" s="21">
        <f>IF(E1899&lt;=90,"90 or less",IF(E1899&lt;=105,"91-105",IF(E1899&lt;=120,"106-120",IF(E1899&lt;=140,"121-140","Over 140"))))</f>
        <v/>
      </c>
      <c r="Q1899" s="28">
        <f>INT(C1899/10)*10</f>
        <v/>
      </c>
    </row>
    <row r="1900">
      <c r="A1900" s="21" t="n">
        <v>1939</v>
      </c>
      <c r="B1900" s="21" t="inlineStr">
        <is>
          <t>Duplex</t>
        </is>
      </c>
      <c r="C1900" s="21" t="n">
        <v>2003</v>
      </c>
      <c r="D1900" s="21" t="inlineStr">
        <is>
          <t>USA</t>
        </is>
      </c>
      <c r="E1900" s="21" t="n">
        <v>89</v>
      </c>
      <c r="F1900" s="21" t="inlineStr">
        <is>
          <t>English</t>
        </is>
      </c>
      <c r="G1900" s="21" t="inlineStr">
        <is>
          <t>PG-13</t>
        </is>
      </c>
      <c r="H1900" s="22" t="n">
        <v>9652000</v>
      </c>
      <c r="I1900" s="22" t="n">
        <v>40000000</v>
      </c>
      <c r="J1900" s="21">
        <f>IF(OR(H1900="",H1900=25529689.5),"Yes","No")</f>
        <v/>
      </c>
      <c r="K1900" s="21">
        <f>IF(AND(D1900="USA",C1900&gt;=1980,J1900="No"),"Yes","No")</f>
        <v/>
      </c>
      <c r="L1900" s="26">
        <f>IF(J1900="Yes","",H1900-I1900)</f>
        <v/>
      </c>
      <c r="M1900" s="27">
        <f>IF(OR(J1900="Yes",I1900=0),"",H1900/I1900)</f>
        <v/>
      </c>
      <c r="N1900" s="21">
        <f>IF(J1900="Yes","",IF(H1900&gt;=I1900,1,0))</f>
        <v/>
      </c>
      <c r="O1900" s="21">
        <f>IF(I1900&lt;=5000000,"Under $5M",IF(I1900&lt;=20000000,"$5M-20M",IF(I1900&lt;=50000000,"$20M-50M",IF(I1900&lt;=100000000,"$50M-100M","$100M+"))))</f>
        <v/>
      </c>
      <c r="P1900" s="21">
        <f>IF(E1900&lt;=90,"90 or less",IF(E1900&lt;=105,"91-105",IF(E1900&lt;=120,"106-120",IF(E1900&lt;=140,"121-140","Over 140"))))</f>
        <v/>
      </c>
      <c r="Q1900" s="28">
        <f>INT(C1900/10)*10</f>
        <v/>
      </c>
    </row>
    <row r="1901">
      <c r="A1901" s="21" t="n">
        <v>1940</v>
      </c>
      <c r="B1901" s="21" t="inlineStr">
        <is>
          <t>DysFunktional Family</t>
        </is>
      </c>
      <c r="C1901" s="21" t="n">
        <v>2003</v>
      </c>
      <c r="D1901" s="21" t="inlineStr">
        <is>
          <t>USA</t>
        </is>
      </c>
      <c r="E1901" s="21" t="n">
        <v>89</v>
      </c>
      <c r="F1901" s="21" t="inlineStr">
        <is>
          <t>English</t>
        </is>
      </c>
      <c r="G1901" s="21" t="inlineStr">
        <is>
          <t>R</t>
        </is>
      </c>
      <c r="H1901" s="22" t="n">
        <v>2223990</v>
      </c>
      <c r="I1901" s="22" t="n">
        <v>3000000</v>
      </c>
      <c r="J1901" s="21">
        <f>IF(OR(H1901="",H1901=25529689.5),"Yes","No")</f>
        <v/>
      </c>
      <c r="K1901" s="21">
        <f>IF(AND(D1901="USA",C1901&gt;=1980,J1901="No"),"Yes","No")</f>
        <v/>
      </c>
      <c r="L1901" s="26">
        <f>IF(J1901="Yes","",H1901-I1901)</f>
        <v/>
      </c>
      <c r="M1901" s="27">
        <f>IF(OR(J1901="Yes",I1901=0),"",H1901/I1901)</f>
        <v/>
      </c>
      <c r="N1901" s="21">
        <f>IF(J1901="Yes","",IF(H1901&gt;=I1901,1,0))</f>
        <v/>
      </c>
      <c r="O1901" s="21">
        <f>IF(I1901&lt;=5000000,"Under $5M",IF(I1901&lt;=20000000,"$5M-20M",IF(I1901&lt;=50000000,"$20M-50M",IF(I1901&lt;=100000000,"$50M-100M","$100M+"))))</f>
        <v/>
      </c>
      <c r="P1901" s="21">
        <f>IF(E1901&lt;=90,"90 or less",IF(E1901&lt;=105,"91-105",IF(E1901&lt;=120,"106-120",IF(E1901&lt;=140,"121-140","Over 140"))))</f>
        <v/>
      </c>
      <c r="Q1901" s="28">
        <f>INT(C1901/10)*10</f>
        <v/>
      </c>
    </row>
    <row r="1902">
      <c r="A1902" s="21" t="n">
        <v>1941</v>
      </c>
      <c r="B1902" s="21" t="inlineStr">
        <is>
          <t>Elf</t>
        </is>
      </c>
      <c r="C1902" s="21" t="n">
        <v>2003</v>
      </c>
      <c r="D1902" s="21" t="inlineStr">
        <is>
          <t>USA</t>
        </is>
      </c>
      <c r="E1902" s="21" t="n">
        <v>97</v>
      </c>
      <c r="F1902" s="21" t="inlineStr">
        <is>
          <t>English</t>
        </is>
      </c>
      <c r="G1902" s="21" t="inlineStr">
        <is>
          <t>PG</t>
        </is>
      </c>
      <c r="H1902" s="22" t="n">
        <v>173381405</v>
      </c>
      <c r="I1902" s="22" t="n">
        <v>33000000</v>
      </c>
      <c r="J1902" s="21">
        <f>IF(OR(H1902="",H1902=25529689.5),"Yes","No")</f>
        <v/>
      </c>
      <c r="K1902" s="21">
        <f>IF(AND(D1902="USA",C1902&gt;=1980,J1902="No"),"Yes","No")</f>
        <v/>
      </c>
      <c r="L1902" s="26">
        <f>IF(J1902="Yes","",H1902-I1902)</f>
        <v/>
      </c>
      <c r="M1902" s="27">
        <f>IF(OR(J1902="Yes",I1902=0),"",H1902/I1902)</f>
        <v/>
      </c>
      <c r="N1902" s="21">
        <f>IF(J1902="Yes","",IF(H1902&gt;=I1902,1,0))</f>
        <v/>
      </c>
      <c r="O1902" s="21">
        <f>IF(I1902&lt;=5000000,"Under $5M",IF(I1902&lt;=20000000,"$5M-20M",IF(I1902&lt;=50000000,"$20M-50M",IF(I1902&lt;=100000000,"$50M-100M","$100M+"))))</f>
        <v/>
      </c>
      <c r="P1902" s="21">
        <f>IF(E1902&lt;=90,"90 or less",IF(E1902&lt;=105,"91-105",IF(E1902&lt;=120,"106-120",IF(E1902&lt;=140,"121-140","Over 140"))))</f>
        <v/>
      </c>
      <c r="Q1902" s="28">
        <f>INT(C1902/10)*10</f>
        <v/>
      </c>
    </row>
    <row r="1903">
      <c r="A1903" s="21" t="n">
        <v>1942</v>
      </c>
      <c r="B1903" s="21" t="inlineStr">
        <is>
          <t>Final Destination 2</t>
        </is>
      </c>
      <c r="C1903" s="21" t="n">
        <v>2003</v>
      </c>
      <c r="D1903" s="21" t="inlineStr">
        <is>
          <t>USA</t>
        </is>
      </c>
      <c r="E1903" s="21" t="n">
        <v>90</v>
      </c>
      <c r="F1903" s="21" t="inlineStr">
        <is>
          <t>English</t>
        </is>
      </c>
      <c r="G1903" s="21" t="inlineStr">
        <is>
          <t>R</t>
        </is>
      </c>
      <c r="H1903" s="22" t="n">
        <v>46455802</v>
      </c>
      <c r="I1903" s="22" t="n">
        <v>26000000</v>
      </c>
      <c r="J1903" s="21">
        <f>IF(OR(H1903="",H1903=25529689.5),"Yes","No")</f>
        <v/>
      </c>
      <c r="K1903" s="21">
        <f>IF(AND(D1903="USA",C1903&gt;=1980,J1903="No"),"Yes","No")</f>
        <v/>
      </c>
      <c r="L1903" s="26">
        <f>IF(J1903="Yes","",H1903-I1903)</f>
        <v/>
      </c>
      <c r="M1903" s="27">
        <f>IF(OR(J1903="Yes",I1903=0),"",H1903/I1903)</f>
        <v/>
      </c>
      <c r="N1903" s="21">
        <f>IF(J1903="Yes","",IF(H1903&gt;=I1903,1,0))</f>
        <v/>
      </c>
      <c r="O1903" s="21">
        <f>IF(I1903&lt;=5000000,"Under $5M",IF(I1903&lt;=20000000,"$5M-20M",IF(I1903&lt;=50000000,"$20M-50M",IF(I1903&lt;=100000000,"$50M-100M","$100M+"))))</f>
        <v/>
      </c>
      <c r="P1903" s="21">
        <f>IF(E1903&lt;=90,"90 or less",IF(E1903&lt;=105,"91-105",IF(E1903&lt;=120,"106-120",IF(E1903&lt;=140,"121-140","Over 140"))))</f>
        <v/>
      </c>
      <c r="Q1903" s="28">
        <f>INT(C1903/10)*10</f>
        <v/>
      </c>
    </row>
    <row r="1904">
      <c r="A1904" s="21" t="n">
        <v>1943</v>
      </c>
      <c r="B1904" s="21" t="inlineStr">
        <is>
          <t>Finding Nemo</t>
        </is>
      </c>
      <c r="C1904" s="21" t="n">
        <v>2003</v>
      </c>
      <c r="D1904" s="21" t="inlineStr">
        <is>
          <t>USA</t>
        </is>
      </c>
      <c r="E1904" s="21" t="n">
        <v>100</v>
      </c>
      <c r="F1904" s="21" t="inlineStr">
        <is>
          <t>English</t>
        </is>
      </c>
      <c r="G1904" s="21" t="inlineStr">
        <is>
          <t>G</t>
        </is>
      </c>
      <c r="H1904" s="22" t="n">
        <v>380838870</v>
      </c>
      <c r="I1904" s="22" t="n">
        <v>94000000</v>
      </c>
      <c r="J1904" s="21">
        <f>IF(OR(H1904="",H1904=25529689.5),"Yes","No")</f>
        <v/>
      </c>
      <c r="K1904" s="21">
        <f>IF(AND(D1904="USA",C1904&gt;=1980,J1904="No"),"Yes","No")</f>
        <v/>
      </c>
      <c r="L1904" s="26">
        <f>IF(J1904="Yes","",H1904-I1904)</f>
        <v/>
      </c>
      <c r="M1904" s="27">
        <f>IF(OR(J1904="Yes",I1904=0),"",H1904/I1904)</f>
        <v/>
      </c>
      <c r="N1904" s="21">
        <f>IF(J1904="Yes","",IF(H1904&gt;=I1904,1,0))</f>
        <v/>
      </c>
      <c r="O1904" s="21">
        <f>IF(I1904&lt;=5000000,"Under $5M",IF(I1904&lt;=20000000,"$5M-20M",IF(I1904&lt;=50000000,"$20M-50M",IF(I1904&lt;=100000000,"$50M-100M","$100M+"))))</f>
        <v/>
      </c>
      <c r="P1904" s="21">
        <f>IF(E1904&lt;=90,"90 or less",IF(E1904&lt;=105,"91-105",IF(E1904&lt;=120,"106-120",IF(E1904&lt;=140,"121-140","Over 140"))))</f>
        <v/>
      </c>
      <c r="Q1904" s="28">
        <f>INT(C1904/10)*10</f>
        <v/>
      </c>
    </row>
    <row r="1905">
      <c r="A1905" s="21" t="n">
        <v>1944</v>
      </c>
      <c r="B1905" s="21" t="inlineStr">
        <is>
          <t>Flywheel</t>
        </is>
      </c>
      <c r="C1905" s="21" t="n">
        <v>2003</v>
      </c>
      <c r="D1905" s="21" t="inlineStr">
        <is>
          <t>USA</t>
        </is>
      </c>
      <c r="E1905" s="21" t="n">
        <v>120</v>
      </c>
      <c r="F1905" s="21" t="inlineStr">
        <is>
          <t>English</t>
        </is>
      </c>
      <c r="G1905" s="21" t="n"/>
      <c r="H1905" s="22" t="n">
        <v>25529689.5</v>
      </c>
      <c r="I1905" s="22" t="n">
        <v>20000</v>
      </c>
      <c r="J1905" s="21">
        <f>IF(OR(H1905="",H1905=25529689.5),"Yes","No")</f>
        <v/>
      </c>
      <c r="K1905" s="21">
        <f>IF(AND(D1905="USA",C1905&gt;=1980,J1905="No"),"Yes","No")</f>
        <v/>
      </c>
      <c r="L1905" s="26">
        <f>IF(J1905="Yes","",H1905-I1905)</f>
        <v/>
      </c>
      <c r="M1905" s="27">
        <f>IF(OR(J1905="Yes",I1905=0),"",H1905/I1905)</f>
        <v/>
      </c>
      <c r="N1905" s="21">
        <f>IF(J1905="Yes","",IF(H1905&gt;=I1905,1,0))</f>
        <v/>
      </c>
      <c r="O1905" s="21">
        <f>IF(I1905&lt;=5000000,"Under $5M",IF(I1905&lt;=20000000,"$5M-20M",IF(I1905&lt;=50000000,"$20M-50M",IF(I1905&lt;=100000000,"$50M-100M","$100M+"))))</f>
        <v/>
      </c>
      <c r="P1905" s="21">
        <f>IF(E1905&lt;=90,"90 or less",IF(E1905&lt;=105,"91-105",IF(E1905&lt;=120,"106-120",IF(E1905&lt;=140,"121-140","Over 140"))))</f>
        <v/>
      </c>
      <c r="Q1905" s="28">
        <f>INT(C1905/10)*10</f>
        <v/>
      </c>
    </row>
    <row r="1906">
      <c r="A1906" s="21" t="n">
        <v>1945</v>
      </c>
      <c r="B1906" s="21" t="inlineStr">
        <is>
          <t>Freaky Friday</t>
        </is>
      </c>
      <c r="C1906" s="21" t="n">
        <v>2003</v>
      </c>
      <c r="D1906" s="21" t="inlineStr">
        <is>
          <t>USA</t>
        </is>
      </c>
      <c r="E1906" s="21" t="n">
        <v>97</v>
      </c>
      <c r="F1906" s="21" t="inlineStr">
        <is>
          <t>English</t>
        </is>
      </c>
      <c r="G1906" s="21" t="inlineStr">
        <is>
          <t>PG</t>
        </is>
      </c>
      <c r="H1906" s="22" t="n">
        <v>110222438</v>
      </c>
      <c r="I1906" s="22" t="n">
        <v>26000000</v>
      </c>
      <c r="J1906" s="21">
        <f>IF(OR(H1906="",H1906=25529689.5),"Yes","No")</f>
        <v/>
      </c>
      <c r="K1906" s="21">
        <f>IF(AND(D1906="USA",C1906&gt;=1980,J1906="No"),"Yes","No")</f>
        <v/>
      </c>
      <c r="L1906" s="26">
        <f>IF(J1906="Yes","",H1906-I1906)</f>
        <v/>
      </c>
      <c r="M1906" s="27">
        <f>IF(OR(J1906="Yes",I1906=0),"",H1906/I1906)</f>
        <v/>
      </c>
      <c r="N1906" s="21">
        <f>IF(J1906="Yes","",IF(H1906&gt;=I1906,1,0))</f>
        <v/>
      </c>
      <c r="O1906" s="21">
        <f>IF(I1906&lt;=5000000,"Under $5M",IF(I1906&lt;=20000000,"$5M-20M",IF(I1906&lt;=50000000,"$20M-50M",IF(I1906&lt;=100000000,"$50M-100M","$100M+"))))</f>
        <v/>
      </c>
      <c r="P1906" s="21">
        <f>IF(E1906&lt;=90,"90 or less",IF(E1906&lt;=105,"91-105",IF(E1906&lt;=120,"106-120",IF(E1906&lt;=140,"121-140","Over 140"))))</f>
        <v/>
      </c>
      <c r="Q1906" s="28">
        <f>INT(C1906/10)*10</f>
        <v/>
      </c>
    </row>
    <row r="1907">
      <c r="A1907" s="21" t="n">
        <v>1946</v>
      </c>
      <c r="B1907" s="21" t="inlineStr">
        <is>
          <t>Freddy vs. Jason</t>
        </is>
      </c>
      <c r="C1907" s="21" t="n">
        <v>2003</v>
      </c>
      <c r="D1907" s="21" t="inlineStr">
        <is>
          <t>USA</t>
        </is>
      </c>
      <c r="E1907" s="21" t="n">
        <v>97</v>
      </c>
      <c r="F1907" s="21" t="inlineStr">
        <is>
          <t>English</t>
        </is>
      </c>
      <c r="G1907" s="21" t="inlineStr">
        <is>
          <t>R</t>
        </is>
      </c>
      <c r="H1907" s="22" t="n">
        <v>82163317</v>
      </c>
      <c r="I1907" s="22" t="n">
        <v>30000000</v>
      </c>
      <c r="J1907" s="21">
        <f>IF(OR(H1907="",H1907=25529689.5),"Yes","No")</f>
        <v/>
      </c>
      <c r="K1907" s="21">
        <f>IF(AND(D1907="USA",C1907&gt;=1980,J1907="No"),"Yes","No")</f>
        <v/>
      </c>
      <c r="L1907" s="26">
        <f>IF(J1907="Yes","",H1907-I1907)</f>
        <v/>
      </c>
      <c r="M1907" s="27">
        <f>IF(OR(J1907="Yes",I1907=0),"",H1907/I1907)</f>
        <v/>
      </c>
      <c r="N1907" s="21">
        <f>IF(J1907="Yes","",IF(H1907&gt;=I1907,1,0))</f>
        <v/>
      </c>
      <c r="O1907" s="21">
        <f>IF(I1907&lt;=5000000,"Under $5M",IF(I1907&lt;=20000000,"$5M-20M",IF(I1907&lt;=50000000,"$20M-50M",IF(I1907&lt;=100000000,"$50M-100M","$100M+"))))</f>
        <v/>
      </c>
      <c r="P1907" s="21">
        <f>IF(E1907&lt;=90,"90 or less",IF(E1907&lt;=105,"91-105",IF(E1907&lt;=120,"106-120",IF(E1907&lt;=140,"121-140","Over 140"))))</f>
        <v/>
      </c>
      <c r="Q1907" s="28">
        <f>INT(C1907/10)*10</f>
        <v/>
      </c>
    </row>
    <row r="1908">
      <c r="A1908" s="21" t="n">
        <v>1947</v>
      </c>
      <c r="B1908" s="21" t="inlineStr">
        <is>
          <t>From Justin to Kelly</t>
        </is>
      </c>
      <c r="C1908" s="21" t="n">
        <v>2003</v>
      </c>
      <c r="D1908" s="21" t="inlineStr">
        <is>
          <t>USA</t>
        </is>
      </c>
      <c r="E1908" s="21" t="n">
        <v>90</v>
      </c>
      <c r="F1908" s="21" t="inlineStr">
        <is>
          <t>English</t>
        </is>
      </c>
      <c r="G1908" s="21" t="inlineStr">
        <is>
          <t>PG</t>
        </is>
      </c>
      <c r="H1908" s="22" t="n">
        <v>4922166</v>
      </c>
      <c r="I1908" s="22" t="n">
        <v>12000000</v>
      </c>
      <c r="J1908" s="21">
        <f>IF(OR(H1908="",H1908=25529689.5),"Yes","No")</f>
        <v/>
      </c>
      <c r="K1908" s="21">
        <f>IF(AND(D1908="USA",C1908&gt;=1980,J1908="No"),"Yes","No")</f>
        <v/>
      </c>
      <c r="L1908" s="26">
        <f>IF(J1908="Yes","",H1908-I1908)</f>
        <v/>
      </c>
      <c r="M1908" s="27">
        <f>IF(OR(J1908="Yes",I1908=0),"",H1908/I1908)</f>
        <v/>
      </c>
      <c r="N1908" s="21">
        <f>IF(J1908="Yes","",IF(H1908&gt;=I1908,1,0))</f>
        <v/>
      </c>
      <c r="O1908" s="21">
        <f>IF(I1908&lt;=5000000,"Under $5M",IF(I1908&lt;=20000000,"$5M-20M",IF(I1908&lt;=50000000,"$20M-50M",IF(I1908&lt;=100000000,"$50M-100M","$100M+"))))</f>
        <v/>
      </c>
      <c r="P1908" s="21">
        <f>IF(E1908&lt;=90,"90 or less",IF(E1908&lt;=105,"91-105",IF(E1908&lt;=120,"106-120",IF(E1908&lt;=140,"121-140","Over 140"))))</f>
        <v/>
      </c>
      <c r="Q1908" s="28">
        <f>INT(C1908/10)*10</f>
        <v/>
      </c>
    </row>
    <row r="1909">
      <c r="A1909" s="21" t="n">
        <v>1948</v>
      </c>
      <c r="B1909" s="21" t="inlineStr">
        <is>
          <t>Gigli</t>
        </is>
      </c>
      <c r="C1909" s="21" t="n">
        <v>2003</v>
      </c>
      <c r="D1909" s="21" t="inlineStr">
        <is>
          <t>USA</t>
        </is>
      </c>
      <c r="E1909" s="21" t="n">
        <v>121</v>
      </c>
      <c r="F1909" s="21" t="inlineStr">
        <is>
          <t>English</t>
        </is>
      </c>
      <c r="G1909" s="21" t="inlineStr">
        <is>
          <t>R</t>
        </is>
      </c>
      <c r="H1909" s="22" t="n">
        <v>5660084</v>
      </c>
      <c r="I1909" s="22" t="n">
        <v>54000000</v>
      </c>
      <c r="J1909" s="21">
        <f>IF(OR(H1909="",H1909=25529689.5),"Yes","No")</f>
        <v/>
      </c>
      <c r="K1909" s="21">
        <f>IF(AND(D1909="USA",C1909&gt;=1980,J1909="No"),"Yes","No")</f>
        <v/>
      </c>
      <c r="L1909" s="26">
        <f>IF(J1909="Yes","",H1909-I1909)</f>
        <v/>
      </c>
      <c r="M1909" s="27">
        <f>IF(OR(J1909="Yes",I1909=0),"",H1909/I1909)</f>
        <v/>
      </c>
      <c r="N1909" s="21">
        <f>IF(J1909="Yes","",IF(H1909&gt;=I1909,1,0))</f>
        <v/>
      </c>
      <c r="O1909" s="21">
        <f>IF(I1909&lt;=5000000,"Under $5M",IF(I1909&lt;=20000000,"$5M-20M",IF(I1909&lt;=50000000,"$20M-50M",IF(I1909&lt;=100000000,"$50M-100M","$100M+"))))</f>
        <v/>
      </c>
      <c r="P1909" s="21">
        <f>IF(E1909&lt;=90,"90 or less",IF(E1909&lt;=105,"91-105",IF(E1909&lt;=120,"106-120",IF(E1909&lt;=140,"121-140","Over 140"))))</f>
        <v/>
      </c>
      <c r="Q1909" s="28">
        <f>INT(C1909/10)*10</f>
        <v/>
      </c>
    </row>
    <row r="1910">
      <c r="A1910" s="21" t="n">
        <v>1949</v>
      </c>
      <c r="B1910" s="21" t="inlineStr">
        <is>
          <t>Girl with a Pearl Earring</t>
        </is>
      </c>
      <c r="C1910" s="21" t="n">
        <v>2003</v>
      </c>
      <c r="D1910" s="21" t="inlineStr">
        <is>
          <t>UK</t>
        </is>
      </c>
      <c r="E1910" s="21" t="n">
        <v>100</v>
      </c>
      <c r="F1910" s="21" t="inlineStr">
        <is>
          <t>English</t>
        </is>
      </c>
      <c r="G1910" s="21" t="inlineStr">
        <is>
          <t>PG-13</t>
        </is>
      </c>
      <c r="H1910" s="22" t="n">
        <v>11634362</v>
      </c>
      <c r="I1910" s="22" t="n">
        <v>20000000</v>
      </c>
      <c r="J1910" s="21">
        <f>IF(OR(H1910="",H1910=25529689.5),"Yes","No")</f>
        <v/>
      </c>
      <c r="K1910" s="21">
        <f>IF(AND(D1910="USA",C1910&gt;=1980,J1910="No"),"Yes","No")</f>
        <v/>
      </c>
      <c r="L1910" s="26">
        <f>IF(J1910="Yes","",H1910-I1910)</f>
        <v/>
      </c>
      <c r="M1910" s="27">
        <f>IF(OR(J1910="Yes",I1910=0),"",H1910/I1910)</f>
        <v/>
      </c>
      <c r="N1910" s="21">
        <f>IF(J1910="Yes","",IF(H1910&gt;=I1910,1,0))</f>
        <v/>
      </c>
      <c r="O1910" s="21">
        <f>IF(I1910&lt;=5000000,"Under $5M",IF(I1910&lt;=20000000,"$5M-20M",IF(I1910&lt;=50000000,"$20M-50M",IF(I1910&lt;=100000000,"$50M-100M","$100M+"))))</f>
        <v/>
      </c>
      <c r="P1910" s="21">
        <f>IF(E1910&lt;=90,"90 or less",IF(E1910&lt;=105,"91-105",IF(E1910&lt;=120,"106-120",IF(E1910&lt;=140,"121-140","Over 140"))))</f>
        <v/>
      </c>
      <c r="Q1910" s="28">
        <f>INT(C1910/10)*10</f>
        <v/>
      </c>
    </row>
    <row r="1911">
      <c r="A1911" s="21" t="n">
        <v>1950</v>
      </c>
      <c r="B1911" s="21" t="inlineStr">
        <is>
          <t>Gods and Generals</t>
        </is>
      </c>
      <c r="C1911" s="21" t="n">
        <v>2003</v>
      </c>
      <c r="D1911" s="21" t="inlineStr">
        <is>
          <t>USA</t>
        </is>
      </c>
      <c r="E1911" s="21" t="n">
        <v>280</v>
      </c>
      <c r="F1911" s="21" t="inlineStr">
        <is>
          <t>English</t>
        </is>
      </c>
      <c r="G1911" s="21" t="inlineStr">
        <is>
          <t>PG-13</t>
        </is>
      </c>
      <c r="H1911" s="22" t="n">
        <v>12870569</v>
      </c>
      <c r="I1911" s="22" t="n">
        <v>56000000</v>
      </c>
      <c r="J1911" s="21">
        <f>IF(OR(H1911="",H1911=25529689.5),"Yes","No")</f>
        <v/>
      </c>
      <c r="K1911" s="21">
        <f>IF(AND(D1911="USA",C1911&gt;=1980,J1911="No"),"Yes","No")</f>
        <v/>
      </c>
      <c r="L1911" s="26">
        <f>IF(J1911="Yes","",H1911-I1911)</f>
        <v/>
      </c>
      <c r="M1911" s="27">
        <f>IF(OR(J1911="Yes",I1911=0),"",H1911/I1911)</f>
        <v/>
      </c>
      <c r="N1911" s="21">
        <f>IF(J1911="Yes","",IF(H1911&gt;=I1911,1,0))</f>
        <v/>
      </c>
      <c r="O1911" s="21">
        <f>IF(I1911&lt;=5000000,"Under $5M",IF(I1911&lt;=20000000,"$5M-20M",IF(I1911&lt;=50000000,"$20M-50M",IF(I1911&lt;=100000000,"$50M-100M","$100M+"))))</f>
        <v/>
      </c>
      <c r="P1911" s="21">
        <f>IF(E1911&lt;=90,"90 or less",IF(E1911&lt;=105,"91-105",IF(E1911&lt;=120,"106-120",IF(E1911&lt;=140,"121-140","Over 140"))))</f>
        <v/>
      </c>
      <c r="Q1911" s="28">
        <f>INT(C1911/10)*10</f>
        <v/>
      </c>
    </row>
    <row r="1912">
      <c r="A1912" s="21" t="n">
        <v>1951</v>
      </c>
      <c r="B1912" s="21" t="inlineStr">
        <is>
          <t>Good Boy!</t>
        </is>
      </c>
      <c r="C1912" s="21" t="n">
        <v>2003</v>
      </c>
      <c r="D1912" s="21" t="inlineStr">
        <is>
          <t>USA</t>
        </is>
      </c>
      <c r="E1912" s="21" t="n">
        <v>87</v>
      </c>
      <c r="F1912" s="21" t="inlineStr">
        <is>
          <t>English</t>
        </is>
      </c>
      <c r="G1912" s="21" t="inlineStr">
        <is>
          <t>PG</t>
        </is>
      </c>
      <c r="H1912" s="22" t="n">
        <v>37566230</v>
      </c>
      <c r="I1912" s="22" t="n">
        <v>17000000</v>
      </c>
      <c r="J1912" s="21">
        <f>IF(OR(H1912="",H1912=25529689.5),"Yes","No")</f>
        <v/>
      </c>
      <c r="K1912" s="21">
        <f>IF(AND(D1912="USA",C1912&gt;=1980,J1912="No"),"Yes","No")</f>
        <v/>
      </c>
      <c r="L1912" s="26">
        <f>IF(J1912="Yes","",H1912-I1912)</f>
        <v/>
      </c>
      <c r="M1912" s="27">
        <f>IF(OR(J1912="Yes",I1912=0),"",H1912/I1912)</f>
        <v/>
      </c>
      <c r="N1912" s="21">
        <f>IF(J1912="Yes","",IF(H1912&gt;=I1912,1,0))</f>
        <v/>
      </c>
      <c r="O1912" s="21">
        <f>IF(I1912&lt;=5000000,"Under $5M",IF(I1912&lt;=20000000,"$5M-20M",IF(I1912&lt;=50000000,"$20M-50M",IF(I1912&lt;=100000000,"$50M-100M","$100M+"))))</f>
        <v/>
      </c>
      <c r="P1912" s="21">
        <f>IF(E1912&lt;=90,"90 or less",IF(E1912&lt;=105,"91-105",IF(E1912&lt;=120,"106-120",IF(E1912&lt;=140,"121-140","Over 140"))))</f>
        <v/>
      </c>
      <c r="Q1912" s="28">
        <f>INT(C1912/10)*10</f>
        <v/>
      </c>
    </row>
    <row r="1913">
      <c r="A1913" s="21" t="n">
        <v>1952</v>
      </c>
      <c r="B1913" s="21" t="inlineStr">
        <is>
          <t>Good Bye Lenin!</t>
        </is>
      </c>
      <c r="C1913" s="21" t="n">
        <v>2003</v>
      </c>
      <c r="D1913" s="21" t="inlineStr">
        <is>
          <t>Germany</t>
        </is>
      </c>
      <c r="E1913" s="21" t="n">
        <v>121</v>
      </c>
      <c r="F1913" s="21" t="inlineStr">
        <is>
          <t>German</t>
        </is>
      </c>
      <c r="G1913" s="21" t="inlineStr">
        <is>
          <t>R</t>
        </is>
      </c>
      <c r="H1913" s="22" t="n">
        <v>4063859</v>
      </c>
      <c r="I1913" s="22" t="n">
        <v>4800000</v>
      </c>
      <c r="J1913" s="21">
        <f>IF(OR(H1913="",H1913=25529689.5),"Yes","No")</f>
        <v/>
      </c>
      <c r="K1913" s="21">
        <f>IF(AND(D1913="USA",C1913&gt;=1980,J1913="No"),"Yes","No")</f>
        <v/>
      </c>
      <c r="L1913" s="26">
        <f>IF(J1913="Yes","",H1913-I1913)</f>
        <v/>
      </c>
      <c r="M1913" s="27">
        <f>IF(OR(J1913="Yes",I1913=0),"",H1913/I1913)</f>
        <v/>
      </c>
      <c r="N1913" s="21">
        <f>IF(J1913="Yes","",IF(H1913&gt;=I1913,1,0))</f>
        <v/>
      </c>
      <c r="O1913" s="21">
        <f>IF(I1913&lt;=5000000,"Under $5M",IF(I1913&lt;=20000000,"$5M-20M",IF(I1913&lt;=50000000,"$20M-50M",IF(I1913&lt;=100000000,"$50M-100M","$100M+"))))</f>
        <v/>
      </c>
      <c r="P1913" s="21">
        <f>IF(E1913&lt;=90,"90 or less",IF(E1913&lt;=105,"91-105",IF(E1913&lt;=120,"106-120",IF(E1913&lt;=140,"121-140","Over 140"))))</f>
        <v/>
      </c>
      <c r="Q1913" s="28">
        <f>INT(C1913/10)*10</f>
        <v/>
      </c>
    </row>
    <row r="1914">
      <c r="A1914" s="21" t="n">
        <v>1953</v>
      </c>
      <c r="B1914" s="21" t="inlineStr">
        <is>
          <t>Gory Gory Hallelujah</t>
        </is>
      </c>
      <c r="C1914" s="21" t="n">
        <v>2003</v>
      </c>
      <c r="D1914" s="21" t="inlineStr">
        <is>
          <t>USA</t>
        </is>
      </c>
      <c r="E1914" s="21" t="n">
        <v>96</v>
      </c>
      <c r="F1914" s="21" t="inlineStr">
        <is>
          <t>English</t>
        </is>
      </c>
      <c r="G1914" s="21" t="n"/>
      <c r="H1914" s="22" t="n">
        <v>11798</v>
      </c>
      <c r="I1914" s="22" t="n">
        <v>100000</v>
      </c>
      <c r="J1914" s="21">
        <f>IF(OR(H1914="",H1914=25529689.5),"Yes","No")</f>
        <v/>
      </c>
      <c r="K1914" s="21">
        <f>IF(AND(D1914="USA",C1914&gt;=1980,J1914="No"),"Yes","No")</f>
        <v/>
      </c>
      <c r="L1914" s="26">
        <f>IF(J1914="Yes","",H1914-I1914)</f>
        <v/>
      </c>
      <c r="M1914" s="27">
        <f>IF(OR(J1914="Yes",I1914=0),"",H1914/I1914)</f>
        <v/>
      </c>
      <c r="N1914" s="21">
        <f>IF(J1914="Yes","",IF(H1914&gt;=I1914,1,0))</f>
        <v/>
      </c>
      <c r="O1914" s="21">
        <f>IF(I1914&lt;=5000000,"Under $5M",IF(I1914&lt;=20000000,"$5M-20M",IF(I1914&lt;=50000000,"$20M-50M",IF(I1914&lt;=100000000,"$50M-100M","$100M+"))))</f>
        <v/>
      </c>
      <c r="P1914" s="21">
        <f>IF(E1914&lt;=90,"90 or less",IF(E1914&lt;=105,"91-105",IF(E1914&lt;=120,"106-120",IF(E1914&lt;=140,"121-140","Over 140"))))</f>
        <v/>
      </c>
      <c r="Q1914" s="28">
        <f>INT(C1914/10)*10</f>
        <v/>
      </c>
    </row>
    <row r="1915">
      <c r="A1915" s="21" t="n">
        <v>1954</v>
      </c>
      <c r="B1915" s="21" t="inlineStr">
        <is>
          <t>Gothika</t>
        </is>
      </c>
      <c r="C1915" s="21" t="n">
        <v>2003</v>
      </c>
      <c r="D1915" s="21" t="inlineStr">
        <is>
          <t>USA</t>
        </is>
      </c>
      <c r="E1915" s="21" t="n">
        <v>98</v>
      </c>
      <c r="F1915" s="21" t="inlineStr">
        <is>
          <t>English</t>
        </is>
      </c>
      <c r="G1915" s="21" t="inlineStr">
        <is>
          <t>R</t>
        </is>
      </c>
      <c r="H1915" s="22" t="n">
        <v>59588068</v>
      </c>
      <c r="I1915" s="22" t="n">
        <v>40000000</v>
      </c>
      <c r="J1915" s="21">
        <f>IF(OR(H1915="",H1915=25529689.5),"Yes","No")</f>
        <v/>
      </c>
      <c r="K1915" s="21">
        <f>IF(AND(D1915="USA",C1915&gt;=1980,J1915="No"),"Yes","No")</f>
        <v/>
      </c>
      <c r="L1915" s="26">
        <f>IF(J1915="Yes","",H1915-I1915)</f>
        <v/>
      </c>
      <c r="M1915" s="27">
        <f>IF(OR(J1915="Yes",I1915=0),"",H1915/I1915)</f>
        <v/>
      </c>
      <c r="N1915" s="21">
        <f>IF(J1915="Yes","",IF(H1915&gt;=I1915,1,0))</f>
        <v/>
      </c>
      <c r="O1915" s="21">
        <f>IF(I1915&lt;=5000000,"Under $5M",IF(I1915&lt;=20000000,"$5M-20M",IF(I1915&lt;=50000000,"$20M-50M",IF(I1915&lt;=100000000,"$50M-100M","$100M+"))))</f>
        <v/>
      </c>
      <c r="P1915" s="21">
        <f>IF(E1915&lt;=90,"90 or less",IF(E1915&lt;=105,"91-105",IF(E1915&lt;=120,"106-120",IF(E1915&lt;=140,"121-140","Over 140"))))</f>
        <v/>
      </c>
      <c r="Q1915" s="28">
        <f>INT(C1915/10)*10</f>
        <v/>
      </c>
    </row>
    <row r="1916">
      <c r="A1916" s="21" t="n">
        <v>1955</v>
      </c>
      <c r="B1916" s="21" t="inlineStr">
        <is>
          <t>Grand Theft Parsons</t>
        </is>
      </c>
      <c r="C1916" s="21" t="n">
        <v>2003</v>
      </c>
      <c r="D1916" s="21" t="inlineStr">
        <is>
          <t>USA</t>
        </is>
      </c>
      <c r="E1916" s="21" t="n">
        <v>88</v>
      </c>
      <c r="F1916" s="21" t="inlineStr">
        <is>
          <t>English</t>
        </is>
      </c>
      <c r="G1916" s="21" t="inlineStr">
        <is>
          <t>PG-13</t>
        </is>
      </c>
      <c r="H1916" s="22" t="n">
        <v>25529689.5</v>
      </c>
      <c r="I1916" s="22" t="n">
        <v>20000000</v>
      </c>
      <c r="J1916" s="21">
        <f>IF(OR(H1916="",H1916=25529689.5),"Yes","No")</f>
        <v/>
      </c>
      <c r="K1916" s="21">
        <f>IF(AND(D1916="USA",C1916&gt;=1980,J1916="No"),"Yes","No")</f>
        <v/>
      </c>
      <c r="L1916" s="26">
        <f>IF(J1916="Yes","",H1916-I1916)</f>
        <v/>
      </c>
      <c r="M1916" s="27">
        <f>IF(OR(J1916="Yes",I1916=0),"",H1916/I1916)</f>
        <v/>
      </c>
      <c r="N1916" s="21">
        <f>IF(J1916="Yes","",IF(H1916&gt;=I1916,1,0))</f>
        <v/>
      </c>
      <c r="O1916" s="21">
        <f>IF(I1916&lt;=5000000,"Under $5M",IF(I1916&lt;=20000000,"$5M-20M",IF(I1916&lt;=50000000,"$20M-50M",IF(I1916&lt;=100000000,"$50M-100M","$100M+"))))</f>
        <v/>
      </c>
      <c r="P1916" s="21">
        <f>IF(E1916&lt;=90,"90 or less",IF(E1916&lt;=105,"91-105",IF(E1916&lt;=120,"106-120",IF(E1916&lt;=140,"121-140","Over 140"))))</f>
        <v/>
      </c>
      <c r="Q1916" s="28">
        <f>INT(C1916/10)*10</f>
        <v/>
      </c>
    </row>
    <row r="1917">
      <c r="A1917" s="21" t="n">
        <v>1956</v>
      </c>
      <c r="B1917" s="21" t="inlineStr">
        <is>
          <t>Head of State</t>
        </is>
      </c>
      <c r="C1917" s="21" t="n">
        <v>2003</v>
      </c>
      <c r="D1917" s="21" t="inlineStr">
        <is>
          <t>USA</t>
        </is>
      </c>
      <c r="E1917" s="21" t="n">
        <v>95</v>
      </c>
      <c r="F1917" s="21" t="inlineStr">
        <is>
          <t>English</t>
        </is>
      </c>
      <c r="G1917" s="21" t="inlineStr">
        <is>
          <t>PG-13</t>
        </is>
      </c>
      <c r="H1917" s="22" t="n">
        <v>37788228</v>
      </c>
      <c r="I1917" s="22" t="n">
        <v>35200000</v>
      </c>
      <c r="J1917" s="21">
        <f>IF(OR(H1917="",H1917=25529689.5),"Yes","No")</f>
        <v/>
      </c>
      <c r="K1917" s="21">
        <f>IF(AND(D1917="USA",C1917&gt;=1980,J1917="No"),"Yes","No")</f>
        <v/>
      </c>
      <c r="L1917" s="26">
        <f>IF(J1917="Yes","",H1917-I1917)</f>
        <v/>
      </c>
      <c r="M1917" s="27">
        <f>IF(OR(J1917="Yes",I1917=0),"",H1917/I1917)</f>
        <v/>
      </c>
      <c r="N1917" s="21">
        <f>IF(J1917="Yes","",IF(H1917&gt;=I1917,1,0))</f>
        <v/>
      </c>
      <c r="O1917" s="21">
        <f>IF(I1917&lt;=5000000,"Under $5M",IF(I1917&lt;=20000000,"$5M-20M",IF(I1917&lt;=50000000,"$20M-50M",IF(I1917&lt;=100000000,"$50M-100M","$100M+"))))</f>
        <v/>
      </c>
      <c r="P1917" s="21">
        <f>IF(E1917&lt;=90,"90 or less",IF(E1917&lt;=105,"91-105",IF(E1917&lt;=120,"106-120",IF(E1917&lt;=140,"121-140","Over 140"))))</f>
        <v/>
      </c>
      <c r="Q1917" s="28">
        <f>INT(C1917/10)*10</f>
        <v/>
      </c>
    </row>
    <row r="1918">
      <c r="A1918" s="21" t="n">
        <v>1957</v>
      </c>
      <c r="B1918" s="21" t="inlineStr">
        <is>
          <t>High Tension</t>
        </is>
      </c>
      <c r="C1918" s="21" t="n">
        <v>2003</v>
      </c>
      <c r="D1918" s="21" t="inlineStr">
        <is>
          <t>France</t>
        </is>
      </c>
      <c r="E1918" s="21" t="n">
        <v>89</v>
      </c>
      <c r="F1918" s="21" t="inlineStr">
        <is>
          <t>French</t>
        </is>
      </c>
      <c r="G1918" s="21" t="inlineStr">
        <is>
          <t>Unrated</t>
        </is>
      </c>
      <c r="H1918" s="22" t="n">
        <v>3645438</v>
      </c>
      <c r="I1918" s="22" t="n">
        <v>2200000</v>
      </c>
      <c r="J1918" s="21">
        <f>IF(OR(H1918="",H1918=25529689.5),"Yes","No")</f>
        <v/>
      </c>
      <c r="K1918" s="21">
        <f>IF(AND(D1918="USA",C1918&gt;=1980,J1918="No"),"Yes","No")</f>
        <v/>
      </c>
      <c r="L1918" s="26">
        <f>IF(J1918="Yes","",H1918-I1918)</f>
        <v/>
      </c>
      <c r="M1918" s="27">
        <f>IF(OR(J1918="Yes",I1918=0),"",H1918/I1918)</f>
        <v/>
      </c>
      <c r="N1918" s="21">
        <f>IF(J1918="Yes","",IF(H1918&gt;=I1918,1,0))</f>
        <v/>
      </c>
      <c r="O1918" s="21">
        <f>IF(I1918&lt;=5000000,"Under $5M",IF(I1918&lt;=20000000,"$5M-20M",IF(I1918&lt;=50000000,"$20M-50M",IF(I1918&lt;=100000000,"$50M-100M","$100M+"))))</f>
        <v/>
      </c>
      <c r="P1918" s="21">
        <f>IF(E1918&lt;=90,"90 or less",IF(E1918&lt;=105,"91-105",IF(E1918&lt;=120,"106-120",IF(E1918&lt;=140,"121-140","Over 140"))))</f>
        <v/>
      </c>
      <c r="Q1918" s="28">
        <f>INT(C1918/10)*10</f>
        <v/>
      </c>
    </row>
    <row r="1919">
      <c r="A1919" s="21" t="n">
        <v>1958</v>
      </c>
      <c r="B1919" s="21" t="inlineStr">
        <is>
          <t>Holes</t>
        </is>
      </c>
      <c r="C1919" s="21" t="n">
        <v>2003</v>
      </c>
      <c r="D1919" s="21" t="inlineStr">
        <is>
          <t>USA</t>
        </is>
      </c>
      <c r="E1919" s="21" t="n">
        <v>117</v>
      </c>
      <c r="F1919" s="21" t="inlineStr">
        <is>
          <t>English</t>
        </is>
      </c>
      <c r="G1919" s="21" t="inlineStr">
        <is>
          <t>PG</t>
        </is>
      </c>
      <c r="H1919" s="22" t="n">
        <v>67325559</v>
      </c>
      <c r="I1919" s="22" t="n">
        <v>20000000</v>
      </c>
      <c r="J1919" s="21">
        <f>IF(OR(H1919="",H1919=25529689.5),"Yes","No")</f>
        <v/>
      </c>
      <c r="K1919" s="21">
        <f>IF(AND(D1919="USA",C1919&gt;=1980,J1919="No"),"Yes","No")</f>
        <v/>
      </c>
      <c r="L1919" s="26">
        <f>IF(J1919="Yes","",H1919-I1919)</f>
        <v/>
      </c>
      <c r="M1919" s="27">
        <f>IF(OR(J1919="Yes",I1919=0),"",H1919/I1919)</f>
        <v/>
      </c>
      <c r="N1919" s="21">
        <f>IF(J1919="Yes","",IF(H1919&gt;=I1919,1,0))</f>
        <v/>
      </c>
      <c r="O1919" s="21">
        <f>IF(I1919&lt;=5000000,"Under $5M",IF(I1919&lt;=20000000,"$5M-20M",IF(I1919&lt;=50000000,"$20M-50M",IF(I1919&lt;=100000000,"$50M-100M","$100M+"))))</f>
        <v/>
      </c>
      <c r="P1919" s="21">
        <f>IF(E1919&lt;=90,"90 or less",IF(E1919&lt;=105,"91-105",IF(E1919&lt;=120,"106-120",IF(E1919&lt;=140,"121-140","Over 140"))))</f>
        <v/>
      </c>
      <c r="Q1919" s="28">
        <f>INT(C1919/10)*10</f>
        <v/>
      </c>
    </row>
    <row r="1920">
      <c r="A1920" s="21" t="n">
        <v>1959</v>
      </c>
      <c r="B1920" s="21" t="inlineStr">
        <is>
          <t>Hollywood Homicide</t>
        </is>
      </c>
      <c r="C1920" s="21" t="n">
        <v>2003</v>
      </c>
      <c r="D1920" s="21" t="inlineStr">
        <is>
          <t>USA</t>
        </is>
      </c>
      <c r="E1920" s="21" t="n">
        <v>116</v>
      </c>
      <c r="F1920" s="21" t="inlineStr">
        <is>
          <t>English</t>
        </is>
      </c>
      <c r="G1920" s="21" t="inlineStr">
        <is>
          <t>PG-13</t>
        </is>
      </c>
      <c r="H1920" s="22" t="n">
        <v>30013346</v>
      </c>
      <c r="I1920" s="22" t="n">
        <v>75000000</v>
      </c>
      <c r="J1920" s="21">
        <f>IF(OR(H1920="",H1920=25529689.5),"Yes","No")</f>
        <v/>
      </c>
      <c r="K1920" s="21">
        <f>IF(AND(D1920="USA",C1920&gt;=1980,J1920="No"),"Yes","No")</f>
        <v/>
      </c>
      <c r="L1920" s="26">
        <f>IF(J1920="Yes","",H1920-I1920)</f>
        <v/>
      </c>
      <c r="M1920" s="27">
        <f>IF(OR(J1920="Yes",I1920=0),"",H1920/I1920)</f>
        <v/>
      </c>
      <c r="N1920" s="21">
        <f>IF(J1920="Yes","",IF(H1920&gt;=I1920,1,0))</f>
        <v/>
      </c>
      <c r="O1920" s="21">
        <f>IF(I1920&lt;=5000000,"Under $5M",IF(I1920&lt;=20000000,"$5M-20M",IF(I1920&lt;=50000000,"$20M-50M",IF(I1920&lt;=100000000,"$50M-100M","$100M+"))))</f>
        <v/>
      </c>
      <c r="P1920" s="21">
        <f>IF(E1920&lt;=90,"90 or less",IF(E1920&lt;=105,"91-105",IF(E1920&lt;=120,"106-120",IF(E1920&lt;=140,"121-140","Over 140"))))</f>
        <v/>
      </c>
      <c r="Q1920" s="28">
        <f>INT(C1920/10)*10</f>
        <v/>
      </c>
    </row>
    <row r="1921">
      <c r="A1921" s="21" t="n">
        <v>1960</v>
      </c>
      <c r="B1921" s="21" t="inlineStr">
        <is>
          <t>Honey</t>
        </is>
      </c>
      <c r="C1921" s="21" t="n">
        <v>2003</v>
      </c>
      <c r="D1921" s="21" t="inlineStr">
        <is>
          <t>USA</t>
        </is>
      </c>
      <c r="E1921" s="21" t="n">
        <v>94</v>
      </c>
      <c r="F1921" s="21" t="inlineStr">
        <is>
          <t>English</t>
        </is>
      </c>
      <c r="G1921" s="21" t="inlineStr">
        <is>
          <t>PG-13</t>
        </is>
      </c>
      <c r="H1921" s="22" t="n">
        <v>30222640</v>
      </c>
      <c r="I1921" s="22" t="n">
        <v>25000000</v>
      </c>
      <c r="J1921" s="21">
        <f>IF(OR(H1921="",H1921=25529689.5),"Yes","No")</f>
        <v/>
      </c>
      <c r="K1921" s="21">
        <f>IF(AND(D1921="USA",C1921&gt;=1980,J1921="No"),"Yes","No")</f>
        <v/>
      </c>
      <c r="L1921" s="26">
        <f>IF(J1921="Yes","",H1921-I1921)</f>
        <v/>
      </c>
      <c r="M1921" s="27">
        <f>IF(OR(J1921="Yes",I1921=0),"",H1921/I1921)</f>
        <v/>
      </c>
      <c r="N1921" s="21">
        <f>IF(J1921="Yes","",IF(H1921&gt;=I1921,1,0))</f>
        <v/>
      </c>
      <c r="O1921" s="21">
        <f>IF(I1921&lt;=5000000,"Under $5M",IF(I1921&lt;=20000000,"$5M-20M",IF(I1921&lt;=50000000,"$20M-50M",IF(I1921&lt;=100000000,"$50M-100M","$100M+"))))</f>
        <v/>
      </c>
      <c r="P1921" s="21">
        <f>IF(E1921&lt;=90,"90 or less",IF(E1921&lt;=105,"91-105",IF(E1921&lt;=120,"106-120",IF(E1921&lt;=140,"121-140","Over 140"))))</f>
        <v/>
      </c>
      <c r="Q1921" s="28">
        <f>INT(C1921/10)*10</f>
        <v/>
      </c>
    </row>
    <row r="1922">
      <c r="A1922" s="21" t="n">
        <v>1961</v>
      </c>
      <c r="B1922" s="21" t="inlineStr">
        <is>
          <t>House of 1000 Corpses</t>
        </is>
      </c>
      <c r="C1922" s="21" t="n">
        <v>2003</v>
      </c>
      <c r="D1922" s="21" t="inlineStr">
        <is>
          <t>USA</t>
        </is>
      </c>
      <c r="E1922" s="21" t="n">
        <v>105</v>
      </c>
      <c r="F1922" s="21" t="inlineStr">
        <is>
          <t>English</t>
        </is>
      </c>
      <c r="G1922" s="21" t="inlineStr">
        <is>
          <t>R</t>
        </is>
      </c>
      <c r="H1922" s="22" t="n">
        <v>12583510</v>
      </c>
      <c r="I1922" s="22" t="n">
        <v>7000000</v>
      </c>
      <c r="J1922" s="21">
        <f>IF(OR(H1922="",H1922=25529689.5),"Yes","No")</f>
        <v/>
      </c>
      <c r="K1922" s="21">
        <f>IF(AND(D1922="USA",C1922&gt;=1980,J1922="No"),"Yes","No")</f>
        <v/>
      </c>
      <c r="L1922" s="26">
        <f>IF(J1922="Yes","",H1922-I1922)</f>
        <v/>
      </c>
      <c r="M1922" s="27">
        <f>IF(OR(J1922="Yes",I1922=0),"",H1922/I1922)</f>
        <v/>
      </c>
      <c r="N1922" s="21">
        <f>IF(J1922="Yes","",IF(H1922&gt;=I1922,1,0))</f>
        <v/>
      </c>
      <c r="O1922" s="21">
        <f>IF(I1922&lt;=5000000,"Under $5M",IF(I1922&lt;=20000000,"$5M-20M",IF(I1922&lt;=50000000,"$20M-50M",IF(I1922&lt;=100000000,"$50M-100M","$100M+"))))</f>
        <v/>
      </c>
      <c r="P1922" s="21">
        <f>IF(E1922&lt;=90,"90 or less",IF(E1922&lt;=105,"91-105",IF(E1922&lt;=120,"106-120",IF(E1922&lt;=140,"121-140","Over 140"))))</f>
        <v/>
      </c>
      <c r="Q1922" s="28">
        <f>INT(C1922/10)*10</f>
        <v/>
      </c>
    </row>
    <row r="1923">
      <c r="A1923" s="21" t="n">
        <v>1962</v>
      </c>
      <c r="B1923" s="21" t="inlineStr">
        <is>
          <t>House of Sand and Fog</t>
        </is>
      </c>
      <c r="C1923" s="21" t="n">
        <v>2003</v>
      </c>
      <c r="D1923" s="21" t="inlineStr">
        <is>
          <t>USA</t>
        </is>
      </c>
      <c r="E1923" s="21" t="n">
        <v>126</v>
      </c>
      <c r="F1923" s="21" t="inlineStr">
        <is>
          <t>English</t>
        </is>
      </c>
      <c r="G1923" s="21" t="inlineStr">
        <is>
          <t>R</t>
        </is>
      </c>
      <c r="H1923" s="22" t="n">
        <v>13005485</v>
      </c>
      <c r="I1923" s="22" t="n">
        <v>15000000</v>
      </c>
      <c r="J1923" s="21">
        <f>IF(OR(H1923="",H1923=25529689.5),"Yes","No")</f>
        <v/>
      </c>
      <c r="K1923" s="21">
        <f>IF(AND(D1923="USA",C1923&gt;=1980,J1923="No"),"Yes","No")</f>
        <v/>
      </c>
      <c r="L1923" s="26">
        <f>IF(J1923="Yes","",H1923-I1923)</f>
        <v/>
      </c>
      <c r="M1923" s="27">
        <f>IF(OR(J1923="Yes",I1923=0),"",H1923/I1923)</f>
        <v/>
      </c>
      <c r="N1923" s="21">
        <f>IF(J1923="Yes","",IF(H1923&gt;=I1923,1,0))</f>
        <v/>
      </c>
      <c r="O1923" s="21">
        <f>IF(I1923&lt;=5000000,"Under $5M",IF(I1923&lt;=20000000,"$5M-20M",IF(I1923&lt;=50000000,"$20M-50M",IF(I1923&lt;=100000000,"$50M-100M","$100M+"))))</f>
        <v/>
      </c>
      <c r="P1923" s="21">
        <f>IF(E1923&lt;=90,"90 or less",IF(E1923&lt;=105,"91-105",IF(E1923&lt;=120,"106-120",IF(E1923&lt;=140,"121-140","Over 140"))))</f>
        <v/>
      </c>
      <c r="Q1923" s="28">
        <f>INT(C1923/10)*10</f>
        <v/>
      </c>
    </row>
    <row r="1924">
      <c r="A1924" s="21" t="n">
        <v>1963</v>
      </c>
      <c r="B1924" s="21" t="inlineStr">
        <is>
          <t>How to Deal</t>
        </is>
      </c>
      <c r="C1924" s="21" t="n">
        <v>2003</v>
      </c>
      <c r="D1924" s="21" t="inlineStr">
        <is>
          <t>USA</t>
        </is>
      </c>
      <c r="E1924" s="21" t="n">
        <v>101</v>
      </c>
      <c r="F1924" s="21" t="inlineStr">
        <is>
          <t>English</t>
        </is>
      </c>
      <c r="G1924" s="21" t="inlineStr">
        <is>
          <t>PG-13</t>
        </is>
      </c>
      <c r="H1924" s="22" t="n">
        <v>14108518</v>
      </c>
      <c r="I1924" s="22" t="n">
        <v>16000000</v>
      </c>
      <c r="J1924" s="21">
        <f>IF(OR(H1924="",H1924=25529689.5),"Yes","No")</f>
        <v/>
      </c>
      <c r="K1924" s="21">
        <f>IF(AND(D1924="USA",C1924&gt;=1980,J1924="No"),"Yes","No")</f>
        <v/>
      </c>
      <c r="L1924" s="26">
        <f>IF(J1924="Yes","",H1924-I1924)</f>
        <v/>
      </c>
      <c r="M1924" s="27">
        <f>IF(OR(J1924="Yes",I1924=0),"",H1924/I1924)</f>
        <v/>
      </c>
      <c r="N1924" s="21">
        <f>IF(J1924="Yes","",IF(H1924&gt;=I1924,1,0))</f>
        <v/>
      </c>
      <c r="O1924" s="21">
        <f>IF(I1924&lt;=5000000,"Under $5M",IF(I1924&lt;=20000000,"$5M-20M",IF(I1924&lt;=50000000,"$20M-50M",IF(I1924&lt;=100000000,"$50M-100M","$100M+"))))</f>
        <v/>
      </c>
      <c r="P1924" s="21">
        <f>IF(E1924&lt;=90,"90 or less",IF(E1924&lt;=105,"91-105",IF(E1924&lt;=120,"106-120",IF(E1924&lt;=140,"121-140","Over 140"))))</f>
        <v/>
      </c>
      <c r="Q1924" s="28">
        <f>INT(C1924/10)*10</f>
        <v/>
      </c>
    </row>
    <row r="1925">
      <c r="A1925" s="21" t="n">
        <v>1964</v>
      </c>
      <c r="B1925" s="21" t="inlineStr">
        <is>
          <t>How to Lose a Guy in 10 Days</t>
        </is>
      </c>
      <c r="C1925" s="21" t="n">
        <v>2003</v>
      </c>
      <c r="D1925" s="21" t="inlineStr">
        <is>
          <t>USA</t>
        </is>
      </c>
      <c r="E1925" s="21" t="n">
        <v>116</v>
      </c>
      <c r="F1925" s="21" t="inlineStr">
        <is>
          <t>English</t>
        </is>
      </c>
      <c r="G1925" s="21" t="inlineStr">
        <is>
          <t>PG-13</t>
        </is>
      </c>
      <c r="H1925" s="22" t="n">
        <v>105807520</v>
      </c>
      <c r="I1925" s="22" t="n">
        <v>50000000</v>
      </c>
      <c r="J1925" s="21">
        <f>IF(OR(H1925="",H1925=25529689.5),"Yes","No")</f>
        <v/>
      </c>
      <c r="K1925" s="21">
        <f>IF(AND(D1925="USA",C1925&gt;=1980,J1925="No"),"Yes","No")</f>
        <v/>
      </c>
      <c r="L1925" s="26">
        <f>IF(J1925="Yes","",H1925-I1925)</f>
        <v/>
      </c>
      <c r="M1925" s="27">
        <f>IF(OR(J1925="Yes",I1925=0),"",H1925/I1925)</f>
        <v/>
      </c>
      <c r="N1925" s="21">
        <f>IF(J1925="Yes","",IF(H1925&gt;=I1925,1,0))</f>
        <v/>
      </c>
      <c r="O1925" s="21">
        <f>IF(I1925&lt;=5000000,"Under $5M",IF(I1925&lt;=20000000,"$5M-20M",IF(I1925&lt;=50000000,"$20M-50M",IF(I1925&lt;=100000000,"$50M-100M","$100M+"))))</f>
        <v/>
      </c>
      <c r="P1925" s="21">
        <f>IF(E1925&lt;=90,"90 or less",IF(E1925&lt;=105,"91-105",IF(E1925&lt;=120,"106-120",IF(E1925&lt;=140,"121-140","Over 140"))))</f>
        <v/>
      </c>
      <c r="Q1925" s="28">
        <f>INT(C1925/10)*10</f>
        <v/>
      </c>
    </row>
    <row r="1926">
      <c r="A1926" s="21" t="n">
        <v>1965</v>
      </c>
      <c r="B1926" s="21" t="inlineStr">
        <is>
          <t>Hulk</t>
        </is>
      </c>
      <c r="C1926" s="21" t="n">
        <v>2003</v>
      </c>
      <c r="D1926" s="21" t="inlineStr">
        <is>
          <t>USA</t>
        </is>
      </c>
      <c r="E1926" s="21" t="n">
        <v>138</v>
      </c>
      <c r="F1926" s="21" t="inlineStr">
        <is>
          <t>English</t>
        </is>
      </c>
      <c r="G1926" s="21" t="inlineStr">
        <is>
          <t>PG-13</t>
        </is>
      </c>
      <c r="H1926" s="22" t="n">
        <v>132122995</v>
      </c>
      <c r="I1926" s="22" t="n">
        <v>137000000</v>
      </c>
      <c r="J1926" s="21">
        <f>IF(OR(H1926="",H1926=25529689.5),"Yes","No")</f>
        <v/>
      </c>
      <c r="K1926" s="21">
        <f>IF(AND(D1926="USA",C1926&gt;=1980,J1926="No"),"Yes","No")</f>
        <v/>
      </c>
      <c r="L1926" s="26">
        <f>IF(J1926="Yes","",H1926-I1926)</f>
        <v/>
      </c>
      <c r="M1926" s="27">
        <f>IF(OR(J1926="Yes",I1926=0),"",H1926/I1926)</f>
        <v/>
      </c>
      <c r="N1926" s="21">
        <f>IF(J1926="Yes","",IF(H1926&gt;=I1926,1,0))</f>
        <v/>
      </c>
      <c r="O1926" s="21">
        <f>IF(I1926&lt;=5000000,"Under $5M",IF(I1926&lt;=20000000,"$5M-20M",IF(I1926&lt;=50000000,"$20M-50M",IF(I1926&lt;=100000000,"$50M-100M","$100M+"))))</f>
        <v/>
      </c>
      <c r="P1926" s="21">
        <f>IF(E1926&lt;=90,"90 or less",IF(E1926&lt;=105,"91-105",IF(E1926&lt;=120,"106-120",IF(E1926&lt;=140,"121-140","Over 140"))))</f>
        <v/>
      </c>
      <c r="Q1926" s="28">
        <f>INT(C1926/10)*10</f>
        <v/>
      </c>
    </row>
    <row r="1927">
      <c r="A1927" s="21" t="n">
        <v>1966</v>
      </c>
      <c r="B1927" s="21" t="inlineStr">
        <is>
          <t>I Love Your Work</t>
        </is>
      </c>
      <c r="C1927" s="21" t="n">
        <v>2003</v>
      </c>
      <c r="D1927" s="21" t="inlineStr">
        <is>
          <t>USA</t>
        </is>
      </c>
      <c r="E1927" s="21" t="n">
        <v>111</v>
      </c>
      <c r="F1927" s="21" t="inlineStr">
        <is>
          <t>English</t>
        </is>
      </c>
      <c r="G1927" s="21" t="inlineStr">
        <is>
          <t>R</t>
        </is>
      </c>
      <c r="H1927" s="22" t="n">
        <v>2580</v>
      </c>
      <c r="I1927" s="22" t="n">
        <v>1650000</v>
      </c>
      <c r="J1927" s="21">
        <f>IF(OR(H1927="",H1927=25529689.5),"Yes","No")</f>
        <v/>
      </c>
      <c r="K1927" s="21">
        <f>IF(AND(D1927="USA",C1927&gt;=1980,J1927="No"),"Yes","No")</f>
        <v/>
      </c>
      <c r="L1927" s="26">
        <f>IF(J1927="Yes","",H1927-I1927)</f>
        <v/>
      </c>
      <c r="M1927" s="27">
        <f>IF(OR(J1927="Yes",I1927=0),"",H1927/I1927)</f>
        <v/>
      </c>
      <c r="N1927" s="21">
        <f>IF(J1927="Yes","",IF(H1927&gt;=I1927,1,0))</f>
        <v/>
      </c>
      <c r="O1927" s="21">
        <f>IF(I1927&lt;=5000000,"Under $5M",IF(I1927&lt;=20000000,"$5M-20M",IF(I1927&lt;=50000000,"$20M-50M",IF(I1927&lt;=100000000,"$50M-100M","$100M+"))))</f>
        <v/>
      </c>
      <c r="P1927" s="21">
        <f>IF(E1927&lt;=90,"90 or less",IF(E1927&lt;=105,"91-105",IF(E1927&lt;=120,"106-120",IF(E1927&lt;=140,"121-140","Over 140"))))</f>
        <v/>
      </c>
      <c r="Q1927" s="28">
        <f>INT(C1927/10)*10</f>
        <v/>
      </c>
    </row>
    <row r="1928">
      <c r="A1928" s="21" t="n">
        <v>1967</v>
      </c>
      <c r="B1928" s="21" t="inlineStr">
        <is>
          <t>Identity</t>
        </is>
      </c>
      <c r="C1928" s="21" t="n">
        <v>2003</v>
      </c>
      <c r="D1928" s="21" t="inlineStr">
        <is>
          <t>USA</t>
        </is>
      </c>
      <c r="E1928" s="21" t="n">
        <v>91</v>
      </c>
      <c r="F1928" s="21" t="inlineStr">
        <is>
          <t>English</t>
        </is>
      </c>
      <c r="G1928" s="21" t="inlineStr">
        <is>
          <t>R</t>
        </is>
      </c>
      <c r="H1928" s="22" t="n">
        <v>51475962</v>
      </c>
      <c r="I1928" s="22" t="n">
        <v>30000000</v>
      </c>
      <c r="J1928" s="21">
        <f>IF(OR(H1928="",H1928=25529689.5),"Yes","No")</f>
        <v/>
      </c>
      <c r="K1928" s="21">
        <f>IF(AND(D1928="USA",C1928&gt;=1980,J1928="No"),"Yes","No")</f>
        <v/>
      </c>
      <c r="L1928" s="26">
        <f>IF(J1928="Yes","",H1928-I1928)</f>
        <v/>
      </c>
      <c r="M1928" s="27">
        <f>IF(OR(J1928="Yes",I1928=0),"",H1928/I1928)</f>
        <v/>
      </c>
      <c r="N1928" s="21">
        <f>IF(J1928="Yes","",IF(H1928&gt;=I1928,1,0))</f>
        <v/>
      </c>
      <c r="O1928" s="21">
        <f>IF(I1928&lt;=5000000,"Under $5M",IF(I1928&lt;=20000000,"$5M-20M",IF(I1928&lt;=50000000,"$20M-50M",IF(I1928&lt;=100000000,"$50M-100M","$100M+"))))</f>
        <v/>
      </c>
      <c r="P1928" s="21">
        <f>IF(E1928&lt;=90,"90 or less",IF(E1928&lt;=105,"91-105",IF(E1928&lt;=120,"106-120",IF(E1928&lt;=140,"121-140","Over 140"))))</f>
        <v/>
      </c>
      <c r="Q1928" s="28">
        <f>INT(C1928/10)*10</f>
        <v/>
      </c>
    </row>
    <row r="1929">
      <c r="A1929" s="21" t="n">
        <v>1968</v>
      </c>
      <c r="B1929" s="21" t="inlineStr">
        <is>
          <t>In the Cut</t>
        </is>
      </c>
      <c r="C1929" s="21" t="n">
        <v>2003</v>
      </c>
      <c r="D1929" s="21" t="inlineStr">
        <is>
          <t>Australia</t>
        </is>
      </c>
      <c r="E1929" s="21" t="n">
        <v>113</v>
      </c>
      <c r="F1929" s="21" t="inlineStr">
        <is>
          <t>English</t>
        </is>
      </c>
      <c r="G1929" s="21" t="inlineStr">
        <is>
          <t>R</t>
        </is>
      </c>
      <c r="H1929" s="22" t="n">
        <v>4717455</v>
      </c>
      <c r="I1929" s="22" t="n">
        <v>12000000</v>
      </c>
      <c r="J1929" s="21">
        <f>IF(OR(H1929="",H1929=25529689.5),"Yes","No")</f>
        <v/>
      </c>
      <c r="K1929" s="21">
        <f>IF(AND(D1929="USA",C1929&gt;=1980,J1929="No"),"Yes","No")</f>
        <v/>
      </c>
      <c r="L1929" s="26">
        <f>IF(J1929="Yes","",H1929-I1929)</f>
        <v/>
      </c>
      <c r="M1929" s="27">
        <f>IF(OR(J1929="Yes",I1929=0),"",H1929/I1929)</f>
        <v/>
      </c>
      <c r="N1929" s="21">
        <f>IF(J1929="Yes","",IF(H1929&gt;=I1929,1,0))</f>
        <v/>
      </c>
      <c r="O1929" s="21">
        <f>IF(I1929&lt;=5000000,"Under $5M",IF(I1929&lt;=20000000,"$5M-20M",IF(I1929&lt;=50000000,"$20M-50M",IF(I1929&lt;=100000000,"$50M-100M","$100M+"))))</f>
        <v/>
      </c>
      <c r="P1929" s="21">
        <f>IF(E1929&lt;=90,"90 or less",IF(E1929&lt;=105,"91-105",IF(E1929&lt;=120,"106-120",IF(E1929&lt;=140,"121-140","Over 140"))))</f>
        <v/>
      </c>
      <c r="Q1929" s="28">
        <f>INT(C1929/10)*10</f>
        <v/>
      </c>
    </row>
    <row r="1930">
      <c r="A1930" s="21" t="n">
        <v>1969</v>
      </c>
      <c r="B1930" s="21" t="inlineStr">
        <is>
          <t>Intolerable Cruelty</t>
        </is>
      </c>
      <c r="C1930" s="21" t="n">
        <v>2003</v>
      </c>
      <c r="D1930" s="21" t="inlineStr">
        <is>
          <t>USA</t>
        </is>
      </c>
      <c r="E1930" s="21" t="n">
        <v>100</v>
      </c>
      <c r="F1930" s="21" t="inlineStr">
        <is>
          <t>English</t>
        </is>
      </c>
      <c r="G1930" s="21" t="inlineStr">
        <is>
          <t>PG-13</t>
        </is>
      </c>
      <c r="H1930" s="22" t="n">
        <v>35096190</v>
      </c>
      <c r="I1930" s="22" t="n">
        <v>60000000</v>
      </c>
      <c r="J1930" s="21">
        <f>IF(OR(H1930="",H1930=25529689.5),"Yes","No")</f>
        <v/>
      </c>
      <c r="K1930" s="21">
        <f>IF(AND(D1930="USA",C1930&gt;=1980,J1930="No"),"Yes","No")</f>
        <v/>
      </c>
      <c r="L1930" s="26">
        <f>IF(J1930="Yes","",H1930-I1930)</f>
        <v/>
      </c>
      <c r="M1930" s="27">
        <f>IF(OR(J1930="Yes",I1930=0),"",H1930/I1930)</f>
        <v/>
      </c>
      <c r="N1930" s="21">
        <f>IF(J1930="Yes","",IF(H1930&gt;=I1930,1,0))</f>
        <v/>
      </c>
      <c r="O1930" s="21">
        <f>IF(I1930&lt;=5000000,"Under $5M",IF(I1930&lt;=20000000,"$5M-20M",IF(I1930&lt;=50000000,"$20M-50M",IF(I1930&lt;=100000000,"$50M-100M","$100M+"))))</f>
        <v/>
      </c>
      <c r="P1930" s="21">
        <f>IF(E1930&lt;=90,"90 or less",IF(E1930&lt;=105,"91-105",IF(E1930&lt;=120,"106-120",IF(E1930&lt;=140,"121-140","Over 140"))))</f>
        <v/>
      </c>
      <c r="Q1930" s="28">
        <f>INT(C1930/10)*10</f>
        <v/>
      </c>
    </row>
    <row r="1931">
      <c r="A1931" s="21" t="n">
        <v>1970</v>
      </c>
      <c r="B1931" s="21" t="inlineStr">
        <is>
          <t>Jeepers Creepers II</t>
        </is>
      </c>
      <c r="C1931" s="21" t="n">
        <v>2003</v>
      </c>
      <c r="D1931" s="21" t="inlineStr">
        <is>
          <t>USA</t>
        </is>
      </c>
      <c r="E1931" s="21" t="n">
        <v>104</v>
      </c>
      <c r="F1931" s="21" t="inlineStr">
        <is>
          <t>English</t>
        </is>
      </c>
      <c r="G1931" s="21" t="inlineStr">
        <is>
          <t>R</t>
        </is>
      </c>
      <c r="H1931" s="22" t="n">
        <v>35143332</v>
      </c>
      <c r="I1931" s="22" t="n">
        <v>17000000</v>
      </c>
      <c r="J1931" s="21">
        <f>IF(OR(H1931="",H1931=25529689.5),"Yes","No")</f>
        <v/>
      </c>
      <c r="K1931" s="21">
        <f>IF(AND(D1931="USA",C1931&gt;=1980,J1931="No"),"Yes","No")</f>
        <v/>
      </c>
      <c r="L1931" s="26">
        <f>IF(J1931="Yes","",H1931-I1931)</f>
        <v/>
      </c>
      <c r="M1931" s="27">
        <f>IF(OR(J1931="Yes",I1931=0),"",H1931/I1931)</f>
        <v/>
      </c>
      <c r="N1931" s="21">
        <f>IF(J1931="Yes","",IF(H1931&gt;=I1931,1,0))</f>
        <v/>
      </c>
      <c r="O1931" s="21">
        <f>IF(I1931&lt;=5000000,"Under $5M",IF(I1931&lt;=20000000,"$5M-20M",IF(I1931&lt;=50000000,"$20M-50M",IF(I1931&lt;=100000000,"$50M-100M","$100M+"))))</f>
        <v/>
      </c>
      <c r="P1931" s="21">
        <f>IF(E1931&lt;=90,"90 or less",IF(E1931&lt;=105,"91-105",IF(E1931&lt;=120,"106-120",IF(E1931&lt;=140,"121-140","Over 140"))))</f>
        <v/>
      </c>
      <c r="Q1931" s="28">
        <f>INT(C1931/10)*10</f>
        <v/>
      </c>
    </row>
    <row r="1932">
      <c r="A1932" s="21" t="n">
        <v>1971</v>
      </c>
      <c r="B1932" s="21" t="inlineStr">
        <is>
          <t>Johnny English</t>
        </is>
      </c>
      <c r="C1932" s="21" t="n">
        <v>2003</v>
      </c>
      <c r="D1932" s="21" t="inlineStr">
        <is>
          <t>UK</t>
        </is>
      </c>
      <c r="E1932" s="21" t="n">
        <v>87</v>
      </c>
      <c r="F1932" s="21" t="inlineStr">
        <is>
          <t>English</t>
        </is>
      </c>
      <c r="G1932" s="21" t="inlineStr">
        <is>
          <t>PG</t>
        </is>
      </c>
      <c r="H1932" s="22" t="n">
        <v>27972410</v>
      </c>
      <c r="I1932" s="22" t="n">
        <v>35000000</v>
      </c>
      <c r="J1932" s="21">
        <f>IF(OR(H1932="",H1932=25529689.5),"Yes","No")</f>
        <v/>
      </c>
      <c r="K1932" s="21">
        <f>IF(AND(D1932="USA",C1932&gt;=1980,J1932="No"),"Yes","No")</f>
        <v/>
      </c>
      <c r="L1932" s="26">
        <f>IF(J1932="Yes","",H1932-I1932)</f>
        <v/>
      </c>
      <c r="M1932" s="27">
        <f>IF(OR(J1932="Yes",I1932=0),"",H1932/I1932)</f>
        <v/>
      </c>
      <c r="N1932" s="21">
        <f>IF(J1932="Yes","",IF(H1932&gt;=I1932,1,0))</f>
        <v/>
      </c>
      <c r="O1932" s="21">
        <f>IF(I1932&lt;=5000000,"Under $5M",IF(I1932&lt;=20000000,"$5M-20M",IF(I1932&lt;=50000000,"$20M-50M",IF(I1932&lt;=100000000,"$50M-100M","$100M+"))))</f>
        <v/>
      </c>
      <c r="P1932" s="21">
        <f>IF(E1932&lt;=90,"90 or less",IF(E1932&lt;=105,"91-105",IF(E1932&lt;=120,"106-120",IF(E1932&lt;=140,"121-140","Over 140"))))</f>
        <v/>
      </c>
      <c r="Q1932" s="28">
        <f>INT(C1932/10)*10</f>
        <v/>
      </c>
    </row>
    <row r="1933">
      <c r="A1933" s="21" t="n">
        <v>1972</v>
      </c>
      <c r="B1933" s="21" t="inlineStr">
        <is>
          <t>Just Married</t>
        </is>
      </c>
      <c r="C1933" s="21" t="n">
        <v>2003</v>
      </c>
      <c r="D1933" s="21" t="inlineStr">
        <is>
          <t>USA</t>
        </is>
      </c>
      <c r="E1933" s="21" t="n">
        <v>95</v>
      </c>
      <c r="F1933" s="21" t="inlineStr">
        <is>
          <t>English</t>
        </is>
      </c>
      <c r="G1933" s="21" t="inlineStr">
        <is>
          <t>PG-13</t>
        </is>
      </c>
      <c r="H1933" s="22" t="n">
        <v>56127162</v>
      </c>
      <c r="I1933" s="22" t="n">
        <v>18000000</v>
      </c>
      <c r="J1933" s="21">
        <f>IF(OR(H1933="",H1933=25529689.5),"Yes","No")</f>
        <v/>
      </c>
      <c r="K1933" s="21">
        <f>IF(AND(D1933="USA",C1933&gt;=1980,J1933="No"),"Yes","No")</f>
        <v/>
      </c>
      <c r="L1933" s="26">
        <f>IF(J1933="Yes","",H1933-I1933)</f>
        <v/>
      </c>
      <c r="M1933" s="27">
        <f>IF(OR(J1933="Yes",I1933=0),"",H1933/I1933)</f>
        <v/>
      </c>
      <c r="N1933" s="21">
        <f>IF(J1933="Yes","",IF(H1933&gt;=I1933,1,0))</f>
        <v/>
      </c>
      <c r="O1933" s="21">
        <f>IF(I1933&lt;=5000000,"Under $5M",IF(I1933&lt;=20000000,"$5M-20M",IF(I1933&lt;=50000000,"$20M-50M",IF(I1933&lt;=100000000,"$50M-100M","$100M+"))))</f>
        <v/>
      </c>
      <c r="P1933" s="21">
        <f>IF(E1933&lt;=90,"90 or less",IF(E1933&lt;=105,"91-105",IF(E1933&lt;=120,"106-120",IF(E1933&lt;=140,"121-140","Over 140"))))</f>
        <v/>
      </c>
      <c r="Q1933" s="28">
        <f>INT(C1933/10)*10</f>
        <v/>
      </c>
    </row>
    <row r="1934">
      <c r="A1934" s="21" t="n">
        <v>1973</v>
      </c>
      <c r="B1934" s="21" t="inlineStr">
        <is>
          <t>Kangaroo Jack</t>
        </is>
      </c>
      <c r="C1934" s="21" t="n">
        <v>2003</v>
      </c>
      <c r="D1934" s="21" t="inlineStr">
        <is>
          <t>USA</t>
        </is>
      </c>
      <c r="E1934" s="21" t="n">
        <v>89</v>
      </c>
      <c r="F1934" s="21" t="inlineStr">
        <is>
          <t>English</t>
        </is>
      </c>
      <c r="G1934" s="21" t="inlineStr">
        <is>
          <t>PG</t>
        </is>
      </c>
      <c r="H1934" s="22" t="n">
        <v>66734992</v>
      </c>
      <c r="I1934" s="22" t="n">
        <v>60000000</v>
      </c>
      <c r="J1934" s="21">
        <f>IF(OR(H1934="",H1934=25529689.5),"Yes","No")</f>
        <v/>
      </c>
      <c r="K1934" s="21">
        <f>IF(AND(D1934="USA",C1934&gt;=1980,J1934="No"),"Yes","No")</f>
        <v/>
      </c>
      <c r="L1934" s="26">
        <f>IF(J1934="Yes","",H1934-I1934)</f>
        <v/>
      </c>
      <c r="M1934" s="27">
        <f>IF(OR(J1934="Yes",I1934=0),"",H1934/I1934)</f>
        <v/>
      </c>
      <c r="N1934" s="21">
        <f>IF(J1934="Yes","",IF(H1934&gt;=I1934,1,0))</f>
        <v/>
      </c>
      <c r="O1934" s="21">
        <f>IF(I1934&lt;=5000000,"Under $5M",IF(I1934&lt;=20000000,"$5M-20M",IF(I1934&lt;=50000000,"$20M-50M",IF(I1934&lt;=100000000,"$50M-100M","$100M+"))))</f>
        <v/>
      </c>
      <c r="P1934" s="21">
        <f>IF(E1934&lt;=90,"90 or less",IF(E1934&lt;=105,"91-105",IF(E1934&lt;=120,"106-120",IF(E1934&lt;=140,"121-140","Over 140"))))</f>
        <v/>
      </c>
      <c r="Q1934" s="28">
        <f>INT(C1934/10)*10</f>
        <v/>
      </c>
    </row>
    <row r="1935">
      <c r="A1935" s="21" t="n">
        <v>1974</v>
      </c>
      <c r="B1935" s="21" t="inlineStr">
        <is>
          <t>Kill Bill: Vol. 1</t>
        </is>
      </c>
      <c r="C1935" s="21" t="n">
        <v>2003</v>
      </c>
      <c r="D1935" s="21" t="inlineStr">
        <is>
          <t>USA</t>
        </is>
      </c>
      <c r="E1935" s="21" t="n">
        <v>111</v>
      </c>
      <c r="F1935" s="21" t="inlineStr">
        <is>
          <t>English</t>
        </is>
      </c>
      <c r="G1935" s="21" t="inlineStr">
        <is>
          <t>R</t>
        </is>
      </c>
      <c r="H1935" s="22" t="n">
        <v>70098138</v>
      </c>
      <c r="I1935" s="22" t="n">
        <v>30000000</v>
      </c>
      <c r="J1935" s="21">
        <f>IF(OR(H1935="",H1935=25529689.5),"Yes","No")</f>
        <v/>
      </c>
      <c r="K1935" s="21">
        <f>IF(AND(D1935="USA",C1935&gt;=1980,J1935="No"),"Yes","No")</f>
        <v/>
      </c>
      <c r="L1935" s="26">
        <f>IF(J1935="Yes","",H1935-I1935)</f>
        <v/>
      </c>
      <c r="M1935" s="27">
        <f>IF(OR(J1935="Yes",I1935=0),"",H1935/I1935)</f>
        <v/>
      </c>
      <c r="N1935" s="21">
        <f>IF(J1935="Yes","",IF(H1935&gt;=I1935,1,0))</f>
        <v/>
      </c>
      <c r="O1935" s="21">
        <f>IF(I1935&lt;=5000000,"Under $5M",IF(I1935&lt;=20000000,"$5M-20M",IF(I1935&lt;=50000000,"$20M-50M",IF(I1935&lt;=100000000,"$50M-100M","$100M+"))))</f>
        <v/>
      </c>
      <c r="P1935" s="21">
        <f>IF(E1935&lt;=90,"90 or less",IF(E1935&lt;=105,"91-105",IF(E1935&lt;=120,"106-120",IF(E1935&lt;=140,"121-140","Over 140"))))</f>
        <v/>
      </c>
      <c r="Q1935" s="28">
        <f>INT(C1935/10)*10</f>
        <v/>
      </c>
    </row>
    <row r="1936">
      <c r="A1936" s="21" t="n">
        <v>1975</v>
      </c>
      <c r="B1936" s="21" t="inlineStr">
        <is>
          <t>Lara Croft Tomb Raider: The Cradle of Life</t>
        </is>
      </c>
      <c r="C1936" s="21" t="n">
        <v>2003</v>
      </c>
      <c r="D1936" s="21" t="inlineStr">
        <is>
          <t>USA</t>
        </is>
      </c>
      <c r="E1936" s="21" t="n">
        <v>117</v>
      </c>
      <c r="F1936" s="21" t="inlineStr">
        <is>
          <t>English</t>
        </is>
      </c>
      <c r="G1936" s="21" t="inlineStr">
        <is>
          <t>PG-13</t>
        </is>
      </c>
      <c r="H1936" s="22" t="n">
        <v>65653758</v>
      </c>
      <c r="I1936" s="22" t="n">
        <v>95000000</v>
      </c>
      <c r="J1936" s="21">
        <f>IF(OR(H1936="",H1936=25529689.5),"Yes","No")</f>
        <v/>
      </c>
      <c r="K1936" s="21">
        <f>IF(AND(D1936="USA",C1936&gt;=1980,J1936="No"),"Yes","No")</f>
        <v/>
      </c>
      <c r="L1936" s="26">
        <f>IF(J1936="Yes","",H1936-I1936)</f>
        <v/>
      </c>
      <c r="M1936" s="27">
        <f>IF(OR(J1936="Yes",I1936=0),"",H1936/I1936)</f>
        <v/>
      </c>
      <c r="N1936" s="21">
        <f>IF(J1936="Yes","",IF(H1936&gt;=I1936,1,0))</f>
        <v/>
      </c>
      <c r="O1936" s="21">
        <f>IF(I1936&lt;=5000000,"Under $5M",IF(I1936&lt;=20000000,"$5M-20M",IF(I1936&lt;=50000000,"$20M-50M",IF(I1936&lt;=100000000,"$50M-100M","$100M+"))))</f>
        <v/>
      </c>
      <c r="P1936" s="21">
        <f>IF(E1936&lt;=90,"90 or less",IF(E1936&lt;=105,"91-105",IF(E1936&lt;=120,"106-120",IF(E1936&lt;=140,"121-140","Over 140"))))</f>
        <v/>
      </c>
      <c r="Q1936" s="28">
        <f>INT(C1936/10)*10</f>
        <v/>
      </c>
    </row>
    <row r="1937">
      <c r="A1937" s="21" t="n">
        <v>1976</v>
      </c>
      <c r="B1937" s="21" t="inlineStr">
        <is>
          <t>Latter Days</t>
        </is>
      </c>
      <c r="C1937" s="21" t="n">
        <v>2003</v>
      </c>
      <c r="D1937" s="21" t="inlineStr">
        <is>
          <t>USA</t>
        </is>
      </c>
      <c r="E1937" s="21" t="n">
        <v>107</v>
      </c>
      <c r="F1937" s="21" t="inlineStr">
        <is>
          <t>English</t>
        </is>
      </c>
      <c r="G1937" s="21" t="inlineStr">
        <is>
          <t>R</t>
        </is>
      </c>
      <c r="H1937" s="22" t="n">
        <v>819939</v>
      </c>
      <c r="I1937" s="22" t="n">
        <v>850000</v>
      </c>
      <c r="J1937" s="21">
        <f>IF(OR(H1937="",H1937=25529689.5),"Yes","No")</f>
        <v/>
      </c>
      <c r="K1937" s="21">
        <f>IF(AND(D1937="USA",C1937&gt;=1980,J1937="No"),"Yes","No")</f>
        <v/>
      </c>
      <c r="L1937" s="26">
        <f>IF(J1937="Yes","",H1937-I1937)</f>
        <v/>
      </c>
      <c r="M1937" s="27">
        <f>IF(OR(J1937="Yes",I1937=0),"",H1937/I1937)</f>
        <v/>
      </c>
      <c r="N1937" s="21">
        <f>IF(J1937="Yes","",IF(H1937&gt;=I1937,1,0))</f>
        <v/>
      </c>
      <c r="O1937" s="21">
        <f>IF(I1937&lt;=5000000,"Under $5M",IF(I1937&lt;=20000000,"$5M-20M",IF(I1937&lt;=50000000,"$20M-50M",IF(I1937&lt;=100000000,"$50M-100M","$100M+"))))</f>
        <v/>
      </c>
      <c r="P1937" s="21">
        <f>IF(E1937&lt;=90,"90 or less",IF(E1937&lt;=105,"91-105",IF(E1937&lt;=120,"106-120",IF(E1937&lt;=140,"121-140","Over 140"))))</f>
        <v/>
      </c>
      <c r="Q1937" s="28">
        <f>INT(C1937/10)*10</f>
        <v/>
      </c>
    </row>
    <row r="1938">
      <c r="A1938" s="21" t="n">
        <v>1977</v>
      </c>
      <c r="B1938" s="21" t="inlineStr">
        <is>
          <t>Legally Blonde 2: Red, White &amp; Blonde</t>
        </is>
      </c>
      <c r="C1938" s="21" t="n">
        <v>2003</v>
      </c>
      <c r="D1938" s="21" t="inlineStr">
        <is>
          <t>USA</t>
        </is>
      </c>
      <c r="E1938" s="21" t="n">
        <v>95</v>
      </c>
      <c r="F1938" s="21" t="inlineStr">
        <is>
          <t>English</t>
        </is>
      </c>
      <c r="G1938" s="21" t="inlineStr">
        <is>
          <t>PG-13</t>
        </is>
      </c>
      <c r="H1938" s="22" t="n">
        <v>89808372</v>
      </c>
      <c r="I1938" s="22" t="n">
        <v>45000000</v>
      </c>
      <c r="J1938" s="21">
        <f>IF(OR(H1938="",H1938=25529689.5),"Yes","No")</f>
        <v/>
      </c>
      <c r="K1938" s="21">
        <f>IF(AND(D1938="USA",C1938&gt;=1980,J1938="No"),"Yes","No")</f>
        <v/>
      </c>
      <c r="L1938" s="26">
        <f>IF(J1938="Yes","",H1938-I1938)</f>
        <v/>
      </c>
      <c r="M1938" s="27">
        <f>IF(OR(J1938="Yes",I1938=0),"",H1938/I1938)</f>
        <v/>
      </c>
      <c r="N1938" s="21">
        <f>IF(J1938="Yes","",IF(H1938&gt;=I1938,1,0))</f>
        <v/>
      </c>
      <c r="O1938" s="21">
        <f>IF(I1938&lt;=5000000,"Under $5M",IF(I1938&lt;=20000000,"$5M-20M",IF(I1938&lt;=50000000,"$20M-50M",IF(I1938&lt;=100000000,"$50M-100M","$100M+"))))</f>
        <v/>
      </c>
      <c r="P1938" s="21">
        <f>IF(E1938&lt;=90,"90 or less",IF(E1938&lt;=105,"91-105",IF(E1938&lt;=120,"106-120",IF(E1938&lt;=140,"121-140","Over 140"))))</f>
        <v/>
      </c>
      <c r="Q1938" s="28">
        <f>INT(C1938/10)*10</f>
        <v/>
      </c>
    </row>
    <row r="1939">
      <c r="A1939" s="21" t="n">
        <v>1978</v>
      </c>
      <c r="B1939" s="21" t="inlineStr">
        <is>
          <t>Looney Tunes: Back in Action</t>
        </is>
      </c>
      <c r="C1939" s="21" t="n">
        <v>2003</v>
      </c>
      <c r="D1939" s="21" t="inlineStr">
        <is>
          <t>Germany</t>
        </is>
      </c>
      <c r="E1939" s="21" t="n">
        <v>91</v>
      </c>
      <c r="F1939" s="21" t="inlineStr">
        <is>
          <t>English</t>
        </is>
      </c>
      <c r="G1939" s="21" t="inlineStr">
        <is>
          <t>PG</t>
        </is>
      </c>
      <c r="H1939" s="22" t="n">
        <v>20950820</v>
      </c>
      <c r="I1939" s="22" t="n">
        <v>80000000</v>
      </c>
      <c r="J1939" s="21">
        <f>IF(OR(H1939="",H1939=25529689.5),"Yes","No")</f>
        <v/>
      </c>
      <c r="K1939" s="21">
        <f>IF(AND(D1939="USA",C1939&gt;=1980,J1939="No"),"Yes","No")</f>
        <v/>
      </c>
      <c r="L1939" s="26">
        <f>IF(J1939="Yes","",H1939-I1939)</f>
        <v/>
      </c>
      <c r="M1939" s="27">
        <f>IF(OR(J1939="Yes",I1939=0),"",H1939/I1939)</f>
        <v/>
      </c>
      <c r="N1939" s="21">
        <f>IF(J1939="Yes","",IF(H1939&gt;=I1939,1,0))</f>
        <v/>
      </c>
      <c r="O1939" s="21">
        <f>IF(I1939&lt;=5000000,"Under $5M",IF(I1939&lt;=20000000,"$5M-20M",IF(I1939&lt;=50000000,"$20M-50M",IF(I1939&lt;=100000000,"$50M-100M","$100M+"))))</f>
        <v/>
      </c>
      <c r="P1939" s="21">
        <f>IF(E1939&lt;=90,"90 or less",IF(E1939&lt;=105,"91-105",IF(E1939&lt;=120,"106-120",IF(E1939&lt;=140,"121-140","Over 140"))))</f>
        <v/>
      </c>
      <c r="Q1939" s="28">
        <f>INT(C1939/10)*10</f>
        <v/>
      </c>
    </row>
    <row r="1940">
      <c r="A1940" s="21" t="n">
        <v>1979</v>
      </c>
      <c r="B1940" s="21" t="inlineStr">
        <is>
          <t>Lost in Translation</t>
        </is>
      </c>
      <c r="C1940" s="21" t="n">
        <v>2003</v>
      </c>
      <c r="D1940" s="21" t="inlineStr">
        <is>
          <t>USA</t>
        </is>
      </c>
      <c r="E1940" s="21" t="n">
        <v>101</v>
      </c>
      <c r="F1940" s="21" t="inlineStr">
        <is>
          <t>English</t>
        </is>
      </c>
      <c r="G1940" s="21" t="inlineStr">
        <is>
          <t>R</t>
        </is>
      </c>
      <c r="H1940" s="22" t="n">
        <v>44566004</v>
      </c>
      <c r="I1940" s="22" t="n">
        <v>4000000</v>
      </c>
      <c r="J1940" s="21">
        <f>IF(OR(H1940="",H1940=25529689.5),"Yes","No")</f>
        <v/>
      </c>
      <c r="K1940" s="21">
        <f>IF(AND(D1940="USA",C1940&gt;=1980,J1940="No"),"Yes","No")</f>
        <v/>
      </c>
      <c r="L1940" s="26">
        <f>IF(J1940="Yes","",H1940-I1940)</f>
        <v/>
      </c>
      <c r="M1940" s="27">
        <f>IF(OR(J1940="Yes",I1940=0),"",H1940/I1940)</f>
        <v/>
      </c>
      <c r="N1940" s="21">
        <f>IF(J1940="Yes","",IF(H1940&gt;=I1940,1,0))</f>
        <v/>
      </c>
      <c r="O1940" s="21">
        <f>IF(I1940&lt;=5000000,"Under $5M",IF(I1940&lt;=20000000,"$5M-20M",IF(I1940&lt;=50000000,"$20M-50M",IF(I1940&lt;=100000000,"$50M-100M","$100M+"))))</f>
        <v/>
      </c>
      <c r="P1940" s="21">
        <f>IF(E1940&lt;=90,"90 or less",IF(E1940&lt;=105,"91-105",IF(E1940&lt;=120,"106-120",IF(E1940&lt;=140,"121-140","Over 140"))))</f>
        <v/>
      </c>
      <c r="Q1940" s="28">
        <f>INT(C1940/10)*10</f>
        <v/>
      </c>
    </row>
    <row r="1941">
      <c r="A1941" s="21" t="n">
        <v>1980</v>
      </c>
      <c r="B1941" s="21" t="inlineStr">
        <is>
          <t>Love Actually</t>
        </is>
      </c>
      <c r="C1941" s="21" t="n">
        <v>2003</v>
      </c>
      <c r="D1941" s="21" t="inlineStr">
        <is>
          <t>UK</t>
        </is>
      </c>
      <c r="E1941" s="21" t="n">
        <v>129</v>
      </c>
      <c r="F1941" s="21" t="inlineStr">
        <is>
          <t>English</t>
        </is>
      </c>
      <c r="G1941" s="21" t="inlineStr">
        <is>
          <t>R</t>
        </is>
      </c>
      <c r="H1941" s="22" t="n">
        <v>59365105</v>
      </c>
      <c r="I1941" s="22" t="n">
        <v>45000000</v>
      </c>
      <c r="J1941" s="21">
        <f>IF(OR(H1941="",H1941=25529689.5),"Yes","No")</f>
        <v/>
      </c>
      <c r="K1941" s="21">
        <f>IF(AND(D1941="USA",C1941&gt;=1980,J1941="No"),"Yes","No")</f>
        <v/>
      </c>
      <c r="L1941" s="26">
        <f>IF(J1941="Yes","",H1941-I1941)</f>
        <v/>
      </c>
      <c r="M1941" s="27">
        <f>IF(OR(J1941="Yes",I1941=0),"",H1941/I1941)</f>
        <v/>
      </c>
      <c r="N1941" s="21">
        <f>IF(J1941="Yes","",IF(H1941&gt;=I1941,1,0))</f>
        <v/>
      </c>
      <c r="O1941" s="21">
        <f>IF(I1941&lt;=5000000,"Under $5M",IF(I1941&lt;=20000000,"$5M-20M",IF(I1941&lt;=50000000,"$20M-50M",IF(I1941&lt;=100000000,"$50M-100M","$100M+"))))</f>
        <v/>
      </c>
      <c r="P1941" s="21">
        <f>IF(E1941&lt;=90,"90 or less",IF(E1941&lt;=105,"91-105",IF(E1941&lt;=120,"106-120",IF(E1941&lt;=140,"121-140","Over 140"))))</f>
        <v/>
      </c>
      <c r="Q1941" s="28">
        <f>INT(C1941/10)*10</f>
        <v/>
      </c>
    </row>
    <row r="1942">
      <c r="A1942" s="21" t="n">
        <v>1981</v>
      </c>
      <c r="B1942" s="21" t="inlineStr">
        <is>
          <t>Malevolence</t>
        </is>
      </c>
      <c r="C1942" s="21" t="n">
        <v>2003</v>
      </c>
      <c r="D1942" s="21" t="inlineStr">
        <is>
          <t>USA</t>
        </is>
      </c>
      <c r="E1942" s="21" t="n">
        <v>90</v>
      </c>
      <c r="F1942" s="21" t="inlineStr">
        <is>
          <t>English</t>
        </is>
      </c>
      <c r="G1942" s="21" t="inlineStr">
        <is>
          <t>R</t>
        </is>
      </c>
      <c r="H1942" s="22" t="n">
        <v>25529689.5</v>
      </c>
      <c r="I1942" s="22" t="n">
        <v>200000</v>
      </c>
      <c r="J1942" s="21">
        <f>IF(OR(H1942="",H1942=25529689.5),"Yes","No")</f>
        <v/>
      </c>
      <c r="K1942" s="21">
        <f>IF(AND(D1942="USA",C1942&gt;=1980,J1942="No"),"Yes","No")</f>
        <v/>
      </c>
      <c r="L1942" s="26">
        <f>IF(J1942="Yes","",H1942-I1942)</f>
        <v/>
      </c>
      <c r="M1942" s="27">
        <f>IF(OR(J1942="Yes",I1942=0),"",H1942/I1942)</f>
        <v/>
      </c>
      <c r="N1942" s="21">
        <f>IF(J1942="Yes","",IF(H1942&gt;=I1942,1,0))</f>
        <v/>
      </c>
      <c r="O1942" s="21">
        <f>IF(I1942&lt;=5000000,"Under $5M",IF(I1942&lt;=20000000,"$5M-20M",IF(I1942&lt;=50000000,"$20M-50M",IF(I1942&lt;=100000000,"$50M-100M","$100M+"))))</f>
        <v/>
      </c>
      <c r="P1942" s="21">
        <f>IF(E1942&lt;=90,"90 or less",IF(E1942&lt;=105,"91-105",IF(E1942&lt;=120,"106-120",IF(E1942&lt;=140,"121-140","Over 140"))))</f>
        <v/>
      </c>
      <c r="Q1942" s="28">
        <f>INT(C1942/10)*10</f>
        <v/>
      </c>
    </row>
    <row r="1943">
      <c r="A1943" s="21" t="n">
        <v>1982</v>
      </c>
      <c r="B1943" s="21" t="inlineStr">
        <is>
          <t>Malibu's Most Wanted</t>
        </is>
      </c>
      <c r="C1943" s="21" t="n">
        <v>2003</v>
      </c>
      <c r="D1943" s="21" t="inlineStr">
        <is>
          <t>USA</t>
        </is>
      </c>
      <c r="E1943" s="21" t="n">
        <v>86</v>
      </c>
      <c r="F1943" s="21" t="inlineStr">
        <is>
          <t>English</t>
        </is>
      </c>
      <c r="G1943" s="21" t="inlineStr">
        <is>
          <t>PG-13</t>
        </is>
      </c>
      <c r="H1943" s="22" t="n">
        <v>34308901</v>
      </c>
      <c r="I1943" s="22" t="n">
        <v>16000000</v>
      </c>
      <c r="J1943" s="21">
        <f>IF(OR(H1943="",H1943=25529689.5),"Yes","No")</f>
        <v/>
      </c>
      <c r="K1943" s="21">
        <f>IF(AND(D1943="USA",C1943&gt;=1980,J1943="No"),"Yes","No")</f>
        <v/>
      </c>
      <c r="L1943" s="26">
        <f>IF(J1943="Yes","",H1943-I1943)</f>
        <v/>
      </c>
      <c r="M1943" s="27">
        <f>IF(OR(J1943="Yes",I1943=0),"",H1943/I1943)</f>
        <v/>
      </c>
      <c r="N1943" s="21">
        <f>IF(J1943="Yes","",IF(H1943&gt;=I1943,1,0))</f>
        <v/>
      </c>
      <c r="O1943" s="21">
        <f>IF(I1943&lt;=5000000,"Under $5M",IF(I1943&lt;=20000000,"$5M-20M",IF(I1943&lt;=50000000,"$20M-50M",IF(I1943&lt;=100000000,"$50M-100M","$100M+"))))</f>
        <v/>
      </c>
      <c r="P1943" s="21">
        <f>IF(E1943&lt;=90,"90 or less",IF(E1943&lt;=105,"91-105",IF(E1943&lt;=120,"106-120",IF(E1943&lt;=140,"121-140","Over 140"))))</f>
        <v/>
      </c>
      <c r="Q1943" s="28">
        <f>INT(C1943/10)*10</f>
        <v/>
      </c>
    </row>
    <row r="1944">
      <c r="A1944" s="21" t="n">
        <v>1983</v>
      </c>
      <c r="B1944" s="21" t="inlineStr">
        <is>
          <t>Mambo Italiano</t>
        </is>
      </c>
      <c r="C1944" s="21" t="n">
        <v>2003</v>
      </c>
      <c r="D1944" s="21" t="inlineStr">
        <is>
          <t>Canada</t>
        </is>
      </c>
      <c r="E1944" s="21" t="n">
        <v>92</v>
      </c>
      <c r="F1944" s="21" t="inlineStr">
        <is>
          <t>English</t>
        </is>
      </c>
      <c r="G1944" s="21" t="inlineStr">
        <is>
          <t>R</t>
        </is>
      </c>
      <c r="H1944" s="22" t="n">
        <v>6239558</v>
      </c>
      <c r="I1944" s="22" t="n">
        <v>5000000</v>
      </c>
      <c r="J1944" s="21">
        <f>IF(OR(H1944="",H1944=25529689.5),"Yes","No")</f>
        <v/>
      </c>
      <c r="K1944" s="21">
        <f>IF(AND(D1944="USA",C1944&gt;=1980,J1944="No"),"Yes","No")</f>
        <v/>
      </c>
      <c r="L1944" s="26">
        <f>IF(J1944="Yes","",H1944-I1944)</f>
        <v/>
      </c>
      <c r="M1944" s="27">
        <f>IF(OR(J1944="Yes",I1944=0),"",H1944/I1944)</f>
        <v/>
      </c>
      <c r="N1944" s="21">
        <f>IF(J1944="Yes","",IF(H1944&gt;=I1944,1,0))</f>
        <v/>
      </c>
      <c r="O1944" s="21">
        <f>IF(I1944&lt;=5000000,"Under $5M",IF(I1944&lt;=20000000,"$5M-20M",IF(I1944&lt;=50000000,"$20M-50M",IF(I1944&lt;=100000000,"$50M-100M","$100M+"))))</f>
        <v/>
      </c>
      <c r="P1944" s="21">
        <f>IF(E1944&lt;=90,"90 or less",IF(E1944&lt;=105,"91-105",IF(E1944&lt;=120,"106-120",IF(E1944&lt;=140,"121-140","Over 140"))))</f>
        <v/>
      </c>
      <c r="Q1944" s="28">
        <f>INT(C1944/10)*10</f>
        <v/>
      </c>
    </row>
    <row r="1945">
      <c r="A1945" s="21" t="n">
        <v>1984</v>
      </c>
      <c r="B1945" s="21" t="inlineStr">
        <is>
          <t>Marci X</t>
        </is>
      </c>
      <c r="C1945" s="21" t="n">
        <v>2003</v>
      </c>
      <c r="D1945" s="21" t="inlineStr">
        <is>
          <t>USA</t>
        </is>
      </c>
      <c r="E1945" s="21" t="n">
        <v>80</v>
      </c>
      <c r="F1945" s="21" t="inlineStr">
        <is>
          <t>English</t>
        </is>
      </c>
      <c r="G1945" s="21" t="inlineStr">
        <is>
          <t>R</t>
        </is>
      </c>
      <c r="H1945" s="22" t="n">
        <v>1646664</v>
      </c>
      <c r="I1945" s="22" t="n">
        <v>20000000</v>
      </c>
      <c r="J1945" s="21">
        <f>IF(OR(H1945="",H1945=25529689.5),"Yes","No")</f>
        <v/>
      </c>
      <c r="K1945" s="21">
        <f>IF(AND(D1945="USA",C1945&gt;=1980,J1945="No"),"Yes","No")</f>
        <v/>
      </c>
      <c r="L1945" s="26">
        <f>IF(J1945="Yes","",H1945-I1945)</f>
        <v/>
      </c>
      <c r="M1945" s="27">
        <f>IF(OR(J1945="Yes",I1945=0),"",H1945/I1945)</f>
        <v/>
      </c>
      <c r="N1945" s="21">
        <f>IF(J1945="Yes","",IF(H1945&gt;=I1945,1,0))</f>
        <v/>
      </c>
      <c r="O1945" s="21">
        <f>IF(I1945&lt;=5000000,"Under $5M",IF(I1945&lt;=20000000,"$5M-20M",IF(I1945&lt;=50000000,"$20M-50M",IF(I1945&lt;=100000000,"$50M-100M","$100M+"))))</f>
        <v/>
      </c>
      <c r="P1945" s="21">
        <f>IF(E1945&lt;=90,"90 or less",IF(E1945&lt;=105,"91-105",IF(E1945&lt;=120,"106-120",IF(E1945&lt;=140,"121-140","Over 140"))))</f>
        <v/>
      </c>
      <c r="Q1945" s="28">
        <f>INT(C1945/10)*10</f>
        <v/>
      </c>
    </row>
    <row r="1946">
      <c r="A1946" s="21" t="n">
        <v>1985</v>
      </c>
      <c r="B1946" s="21" t="inlineStr">
        <is>
          <t>Masked and Anonymous</t>
        </is>
      </c>
      <c r="C1946" s="21" t="n">
        <v>2003</v>
      </c>
      <c r="D1946" s="21" t="inlineStr">
        <is>
          <t>USA</t>
        </is>
      </c>
      <c r="E1946" s="21" t="n">
        <v>112</v>
      </c>
      <c r="F1946" s="21" t="inlineStr">
        <is>
          <t>English</t>
        </is>
      </c>
      <c r="G1946" s="21" t="inlineStr">
        <is>
          <t>PG-13</t>
        </is>
      </c>
      <c r="H1946" s="22" t="n">
        <v>533344</v>
      </c>
      <c r="I1946" s="22" t="n">
        <v>20000000</v>
      </c>
      <c r="J1946" s="21">
        <f>IF(OR(H1946="",H1946=25529689.5),"Yes","No")</f>
        <v/>
      </c>
      <c r="K1946" s="21">
        <f>IF(AND(D1946="USA",C1946&gt;=1980,J1946="No"),"Yes","No")</f>
        <v/>
      </c>
      <c r="L1946" s="26">
        <f>IF(J1946="Yes","",H1946-I1946)</f>
        <v/>
      </c>
      <c r="M1946" s="27">
        <f>IF(OR(J1946="Yes",I1946=0),"",H1946/I1946)</f>
        <v/>
      </c>
      <c r="N1946" s="21">
        <f>IF(J1946="Yes","",IF(H1946&gt;=I1946,1,0))</f>
        <v/>
      </c>
      <c r="O1946" s="21">
        <f>IF(I1946&lt;=5000000,"Under $5M",IF(I1946&lt;=20000000,"$5M-20M",IF(I1946&lt;=50000000,"$20M-50M",IF(I1946&lt;=100000000,"$50M-100M","$100M+"))))</f>
        <v/>
      </c>
      <c r="P1946" s="21">
        <f>IF(E1946&lt;=90,"90 or less",IF(E1946&lt;=105,"91-105",IF(E1946&lt;=120,"106-120",IF(E1946&lt;=140,"121-140","Over 140"))))</f>
        <v/>
      </c>
      <c r="Q1946" s="28">
        <f>INT(C1946/10)*10</f>
        <v/>
      </c>
    </row>
    <row r="1947">
      <c r="A1947" s="21" t="n">
        <v>1986</v>
      </c>
      <c r="B1947" s="21" t="inlineStr">
        <is>
          <t>Master and Commander: The Far Side of the World</t>
        </is>
      </c>
      <c r="C1947" s="21" t="n">
        <v>2003</v>
      </c>
      <c r="D1947" s="21" t="inlineStr">
        <is>
          <t>USA</t>
        </is>
      </c>
      <c r="E1947" s="21" t="n">
        <v>138</v>
      </c>
      <c r="F1947" s="21" t="inlineStr">
        <is>
          <t>English</t>
        </is>
      </c>
      <c r="G1947" s="21" t="inlineStr">
        <is>
          <t>PG-13</t>
        </is>
      </c>
      <c r="H1947" s="22" t="n">
        <v>93926386</v>
      </c>
      <c r="I1947" s="22" t="n">
        <v>150000000</v>
      </c>
      <c r="J1947" s="21">
        <f>IF(OR(H1947="",H1947=25529689.5),"Yes","No")</f>
        <v/>
      </c>
      <c r="K1947" s="21">
        <f>IF(AND(D1947="USA",C1947&gt;=1980,J1947="No"),"Yes","No")</f>
        <v/>
      </c>
      <c r="L1947" s="26">
        <f>IF(J1947="Yes","",H1947-I1947)</f>
        <v/>
      </c>
      <c r="M1947" s="27">
        <f>IF(OR(J1947="Yes",I1947=0),"",H1947/I1947)</f>
        <v/>
      </c>
      <c r="N1947" s="21">
        <f>IF(J1947="Yes","",IF(H1947&gt;=I1947,1,0))</f>
        <v/>
      </c>
      <c r="O1947" s="21">
        <f>IF(I1947&lt;=5000000,"Under $5M",IF(I1947&lt;=20000000,"$5M-20M",IF(I1947&lt;=50000000,"$20M-50M",IF(I1947&lt;=100000000,"$50M-100M","$100M+"))))</f>
        <v/>
      </c>
      <c r="P1947" s="21">
        <f>IF(E1947&lt;=90,"90 or less",IF(E1947&lt;=105,"91-105",IF(E1947&lt;=120,"106-120",IF(E1947&lt;=140,"121-140","Over 140"))))</f>
        <v/>
      </c>
      <c r="Q1947" s="28">
        <f>INT(C1947/10)*10</f>
        <v/>
      </c>
    </row>
    <row r="1948">
      <c r="A1948" s="21" t="n">
        <v>1987</v>
      </c>
      <c r="B1948" s="21" t="inlineStr">
        <is>
          <t>Mona Lisa Smile</t>
        </is>
      </c>
      <c r="C1948" s="21" t="n">
        <v>2003</v>
      </c>
      <c r="D1948" s="21" t="inlineStr">
        <is>
          <t>USA</t>
        </is>
      </c>
      <c r="E1948" s="21" t="n">
        <v>117</v>
      </c>
      <c r="F1948" s="21" t="inlineStr">
        <is>
          <t>English</t>
        </is>
      </c>
      <c r="G1948" s="21" t="inlineStr">
        <is>
          <t>PG-13</t>
        </is>
      </c>
      <c r="H1948" s="22" t="n">
        <v>63695760</v>
      </c>
      <c r="I1948" s="22" t="n">
        <v>65000000</v>
      </c>
      <c r="J1948" s="21">
        <f>IF(OR(H1948="",H1948=25529689.5),"Yes","No")</f>
        <v/>
      </c>
      <c r="K1948" s="21">
        <f>IF(AND(D1948="USA",C1948&gt;=1980,J1948="No"),"Yes","No")</f>
        <v/>
      </c>
      <c r="L1948" s="26">
        <f>IF(J1948="Yes","",H1948-I1948)</f>
        <v/>
      </c>
      <c r="M1948" s="27">
        <f>IF(OR(J1948="Yes",I1948=0),"",H1948/I1948)</f>
        <v/>
      </c>
      <c r="N1948" s="21">
        <f>IF(J1948="Yes","",IF(H1948&gt;=I1948,1,0))</f>
        <v/>
      </c>
      <c r="O1948" s="21">
        <f>IF(I1948&lt;=5000000,"Under $5M",IF(I1948&lt;=20000000,"$5M-20M",IF(I1948&lt;=50000000,"$20M-50M",IF(I1948&lt;=100000000,"$50M-100M","$100M+"))))</f>
        <v/>
      </c>
      <c r="P1948" s="21">
        <f>IF(E1948&lt;=90,"90 or less",IF(E1948&lt;=105,"91-105",IF(E1948&lt;=120,"106-120",IF(E1948&lt;=140,"121-140","Over 140"))))</f>
        <v/>
      </c>
      <c r="Q1948" s="28">
        <f>INT(C1948/10)*10</f>
        <v/>
      </c>
    </row>
    <row r="1949">
      <c r="A1949" s="21" t="n">
        <v>1988</v>
      </c>
      <c r="B1949" s="21" t="inlineStr">
        <is>
          <t>Monster</t>
        </is>
      </c>
      <c r="C1949" s="21" t="n">
        <v>2003</v>
      </c>
      <c r="D1949" s="21" t="inlineStr">
        <is>
          <t>USA</t>
        </is>
      </c>
      <c r="E1949" s="21" t="n">
        <v>109</v>
      </c>
      <c r="F1949" s="21" t="inlineStr">
        <is>
          <t>English</t>
        </is>
      </c>
      <c r="G1949" s="21" t="inlineStr">
        <is>
          <t>R</t>
        </is>
      </c>
      <c r="H1949" s="22" t="n">
        <v>34468224</v>
      </c>
      <c r="I1949" s="22" t="n">
        <v>4500000</v>
      </c>
      <c r="J1949" s="21">
        <f>IF(OR(H1949="",H1949=25529689.5),"Yes","No")</f>
        <v/>
      </c>
      <c r="K1949" s="21">
        <f>IF(AND(D1949="USA",C1949&gt;=1980,J1949="No"),"Yes","No")</f>
        <v/>
      </c>
      <c r="L1949" s="26">
        <f>IF(J1949="Yes","",H1949-I1949)</f>
        <v/>
      </c>
      <c r="M1949" s="27">
        <f>IF(OR(J1949="Yes",I1949=0),"",H1949/I1949)</f>
        <v/>
      </c>
      <c r="N1949" s="21">
        <f>IF(J1949="Yes","",IF(H1949&gt;=I1949,1,0))</f>
        <v/>
      </c>
      <c r="O1949" s="21">
        <f>IF(I1949&lt;=5000000,"Under $5M",IF(I1949&lt;=20000000,"$5M-20M",IF(I1949&lt;=50000000,"$20M-50M",IF(I1949&lt;=100000000,"$50M-100M","$100M+"))))</f>
        <v/>
      </c>
      <c r="P1949" s="21">
        <f>IF(E1949&lt;=90,"90 or less",IF(E1949&lt;=105,"91-105",IF(E1949&lt;=120,"106-120",IF(E1949&lt;=140,"121-140","Over 140"))))</f>
        <v/>
      </c>
      <c r="Q1949" s="28">
        <f>INT(C1949/10)*10</f>
        <v/>
      </c>
    </row>
    <row r="1950">
      <c r="A1950" s="21" t="n">
        <v>1989</v>
      </c>
      <c r="B1950" s="21" t="inlineStr">
        <is>
          <t>My Boss's Daughter</t>
        </is>
      </c>
      <c r="C1950" s="21" t="n">
        <v>2003</v>
      </c>
      <c r="D1950" s="21" t="inlineStr">
        <is>
          <t>USA</t>
        </is>
      </c>
      <c r="E1950" s="21" t="n">
        <v>90</v>
      </c>
      <c r="F1950" s="21" t="inlineStr">
        <is>
          <t>English</t>
        </is>
      </c>
      <c r="G1950" s="21" t="inlineStr">
        <is>
          <t>PG-13</t>
        </is>
      </c>
      <c r="H1950" s="22" t="n">
        <v>15549702</v>
      </c>
      <c r="I1950" s="22" t="n">
        <v>14000000</v>
      </c>
      <c r="J1950" s="21">
        <f>IF(OR(H1950="",H1950=25529689.5),"Yes","No")</f>
        <v/>
      </c>
      <c r="K1950" s="21">
        <f>IF(AND(D1950="USA",C1950&gt;=1980,J1950="No"),"Yes","No")</f>
        <v/>
      </c>
      <c r="L1950" s="26">
        <f>IF(J1950="Yes","",H1950-I1950)</f>
        <v/>
      </c>
      <c r="M1950" s="27">
        <f>IF(OR(J1950="Yes",I1950=0),"",H1950/I1950)</f>
        <v/>
      </c>
      <c r="N1950" s="21">
        <f>IF(J1950="Yes","",IF(H1950&gt;=I1950,1,0))</f>
        <v/>
      </c>
      <c r="O1950" s="21">
        <f>IF(I1950&lt;=5000000,"Under $5M",IF(I1950&lt;=20000000,"$5M-20M",IF(I1950&lt;=50000000,"$20M-50M",IF(I1950&lt;=100000000,"$50M-100M","$100M+"))))</f>
        <v/>
      </c>
      <c r="P1950" s="21">
        <f>IF(E1950&lt;=90,"90 or less",IF(E1950&lt;=105,"91-105",IF(E1950&lt;=120,"106-120",IF(E1950&lt;=140,"121-140","Over 140"))))</f>
        <v/>
      </c>
      <c r="Q1950" s="28">
        <f>INT(C1950/10)*10</f>
        <v/>
      </c>
    </row>
    <row r="1951">
      <c r="A1951" s="21" t="n">
        <v>1990</v>
      </c>
      <c r="B1951" s="21" t="inlineStr">
        <is>
          <t>My Life Without Me</t>
        </is>
      </c>
      <c r="C1951" s="21" t="n">
        <v>2003</v>
      </c>
      <c r="D1951" s="21" t="inlineStr">
        <is>
          <t>Spain</t>
        </is>
      </c>
      <c r="E1951" s="21" t="n">
        <v>106</v>
      </c>
      <c r="F1951" s="21" t="inlineStr">
        <is>
          <t>English</t>
        </is>
      </c>
      <c r="G1951" s="21" t="inlineStr">
        <is>
          <t>R</t>
        </is>
      </c>
      <c r="H1951" s="22" t="n">
        <v>395592</v>
      </c>
      <c r="I1951" s="22" t="n">
        <v>2000000</v>
      </c>
      <c r="J1951" s="21">
        <f>IF(OR(H1951="",H1951=25529689.5),"Yes","No")</f>
        <v/>
      </c>
      <c r="K1951" s="21">
        <f>IF(AND(D1951="USA",C1951&gt;=1980,J1951="No"),"Yes","No")</f>
        <v/>
      </c>
      <c r="L1951" s="26">
        <f>IF(J1951="Yes","",H1951-I1951)</f>
        <v/>
      </c>
      <c r="M1951" s="27">
        <f>IF(OR(J1951="Yes",I1951=0),"",H1951/I1951)</f>
        <v/>
      </c>
      <c r="N1951" s="21">
        <f>IF(J1951="Yes","",IF(H1951&gt;=I1951,1,0))</f>
        <v/>
      </c>
      <c r="O1951" s="21">
        <f>IF(I1951&lt;=5000000,"Under $5M",IF(I1951&lt;=20000000,"$5M-20M",IF(I1951&lt;=50000000,"$20M-50M",IF(I1951&lt;=100000000,"$50M-100M","$100M+"))))</f>
        <v/>
      </c>
      <c r="P1951" s="21">
        <f>IF(E1951&lt;=90,"90 or less",IF(E1951&lt;=105,"91-105",IF(E1951&lt;=120,"106-120",IF(E1951&lt;=140,"121-140","Over 140"))))</f>
        <v/>
      </c>
      <c r="Q1951" s="28">
        <f>INT(C1951/10)*10</f>
        <v/>
      </c>
    </row>
    <row r="1952">
      <c r="A1952" s="21" t="n">
        <v>1991</v>
      </c>
      <c r="B1952" s="21" t="inlineStr">
        <is>
          <t>Mystic River</t>
        </is>
      </c>
      <c r="C1952" s="21" t="n">
        <v>2003</v>
      </c>
      <c r="D1952" s="21" t="inlineStr">
        <is>
          <t>USA</t>
        </is>
      </c>
      <c r="E1952" s="21" t="n">
        <v>138</v>
      </c>
      <c r="F1952" s="21" t="inlineStr">
        <is>
          <t>English</t>
        </is>
      </c>
      <c r="G1952" s="21" t="inlineStr">
        <is>
          <t>R</t>
        </is>
      </c>
      <c r="H1952" s="22" t="n">
        <v>90135191</v>
      </c>
      <c r="I1952" s="22" t="n">
        <v>25000000</v>
      </c>
      <c r="J1952" s="21">
        <f>IF(OR(H1952="",H1952=25529689.5),"Yes","No")</f>
        <v/>
      </c>
      <c r="K1952" s="21">
        <f>IF(AND(D1952="USA",C1952&gt;=1980,J1952="No"),"Yes","No")</f>
        <v/>
      </c>
      <c r="L1952" s="26">
        <f>IF(J1952="Yes","",H1952-I1952)</f>
        <v/>
      </c>
      <c r="M1952" s="27">
        <f>IF(OR(J1952="Yes",I1952=0),"",H1952/I1952)</f>
        <v/>
      </c>
      <c r="N1952" s="21">
        <f>IF(J1952="Yes","",IF(H1952&gt;=I1952,1,0))</f>
        <v/>
      </c>
      <c r="O1952" s="21">
        <f>IF(I1952&lt;=5000000,"Under $5M",IF(I1952&lt;=20000000,"$5M-20M",IF(I1952&lt;=50000000,"$20M-50M",IF(I1952&lt;=100000000,"$50M-100M","$100M+"))))</f>
        <v/>
      </c>
      <c r="P1952" s="21">
        <f>IF(E1952&lt;=90,"90 or less",IF(E1952&lt;=105,"91-105",IF(E1952&lt;=120,"106-120",IF(E1952&lt;=140,"121-140","Over 140"))))</f>
        <v/>
      </c>
      <c r="Q1952" s="28">
        <f>INT(C1952/10)*10</f>
        <v/>
      </c>
    </row>
    <row r="1953">
      <c r="A1953" s="21" t="n">
        <v>1992</v>
      </c>
      <c r="B1953" s="21" t="inlineStr">
        <is>
          <t>Northfork</t>
        </is>
      </c>
      <c r="C1953" s="21" t="n">
        <v>2003</v>
      </c>
      <c r="D1953" s="21" t="inlineStr">
        <is>
          <t>USA</t>
        </is>
      </c>
      <c r="E1953" s="21" t="n">
        <v>103</v>
      </c>
      <c r="F1953" s="21" t="inlineStr">
        <is>
          <t>English</t>
        </is>
      </c>
      <c r="G1953" s="21" t="inlineStr">
        <is>
          <t>PG-13</t>
        </is>
      </c>
      <c r="H1953" s="22" t="n">
        <v>1420578</v>
      </c>
      <c r="I1953" s="22" t="n">
        <v>1900000</v>
      </c>
      <c r="J1953" s="21">
        <f>IF(OR(H1953="",H1953=25529689.5),"Yes","No")</f>
        <v/>
      </c>
      <c r="K1953" s="21">
        <f>IF(AND(D1953="USA",C1953&gt;=1980,J1953="No"),"Yes","No")</f>
        <v/>
      </c>
      <c r="L1953" s="26">
        <f>IF(J1953="Yes","",H1953-I1953)</f>
        <v/>
      </c>
      <c r="M1953" s="27">
        <f>IF(OR(J1953="Yes",I1953=0),"",H1953/I1953)</f>
        <v/>
      </c>
      <c r="N1953" s="21">
        <f>IF(J1953="Yes","",IF(H1953&gt;=I1953,1,0))</f>
        <v/>
      </c>
      <c r="O1953" s="21">
        <f>IF(I1953&lt;=5000000,"Under $5M",IF(I1953&lt;=20000000,"$5M-20M",IF(I1953&lt;=50000000,"$20M-50M",IF(I1953&lt;=100000000,"$50M-100M","$100M+"))))</f>
        <v/>
      </c>
      <c r="P1953" s="21">
        <f>IF(E1953&lt;=90,"90 or less",IF(E1953&lt;=105,"91-105",IF(E1953&lt;=120,"106-120",IF(E1953&lt;=140,"121-140","Over 140"))))</f>
        <v/>
      </c>
      <c r="Q1953" s="28">
        <f>INT(C1953/10)*10</f>
        <v/>
      </c>
    </row>
    <row r="1954">
      <c r="A1954" s="21" t="n">
        <v>1993</v>
      </c>
      <c r="B1954" s="21" t="inlineStr">
        <is>
          <t>Nothing</t>
        </is>
      </c>
      <c r="C1954" s="21" t="n">
        <v>2003</v>
      </c>
      <c r="D1954" s="21" t="inlineStr">
        <is>
          <t>Canada</t>
        </is>
      </c>
      <c r="E1954" s="21" t="n">
        <v>90</v>
      </c>
      <c r="F1954" s="21" t="inlineStr">
        <is>
          <t>English</t>
        </is>
      </c>
      <c r="G1954" s="21" t="inlineStr">
        <is>
          <t>R</t>
        </is>
      </c>
      <c r="H1954" s="22" t="n">
        <v>25529689.5</v>
      </c>
      <c r="I1954" s="22" t="n">
        <v>20000000</v>
      </c>
      <c r="J1954" s="21">
        <f>IF(OR(H1954="",H1954=25529689.5),"Yes","No")</f>
        <v/>
      </c>
      <c r="K1954" s="21">
        <f>IF(AND(D1954="USA",C1954&gt;=1980,J1954="No"),"Yes","No")</f>
        <v/>
      </c>
      <c r="L1954" s="26">
        <f>IF(J1954="Yes","",H1954-I1954)</f>
        <v/>
      </c>
      <c r="M1954" s="27">
        <f>IF(OR(J1954="Yes",I1954=0),"",H1954/I1954)</f>
        <v/>
      </c>
      <c r="N1954" s="21">
        <f>IF(J1954="Yes","",IF(H1954&gt;=I1954,1,0))</f>
        <v/>
      </c>
      <c r="O1954" s="21">
        <f>IF(I1954&lt;=5000000,"Under $5M",IF(I1954&lt;=20000000,"$5M-20M",IF(I1954&lt;=50000000,"$20M-50M",IF(I1954&lt;=100000000,"$50M-100M","$100M+"))))</f>
        <v/>
      </c>
      <c r="P1954" s="21">
        <f>IF(E1954&lt;=90,"90 or less",IF(E1954&lt;=105,"91-105",IF(E1954&lt;=120,"106-120",IF(E1954&lt;=140,"121-140","Over 140"))))</f>
        <v/>
      </c>
      <c r="Q1954" s="28">
        <f>INT(C1954/10)*10</f>
        <v/>
      </c>
    </row>
    <row r="1955">
      <c r="A1955" s="21" t="n">
        <v>1994</v>
      </c>
      <c r="B1955" s="21" t="inlineStr">
        <is>
          <t>Old School</t>
        </is>
      </c>
      <c r="C1955" s="21" t="n">
        <v>2003</v>
      </c>
      <c r="D1955" s="21" t="inlineStr">
        <is>
          <t>USA</t>
        </is>
      </c>
      <c r="E1955" s="21" t="n">
        <v>88</v>
      </c>
      <c r="F1955" s="21" t="inlineStr">
        <is>
          <t>English</t>
        </is>
      </c>
      <c r="G1955" s="21" t="inlineStr">
        <is>
          <t>R</t>
        </is>
      </c>
      <c r="H1955" s="22" t="n">
        <v>74608545</v>
      </c>
      <c r="I1955" s="22" t="n">
        <v>24000000</v>
      </c>
      <c r="J1955" s="21">
        <f>IF(OR(H1955="",H1955=25529689.5),"Yes","No")</f>
        <v/>
      </c>
      <c r="K1955" s="21">
        <f>IF(AND(D1955="USA",C1955&gt;=1980,J1955="No"),"Yes","No")</f>
        <v/>
      </c>
      <c r="L1955" s="26">
        <f>IF(J1955="Yes","",H1955-I1955)</f>
        <v/>
      </c>
      <c r="M1955" s="27">
        <f>IF(OR(J1955="Yes",I1955=0),"",H1955/I1955)</f>
        <v/>
      </c>
      <c r="N1955" s="21">
        <f>IF(J1955="Yes","",IF(H1955&gt;=I1955,1,0))</f>
        <v/>
      </c>
      <c r="O1955" s="21">
        <f>IF(I1955&lt;=5000000,"Under $5M",IF(I1955&lt;=20000000,"$5M-20M",IF(I1955&lt;=50000000,"$20M-50M",IF(I1955&lt;=100000000,"$50M-100M","$100M+"))))</f>
        <v/>
      </c>
      <c r="P1955" s="21">
        <f>IF(E1955&lt;=90,"90 or less",IF(E1955&lt;=105,"91-105",IF(E1955&lt;=120,"106-120",IF(E1955&lt;=140,"121-140","Over 140"))))</f>
        <v/>
      </c>
      <c r="Q1955" s="28">
        <f>INT(C1955/10)*10</f>
        <v/>
      </c>
    </row>
    <row r="1956">
      <c r="A1956" s="21" t="n">
        <v>1995</v>
      </c>
      <c r="B1956" s="21" t="inlineStr">
        <is>
          <t>Oldboy</t>
        </is>
      </c>
      <c r="C1956" s="21" t="n">
        <v>2003</v>
      </c>
      <c r="D1956" s="21" t="inlineStr">
        <is>
          <t>South Korea</t>
        </is>
      </c>
      <c r="E1956" s="21" t="n">
        <v>120</v>
      </c>
      <c r="F1956" s="21" t="inlineStr">
        <is>
          <t>Korean</t>
        </is>
      </c>
      <c r="G1956" s="21" t="inlineStr">
        <is>
          <t>R</t>
        </is>
      </c>
      <c r="H1956" s="22" t="n">
        <v>2181290</v>
      </c>
      <c r="I1956" s="22" t="n">
        <v>3000000</v>
      </c>
      <c r="J1956" s="21">
        <f>IF(OR(H1956="",H1956=25529689.5),"Yes","No")</f>
        <v/>
      </c>
      <c r="K1956" s="21">
        <f>IF(AND(D1956="USA",C1956&gt;=1980,J1956="No"),"Yes","No")</f>
        <v/>
      </c>
      <c r="L1956" s="26">
        <f>IF(J1956="Yes","",H1956-I1956)</f>
        <v/>
      </c>
      <c r="M1956" s="27">
        <f>IF(OR(J1956="Yes",I1956=0),"",H1956/I1956)</f>
        <v/>
      </c>
      <c r="N1956" s="21">
        <f>IF(J1956="Yes","",IF(H1956&gt;=I1956,1,0))</f>
        <v/>
      </c>
      <c r="O1956" s="21">
        <f>IF(I1956&lt;=5000000,"Under $5M",IF(I1956&lt;=20000000,"$5M-20M",IF(I1956&lt;=50000000,"$20M-50M",IF(I1956&lt;=100000000,"$50M-100M","$100M+"))))</f>
        <v/>
      </c>
      <c r="P1956" s="21">
        <f>IF(E1956&lt;=90,"90 or less",IF(E1956&lt;=105,"91-105",IF(E1956&lt;=120,"106-120",IF(E1956&lt;=140,"121-140","Over 140"))))</f>
        <v/>
      </c>
      <c r="Q1956" s="28">
        <f>INT(C1956/10)*10</f>
        <v/>
      </c>
    </row>
    <row r="1957">
      <c r="A1957" s="21" t="n">
        <v>1996</v>
      </c>
      <c r="B1957" s="21" t="inlineStr">
        <is>
          <t>Once Upon a Time in Mexico</t>
        </is>
      </c>
      <c r="C1957" s="21" t="n">
        <v>2003</v>
      </c>
      <c r="D1957" s="21" t="inlineStr">
        <is>
          <t>USA</t>
        </is>
      </c>
      <c r="E1957" s="21" t="n">
        <v>102</v>
      </c>
      <c r="F1957" s="21" t="inlineStr">
        <is>
          <t>English</t>
        </is>
      </c>
      <c r="G1957" s="21" t="inlineStr">
        <is>
          <t>R</t>
        </is>
      </c>
      <c r="H1957" s="22" t="n">
        <v>55845943</v>
      </c>
      <c r="I1957" s="22" t="n">
        <v>29000000</v>
      </c>
      <c r="J1957" s="21">
        <f>IF(OR(H1957="",H1957=25529689.5),"Yes","No")</f>
        <v/>
      </c>
      <c r="K1957" s="21">
        <f>IF(AND(D1957="USA",C1957&gt;=1980,J1957="No"),"Yes","No")</f>
        <v/>
      </c>
      <c r="L1957" s="26">
        <f>IF(J1957="Yes","",H1957-I1957)</f>
        <v/>
      </c>
      <c r="M1957" s="27">
        <f>IF(OR(J1957="Yes",I1957=0),"",H1957/I1957)</f>
        <v/>
      </c>
      <c r="N1957" s="21">
        <f>IF(J1957="Yes","",IF(H1957&gt;=I1957,1,0))</f>
        <v/>
      </c>
      <c r="O1957" s="21">
        <f>IF(I1957&lt;=5000000,"Under $5M",IF(I1957&lt;=20000000,"$5M-20M",IF(I1957&lt;=50000000,"$20M-50M",IF(I1957&lt;=100000000,"$50M-100M","$100M+"))))</f>
        <v/>
      </c>
      <c r="P1957" s="21">
        <f>IF(E1957&lt;=90,"90 or less",IF(E1957&lt;=105,"91-105",IF(E1957&lt;=120,"106-120",IF(E1957&lt;=140,"121-140","Over 140"))))</f>
        <v/>
      </c>
      <c r="Q1957" s="28">
        <f>INT(C1957/10)*10</f>
        <v/>
      </c>
    </row>
    <row r="1958">
      <c r="A1958" s="21" t="n">
        <v>1997</v>
      </c>
      <c r="B1958" s="21" t="inlineStr">
        <is>
          <t>Open Range</t>
        </is>
      </c>
      <c r="C1958" s="21" t="n">
        <v>2003</v>
      </c>
      <c r="D1958" s="21" t="inlineStr">
        <is>
          <t>USA</t>
        </is>
      </c>
      <c r="E1958" s="21" t="n">
        <v>139</v>
      </c>
      <c r="F1958" s="21" t="inlineStr">
        <is>
          <t>English</t>
        </is>
      </c>
      <c r="G1958" s="21" t="inlineStr">
        <is>
          <t>R</t>
        </is>
      </c>
      <c r="H1958" s="22" t="n">
        <v>58328680</v>
      </c>
      <c r="I1958" s="22" t="n">
        <v>22000000</v>
      </c>
      <c r="J1958" s="21">
        <f>IF(OR(H1958="",H1958=25529689.5),"Yes","No")</f>
        <v/>
      </c>
      <c r="K1958" s="21">
        <f>IF(AND(D1958="USA",C1958&gt;=1980,J1958="No"),"Yes","No")</f>
        <v/>
      </c>
      <c r="L1958" s="26">
        <f>IF(J1958="Yes","",H1958-I1958)</f>
        <v/>
      </c>
      <c r="M1958" s="27">
        <f>IF(OR(J1958="Yes",I1958=0),"",H1958/I1958)</f>
        <v/>
      </c>
      <c r="N1958" s="21">
        <f>IF(J1958="Yes","",IF(H1958&gt;=I1958,1,0))</f>
        <v/>
      </c>
      <c r="O1958" s="21">
        <f>IF(I1958&lt;=5000000,"Under $5M",IF(I1958&lt;=20000000,"$5M-20M",IF(I1958&lt;=50000000,"$20M-50M",IF(I1958&lt;=100000000,"$50M-100M","$100M+"))))</f>
        <v/>
      </c>
      <c r="P1958" s="21">
        <f>IF(E1958&lt;=90,"90 or less",IF(E1958&lt;=105,"91-105",IF(E1958&lt;=120,"106-120",IF(E1958&lt;=140,"121-140","Over 140"))))</f>
        <v/>
      </c>
      <c r="Q1958" s="28">
        <f>INT(C1958/10)*10</f>
        <v/>
      </c>
    </row>
    <row r="1959">
      <c r="A1959" s="21" t="n">
        <v>1998</v>
      </c>
      <c r="B1959" s="21" t="inlineStr">
        <is>
          <t>Open Water</t>
        </is>
      </c>
      <c r="C1959" s="21" t="n">
        <v>2003</v>
      </c>
      <c r="D1959" s="21" t="inlineStr">
        <is>
          <t>USA</t>
        </is>
      </c>
      <c r="E1959" s="21" t="n">
        <v>79</v>
      </c>
      <c r="F1959" s="21" t="inlineStr">
        <is>
          <t>English</t>
        </is>
      </c>
      <c r="G1959" s="21" t="inlineStr">
        <is>
          <t>R</t>
        </is>
      </c>
      <c r="H1959" s="22" t="n">
        <v>30500882</v>
      </c>
      <c r="I1959" s="22" t="n">
        <v>500000</v>
      </c>
      <c r="J1959" s="21">
        <f>IF(OR(H1959="",H1959=25529689.5),"Yes","No")</f>
        <v/>
      </c>
      <c r="K1959" s="21">
        <f>IF(AND(D1959="USA",C1959&gt;=1980,J1959="No"),"Yes","No")</f>
        <v/>
      </c>
      <c r="L1959" s="26">
        <f>IF(J1959="Yes","",H1959-I1959)</f>
        <v/>
      </c>
      <c r="M1959" s="27">
        <f>IF(OR(J1959="Yes",I1959=0),"",H1959/I1959)</f>
        <v/>
      </c>
      <c r="N1959" s="21">
        <f>IF(J1959="Yes","",IF(H1959&gt;=I1959,1,0))</f>
        <v/>
      </c>
      <c r="O1959" s="21">
        <f>IF(I1959&lt;=5000000,"Under $5M",IF(I1959&lt;=20000000,"$5M-20M",IF(I1959&lt;=50000000,"$20M-50M",IF(I1959&lt;=100000000,"$50M-100M","$100M+"))))</f>
        <v/>
      </c>
      <c r="P1959" s="21">
        <f>IF(E1959&lt;=90,"90 or less",IF(E1959&lt;=105,"91-105",IF(E1959&lt;=120,"106-120",IF(E1959&lt;=140,"121-140","Over 140"))))</f>
        <v/>
      </c>
      <c r="Q1959" s="28">
        <f>INT(C1959/10)*10</f>
        <v/>
      </c>
    </row>
    <row r="1960">
      <c r="A1960" s="21" t="n">
        <v>1999</v>
      </c>
      <c r="B1960" s="21" t="inlineStr">
        <is>
          <t>Osama</t>
        </is>
      </c>
      <c r="C1960" s="21" t="n">
        <v>2003</v>
      </c>
      <c r="D1960" s="21" t="inlineStr">
        <is>
          <t>Afghanistan</t>
        </is>
      </c>
      <c r="E1960" s="21" t="n">
        <v>83</v>
      </c>
      <c r="F1960" s="21" t="inlineStr">
        <is>
          <t>Dari</t>
        </is>
      </c>
      <c r="G1960" s="21" t="inlineStr">
        <is>
          <t>PG-13</t>
        </is>
      </c>
      <c r="H1960" s="22" t="n">
        <v>1127331</v>
      </c>
      <c r="I1960" s="22" t="n">
        <v>46000</v>
      </c>
      <c r="J1960" s="21">
        <f>IF(OR(H1960="",H1960=25529689.5),"Yes","No")</f>
        <v/>
      </c>
      <c r="K1960" s="21">
        <f>IF(AND(D1960="USA",C1960&gt;=1980,J1960="No"),"Yes","No")</f>
        <v/>
      </c>
      <c r="L1960" s="26">
        <f>IF(J1960="Yes","",H1960-I1960)</f>
        <v/>
      </c>
      <c r="M1960" s="27">
        <f>IF(OR(J1960="Yes",I1960=0),"",H1960/I1960)</f>
        <v/>
      </c>
      <c r="N1960" s="21">
        <f>IF(J1960="Yes","",IF(H1960&gt;=I1960,1,0))</f>
        <v/>
      </c>
      <c r="O1960" s="21">
        <f>IF(I1960&lt;=5000000,"Under $5M",IF(I1960&lt;=20000000,"$5M-20M",IF(I1960&lt;=50000000,"$20M-50M",IF(I1960&lt;=100000000,"$50M-100M","$100M+"))))</f>
        <v/>
      </c>
      <c r="P1960" s="21">
        <f>IF(E1960&lt;=90,"90 or less",IF(E1960&lt;=105,"91-105",IF(E1960&lt;=120,"106-120",IF(E1960&lt;=140,"121-140","Over 140"))))</f>
        <v/>
      </c>
      <c r="Q1960" s="28">
        <f>INT(C1960/10)*10</f>
        <v/>
      </c>
    </row>
    <row r="1961">
      <c r="A1961" s="21" t="n">
        <v>2000</v>
      </c>
      <c r="B1961" s="21" t="inlineStr">
        <is>
          <t>Out of Time</t>
        </is>
      </c>
      <c r="C1961" s="21" t="n">
        <v>2003</v>
      </c>
      <c r="D1961" s="21" t="inlineStr">
        <is>
          <t>USA</t>
        </is>
      </c>
      <c r="E1961" s="21" t="n">
        <v>114</v>
      </c>
      <c r="F1961" s="21" t="inlineStr">
        <is>
          <t>English</t>
        </is>
      </c>
      <c r="G1961" s="21" t="inlineStr">
        <is>
          <t>R</t>
        </is>
      </c>
      <c r="H1961" s="22" t="n">
        <v>40905277</v>
      </c>
      <c r="I1961" s="22" t="n">
        <v>50000000</v>
      </c>
      <c r="J1961" s="21">
        <f>IF(OR(H1961="",H1961=25529689.5),"Yes","No")</f>
        <v/>
      </c>
      <c r="K1961" s="21">
        <f>IF(AND(D1961="USA",C1961&gt;=1980,J1961="No"),"Yes","No")</f>
        <v/>
      </c>
      <c r="L1961" s="26">
        <f>IF(J1961="Yes","",H1961-I1961)</f>
        <v/>
      </c>
      <c r="M1961" s="27">
        <f>IF(OR(J1961="Yes",I1961=0),"",H1961/I1961)</f>
        <v/>
      </c>
      <c r="N1961" s="21">
        <f>IF(J1961="Yes","",IF(H1961&gt;=I1961,1,0))</f>
        <v/>
      </c>
      <c r="O1961" s="21">
        <f>IF(I1961&lt;=5000000,"Under $5M",IF(I1961&lt;=20000000,"$5M-20M",IF(I1961&lt;=50000000,"$20M-50M",IF(I1961&lt;=100000000,"$50M-100M","$100M+"))))</f>
        <v/>
      </c>
      <c r="P1961" s="21">
        <f>IF(E1961&lt;=90,"90 or less",IF(E1961&lt;=105,"91-105",IF(E1961&lt;=120,"106-120",IF(E1961&lt;=140,"121-140","Over 140"))))</f>
        <v/>
      </c>
      <c r="Q1961" s="28">
        <f>INT(C1961/10)*10</f>
        <v/>
      </c>
    </row>
    <row r="1962">
      <c r="A1962" s="21" t="n">
        <v>2001</v>
      </c>
      <c r="B1962" s="21" t="inlineStr">
        <is>
          <t>Owning Mahowny</t>
        </is>
      </c>
      <c r="C1962" s="21" t="n">
        <v>2003</v>
      </c>
      <c r="D1962" s="21" t="inlineStr">
        <is>
          <t>Canada</t>
        </is>
      </c>
      <c r="E1962" s="21" t="n">
        <v>104</v>
      </c>
      <c r="F1962" s="21" t="inlineStr">
        <is>
          <t>English</t>
        </is>
      </c>
      <c r="G1962" s="21" t="inlineStr">
        <is>
          <t>R</t>
        </is>
      </c>
      <c r="H1962" s="22" t="n">
        <v>1011054</v>
      </c>
      <c r="I1962" s="22" t="n">
        <v>10000000</v>
      </c>
      <c r="J1962" s="21">
        <f>IF(OR(H1962="",H1962=25529689.5),"Yes","No")</f>
        <v/>
      </c>
      <c r="K1962" s="21">
        <f>IF(AND(D1962="USA",C1962&gt;=1980,J1962="No"),"Yes","No")</f>
        <v/>
      </c>
      <c r="L1962" s="26">
        <f>IF(J1962="Yes","",H1962-I1962)</f>
        <v/>
      </c>
      <c r="M1962" s="27">
        <f>IF(OR(J1962="Yes",I1962=0),"",H1962/I1962)</f>
        <v/>
      </c>
      <c r="N1962" s="21">
        <f>IF(J1962="Yes","",IF(H1962&gt;=I1962,1,0))</f>
        <v/>
      </c>
      <c r="O1962" s="21">
        <f>IF(I1962&lt;=5000000,"Under $5M",IF(I1962&lt;=20000000,"$5M-20M",IF(I1962&lt;=50000000,"$20M-50M",IF(I1962&lt;=100000000,"$50M-100M","$100M+"))))</f>
        <v/>
      </c>
      <c r="P1962" s="21">
        <f>IF(E1962&lt;=90,"90 or less",IF(E1962&lt;=105,"91-105",IF(E1962&lt;=120,"106-120",IF(E1962&lt;=140,"121-140","Over 140"))))</f>
        <v/>
      </c>
      <c r="Q1962" s="28">
        <f>INT(C1962/10)*10</f>
        <v/>
      </c>
    </row>
    <row r="1963">
      <c r="A1963" s="21" t="n">
        <v>2002</v>
      </c>
      <c r="B1963" s="21" t="inlineStr">
        <is>
          <t>Party Monster</t>
        </is>
      </c>
      <c r="C1963" s="21" t="n">
        <v>2003</v>
      </c>
      <c r="D1963" s="21" t="inlineStr">
        <is>
          <t>USA</t>
        </is>
      </c>
      <c r="E1963" s="21" t="n">
        <v>98</v>
      </c>
      <c r="F1963" s="21" t="inlineStr">
        <is>
          <t>English</t>
        </is>
      </c>
      <c r="G1963" s="21" t="inlineStr">
        <is>
          <t>R</t>
        </is>
      </c>
      <c r="H1963" s="22" t="n">
        <v>296665</v>
      </c>
      <c r="I1963" s="22" t="n">
        <v>5000000</v>
      </c>
      <c r="J1963" s="21">
        <f>IF(OR(H1963="",H1963=25529689.5),"Yes","No")</f>
        <v/>
      </c>
      <c r="K1963" s="21">
        <f>IF(AND(D1963="USA",C1963&gt;=1980,J1963="No"),"Yes","No")</f>
        <v/>
      </c>
      <c r="L1963" s="26">
        <f>IF(J1963="Yes","",H1963-I1963)</f>
        <v/>
      </c>
      <c r="M1963" s="27">
        <f>IF(OR(J1963="Yes",I1963=0),"",H1963/I1963)</f>
        <v/>
      </c>
      <c r="N1963" s="21">
        <f>IF(J1963="Yes","",IF(H1963&gt;=I1963,1,0))</f>
        <v/>
      </c>
      <c r="O1963" s="21">
        <f>IF(I1963&lt;=5000000,"Under $5M",IF(I1963&lt;=20000000,"$5M-20M",IF(I1963&lt;=50000000,"$20M-50M",IF(I1963&lt;=100000000,"$50M-100M","$100M+"))))</f>
        <v/>
      </c>
      <c r="P1963" s="21">
        <f>IF(E1963&lt;=90,"90 or less",IF(E1963&lt;=105,"91-105",IF(E1963&lt;=120,"106-120",IF(E1963&lt;=140,"121-140","Over 140"))))</f>
        <v/>
      </c>
      <c r="Q1963" s="28">
        <f>INT(C1963/10)*10</f>
        <v/>
      </c>
    </row>
    <row r="1964">
      <c r="A1964" s="21" t="n">
        <v>2003</v>
      </c>
      <c r="B1964" s="21" t="inlineStr">
        <is>
          <t>Paycheck</t>
        </is>
      </c>
      <c r="C1964" s="21" t="n">
        <v>2003</v>
      </c>
      <c r="D1964" s="21" t="inlineStr">
        <is>
          <t>USA</t>
        </is>
      </c>
      <c r="E1964" s="21" t="n">
        <v>119</v>
      </c>
      <c r="F1964" s="21" t="inlineStr">
        <is>
          <t>English</t>
        </is>
      </c>
      <c r="G1964" s="21" t="inlineStr">
        <is>
          <t>PG-13</t>
        </is>
      </c>
      <c r="H1964" s="22" t="n">
        <v>53789313</v>
      </c>
      <c r="I1964" s="22" t="n">
        <v>60000000</v>
      </c>
      <c r="J1964" s="21">
        <f>IF(OR(H1964="",H1964=25529689.5),"Yes","No")</f>
        <v/>
      </c>
      <c r="K1964" s="21">
        <f>IF(AND(D1964="USA",C1964&gt;=1980,J1964="No"),"Yes","No")</f>
        <v/>
      </c>
      <c r="L1964" s="26">
        <f>IF(J1964="Yes","",H1964-I1964)</f>
        <v/>
      </c>
      <c r="M1964" s="27">
        <f>IF(OR(J1964="Yes",I1964=0),"",H1964/I1964)</f>
        <v/>
      </c>
      <c r="N1964" s="21">
        <f>IF(J1964="Yes","",IF(H1964&gt;=I1964,1,0))</f>
        <v/>
      </c>
      <c r="O1964" s="21">
        <f>IF(I1964&lt;=5000000,"Under $5M",IF(I1964&lt;=20000000,"$5M-20M",IF(I1964&lt;=50000000,"$20M-50M",IF(I1964&lt;=100000000,"$50M-100M","$100M+"))))</f>
        <v/>
      </c>
      <c r="P1964" s="21">
        <f>IF(E1964&lt;=90,"90 or less",IF(E1964&lt;=105,"91-105",IF(E1964&lt;=120,"106-120",IF(E1964&lt;=140,"121-140","Over 140"))))</f>
        <v/>
      </c>
      <c r="Q1964" s="28">
        <f>INT(C1964/10)*10</f>
        <v/>
      </c>
    </row>
    <row r="1965">
      <c r="A1965" s="21" t="n">
        <v>2004</v>
      </c>
      <c r="B1965" s="21" t="inlineStr">
        <is>
          <t>Pieces of April</t>
        </is>
      </c>
      <c r="C1965" s="21" t="n">
        <v>2003</v>
      </c>
      <c r="D1965" s="21" t="inlineStr">
        <is>
          <t>USA</t>
        </is>
      </c>
      <c r="E1965" s="21" t="n">
        <v>80</v>
      </c>
      <c r="F1965" s="21" t="inlineStr">
        <is>
          <t>English</t>
        </is>
      </c>
      <c r="G1965" s="21" t="inlineStr">
        <is>
          <t>PG-13</t>
        </is>
      </c>
      <c r="H1965" s="22" t="n">
        <v>2360184</v>
      </c>
      <c r="I1965" s="22" t="n">
        <v>300000</v>
      </c>
      <c r="J1965" s="21">
        <f>IF(OR(H1965="",H1965=25529689.5),"Yes","No")</f>
        <v/>
      </c>
      <c r="K1965" s="21">
        <f>IF(AND(D1965="USA",C1965&gt;=1980,J1965="No"),"Yes","No")</f>
        <v/>
      </c>
      <c r="L1965" s="26">
        <f>IF(J1965="Yes","",H1965-I1965)</f>
        <v/>
      </c>
      <c r="M1965" s="27">
        <f>IF(OR(J1965="Yes",I1965=0),"",H1965/I1965)</f>
        <v/>
      </c>
      <c r="N1965" s="21">
        <f>IF(J1965="Yes","",IF(H1965&gt;=I1965,1,0))</f>
        <v/>
      </c>
      <c r="O1965" s="21">
        <f>IF(I1965&lt;=5000000,"Under $5M",IF(I1965&lt;=20000000,"$5M-20M",IF(I1965&lt;=50000000,"$20M-50M",IF(I1965&lt;=100000000,"$50M-100M","$100M+"))))</f>
        <v/>
      </c>
      <c r="P1965" s="21">
        <f>IF(E1965&lt;=90,"90 or less",IF(E1965&lt;=105,"91-105",IF(E1965&lt;=120,"106-120",IF(E1965&lt;=140,"121-140","Over 140"))))</f>
        <v/>
      </c>
      <c r="Q1965" s="28">
        <f>INT(C1965/10)*10</f>
        <v/>
      </c>
    </row>
    <row r="1966">
      <c r="A1966" s="21" t="n">
        <v>2005</v>
      </c>
      <c r="B1966" s="21" t="inlineStr">
        <is>
          <t>Pirates of the Caribbean: The Curse of the Black Pearl</t>
        </is>
      </c>
      <c r="C1966" s="21" t="n">
        <v>2003</v>
      </c>
      <c r="D1966" s="21" t="inlineStr">
        <is>
          <t>USA</t>
        </is>
      </c>
      <c r="E1966" s="21" t="n">
        <v>143</v>
      </c>
      <c r="F1966" s="21" t="inlineStr">
        <is>
          <t>English</t>
        </is>
      </c>
      <c r="G1966" s="21" t="inlineStr">
        <is>
          <t>PG-13</t>
        </is>
      </c>
      <c r="H1966" s="22" t="n">
        <v>305388685</v>
      </c>
      <c r="I1966" s="22" t="n">
        <v>140000000</v>
      </c>
      <c r="J1966" s="21">
        <f>IF(OR(H1966="",H1966=25529689.5),"Yes","No")</f>
        <v/>
      </c>
      <c r="K1966" s="21">
        <f>IF(AND(D1966="USA",C1966&gt;=1980,J1966="No"),"Yes","No")</f>
        <v/>
      </c>
      <c r="L1966" s="26">
        <f>IF(J1966="Yes","",H1966-I1966)</f>
        <v/>
      </c>
      <c r="M1966" s="27">
        <f>IF(OR(J1966="Yes",I1966=0),"",H1966/I1966)</f>
        <v/>
      </c>
      <c r="N1966" s="21">
        <f>IF(J1966="Yes","",IF(H1966&gt;=I1966,1,0))</f>
        <v/>
      </c>
      <c r="O1966" s="21">
        <f>IF(I1966&lt;=5000000,"Under $5M",IF(I1966&lt;=20000000,"$5M-20M",IF(I1966&lt;=50000000,"$20M-50M",IF(I1966&lt;=100000000,"$50M-100M","$100M+"))))</f>
        <v/>
      </c>
      <c r="P1966" s="21">
        <f>IF(E1966&lt;=90,"90 or less",IF(E1966&lt;=105,"91-105",IF(E1966&lt;=120,"106-120",IF(E1966&lt;=140,"121-140","Over 140"))))</f>
        <v/>
      </c>
      <c r="Q1966" s="28">
        <f>INT(C1966/10)*10</f>
        <v/>
      </c>
    </row>
    <row r="1967">
      <c r="A1967" s="21" t="n">
        <v>2006</v>
      </c>
      <c r="B1967" s="21" t="inlineStr">
        <is>
          <t>Radio</t>
        </is>
      </c>
      <c r="C1967" s="21" t="n">
        <v>2003</v>
      </c>
      <c r="D1967" s="21" t="inlineStr">
        <is>
          <t>USA</t>
        </is>
      </c>
      <c r="E1967" s="21" t="n">
        <v>109</v>
      </c>
      <c r="F1967" s="21" t="inlineStr">
        <is>
          <t>English</t>
        </is>
      </c>
      <c r="G1967" s="21" t="inlineStr">
        <is>
          <t>PG</t>
        </is>
      </c>
      <c r="H1967" s="22" t="n">
        <v>52277485</v>
      </c>
      <c r="I1967" s="22" t="n">
        <v>35000000</v>
      </c>
      <c r="J1967" s="21">
        <f>IF(OR(H1967="",H1967=25529689.5),"Yes","No")</f>
        <v/>
      </c>
      <c r="K1967" s="21">
        <f>IF(AND(D1967="USA",C1967&gt;=1980,J1967="No"),"Yes","No")</f>
        <v/>
      </c>
      <c r="L1967" s="26">
        <f>IF(J1967="Yes","",H1967-I1967)</f>
        <v/>
      </c>
      <c r="M1967" s="27">
        <f>IF(OR(J1967="Yes",I1967=0),"",H1967/I1967)</f>
        <v/>
      </c>
      <c r="N1967" s="21">
        <f>IF(J1967="Yes","",IF(H1967&gt;=I1967,1,0))</f>
        <v/>
      </c>
      <c r="O1967" s="21">
        <f>IF(I1967&lt;=5000000,"Under $5M",IF(I1967&lt;=20000000,"$5M-20M",IF(I1967&lt;=50000000,"$20M-50M",IF(I1967&lt;=100000000,"$50M-100M","$100M+"))))</f>
        <v/>
      </c>
      <c r="P1967" s="21">
        <f>IF(E1967&lt;=90,"90 or less",IF(E1967&lt;=105,"91-105",IF(E1967&lt;=120,"106-120",IF(E1967&lt;=140,"121-140","Over 140"))))</f>
        <v/>
      </c>
      <c r="Q1967" s="28">
        <f>INT(C1967/10)*10</f>
        <v/>
      </c>
    </row>
    <row r="1968">
      <c r="A1968" s="21" t="n">
        <v>2007</v>
      </c>
      <c r="B1968" s="21" t="inlineStr">
        <is>
          <t>Remember Me, My Love</t>
        </is>
      </c>
      <c r="C1968" s="21" t="n">
        <v>2003</v>
      </c>
      <c r="D1968" s="21" t="inlineStr">
        <is>
          <t>Italy</t>
        </is>
      </c>
      <c r="E1968" s="21" t="n">
        <v>125</v>
      </c>
      <c r="F1968" s="21" t="inlineStr">
        <is>
          <t>Italian</t>
        </is>
      </c>
      <c r="G1968" s="21" t="inlineStr">
        <is>
          <t>R</t>
        </is>
      </c>
      <c r="H1968" s="22" t="n">
        <v>223878</v>
      </c>
      <c r="I1968" s="22" t="n">
        <v>5000000</v>
      </c>
      <c r="J1968" s="21">
        <f>IF(OR(H1968="",H1968=25529689.5),"Yes","No")</f>
        <v/>
      </c>
      <c r="K1968" s="21">
        <f>IF(AND(D1968="USA",C1968&gt;=1980,J1968="No"),"Yes","No")</f>
        <v/>
      </c>
      <c r="L1968" s="26">
        <f>IF(J1968="Yes","",H1968-I1968)</f>
        <v/>
      </c>
      <c r="M1968" s="27">
        <f>IF(OR(J1968="Yes",I1968=0),"",H1968/I1968)</f>
        <v/>
      </c>
      <c r="N1968" s="21">
        <f>IF(J1968="Yes","",IF(H1968&gt;=I1968,1,0))</f>
        <v/>
      </c>
      <c r="O1968" s="21">
        <f>IF(I1968&lt;=5000000,"Under $5M",IF(I1968&lt;=20000000,"$5M-20M",IF(I1968&lt;=50000000,"$20M-50M",IF(I1968&lt;=100000000,"$50M-100M","$100M+"))))</f>
        <v/>
      </c>
      <c r="P1968" s="21">
        <f>IF(E1968&lt;=90,"90 or less",IF(E1968&lt;=105,"91-105",IF(E1968&lt;=120,"106-120",IF(E1968&lt;=140,"121-140","Over 140"))))</f>
        <v/>
      </c>
      <c r="Q1968" s="28">
        <f>INT(C1968/10)*10</f>
        <v/>
      </c>
    </row>
    <row r="1969">
      <c r="A1969" s="21" t="n">
        <v>2008</v>
      </c>
      <c r="B1969" s="21" t="inlineStr">
        <is>
          <t>Rugrats Go Wild</t>
        </is>
      </c>
      <c r="C1969" s="21" t="n">
        <v>2003</v>
      </c>
      <c r="D1969" s="21" t="inlineStr">
        <is>
          <t>USA</t>
        </is>
      </c>
      <c r="E1969" s="21" t="n">
        <v>80</v>
      </c>
      <c r="F1969" s="21" t="inlineStr">
        <is>
          <t>English</t>
        </is>
      </c>
      <c r="G1969" s="21" t="inlineStr">
        <is>
          <t>PG</t>
        </is>
      </c>
      <c r="H1969" s="22" t="n">
        <v>39399750</v>
      </c>
      <c r="I1969" s="22" t="n">
        <v>25000000</v>
      </c>
      <c r="J1969" s="21">
        <f>IF(OR(H1969="",H1969=25529689.5),"Yes","No")</f>
        <v/>
      </c>
      <c r="K1969" s="21">
        <f>IF(AND(D1969="USA",C1969&gt;=1980,J1969="No"),"Yes","No")</f>
        <v/>
      </c>
      <c r="L1969" s="26">
        <f>IF(J1969="Yes","",H1969-I1969)</f>
        <v/>
      </c>
      <c r="M1969" s="27">
        <f>IF(OR(J1969="Yes",I1969=0),"",H1969/I1969)</f>
        <v/>
      </c>
      <c r="N1969" s="21">
        <f>IF(J1969="Yes","",IF(H1969&gt;=I1969,1,0))</f>
        <v/>
      </c>
      <c r="O1969" s="21">
        <f>IF(I1969&lt;=5000000,"Under $5M",IF(I1969&lt;=20000000,"$5M-20M",IF(I1969&lt;=50000000,"$20M-50M",IF(I1969&lt;=100000000,"$50M-100M","$100M+"))))</f>
        <v/>
      </c>
      <c r="P1969" s="21">
        <f>IF(E1969&lt;=90,"90 or less",IF(E1969&lt;=105,"91-105",IF(E1969&lt;=120,"106-120",IF(E1969&lt;=140,"121-140","Over 140"))))</f>
        <v/>
      </c>
      <c r="Q1969" s="28">
        <f>INT(C1969/10)*10</f>
        <v/>
      </c>
    </row>
    <row r="1970">
      <c r="A1970" s="21" t="n">
        <v>2009</v>
      </c>
      <c r="B1970" s="21" t="inlineStr">
        <is>
          <t>S.W.A.T.</t>
        </is>
      </c>
      <c r="C1970" s="21" t="n">
        <v>2003</v>
      </c>
      <c r="D1970" s="21" t="inlineStr">
        <is>
          <t>USA</t>
        </is>
      </c>
      <c r="E1970" s="21" t="n">
        <v>117</v>
      </c>
      <c r="F1970" s="21" t="inlineStr">
        <is>
          <t>English</t>
        </is>
      </c>
      <c r="G1970" s="21" t="inlineStr">
        <is>
          <t>PG-13</t>
        </is>
      </c>
      <c r="H1970" s="22" t="n">
        <v>116643346</v>
      </c>
      <c r="I1970" s="22" t="n">
        <v>80000000</v>
      </c>
      <c r="J1970" s="21">
        <f>IF(OR(H1970="",H1970=25529689.5),"Yes","No")</f>
        <v/>
      </c>
      <c r="K1970" s="21">
        <f>IF(AND(D1970="USA",C1970&gt;=1980,J1970="No"),"Yes","No")</f>
        <v/>
      </c>
      <c r="L1970" s="26">
        <f>IF(J1970="Yes","",H1970-I1970)</f>
        <v/>
      </c>
      <c r="M1970" s="27">
        <f>IF(OR(J1970="Yes",I1970=0),"",H1970/I1970)</f>
        <v/>
      </c>
      <c r="N1970" s="21">
        <f>IF(J1970="Yes","",IF(H1970&gt;=I1970,1,0))</f>
        <v/>
      </c>
      <c r="O1970" s="21">
        <f>IF(I1970&lt;=5000000,"Under $5M",IF(I1970&lt;=20000000,"$5M-20M",IF(I1970&lt;=50000000,"$20M-50M",IF(I1970&lt;=100000000,"$50M-100M","$100M+"))))</f>
        <v/>
      </c>
      <c r="P1970" s="21">
        <f>IF(E1970&lt;=90,"90 or less",IF(E1970&lt;=105,"91-105",IF(E1970&lt;=120,"106-120",IF(E1970&lt;=140,"121-140","Over 140"))))</f>
        <v/>
      </c>
      <c r="Q1970" s="28">
        <f>INT(C1970/10)*10</f>
        <v/>
      </c>
    </row>
    <row r="1971">
      <c r="A1971" s="21" t="n">
        <v>2010</v>
      </c>
      <c r="B1971" s="21" t="inlineStr">
        <is>
          <t>Saints and Soldiers</t>
        </is>
      </c>
      <c r="C1971" s="21" t="n">
        <v>2003</v>
      </c>
      <c r="D1971" s="21" t="inlineStr">
        <is>
          <t>USA</t>
        </is>
      </c>
      <c r="E1971" s="21" t="n">
        <v>90</v>
      </c>
      <c r="F1971" s="21" t="inlineStr">
        <is>
          <t>English</t>
        </is>
      </c>
      <c r="G1971" s="21" t="inlineStr">
        <is>
          <t>PG-13</t>
        </is>
      </c>
      <c r="H1971" s="22" t="n">
        <v>1310270</v>
      </c>
      <c r="I1971" s="22" t="n">
        <v>780000</v>
      </c>
      <c r="J1971" s="21">
        <f>IF(OR(H1971="",H1971=25529689.5),"Yes","No")</f>
        <v/>
      </c>
      <c r="K1971" s="21">
        <f>IF(AND(D1971="USA",C1971&gt;=1980,J1971="No"),"Yes","No")</f>
        <v/>
      </c>
      <c r="L1971" s="26">
        <f>IF(J1971="Yes","",H1971-I1971)</f>
        <v/>
      </c>
      <c r="M1971" s="27">
        <f>IF(OR(J1971="Yes",I1971=0),"",H1971/I1971)</f>
        <v/>
      </c>
      <c r="N1971" s="21">
        <f>IF(J1971="Yes","",IF(H1971&gt;=I1971,1,0))</f>
        <v/>
      </c>
      <c r="O1971" s="21">
        <f>IF(I1971&lt;=5000000,"Under $5M",IF(I1971&lt;=20000000,"$5M-20M",IF(I1971&lt;=50000000,"$20M-50M",IF(I1971&lt;=100000000,"$50M-100M","$100M+"))))</f>
        <v/>
      </c>
      <c r="P1971" s="21">
        <f>IF(E1971&lt;=90,"90 or less",IF(E1971&lt;=105,"91-105",IF(E1971&lt;=120,"106-120",IF(E1971&lt;=140,"121-140","Over 140"))))</f>
        <v/>
      </c>
      <c r="Q1971" s="28">
        <f>INT(C1971/10)*10</f>
        <v/>
      </c>
    </row>
    <row r="1972">
      <c r="A1972" s="21" t="n">
        <v>2011</v>
      </c>
      <c r="B1972" s="21" t="inlineStr">
        <is>
          <t>Scary Movie 3</t>
        </is>
      </c>
      <c r="C1972" s="21" t="n">
        <v>2003</v>
      </c>
      <c r="D1972" s="21" t="inlineStr">
        <is>
          <t>USA</t>
        </is>
      </c>
      <c r="E1972" s="21" t="n">
        <v>84</v>
      </c>
      <c r="F1972" s="21" t="inlineStr">
        <is>
          <t>English</t>
        </is>
      </c>
      <c r="G1972" s="21" t="inlineStr">
        <is>
          <t>PG-13</t>
        </is>
      </c>
      <c r="H1972" s="22" t="n">
        <v>110000082</v>
      </c>
      <c r="I1972" s="22" t="n">
        <v>48000000</v>
      </c>
      <c r="J1972" s="21">
        <f>IF(OR(H1972="",H1972=25529689.5),"Yes","No")</f>
        <v/>
      </c>
      <c r="K1972" s="21">
        <f>IF(AND(D1972="USA",C1972&gt;=1980,J1972="No"),"Yes","No")</f>
        <v/>
      </c>
      <c r="L1972" s="26">
        <f>IF(J1972="Yes","",H1972-I1972)</f>
        <v/>
      </c>
      <c r="M1972" s="27">
        <f>IF(OR(J1972="Yes",I1972=0),"",H1972/I1972)</f>
        <v/>
      </c>
      <c r="N1972" s="21">
        <f>IF(J1972="Yes","",IF(H1972&gt;=I1972,1,0))</f>
        <v/>
      </c>
      <c r="O1972" s="21">
        <f>IF(I1972&lt;=5000000,"Under $5M",IF(I1972&lt;=20000000,"$5M-20M",IF(I1972&lt;=50000000,"$20M-50M",IF(I1972&lt;=100000000,"$50M-100M","$100M+"))))</f>
        <v/>
      </c>
      <c r="P1972" s="21">
        <f>IF(E1972&lt;=90,"90 or less",IF(E1972&lt;=105,"91-105",IF(E1972&lt;=120,"106-120",IF(E1972&lt;=140,"121-140","Over 140"))))</f>
        <v/>
      </c>
      <c r="Q1972" s="28">
        <f>INT(C1972/10)*10</f>
        <v/>
      </c>
    </row>
    <row r="1973">
      <c r="A1973" s="21" t="n">
        <v>2012</v>
      </c>
      <c r="B1973" s="21" t="inlineStr">
        <is>
          <t>School of Rock</t>
        </is>
      </c>
      <c r="C1973" s="21" t="n">
        <v>2003</v>
      </c>
      <c r="D1973" s="21" t="inlineStr">
        <is>
          <t>USA</t>
        </is>
      </c>
      <c r="E1973" s="21" t="n">
        <v>108</v>
      </c>
      <c r="F1973" s="21" t="inlineStr">
        <is>
          <t>English</t>
        </is>
      </c>
      <c r="G1973" s="21" t="inlineStr">
        <is>
          <t>PG-13</t>
        </is>
      </c>
      <c r="H1973" s="22" t="n">
        <v>81257845</v>
      </c>
      <c r="I1973" s="22" t="n">
        <v>35000000</v>
      </c>
      <c r="J1973" s="21">
        <f>IF(OR(H1973="",H1973=25529689.5),"Yes","No")</f>
        <v/>
      </c>
      <c r="K1973" s="21">
        <f>IF(AND(D1973="USA",C1973&gt;=1980,J1973="No"),"Yes","No")</f>
        <v/>
      </c>
      <c r="L1973" s="26">
        <f>IF(J1973="Yes","",H1973-I1973)</f>
        <v/>
      </c>
      <c r="M1973" s="27">
        <f>IF(OR(J1973="Yes",I1973=0),"",H1973/I1973)</f>
        <v/>
      </c>
      <c r="N1973" s="21">
        <f>IF(J1973="Yes","",IF(H1973&gt;=I1973,1,0))</f>
        <v/>
      </c>
      <c r="O1973" s="21">
        <f>IF(I1973&lt;=5000000,"Under $5M",IF(I1973&lt;=20000000,"$5M-20M",IF(I1973&lt;=50000000,"$20M-50M",IF(I1973&lt;=100000000,"$50M-100M","$100M+"))))</f>
        <v/>
      </c>
      <c r="P1973" s="21">
        <f>IF(E1973&lt;=90,"90 or less",IF(E1973&lt;=105,"91-105",IF(E1973&lt;=120,"106-120",IF(E1973&lt;=140,"121-140","Over 140"))))</f>
        <v/>
      </c>
      <c r="Q1973" s="28">
        <f>INT(C1973/10)*10</f>
        <v/>
      </c>
    </row>
    <row r="1974">
      <c r="A1974" s="21" t="n">
        <v>2013</v>
      </c>
      <c r="B1974" s="21" t="inlineStr">
        <is>
          <t>Seabiscuit</t>
        </is>
      </c>
      <c r="C1974" s="21" t="n">
        <v>2003</v>
      </c>
      <c r="D1974" s="21" t="inlineStr">
        <is>
          <t>USA</t>
        </is>
      </c>
      <c r="E1974" s="21" t="n">
        <v>140</v>
      </c>
      <c r="F1974" s="21" t="inlineStr">
        <is>
          <t>English</t>
        </is>
      </c>
      <c r="G1974" s="21" t="inlineStr">
        <is>
          <t>PG-13</t>
        </is>
      </c>
      <c r="H1974" s="22" t="n">
        <v>120147445</v>
      </c>
      <c r="I1974" s="22" t="n">
        <v>87000000</v>
      </c>
      <c r="J1974" s="21">
        <f>IF(OR(H1974="",H1974=25529689.5),"Yes","No")</f>
        <v/>
      </c>
      <c r="K1974" s="21">
        <f>IF(AND(D1974="USA",C1974&gt;=1980,J1974="No"),"Yes","No")</f>
        <v/>
      </c>
      <c r="L1974" s="26">
        <f>IF(J1974="Yes","",H1974-I1974)</f>
        <v/>
      </c>
      <c r="M1974" s="27">
        <f>IF(OR(J1974="Yes",I1974=0),"",H1974/I1974)</f>
        <v/>
      </c>
      <c r="N1974" s="21">
        <f>IF(J1974="Yes","",IF(H1974&gt;=I1974,1,0))</f>
        <v/>
      </c>
      <c r="O1974" s="21">
        <f>IF(I1974&lt;=5000000,"Under $5M",IF(I1974&lt;=20000000,"$5M-20M",IF(I1974&lt;=50000000,"$20M-50M",IF(I1974&lt;=100000000,"$50M-100M","$100M+"))))</f>
        <v/>
      </c>
      <c r="P1974" s="21">
        <f>IF(E1974&lt;=90,"90 or less",IF(E1974&lt;=105,"91-105",IF(E1974&lt;=120,"106-120",IF(E1974&lt;=140,"121-140","Over 140"))))</f>
        <v/>
      </c>
      <c r="Q1974" s="28">
        <f>INT(C1974/10)*10</f>
        <v/>
      </c>
    </row>
    <row r="1975">
      <c r="A1975" s="21" t="n">
        <v>2014</v>
      </c>
      <c r="B1975" s="21" t="inlineStr">
        <is>
          <t>Secondhand Lions</t>
        </is>
      </c>
      <c r="C1975" s="21" t="n">
        <v>2003</v>
      </c>
      <c r="D1975" s="21" t="inlineStr">
        <is>
          <t>USA</t>
        </is>
      </c>
      <c r="E1975" s="21" t="n">
        <v>111</v>
      </c>
      <c r="F1975" s="21" t="inlineStr">
        <is>
          <t>English</t>
        </is>
      </c>
      <c r="G1975" s="21" t="inlineStr">
        <is>
          <t>PG</t>
        </is>
      </c>
      <c r="H1975" s="22" t="n">
        <v>41407470</v>
      </c>
      <c r="I1975" s="22" t="n">
        <v>30000000</v>
      </c>
      <c r="J1975" s="21">
        <f>IF(OR(H1975="",H1975=25529689.5),"Yes","No")</f>
        <v/>
      </c>
      <c r="K1975" s="21">
        <f>IF(AND(D1975="USA",C1975&gt;=1980,J1975="No"),"Yes","No")</f>
        <v/>
      </c>
      <c r="L1975" s="26">
        <f>IF(J1975="Yes","",H1975-I1975)</f>
        <v/>
      </c>
      <c r="M1975" s="27">
        <f>IF(OR(J1975="Yes",I1975=0),"",H1975/I1975)</f>
        <v/>
      </c>
      <c r="N1975" s="21">
        <f>IF(J1975="Yes","",IF(H1975&gt;=I1975,1,0))</f>
        <v/>
      </c>
      <c r="O1975" s="21">
        <f>IF(I1975&lt;=5000000,"Under $5M",IF(I1975&lt;=20000000,"$5M-20M",IF(I1975&lt;=50000000,"$20M-50M",IF(I1975&lt;=100000000,"$50M-100M","$100M+"))))</f>
        <v/>
      </c>
      <c r="P1975" s="21">
        <f>IF(E1975&lt;=90,"90 or less",IF(E1975&lt;=105,"91-105",IF(E1975&lt;=120,"106-120",IF(E1975&lt;=140,"121-140","Over 140"))))</f>
        <v/>
      </c>
      <c r="Q1975" s="28">
        <f>INT(C1975/10)*10</f>
        <v/>
      </c>
    </row>
    <row r="1976">
      <c r="A1976" s="21" t="n">
        <v>2015</v>
      </c>
      <c r="B1976" s="21" t="inlineStr">
        <is>
          <t>Shade</t>
        </is>
      </c>
      <c r="C1976" s="21" t="n">
        <v>2003</v>
      </c>
      <c r="D1976" s="21" t="inlineStr">
        <is>
          <t>USA</t>
        </is>
      </c>
      <c r="E1976" s="21" t="n">
        <v>101</v>
      </c>
      <c r="F1976" s="21" t="inlineStr">
        <is>
          <t>English</t>
        </is>
      </c>
      <c r="G1976" s="21" t="inlineStr">
        <is>
          <t>R</t>
        </is>
      </c>
      <c r="H1976" s="22" t="n">
        <v>10696</v>
      </c>
      <c r="I1976" s="22" t="n">
        <v>6800000</v>
      </c>
      <c r="J1976" s="21">
        <f>IF(OR(H1976="",H1976=25529689.5),"Yes","No")</f>
        <v/>
      </c>
      <c r="K1976" s="21">
        <f>IF(AND(D1976="USA",C1976&gt;=1980,J1976="No"),"Yes","No")</f>
        <v/>
      </c>
      <c r="L1976" s="26">
        <f>IF(J1976="Yes","",H1976-I1976)</f>
        <v/>
      </c>
      <c r="M1976" s="27">
        <f>IF(OR(J1976="Yes",I1976=0),"",H1976/I1976)</f>
        <v/>
      </c>
      <c r="N1976" s="21">
        <f>IF(J1976="Yes","",IF(H1976&gt;=I1976,1,0))</f>
        <v/>
      </c>
      <c r="O1976" s="21">
        <f>IF(I1976&lt;=5000000,"Under $5M",IF(I1976&lt;=20000000,"$5M-20M",IF(I1976&lt;=50000000,"$20M-50M",IF(I1976&lt;=100000000,"$50M-100M","$100M+"))))</f>
        <v/>
      </c>
      <c r="P1976" s="21">
        <f>IF(E1976&lt;=90,"90 or less",IF(E1976&lt;=105,"91-105",IF(E1976&lt;=120,"106-120",IF(E1976&lt;=140,"121-140","Over 140"))))</f>
        <v/>
      </c>
      <c r="Q1976" s="28">
        <f>INT(C1976/10)*10</f>
        <v/>
      </c>
    </row>
    <row r="1977">
      <c r="A1977" s="21" t="n">
        <v>2016</v>
      </c>
      <c r="B1977" s="21" t="inlineStr">
        <is>
          <t>Shanghai Knights</t>
        </is>
      </c>
      <c r="C1977" s="21" t="n">
        <v>2003</v>
      </c>
      <c r="D1977" s="21" t="inlineStr">
        <is>
          <t>USA</t>
        </is>
      </c>
      <c r="E1977" s="21" t="n">
        <v>114</v>
      </c>
      <c r="F1977" s="21" t="inlineStr">
        <is>
          <t>English</t>
        </is>
      </c>
      <c r="G1977" s="21" t="inlineStr">
        <is>
          <t>PG-13</t>
        </is>
      </c>
      <c r="H1977" s="22" t="n">
        <v>60470220</v>
      </c>
      <c r="I1977" s="22" t="n">
        <v>50000000</v>
      </c>
      <c r="J1977" s="21">
        <f>IF(OR(H1977="",H1977=25529689.5),"Yes","No")</f>
        <v/>
      </c>
      <c r="K1977" s="21">
        <f>IF(AND(D1977="USA",C1977&gt;=1980,J1977="No"),"Yes","No")</f>
        <v/>
      </c>
      <c r="L1977" s="26">
        <f>IF(J1977="Yes","",H1977-I1977)</f>
        <v/>
      </c>
      <c r="M1977" s="27">
        <f>IF(OR(J1977="Yes",I1977=0),"",H1977/I1977)</f>
        <v/>
      </c>
      <c r="N1977" s="21">
        <f>IF(J1977="Yes","",IF(H1977&gt;=I1977,1,0))</f>
        <v/>
      </c>
      <c r="O1977" s="21">
        <f>IF(I1977&lt;=5000000,"Under $5M",IF(I1977&lt;=20000000,"$5M-20M",IF(I1977&lt;=50000000,"$20M-50M",IF(I1977&lt;=100000000,"$50M-100M","$100M+"))))</f>
        <v/>
      </c>
      <c r="P1977" s="21">
        <f>IF(E1977&lt;=90,"90 or less",IF(E1977&lt;=105,"91-105",IF(E1977&lt;=120,"106-120",IF(E1977&lt;=140,"121-140","Over 140"))))</f>
        <v/>
      </c>
      <c r="Q1977" s="28">
        <f>INT(C1977/10)*10</f>
        <v/>
      </c>
    </row>
    <row r="1978">
      <c r="A1978" s="21" t="n">
        <v>2017</v>
      </c>
      <c r="B1978" s="21" t="inlineStr">
        <is>
          <t>Shattered Glass</t>
        </is>
      </c>
      <c r="C1978" s="21" t="n">
        <v>2003</v>
      </c>
      <c r="D1978" s="21" t="inlineStr">
        <is>
          <t>USA</t>
        </is>
      </c>
      <c r="E1978" s="21" t="n">
        <v>99</v>
      </c>
      <c r="F1978" s="21" t="inlineStr">
        <is>
          <t>English</t>
        </is>
      </c>
      <c r="G1978" s="21" t="inlineStr">
        <is>
          <t>PG-13</t>
        </is>
      </c>
      <c r="H1978" s="22" t="n">
        <v>2207975</v>
      </c>
      <c r="I1978" s="22" t="n">
        <v>6000000</v>
      </c>
      <c r="J1978" s="21">
        <f>IF(OR(H1978="",H1978=25529689.5),"Yes","No")</f>
        <v/>
      </c>
      <c r="K1978" s="21">
        <f>IF(AND(D1978="USA",C1978&gt;=1980,J1978="No"),"Yes","No")</f>
        <v/>
      </c>
      <c r="L1978" s="26">
        <f>IF(J1978="Yes","",H1978-I1978)</f>
        <v/>
      </c>
      <c r="M1978" s="27">
        <f>IF(OR(J1978="Yes",I1978=0),"",H1978/I1978)</f>
        <v/>
      </c>
      <c r="N1978" s="21">
        <f>IF(J1978="Yes","",IF(H1978&gt;=I1978,1,0))</f>
        <v/>
      </c>
      <c r="O1978" s="21">
        <f>IF(I1978&lt;=5000000,"Under $5M",IF(I1978&lt;=20000000,"$5M-20M",IF(I1978&lt;=50000000,"$20M-50M",IF(I1978&lt;=100000000,"$50M-100M","$100M+"))))</f>
        <v/>
      </c>
      <c r="P1978" s="21">
        <f>IF(E1978&lt;=90,"90 or less",IF(E1978&lt;=105,"91-105",IF(E1978&lt;=120,"106-120",IF(E1978&lt;=140,"121-140","Over 140"))))</f>
        <v/>
      </c>
      <c r="Q1978" s="28">
        <f>INT(C1978/10)*10</f>
        <v/>
      </c>
    </row>
    <row r="1979">
      <c r="A1979" s="21" t="n">
        <v>2018</v>
      </c>
      <c r="B1979" s="21" t="inlineStr">
        <is>
          <t>Silmido</t>
        </is>
      </c>
      <c r="C1979" s="21" t="n">
        <v>2003</v>
      </c>
      <c r="D1979" s="21" t="inlineStr">
        <is>
          <t>South Korea</t>
        </is>
      </c>
      <c r="E1979" s="21" t="n">
        <v>135</v>
      </c>
      <c r="F1979" s="21" t="inlineStr">
        <is>
          <t>Korean</t>
        </is>
      </c>
      <c r="G1979" s="21" t="n"/>
      <c r="H1979" s="22" t="n">
        <v>25529689.5</v>
      </c>
      <c r="I1979" s="22" t="n">
        <v>8000000</v>
      </c>
      <c r="J1979" s="21">
        <f>IF(OR(H1979="",H1979=25529689.5),"Yes","No")</f>
        <v/>
      </c>
      <c r="K1979" s="21">
        <f>IF(AND(D1979="USA",C1979&gt;=1980,J1979="No"),"Yes","No")</f>
        <v/>
      </c>
      <c r="L1979" s="26">
        <f>IF(J1979="Yes","",H1979-I1979)</f>
        <v/>
      </c>
      <c r="M1979" s="27">
        <f>IF(OR(J1979="Yes",I1979=0),"",H1979/I1979)</f>
        <v/>
      </c>
      <c r="N1979" s="21">
        <f>IF(J1979="Yes","",IF(H1979&gt;=I1979,1,0))</f>
        <v/>
      </c>
      <c r="O1979" s="21">
        <f>IF(I1979&lt;=5000000,"Under $5M",IF(I1979&lt;=20000000,"$5M-20M",IF(I1979&lt;=50000000,"$20M-50M",IF(I1979&lt;=100000000,"$50M-100M","$100M+"))))</f>
        <v/>
      </c>
      <c r="P1979" s="21">
        <f>IF(E1979&lt;=90,"90 or less",IF(E1979&lt;=105,"91-105",IF(E1979&lt;=120,"106-120",IF(E1979&lt;=140,"121-140","Over 140"))))</f>
        <v/>
      </c>
      <c r="Q1979" s="28">
        <f>INT(C1979/10)*10</f>
        <v/>
      </c>
    </row>
    <row r="1980">
      <c r="A1980" s="21" t="n">
        <v>2019</v>
      </c>
      <c r="B1980" s="21" t="inlineStr">
        <is>
          <t>Sinbad: Legend of the Seven Seas</t>
        </is>
      </c>
      <c r="C1980" s="21" t="n">
        <v>2003</v>
      </c>
      <c r="D1980" s="21" t="inlineStr">
        <is>
          <t>USA</t>
        </is>
      </c>
      <c r="E1980" s="21" t="n">
        <v>85</v>
      </c>
      <c r="F1980" s="21" t="inlineStr">
        <is>
          <t>English</t>
        </is>
      </c>
      <c r="G1980" s="21" t="inlineStr">
        <is>
          <t>PG</t>
        </is>
      </c>
      <c r="H1980" s="22" t="n">
        <v>26288320</v>
      </c>
      <c r="I1980" s="22" t="n">
        <v>60000000</v>
      </c>
      <c r="J1980" s="21">
        <f>IF(OR(H1980="",H1980=25529689.5),"Yes","No")</f>
        <v/>
      </c>
      <c r="K1980" s="21">
        <f>IF(AND(D1980="USA",C1980&gt;=1980,J1980="No"),"Yes","No")</f>
        <v/>
      </c>
      <c r="L1980" s="26">
        <f>IF(J1980="Yes","",H1980-I1980)</f>
        <v/>
      </c>
      <c r="M1980" s="27">
        <f>IF(OR(J1980="Yes",I1980=0),"",H1980/I1980)</f>
        <v/>
      </c>
      <c r="N1980" s="21">
        <f>IF(J1980="Yes","",IF(H1980&gt;=I1980,1,0))</f>
        <v/>
      </c>
      <c r="O1980" s="21">
        <f>IF(I1980&lt;=5000000,"Under $5M",IF(I1980&lt;=20000000,"$5M-20M",IF(I1980&lt;=50000000,"$20M-50M",IF(I1980&lt;=100000000,"$50M-100M","$100M+"))))</f>
        <v/>
      </c>
      <c r="P1980" s="21">
        <f>IF(E1980&lt;=90,"90 or less",IF(E1980&lt;=105,"91-105",IF(E1980&lt;=120,"106-120",IF(E1980&lt;=140,"121-140","Over 140"))))</f>
        <v/>
      </c>
      <c r="Q1980" s="28">
        <f>INT(C1980/10)*10</f>
        <v/>
      </c>
    </row>
    <row r="1981">
      <c r="A1981" s="21" t="n">
        <v>2020</v>
      </c>
      <c r="B1981" s="21" t="inlineStr">
        <is>
          <t>Something's Gotta Give</t>
        </is>
      </c>
      <c r="C1981" s="21" t="n">
        <v>2003</v>
      </c>
      <c r="D1981" s="21" t="inlineStr">
        <is>
          <t>USA</t>
        </is>
      </c>
      <c r="E1981" s="21" t="n">
        <v>128</v>
      </c>
      <c r="F1981" s="21" t="inlineStr">
        <is>
          <t>English</t>
        </is>
      </c>
      <c r="G1981" s="21" t="inlineStr">
        <is>
          <t>PG-13</t>
        </is>
      </c>
      <c r="H1981" s="22" t="n">
        <v>124590960</v>
      </c>
      <c r="I1981" s="22" t="n">
        <v>80000000</v>
      </c>
      <c r="J1981" s="21">
        <f>IF(OR(H1981="",H1981=25529689.5),"Yes","No")</f>
        <v/>
      </c>
      <c r="K1981" s="21">
        <f>IF(AND(D1981="USA",C1981&gt;=1980,J1981="No"),"Yes","No")</f>
        <v/>
      </c>
      <c r="L1981" s="26">
        <f>IF(J1981="Yes","",H1981-I1981)</f>
        <v/>
      </c>
      <c r="M1981" s="27">
        <f>IF(OR(J1981="Yes",I1981=0),"",H1981/I1981)</f>
        <v/>
      </c>
      <c r="N1981" s="21">
        <f>IF(J1981="Yes","",IF(H1981&gt;=I1981,1,0))</f>
        <v/>
      </c>
      <c r="O1981" s="21">
        <f>IF(I1981&lt;=5000000,"Under $5M",IF(I1981&lt;=20000000,"$5M-20M",IF(I1981&lt;=50000000,"$20M-50M",IF(I1981&lt;=100000000,"$50M-100M","$100M+"))))</f>
        <v/>
      </c>
      <c r="P1981" s="21">
        <f>IF(E1981&lt;=90,"90 or less",IF(E1981&lt;=105,"91-105",IF(E1981&lt;=120,"106-120",IF(E1981&lt;=140,"121-140","Over 140"))))</f>
        <v/>
      </c>
      <c r="Q1981" s="28">
        <f>INT(C1981/10)*10</f>
        <v/>
      </c>
    </row>
    <row r="1982">
      <c r="A1982" s="21" t="n">
        <v>2021</v>
      </c>
      <c r="B1982" s="21" t="inlineStr">
        <is>
          <t>Spy Kids 3-D: Game Over</t>
        </is>
      </c>
      <c r="C1982" s="21" t="n">
        <v>2003</v>
      </c>
      <c r="D1982" s="21" t="inlineStr">
        <is>
          <t>USA</t>
        </is>
      </c>
      <c r="E1982" s="21" t="n">
        <v>84</v>
      </c>
      <c r="F1982" s="21" t="inlineStr">
        <is>
          <t>English</t>
        </is>
      </c>
      <c r="G1982" s="21" t="inlineStr">
        <is>
          <t>PG</t>
        </is>
      </c>
      <c r="H1982" s="22" t="n">
        <v>111760631</v>
      </c>
      <c r="I1982" s="22" t="n">
        <v>38000000</v>
      </c>
      <c r="J1982" s="21">
        <f>IF(OR(H1982="",H1982=25529689.5),"Yes","No")</f>
        <v/>
      </c>
      <c r="K1982" s="21">
        <f>IF(AND(D1982="USA",C1982&gt;=1980,J1982="No"),"Yes","No")</f>
        <v/>
      </c>
      <c r="L1982" s="26">
        <f>IF(J1982="Yes","",H1982-I1982)</f>
        <v/>
      </c>
      <c r="M1982" s="27">
        <f>IF(OR(J1982="Yes",I1982=0),"",H1982/I1982)</f>
        <v/>
      </c>
      <c r="N1982" s="21">
        <f>IF(J1982="Yes","",IF(H1982&gt;=I1982,1,0))</f>
        <v/>
      </c>
      <c r="O1982" s="21">
        <f>IF(I1982&lt;=5000000,"Under $5M",IF(I1982&lt;=20000000,"$5M-20M",IF(I1982&lt;=50000000,"$20M-50M",IF(I1982&lt;=100000000,"$50M-100M","$100M+"))))</f>
        <v/>
      </c>
      <c r="P1982" s="21">
        <f>IF(E1982&lt;=90,"90 or less",IF(E1982&lt;=105,"91-105",IF(E1982&lt;=120,"106-120",IF(E1982&lt;=140,"121-140","Over 140"))))</f>
        <v/>
      </c>
      <c r="Q1982" s="28">
        <f>INT(C1982/10)*10</f>
        <v/>
      </c>
    </row>
    <row r="1983">
      <c r="A1983" s="21" t="n">
        <v>2022</v>
      </c>
      <c r="B1983" s="21" t="inlineStr">
        <is>
          <t>Stuck on You</t>
        </is>
      </c>
      <c r="C1983" s="21" t="n">
        <v>2003</v>
      </c>
      <c r="D1983" s="21" t="inlineStr">
        <is>
          <t>USA</t>
        </is>
      </c>
      <c r="E1983" s="21" t="n">
        <v>118</v>
      </c>
      <c r="F1983" s="21" t="inlineStr">
        <is>
          <t>English</t>
        </is>
      </c>
      <c r="G1983" s="21" t="inlineStr">
        <is>
          <t>PG-13</t>
        </is>
      </c>
      <c r="H1983" s="22" t="n">
        <v>33828318</v>
      </c>
      <c r="I1983" s="22" t="n">
        <v>55000000</v>
      </c>
      <c r="J1983" s="21">
        <f>IF(OR(H1983="",H1983=25529689.5),"Yes","No")</f>
        <v/>
      </c>
      <c r="K1983" s="21">
        <f>IF(AND(D1983="USA",C1983&gt;=1980,J1983="No"),"Yes","No")</f>
        <v/>
      </c>
      <c r="L1983" s="26">
        <f>IF(J1983="Yes","",H1983-I1983)</f>
        <v/>
      </c>
      <c r="M1983" s="27">
        <f>IF(OR(J1983="Yes",I1983=0),"",H1983/I1983)</f>
        <v/>
      </c>
      <c r="N1983" s="21">
        <f>IF(J1983="Yes","",IF(H1983&gt;=I1983,1,0))</f>
        <v/>
      </c>
      <c r="O1983" s="21">
        <f>IF(I1983&lt;=5000000,"Under $5M",IF(I1983&lt;=20000000,"$5M-20M",IF(I1983&lt;=50000000,"$20M-50M",IF(I1983&lt;=100000000,"$50M-100M","$100M+"))))</f>
        <v/>
      </c>
      <c r="P1983" s="21">
        <f>IF(E1983&lt;=90,"90 or less",IF(E1983&lt;=105,"91-105",IF(E1983&lt;=120,"106-120",IF(E1983&lt;=140,"121-140","Over 140"))))</f>
        <v/>
      </c>
      <c r="Q1983" s="28">
        <f>INT(C1983/10)*10</f>
        <v/>
      </c>
    </row>
    <row r="1984">
      <c r="A1984" s="21" t="n">
        <v>2023</v>
      </c>
      <c r="B1984" s="21" t="inlineStr">
        <is>
          <t>Sur le seuil</t>
        </is>
      </c>
      <c r="C1984" s="21" t="n">
        <v>2003</v>
      </c>
      <c r="D1984" s="21" t="inlineStr">
        <is>
          <t>Canada</t>
        </is>
      </c>
      <c r="E1984" s="21" t="n">
        <v>99</v>
      </c>
      <c r="F1984" s="21" t="inlineStr">
        <is>
          <t>French</t>
        </is>
      </c>
      <c r="G1984" s="21" t="n"/>
      <c r="H1984" s="22" t="n">
        <v>25529689.5</v>
      </c>
      <c r="I1984" s="22" t="n">
        <v>3200000</v>
      </c>
      <c r="J1984" s="21">
        <f>IF(OR(H1984="",H1984=25529689.5),"Yes","No")</f>
        <v/>
      </c>
      <c r="K1984" s="21">
        <f>IF(AND(D1984="USA",C1984&gt;=1980,J1984="No"),"Yes","No")</f>
        <v/>
      </c>
      <c r="L1984" s="26">
        <f>IF(J1984="Yes","",H1984-I1984)</f>
        <v/>
      </c>
      <c r="M1984" s="27">
        <f>IF(OR(J1984="Yes",I1984=0),"",H1984/I1984)</f>
        <v/>
      </c>
      <c r="N1984" s="21">
        <f>IF(J1984="Yes","",IF(H1984&gt;=I1984,1,0))</f>
        <v/>
      </c>
      <c r="O1984" s="21">
        <f>IF(I1984&lt;=5000000,"Under $5M",IF(I1984&lt;=20000000,"$5M-20M",IF(I1984&lt;=50000000,"$20M-50M",IF(I1984&lt;=100000000,"$50M-100M","$100M+"))))</f>
        <v/>
      </c>
      <c r="P1984" s="21">
        <f>IF(E1984&lt;=90,"90 or less",IF(E1984&lt;=105,"91-105",IF(E1984&lt;=120,"106-120",IF(E1984&lt;=140,"121-140","Over 140"))))</f>
        <v/>
      </c>
      <c r="Q1984" s="28">
        <f>INT(C1984/10)*10</f>
        <v/>
      </c>
    </row>
    <row r="1985">
      <c r="A1985" s="21" t="n">
        <v>2024</v>
      </c>
      <c r="B1985" s="21" t="inlineStr">
        <is>
          <t>Swimming Pool</t>
        </is>
      </c>
      <c r="C1985" s="21" t="n">
        <v>2003</v>
      </c>
      <c r="D1985" s="21" t="inlineStr">
        <is>
          <t>France</t>
        </is>
      </c>
      <c r="E1985" s="21" t="n">
        <v>102</v>
      </c>
      <c r="F1985" s="21" t="inlineStr">
        <is>
          <t>English</t>
        </is>
      </c>
      <c r="G1985" s="21" t="inlineStr">
        <is>
          <t>R</t>
        </is>
      </c>
      <c r="H1985" s="22" t="n">
        <v>10105505</v>
      </c>
      <c r="I1985" s="22" t="n">
        <v>20000000</v>
      </c>
      <c r="J1985" s="21">
        <f>IF(OR(H1985="",H1985=25529689.5),"Yes","No")</f>
        <v/>
      </c>
      <c r="K1985" s="21">
        <f>IF(AND(D1985="USA",C1985&gt;=1980,J1985="No"),"Yes","No")</f>
        <v/>
      </c>
      <c r="L1985" s="26">
        <f>IF(J1985="Yes","",H1985-I1985)</f>
        <v/>
      </c>
      <c r="M1985" s="27">
        <f>IF(OR(J1985="Yes",I1985=0),"",H1985/I1985)</f>
        <v/>
      </c>
      <c r="N1985" s="21">
        <f>IF(J1985="Yes","",IF(H1985&gt;=I1985,1,0))</f>
        <v/>
      </c>
      <c r="O1985" s="21">
        <f>IF(I1985&lt;=5000000,"Under $5M",IF(I1985&lt;=20000000,"$5M-20M",IF(I1985&lt;=50000000,"$20M-50M",IF(I1985&lt;=100000000,"$50M-100M","$100M+"))))</f>
        <v/>
      </c>
      <c r="P1985" s="21">
        <f>IF(E1985&lt;=90,"90 or less",IF(E1985&lt;=105,"91-105",IF(E1985&lt;=120,"106-120",IF(E1985&lt;=140,"121-140","Over 140"))))</f>
        <v/>
      </c>
      <c r="Q1985" s="28">
        <f>INT(C1985/10)*10</f>
        <v/>
      </c>
    </row>
    <row r="1986">
      <c r="A1986" s="21" t="n">
        <v>2025</v>
      </c>
      <c r="B1986" s="21" t="inlineStr">
        <is>
          <t>Tarnation</t>
        </is>
      </c>
      <c r="C1986" s="21" t="n">
        <v>2003</v>
      </c>
      <c r="D1986" s="21" t="inlineStr">
        <is>
          <t>USA</t>
        </is>
      </c>
      <c r="E1986" s="21" t="n">
        <v>88</v>
      </c>
      <c r="F1986" s="21" t="inlineStr">
        <is>
          <t>English</t>
        </is>
      </c>
      <c r="G1986" s="21" t="inlineStr">
        <is>
          <t>Unrated</t>
        </is>
      </c>
      <c r="H1986" s="22" t="n">
        <v>592014</v>
      </c>
      <c r="I1986" s="22" t="n">
        <v>218</v>
      </c>
      <c r="J1986" s="21">
        <f>IF(OR(H1986="",H1986=25529689.5),"Yes","No")</f>
        <v/>
      </c>
      <c r="K1986" s="21">
        <f>IF(AND(D1986="USA",C1986&gt;=1980,J1986="No"),"Yes","No")</f>
        <v/>
      </c>
      <c r="L1986" s="26">
        <f>IF(J1986="Yes","",H1986-I1986)</f>
        <v/>
      </c>
      <c r="M1986" s="27">
        <f>IF(OR(J1986="Yes",I1986=0),"",H1986/I1986)</f>
        <v/>
      </c>
      <c r="N1986" s="21">
        <f>IF(J1986="Yes","",IF(H1986&gt;=I1986,1,0))</f>
        <v/>
      </c>
      <c r="O1986" s="21">
        <f>IF(I1986&lt;=5000000,"Under $5M",IF(I1986&lt;=20000000,"$5M-20M",IF(I1986&lt;=50000000,"$20M-50M",IF(I1986&lt;=100000000,"$50M-100M","$100M+"))))</f>
        <v/>
      </c>
      <c r="P1986" s="21">
        <f>IF(E1986&lt;=90,"90 or less",IF(E1986&lt;=105,"91-105",IF(E1986&lt;=120,"106-120",IF(E1986&lt;=140,"121-140","Over 140"))))</f>
        <v/>
      </c>
      <c r="Q1986" s="28">
        <f>INT(C1986/10)*10</f>
        <v/>
      </c>
    </row>
    <row r="1987">
      <c r="A1987" s="21" t="n">
        <v>2026</v>
      </c>
      <c r="B1987" s="21" t="inlineStr">
        <is>
          <t>Tears of the Sun</t>
        </is>
      </c>
      <c r="C1987" s="21" t="n">
        <v>2003</v>
      </c>
      <c r="D1987" s="21" t="inlineStr">
        <is>
          <t>USA</t>
        </is>
      </c>
      <c r="E1987" s="21" t="n">
        <v>142</v>
      </c>
      <c r="F1987" s="21" t="inlineStr">
        <is>
          <t>English</t>
        </is>
      </c>
      <c r="G1987" s="21" t="inlineStr">
        <is>
          <t>R</t>
        </is>
      </c>
      <c r="H1987" s="22" t="n">
        <v>43426961</v>
      </c>
      <c r="I1987" s="22" t="n">
        <v>70000000</v>
      </c>
      <c r="J1987" s="21">
        <f>IF(OR(H1987="",H1987=25529689.5),"Yes","No")</f>
        <v/>
      </c>
      <c r="K1987" s="21">
        <f>IF(AND(D1987="USA",C1987&gt;=1980,J1987="No"),"Yes","No")</f>
        <v/>
      </c>
      <c r="L1987" s="26">
        <f>IF(J1987="Yes","",H1987-I1987)</f>
        <v/>
      </c>
      <c r="M1987" s="27">
        <f>IF(OR(J1987="Yes",I1987=0),"",H1987/I1987)</f>
        <v/>
      </c>
      <c r="N1987" s="21">
        <f>IF(J1987="Yes","",IF(H1987&gt;=I1987,1,0))</f>
        <v/>
      </c>
      <c r="O1987" s="21">
        <f>IF(I1987&lt;=5000000,"Under $5M",IF(I1987&lt;=20000000,"$5M-20M",IF(I1987&lt;=50000000,"$20M-50M",IF(I1987&lt;=100000000,"$50M-100M","$100M+"))))</f>
        <v/>
      </c>
      <c r="P1987" s="21">
        <f>IF(E1987&lt;=90,"90 or less",IF(E1987&lt;=105,"91-105",IF(E1987&lt;=120,"106-120",IF(E1987&lt;=140,"121-140","Over 140"))))</f>
        <v/>
      </c>
      <c r="Q1987" s="28">
        <f>INT(C1987/10)*10</f>
        <v/>
      </c>
    </row>
    <row r="1988">
      <c r="A1988" s="21" t="n">
        <v>2027</v>
      </c>
      <c r="B1988" s="21" t="inlineStr">
        <is>
          <t>Terminator 3: Rise of the Machines</t>
        </is>
      </c>
      <c r="C1988" s="21" t="n">
        <v>2003</v>
      </c>
      <c r="D1988" s="21" t="inlineStr">
        <is>
          <t>USA</t>
        </is>
      </c>
      <c r="E1988" s="21" t="n">
        <v>109</v>
      </c>
      <c r="F1988" s="21" t="inlineStr">
        <is>
          <t>English</t>
        </is>
      </c>
      <c r="G1988" s="21" t="inlineStr">
        <is>
          <t>R</t>
        </is>
      </c>
      <c r="H1988" s="22" t="n">
        <v>150350192</v>
      </c>
      <c r="I1988" s="22" t="n">
        <v>200000000</v>
      </c>
      <c r="J1988" s="21">
        <f>IF(OR(H1988="",H1988=25529689.5),"Yes","No")</f>
        <v/>
      </c>
      <c r="K1988" s="21">
        <f>IF(AND(D1988="USA",C1988&gt;=1980,J1988="No"),"Yes","No")</f>
        <v/>
      </c>
      <c r="L1988" s="26">
        <f>IF(J1988="Yes","",H1988-I1988)</f>
        <v/>
      </c>
      <c r="M1988" s="27">
        <f>IF(OR(J1988="Yes",I1988=0),"",H1988/I1988)</f>
        <v/>
      </c>
      <c r="N1988" s="21">
        <f>IF(J1988="Yes","",IF(H1988&gt;=I1988,1,0))</f>
        <v/>
      </c>
      <c r="O1988" s="21">
        <f>IF(I1988&lt;=5000000,"Under $5M",IF(I1988&lt;=20000000,"$5M-20M",IF(I1988&lt;=50000000,"$20M-50M",IF(I1988&lt;=100000000,"$50M-100M","$100M+"))))</f>
        <v/>
      </c>
      <c r="P1988" s="21">
        <f>IF(E1988&lt;=90,"90 or less",IF(E1988&lt;=105,"91-105",IF(E1988&lt;=120,"106-120",IF(E1988&lt;=140,"121-140","Over 140"))))</f>
        <v/>
      </c>
      <c r="Q1988" s="28">
        <f>INT(C1988/10)*10</f>
        <v/>
      </c>
    </row>
    <row r="1989">
      <c r="A1989" s="21" t="n">
        <v>2028</v>
      </c>
      <c r="B1989" s="21" t="inlineStr">
        <is>
          <t>The Barbarian Invasions</t>
        </is>
      </c>
      <c r="C1989" s="21" t="n">
        <v>2003</v>
      </c>
      <c r="D1989" s="21" t="inlineStr">
        <is>
          <t>Canada</t>
        </is>
      </c>
      <c r="E1989" s="21" t="n">
        <v>112</v>
      </c>
      <c r="F1989" s="21" t="inlineStr">
        <is>
          <t>French</t>
        </is>
      </c>
      <c r="G1989" s="21" t="inlineStr">
        <is>
          <t>R</t>
        </is>
      </c>
      <c r="H1989" s="22" t="n">
        <v>3432342</v>
      </c>
      <c r="I1989" s="22" t="n">
        <v>6000000</v>
      </c>
      <c r="J1989" s="21">
        <f>IF(OR(H1989="",H1989=25529689.5),"Yes","No")</f>
        <v/>
      </c>
      <c r="K1989" s="21">
        <f>IF(AND(D1989="USA",C1989&gt;=1980,J1989="No"),"Yes","No")</f>
        <v/>
      </c>
      <c r="L1989" s="26">
        <f>IF(J1989="Yes","",H1989-I1989)</f>
        <v/>
      </c>
      <c r="M1989" s="27">
        <f>IF(OR(J1989="Yes",I1989=0),"",H1989/I1989)</f>
        <v/>
      </c>
      <c r="N1989" s="21">
        <f>IF(J1989="Yes","",IF(H1989&gt;=I1989,1,0))</f>
        <v/>
      </c>
      <c r="O1989" s="21">
        <f>IF(I1989&lt;=5000000,"Under $5M",IF(I1989&lt;=20000000,"$5M-20M",IF(I1989&lt;=50000000,"$20M-50M",IF(I1989&lt;=100000000,"$50M-100M","$100M+"))))</f>
        <v/>
      </c>
      <c r="P1989" s="21">
        <f>IF(E1989&lt;=90,"90 or less",IF(E1989&lt;=105,"91-105",IF(E1989&lt;=120,"106-120",IF(E1989&lt;=140,"121-140","Over 140"))))</f>
        <v/>
      </c>
      <c r="Q1989" s="28">
        <f>INT(C1989/10)*10</f>
        <v/>
      </c>
    </row>
    <row r="1990">
      <c r="A1990" s="21" t="n">
        <v>2029</v>
      </c>
      <c r="B1990" s="21" t="inlineStr">
        <is>
          <t>The Battle of Shaker Heights</t>
        </is>
      </c>
      <c r="C1990" s="21" t="n">
        <v>2003</v>
      </c>
      <c r="D1990" s="21" t="inlineStr">
        <is>
          <t>USA</t>
        </is>
      </c>
      <c r="E1990" s="21" t="n">
        <v>79</v>
      </c>
      <c r="F1990" s="21" t="inlineStr">
        <is>
          <t>English</t>
        </is>
      </c>
      <c r="G1990" s="21" t="inlineStr">
        <is>
          <t>PG-13</t>
        </is>
      </c>
      <c r="H1990" s="22" t="n">
        <v>279282</v>
      </c>
      <c r="I1990" s="22" t="n">
        <v>1000000</v>
      </c>
      <c r="J1990" s="21">
        <f>IF(OR(H1990="",H1990=25529689.5),"Yes","No")</f>
        <v/>
      </c>
      <c r="K1990" s="21">
        <f>IF(AND(D1990="USA",C1990&gt;=1980,J1990="No"),"Yes","No")</f>
        <v/>
      </c>
      <c r="L1990" s="26">
        <f>IF(J1990="Yes","",H1990-I1990)</f>
        <v/>
      </c>
      <c r="M1990" s="27">
        <f>IF(OR(J1990="Yes",I1990=0),"",H1990/I1990)</f>
        <v/>
      </c>
      <c r="N1990" s="21">
        <f>IF(J1990="Yes","",IF(H1990&gt;=I1990,1,0))</f>
        <v/>
      </c>
      <c r="O1990" s="21">
        <f>IF(I1990&lt;=5000000,"Under $5M",IF(I1990&lt;=20000000,"$5M-20M",IF(I1990&lt;=50000000,"$20M-50M",IF(I1990&lt;=100000000,"$50M-100M","$100M+"))))</f>
        <v/>
      </c>
      <c r="P1990" s="21">
        <f>IF(E1990&lt;=90,"90 or less",IF(E1990&lt;=105,"91-105",IF(E1990&lt;=120,"106-120",IF(E1990&lt;=140,"121-140","Over 140"))))</f>
        <v/>
      </c>
      <c r="Q1990" s="28">
        <f>INT(C1990/10)*10</f>
        <v/>
      </c>
    </row>
    <row r="1991">
      <c r="A1991" s="21" t="n">
        <v>2030</v>
      </c>
      <c r="B1991" s="21" t="inlineStr">
        <is>
          <t>The Book of Mormon Movie, Volume 1: The Journey</t>
        </is>
      </c>
      <c r="C1991" s="21" t="n">
        <v>2003</v>
      </c>
      <c r="D1991" s="21" t="inlineStr">
        <is>
          <t>USA</t>
        </is>
      </c>
      <c r="E1991" s="21" t="n">
        <v>120</v>
      </c>
      <c r="F1991" s="21" t="inlineStr">
        <is>
          <t>English</t>
        </is>
      </c>
      <c r="G1991" s="21" t="inlineStr">
        <is>
          <t>PG-13</t>
        </is>
      </c>
      <c r="H1991" s="22" t="n">
        <v>1098224</v>
      </c>
      <c r="I1991" s="22" t="n">
        <v>2000000</v>
      </c>
      <c r="J1991" s="21">
        <f>IF(OR(H1991="",H1991=25529689.5),"Yes","No")</f>
        <v/>
      </c>
      <c r="K1991" s="21">
        <f>IF(AND(D1991="USA",C1991&gt;=1980,J1991="No"),"Yes","No")</f>
        <v/>
      </c>
      <c r="L1991" s="26">
        <f>IF(J1991="Yes","",H1991-I1991)</f>
        <v/>
      </c>
      <c r="M1991" s="27">
        <f>IF(OR(J1991="Yes",I1991=0),"",H1991/I1991)</f>
        <v/>
      </c>
      <c r="N1991" s="21">
        <f>IF(J1991="Yes","",IF(H1991&gt;=I1991,1,0))</f>
        <v/>
      </c>
      <c r="O1991" s="21">
        <f>IF(I1991&lt;=5000000,"Under $5M",IF(I1991&lt;=20000000,"$5M-20M",IF(I1991&lt;=50000000,"$20M-50M",IF(I1991&lt;=100000000,"$50M-100M","$100M+"))))</f>
        <v/>
      </c>
      <c r="P1991" s="21">
        <f>IF(E1991&lt;=90,"90 or less",IF(E1991&lt;=105,"91-105",IF(E1991&lt;=120,"106-120",IF(E1991&lt;=140,"121-140","Over 140"))))</f>
        <v/>
      </c>
      <c r="Q1991" s="28">
        <f>INT(C1991/10)*10</f>
        <v/>
      </c>
    </row>
    <row r="1992">
      <c r="A1992" s="21" t="n">
        <v>2031</v>
      </c>
      <c r="B1992" s="21" t="inlineStr">
        <is>
          <t>The Brown Bunny</t>
        </is>
      </c>
      <c r="C1992" s="21" t="n">
        <v>2003</v>
      </c>
      <c r="D1992" s="21" t="inlineStr">
        <is>
          <t>USA</t>
        </is>
      </c>
      <c r="E1992" s="21" t="n">
        <v>93</v>
      </c>
      <c r="F1992" s="21" t="inlineStr">
        <is>
          <t>English</t>
        </is>
      </c>
      <c r="G1992" s="21" t="inlineStr">
        <is>
          <t>Not Rated</t>
        </is>
      </c>
      <c r="H1992" s="22" t="n">
        <v>365734</v>
      </c>
      <c r="I1992" s="22" t="n">
        <v>10000000</v>
      </c>
      <c r="J1992" s="21">
        <f>IF(OR(H1992="",H1992=25529689.5),"Yes","No")</f>
        <v/>
      </c>
      <c r="K1992" s="21">
        <f>IF(AND(D1992="USA",C1992&gt;=1980,J1992="No"),"Yes","No")</f>
        <v/>
      </c>
      <c r="L1992" s="26">
        <f>IF(J1992="Yes","",H1992-I1992)</f>
        <v/>
      </c>
      <c r="M1992" s="27">
        <f>IF(OR(J1992="Yes",I1992=0),"",H1992/I1992)</f>
        <v/>
      </c>
      <c r="N1992" s="21">
        <f>IF(J1992="Yes","",IF(H1992&gt;=I1992,1,0))</f>
        <v/>
      </c>
      <c r="O1992" s="21">
        <f>IF(I1992&lt;=5000000,"Under $5M",IF(I1992&lt;=20000000,"$5M-20M",IF(I1992&lt;=50000000,"$20M-50M",IF(I1992&lt;=100000000,"$50M-100M","$100M+"))))</f>
        <v/>
      </c>
      <c r="P1992" s="21">
        <f>IF(E1992&lt;=90,"90 or less",IF(E1992&lt;=105,"91-105",IF(E1992&lt;=120,"106-120",IF(E1992&lt;=140,"121-140","Over 140"))))</f>
        <v/>
      </c>
      <c r="Q1992" s="28">
        <f>INT(C1992/10)*10</f>
        <v/>
      </c>
    </row>
    <row r="1993">
      <c r="A1993" s="21" t="n">
        <v>2032</v>
      </c>
      <c r="B1993" s="21" t="inlineStr">
        <is>
          <t>The Cat in the Hat</t>
        </is>
      </c>
      <c r="C1993" s="21" t="n">
        <v>2003</v>
      </c>
      <c r="D1993" s="21" t="inlineStr">
        <is>
          <t>USA</t>
        </is>
      </c>
      <c r="E1993" s="21" t="n">
        <v>82</v>
      </c>
      <c r="F1993" s="21" t="inlineStr">
        <is>
          <t>English</t>
        </is>
      </c>
      <c r="G1993" s="21" t="inlineStr">
        <is>
          <t>PG</t>
        </is>
      </c>
      <c r="H1993" s="22" t="n">
        <v>100446895</v>
      </c>
      <c r="I1993" s="22" t="n">
        <v>109000000</v>
      </c>
      <c r="J1993" s="21">
        <f>IF(OR(H1993="",H1993=25529689.5),"Yes","No")</f>
        <v/>
      </c>
      <c r="K1993" s="21">
        <f>IF(AND(D1993="USA",C1993&gt;=1980,J1993="No"),"Yes","No")</f>
        <v/>
      </c>
      <c r="L1993" s="26">
        <f>IF(J1993="Yes","",H1993-I1993)</f>
        <v/>
      </c>
      <c r="M1993" s="27">
        <f>IF(OR(J1993="Yes",I1993=0),"",H1993/I1993)</f>
        <v/>
      </c>
      <c r="N1993" s="21">
        <f>IF(J1993="Yes","",IF(H1993&gt;=I1993,1,0))</f>
        <v/>
      </c>
      <c r="O1993" s="21">
        <f>IF(I1993&lt;=5000000,"Under $5M",IF(I1993&lt;=20000000,"$5M-20M",IF(I1993&lt;=50000000,"$20M-50M",IF(I1993&lt;=100000000,"$50M-100M","$100M+"))))</f>
        <v/>
      </c>
      <c r="P1993" s="21">
        <f>IF(E1993&lt;=90,"90 or less",IF(E1993&lt;=105,"91-105",IF(E1993&lt;=120,"106-120",IF(E1993&lt;=140,"121-140","Over 140"))))</f>
        <v/>
      </c>
      <c r="Q1993" s="28">
        <f>INT(C1993/10)*10</f>
        <v/>
      </c>
    </row>
    <row r="1994">
      <c r="A1994" s="21" t="n">
        <v>2033</v>
      </c>
      <c r="B1994" s="21" t="inlineStr">
        <is>
          <t>The Cooler</t>
        </is>
      </c>
      <c r="C1994" s="21" t="n">
        <v>2003</v>
      </c>
      <c r="D1994" s="21" t="inlineStr">
        <is>
          <t>USA</t>
        </is>
      </c>
      <c r="E1994" s="21" t="n">
        <v>101</v>
      </c>
      <c r="F1994" s="21" t="inlineStr">
        <is>
          <t>English</t>
        </is>
      </c>
      <c r="G1994" s="21" t="inlineStr">
        <is>
          <t>R</t>
        </is>
      </c>
      <c r="H1994" s="22" t="n">
        <v>8243880</v>
      </c>
      <c r="I1994" s="22" t="n">
        <v>3200000</v>
      </c>
      <c r="J1994" s="21">
        <f>IF(OR(H1994="",H1994=25529689.5),"Yes","No")</f>
        <v/>
      </c>
      <c r="K1994" s="21">
        <f>IF(AND(D1994="USA",C1994&gt;=1980,J1994="No"),"Yes","No")</f>
        <v/>
      </c>
      <c r="L1994" s="26">
        <f>IF(J1994="Yes","",H1994-I1994)</f>
        <v/>
      </c>
      <c r="M1994" s="27">
        <f>IF(OR(J1994="Yes",I1994=0),"",H1994/I1994)</f>
        <v/>
      </c>
      <c r="N1994" s="21">
        <f>IF(J1994="Yes","",IF(H1994&gt;=I1994,1,0))</f>
        <v/>
      </c>
      <c r="O1994" s="21">
        <f>IF(I1994&lt;=5000000,"Under $5M",IF(I1994&lt;=20000000,"$5M-20M",IF(I1994&lt;=50000000,"$20M-50M",IF(I1994&lt;=100000000,"$50M-100M","$100M+"))))</f>
        <v/>
      </c>
      <c r="P1994" s="21">
        <f>IF(E1994&lt;=90,"90 or less",IF(E1994&lt;=105,"91-105",IF(E1994&lt;=120,"106-120",IF(E1994&lt;=140,"121-140","Over 140"))))</f>
        <v/>
      </c>
      <c r="Q1994" s="28">
        <f>INT(C1994/10)*10</f>
        <v/>
      </c>
    </row>
    <row r="1995">
      <c r="A1995" s="21" t="n">
        <v>2034</v>
      </c>
      <c r="B1995" s="21" t="inlineStr">
        <is>
          <t>The Core</t>
        </is>
      </c>
      <c r="C1995" s="21" t="n">
        <v>2003</v>
      </c>
      <c r="D1995" s="21" t="inlineStr">
        <is>
          <t>USA</t>
        </is>
      </c>
      <c r="E1995" s="21" t="n">
        <v>135</v>
      </c>
      <c r="F1995" s="21" t="inlineStr">
        <is>
          <t>English</t>
        </is>
      </c>
      <c r="G1995" s="21" t="inlineStr">
        <is>
          <t>PG-13</t>
        </is>
      </c>
      <c r="H1995" s="22" t="n">
        <v>31111260</v>
      </c>
      <c r="I1995" s="22" t="n">
        <v>60000000</v>
      </c>
      <c r="J1995" s="21">
        <f>IF(OR(H1995="",H1995=25529689.5),"Yes","No")</f>
        <v/>
      </c>
      <c r="K1995" s="21">
        <f>IF(AND(D1995="USA",C1995&gt;=1980,J1995="No"),"Yes","No")</f>
        <v/>
      </c>
      <c r="L1995" s="26">
        <f>IF(J1995="Yes","",H1995-I1995)</f>
        <v/>
      </c>
      <c r="M1995" s="27">
        <f>IF(OR(J1995="Yes",I1995=0),"",H1995/I1995)</f>
        <v/>
      </c>
      <c r="N1995" s="21">
        <f>IF(J1995="Yes","",IF(H1995&gt;=I1995,1,0))</f>
        <v/>
      </c>
      <c r="O1995" s="21">
        <f>IF(I1995&lt;=5000000,"Under $5M",IF(I1995&lt;=20000000,"$5M-20M",IF(I1995&lt;=50000000,"$20M-50M",IF(I1995&lt;=100000000,"$50M-100M","$100M+"))))</f>
        <v/>
      </c>
      <c r="P1995" s="21">
        <f>IF(E1995&lt;=90,"90 or less",IF(E1995&lt;=105,"91-105",IF(E1995&lt;=120,"106-120",IF(E1995&lt;=140,"121-140","Over 140"))))</f>
        <v/>
      </c>
      <c r="Q1995" s="28">
        <f>INT(C1995/10)*10</f>
        <v/>
      </c>
    </row>
    <row r="1996">
      <c r="A1996" s="21" t="n">
        <v>2035</v>
      </c>
      <c r="B1996" s="21" t="inlineStr">
        <is>
          <t>The Flower of Evil</t>
        </is>
      </c>
      <c r="C1996" s="21" t="n">
        <v>2003</v>
      </c>
      <c r="D1996" s="21" t="inlineStr">
        <is>
          <t>France</t>
        </is>
      </c>
      <c r="E1996" s="21" t="n">
        <v>104</v>
      </c>
      <c r="F1996" s="21" t="inlineStr">
        <is>
          <t>French</t>
        </is>
      </c>
      <c r="G1996" s="21" t="inlineStr">
        <is>
          <t>R</t>
        </is>
      </c>
      <c r="H1996" s="22" t="n">
        <v>181798</v>
      </c>
      <c r="I1996" s="22" t="n">
        <v>20000000</v>
      </c>
      <c r="J1996" s="21">
        <f>IF(OR(H1996="",H1996=25529689.5),"Yes","No")</f>
        <v/>
      </c>
      <c r="K1996" s="21">
        <f>IF(AND(D1996="USA",C1996&gt;=1980,J1996="No"),"Yes","No")</f>
        <v/>
      </c>
      <c r="L1996" s="26">
        <f>IF(J1996="Yes","",H1996-I1996)</f>
        <v/>
      </c>
      <c r="M1996" s="27">
        <f>IF(OR(J1996="Yes",I1996=0),"",H1996/I1996)</f>
        <v/>
      </c>
      <c r="N1996" s="21">
        <f>IF(J1996="Yes","",IF(H1996&gt;=I1996,1,0))</f>
        <v/>
      </c>
      <c r="O1996" s="21">
        <f>IF(I1996&lt;=5000000,"Under $5M",IF(I1996&lt;=20000000,"$5M-20M",IF(I1996&lt;=50000000,"$20M-50M",IF(I1996&lt;=100000000,"$50M-100M","$100M+"))))</f>
        <v/>
      </c>
      <c r="P1996" s="21">
        <f>IF(E1996&lt;=90,"90 or less",IF(E1996&lt;=105,"91-105",IF(E1996&lt;=120,"106-120",IF(E1996&lt;=140,"121-140","Over 140"))))</f>
        <v/>
      </c>
      <c r="Q1996" s="28">
        <f>INT(C1996/10)*10</f>
        <v/>
      </c>
    </row>
    <row r="1997">
      <c r="A1997" s="21" t="n">
        <v>2036</v>
      </c>
      <c r="B1997" s="21" t="inlineStr">
        <is>
          <t>The Haunted Mansion</t>
        </is>
      </c>
      <c r="C1997" s="21" t="n">
        <v>2003</v>
      </c>
      <c r="D1997" s="21" t="inlineStr">
        <is>
          <t>USA</t>
        </is>
      </c>
      <c r="E1997" s="21" t="n">
        <v>88</v>
      </c>
      <c r="F1997" s="21" t="inlineStr">
        <is>
          <t>English</t>
        </is>
      </c>
      <c r="G1997" s="21" t="inlineStr">
        <is>
          <t>PG</t>
        </is>
      </c>
      <c r="H1997" s="22" t="n">
        <v>75817994</v>
      </c>
      <c r="I1997" s="22" t="n">
        <v>90000000</v>
      </c>
      <c r="J1997" s="21">
        <f>IF(OR(H1997="",H1997=25529689.5),"Yes","No")</f>
        <v/>
      </c>
      <c r="K1997" s="21">
        <f>IF(AND(D1997="USA",C1997&gt;=1980,J1997="No"),"Yes","No")</f>
        <v/>
      </c>
      <c r="L1997" s="26">
        <f>IF(J1997="Yes","",H1997-I1997)</f>
        <v/>
      </c>
      <c r="M1997" s="27">
        <f>IF(OR(J1997="Yes",I1997=0),"",H1997/I1997)</f>
        <v/>
      </c>
      <c r="N1997" s="21">
        <f>IF(J1997="Yes","",IF(H1997&gt;=I1997,1,0))</f>
        <v/>
      </c>
      <c r="O1997" s="21">
        <f>IF(I1997&lt;=5000000,"Under $5M",IF(I1997&lt;=20000000,"$5M-20M",IF(I1997&lt;=50000000,"$20M-50M",IF(I1997&lt;=100000000,"$50M-100M","$100M+"))))</f>
        <v/>
      </c>
      <c r="P1997" s="21">
        <f>IF(E1997&lt;=90,"90 or less",IF(E1997&lt;=105,"91-105",IF(E1997&lt;=120,"106-120",IF(E1997&lt;=140,"121-140","Over 140"))))</f>
        <v/>
      </c>
      <c r="Q1997" s="28">
        <f>INT(C1997/10)*10</f>
        <v/>
      </c>
    </row>
    <row r="1998">
      <c r="A1998" s="21" t="n">
        <v>2037</v>
      </c>
      <c r="B1998" s="21" t="inlineStr">
        <is>
          <t>The Hebrew Hammer</t>
        </is>
      </c>
      <c r="C1998" s="21" t="n">
        <v>2003</v>
      </c>
      <c r="D1998" s="21" t="inlineStr">
        <is>
          <t>USA</t>
        </is>
      </c>
      <c r="E1998" s="21" t="n">
        <v>87</v>
      </c>
      <c r="F1998" s="21" t="inlineStr">
        <is>
          <t>English</t>
        </is>
      </c>
      <c r="G1998" s="21" t="inlineStr">
        <is>
          <t>R</t>
        </is>
      </c>
      <c r="H1998" s="22" t="n">
        <v>19539</v>
      </c>
      <c r="I1998" s="22" t="n">
        <v>1000000</v>
      </c>
      <c r="J1998" s="21">
        <f>IF(OR(H1998="",H1998=25529689.5),"Yes","No")</f>
        <v/>
      </c>
      <c r="K1998" s="21">
        <f>IF(AND(D1998="USA",C1998&gt;=1980,J1998="No"),"Yes","No")</f>
        <v/>
      </c>
      <c r="L1998" s="26">
        <f>IF(J1998="Yes","",H1998-I1998)</f>
        <v/>
      </c>
      <c r="M1998" s="27">
        <f>IF(OR(J1998="Yes",I1998=0),"",H1998/I1998)</f>
        <v/>
      </c>
      <c r="N1998" s="21">
        <f>IF(J1998="Yes","",IF(H1998&gt;=I1998,1,0))</f>
        <v/>
      </c>
      <c r="O1998" s="21">
        <f>IF(I1998&lt;=5000000,"Under $5M",IF(I1998&lt;=20000000,"$5M-20M",IF(I1998&lt;=50000000,"$20M-50M",IF(I1998&lt;=100000000,"$50M-100M","$100M+"))))</f>
        <v/>
      </c>
      <c r="P1998" s="21">
        <f>IF(E1998&lt;=90,"90 or less",IF(E1998&lt;=105,"91-105",IF(E1998&lt;=120,"106-120",IF(E1998&lt;=140,"121-140","Over 140"))))</f>
        <v/>
      </c>
      <c r="Q1998" s="28">
        <f>INT(C1998/10)*10</f>
        <v/>
      </c>
    </row>
    <row r="1999">
      <c r="A1999" s="21" t="n">
        <v>2038</v>
      </c>
      <c r="B1999" s="21" t="inlineStr">
        <is>
          <t>The Hunted</t>
        </is>
      </c>
      <c r="C1999" s="21" t="n">
        <v>2003</v>
      </c>
      <c r="D1999" s="21" t="inlineStr">
        <is>
          <t>USA</t>
        </is>
      </c>
      <c r="E1999" s="21" t="n">
        <v>94</v>
      </c>
      <c r="F1999" s="21" t="inlineStr">
        <is>
          <t>English</t>
        </is>
      </c>
      <c r="G1999" s="21" t="inlineStr">
        <is>
          <t>R</t>
        </is>
      </c>
      <c r="H1999" s="22" t="n">
        <v>34238611</v>
      </c>
      <c r="I1999" s="22" t="n">
        <v>55000000</v>
      </c>
      <c r="J1999" s="21">
        <f>IF(OR(H1999="",H1999=25529689.5),"Yes","No")</f>
        <v/>
      </c>
      <c r="K1999" s="21">
        <f>IF(AND(D1999="USA",C1999&gt;=1980,J1999="No"),"Yes","No")</f>
        <v/>
      </c>
      <c r="L1999" s="26">
        <f>IF(J1999="Yes","",H1999-I1999)</f>
        <v/>
      </c>
      <c r="M1999" s="27">
        <f>IF(OR(J1999="Yes",I1999=0),"",H1999/I1999)</f>
        <v/>
      </c>
      <c r="N1999" s="21">
        <f>IF(J1999="Yes","",IF(H1999&gt;=I1999,1,0))</f>
        <v/>
      </c>
      <c r="O1999" s="21">
        <f>IF(I1999&lt;=5000000,"Under $5M",IF(I1999&lt;=20000000,"$5M-20M",IF(I1999&lt;=50000000,"$20M-50M",IF(I1999&lt;=100000000,"$50M-100M","$100M+"))))</f>
        <v/>
      </c>
      <c r="P1999" s="21">
        <f>IF(E1999&lt;=90,"90 or less",IF(E1999&lt;=105,"91-105",IF(E1999&lt;=120,"106-120",IF(E1999&lt;=140,"121-140","Over 140"))))</f>
        <v/>
      </c>
      <c r="Q1999" s="28">
        <f>INT(C1999/10)*10</f>
        <v/>
      </c>
    </row>
    <row r="2000">
      <c r="A2000" s="21" t="n">
        <v>2039</v>
      </c>
      <c r="B2000" s="21" t="inlineStr">
        <is>
          <t>The Italian Job</t>
        </is>
      </c>
      <c r="C2000" s="21" t="n">
        <v>2003</v>
      </c>
      <c r="D2000" s="21" t="inlineStr">
        <is>
          <t>USA</t>
        </is>
      </c>
      <c r="E2000" s="21" t="n">
        <v>111</v>
      </c>
      <c r="F2000" s="21" t="inlineStr">
        <is>
          <t>English</t>
        </is>
      </c>
      <c r="G2000" s="21" t="inlineStr">
        <is>
          <t>PG-13</t>
        </is>
      </c>
      <c r="H2000" s="22" t="n">
        <v>106126012</v>
      </c>
      <c r="I2000" s="22" t="n">
        <v>60000000</v>
      </c>
      <c r="J2000" s="21">
        <f>IF(OR(H2000="",H2000=25529689.5),"Yes","No")</f>
        <v/>
      </c>
      <c r="K2000" s="21">
        <f>IF(AND(D2000="USA",C2000&gt;=1980,J2000="No"),"Yes","No")</f>
        <v/>
      </c>
      <c r="L2000" s="26">
        <f>IF(J2000="Yes","",H2000-I2000)</f>
        <v/>
      </c>
      <c r="M2000" s="27">
        <f>IF(OR(J2000="Yes",I2000=0),"",H2000/I2000)</f>
        <v/>
      </c>
      <c r="N2000" s="21">
        <f>IF(J2000="Yes","",IF(H2000&gt;=I2000,1,0))</f>
        <v/>
      </c>
      <c r="O2000" s="21">
        <f>IF(I2000&lt;=5000000,"Under $5M",IF(I2000&lt;=20000000,"$5M-20M",IF(I2000&lt;=50000000,"$20M-50M",IF(I2000&lt;=100000000,"$50M-100M","$100M+"))))</f>
        <v/>
      </c>
      <c r="P2000" s="21">
        <f>IF(E2000&lt;=90,"90 or less",IF(E2000&lt;=105,"91-105",IF(E2000&lt;=120,"106-120",IF(E2000&lt;=140,"121-140","Over 140"))))</f>
        <v/>
      </c>
      <c r="Q2000" s="28">
        <f>INT(C2000/10)*10</f>
        <v/>
      </c>
    </row>
    <row r="2001">
      <c r="A2001" s="21" t="n">
        <v>2040</v>
      </c>
      <c r="B2001" s="21" t="inlineStr">
        <is>
          <t>The Jungle Book 2</t>
        </is>
      </c>
      <c r="C2001" s="21" t="n">
        <v>2003</v>
      </c>
      <c r="D2001" s="21" t="inlineStr">
        <is>
          <t>USA</t>
        </is>
      </c>
      <c r="E2001" s="21" t="n">
        <v>72</v>
      </c>
      <c r="F2001" s="21" t="inlineStr">
        <is>
          <t>English</t>
        </is>
      </c>
      <c r="G2001" s="21" t="inlineStr">
        <is>
          <t>G</t>
        </is>
      </c>
      <c r="H2001" s="22" t="n">
        <v>47887943</v>
      </c>
      <c r="I2001" s="22" t="n">
        <v>20000000</v>
      </c>
      <c r="J2001" s="21">
        <f>IF(OR(H2001="",H2001=25529689.5),"Yes","No")</f>
        <v/>
      </c>
      <c r="K2001" s="21">
        <f>IF(AND(D2001="USA",C2001&gt;=1980,J2001="No"),"Yes","No")</f>
        <v/>
      </c>
      <c r="L2001" s="26">
        <f>IF(J2001="Yes","",H2001-I2001)</f>
        <v/>
      </c>
      <c r="M2001" s="27">
        <f>IF(OR(J2001="Yes",I2001=0),"",H2001/I2001)</f>
        <v/>
      </c>
      <c r="N2001" s="21">
        <f>IF(J2001="Yes","",IF(H2001&gt;=I2001,1,0))</f>
        <v/>
      </c>
      <c r="O2001" s="21">
        <f>IF(I2001&lt;=5000000,"Under $5M",IF(I2001&lt;=20000000,"$5M-20M",IF(I2001&lt;=50000000,"$20M-50M",IF(I2001&lt;=100000000,"$50M-100M","$100M+"))))</f>
        <v/>
      </c>
      <c r="P2001" s="21">
        <f>IF(E2001&lt;=90,"90 or less",IF(E2001&lt;=105,"91-105",IF(E2001&lt;=120,"106-120",IF(E2001&lt;=140,"121-140","Over 140"))))</f>
        <v/>
      </c>
      <c r="Q2001" s="28">
        <f>INT(C2001/10)*10</f>
        <v/>
      </c>
    </row>
    <row r="2002">
      <c r="A2002" s="21" t="n">
        <v>2041</v>
      </c>
      <c r="B2002" s="21" t="inlineStr">
        <is>
          <t>The Last Samurai</t>
        </is>
      </c>
      <c r="C2002" s="21" t="n">
        <v>2003</v>
      </c>
      <c r="D2002" s="21" t="inlineStr">
        <is>
          <t>USA</t>
        </is>
      </c>
      <c r="E2002" s="21" t="n">
        <v>154</v>
      </c>
      <c r="F2002" s="21" t="inlineStr">
        <is>
          <t>English</t>
        </is>
      </c>
      <c r="G2002" s="21" t="inlineStr">
        <is>
          <t>R</t>
        </is>
      </c>
      <c r="H2002" s="22" t="n">
        <v>111110575</v>
      </c>
      <c r="I2002" s="22" t="n">
        <v>140000000</v>
      </c>
      <c r="J2002" s="21">
        <f>IF(OR(H2002="",H2002=25529689.5),"Yes","No")</f>
        <v/>
      </c>
      <c r="K2002" s="21">
        <f>IF(AND(D2002="USA",C2002&gt;=1980,J2002="No"),"Yes","No")</f>
        <v/>
      </c>
      <c r="L2002" s="26">
        <f>IF(J2002="Yes","",H2002-I2002)</f>
        <v/>
      </c>
      <c r="M2002" s="27">
        <f>IF(OR(J2002="Yes",I2002=0),"",H2002/I2002)</f>
        <v/>
      </c>
      <c r="N2002" s="21">
        <f>IF(J2002="Yes","",IF(H2002&gt;=I2002,1,0))</f>
        <v/>
      </c>
      <c r="O2002" s="21">
        <f>IF(I2002&lt;=5000000,"Under $5M",IF(I2002&lt;=20000000,"$5M-20M",IF(I2002&lt;=50000000,"$20M-50M",IF(I2002&lt;=100000000,"$50M-100M","$100M+"))))</f>
        <v/>
      </c>
      <c r="P2002" s="21">
        <f>IF(E2002&lt;=90,"90 or less",IF(E2002&lt;=105,"91-105",IF(E2002&lt;=120,"106-120",IF(E2002&lt;=140,"121-140","Over 140"))))</f>
        <v/>
      </c>
      <c r="Q2002" s="28">
        <f>INT(C2002/10)*10</f>
        <v/>
      </c>
    </row>
    <row r="2003">
      <c r="A2003" s="21" t="n">
        <v>2042</v>
      </c>
      <c r="B2003" s="21" t="inlineStr">
        <is>
          <t>The League of Extraordinary Gentlemen</t>
        </is>
      </c>
      <c r="C2003" s="21" t="n">
        <v>2003</v>
      </c>
      <c r="D2003" s="21" t="inlineStr">
        <is>
          <t>USA</t>
        </is>
      </c>
      <c r="E2003" s="21" t="n">
        <v>110</v>
      </c>
      <c r="F2003" s="21" t="inlineStr">
        <is>
          <t>English</t>
        </is>
      </c>
      <c r="G2003" s="21" t="inlineStr">
        <is>
          <t>PG-13</t>
        </is>
      </c>
      <c r="H2003" s="22" t="n">
        <v>66462600</v>
      </c>
      <c r="I2003" s="22" t="n">
        <v>78000000</v>
      </c>
      <c r="J2003" s="21">
        <f>IF(OR(H2003="",H2003=25529689.5),"Yes","No")</f>
        <v/>
      </c>
      <c r="K2003" s="21">
        <f>IF(AND(D2003="USA",C2003&gt;=1980,J2003="No"),"Yes","No")</f>
        <v/>
      </c>
      <c r="L2003" s="26">
        <f>IF(J2003="Yes","",H2003-I2003)</f>
        <v/>
      </c>
      <c r="M2003" s="27">
        <f>IF(OR(J2003="Yes",I2003=0),"",H2003/I2003)</f>
        <v/>
      </c>
      <c r="N2003" s="21">
        <f>IF(J2003="Yes","",IF(H2003&gt;=I2003,1,0))</f>
        <v/>
      </c>
      <c r="O2003" s="21">
        <f>IF(I2003&lt;=5000000,"Under $5M",IF(I2003&lt;=20000000,"$5M-20M",IF(I2003&lt;=50000000,"$20M-50M",IF(I2003&lt;=100000000,"$50M-100M","$100M+"))))</f>
        <v/>
      </c>
      <c r="P2003" s="21">
        <f>IF(E2003&lt;=90,"90 or less",IF(E2003&lt;=105,"91-105",IF(E2003&lt;=120,"106-120",IF(E2003&lt;=140,"121-140","Over 140"))))</f>
        <v/>
      </c>
      <c r="Q2003" s="28">
        <f>INT(C2003/10)*10</f>
        <v/>
      </c>
    </row>
    <row r="2004">
      <c r="A2004" s="21" t="n">
        <v>2043</v>
      </c>
      <c r="B2004" s="21" t="inlineStr">
        <is>
          <t>The Life of David Gale</t>
        </is>
      </c>
      <c r="C2004" s="21" t="n">
        <v>2003</v>
      </c>
      <c r="D2004" s="21" t="inlineStr">
        <is>
          <t>USA</t>
        </is>
      </c>
      <c r="E2004" s="21" t="n">
        <v>130</v>
      </c>
      <c r="F2004" s="21" t="inlineStr">
        <is>
          <t>English</t>
        </is>
      </c>
      <c r="G2004" s="21" t="inlineStr">
        <is>
          <t>R</t>
        </is>
      </c>
      <c r="H2004" s="22" t="n">
        <v>19593740</v>
      </c>
      <c r="I2004" s="22" t="n">
        <v>50000000</v>
      </c>
      <c r="J2004" s="21">
        <f>IF(OR(H2004="",H2004=25529689.5),"Yes","No")</f>
        <v/>
      </c>
      <c r="K2004" s="21">
        <f>IF(AND(D2004="USA",C2004&gt;=1980,J2004="No"),"Yes","No")</f>
        <v/>
      </c>
      <c r="L2004" s="26">
        <f>IF(J2004="Yes","",H2004-I2004)</f>
        <v/>
      </c>
      <c r="M2004" s="27">
        <f>IF(OR(J2004="Yes",I2004=0),"",H2004/I2004)</f>
        <v/>
      </c>
      <c r="N2004" s="21">
        <f>IF(J2004="Yes","",IF(H2004&gt;=I2004,1,0))</f>
        <v/>
      </c>
      <c r="O2004" s="21">
        <f>IF(I2004&lt;=5000000,"Under $5M",IF(I2004&lt;=20000000,"$5M-20M",IF(I2004&lt;=50000000,"$20M-50M",IF(I2004&lt;=100000000,"$50M-100M","$100M+"))))</f>
        <v/>
      </c>
      <c r="P2004" s="21">
        <f>IF(E2004&lt;=90,"90 or less",IF(E2004&lt;=105,"91-105",IF(E2004&lt;=120,"106-120",IF(E2004&lt;=140,"121-140","Over 140"))))</f>
        <v/>
      </c>
      <c r="Q2004" s="28">
        <f>INT(C2004/10)*10</f>
        <v/>
      </c>
    </row>
    <row r="2005">
      <c r="A2005" s="21" t="n">
        <v>2044</v>
      </c>
      <c r="B2005" s="21" t="inlineStr">
        <is>
          <t>The Lizzie McGuire Movie</t>
        </is>
      </c>
      <c r="C2005" s="21" t="n">
        <v>2003</v>
      </c>
      <c r="D2005" s="21" t="inlineStr">
        <is>
          <t>USA</t>
        </is>
      </c>
      <c r="E2005" s="21" t="n">
        <v>94</v>
      </c>
      <c r="F2005" s="21" t="inlineStr">
        <is>
          <t>English</t>
        </is>
      </c>
      <c r="G2005" s="21" t="inlineStr">
        <is>
          <t>PG</t>
        </is>
      </c>
      <c r="H2005" s="22" t="n">
        <v>42672630</v>
      </c>
      <c r="I2005" s="22" t="n">
        <v>17000000</v>
      </c>
      <c r="J2005" s="21">
        <f>IF(OR(H2005="",H2005=25529689.5),"Yes","No")</f>
        <v/>
      </c>
      <c r="K2005" s="21">
        <f>IF(AND(D2005="USA",C2005&gt;=1980,J2005="No"),"Yes","No")</f>
        <v/>
      </c>
      <c r="L2005" s="26">
        <f>IF(J2005="Yes","",H2005-I2005)</f>
        <v/>
      </c>
      <c r="M2005" s="27">
        <f>IF(OR(J2005="Yes",I2005=0),"",H2005/I2005)</f>
        <v/>
      </c>
      <c r="N2005" s="21">
        <f>IF(J2005="Yes","",IF(H2005&gt;=I2005,1,0))</f>
        <v/>
      </c>
      <c r="O2005" s="21">
        <f>IF(I2005&lt;=5000000,"Under $5M",IF(I2005&lt;=20000000,"$5M-20M",IF(I2005&lt;=50000000,"$20M-50M",IF(I2005&lt;=100000000,"$50M-100M","$100M+"))))</f>
        <v/>
      </c>
      <c r="P2005" s="21">
        <f>IF(E2005&lt;=90,"90 or less",IF(E2005&lt;=105,"91-105",IF(E2005&lt;=120,"106-120",IF(E2005&lt;=140,"121-140","Over 140"))))</f>
        <v/>
      </c>
      <c r="Q2005" s="28">
        <f>INT(C2005/10)*10</f>
        <v/>
      </c>
    </row>
    <row r="2006">
      <c r="A2006" s="21" t="n">
        <v>2045</v>
      </c>
      <c r="B2006" s="21" t="inlineStr">
        <is>
          <t>The Lord of the Rings: The Return of the King</t>
        </is>
      </c>
      <c r="C2006" s="21" t="n">
        <v>2003</v>
      </c>
      <c r="D2006" s="21" t="inlineStr">
        <is>
          <t>USA</t>
        </is>
      </c>
      <c r="E2006" s="21" t="n">
        <v>192</v>
      </c>
      <c r="F2006" s="21" t="inlineStr">
        <is>
          <t>English</t>
        </is>
      </c>
      <c r="G2006" s="21" t="inlineStr">
        <is>
          <t>PG-13</t>
        </is>
      </c>
      <c r="H2006" s="22" t="n">
        <v>377019252</v>
      </c>
      <c r="I2006" s="22" t="n">
        <v>94000000</v>
      </c>
      <c r="J2006" s="21">
        <f>IF(OR(H2006="",H2006=25529689.5),"Yes","No")</f>
        <v/>
      </c>
      <c r="K2006" s="21">
        <f>IF(AND(D2006="USA",C2006&gt;=1980,J2006="No"),"Yes","No")</f>
        <v/>
      </c>
      <c r="L2006" s="26">
        <f>IF(J2006="Yes","",H2006-I2006)</f>
        <v/>
      </c>
      <c r="M2006" s="27">
        <f>IF(OR(J2006="Yes",I2006=0),"",H2006/I2006)</f>
        <v/>
      </c>
      <c r="N2006" s="21">
        <f>IF(J2006="Yes","",IF(H2006&gt;=I2006,1,0))</f>
        <v/>
      </c>
      <c r="O2006" s="21">
        <f>IF(I2006&lt;=5000000,"Under $5M",IF(I2006&lt;=20000000,"$5M-20M",IF(I2006&lt;=50000000,"$20M-50M",IF(I2006&lt;=100000000,"$50M-100M","$100M+"))))</f>
        <v/>
      </c>
      <c r="P2006" s="21">
        <f>IF(E2006&lt;=90,"90 or less",IF(E2006&lt;=105,"91-105",IF(E2006&lt;=120,"106-120",IF(E2006&lt;=140,"121-140","Over 140"))))</f>
        <v/>
      </c>
      <c r="Q2006" s="28">
        <f>INT(C2006/10)*10</f>
        <v/>
      </c>
    </row>
    <row r="2007">
      <c r="A2007" s="21" t="n">
        <v>2046</v>
      </c>
      <c r="B2007" s="21" t="inlineStr">
        <is>
          <t>The Matrix Reloaded</t>
        </is>
      </c>
      <c r="C2007" s="21" t="n">
        <v>2003</v>
      </c>
      <c r="D2007" s="21" t="inlineStr">
        <is>
          <t>USA</t>
        </is>
      </c>
      <c r="E2007" s="21" t="n">
        <v>138</v>
      </c>
      <c r="F2007" s="21" t="inlineStr">
        <is>
          <t>English</t>
        </is>
      </c>
      <c r="G2007" s="21" t="inlineStr">
        <is>
          <t>R</t>
        </is>
      </c>
      <c r="H2007" s="22" t="n">
        <v>281492479</v>
      </c>
      <c r="I2007" s="22" t="n">
        <v>150000000</v>
      </c>
      <c r="J2007" s="21">
        <f>IF(OR(H2007="",H2007=25529689.5),"Yes","No")</f>
        <v/>
      </c>
      <c r="K2007" s="21">
        <f>IF(AND(D2007="USA",C2007&gt;=1980,J2007="No"),"Yes","No")</f>
        <v/>
      </c>
      <c r="L2007" s="26">
        <f>IF(J2007="Yes","",H2007-I2007)</f>
        <v/>
      </c>
      <c r="M2007" s="27">
        <f>IF(OR(J2007="Yes",I2007=0),"",H2007/I2007)</f>
        <v/>
      </c>
      <c r="N2007" s="21">
        <f>IF(J2007="Yes","",IF(H2007&gt;=I2007,1,0))</f>
        <v/>
      </c>
      <c r="O2007" s="21">
        <f>IF(I2007&lt;=5000000,"Under $5M",IF(I2007&lt;=20000000,"$5M-20M",IF(I2007&lt;=50000000,"$20M-50M",IF(I2007&lt;=100000000,"$50M-100M","$100M+"))))</f>
        <v/>
      </c>
      <c r="P2007" s="21">
        <f>IF(E2007&lt;=90,"90 or less",IF(E2007&lt;=105,"91-105",IF(E2007&lt;=120,"106-120",IF(E2007&lt;=140,"121-140","Over 140"))))</f>
        <v/>
      </c>
      <c r="Q2007" s="28">
        <f>INT(C2007/10)*10</f>
        <v/>
      </c>
    </row>
    <row r="2008">
      <c r="A2008" s="21" t="n">
        <v>2047</v>
      </c>
      <c r="B2008" s="21" t="inlineStr">
        <is>
          <t>The Matrix Revolutions</t>
        </is>
      </c>
      <c r="C2008" s="21" t="n">
        <v>2003</v>
      </c>
      <c r="D2008" s="21" t="inlineStr">
        <is>
          <t>Australia</t>
        </is>
      </c>
      <c r="E2008" s="21" t="n">
        <v>129</v>
      </c>
      <c r="F2008" s="21" t="inlineStr">
        <is>
          <t>English</t>
        </is>
      </c>
      <c r="G2008" s="21" t="inlineStr">
        <is>
          <t>R</t>
        </is>
      </c>
      <c r="H2008" s="22" t="n">
        <v>139259759</v>
      </c>
      <c r="I2008" s="22" t="n">
        <v>150000000</v>
      </c>
      <c r="J2008" s="21">
        <f>IF(OR(H2008="",H2008=25529689.5),"Yes","No")</f>
        <v/>
      </c>
      <c r="K2008" s="21">
        <f>IF(AND(D2008="USA",C2008&gt;=1980,J2008="No"),"Yes","No")</f>
        <v/>
      </c>
      <c r="L2008" s="26">
        <f>IF(J2008="Yes","",H2008-I2008)</f>
        <v/>
      </c>
      <c r="M2008" s="27">
        <f>IF(OR(J2008="Yes",I2008=0),"",H2008/I2008)</f>
        <v/>
      </c>
      <c r="N2008" s="21">
        <f>IF(J2008="Yes","",IF(H2008&gt;=I2008,1,0))</f>
        <v/>
      </c>
      <c r="O2008" s="21">
        <f>IF(I2008&lt;=5000000,"Under $5M",IF(I2008&lt;=20000000,"$5M-20M",IF(I2008&lt;=50000000,"$20M-50M",IF(I2008&lt;=100000000,"$50M-100M","$100M+"))))</f>
        <v/>
      </c>
      <c r="P2008" s="21">
        <f>IF(E2008&lt;=90,"90 or less",IF(E2008&lt;=105,"91-105",IF(E2008&lt;=120,"106-120",IF(E2008&lt;=140,"121-140","Over 140"))))</f>
        <v/>
      </c>
      <c r="Q2008" s="28">
        <f>INT(C2008/10)*10</f>
        <v/>
      </c>
    </row>
    <row r="2009">
      <c r="A2009" s="21" t="n">
        <v>2048</v>
      </c>
      <c r="B2009" s="21" t="inlineStr">
        <is>
          <t>The Medallion</t>
        </is>
      </c>
      <c r="C2009" s="21" t="n">
        <v>2003</v>
      </c>
      <c r="D2009" s="21" t="inlineStr">
        <is>
          <t>Hong Kong</t>
        </is>
      </c>
      <c r="E2009" s="21" t="n">
        <v>108</v>
      </c>
      <c r="F2009" s="21" t="inlineStr">
        <is>
          <t>English</t>
        </is>
      </c>
      <c r="G2009" s="21" t="inlineStr">
        <is>
          <t>PG-13</t>
        </is>
      </c>
      <c r="H2009" s="22" t="n">
        <v>22108977</v>
      </c>
      <c r="I2009" s="22" t="n">
        <v>41000000</v>
      </c>
      <c r="J2009" s="21">
        <f>IF(OR(H2009="",H2009=25529689.5),"Yes","No")</f>
        <v/>
      </c>
      <c r="K2009" s="21">
        <f>IF(AND(D2009="USA",C2009&gt;=1980,J2009="No"),"Yes","No")</f>
        <v/>
      </c>
      <c r="L2009" s="26">
        <f>IF(J2009="Yes","",H2009-I2009)</f>
        <v/>
      </c>
      <c r="M2009" s="27">
        <f>IF(OR(J2009="Yes",I2009=0),"",H2009/I2009)</f>
        <v/>
      </c>
      <c r="N2009" s="21">
        <f>IF(J2009="Yes","",IF(H2009&gt;=I2009,1,0))</f>
        <v/>
      </c>
      <c r="O2009" s="21">
        <f>IF(I2009&lt;=5000000,"Under $5M",IF(I2009&lt;=20000000,"$5M-20M",IF(I2009&lt;=50000000,"$20M-50M",IF(I2009&lt;=100000000,"$50M-100M","$100M+"))))</f>
        <v/>
      </c>
      <c r="P2009" s="21">
        <f>IF(E2009&lt;=90,"90 or less",IF(E2009&lt;=105,"91-105",IF(E2009&lt;=120,"106-120",IF(E2009&lt;=140,"121-140","Over 140"))))</f>
        <v/>
      </c>
      <c r="Q2009" s="28">
        <f>INT(C2009/10)*10</f>
        <v/>
      </c>
    </row>
    <row r="2010">
      <c r="A2010" s="21" t="n">
        <v>2049</v>
      </c>
      <c r="B2010" s="21" t="inlineStr">
        <is>
          <t>The Mudge Boy</t>
        </is>
      </c>
      <c r="C2010" s="21" t="n">
        <v>2003</v>
      </c>
      <c r="D2010" s="21" t="inlineStr">
        <is>
          <t>USA</t>
        </is>
      </c>
      <c r="E2010" s="21" t="n">
        <v>94</v>
      </c>
      <c r="F2010" s="21" t="inlineStr">
        <is>
          <t>English</t>
        </is>
      </c>
      <c r="G2010" s="21" t="inlineStr">
        <is>
          <t>R</t>
        </is>
      </c>
      <c r="H2010" s="22" t="n">
        <v>25529689.5</v>
      </c>
      <c r="I2010" s="22" t="n">
        <v>800000</v>
      </c>
      <c r="J2010" s="21">
        <f>IF(OR(H2010="",H2010=25529689.5),"Yes","No")</f>
        <v/>
      </c>
      <c r="K2010" s="21">
        <f>IF(AND(D2010="USA",C2010&gt;=1980,J2010="No"),"Yes","No")</f>
        <v/>
      </c>
      <c r="L2010" s="26">
        <f>IF(J2010="Yes","",H2010-I2010)</f>
        <v/>
      </c>
      <c r="M2010" s="27">
        <f>IF(OR(J2010="Yes",I2010=0),"",H2010/I2010)</f>
        <v/>
      </c>
      <c r="N2010" s="21">
        <f>IF(J2010="Yes","",IF(H2010&gt;=I2010,1,0))</f>
        <v/>
      </c>
      <c r="O2010" s="21">
        <f>IF(I2010&lt;=5000000,"Under $5M",IF(I2010&lt;=20000000,"$5M-20M",IF(I2010&lt;=50000000,"$20M-50M",IF(I2010&lt;=100000000,"$50M-100M","$100M+"))))</f>
        <v/>
      </c>
      <c r="P2010" s="21">
        <f>IF(E2010&lt;=90,"90 or less",IF(E2010&lt;=105,"91-105",IF(E2010&lt;=120,"106-120",IF(E2010&lt;=140,"121-140","Over 140"))))</f>
        <v/>
      </c>
      <c r="Q2010" s="28">
        <f>INT(C2010/10)*10</f>
        <v/>
      </c>
    </row>
    <row r="2011">
      <c r="A2011" s="21" t="n">
        <v>2050</v>
      </c>
      <c r="B2011" s="21" t="inlineStr">
        <is>
          <t>The Order</t>
        </is>
      </c>
      <c r="C2011" s="21" t="n">
        <v>2003</v>
      </c>
      <c r="D2011" s="21" t="inlineStr">
        <is>
          <t>USA</t>
        </is>
      </c>
      <c r="E2011" s="21" t="n">
        <v>102</v>
      </c>
      <c r="F2011" s="21" t="inlineStr">
        <is>
          <t>English</t>
        </is>
      </c>
      <c r="G2011" s="21" t="inlineStr">
        <is>
          <t>R</t>
        </is>
      </c>
      <c r="H2011" s="22" t="n">
        <v>7659747</v>
      </c>
      <c r="I2011" s="22" t="n">
        <v>38000000</v>
      </c>
      <c r="J2011" s="21">
        <f>IF(OR(H2011="",H2011=25529689.5),"Yes","No")</f>
        <v/>
      </c>
      <c r="K2011" s="21">
        <f>IF(AND(D2011="USA",C2011&gt;=1980,J2011="No"),"Yes","No")</f>
        <v/>
      </c>
      <c r="L2011" s="26">
        <f>IF(J2011="Yes","",H2011-I2011)</f>
        <v/>
      </c>
      <c r="M2011" s="27">
        <f>IF(OR(J2011="Yes",I2011=0),"",H2011/I2011)</f>
        <v/>
      </c>
      <c r="N2011" s="21">
        <f>IF(J2011="Yes","",IF(H2011&gt;=I2011,1,0))</f>
        <v/>
      </c>
      <c r="O2011" s="21">
        <f>IF(I2011&lt;=5000000,"Under $5M",IF(I2011&lt;=20000000,"$5M-20M",IF(I2011&lt;=50000000,"$20M-50M",IF(I2011&lt;=100000000,"$50M-100M","$100M+"))))</f>
        <v/>
      </c>
      <c r="P2011" s="21">
        <f>IF(E2011&lt;=90,"90 or less",IF(E2011&lt;=105,"91-105",IF(E2011&lt;=120,"106-120",IF(E2011&lt;=140,"121-140","Over 140"))))</f>
        <v/>
      </c>
      <c r="Q2011" s="28">
        <f>INT(C2011/10)*10</f>
        <v/>
      </c>
    </row>
    <row r="2012">
      <c r="A2012" s="21" t="n">
        <v>2051</v>
      </c>
      <c r="B2012" s="21" t="inlineStr">
        <is>
          <t>The R.M.</t>
        </is>
      </c>
      <c r="C2012" s="21" t="n">
        <v>2003</v>
      </c>
      <c r="D2012" s="21" t="inlineStr">
        <is>
          <t>USA</t>
        </is>
      </c>
      <c r="E2012" s="21" t="n">
        <v>101</v>
      </c>
      <c r="F2012" s="21" t="inlineStr">
        <is>
          <t>English</t>
        </is>
      </c>
      <c r="G2012" s="21" t="inlineStr">
        <is>
          <t>PG</t>
        </is>
      </c>
      <c r="H2012" s="22" t="n">
        <v>1111615</v>
      </c>
      <c r="I2012" s="22" t="n">
        <v>500000</v>
      </c>
      <c r="J2012" s="21">
        <f>IF(OR(H2012="",H2012=25529689.5),"Yes","No")</f>
        <v/>
      </c>
      <c r="K2012" s="21">
        <f>IF(AND(D2012="USA",C2012&gt;=1980,J2012="No"),"Yes","No")</f>
        <v/>
      </c>
      <c r="L2012" s="26">
        <f>IF(J2012="Yes","",H2012-I2012)</f>
        <v/>
      </c>
      <c r="M2012" s="27">
        <f>IF(OR(J2012="Yes",I2012=0),"",H2012/I2012)</f>
        <v/>
      </c>
      <c r="N2012" s="21">
        <f>IF(J2012="Yes","",IF(H2012&gt;=I2012,1,0))</f>
        <v/>
      </c>
      <c r="O2012" s="21">
        <f>IF(I2012&lt;=5000000,"Under $5M",IF(I2012&lt;=20000000,"$5M-20M",IF(I2012&lt;=50000000,"$20M-50M",IF(I2012&lt;=100000000,"$50M-100M","$100M+"))))</f>
        <v/>
      </c>
      <c r="P2012" s="21">
        <f>IF(E2012&lt;=90,"90 or less",IF(E2012&lt;=105,"91-105",IF(E2012&lt;=120,"106-120",IF(E2012&lt;=140,"121-140","Over 140"))))</f>
        <v/>
      </c>
      <c r="Q2012" s="28">
        <f>INT(C2012/10)*10</f>
        <v/>
      </c>
    </row>
    <row r="2013">
      <c r="A2013" s="21" t="n">
        <v>2052</v>
      </c>
      <c r="B2013" s="21" t="inlineStr">
        <is>
          <t>The Real Cancun</t>
        </is>
      </c>
      <c r="C2013" s="21" t="n">
        <v>2003</v>
      </c>
      <c r="D2013" s="21" t="inlineStr">
        <is>
          <t>USA</t>
        </is>
      </c>
      <c r="E2013" s="21" t="n">
        <v>96</v>
      </c>
      <c r="F2013" s="21" t="inlineStr">
        <is>
          <t>English</t>
        </is>
      </c>
      <c r="G2013" s="21" t="inlineStr">
        <is>
          <t>R</t>
        </is>
      </c>
      <c r="H2013" s="22" t="n">
        <v>3713002</v>
      </c>
      <c r="I2013" s="22" t="n">
        <v>8000000</v>
      </c>
      <c r="J2013" s="21">
        <f>IF(OR(H2013="",H2013=25529689.5),"Yes","No")</f>
        <v/>
      </c>
      <c r="K2013" s="21">
        <f>IF(AND(D2013="USA",C2013&gt;=1980,J2013="No"),"Yes","No")</f>
        <v/>
      </c>
      <c r="L2013" s="26">
        <f>IF(J2013="Yes","",H2013-I2013)</f>
        <v/>
      </c>
      <c r="M2013" s="27">
        <f>IF(OR(J2013="Yes",I2013=0),"",H2013/I2013)</f>
        <v/>
      </c>
      <c r="N2013" s="21">
        <f>IF(J2013="Yes","",IF(H2013&gt;=I2013,1,0))</f>
        <v/>
      </c>
      <c r="O2013" s="21">
        <f>IF(I2013&lt;=5000000,"Under $5M",IF(I2013&lt;=20000000,"$5M-20M",IF(I2013&lt;=50000000,"$20M-50M",IF(I2013&lt;=100000000,"$50M-100M","$100M+"))))</f>
        <v/>
      </c>
      <c r="P2013" s="21">
        <f>IF(E2013&lt;=90,"90 or less",IF(E2013&lt;=105,"91-105",IF(E2013&lt;=120,"106-120",IF(E2013&lt;=140,"121-140","Over 140"))))</f>
        <v/>
      </c>
      <c r="Q2013" s="28">
        <f>INT(C2013/10)*10</f>
        <v/>
      </c>
    </row>
    <row r="2014">
      <c r="A2014" s="21" t="n">
        <v>2053</v>
      </c>
      <c r="B2014" s="21" t="inlineStr">
        <is>
          <t>The Return</t>
        </is>
      </c>
      <c r="C2014" s="21" t="n">
        <v>2003</v>
      </c>
      <c r="D2014" s="21" t="inlineStr">
        <is>
          <t>Russia</t>
        </is>
      </c>
      <c r="E2014" s="21" t="n">
        <v>99</v>
      </c>
      <c r="F2014" s="21" t="inlineStr">
        <is>
          <t>Russian</t>
        </is>
      </c>
      <c r="G2014" s="21" t="inlineStr">
        <is>
          <t>Unrated</t>
        </is>
      </c>
      <c r="H2014" s="22" t="n">
        <v>502028</v>
      </c>
      <c r="I2014" s="22" t="n">
        <v>20000000</v>
      </c>
      <c r="J2014" s="21">
        <f>IF(OR(H2014="",H2014=25529689.5),"Yes","No")</f>
        <v/>
      </c>
      <c r="K2014" s="21">
        <f>IF(AND(D2014="USA",C2014&gt;=1980,J2014="No"),"Yes","No")</f>
        <v/>
      </c>
      <c r="L2014" s="26">
        <f>IF(J2014="Yes","",H2014-I2014)</f>
        <v/>
      </c>
      <c r="M2014" s="27">
        <f>IF(OR(J2014="Yes",I2014=0),"",H2014/I2014)</f>
        <v/>
      </c>
      <c r="N2014" s="21">
        <f>IF(J2014="Yes","",IF(H2014&gt;=I2014,1,0))</f>
        <v/>
      </c>
      <c r="O2014" s="21">
        <f>IF(I2014&lt;=5000000,"Under $5M",IF(I2014&lt;=20000000,"$5M-20M",IF(I2014&lt;=50000000,"$20M-50M",IF(I2014&lt;=100000000,"$50M-100M","$100M+"))))</f>
        <v/>
      </c>
      <c r="P2014" s="21">
        <f>IF(E2014&lt;=90,"90 or less",IF(E2014&lt;=105,"91-105",IF(E2014&lt;=120,"106-120",IF(E2014&lt;=140,"121-140","Over 140"))))</f>
        <v/>
      </c>
      <c r="Q2014" s="28">
        <f>INT(C2014/10)*10</f>
        <v/>
      </c>
    </row>
    <row r="2015">
      <c r="A2015" s="21" t="n">
        <v>2054</v>
      </c>
      <c r="B2015" s="21" t="inlineStr">
        <is>
          <t>The Rundown</t>
        </is>
      </c>
      <c r="C2015" s="21" t="n">
        <v>2003</v>
      </c>
      <c r="D2015" s="21" t="inlineStr">
        <is>
          <t>USA</t>
        </is>
      </c>
      <c r="E2015" s="21" t="n">
        <v>104</v>
      </c>
      <c r="F2015" s="21" t="inlineStr">
        <is>
          <t>English</t>
        </is>
      </c>
      <c r="G2015" s="21" t="inlineStr">
        <is>
          <t>PG-13</t>
        </is>
      </c>
      <c r="H2015" s="22" t="n">
        <v>47592825</v>
      </c>
      <c r="I2015" s="22" t="n">
        <v>85000000</v>
      </c>
      <c r="J2015" s="21">
        <f>IF(OR(H2015="",H2015=25529689.5),"Yes","No")</f>
        <v/>
      </c>
      <c r="K2015" s="21">
        <f>IF(AND(D2015="USA",C2015&gt;=1980,J2015="No"),"Yes","No")</f>
        <v/>
      </c>
      <c r="L2015" s="26">
        <f>IF(J2015="Yes","",H2015-I2015)</f>
        <v/>
      </c>
      <c r="M2015" s="27">
        <f>IF(OR(J2015="Yes",I2015=0),"",H2015/I2015)</f>
        <v/>
      </c>
      <c r="N2015" s="21">
        <f>IF(J2015="Yes","",IF(H2015&gt;=I2015,1,0))</f>
        <v/>
      </c>
      <c r="O2015" s="21">
        <f>IF(I2015&lt;=5000000,"Under $5M",IF(I2015&lt;=20000000,"$5M-20M",IF(I2015&lt;=50000000,"$20M-50M",IF(I2015&lt;=100000000,"$50M-100M","$100M+"))))</f>
        <v/>
      </c>
      <c r="P2015" s="21">
        <f>IF(E2015&lt;=90,"90 or less",IF(E2015&lt;=105,"91-105",IF(E2015&lt;=120,"106-120",IF(E2015&lt;=140,"121-140","Over 140"))))</f>
        <v/>
      </c>
      <c r="Q2015" s="28">
        <f>INT(C2015/10)*10</f>
        <v/>
      </c>
    </row>
    <row r="2016">
      <c r="A2016" s="21" t="n">
        <v>2055</v>
      </c>
      <c r="B2016" s="21" t="inlineStr">
        <is>
          <t>The Singing Detective</t>
        </is>
      </c>
      <c r="C2016" s="21" t="n">
        <v>2003</v>
      </c>
      <c r="D2016" s="21" t="inlineStr">
        <is>
          <t>USA</t>
        </is>
      </c>
      <c r="E2016" s="21" t="n">
        <v>109</v>
      </c>
      <c r="F2016" s="21" t="inlineStr">
        <is>
          <t>English</t>
        </is>
      </c>
      <c r="G2016" s="21" t="inlineStr">
        <is>
          <t>R</t>
        </is>
      </c>
      <c r="H2016" s="22" t="n">
        <v>336456</v>
      </c>
      <c r="I2016" s="22" t="n">
        <v>8000000</v>
      </c>
      <c r="J2016" s="21">
        <f>IF(OR(H2016="",H2016=25529689.5),"Yes","No")</f>
        <v/>
      </c>
      <c r="K2016" s="21">
        <f>IF(AND(D2016="USA",C2016&gt;=1980,J2016="No"),"Yes","No")</f>
        <v/>
      </c>
      <c r="L2016" s="26">
        <f>IF(J2016="Yes","",H2016-I2016)</f>
        <v/>
      </c>
      <c r="M2016" s="27">
        <f>IF(OR(J2016="Yes",I2016=0),"",H2016/I2016)</f>
        <v/>
      </c>
      <c r="N2016" s="21">
        <f>IF(J2016="Yes","",IF(H2016&gt;=I2016,1,0))</f>
        <v/>
      </c>
      <c r="O2016" s="21">
        <f>IF(I2016&lt;=5000000,"Under $5M",IF(I2016&lt;=20000000,"$5M-20M",IF(I2016&lt;=50000000,"$20M-50M",IF(I2016&lt;=100000000,"$50M-100M","$100M+"))))</f>
        <v/>
      </c>
      <c r="P2016" s="21">
        <f>IF(E2016&lt;=90,"90 or less",IF(E2016&lt;=105,"91-105",IF(E2016&lt;=120,"106-120",IF(E2016&lt;=140,"121-140","Over 140"))))</f>
        <v/>
      </c>
      <c r="Q2016" s="28">
        <f>INT(C2016/10)*10</f>
        <v/>
      </c>
    </row>
    <row r="2017">
      <c r="A2017" s="21" t="n">
        <v>2056</v>
      </c>
      <c r="B2017" s="21" t="inlineStr">
        <is>
          <t>The Statement</t>
        </is>
      </c>
      <c r="C2017" s="21" t="n">
        <v>2003</v>
      </c>
      <c r="D2017" s="21" t="inlineStr">
        <is>
          <t>Canada</t>
        </is>
      </c>
      <c r="E2017" s="21" t="n">
        <v>120</v>
      </c>
      <c r="F2017" s="21" t="inlineStr">
        <is>
          <t>English</t>
        </is>
      </c>
      <c r="G2017" s="21" t="inlineStr">
        <is>
          <t>R</t>
        </is>
      </c>
      <c r="H2017" s="22" t="n">
        <v>763044</v>
      </c>
      <c r="I2017" s="22" t="n">
        <v>23000000</v>
      </c>
      <c r="J2017" s="21">
        <f>IF(OR(H2017="",H2017=25529689.5),"Yes","No")</f>
        <v/>
      </c>
      <c r="K2017" s="21">
        <f>IF(AND(D2017="USA",C2017&gt;=1980,J2017="No"),"Yes","No")</f>
        <v/>
      </c>
      <c r="L2017" s="26">
        <f>IF(J2017="Yes","",H2017-I2017)</f>
        <v/>
      </c>
      <c r="M2017" s="27">
        <f>IF(OR(J2017="Yes",I2017=0),"",H2017/I2017)</f>
        <v/>
      </c>
      <c r="N2017" s="21">
        <f>IF(J2017="Yes","",IF(H2017&gt;=I2017,1,0))</f>
        <v/>
      </c>
      <c r="O2017" s="21">
        <f>IF(I2017&lt;=5000000,"Under $5M",IF(I2017&lt;=20000000,"$5M-20M",IF(I2017&lt;=50000000,"$20M-50M",IF(I2017&lt;=100000000,"$50M-100M","$100M+"))))</f>
        <v/>
      </c>
      <c r="P2017" s="21">
        <f>IF(E2017&lt;=90,"90 or less",IF(E2017&lt;=105,"91-105",IF(E2017&lt;=120,"106-120",IF(E2017&lt;=140,"121-140","Over 140"))))</f>
        <v/>
      </c>
      <c r="Q2017" s="28">
        <f>INT(C2017/10)*10</f>
        <v/>
      </c>
    </row>
    <row r="2018">
      <c r="A2018" s="21" t="n">
        <v>2057</v>
      </c>
      <c r="B2018" s="21" t="inlineStr">
        <is>
          <t>The Station Agent</t>
        </is>
      </c>
      <c r="C2018" s="21" t="n">
        <v>2003</v>
      </c>
      <c r="D2018" s="21" t="inlineStr">
        <is>
          <t>USA</t>
        </is>
      </c>
      <c r="E2018" s="21" t="n">
        <v>89</v>
      </c>
      <c r="F2018" s="21" t="inlineStr">
        <is>
          <t>English</t>
        </is>
      </c>
      <c r="G2018" s="21" t="inlineStr">
        <is>
          <t>R</t>
        </is>
      </c>
      <c r="H2018" s="22" t="n">
        <v>5739376</v>
      </c>
      <c r="I2018" s="22" t="n">
        <v>500000</v>
      </c>
      <c r="J2018" s="21">
        <f>IF(OR(H2018="",H2018=25529689.5),"Yes","No")</f>
        <v/>
      </c>
      <c r="K2018" s="21">
        <f>IF(AND(D2018="USA",C2018&gt;=1980,J2018="No"),"Yes","No")</f>
        <v/>
      </c>
      <c r="L2018" s="26">
        <f>IF(J2018="Yes","",H2018-I2018)</f>
        <v/>
      </c>
      <c r="M2018" s="27">
        <f>IF(OR(J2018="Yes",I2018=0),"",H2018/I2018)</f>
        <v/>
      </c>
      <c r="N2018" s="21">
        <f>IF(J2018="Yes","",IF(H2018&gt;=I2018,1,0))</f>
        <v/>
      </c>
      <c r="O2018" s="21">
        <f>IF(I2018&lt;=5000000,"Under $5M",IF(I2018&lt;=20000000,"$5M-20M",IF(I2018&lt;=50000000,"$20M-50M",IF(I2018&lt;=100000000,"$50M-100M","$100M+"))))</f>
        <v/>
      </c>
      <c r="P2018" s="21">
        <f>IF(E2018&lt;=90,"90 or less",IF(E2018&lt;=105,"91-105",IF(E2018&lt;=120,"106-120",IF(E2018&lt;=140,"121-140","Over 140"))))</f>
        <v/>
      </c>
      <c r="Q2018" s="28">
        <f>INT(C2018/10)*10</f>
        <v/>
      </c>
    </row>
    <row r="2019">
      <c r="A2019" s="21" t="n">
        <v>2058</v>
      </c>
      <c r="B2019" s="21" t="inlineStr">
        <is>
          <t>The Triplets of Belleville</t>
        </is>
      </c>
      <c r="C2019" s="21" t="n">
        <v>2003</v>
      </c>
      <c r="D2019" s="21" t="inlineStr">
        <is>
          <t>France</t>
        </is>
      </c>
      <c r="E2019" s="21" t="n">
        <v>80</v>
      </c>
      <c r="F2019" s="21" t="inlineStr">
        <is>
          <t>French</t>
        </is>
      </c>
      <c r="G2019" s="21" t="inlineStr">
        <is>
          <t>PG-13</t>
        </is>
      </c>
      <c r="H2019" s="22" t="n">
        <v>7002255</v>
      </c>
      <c r="I2019" s="22" t="n">
        <v>9500000</v>
      </c>
      <c r="J2019" s="21">
        <f>IF(OR(H2019="",H2019=25529689.5),"Yes","No")</f>
        <v/>
      </c>
      <c r="K2019" s="21">
        <f>IF(AND(D2019="USA",C2019&gt;=1980,J2019="No"),"Yes","No")</f>
        <v/>
      </c>
      <c r="L2019" s="26">
        <f>IF(J2019="Yes","",H2019-I2019)</f>
        <v/>
      </c>
      <c r="M2019" s="27">
        <f>IF(OR(J2019="Yes",I2019=0),"",H2019/I2019)</f>
        <v/>
      </c>
      <c r="N2019" s="21">
        <f>IF(J2019="Yes","",IF(H2019&gt;=I2019,1,0))</f>
        <v/>
      </c>
      <c r="O2019" s="21">
        <f>IF(I2019&lt;=5000000,"Under $5M",IF(I2019&lt;=20000000,"$5M-20M",IF(I2019&lt;=50000000,"$20M-50M",IF(I2019&lt;=100000000,"$50M-100M","$100M+"))))</f>
        <v/>
      </c>
      <c r="P2019" s="21">
        <f>IF(E2019&lt;=90,"90 or less",IF(E2019&lt;=105,"91-105",IF(E2019&lt;=120,"106-120",IF(E2019&lt;=140,"121-140","Over 140"))))</f>
        <v/>
      </c>
      <c r="Q2019" s="28">
        <f>INT(C2019/10)*10</f>
        <v/>
      </c>
    </row>
    <row r="2020">
      <c r="A2020" s="21" t="n">
        <v>2059</v>
      </c>
      <c r="B2020" s="21" t="inlineStr">
        <is>
          <t>The Visual Bible: The Gospel of John</t>
        </is>
      </c>
      <c r="C2020" s="21" t="n">
        <v>2003</v>
      </c>
      <c r="D2020" s="21" t="inlineStr">
        <is>
          <t>Canada</t>
        </is>
      </c>
      <c r="E2020" s="21" t="n">
        <v>125</v>
      </c>
      <c r="F2020" s="21" t="inlineStr">
        <is>
          <t>English</t>
        </is>
      </c>
      <c r="G2020" s="21" t="inlineStr">
        <is>
          <t>PG-13</t>
        </is>
      </c>
      <c r="H2020" s="22" t="n">
        <v>4068087</v>
      </c>
      <c r="I2020" s="22" t="n">
        <v>17000000</v>
      </c>
      <c r="J2020" s="21">
        <f>IF(OR(H2020="",H2020=25529689.5),"Yes","No")</f>
        <v/>
      </c>
      <c r="K2020" s="21">
        <f>IF(AND(D2020="USA",C2020&gt;=1980,J2020="No"),"Yes","No")</f>
        <v/>
      </c>
      <c r="L2020" s="26">
        <f>IF(J2020="Yes","",H2020-I2020)</f>
        <v/>
      </c>
      <c r="M2020" s="27">
        <f>IF(OR(J2020="Yes",I2020=0),"",H2020/I2020)</f>
        <v/>
      </c>
      <c r="N2020" s="21">
        <f>IF(J2020="Yes","",IF(H2020&gt;=I2020,1,0))</f>
        <v/>
      </c>
      <c r="O2020" s="21">
        <f>IF(I2020&lt;=5000000,"Under $5M",IF(I2020&lt;=20000000,"$5M-20M",IF(I2020&lt;=50000000,"$20M-50M",IF(I2020&lt;=100000000,"$50M-100M","$100M+"))))</f>
        <v/>
      </c>
      <c r="P2020" s="21">
        <f>IF(E2020&lt;=90,"90 or less",IF(E2020&lt;=105,"91-105",IF(E2020&lt;=120,"106-120",IF(E2020&lt;=140,"121-140","Over 140"))))</f>
        <v/>
      </c>
      <c r="Q2020" s="28">
        <f>INT(C2020/10)*10</f>
        <v/>
      </c>
    </row>
    <row r="2021">
      <c r="A2021" s="21" t="n">
        <v>2060</v>
      </c>
      <c r="B2021" s="21" t="inlineStr">
        <is>
          <t>The Work and the Story</t>
        </is>
      </c>
      <c r="C2021" s="21" t="n">
        <v>2003</v>
      </c>
      <c r="D2021" s="21" t="inlineStr">
        <is>
          <t>USA</t>
        </is>
      </c>
      <c r="E2021" s="21" t="n">
        <v>77</v>
      </c>
      <c r="F2021" s="21" t="inlineStr">
        <is>
          <t>English</t>
        </is>
      </c>
      <c r="G2021" s="21" t="n"/>
      <c r="H2021" s="22" t="n">
        <v>25529689.5</v>
      </c>
      <c r="I2021" s="22" t="n">
        <v>103000</v>
      </c>
      <c r="J2021" s="21">
        <f>IF(OR(H2021="",H2021=25529689.5),"Yes","No")</f>
        <v/>
      </c>
      <c r="K2021" s="21">
        <f>IF(AND(D2021="USA",C2021&gt;=1980,J2021="No"),"Yes","No")</f>
        <v/>
      </c>
      <c r="L2021" s="26">
        <f>IF(J2021="Yes","",H2021-I2021)</f>
        <v/>
      </c>
      <c r="M2021" s="27">
        <f>IF(OR(J2021="Yes",I2021=0),"",H2021/I2021)</f>
        <v/>
      </c>
      <c r="N2021" s="21">
        <f>IF(J2021="Yes","",IF(H2021&gt;=I2021,1,0))</f>
        <v/>
      </c>
      <c r="O2021" s="21">
        <f>IF(I2021&lt;=5000000,"Under $5M",IF(I2021&lt;=20000000,"$5M-20M",IF(I2021&lt;=50000000,"$20M-50M",IF(I2021&lt;=100000000,"$50M-100M","$100M+"))))</f>
        <v/>
      </c>
      <c r="P2021" s="21">
        <f>IF(E2021&lt;=90,"90 or less",IF(E2021&lt;=105,"91-105",IF(E2021&lt;=120,"106-120",IF(E2021&lt;=140,"121-140","Over 140"))))</f>
        <v/>
      </c>
      <c r="Q2021" s="28">
        <f>INT(C2021/10)*10</f>
        <v/>
      </c>
    </row>
    <row r="2022">
      <c r="A2022" s="21" t="n">
        <v>2061</v>
      </c>
      <c r="B2022" s="21" t="inlineStr">
        <is>
          <t>Thirteen</t>
        </is>
      </c>
      <c r="C2022" s="21" t="n">
        <v>2003</v>
      </c>
      <c r="D2022" s="21" t="inlineStr">
        <is>
          <t>USA</t>
        </is>
      </c>
      <c r="E2022" s="21" t="n">
        <v>100</v>
      </c>
      <c r="F2022" s="21" t="inlineStr">
        <is>
          <t>English</t>
        </is>
      </c>
      <c r="G2022" s="21" t="inlineStr">
        <is>
          <t>R</t>
        </is>
      </c>
      <c r="H2022" s="22" t="n">
        <v>4599680</v>
      </c>
      <c r="I2022" s="22" t="n">
        <v>1500000</v>
      </c>
      <c r="J2022" s="21">
        <f>IF(OR(H2022="",H2022=25529689.5),"Yes","No")</f>
        <v/>
      </c>
      <c r="K2022" s="21">
        <f>IF(AND(D2022="USA",C2022&gt;=1980,J2022="No"),"Yes","No")</f>
        <v/>
      </c>
      <c r="L2022" s="26">
        <f>IF(J2022="Yes","",H2022-I2022)</f>
        <v/>
      </c>
      <c r="M2022" s="27">
        <f>IF(OR(J2022="Yes",I2022=0),"",H2022/I2022)</f>
        <v/>
      </c>
      <c r="N2022" s="21">
        <f>IF(J2022="Yes","",IF(H2022&gt;=I2022,1,0))</f>
        <v/>
      </c>
      <c r="O2022" s="21">
        <f>IF(I2022&lt;=5000000,"Under $5M",IF(I2022&lt;=20000000,"$5M-20M",IF(I2022&lt;=50000000,"$20M-50M",IF(I2022&lt;=100000000,"$50M-100M","$100M+"))))</f>
        <v/>
      </c>
      <c r="P2022" s="21">
        <f>IF(E2022&lt;=90,"90 or less",IF(E2022&lt;=105,"91-105",IF(E2022&lt;=120,"106-120",IF(E2022&lt;=140,"121-140","Over 140"))))</f>
        <v/>
      </c>
      <c r="Q2022" s="28">
        <f>INT(C2022/10)*10</f>
        <v/>
      </c>
    </row>
    <row r="2023">
      <c r="A2023" s="21" t="n">
        <v>2062</v>
      </c>
      <c r="B2023" s="21" t="inlineStr">
        <is>
          <t>This Thing of Ours</t>
        </is>
      </c>
      <c r="C2023" s="21" t="n">
        <v>2003</v>
      </c>
      <c r="D2023" s="21" t="inlineStr">
        <is>
          <t>USA</t>
        </is>
      </c>
      <c r="E2023" s="21" t="n">
        <v>100</v>
      </c>
      <c r="F2023" s="21" t="inlineStr">
        <is>
          <t>English</t>
        </is>
      </c>
      <c r="G2023" s="21" t="inlineStr">
        <is>
          <t>Not Rated</t>
        </is>
      </c>
      <c r="H2023" s="22" t="n">
        <v>25529689.5</v>
      </c>
      <c r="I2023" s="22" t="n">
        <v>20000000</v>
      </c>
      <c r="J2023" s="21">
        <f>IF(OR(H2023="",H2023=25529689.5),"Yes","No")</f>
        <v/>
      </c>
      <c r="K2023" s="21">
        <f>IF(AND(D2023="USA",C2023&gt;=1980,J2023="No"),"Yes","No")</f>
        <v/>
      </c>
      <c r="L2023" s="26">
        <f>IF(J2023="Yes","",H2023-I2023)</f>
        <v/>
      </c>
      <c r="M2023" s="27">
        <f>IF(OR(J2023="Yes",I2023=0),"",H2023/I2023)</f>
        <v/>
      </c>
      <c r="N2023" s="21">
        <f>IF(J2023="Yes","",IF(H2023&gt;=I2023,1,0))</f>
        <v/>
      </c>
      <c r="O2023" s="21">
        <f>IF(I2023&lt;=5000000,"Under $5M",IF(I2023&lt;=20000000,"$5M-20M",IF(I2023&lt;=50000000,"$20M-50M",IF(I2023&lt;=100000000,"$50M-100M","$100M+"))))</f>
        <v/>
      </c>
      <c r="P2023" s="21">
        <f>IF(E2023&lt;=90,"90 or less",IF(E2023&lt;=105,"91-105",IF(E2023&lt;=120,"106-120",IF(E2023&lt;=140,"121-140","Over 140"))))</f>
        <v/>
      </c>
      <c r="Q2023" s="28">
        <f>INT(C2023/10)*10</f>
        <v/>
      </c>
    </row>
    <row r="2024">
      <c r="A2024" s="21" t="n">
        <v>2063</v>
      </c>
      <c r="B2024" s="21" t="inlineStr">
        <is>
          <t>Timeline</t>
        </is>
      </c>
      <c r="C2024" s="21" t="n">
        <v>2003</v>
      </c>
      <c r="D2024" s="21" t="inlineStr">
        <is>
          <t>USA</t>
        </is>
      </c>
      <c r="E2024" s="21" t="n">
        <v>116</v>
      </c>
      <c r="F2024" s="21" t="inlineStr">
        <is>
          <t>English</t>
        </is>
      </c>
      <c r="G2024" s="21" t="inlineStr">
        <is>
          <t>PG-13</t>
        </is>
      </c>
      <c r="H2024" s="22" t="n">
        <v>19480739</v>
      </c>
      <c r="I2024" s="22" t="n">
        <v>80000000</v>
      </c>
      <c r="J2024" s="21">
        <f>IF(OR(H2024="",H2024=25529689.5),"Yes","No")</f>
        <v/>
      </c>
      <c r="K2024" s="21">
        <f>IF(AND(D2024="USA",C2024&gt;=1980,J2024="No"),"Yes","No")</f>
        <v/>
      </c>
      <c r="L2024" s="26">
        <f>IF(J2024="Yes","",H2024-I2024)</f>
        <v/>
      </c>
      <c r="M2024" s="27">
        <f>IF(OR(J2024="Yes",I2024=0),"",H2024/I2024)</f>
        <v/>
      </c>
      <c r="N2024" s="21">
        <f>IF(J2024="Yes","",IF(H2024&gt;=I2024,1,0))</f>
        <v/>
      </c>
      <c r="O2024" s="21">
        <f>IF(I2024&lt;=5000000,"Under $5M",IF(I2024&lt;=20000000,"$5M-20M",IF(I2024&lt;=50000000,"$20M-50M",IF(I2024&lt;=100000000,"$50M-100M","$100M+"))))</f>
        <v/>
      </c>
      <c r="P2024" s="21">
        <f>IF(E2024&lt;=90,"90 or less",IF(E2024&lt;=105,"91-105",IF(E2024&lt;=120,"106-120",IF(E2024&lt;=140,"121-140","Over 140"))))</f>
        <v/>
      </c>
      <c r="Q2024" s="28">
        <f>INT(C2024/10)*10</f>
        <v/>
      </c>
    </row>
    <row r="2025">
      <c r="A2025" s="21" t="n">
        <v>2064</v>
      </c>
      <c r="B2025" s="21" t="inlineStr">
        <is>
          <t>Touching the Void</t>
        </is>
      </c>
      <c r="C2025" s="21" t="n">
        <v>2003</v>
      </c>
      <c r="D2025" s="21" t="inlineStr">
        <is>
          <t>UK</t>
        </is>
      </c>
      <c r="E2025" s="21" t="n">
        <v>106</v>
      </c>
      <c r="F2025" s="21" t="inlineStr">
        <is>
          <t>English</t>
        </is>
      </c>
      <c r="G2025" s="21" t="inlineStr">
        <is>
          <t>R</t>
        </is>
      </c>
      <c r="H2025" s="22" t="n">
        <v>4581222</v>
      </c>
      <c r="I2025" s="22" t="n">
        <v>20000000</v>
      </c>
      <c r="J2025" s="21">
        <f>IF(OR(H2025="",H2025=25529689.5),"Yes","No")</f>
        <v/>
      </c>
      <c r="K2025" s="21">
        <f>IF(AND(D2025="USA",C2025&gt;=1980,J2025="No"),"Yes","No")</f>
        <v/>
      </c>
      <c r="L2025" s="26">
        <f>IF(J2025="Yes","",H2025-I2025)</f>
        <v/>
      </c>
      <c r="M2025" s="27">
        <f>IF(OR(J2025="Yes",I2025=0),"",H2025/I2025)</f>
        <v/>
      </c>
      <c r="N2025" s="21">
        <f>IF(J2025="Yes","",IF(H2025&gt;=I2025,1,0))</f>
        <v/>
      </c>
      <c r="O2025" s="21">
        <f>IF(I2025&lt;=5000000,"Under $5M",IF(I2025&lt;=20000000,"$5M-20M",IF(I2025&lt;=50000000,"$20M-50M",IF(I2025&lt;=100000000,"$50M-100M","$100M+"))))</f>
        <v/>
      </c>
      <c r="P2025" s="21">
        <f>IF(E2025&lt;=90,"90 or less",IF(E2025&lt;=105,"91-105",IF(E2025&lt;=120,"106-120",IF(E2025&lt;=140,"121-140","Over 140"))))</f>
        <v/>
      </c>
      <c r="Q2025" s="28">
        <f>INT(C2025/10)*10</f>
        <v/>
      </c>
    </row>
    <row r="2026">
      <c r="A2026" s="21" t="n">
        <v>2065</v>
      </c>
      <c r="B2026" s="21" t="inlineStr">
        <is>
          <t>Travelers and Magicians</t>
        </is>
      </c>
      <c r="C2026" s="21" t="n">
        <v>2003</v>
      </c>
      <c r="D2026" s="21" t="inlineStr">
        <is>
          <t>Australia</t>
        </is>
      </c>
      <c r="E2026" s="21" t="n">
        <v>108</v>
      </c>
      <c r="F2026" s="21" t="inlineStr">
        <is>
          <t>Dzongkha</t>
        </is>
      </c>
      <c r="G2026" s="21" t="n"/>
      <c r="H2026" s="22" t="n">
        <v>505295</v>
      </c>
      <c r="I2026" s="22" t="n">
        <v>1800000</v>
      </c>
      <c r="J2026" s="21">
        <f>IF(OR(H2026="",H2026=25529689.5),"Yes","No")</f>
        <v/>
      </c>
      <c r="K2026" s="21">
        <f>IF(AND(D2026="USA",C2026&gt;=1980,J2026="No"),"Yes","No")</f>
        <v/>
      </c>
      <c r="L2026" s="26">
        <f>IF(J2026="Yes","",H2026-I2026)</f>
        <v/>
      </c>
      <c r="M2026" s="27">
        <f>IF(OR(J2026="Yes",I2026=0),"",H2026/I2026)</f>
        <v/>
      </c>
      <c r="N2026" s="21">
        <f>IF(J2026="Yes","",IF(H2026&gt;=I2026,1,0))</f>
        <v/>
      </c>
      <c r="O2026" s="21">
        <f>IF(I2026&lt;=5000000,"Under $5M",IF(I2026&lt;=20000000,"$5M-20M",IF(I2026&lt;=50000000,"$20M-50M",IF(I2026&lt;=100000000,"$50M-100M","$100M+"))))</f>
        <v/>
      </c>
      <c r="P2026" s="21">
        <f>IF(E2026&lt;=90,"90 or less",IF(E2026&lt;=105,"91-105",IF(E2026&lt;=120,"106-120",IF(E2026&lt;=140,"121-140","Over 140"))))</f>
        <v/>
      </c>
      <c r="Q2026" s="28">
        <f>INT(C2026/10)*10</f>
        <v/>
      </c>
    </row>
    <row r="2027">
      <c r="A2027" s="21" t="n">
        <v>2066</v>
      </c>
      <c r="B2027" s="21" t="inlineStr">
        <is>
          <t>Tupac: Resurrection</t>
        </is>
      </c>
      <c r="C2027" s="21" t="n">
        <v>2003</v>
      </c>
      <c r="D2027" s="21" t="inlineStr">
        <is>
          <t>USA</t>
        </is>
      </c>
      <c r="E2027" s="21" t="n">
        <v>112</v>
      </c>
      <c r="F2027" s="21" t="inlineStr">
        <is>
          <t>English</t>
        </is>
      </c>
      <c r="G2027" s="21" t="inlineStr">
        <is>
          <t>R</t>
        </is>
      </c>
      <c r="H2027" s="22" t="n">
        <v>7707563</v>
      </c>
      <c r="I2027" s="22" t="n">
        <v>20000000</v>
      </c>
      <c r="J2027" s="21">
        <f>IF(OR(H2027="",H2027=25529689.5),"Yes","No")</f>
        <v/>
      </c>
      <c r="K2027" s="21">
        <f>IF(AND(D2027="USA",C2027&gt;=1980,J2027="No"),"Yes","No")</f>
        <v/>
      </c>
      <c r="L2027" s="26">
        <f>IF(J2027="Yes","",H2027-I2027)</f>
        <v/>
      </c>
      <c r="M2027" s="27">
        <f>IF(OR(J2027="Yes",I2027=0),"",H2027/I2027)</f>
        <v/>
      </c>
      <c r="N2027" s="21">
        <f>IF(J2027="Yes","",IF(H2027&gt;=I2027,1,0))</f>
        <v/>
      </c>
      <c r="O2027" s="21">
        <f>IF(I2027&lt;=5000000,"Under $5M",IF(I2027&lt;=20000000,"$5M-20M",IF(I2027&lt;=50000000,"$20M-50M",IF(I2027&lt;=100000000,"$50M-100M","$100M+"))))</f>
        <v/>
      </c>
      <c r="P2027" s="21">
        <f>IF(E2027&lt;=90,"90 or less",IF(E2027&lt;=105,"91-105",IF(E2027&lt;=120,"106-120",IF(E2027&lt;=140,"121-140","Over 140"))))</f>
        <v/>
      </c>
      <c r="Q2027" s="28">
        <f>INT(C2027/10)*10</f>
        <v/>
      </c>
    </row>
    <row r="2028">
      <c r="A2028" s="21" t="n">
        <v>2067</v>
      </c>
      <c r="B2028" s="21" t="inlineStr">
        <is>
          <t>Under the Tuscan Sun</t>
        </is>
      </c>
      <c r="C2028" s="21" t="n">
        <v>2003</v>
      </c>
      <c r="D2028" s="21" t="inlineStr">
        <is>
          <t>USA</t>
        </is>
      </c>
      <c r="E2028" s="21" t="n">
        <v>113</v>
      </c>
      <c r="F2028" s="21" t="inlineStr">
        <is>
          <t>English</t>
        </is>
      </c>
      <c r="G2028" s="21" t="inlineStr">
        <is>
          <t>PG-13</t>
        </is>
      </c>
      <c r="H2028" s="22" t="n">
        <v>43601508</v>
      </c>
      <c r="I2028" s="22" t="n">
        <v>18000000</v>
      </c>
      <c r="J2028" s="21">
        <f>IF(OR(H2028="",H2028=25529689.5),"Yes","No")</f>
        <v/>
      </c>
      <c r="K2028" s="21">
        <f>IF(AND(D2028="USA",C2028&gt;=1980,J2028="No"),"Yes","No")</f>
        <v/>
      </c>
      <c r="L2028" s="26">
        <f>IF(J2028="Yes","",H2028-I2028)</f>
        <v/>
      </c>
      <c r="M2028" s="27">
        <f>IF(OR(J2028="Yes",I2028=0),"",H2028/I2028)</f>
        <v/>
      </c>
      <c r="N2028" s="21">
        <f>IF(J2028="Yes","",IF(H2028&gt;=I2028,1,0))</f>
        <v/>
      </c>
      <c r="O2028" s="21">
        <f>IF(I2028&lt;=5000000,"Under $5M",IF(I2028&lt;=20000000,"$5M-20M",IF(I2028&lt;=50000000,"$20M-50M",IF(I2028&lt;=100000000,"$50M-100M","$100M+"))))</f>
        <v/>
      </c>
      <c r="P2028" s="21">
        <f>IF(E2028&lt;=90,"90 or less",IF(E2028&lt;=105,"91-105",IF(E2028&lt;=120,"106-120",IF(E2028&lt;=140,"121-140","Over 140"))))</f>
        <v/>
      </c>
      <c r="Q2028" s="28">
        <f>INT(C2028/10)*10</f>
        <v/>
      </c>
    </row>
    <row r="2029">
      <c r="A2029" s="21" t="n">
        <v>2068</v>
      </c>
      <c r="B2029" s="21" t="inlineStr">
        <is>
          <t>Underworld</t>
        </is>
      </c>
      <c r="C2029" s="21" t="n">
        <v>2003</v>
      </c>
      <c r="D2029" s="21" t="inlineStr">
        <is>
          <t>UK</t>
        </is>
      </c>
      <c r="E2029" s="21" t="n">
        <v>133</v>
      </c>
      <c r="F2029" s="21" t="inlineStr">
        <is>
          <t>English</t>
        </is>
      </c>
      <c r="G2029" s="21" t="inlineStr">
        <is>
          <t>R</t>
        </is>
      </c>
      <c r="H2029" s="22" t="n">
        <v>51483949</v>
      </c>
      <c r="I2029" s="22" t="n">
        <v>22000000</v>
      </c>
      <c r="J2029" s="21">
        <f>IF(OR(H2029="",H2029=25529689.5),"Yes","No")</f>
        <v/>
      </c>
      <c r="K2029" s="21">
        <f>IF(AND(D2029="USA",C2029&gt;=1980,J2029="No"),"Yes","No")</f>
        <v/>
      </c>
      <c r="L2029" s="26">
        <f>IF(J2029="Yes","",H2029-I2029)</f>
        <v/>
      </c>
      <c r="M2029" s="27">
        <f>IF(OR(J2029="Yes",I2029=0),"",H2029/I2029)</f>
        <v/>
      </c>
      <c r="N2029" s="21">
        <f>IF(J2029="Yes","",IF(H2029&gt;=I2029,1,0))</f>
        <v/>
      </c>
      <c r="O2029" s="21">
        <f>IF(I2029&lt;=5000000,"Under $5M",IF(I2029&lt;=20000000,"$5M-20M",IF(I2029&lt;=50000000,"$20M-50M",IF(I2029&lt;=100000000,"$50M-100M","$100M+"))))</f>
        <v/>
      </c>
      <c r="P2029" s="21">
        <f>IF(E2029&lt;=90,"90 or less",IF(E2029&lt;=105,"91-105",IF(E2029&lt;=120,"106-120",IF(E2029&lt;=140,"121-140","Over 140"))))</f>
        <v/>
      </c>
      <c r="Q2029" s="28">
        <f>INT(C2029/10)*10</f>
        <v/>
      </c>
    </row>
    <row r="2030">
      <c r="A2030" s="21" t="n">
        <v>2069</v>
      </c>
      <c r="B2030" s="21" t="inlineStr">
        <is>
          <t>Veronica Guerin</t>
        </is>
      </c>
      <c r="C2030" s="21" t="n">
        <v>2003</v>
      </c>
      <c r="D2030" s="21" t="inlineStr">
        <is>
          <t>Ireland</t>
        </is>
      </c>
      <c r="E2030" s="21" t="n">
        <v>98</v>
      </c>
      <c r="F2030" s="21" t="inlineStr">
        <is>
          <t>English</t>
        </is>
      </c>
      <c r="G2030" s="21" t="inlineStr">
        <is>
          <t>R</t>
        </is>
      </c>
      <c r="H2030" s="22" t="n">
        <v>1569918</v>
      </c>
      <c r="I2030" s="22" t="n">
        <v>17000000</v>
      </c>
      <c r="J2030" s="21">
        <f>IF(OR(H2030="",H2030=25529689.5),"Yes","No")</f>
        <v/>
      </c>
      <c r="K2030" s="21">
        <f>IF(AND(D2030="USA",C2030&gt;=1980,J2030="No"),"Yes","No")</f>
        <v/>
      </c>
      <c r="L2030" s="26">
        <f>IF(J2030="Yes","",H2030-I2030)</f>
        <v/>
      </c>
      <c r="M2030" s="27">
        <f>IF(OR(J2030="Yes",I2030=0),"",H2030/I2030)</f>
        <v/>
      </c>
      <c r="N2030" s="21">
        <f>IF(J2030="Yes","",IF(H2030&gt;=I2030,1,0))</f>
        <v/>
      </c>
      <c r="O2030" s="21">
        <f>IF(I2030&lt;=5000000,"Under $5M",IF(I2030&lt;=20000000,"$5M-20M",IF(I2030&lt;=50000000,"$20M-50M",IF(I2030&lt;=100000000,"$50M-100M","$100M+"))))</f>
        <v/>
      </c>
      <c r="P2030" s="21">
        <f>IF(E2030&lt;=90,"90 or less",IF(E2030&lt;=105,"91-105",IF(E2030&lt;=120,"106-120",IF(E2030&lt;=140,"121-140","Over 140"))))</f>
        <v/>
      </c>
      <c r="Q2030" s="28">
        <f>INT(C2030/10)*10</f>
        <v/>
      </c>
    </row>
    <row r="2031">
      <c r="A2031" s="21" t="n">
        <v>2070</v>
      </c>
      <c r="B2031" s="21" t="inlineStr">
        <is>
          <t>What a Girl Wants</t>
        </is>
      </c>
      <c r="C2031" s="21" t="n">
        <v>2003</v>
      </c>
      <c r="D2031" s="21" t="inlineStr">
        <is>
          <t>USA</t>
        </is>
      </c>
      <c r="E2031" s="21" t="n">
        <v>105</v>
      </c>
      <c r="F2031" s="21" t="inlineStr">
        <is>
          <t>English</t>
        </is>
      </c>
      <c r="G2031" s="21" t="inlineStr">
        <is>
          <t>PG</t>
        </is>
      </c>
      <c r="H2031" s="22" t="n">
        <v>35990505</v>
      </c>
      <c r="I2031" s="22" t="n">
        <v>20000000</v>
      </c>
      <c r="J2031" s="21">
        <f>IF(OR(H2031="",H2031=25529689.5),"Yes","No")</f>
        <v/>
      </c>
      <c r="K2031" s="21">
        <f>IF(AND(D2031="USA",C2031&gt;=1980,J2031="No"),"Yes","No")</f>
        <v/>
      </c>
      <c r="L2031" s="26">
        <f>IF(J2031="Yes","",H2031-I2031)</f>
        <v/>
      </c>
      <c r="M2031" s="27">
        <f>IF(OR(J2031="Yes",I2031=0),"",H2031/I2031)</f>
        <v/>
      </c>
      <c r="N2031" s="21">
        <f>IF(J2031="Yes","",IF(H2031&gt;=I2031,1,0))</f>
        <v/>
      </c>
      <c r="O2031" s="21">
        <f>IF(I2031&lt;=5000000,"Under $5M",IF(I2031&lt;=20000000,"$5M-20M",IF(I2031&lt;=50000000,"$20M-50M",IF(I2031&lt;=100000000,"$50M-100M","$100M+"))))</f>
        <v/>
      </c>
      <c r="P2031" s="21">
        <f>IF(E2031&lt;=90,"90 or less",IF(E2031&lt;=105,"91-105",IF(E2031&lt;=120,"106-120",IF(E2031&lt;=140,"121-140","Over 140"))))</f>
        <v/>
      </c>
      <c r="Q2031" s="28">
        <f>INT(C2031/10)*10</f>
        <v/>
      </c>
    </row>
    <row r="2032">
      <c r="A2032" s="21" t="n">
        <v>2071</v>
      </c>
      <c r="B2032" s="21" t="inlineStr">
        <is>
          <t>Willard</t>
        </is>
      </c>
      <c r="C2032" s="21" t="n">
        <v>2003</v>
      </c>
      <c r="D2032" s="21" t="inlineStr">
        <is>
          <t>Canada</t>
        </is>
      </c>
      <c r="E2032" s="21" t="n">
        <v>100</v>
      </c>
      <c r="F2032" s="21" t="inlineStr">
        <is>
          <t>English</t>
        </is>
      </c>
      <c r="G2032" s="21" t="inlineStr">
        <is>
          <t>PG-13</t>
        </is>
      </c>
      <c r="H2032" s="22" t="n">
        <v>6852144</v>
      </c>
      <c r="I2032" s="22" t="n">
        <v>22000000</v>
      </c>
      <c r="J2032" s="21">
        <f>IF(OR(H2032="",H2032=25529689.5),"Yes","No")</f>
        <v/>
      </c>
      <c r="K2032" s="21">
        <f>IF(AND(D2032="USA",C2032&gt;=1980,J2032="No"),"Yes","No")</f>
        <v/>
      </c>
      <c r="L2032" s="26">
        <f>IF(J2032="Yes","",H2032-I2032)</f>
        <v/>
      </c>
      <c r="M2032" s="27">
        <f>IF(OR(J2032="Yes",I2032=0),"",H2032/I2032)</f>
        <v/>
      </c>
      <c r="N2032" s="21">
        <f>IF(J2032="Yes","",IF(H2032&gt;=I2032,1,0))</f>
        <v/>
      </c>
      <c r="O2032" s="21">
        <f>IF(I2032&lt;=5000000,"Under $5M",IF(I2032&lt;=20000000,"$5M-20M",IF(I2032&lt;=50000000,"$20M-50M",IF(I2032&lt;=100000000,"$50M-100M","$100M+"))))</f>
        <v/>
      </c>
      <c r="P2032" s="21">
        <f>IF(E2032&lt;=90,"90 or less",IF(E2032&lt;=105,"91-105",IF(E2032&lt;=120,"106-120",IF(E2032&lt;=140,"121-140","Over 140"))))</f>
        <v/>
      </c>
      <c r="Q2032" s="28">
        <f>INT(C2032/10)*10</f>
        <v/>
      </c>
    </row>
    <row r="2033">
      <c r="A2033" s="21" t="n">
        <v>2072</v>
      </c>
      <c r="B2033" s="21" t="inlineStr">
        <is>
          <t>Wonderland</t>
        </is>
      </c>
      <c r="C2033" s="21" t="n">
        <v>2003</v>
      </c>
      <c r="D2033" s="21" t="inlineStr">
        <is>
          <t>USA</t>
        </is>
      </c>
      <c r="E2033" s="21" t="n">
        <v>104</v>
      </c>
      <c r="F2033" s="21" t="inlineStr">
        <is>
          <t>English</t>
        </is>
      </c>
      <c r="G2033" s="21" t="inlineStr">
        <is>
          <t>R</t>
        </is>
      </c>
      <c r="H2033" s="22" t="n">
        <v>1056102</v>
      </c>
      <c r="I2033" s="22" t="n">
        <v>5000000</v>
      </c>
      <c r="J2033" s="21">
        <f>IF(OR(H2033="",H2033=25529689.5),"Yes","No")</f>
        <v/>
      </c>
      <c r="K2033" s="21">
        <f>IF(AND(D2033="USA",C2033&gt;=1980,J2033="No"),"Yes","No")</f>
        <v/>
      </c>
      <c r="L2033" s="26">
        <f>IF(J2033="Yes","",H2033-I2033)</f>
        <v/>
      </c>
      <c r="M2033" s="27">
        <f>IF(OR(J2033="Yes",I2033=0),"",H2033/I2033)</f>
        <v/>
      </c>
      <c r="N2033" s="21">
        <f>IF(J2033="Yes","",IF(H2033&gt;=I2033,1,0))</f>
        <v/>
      </c>
      <c r="O2033" s="21">
        <f>IF(I2033&lt;=5000000,"Under $5M",IF(I2033&lt;=20000000,"$5M-20M",IF(I2033&lt;=50000000,"$20M-50M",IF(I2033&lt;=100000000,"$50M-100M","$100M+"))))</f>
        <v/>
      </c>
      <c r="P2033" s="21">
        <f>IF(E2033&lt;=90,"90 or less",IF(E2033&lt;=105,"91-105",IF(E2033&lt;=120,"106-120",IF(E2033&lt;=140,"121-140","Over 140"))))</f>
        <v/>
      </c>
      <c r="Q2033" s="28">
        <f>INT(C2033/10)*10</f>
        <v/>
      </c>
    </row>
    <row r="2034">
      <c r="A2034" s="21" t="n">
        <v>2073</v>
      </c>
      <c r="B2034" s="21" t="inlineStr">
        <is>
          <t>Wrong Turn</t>
        </is>
      </c>
      <c r="C2034" s="21" t="n">
        <v>2003</v>
      </c>
      <c r="D2034" s="21" t="inlineStr">
        <is>
          <t>USA</t>
        </is>
      </c>
      <c r="E2034" s="21" t="n">
        <v>84</v>
      </c>
      <c r="F2034" s="21" t="inlineStr">
        <is>
          <t>English</t>
        </is>
      </c>
      <c r="G2034" s="21" t="inlineStr">
        <is>
          <t>R</t>
        </is>
      </c>
      <c r="H2034" s="22" t="n">
        <v>15417771</v>
      </c>
      <c r="I2034" s="22" t="n">
        <v>12600000</v>
      </c>
      <c r="J2034" s="21">
        <f>IF(OR(H2034="",H2034=25529689.5),"Yes","No")</f>
        <v/>
      </c>
      <c r="K2034" s="21">
        <f>IF(AND(D2034="USA",C2034&gt;=1980,J2034="No"),"Yes","No")</f>
        <v/>
      </c>
      <c r="L2034" s="26">
        <f>IF(J2034="Yes","",H2034-I2034)</f>
        <v/>
      </c>
      <c r="M2034" s="27">
        <f>IF(OR(J2034="Yes",I2034=0),"",H2034/I2034)</f>
        <v/>
      </c>
      <c r="N2034" s="21">
        <f>IF(J2034="Yes","",IF(H2034&gt;=I2034,1,0))</f>
        <v/>
      </c>
      <c r="O2034" s="21">
        <f>IF(I2034&lt;=5000000,"Under $5M",IF(I2034&lt;=20000000,"$5M-20M",IF(I2034&lt;=50000000,"$20M-50M",IF(I2034&lt;=100000000,"$50M-100M","$100M+"))))</f>
        <v/>
      </c>
      <c r="P2034" s="21">
        <f>IF(E2034&lt;=90,"90 or less",IF(E2034&lt;=105,"91-105",IF(E2034&lt;=120,"106-120",IF(E2034&lt;=140,"121-140","Over 140"))))</f>
        <v/>
      </c>
      <c r="Q2034" s="28">
        <f>INT(C2034/10)*10</f>
        <v/>
      </c>
    </row>
    <row r="2035">
      <c r="A2035" s="21" t="n">
        <v>2074</v>
      </c>
      <c r="B2035" s="21" t="inlineStr">
        <is>
          <t>X-Men 2</t>
        </is>
      </c>
      <c r="C2035" s="21" t="n">
        <v>2003</v>
      </c>
      <c r="D2035" s="21" t="inlineStr">
        <is>
          <t>Canada</t>
        </is>
      </c>
      <c r="E2035" s="21" t="n">
        <v>134</v>
      </c>
      <c r="F2035" s="21" t="inlineStr">
        <is>
          <t>English</t>
        </is>
      </c>
      <c r="G2035" s="21" t="inlineStr">
        <is>
          <t>PG-13</t>
        </is>
      </c>
      <c r="H2035" s="22" t="n">
        <v>214948780</v>
      </c>
      <c r="I2035" s="22" t="n">
        <v>110000000</v>
      </c>
      <c r="J2035" s="21">
        <f>IF(OR(H2035="",H2035=25529689.5),"Yes","No")</f>
        <v/>
      </c>
      <c r="K2035" s="21">
        <f>IF(AND(D2035="USA",C2035&gt;=1980,J2035="No"),"Yes","No")</f>
        <v/>
      </c>
      <c r="L2035" s="26">
        <f>IF(J2035="Yes","",H2035-I2035)</f>
        <v/>
      </c>
      <c r="M2035" s="27">
        <f>IF(OR(J2035="Yes",I2035=0),"",H2035/I2035)</f>
        <v/>
      </c>
      <c r="N2035" s="21">
        <f>IF(J2035="Yes","",IF(H2035&gt;=I2035,1,0))</f>
        <v/>
      </c>
      <c r="O2035" s="21">
        <f>IF(I2035&lt;=5000000,"Under $5M",IF(I2035&lt;=20000000,"$5M-20M",IF(I2035&lt;=50000000,"$20M-50M",IF(I2035&lt;=100000000,"$50M-100M","$100M+"))))</f>
        <v/>
      </c>
      <c r="P2035" s="21">
        <f>IF(E2035&lt;=90,"90 or less",IF(E2035&lt;=105,"91-105",IF(E2035&lt;=120,"106-120",IF(E2035&lt;=140,"121-140","Over 140"))))</f>
        <v/>
      </c>
      <c r="Q2035" s="28">
        <f>INT(C2035/10)*10</f>
        <v/>
      </c>
    </row>
    <row r="2036">
      <c r="A2036" s="21" t="n">
        <v>2075</v>
      </c>
      <c r="B2036" s="21" t="inlineStr">
        <is>
          <t>13 Going on 30</t>
        </is>
      </c>
      <c r="C2036" s="21" t="n">
        <v>2004</v>
      </c>
      <c r="D2036" s="21" t="inlineStr">
        <is>
          <t>USA</t>
        </is>
      </c>
      <c r="E2036" s="21" t="n">
        <v>98</v>
      </c>
      <c r="F2036" s="21" t="inlineStr">
        <is>
          <t>English</t>
        </is>
      </c>
      <c r="G2036" s="21" t="inlineStr">
        <is>
          <t>PG-13</t>
        </is>
      </c>
      <c r="H2036" s="22" t="n">
        <v>56044241</v>
      </c>
      <c r="I2036" s="22" t="n">
        <v>37000000</v>
      </c>
      <c r="J2036" s="21">
        <f>IF(OR(H2036="",H2036=25529689.5),"Yes","No")</f>
        <v/>
      </c>
      <c r="K2036" s="21">
        <f>IF(AND(D2036="USA",C2036&gt;=1980,J2036="No"),"Yes","No")</f>
        <v/>
      </c>
      <c r="L2036" s="26">
        <f>IF(J2036="Yes","",H2036-I2036)</f>
        <v/>
      </c>
      <c r="M2036" s="27">
        <f>IF(OR(J2036="Yes",I2036=0),"",H2036/I2036)</f>
        <v/>
      </c>
      <c r="N2036" s="21">
        <f>IF(J2036="Yes","",IF(H2036&gt;=I2036,1,0))</f>
        <v/>
      </c>
      <c r="O2036" s="21">
        <f>IF(I2036&lt;=5000000,"Under $5M",IF(I2036&lt;=20000000,"$5M-20M",IF(I2036&lt;=50000000,"$20M-50M",IF(I2036&lt;=100000000,"$50M-100M","$100M+"))))</f>
        <v/>
      </c>
      <c r="P2036" s="21">
        <f>IF(E2036&lt;=90,"90 or less",IF(E2036&lt;=105,"91-105",IF(E2036&lt;=120,"106-120",IF(E2036&lt;=140,"121-140","Over 140"))))</f>
        <v/>
      </c>
      <c r="Q2036" s="28">
        <f>INT(C2036/10)*10</f>
        <v/>
      </c>
    </row>
    <row r="2037">
      <c r="A2037" s="21" t="n">
        <v>2076</v>
      </c>
      <c r="B2037" s="21" t="inlineStr">
        <is>
          <t>2046</t>
        </is>
      </c>
      <c r="C2037" s="21" t="n">
        <v>2004</v>
      </c>
      <c r="D2037" s="21" t="inlineStr">
        <is>
          <t>Hong Kong</t>
        </is>
      </c>
      <c r="E2037" s="21" t="n">
        <v>129</v>
      </c>
      <c r="F2037" s="21" t="inlineStr">
        <is>
          <t>Cantonese</t>
        </is>
      </c>
      <c r="G2037" s="21" t="inlineStr">
        <is>
          <t>R</t>
        </is>
      </c>
      <c r="H2037" s="22" t="n">
        <v>261481</v>
      </c>
      <c r="I2037" s="22" t="n">
        <v>12000000</v>
      </c>
      <c r="J2037" s="21">
        <f>IF(OR(H2037="",H2037=25529689.5),"Yes","No")</f>
        <v/>
      </c>
      <c r="K2037" s="21">
        <f>IF(AND(D2037="USA",C2037&gt;=1980,J2037="No"),"Yes","No")</f>
        <v/>
      </c>
      <c r="L2037" s="26">
        <f>IF(J2037="Yes","",H2037-I2037)</f>
        <v/>
      </c>
      <c r="M2037" s="27">
        <f>IF(OR(J2037="Yes",I2037=0),"",H2037/I2037)</f>
        <v/>
      </c>
      <c r="N2037" s="21">
        <f>IF(J2037="Yes","",IF(H2037&gt;=I2037,1,0))</f>
        <v/>
      </c>
      <c r="O2037" s="21">
        <f>IF(I2037&lt;=5000000,"Under $5M",IF(I2037&lt;=20000000,"$5M-20M",IF(I2037&lt;=50000000,"$20M-50M",IF(I2037&lt;=100000000,"$50M-100M","$100M+"))))</f>
        <v/>
      </c>
      <c r="P2037" s="21">
        <f>IF(E2037&lt;=90,"90 or less",IF(E2037&lt;=105,"91-105",IF(E2037&lt;=120,"106-120",IF(E2037&lt;=140,"121-140","Over 140"))))</f>
        <v/>
      </c>
      <c r="Q2037" s="28">
        <f>INT(C2037/10)*10</f>
        <v/>
      </c>
    </row>
    <row r="2038">
      <c r="A2038" s="21" t="n">
        <v>2077</v>
      </c>
      <c r="B2038" s="21" t="inlineStr">
        <is>
          <t>50 First Dates</t>
        </is>
      </c>
      <c r="C2038" s="21" t="n">
        <v>2004</v>
      </c>
      <c r="D2038" s="21" t="inlineStr">
        <is>
          <t>USA</t>
        </is>
      </c>
      <c r="E2038" s="21" t="n">
        <v>99</v>
      </c>
      <c r="F2038" s="21" t="inlineStr">
        <is>
          <t>English</t>
        </is>
      </c>
      <c r="G2038" s="21" t="inlineStr">
        <is>
          <t>PG-13</t>
        </is>
      </c>
      <c r="H2038" s="22" t="n">
        <v>120776832</v>
      </c>
      <c r="I2038" s="22" t="n">
        <v>75000000</v>
      </c>
      <c r="J2038" s="21">
        <f>IF(OR(H2038="",H2038=25529689.5),"Yes","No")</f>
        <v/>
      </c>
      <c r="K2038" s="21">
        <f>IF(AND(D2038="USA",C2038&gt;=1980,J2038="No"),"Yes","No")</f>
        <v/>
      </c>
      <c r="L2038" s="26">
        <f>IF(J2038="Yes","",H2038-I2038)</f>
        <v/>
      </c>
      <c r="M2038" s="27">
        <f>IF(OR(J2038="Yes",I2038=0),"",H2038/I2038)</f>
        <v/>
      </c>
      <c r="N2038" s="21">
        <f>IF(J2038="Yes","",IF(H2038&gt;=I2038,1,0))</f>
        <v/>
      </c>
      <c r="O2038" s="21">
        <f>IF(I2038&lt;=5000000,"Under $5M",IF(I2038&lt;=20000000,"$5M-20M",IF(I2038&lt;=50000000,"$20M-50M",IF(I2038&lt;=100000000,"$50M-100M","$100M+"))))</f>
        <v/>
      </c>
      <c r="P2038" s="21">
        <f>IF(E2038&lt;=90,"90 or less",IF(E2038&lt;=105,"91-105",IF(E2038&lt;=120,"106-120",IF(E2038&lt;=140,"121-140","Over 140"))))</f>
        <v/>
      </c>
      <c r="Q2038" s="28">
        <f>INT(C2038/10)*10</f>
        <v/>
      </c>
    </row>
    <row r="2039">
      <c r="A2039" s="21" t="n">
        <v>2078</v>
      </c>
      <c r="B2039" s="21" t="inlineStr">
        <is>
          <t>A Cinderella Story</t>
        </is>
      </c>
      <c r="C2039" s="21" t="n">
        <v>2004</v>
      </c>
      <c r="D2039" s="21" t="inlineStr">
        <is>
          <t>USA</t>
        </is>
      </c>
      <c r="E2039" s="21" t="n">
        <v>95</v>
      </c>
      <c r="F2039" s="21" t="inlineStr">
        <is>
          <t>English</t>
        </is>
      </c>
      <c r="G2039" s="21" t="inlineStr">
        <is>
          <t>PG</t>
        </is>
      </c>
      <c r="H2039" s="22" t="n">
        <v>51431160</v>
      </c>
      <c r="I2039" s="22" t="n">
        <v>20000000</v>
      </c>
      <c r="J2039" s="21">
        <f>IF(OR(H2039="",H2039=25529689.5),"Yes","No")</f>
        <v/>
      </c>
      <c r="K2039" s="21">
        <f>IF(AND(D2039="USA",C2039&gt;=1980,J2039="No"),"Yes","No")</f>
        <v/>
      </c>
      <c r="L2039" s="26">
        <f>IF(J2039="Yes","",H2039-I2039)</f>
        <v/>
      </c>
      <c r="M2039" s="27">
        <f>IF(OR(J2039="Yes",I2039=0),"",H2039/I2039)</f>
        <v/>
      </c>
      <c r="N2039" s="21">
        <f>IF(J2039="Yes","",IF(H2039&gt;=I2039,1,0))</f>
        <v/>
      </c>
      <c r="O2039" s="21">
        <f>IF(I2039&lt;=5000000,"Under $5M",IF(I2039&lt;=20000000,"$5M-20M",IF(I2039&lt;=50000000,"$20M-50M",IF(I2039&lt;=100000000,"$50M-100M","$100M+"))))</f>
        <v/>
      </c>
      <c r="P2039" s="21">
        <f>IF(E2039&lt;=90,"90 or less",IF(E2039&lt;=105,"91-105",IF(E2039&lt;=120,"106-120",IF(E2039&lt;=140,"121-140","Over 140"))))</f>
        <v/>
      </c>
      <c r="Q2039" s="28">
        <f>INT(C2039/10)*10</f>
        <v/>
      </c>
    </row>
    <row r="2040">
      <c r="A2040" s="21" t="n">
        <v>2079</v>
      </c>
      <c r="B2040" s="21" t="inlineStr">
        <is>
          <t>A Home at the End of the World</t>
        </is>
      </c>
      <c r="C2040" s="21" t="n">
        <v>2004</v>
      </c>
      <c r="D2040" s="21" t="inlineStr">
        <is>
          <t>USA</t>
        </is>
      </c>
      <c r="E2040" s="21" t="n">
        <v>97</v>
      </c>
      <c r="F2040" s="21" t="inlineStr">
        <is>
          <t>English</t>
        </is>
      </c>
      <c r="G2040" s="21" t="inlineStr">
        <is>
          <t>R</t>
        </is>
      </c>
      <c r="H2040" s="22" t="n">
        <v>1029017</v>
      </c>
      <c r="I2040" s="22" t="n">
        <v>6500000</v>
      </c>
      <c r="J2040" s="21">
        <f>IF(OR(H2040="",H2040=25529689.5),"Yes","No")</f>
        <v/>
      </c>
      <c r="K2040" s="21">
        <f>IF(AND(D2040="USA",C2040&gt;=1980,J2040="No"),"Yes","No")</f>
        <v/>
      </c>
      <c r="L2040" s="26">
        <f>IF(J2040="Yes","",H2040-I2040)</f>
        <v/>
      </c>
      <c r="M2040" s="27">
        <f>IF(OR(J2040="Yes",I2040=0),"",H2040/I2040)</f>
        <v/>
      </c>
      <c r="N2040" s="21">
        <f>IF(J2040="Yes","",IF(H2040&gt;=I2040,1,0))</f>
        <v/>
      </c>
      <c r="O2040" s="21">
        <f>IF(I2040&lt;=5000000,"Under $5M",IF(I2040&lt;=20000000,"$5M-20M",IF(I2040&lt;=50000000,"$20M-50M",IF(I2040&lt;=100000000,"$50M-100M","$100M+"))))</f>
        <v/>
      </c>
      <c r="P2040" s="21">
        <f>IF(E2040&lt;=90,"90 or less",IF(E2040&lt;=105,"91-105",IF(E2040&lt;=120,"106-120",IF(E2040&lt;=140,"121-140","Over 140"))))</f>
        <v/>
      </c>
      <c r="Q2040" s="28">
        <f>INT(C2040/10)*10</f>
        <v/>
      </c>
    </row>
    <row r="2041">
      <c r="A2041" s="21" t="n">
        <v>2080</v>
      </c>
      <c r="B2041" s="21" t="inlineStr">
        <is>
          <t>A Very Long Engagement</t>
        </is>
      </c>
      <c r="C2041" s="21" t="n">
        <v>2004</v>
      </c>
      <c r="D2041" s="21" t="inlineStr">
        <is>
          <t>France</t>
        </is>
      </c>
      <c r="E2041" s="21" t="n">
        <v>133</v>
      </c>
      <c r="F2041" s="21" t="inlineStr">
        <is>
          <t>French</t>
        </is>
      </c>
      <c r="G2041" s="21" t="inlineStr">
        <is>
          <t>R</t>
        </is>
      </c>
      <c r="H2041" s="22" t="n">
        <v>6167817</v>
      </c>
      <c r="I2041" s="22" t="n">
        <v>47000000</v>
      </c>
      <c r="J2041" s="21">
        <f>IF(OR(H2041="",H2041=25529689.5),"Yes","No")</f>
        <v/>
      </c>
      <c r="K2041" s="21">
        <f>IF(AND(D2041="USA",C2041&gt;=1980,J2041="No"),"Yes","No")</f>
        <v/>
      </c>
      <c r="L2041" s="26">
        <f>IF(J2041="Yes","",H2041-I2041)</f>
        <v/>
      </c>
      <c r="M2041" s="27">
        <f>IF(OR(J2041="Yes",I2041=0),"",H2041/I2041)</f>
        <v/>
      </c>
      <c r="N2041" s="21">
        <f>IF(J2041="Yes","",IF(H2041&gt;=I2041,1,0))</f>
        <v/>
      </c>
      <c r="O2041" s="21">
        <f>IF(I2041&lt;=5000000,"Under $5M",IF(I2041&lt;=20000000,"$5M-20M",IF(I2041&lt;=50000000,"$20M-50M",IF(I2041&lt;=100000000,"$50M-100M","$100M+"))))</f>
        <v/>
      </c>
      <c r="P2041" s="21">
        <f>IF(E2041&lt;=90,"90 or less",IF(E2041&lt;=105,"91-105",IF(E2041&lt;=120,"106-120",IF(E2041&lt;=140,"121-140","Over 140"))))</f>
        <v/>
      </c>
      <c r="Q2041" s="28">
        <f>INT(C2041/10)*10</f>
        <v/>
      </c>
    </row>
    <row r="2042">
      <c r="A2042" s="21" t="n">
        <v>2081</v>
      </c>
      <c r="B2042" s="21" t="inlineStr">
        <is>
          <t>After the Sunset</t>
        </is>
      </c>
      <c r="C2042" s="21" t="n">
        <v>2004</v>
      </c>
      <c r="D2042" s="21" t="inlineStr">
        <is>
          <t>USA</t>
        </is>
      </c>
      <c r="E2042" s="21" t="n">
        <v>97</v>
      </c>
      <c r="F2042" s="21" t="inlineStr">
        <is>
          <t>English</t>
        </is>
      </c>
      <c r="G2042" s="21" t="inlineStr">
        <is>
          <t>PG-13</t>
        </is>
      </c>
      <c r="H2042" s="22" t="n">
        <v>28328132</v>
      </c>
      <c r="I2042" s="22" t="n">
        <v>58000000</v>
      </c>
      <c r="J2042" s="21">
        <f>IF(OR(H2042="",H2042=25529689.5),"Yes","No")</f>
        <v/>
      </c>
      <c r="K2042" s="21">
        <f>IF(AND(D2042="USA",C2042&gt;=1980,J2042="No"),"Yes","No")</f>
        <v/>
      </c>
      <c r="L2042" s="26">
        <f>IF(J2042="Yes","",H2042-I2042)</f>
        <v/>
      </c>
      <c r="M2042" s="27">
        <f>IF(OR(J2042="Yes",I2042=0),"",H2042/I2042)</f>
        <v/>
      </c>
      <c r="N2042" s="21">
        <f>IF(J2042="Yes","",IF(H2042&gt;=I2042,1,0))</f>
        <v/>
      </c>
      <c r="O2042" s="21">
        <f>IF(I2042&lt;=5000000,"Under $5M",IF(I2042&lt;=20000000,"$5M-20M",IF(I2042&lt;=50000000,"$20M-50M",IF(I2042&lt;=100000000,"$50M-100M","$100M+"))))</f>
        <v/>
      </c>
      <c r="P2042" s="21">
        <f>IF(E2042&lt;=90,"90 or less",IF(E2042&lt;=105,"91-105",IF(E2042&lt;=120,"106-120",IF(E2042&lt;=140,"121-140","Over 140"))))</f>
        <v/>
      </c>
      <c r="Q2042" s="28">
        <f>INT(C2042/10)*10</f>
        <v/>
      </c>
    </row>
    <row r="2043">
      <c r="A2043" s="21" t="n">
        <v>2082</v>
      </c>
      <c r="B2043" s="21" t="inlineStr">
        <is>
          <t>Against the Ropes</t>
        </is>
      </c>
      <c r="C2043" s="21" t="n">
        <v>2004</v>
      </c>
      <c r="D2043" s="21" t="inlineStr">
        <is>
          <t>USA</t>
        </is>
      </c>
      <c r="E2043" s="21" t="n">
        <v>110</v>
      </c>
      <c r="F2043" s="21" t="inlineStr">
        <is>
          <t>English</t>
        </is>
      </c>
      <c r="G2043" s="21" t="inlineStr">
        <is>
          <t>PG-13</t>
        </is>
      </c>
      <c r="H2043" s="22" t="n">
        <v>5881504</v>
      </c>
      <c r="I2043" s="22" t="n">
        <v>39000000</v>
      </c>
      <c r="J2043" s="21">
        <f>IF(OR(H2043="",H2043=25529689.5),"Yes","No")</f>
        <v/>
      </c>
      <c r="K2043" s="21">
        <f>IF(AND(D2043="USA",C2043&gt;=1980,J2043="No"),"Yes","No")</f>
        <v/>
      </c>
      <c r="L2043" s="26">
        <f>IF(J2043="Yes","",H2043-I2043)</f>
        <v/>
      </c>
      <c r="M2043" s="27">
        <f>IF(OR(J2043="Yes",I2043=0),"",H2043/I2043)</f>
        <v/>
      </c>
      <c r="N2043" s="21">
        <f>IF(J2043="Yes","",IF(H2043&gt;=I2043,1,0))</f>
        <v/>
      </c>
      <c r="O2043" s="21">
        <f>IF(I2043&lt;=5000000,"Under $5M",IF(I2043&lt;=20000000,"$5M-20M",IF(I2043&lt;=50000000,"$20M-50M",IF(I2043&lt;=100000000,"$50M-100M","$100M+"))))</f>
        <v/>
      </c>
      <c r="P2043" s="21">
        <f>IF(E2043&lt;=90,"90 or less",IF(E2043&lt;=105,"91-105",IF(E2043&lt;=120,"106-120",IF(E2043&lt;=140,"121-140","Over 140"))))</f>
        <v/>
      </c>
      <c r="Q2043" s="28">
        <f>INT(C2043/10)*10</f>
        <v/>
      </c>
    </row>
    <row r="2044">
      <c r="A2044" s="21" t="n">
        <v>2083</v>
      </c>
      <c r="B2044" s="21" t="inlineStr">
        <is>
          <t>Agent Cody Banks 2: Destination London</t>
        </is>
      </c>
      <c r="C2044" s="21" t="n">
        <v>2004</v>
      </c>
      <c r="D2044" s="21" t="inlineStr">
        <is>
          <t>USA</t>
        </is>
      </c>
      <c r="E2044" s="21" t="n">
        <v>100</v>
      </c>
      <c r="F2044" s="21" t="inlineStr">
        <is>
          <t>English</t>
        </is>
      </c>
      <c r="G2044" s="21" t="inlineStr">
        <is>
          <t>PG</t>
        </is>
      </c>
      <c r="H2044" s="22" t="n">
        <v>23222861</v>
      </c>
      <c r="I2044" s="22" t="n">
        <v>26000000</v>
      </c>
      <c r="J2044" s="21">
        <f>IF(OR(H2044="",H2044=25529689.5),"Yes","No")</f>
        <v/>
      </c>
      <c r="K2044" s="21">
        <f>IF(AND(D2044="USA",C2044&gt;=1980,J2044="No"),"Yes","No")</f>
        <v/>
      </c>
      <c r="L2044" s="26">
        <f>IF(J2044="Yes","",H2044-I2044)</f>
        <v/>
      </c>
      <c r="M2044" s="27">
        <f>IF(OR(J2044="Yes",I2044=0),"",H2044/I2044)</f>
        <v/>
      </c>
      <c r="N2044" s="21">
        <f>IF(J2044="Yes","",IF(H2044&gt;=I2044,1,0))</f>
        <v/>
      </c>
      <c r="O2044" s="21">
        <f>IF(I2044&lt;=5000000,"Under $5M",IF(I2044&lt;=20000000,"$5M-20M",IF(I2044&lt;=50000000,"$20M-50M",IF(I2044&lt;=100000000,"$50M-100M","$100M+"))))</f>
        <v/>
      </c>
      <c r="P2044" s="21">
        <f>IF(E2044&lt;=90,"90 or less",IF(E2044&lt;=105,"91-105",IF(E2044&lt;=120,"106-120",IF(E2044&lt;=140,"121-140","Over 140"))))</f>
        <v/>
      </c>
      <c r="Q2044" s="28">
        <f>INT(C2044/10)*10</f>
        <v/>
      </c>
    </row>
    <row r="2045">
      <c r="A2045" s="21" t="n">
        <v>2084</v>
      </c>
      <c r="B2045" s="21" t="inlineStr">
        <is>
          <t>Alexander</t>
        </is>
      </c>
      <c r="C2045" s="21" t="n">
        <v>2004</v>
      </c>
      <c r="D2045" s="21" t="inlineStr">
        <is>
          <t>Germany</t>
        </is>
      </c>
      <c r="E2045" s="21" t="n">
        <v>206</v>
      </c>
      <c r="F2045" s="21" t="inlineStr">
        <is>
          <t>English</t>
        </is>
      </c>
      <c r="G2045" s="21" t="inlineStr">
        <is>
          <t>R</t>
        </is>
      </c>
      <c r="H2045" s="22" t="n">
        <v>34293771</v>
      </c>
      <c r="I2045" s="22" t="n">
        <v>155000000</v>
      </c>
      <c r="J2045" s="21">
        <f>IF(OR(H2045="",H2045=25529689.5),"Yes","No")</f>
        <v/>
      </c>
      <c r="K2045" s="21">
        <f>IF(AND(D2045="USA",C2045&gt;=1980,J2045="No"),"Yes","No")</f>
        <v/>
      </c>
      <c r="L2045" s="26">
        <f>IF(J2045="Yes","",H2045-I2045)</f>
        <v/>
      </c>
      <c r="M2045" s="27">
        <f>IF(OR(J2045="Yes",I2045=0),"",H2045/I2045)</f>
        <v/>
      </c>
      <c r="N2045" s="21">
        <f>IF(J2045="Yes","",IF(H2045&gt;=I2045,1,0))</f>
        <v/>
      </c>
      <c r="O2045" s="21">
        <f>IF(I2045&lt;=5000000,"Under $5M",IF(I2045&lt;=20000000,"$5M-20M",IF(I2045&lt;=50000000,"$20M-50M",IF(I2045&lt;=100000000,"$50M-100M","$100M+"))))</f>
        <v/>
      </c>
      <c r="P2045" s="21">
        <f>IF(E2045&lt;=90,"90 or less",IF(E2045&lt;=105,"91-105",IF(E2045&lt;=120,"106-120",IF(E2045&lt;=140,"121-140","Over 140"))))</f>
        <v/>
      </c>
      <c r="Q2045" s="28">
        <f>INT(C2045/10)*10</f>
        <v/>
      </c>
    </row>
    <row r="2046">
      <c r="A2046" s="21" t="n">
        <v>2085</v>
      </c>
      <c r="B2046" s="21" t="inlineStr">
        <is>
          <t>Alfie</t>
        </is>
      </c>
      <c r="C2046" s="21" t="n">
        <v>2004</v>
      </c>
      <c r="D2046" s="21" t="inlineStr">
        <is>
          <t>UK</t>
        </is>
      </c>
      <c r="E2046" s="21" t="n">
        <v>103</v>
      </c>
      <c r="F2046" s="21" t="inlineStr">
        <is>
          <t>English</t>
        </is>
      </c>
      <c r="G2046" s="21" t="inlineStr">
        <is>
          <t>R</t>
        </is>
      </c>
      <c r="H2046" s="22" t="n">
        <v>13395939</v>
      </c>
      <c r="I2046" s="22" t="n">
        <v>60000000</v>
      </c>
      <c r="J2046" s="21">
        <f>IF(OR(H2046="",H2046=25529689.5),"Yes","No")</f>
        <v/>
      </c>
      <c r="K2046" s="21">
        <f>IF(AND(D2046="USA",C2046&gt;=1980,J2046="No"),"Yes","No")</f>
        <v/>
      </c>
      <c r="L2046" s="26">
        <f>IF(J2046="Yes","",H2046-I2046)</f>
        <v/>
      </c>
      <c r="M2046" s="27">
        <f>IF(OR(J2046="Yes",I2046=0),"",H2046/I2046)</f>
        <v/>
      </c>
      <c r="N2046" s="21">
        <f>IF(J2046="Yes","",IF(H2046&gt;=I2046,1,0))</f>
        <v/>
      </c>
      <c r="O2046" s="21">
        <f>IF(I2046&lt;=5000000,"Under $5M",IF(I2046&lt;=20000000,"$5M-20M",IF(I2046&lt;=50000000,"$20M-50M",IF(I2046&lt;=100000000,"$50M-100M","$100M+"))))</f>
        <v/>
      </c>
      <c r="P2046" s="21">
        <f>IF(E2046&lt;=90,"90 or less",IF(E2046&lt;=105,"91-105",IF(E2046&lt;=120,"106-120",IF(E2046&lt;=140,"121-140","Over 140"))))</f>
        <v/>
      </c>
      <c r="Q2046" s="28">
        <f>INT(C2046/10)*10</f>
        <v/>
      </c>
    </row>
    <row r="2047">
      <c r="A2047" s="21" t="n">
        <v>2086</v>
      </c>
      <c r="B2047" s="21" t="inlineStr">
        <is>
          <t>Along Came Polly</t>
        </is>
      </c>
      <c r="C2047" s="21" t="n">
        <v>2004</v>
      </c>
      <c r="D2047" s="21" t="inlineStr">
        <is>
          <t>USA</t>
        </is>
      </c>
      <c r="E2047" s="21" t="n">
        <v>90</v>
      </c>
      <c r="F2047" s="21" t="inlineStr">
        <is>
          <t>English</t>
        </is>
      </c>
      <c r="G2047" s="21" t="inlineStr">
        <is>
          <t>PG-13</t>
        </is>
      </c>
      <c r="H2047" s="22" t="n">
        <v>87856565</v>
      </c>
      <c r="I2047" s="22" t="n">
        <v>42000000</v>
      </c>
      <c r="J2047" s="21">
        <f>IF(OR(H2047="",H2047=25529689.5),"Yes","No")</f>
        <v/>
      </c>
      <c r="K2047" s="21">
        <f>IF(AND(D2047="USA",C2047&gt;=1980,J2047="No"),"Yes","No")</f>
        <v/>
      </c>
      <c r="L2047" s="26">
        <f>IF(J2047="Yes","",H2047-I2047)</f>
        <v/>
      </c>
      <c r="M2047" s="27">
        <f>IF(OR(J2047="Yes",I2047=0),"",H2047/I2047)</f>
        <v/>
      </c>
      <c r="N2047" s="21">
        <f>IF(J2047="Yes","",IF(H2047&gt;=I2047,1,0))</f>
        <v/>
      </c>
      <c r="O2047" s="21">
        <f>IF(I2047&lt;=5000000,"Under $5M",IF(I2047&lt;=20000000,"$5M-20M",IF(I2047&lt;=50000000,"$20M-50M",IF(I2047&lt;=100000000,"$50M-100M","$100M+"))))</f>
        <v/>
      </c>
      <c r="P2047" s="21">
        <f>IF(E2047&lt;=90,"90 or less",IF(E2047&lt;=105,"91-105",IF(E2047&lt;=120,"106-120",IF(E2047&lt;=140,"121-140","Over 140"))))</f>
        <v/>
      </c>
      <c r="Q2047" s="28">
        <f>INT(C2047/10)*10</f>
        <v/>
      </c>
    </row>
    <row r="2048">
      <c r="A2048" s="21" t="n">
        <v>2087</v>
      </c>
      <c r="B2048" s="21" t="inlineStr">
        <is>
          <t>An American Girl Holiday</t>
        </is>
      </c>
      <c r="C2048" s="21" t="n">
        <v>2004</v>
      </c>
      <c r="D2048" s="21" t="inlineStr">
        <is>
          <t>USA</t>
        </is>
      </c>
      <c r="E2048" s="21" t="n">
        <v>86</v>
      </c>
      <c r="F2048" s="21" t="inlineStr">
        <is>
          <t>English</t>
        </is>
      </c>
      <c r="G2048" s="21" t="n"/>
      <c r="H2048" s="22" t="n">
        <v>25529689.5</v>
      </c>
      <c r="I2048" s="22" t="n">
        <v>200000</v>
      </c>
      <c r="J2048" s="21">
        <f>IF(OR(H2048="",H2048=25529689.5),"Yes","No")</f>
        <v/>
      </c>
      <c r="K2048" s="21">
        <f>IF(AND(D2048="USA",C2048&gt;=1980,J2048="No"),"Yes","No")</f>
        <v/>
      </c>
      <c r="L2048" s="26">
        <f>IF(J2048="Yes","",H2048-I2048)</f>
        <v/>
      </c>
      <c r="M2048" s="27">
        <f>IF(OR(J2048="Yes",I2048=0),"",H2048/I2048)</f>
        <v/>
      </c>
      <c r="N2048" s="21">
        <f>IF(J2048="Yes","",IF(H2048&gt;=I2048,1,0))</f>
        <v/>
      </c>
      <c r="O2048" s="21">
        <f>IF(I2048&lt;=5000000,"Under $5M",IF(I2048&lt;=20000000,"$5M-20M",IF(I2048&lt;=50000000,"$20M-50M",IF(I2048&lt;=100000000,"$50M-100M","$100M+"))))</f>
        <v/>
      </c>
      <c r="P2048" s="21">
        <f>IF(E2048&lt;=90,"90 or less",IF(E2048&lt;=105,"91-105",IF(E2048&lt;=120,"106-120",IF(E2048&lt;=140,"121-140","Over 140"))))</f>
        <v/>
      </c>
      <c r="Q2048" s="28">
        <f>INT(C2048/10)*10</f>
        <v/>
      </c>
    </row>
    <row r="2049">
      <c r="A2049" s="21" t="n">
        <v>2088</v>
      </c>
      <c r="B2049" s="21" t="inlineStr">
        <is>
          <t>Anacondas: The Hunt for the Blood Orchid</t>
        </is>
      </c>
      <c r="C2049" s="21" t="n">
        <v>2004</v>
      </c>
      <c r="D2049" s="21" t="inlineStr">
        <is>
          <t>USA</t>
        </is>
      </c>
      <c r="E2049" s="21" t="n">
        <v>97</v>
      </c>
      <c r="F2049" s="21" t="inlineStr">
        <is>
          <t>English</t>
        </is>
      </c>
      <c r="G2049" s="21" t="inlineStr">
        <is>
          <t>PG-13</t>
        </is>
      </c>
      <c r="H2049" s="22" t="n">
        <v>31526393</v>
      </c>
      <c r="I2049" s="22" t="n">
        <v>25000000</v>
      </c>
      <c r="J2049" s="21">
        <f>IF(OR(H2049="",H2049=25529689.5),"Yes","No")</f>
        <v/>
      </c>
      <c r="K2049" s="21">
        <f>IF(AND(D2049="USA",C2049&gt;=1980,J2049="No"),"Yes","No")</f>
        <v/>
      </c>
      <c r="L2049" s="26">
        <f>IF(J2049="Yes","",H2049-I2049)</f>
        <v/>
      </c>
      <c r="M2049" s="27">
        <f>IF(OR(J2049="Yes",I2049=0),"",H2049/I2049)</f>
        <v/>
      </c>
      <c r="N2049" s="21">
        <f>IF(J2049="Yes","",IF(H2049&gt;=I2049,1,0))</f>
        <v/>
      </c>
      <c r="O2049" s="21">
        <f>IF(I2049&lt;=5000000,"Under $5M",IF(I2049&lt;=20000000,"$5M-20M",IF(I2049&lt;=50000000,"$20M-50M",IF(I2049&lt;=100000000,"$50M-100M","$100M+"))))</f>
        <v/>
      </c>
      <c r="P2049" s="21">
        <f>IF(E2049&lt;=90,"90 or less",IF(E2049&lt;=105,"91-105",IF(E2049&lt;=120,"106-120",IF(E2049&lt;=140,"121-140","Over 140"))))</f>
        <v/>
      </c>
      <c r="Q2049" s="28">
        <f>INT(C2049/10)*10</f>
        <v/>
      </c>
    </row>
    <row r="2050">
      <c r="A2050" s="21" t="n">
        <v>2089</v>
      </c>
      <c r="B2050" s="21" t="inlineStr">
        <is>
          <t>Anchorman: The Legend of Ron Burgundy</t>
        </is>
      </c>
      <c r="C2050" s="21" t="n">
        <v>2004</v>
      </c>
      <c r="D2050" s="21" t="inlineStr">
        <is>
          <t>USA</t>
        </is>
      </c>
      <c r="E2050" s="21" t="n">
        <v>98</v>
      </c>
      <c r="F2050" s="21" t="inlineStr">
        <is>
          <t>English</t>
        </is>
      </c>
      <c r="G2050" s="21" t="inlineStr">
        <is>
          <t>PG-13</t>
        </is>
      </c>
      <c r="H2050" s="22" t="n">
        <v>84136909</v>
      </c>
      <c r="I2050" s="22" t="n">
        <v>26000000</v>
      </c>
      <c r="J2050" s="21">
        <f>IF(OR(H2050="",H2050=25529689.5),"Yes","No")</f>
        <v/>
      </c>
      <c r="K2050" s="21">
        <f>IF(AND(D2050="USA",C2050&gt;=1980,J2050="No"),"Yes","No")</f>
        <v/>
      </c>
      <c r="L2050" s="26">
        <f>IF(J2050="Yes","",H2050-I2050)</f>
        <v/>
      </c>
      <c r="M2050" s="27">
        <f>IF(OR(J2050="Yes",I2050=0),"",H2050/I2050)</f>
        <v/>
      </c>
      <c r="N2050" s="21">
        <f>IF(J2050="Yes","",IF(H2050&gt;=I2050,1,0))</f>
        <v/>
      </c>
      <c r="O2050" s="21">
        <f>IF(I2050&lt;=5000000,"Under $5M",IF(I2050&lt;=20000000,"$5M-20M",IF(I2050&lt;=50000000,"$20M-50M",IF(I2050&lt;=100000000,"$50M-100M","$100M+"))))</f>
        <v/>
      </c>
      <c r="P2050" s="21">
        <f>IF(E2050&lt;=90,"90 or less",IF(E2050&lt;=105,"91-105",IF(E2050&lt;=120,"106-120",IF(E2050&lt;=140,"121-140","Over 140"))))</f>
        <v/>
      </c>
      <c r="Q2050" s="28">
        <f>INT(C2050/10)*10</f>
        <v/>
      </c>
    </row>
    <row r="2051">
      <c r="A2051" s="21" t="n">
        <v>2090</v>
      </c>
      <c r="B2051" s="21" t="inlineStr">
        <is>
          <t>Around the World in 80 Days</t>
        </is>
      </c>
      <c r="C2051" s="21" t="n">
        <v>2004</v>
      </c>
      <c r="D2051" s="21" t="inlineStr">
        <is>
          <t>USA</t>
        </is>
      </c>
      <c r="E2051" s="21" t="n">
        <v>120</v>
      </c>
      <c r="F2051" s="21" t="inlineStr">
        <is>
          <t>English</t>
        </is>
      </c>
      <c r="G2051" s="21" t="inlineStr">
        <is>
          <t>PG</t>
        </is>
      </c>
      <c r="H2051" s="22" t="n">
        <v>24004159</v>
      </c>
      <c r="I2051" s="22" t="n">
        <v>110000000</v>
      </c>
      <c r="J2051" s="21">
        <f>IF(OR(H2051="",H2051=25529689.5),"Yes","No")</f>
        <v/>
      </c>
      <c r="K2051" s="21">
        <f>IF(AND(D2051="USA",C2051&gt;=1980,J2051="No"),"Yes","No")</f>
        <v/>
      </c>
      <c r="L2051" s="26">
        <f>IF(J2051="Yes","",H2051-I2051)</f>
        <v/>
      </c>
      <c r="M2051" s="27">
        <f>IF(OR(J2051="Yes",I2051=0),"",H2051/I2051)</f>
        <v/>
      </c>
      <c r="N2051" s="21">
        <f>IF(J2051="Yes","",IF(H2051&gt;=I2051,1,0))</f>
        <v/>
      </c>
      <c r="O2051" s="21">
        <f>IF(I2051&lt;=5000000,"Under $5M",IF(I2051&lt;=20000000,"$5M-20M",IF(I2051&lt;=50000000,"$20M-50M",IF(I2051&lt;=100000000,"$50M-100M","$100M+"))))</f>
        <v/>
      </c>
      <c r="P2051" s="21">
        <f>IF(E2051&lt;=90,"90 or less",IF(E2051&lt;=105,"91-105",IF(E2051&lt;=120,"106-120",IF(E2051&lt;=140,"121-140","Over 140"))))</f>
        <v/>
      </c>
      <c r="Q2051" s="28">
        <f>INT(C2051/10)*10</f>
        <v/>
      </c>
    </row>
    <row r="2052">
      <c r="A2052" s="21" t="n">
        <v>2092</v>
      </c>
      <c r="B2052" s="21" t="inlineStr">
        <is>
          <t>As It Is in Heaven</t>
        </is>
      </c>
      <c r="C2052" s="21" t="n">
        <v>2004</v>
      </c>
      <c r="D2052" s="21" t="inlineStr">
        <is>
          <t>Sweden</t>
        </is>
      </c>
      <c r="E2052" s="21" t="n">
        <v>133</v>
      </c>
      <c r="F2052" s="21" t="inlineStr">
        <is>
          <t>Swedish</t>
        </is>
      </c>
      <c r="G2052" s="21" t="n"/>
      <c r="H2052" s="22" t="n">
        <v>9910</v>
      </c>
      <c r="I2052" s="22" t="n">
        <v>25000000</v>
      </c>
      <c r="J2052" s="21">
        <f>IF(OR(H2052="",H2052=25529689.5),"Yes","No")</f>
        <v/>
      </c>
      <c r="K2052" s="21">
        <f>IF(AND(D2052="USA",C2052&gt;=1980,J2052="No"),"Yes","No")</f>
        <v/>
      </c>
      <c r="L2052" s="26">
        <f>IF(J2052="Yes","",H2052-I2052)</f>
        <v/>
      </c>
      <c r="M2052" s="27">
        <f>IF(OR(J2052="Yes",I2052=0),"",H2052/I2052)</f>
        <v/>
      </c>
      <c r="N2052" s="21">
        <f>IF(J2052="Yes","",IF(H2052&gt;=I2052,1,0))</f>
        <v/>
      </c>
      <c r="O2052" s="21">
        <f>IF(I2052&lt;=5000000,"Under $5M",IF(I2052&lt;=20000000,"$5M-20M",IF(I2052&lt;=50000000,"$20M-50M",IF(I2052&lt;=100000000,"$50M-100M","$100M+"))))</f>
        <v/>
      </c>
      <c r="P2052" s="21">
        <f>IF(E2052&lt;=90,"90 or less",IF(E2052&lt;=105,"91-105",IF(E2052&lt;=120,"106-120",IF(E2052&lt;=140,"121-140","Over 140"))))</f>
        <v/>
      </c>
      <c r="Q2052" s="28">
        <f>INT(C2052/10)*10</f>
        <v/>
      </c>
    </row>
    <row r="2053">
      <c r="A2053" s="21" t="n">
        <v>2093</v>
      </c>
      <c r="B2053" s="21" t="inlineStr">
        <is>
          <t>AVP: Alien vs. Predator</t>
        </is>
      </c>
      <c r="C2053" s="21" t="n">
        <v>2004</v>
      </c>
      <c r="D2053" s="21" t="inlineStr">
        <is>
          <t>USA</t>
        </is>
      </c>
      <c r="E2053" s="21" t="n">
        <v>109</v>
      </c>
      <c r="F2053" s="21" t="inlineStr">
        <is>
          <t>English</t>
        </is>
      </c>
      <c r="G2053" s="21" t="inlineStr">
        <is>
          <t>PG-13</t>
        </is>
      </c>
      <c r="H2053" s="22" t="n">
        <v>80281096</v>
      </c>
      <c r="I2053" s="22" t="n">
        <v>60000000</v>
      </c>
      <c r="J2053" s="21">
        <f>IF(OR(H2053="",H2053=25529689.5),"Yes","No")</f>
        <v/>
      </c>
      <c r="K2053" s="21">
        <f>IF(AND(D2053="USA",C2053&gt;=1980,J2053="No"),"Yes","No")</f>
        <v/>
      </c>
      <c r="L2053" s="26">
        <f>IF(J2053="Yes","",H2053-I2053)</f>
        <v/>
      </c>
      <c r="M2053" s="27">
        <f>IF(OR(J2053="Yes",I2053=0),"",H2053/I2053)</f>
        <v/>
      </c>
      <c r="N2053" s="21">
        <f>IF(J2053="Yes","",IF(H2053&gt;=I2053,1,0))</f>
        <v/>
      </c>
      <c r="O2053" s="21">
        <f>IF(I2053&lt;=5000000,"Under $5M",IF(I2053&lt;=20000000,"$5M-20M",IF(I2053&lt;=50000000,"$20M-50M",IF(I2053&lt;=100000000,"$50M-100M","$100M+"))))</f>
        <v/>
      </c>
      <c r="P2053" s="21">
        <f>IF(E2053&lt;=90,"90 or less",IF(E2053&lt;=105,"91-105",IF(E2053&lt;=120,"106-120",IF(E2053&lt;=140,"121-140","Over 140"))))</f>
        <v/>
      </c>
      <c r="Q2053" s="28">
        <f>INT(C2053/10)*10</f>
        <v/>
      </c>
    </row>
    <row r="2054">
      <c r="A2054" s="21" t="n">
        <v>2094</v>
      </c>
      <c r="B2054" s="21" t="inlineStr">
        <is>
          <t>Barbershop 2: Back in Business</t>
        </is>
      </c>
      <c r="C2054" s="21" t="n">
        <v>2004</v>
      </c>
      <c r="D2054" s="21" t="inlineStr">
        <is>
          <t>USA</t>
        </is>
      </c>
      <c r="E2054" s="21" t="n">
        <v>106</v>
      </c>
      <c r="F2054" s="21" t="inlineStr">
        <is>
          <t>English</t>
        </is>
      </c>
      <c r="G2054" s="21" t="inlineStr">
        <is>
          <t>PG-13</t>
        </is>
      </c>
      <c r="H2054" s="22" t="n">
        <v>64955956</v>
      </c>
      <c r="I2054" s="22" t="n">
        <v>18000000</v>
      </c>
      <c r="J2054" s="21">
        <f>IF(OR(H2054="",H2054=25529689.5),"Yes","No")</f>
        <v/>
      </c>
      <c r="K2054" s="21">
        <f>IF(AND(D2054="USA",C2054&gt;=1980,J2054="No"),"Yes","No")</f>
        <v/>
      </c>
      <c r="L2054" s="26">
        <f>IF(J2054="Yes","",H2054-I2054)</f>
        <v/>
      </c>
      <c r="M2054" s="27">
        <f>IF(OR(J2054="Yes",I2054=0),"",H2054/I2054)</f>
        <v/>
      </c>
      <c r="N2054" s="21">
        <f>IF(J2054="Yes","",IF(H2054&gt;=I2054,1,0))</f>
        <v/>
      </c>
      <c r="O2054" s="21">
        <f>IF(I2054&lt;=5000000,"Under $5M",IF(I2054&lt;=20000000,"$5M-20M",IF(I2054&lt;=50000000,"$20M-50M",IF(I2054&lt;=100000000,"$50M-100M","$100M+"))))</f>
        <v/>
      </c>
      <c r="P2054" s="21">
        <f>IF(E2054&lt;=90,"90 or less",IF(E2054&lt;=105,"91-105",IF(E2054&lt;=120,"106-120",IF(E2054&lt;=140,"121-140","Over 140"))))</f>
        <v/>
      </c>
      <c r="Q2054" s="28">
        <f>INT(C2054/10)*10</f>
        <v/>
      </c>
    </row>
    <row r="2055">
      <c r="A2055" s="21" t="n">
        <v>2095</v>
      </c>
      <c r="B2055" s="21" t="inlineStr">
        <is>
          <t>Before Sunset</t>
        </is>
      </c>
      <c r="C2055" s="21" t="n">
        <v>2004</v>
      </c>
      <c r="D2055" s="21" t="inlineStr">
        <is>
          <t>USA</t>
        </is>
      </c>
      <c r="E2055" s="21" t="n">
        <v>80</v>
      </c>
      <c r="F2055" s="21" t="inlineStr">
        <is>
          <t>English</t>
        </is>
      </c>
      <c r="G2055" s="21" t="inlineStr">
        <is>
          <t>R</t>
        </is>
      </c>
      <c r="H2055" s="22" t="n">
        <v>5792822</v>
      </c>
      <c r="I2055" s="22" t="n">
        <v>2700000</v>
      </c>
      <c r="J2055" s="21">
        <f>IF(OR(H2055="",H2055=25529689.5),"Yes","No")</f>
        <v/>
      </c>
      <c r="K2055" s="21">
        <f>IF(AND(D2055="USA",C2055&gt;=1980,J2055="No"),"Yes","No")</f>
        <v/>
      </c>
      <c r="L2055" s="26">
        <f>IF(J2055="Yes","",H2055-I2055)</f>
        <v/>
      </c>
      <c r="M2055" s="27">
        <f>IF(OR(J2055="Yes",I2055=0),"",H2055/I2055)</f>
        <v/>
      </c>
      <c r="N2055" s="21">
        <f>IF(J2055="Yes","",IF(H2055&gt;=I2055,1,0))</f>
        <v/>
      </c>
      <c r="O2055" s="21">
        <f>IF(I2055&lt;=5000000,"Under $5M",IF(I2055&lt;=20000000,"$5M-20M",IF(I2055&lt;=50000000,"$20M-50M",IF(I2055&lt;=100000000,"$50M-100M","$100M+"))))</f>
        <v/>
      </c>
      <c r="P2055" s="21">
        <f>IF(E2055&lt;=90,"90 or less",IF(E2055&lt;=105,"91-105",IF(E2055&lt;=120,"106-120",IF(E2055&lt;=140,"121-140","Over 140"))))</f>
        <v/>
      </c>
      <c r="Q2055" s="28">
        <f>INT(C2055/10)*10</f>
        <v/>
      </c>
    </row>
    <row r="2056">
      <c r="A2056" s="21" t="n">
        <v>2096</v>
      </c>
      <c r="B2056" s="21" t="inlineStr">
        <is>
          <t>Being Julia</t>
        </is>
      </c>
      <c r="C2056" s="21" t="n">
        <v>2004</v>
      </c>
      <c r="D2056" s="21" t="inlineStr">
        <is>
          <t>Canada</t>
        </is>
      </c>
      <c r="E2056" s="21" t="n">
        <v>104</v>
      </c>
      <c r="F2056" s="21" t="inlineStr">
        <is>
          <t>English</t>
        </is>
      </c>
      <c r="G2056" s="21" t="inlineStr">
        <is>
          <t>R</t>
        </is>
      </c>
      <c r="H2056" s="22" t="n">
        <v>7739049</v>
      </c>
      <c r="I2056" s="22" t="n">
        <v>18000000</v>
      </c>
      <c r="J2056" s="21">
        <f>IF(OR(H2056="",H2056=25529689.5),"Yes","No")</f>
        <v/>
      </c>
      <c r="K2056" s="21">
        <f>IF(AND(D2056="USA",C2056&gt;=1980,J2056="No"),"Yes","No")</f>
        <v/>
      </c>
      <c r="L2056" s="26">
        <f>IF(J2056="Yes","",H2056-I2056)</f>
        <v/>
      </c>
      <c r="M2056" s="27">
        <f>IF(OR(J2056="Yes",I2056=0),"",H2056/I2056)</f>
        <v/>
      </c>
      <c r="N2056" s="21">
        <f>IF(J2056="Yes","",IF(H2056&gt;=I2056,1,0))</f>
        <v/>
      </c>
      <c r="O2056" s="21">
        <f>IF(I2056&lt;=5000000,"Under $5M",IF(I2056&lt;=20000000,"$5M-20M",IF(I2056&lt;=50000000,"$20M-50M",IF(I2056&lt;=100000000,"$50M-100M","$100M+"))))</f>
        <v/>
      </c>
      <c r="P2056" s="21">
        <f>IF(E2056&lt;=90,"90 or less",IF(E2056&lt;=105,"91-105",IF(E2056&lt;=120,"106-120",IF(E2056&lt;=140,"121-140","Over 140"))))</f>
        <v/>
      </c>
      <c r="Q2056" s="28">
        <f>INT(C2056/10)*10</f>
        <v/>
      </c>
    </row>
    <row r="2057">
      <c r="A2057" s="21" t="n">
        <v>2097</v>
      </c>
      <c r="B2057" s="21" t="inlineStr">
        <is>
          <t>Beyond the Sea</t>
        </is>
      </c>
      <c r="C2057" s="21" t="n">
        <v>2004</v>
      </c>
      <c r="D2057" s="21" t="inlineStr">
        <is>
          <t>USA</t>
        </is>
      </c>
      <c r="E2057" s="21" t="n">
        <v>118</v>
      </c>
      <c r="F2057" s="21" t="inlineStr">
        <is>
          <t>English</t>
        </is>
      </c>
      <c r="G2057" s="21" t="inlineStr">
        <is>
          <t>PG-13</t>
        </is>
      </c>
      <c r="H2057" s="22" t="n">
        <v>6144806</v>
      </c>
      <c r="I2057" s="22" t="n">
        <v>23000000</v>
      </c>
      <c r="J2057" s="21">
        <f>IF(OR(H2057="",H2057=25529689.5),"Yes","No")</f>
        <v/>
      </c>
      <c r="K2057" s="21">
        <f>IF(AND(D2057="USA",C2057&gt;=1980,J2057="No"),"Yes","No")</f>
        <v/>
      </c>
      <c r="L2057" s="26">
        <f>IF(J2057="Yes","",H2057-I2057)</f>
        <v/>
      </c>
      <c r="M2057" s="27">
        <f>IF(OR(J2057="Yes",I2057=0),"",H2057/I2057)</f>
        <v/>
      </c>
      <c r="N2057" s="21">
        <f>IF(J2057="Yes","",IF(H2057&gt;=I2057,1,0))</f>
        <v/>
      </c>
      <c r="O2057" s="21">
        <f>IF(I2057&lt;=5000000,"Under $5M",IF(I2057&lt;=20000000,"$5M-20M",IF(I2057&lt;=50000000,"$20M-50M",IF(I2057&lt;=100000000,"$50M-100M","$100M+"))))</f>
        <v/>
      </c>
      <c r="P2057" s="21">
        <f>IF(E2057&lt;=90,"90 or less",IF(E2057&lt;=105,"91-105",IF(E2057&lt;=120,"106-120",IF(E2057&lt;=140,"121-140","Over 140"))))</f>
        <v/>
      </c>
      <c r="Q2057" s="28">
        <f>INT(C2057/10)*10</f>
        <v/>
      </c>
    </row>
    <row r="2058">
      <c r="A2058" s="21" t="n">
        <v>2098</v>
      </c>
      <c r="B2058" s="21" t="inlineStr">
        <is>
          <t>Birth</t>
        </is>
      </c>
      <c r="C2058" s="21" t="n">
        <v>2004</v>
      </c>
      <c r="D2058" s="21" t="inlineStr">
        <is>
          <t>USA</t>
        </is>
      </c>
      <c r="E2058" s="21" t="n">
        <v>100</v>
      </c>
      <c r="F2058" s="21" t="inlineStr">
        <is>
          <t>English</t>
        </is>
      </c>
      <c r="G2058" s="21" t="inlineStr">
        <is>
          <t>R</t>
        </is>
      </c>
      <c r="H2058" s="22" t="n">
        <v>5005883</v>
      </c>
      <c r="I2058" s="22" t="n">
        <v>20000000</v>
      </c>
      <c r="J2058" s="21">
        <f>IF(OR(H2058="",H2058=25529689.5),"Yes","No")</f>
        <v/>
      </c>
      <c r="K2058" s="21">
        <f>IF(AND(D2058="USA",C2058&gt;=1980,J2058="No"),"Yes","No")</f>
        <v/>
      </c>
      <c r="L2058" s="26">
        <f>IF(J2058="Yes","",H2058-I2058)</f>
        <v/>
      </c>
      <c r="M2058" s="27">
        <f>IF(OR(J2058="Yes",I2058=0),"",H2058/I2058)</f>
        <v/>
      </c>
      <c r="N2058" s="21">
        <f>IF(J2058="Yes","",IF(H2058&gt;=I2058,1,0))</f>
        <v/>
      </c>
      <c r="O2058" s="21">
        <f>IF(I2058&lt;=5000000,"Under $5M",IF(I2058&lt;=20000000,"$5M-20M",IF(I2058&lt;=50000000,"$20M-50M",IF(I2058&lt;=100000000,"$50M-100M","$100M+"))))</f>
        <v/>
      </c>
      <c r="P2058" s="21">
        <f>IF(E2058&lt;=90,"90 or less",IF(E2058&lt;=105,"91-105",IF(E2058&lt;=120,"106-120",IF(E2058&lt;=140,"121-140","Over 140"))))</f>
        <v/>
      </c>
      <c r="Q2058" s="28">
        <f>INT(C2058/10)*10</f>
        <v/>
      </c>
    </row>
    <row r="2059">
      <c r="A2059" s="21" t="n">
        <v>2099</v>
      </c>
      <c r="B2059" s="21" t="inlineStr">
        <is>
          <t>Blade: Trinity</t>
        </is>
      </c>
      <c r="C2059" s="21" t="n">
        <v>2004</v>
      </c>
      <c r="D2059" s="21" t="inlineStr">
        <is>
          <t>USA</t>
        </is>
      </c>
      <c r="E2059" s="21" t="n">
        <v>122</v>
      </c>
      <c r="F2059" s="21" t="inlineStr">
        <is>
          <t>English</t>
        </is>
      </c>
      <c r="G2059" s="21" t="inlineStr">
        <is>
          <t>R</t>
        </is>
      </c>
      <c r="H2059" s="22" t="n">
        <v>52397389</v>
      </c>
      <c r="I2059" s="22" t="n">
        <v>65000000</v>
      </c>
      <c r="J2059" s="21">
        <f>IF(OR(H2059="",H2059=25529689.5),"Yes","No")</f>
        <v/>
      </c>
      <c r="K2059" s="21">
        <f>IF(AND(D2059="USA",C2059&gt;=1980,J2059="No"),"Yes","No")</f>
        <v/>
      </c>
      <c r="L2059" s="26">
        <f>IF(J2059="Yes","",H2059-I2059)</f>
        <v/>
      </c>
      <c r="M2059" s="27">
        <f>IF(OR(J2059="Yes",I2059=0),"",H2059/I2059)</f>
        <v/>
      </c>
      <c r="N2059" s="21">
        <f>IF(J2059="Yes","",IF(H2059&gt;=I2059,1,0))</f>
        <v/>
      </c>
      <c r="O2059" s="21">
        <f>IF(I2059&lt;=5000000,"Under $5M",IF(I2059&lt;=20000000,"$5M-20M",IF(I2059&lt;=50000000,"$20M-50M",IF(I2059&lt;=100000000,"$50M-100M","$100M+"))))</f>
        <v/>
      </c>
      <c r="P2059" s="21">
        <f>IF(E2059&lt;=90,"90 or less",IF(E2059&lt;=105,"91-105",IF(E2059&lt;=120,"106-120",IF(E2059&lt;=140,"121-140","Over 140"))))</f>
        <v/>
      </c>
      <c r="Q2059" s="28">
        <f>INT(C2059/10)*10</f>
        <v/>
      </c>
    </row>
    <row r="2060">
      <c r="A2060" s="21" t="n">
        <v>2100</v>
      </c>
      <c r="B2060" s="21" t="inlineStr">
        <is>
          <t>Bobby Jones: Stroke of Genius</t>
        </is>
      </c>
      <c r="C2060" s="21" t="n">
        <v>2004</v>
      </c>
      <c r="D2060" s="21" t="inlineStr">
        <is>
          <t>USA</t>
        </is>
      </c>
      <c r="E2060" s="21" t="n">
        <v>128</v>
      </c>
      <c r="F2060" s="21" t="inlineStr">
        <is>
          <t>English</t>
        </is>
      </c>
      <c r="G2060" s="21" t="inlineStr">
        <is>
          <t>PG</t>
        </is>
      </c>
      <c r="H2060" s="22" t="n">
        <v>2694071</v>
      </c>
      <c r="I2060" s="22" t="n">
        <v>20000000</v>
      </c>
      <c r="J2060" s="21">
        <f>IF(OR(H2060="",H2060=25529689.5),"Yes","No")</f>
        <v/>
      </c>
      <c r="K2060" s="21">
        <f>IF(AND(D2060="USA",C2060&gt;=1980,J2060="No"),"Yes","No")</f>
        <v/>
      </c>
      <c r="L2060" s="26">
        <f>IF(J2060="Yes","",H2060-I2060)</f>
        <v/>
      </c>
      <c r="M2060" s="27">
        <f>IF(OR(J2060="Yes",I2060=0),"",H2060/I2060)</f>
        <v/>
      </c>
      <c r="N2060" s="21">
        <f>IF(J2060="Yes","",IF(H2060&gt;=I2060,1,0))</f>
        <v/>
      </c>
      <c r="O2060" s="21">
        <f>IF(I2060&lt;=5000000,"Under $5M",IF(I2060&lt;=20000000,"$5M-20M",IF(I2060&lt;=50000000,"$20M-50M",IF(I2060&lt;=100000000,"$50M-100M","$100M+"))))</f>
        <v/>
      </c>
      <c r="P2060" s="21">
        <f>IF(E2060&lt;=90,"90 or less",IF(E2060&lt;=105,"91-105",IF(E2060&lt;=120,"106-120",IF(E2060&lt;=140,"121-140","Over 140"))))</f>
        <v/>
      </c>
      <c r="Q2060" s="28">
        <f>INT(C2060/10)*10</f>
        <v/>
      </c>
    </row>
    <row r="2061">
      <c r="A2061" s="21" t="n">
        <v>2101</v>
      </c>
      <c r="B2061" s="21" t="inlineStr">
        <is>
          <t>Brave New Girl</t>
        </is>
      </c>
      <c r="C2061" s="21" t="n">
        <v>2004</v>
      </c>
      <c r="D2061" s="21" t="inlineStr">
        <is>
          <t>USA</t>
        </is>
      </c>
      <c r="E2061" s="21" t="n">
        <v>120</v>
      </c>
      <c r="F2061" s="21" t="inlineStr">
        <is>
          <t>English</t>
        </is>
      </c>
      <c r="G2061" s="21" t="inlineStr">
        <is>
          <t>PG-13</t>
        </is>
      </c>
      <c r="H2061" s="22" t="n">
        <v>25529689.5</v>
      </c>
      <c r="I2061" s="22" t="n">
        <v>20000000</v>
      </c>
      <c r="J2061" s="21">
        <f>IF(OR(H2061="",H2061=25529689.5),"Yes","No")</f>
        <v/>
      </c>
      <c r="K2061" s="21">
        <f>IF(AND(D2061="USA",C2061&gt;=1980,J2061="No"),"Yes","No")</f>
        <v/>
      </c>
      <c r="L2061" s="26">
        <f>IF(J2061="Yes","",H2061-I2061)</f>
        <v/>
      </c>
      <c r="M2061" s="27">
        <f>IF(OR(J2061="Yes",I2061=0),"",H2061/I2061)</f>
        <v/>
      </c>
      <c r="N2061" s="21">
        <f>IF(J2061="Yes","",IF(H2061&gt;=I2061,1,0))</f>
        <v/>
      </c>
      <c r="O2061" s="21">
        <f>IF(I2061&lt;=5000000,"Under $5M",IF(I2061&lt;=20000000,"$5M-20M",IF(I2061&lt;=50000000,"$20M-50M",IF(I2061&lt;=100000000,"$50M-100M","$100M+"))))</f>
        <v/>
      </c>
      <c r="P2061" s="21">
        <f>IF(E2061&lt;=90,"90 or less",IF(E2061&lt;=105,"91-105",IF(E2061&lt;=120,"106-120",IF(E2061&lt;=140,"121-140","Over 140"))))</f>
        <v/>
      </c>
      <c r="Q2061" s="28">
        <f>INT(C2061/10)*10</f>
        <v/>
      </c>
    </row>
    <row r="2062">
      <c r="A2062" s="21" t="n">
        <v>2102</v>
      </c>
      <c r="B2062" s="21" t="inlineStr">
        <is>
          <t>Breakin' All the Rules</t>
        </is>
      </c>
      <c r="C2062" s="21" t="n">
        <v>2004</v>
      </c>
      <c r="D2062" s="21" t="inlineStr">
        <is>
          <t>USA</t>
        </is>
      </c>
      <c r="E2062" s="21" t="n">
        <v>85</v>
      </c>
      <c r="F2062" s="21" t="inlineStr">
        <is>
          <t>English</t>
        </is>
      </c>
      <c r="G2062" s="21" t="inlineStr">
        <is>
          <t>PG-13</t>
        </is>
      </c>
      <c r="H2062" s="22" t="n">
        <v>11827301</v>
      </c>
      <c r="I2062" s="22" t="n">
        <v>20000000</v>
      </c>
      <c r="J2062" s="21">
        <f>IF(OR(H2062="",H2062=25529689.5),"Yes","No")</f>
        <v/>
      </c>
      <c r="K2062" s="21">
        <f>IF(AND(D2062="USA",C2062&gt;=1980,J2062="No"),"Yes","No")</f>
        <v/>
      </c>
      <c r="L2062" s="26">
        <f>IF(J2062="Yes","",H2062-I2062)</f>
        <v/>
      </c>
      <c r="M2062" s="27">
        <f>IF(OR(J2062="Yes",I2062=0),"",H2062/I2062)</f>
        <v/>
      </c>
      <c r="N2062" s="21">
        <f>IF(J2062="Yes","",IF(H2062&gt;=I2062,1,0))</f>
        <v/>
      </c>
      <c r="O2062" s="21">
        <f>IF(I2062&lt;=5000000,"Under $5M",IF(I2062&lt;=20000000,"$5M-20M",IF(I2062&lt;=50000000,"$20M-50M",IF(I2062&lt;=100000000,"$50M-100M","$100M+"))))</f>
        <v/>
      </c>
      <c r="P2062" s="21">
        <f>IF(E2062&lt;=90,"90 or less",IF(E2062&lt;=105,"91-105",IF(E2062&lt;=120,"106-120",IF(E2062&lt;=140,"121-140","Over 140"))))</f>
        <v/>
      </c>
      <c r="Q2062" s="28">
        <f>INT(C2062/10)*10</f>
        <v/>
      </c>
    </row>
    <row r="2063">
      <c r="A2063" s="21" t="n">
        <v>2103</v>
      </c>
      <c r="B2063" s="21" t="inlineStr">
        <is>
          <t>Bride &amp; Prejudice</t>
        </is>
      </c>
      <c r="C2063" s="21" t="n">
        <v>2004</v>
      </c>
      <c r="D2063" s="21" t="inlineStr">
        <is>
          <t>UK</t>
        </is>
      </c>
      <c r="E2063" s="21" t="n">
        <v>122</v>
      </c>
      <c r="F2063" s="21" t="inlineStr">
        <is>
          <t>English</t>
        </is>
      </c>
      <c r="G2063" s="21" t="inlineStr">
        <is>
          <t>PG-13</t>
        </is>
      </c>
      <c r="H2063" s="22" t="n">
        <v>6601079</v>
      </c>
      <c r="I2063" s="22" t="n">
        <v>7000000</v>
      </c>
      <c r="J2063" s="21">
        <f>IF(OR(H2063="",H2063=25529689.5),"Yes","No")</f>
        <v/>
      </c>
      <c r="K2063" s="21">
        <f>IF(AND(D2063="USA",C2063&gt;=1980,J2063="No"),"Yes","No")</f>
        <v/>
      </c>
      <c r="L2063" s="26">
        <f>IF(J2063="Yes","",H2063-I2063)</f>
        <v/>
      </c>
      <c r="M2063" s="27">
        <f>IF(OR(J2063="Yes",I2063=0),"",H2063/I2063)</f>
        <v/>
      </c>
      <c r="N2063" s="21">
        <f>IF(J2063="Yes","",IF(H2063&gt;=I2063,1,0))</f>
        <v/>
      </c>
      <c r="O2063" s="21">
        <f>IF(I2063&lt;=5000000,"Under $5M",IF(I2063&lt;=20000000,"$5M-20M",IF(I2063&lt;=50000000,"$20M-50M",IF(I2063&lt;=100000000,"$50M-100M","$100M+"))))</f>
        <v/>
      </c>
      <c r="P2063" s="21">
        <f>IF(E2063&lt;=90,"90 or less",IF(E2063&lt;=105,"91-105",IF(E2063&lt;=120,"106-120",IF(E2063&lt;=140,"121-140","Over 140"))))</f>
        <v/>
      </c>
      <c r="Q2063" s="28">
        <f>INT(C2063/10)*10</f>
        <v/>
      </c>
    </row>
    <row r="2064">
      <c r="A2064" s="21" t="n">
        <v>2104</v>
      </c>
      <c r="B2064" s="21" t="inlineStr">
        <is>
          <t>Bridget Jones: The Edge of Reason</t>
        </is>
      </c>
      <c r="C2064" s="21" t="n">
        <v>2004</v>
      </c>
      <c r="D2064" s="21" t="inlineStr">
        <is>
          <t>UK</t>
        </is>
      </c>
      <c r="E2064" s="21" t="n">
        <v>108</v>
      </c>
      <c r="F2064" s="21" t="inlineStr">
        <is>
          <t>English</t>
        </is>
      </c>
      <c r="G2064" s="21" t="inlineStr">
        <is>
          <t>R</t>
        </is>
      </c>
      <c r="H2064" s="22" t="n">
        <v>40203020</v>
      </c>
      <c r="I2064" s="22" t="n">
        <v>40000000</v>
      </c>
      <c r="J2064" s="21">
        <f>IF(OR(H2064="",H2064=25529689.5),"Yes","No")</f>
        <v/>
      </c>
      <c r="K2064" s="21">
        <f>IF(AND(D2064="USA",C2064&gt;=1980,J2064="No"),"Yes","No")</f>
        <v/>
      </c>
      <c r="L2064" s="26">
        <f>IF(J2064="Yes","",H2064-I2064)</f>
        <v/>
      </c>
      <c r="M2064" s="27">
        <f>IF(OR(J2064="Yes",I2064=0),"",H2064/I2064)</f>
        <v/>
      </c>
      <c r="N2064" s="21">
        <f>IF(J2064="Yes","",IF(H2064&gt;=I2064,1,0))</f>
        <v/>
      </c>
      <c r="O2064" s="21">
        <f>IF(I2064&lt;=5000000,"Under $5M",IF(I2064&lt;=20000000,"$5M-20M",IF(I2064&lt;=50000000,"$20M-50M",IF(I2064&lt;=100000000,"$50M-100M","$100M+"))))</f>
        <v/>
      </c>
      <c r="P2064" s="21">
        <f>IF(E2064&lt;=90,"90 or less",IF(E2064&lt;=105,"91-105",IF(E2064&lt;=120,"106-120",IF(E2064&lt;=140,"121-140","Over 140"))))</f>
        <v/>
      </c>
      <c r="Q2064" s="28">
        <f>INT(C2064/10)*10</f>
        <v/>
      </c>
    </row>
    <row r="2065">
      <c r="A2065" s="21" t="n">
        <v>2105</v>
      </c>
      <c r="B2065" s="21" t="inlineStr">
        <is>
          <t>Catch That Kid</t>
        </is>
      </c>
      <c r="C2065" s="21" t="n">
        <v>2004</v>
      </c>
      <c r="D2065" s="21" t="inlineStr">
        <is>
          <t>USA</t>
        </is>
      </c>
      <c r="E2065" s="21" t="n">
        <v>91</v>
      </c>
      <c r="F2065" s="21" t="inlineStr">
        <is>
          <t>English</t>
        </is>
      </c>
      <c r="G2065" s="21" t="inlineStr">
        <is>
          <t>PG</t>
        </is>
      </c>
      <c r="H2065" s="22" t="n">
        <v>16702864</v>
      </c>
      <c r="I2065" s="22" t="n">
        <v>18000000</v>
      </c>
      <c r="J2065" s="21">
        <f>IF(OR(H2065="",H2065=25529689.5),"Yes","No")</f>
        <v/>
      </c>
      <c r="K2065" s="21">
        <f>IF(AND(D2065="USA",C2065&gt;=1980,J2065="No"),"Yes","No")</f>
        <v/>
      </c>
      <c r="L2065" s="26">
        <f>IF(J2065="Yes","",H2065-I2065)</f>
        <v/>
      </c>
      <c r="M2065" s="27">
        <f>IF(OR(J2065="Yes",I2065=0),"",H2065/I2065)</f>
        <v/>
      </c>
      <c r="N2065" s="21">
        <f>IF(J2065="Yes","",IF(H2065&gt;=I2065,1,0))</f>
        <v/>
      </c>
      <c r="O2065" s="21">
        <f>IF(I2065&lt;=5000000,"Under $5M",IF(I2065&lt;=20000000,"$5M-20M",IF(I2065&lt;=50000000,"$20M-50M",IF(I2065&lt;=100000000,"$50M-100M","$100M+"))))</f>
        <v/>
      </c>
      <c r="P2065" s="21">
        <f>IF(E2065&lt;=90,"90 or less",IF(E2065&lt;=105,"91-105",IF(E2065&lt;=120,"106-120",IF(E2065&lt;=140,"121-140","Over 140"))))</f>
        <v/>
      </c>
      <c r="Q2065" s="28">
        <f>INT(C2065/10)*10</f>
        <v/>
      </c>
    </row>
    <row r="2066">
      <c r="A2066" s="21" t="n">
        <v>2106</v>
      </c>
      <c r="B2066" s="21" t="inlineStr">
        <is>
          <t>Catwoman</t>
        </is>
      </c>
      <c r="C2066" s="21" t="n">
        <v>2004</v>
      </c>
      <c r="D2066" s="21" t="inlineStr">
        <is>
          <t>USA</t>
        </is>
      </c>
      <c r="E2066" s="21" t="n">
        <v>87</v>
      </c>
      <c r="F2066" s="21" t="inlineStr">
        <is>
          <t>English</t>
        </is>
      </c>
      <c r="G2066" s="21" t="inlineStr">
        <is>
          <t>PG-13</t>
        </is>
      </c>
      <c r="H2066" s="22" t="n">
        <v>40198710</v>
      </c>
      <c r="I2066" s="22" t="n">
        <v>100000000</v>
      </c>
      <c r="J2066" s="21">
        <f>IF(OR(H2066="",H2066=25529689.5),"Yes","No")</f>
        <v/>
      </c>
      <c r="K2066" s="21">
        <f>IF(AND(D2066="USA",C2066&gt;=1980,J2066="No"),"Yes","No")</f>
        <v/>
      </c>
      <c r="L2066" s="26">
        <f>IF(J2066="Yes","",H2066-I2066)</f>
        <v/>
      </c>
      <c r="M2066" s="27">
        <f>IF(OR(J2066="Yes",I2066=0),"",H2066/I2066)</f>
        <v/>
      </c>
      <c r="N2066" s="21">
        <f>IF(J2066="Yes","",IF(H2066&gt;=I2066,1,0))</f>
        <v/>
      </c>
      <c r="O2066" s="21">
        <f>IF(I2066&lt;=5000000,"Under $5M",IF(I2066&lt;=20000000,"$5M-20M",IF(I2066&lt;=50000000,"$20M-50M",IF(I2066&lt;=100000000,"$50M-100M","$100M+"))))</f>
        <v/>
      </c>
      <c r="P2066" s="21">
        <f>IF(E2066&lt;=90,"90 or less",IF(E2066&lt;=105,"91-105",IF(E2066&lt;=120,"106-120",IF(E2066&lt;=140,"121-140","Over 140"))))</f>
        <v/>
      </c>
      <c r="Q2066" s="28">
        <f>INT(C2066/10)*10</f>
        <v/>
      </c>
    </row>
    <row r="2067">
      <c r="A2067" s="21" t="n">
        <v>2107</v>
      </c>
      <c r="B2067" s="21" t="inlineStr">
        <is>
          <t>Cellular</t>
        </is>
      </c>
      <c r="C2067" s="21" t="n">
        <v>2004</v>
      </c>
      <c r="D2067" s="21" t="inlineStr">
        <is>
          <t>USA</t>
        </is>
      </c>
      <c r="E2067" s="21" t="n">
        <v>94</v>
      </c>
      <c r="F2067" s="21" t="inlineStr">
        <is>
          <t>English</t>
        </is>
      </c>
      <c r="G2067" s="21" t="inlineStr">
        <is>
          <t>PG-13</t>
        </is>
      </c>
      <c r="H2067" s="22" t="n">
        <v>32003620</v>
      </c>
      <c r="I2067" s="22" t="n">
        <v>25000000</v>
      </c>
      <c r="J2067" s="21">
        <f>IF(OR(H2067="",H2067=25529689.5),"Yes","No")</f>
        <v/>
      </c>
      <c r="K2067" s="21">
        <f>IF(AND(D2067="USA",C2067&gt;=1980,J2067="No"),"Yes","No")</f>
        <v/>
      </c>
      <c r="L2067" s="26">
        <f>IF(J2067="Yes","",H2067-I2067)</f>
        <v/>
      </c>
      <c r="M2067" s="27">
        <f>IF(OR(J2067="Yes",I2067=0),"",H2067/I2067)</f>
        <v/>
      </c>
      <c r="N2067" s="21">
        <f>IF(J2067="Yes","",IF(H2067&gt;=I2067,1,0))</f>
        <v/>
      </c>
      <c r="O2067" s="21">
        <f>IF(I2067&lt;=5000000,"Under $5M",IF(I2067&lt;=20000000,"$5M-20M",IF(I2067&lt;=50000000,"$20M-50M",IF(I2067&lt;=100000000,"$50M-100M","$100M+"))))</f>
        <v/>
      </c>
      <c r="P2067" s="21">
        <f>IF(E2067&lt;=90,"90 or less",IF(E2067&lt;=105,"91-105",IF(E2067&lt;=120,"106-120",IF(E2067&lt;=140,"121-140","Over 140"))))</f>
        <v/>
      </c>
      <c r="Q2067" s="28">
        <f>INT(C2067/10)*10</f>
        <v/>
      </c>
    </row>
    <row r="2068">
      <c r="A2068" s="21" t="n">
        <v>2108</v>
      </c>
      <c r="B2068" s="21" t="inlineStr">
        <is>
          <t>Chasing Liberty</t>
        </is>
      </c>
      <c r="C2068" s="21" t="n">
        <v>2004</v>
      </c>
      <c r="D2068" s="21" t="inlineStr">
        <is>
          <t>USA</t>
        </is>
      </c>
      <c r="E2068" s="21" t="n">
        <v>101</v>
      </c>
      <c r="F2068" s="21" t="inlineStr">
        <is>
          <t>English</t>
        </is>
      </c>
      <c r="G2068" s="21" t="inlineStr">
        <is>
          <t>PG-13</t>
        </is>
      </c>
      <c r="H2068" s="22" t="n">
        <v>12189514</v>
      </c>
      <c r="I2068" s="22" t="n">
        <v>23000000</v>
      </c>
      <c r="J2068" s="21">
        <f>IF(OR(H2068="",H2068=25529689.5),"Yes","No")</f>
        <v/>
      </c>
      <c r="K2068" s="21">
        <f>IF(AND(D2068="USA",C2068&gt;=1980,J2068="No"),"Yes","No")</f>
        <v/>
      </c>
      <c r="L2068" s="26">
        <f>IF(J2068="Yes","",H2068-I2068)</f>
        <v/>
      </c>
      <c r="M2068" s="27">
        <f>IF(OR(J2068="Yes",I2068=0),"",H2068/I2068)</f>
        <v/>
      </c>
      <c r="N2068" s="21">
        <f>IF(J2068="Yes","",IF(H2068&gt;=I2068,1,0))</f>
        <v/>
      </c>
      <c r="O2068" s="21">
        <f>IF(I2068&lt;=5000000,"Under $5M",IF(I2068&lt;=20000000,"$5M-20M",IF(I2068&lt;=50000000,"$20M-50M",IF(I2068&lt;=100000000,"$50M-100M","$100M+"))))</f>
        <v/>
      </c>
      <c r="P2068" s="21">
        <f>IF(E2068&lt;=90,"90 or less",IF(E2068&lt;=105,"91-105",IF(E2068&lt;=120,"106-120",IF(E2068&lt;=140,"121-140","Over 140"))))</f>
        <v/>
      </c>
      <c r="Q2068" s="28">
        <f>INT(C2068/10)*10</f>
        <v/>
      </c>
    </row>
    <row r="2069">
      <c r="A2069" s="21" t="n">
        <v>2110</v>
      </c>
      <c r="B2069" s="21" t="inlineStr">
        <is>
          <t>Christmas with the Kranks</t>
        </is>
      </c>
      <c r="C2069" s="21" t="n">
        <v>2004</v>
      </c>
      <c r="D2069" s="21" t="inlineStr">
        <is>
          <t>USA</t>
        </is>
      </c>
      <c r="E2069" s="21" t="n">
        <v>99</v>
      </c>
      <c r="F2069" s="21" t="inlineStr">
        <is>
          <t>English</t>
        </is>
      </c>
      <c r="G2069" s="21" t="inlineStr">
        <is>
          <t>PG</t>
        </is>
      </c>
      <c r="H2069" s="22" t="n">
        <v>73701902</v>
      </c>
      <c r="I2069" s="22" t="n">
        <v>60000000</v>
      </c>
      <c r="J2069" s="21">
        <f>IF(OR(H2069="",H2069=25529689.5),"Yes","No")</f>
        <v/>
      </c>
      <c r="K2069" s="21">
        <f>IF(AND(D2069="USA",C2069&gt;=1980,J2069="No"),"Yes","No")</f>
        <v/>
      </c>
      <c r="L2069" s="26">
        <f>IF(J2069="Yes","",H2069-I2069)</f>
        <v/>
      </c>
      <c r="M2069" s="27">
        <f>IF(OR(J2069="Yes",I2069=0),"",H2069/I2069)</f>
        <v/>
      </c>
      <c r="N2069" s="21">
        <f>IF(J2069="Yes","",IF(H2069&gt;=I2069,1,0))</f>
        <v/>
      </c>
      <c r="O2069" s="21">
        <f>IF(I2069&lt;=5000000,"Under $5M",IF(I2069&lt;=20000000,"$5M-20M",IF(I2069&lt;=50000000,"$20M-50M",IF(I2069&lt;=100000000,"$50M-100M","$100M+"))))</f>
        <v/>
      </c>
      <c r="P2069" s="21">
        <f>IF(E2069&lt;=90,"90 or less",IF(E2069&lt;=105,"91-105",IF(E2069&lt;=120,"106-120",IF(E2069&lt;=140,"121-140","Over 140"))))</f>
        <v/>
      </c>
      <c r="Q2069" s="28">
        <f>INT(C2069/10)*10</f>
        <v/>
      </c>
    </row>
    <row r="2070">
      <c r="A2070" s="21" t="n">
        <v>2111</v>
      </c>
      <c r="B2070" s="21" t="inlineStr">
        <is>
          <t>Clean</t>
        </is>
      </c>
      <c r="C2070" s="21" t="n">
        <v>2004</v>
      </c>
      <c r="D2070" s="21" t="inlineStr">
        <is>
          <t>France</t>
        </is>
      </c>
      <c r="E2070" s="21" t="n">
        <v>110</v>
      </c>
      <c r="F2070" s="21" t="inlineStr">
        <is>
          <t>French</t>
        </is>
      </c>
      <c r="G2070" s="21" t="inlineStr">
        <is>
          <t>R</t>
        </is>
      </c>
      <c r="H2070" s="22" t="n">
        <v>136007</v>
      </c>
      <c r="I2070" s="22" t="n">
        <v>4500</v>
      </c>
      <c r="J2070" s="21">
        <f>IF(OR(H2070="",H2070=25529689.5),"Yes","No")</f>
        <v/>
      </c>
      <c r="K2070" s="21">
        <f>IF(AND(D2070="USA",C2070&gt;=1980,J2070="No"),"Yes","No")</f>
        <v/>
      </c>
      <c r="L2070" s="26">
        <f>IF(J2070="Yes","",H2070-I2070)</f>
        <v/>
      </c>
      <c r="M2070" s="27">
        <f>IF(OR(J2070="Yes",I2070=0),"",H2070/I2070)</f>
        <v/>
      </c>
      <c r="N2070" s="21">
        <f>IF(J2070="Yes","",IF(H2070&gt;=I2070,1,0))</f>
        <v/>
      </c>
      <c r="O2070" s="21">
        <f>IF(I2070&lt;=5000000,"Under $5M",IF(I2070&lt;=20000000,"$5M-20M",IF(I2070&lt;=50000000,"$20M-50M",IF(I2070&lt;=100000000,"$50M-100M","$100M+"))))</f>
        <v/>
      </c>
      <c r="P2070" s="21">
        <f>IF(E2070&lt;=90,"90 or less",IF(E2070&lt;=105,"91-105",IF(E2070&lt;=120,"106-120",IF(E2070&lt;=140,"121-140","Over 140"))))</f>
        <v/>
      </c>
      <c r="Q2070" s="28">
        <f>INT(C2070/10)*10</f>
        <v/>
      </c>
    </row>
    <row r="2071">
      <c r="A2071" s="21" t="n">
        <v>2112</v>
      </c>
      <c r="B2071" s="21" t="inlineStr">
        <is>
          <t>Closer</t>
        </is>
      </c>
      <c r="C2071" s="21" t="n">
        <v>2004</v>
      </c>
      <c r="D2071" s="21" t="inlineStr">
        <is>
          <t>USA</t>
        </is>
      </c>
      <c r="E2071" s="21" t="n">
        <v>98</v>
      </c>
      <c r="F2071" s="21" t="inlineStr">
        <is>
          <t>English</t>
        </is>
      </c>
      <c r="G2071" s="21" t="inlineStr">
        <is>
          <t>R</t>
        </is>
      </c>
      <c r="H2071" s="22" t="n">
        <v>33987757</v>
      </c>
      <c r="I2071" s="22" t="n">
        <v>27000000</v>
      </c>
      <c r="J2071" s="21">
        <f>IF(OR(H2071="",H2071=25529689.5),"Yes","No")</f>
        <v/>
      </c>
      <c r="K2071" s="21">
        <f>IF(AND(D2071="USA",C2071&gt;=1980,J2071="No"),"Yes","No")</f>
        <v/>
      </c>
      <c r="L2071" s="26">
        <f>IF(J2071="Yes","",H2071-I2071)</f>
        <v/>
      </c>
      <c r="M2071" s="27">
        <f>IF(OR(J2071="Yes",I2071=0),"",H2071/I2071)</f>
        <v/>
      </c>
      <c r="N2071" s="21">
        <f>IF(J2071="Yes","",IF(H2071&gt;=I2071,1,0))</f>
        <v/>
      </c>
      <c r="O2071" s="21">
        <f>IF(I2071&lt;=5000000,"Under $5M",IF(I2071&lt;=20000000,"$5M-20M",IF(I2071&lt;=50000000,"$20M-50M",IF(I2071&lt;=100000000,"$50M-100M","$100M+"))))</f>
        <v/>
      </c>
      <c r="P2071" s="21">
        <f>IF(E2071&lt;=90,"90 or less",IF(E2071&lt;=105,"91-105",IF(E2071&lt;=120,"106-120",IF(E2071&lt;=140,"121-140","Over 140"))))</f>
        <v/>
      </c>
      <c r="Q2071" s="28">
        <f>INT(C2071/10)*10</f>
        <v/>
      </c>
    </row>
    <row r="2072">
      <c r="A2072" s="21" t="n">
        <v>2113</v>
      </c>
      <c r="B2072" s="21" t="inlineStr">
        <is>
          <t>Club Dread</t>
        </is>
      </c>
      <c r="C2072" s="21" t="n">
        <v>2004</v>
      </c>
      <c r="D2072" s="21" t="inlineStr">
        <is>
          <t>USA</t>
        </is>
      </c>
      <c r="E2072" s="21" t="n">
        <v>119</v>
      </c>
      <c r="F2072" s="21" t="inlineStr">
        <is>
          <t>English</t>
        </is>
      </c>
      <c r="G2072" s="21" t="inlineStr">
        <is>
          <t>R</t>
        </is>
      </c>
      <c r="H2072" s="22" t="n">
        <v>4992159</v>
      </c>
      <c r="I2072" s="22" t="n">
        <v>8550000</v>
      </c>
      <c r="J2072" s="21">
        <f>IF(OR(H2072="",H2072=25529689.5),"Yes","No")</f>
        <v/>
      </c>
      <c r="K2072" s="21">
        <f>IF(AND(D2072="USA",C2072&gt;=1980,J2072="No"),"Yes","No")</f>
        <v/>
      </c>
      <c r="L2072" s="26">
        <f>IF(J2072="Yes","",H2072-I2072)</f>
        <v/>
      </c>
      <c r="M2072" s="27">
        <f>IF(OR(J2072="Yes",I2072=0),"",H2072/I2072)</f>
        <v/>
      </c>
      <c r="N2072" s="21">
        <f>IF(J2072="Yes","",IF(H2072&gt;=I2072,1,0))</f>
        <v/>
      </c>
      <c r="O2072" s="21">
        <f>IF(I2072&lt;=5000000,"Under $5M",IF(I2072&lt;=20000000,"$5M-20M",IF(I2072&lt;=50000000,"$20M-50M",IF(I2072&lt;=100000000,"$50M-100M","$100M+"))))</f>
        <v/>
      </c>
      <c r="P2072" s="21">
        <f>IF(E2072&lt;=90,"90 or less",IF(E2072&lt;=105,"91-105",IF(E2072&lt;=120,"106-120",IF(E2072&lt;=140,"121-140","Over 140"))))</f>
        <v/>
      </c>
      <c r="Q2072" s="28">
        <f>INT(C2072/10)*10</f>
        <v/>
      </c>
    </row>
    <row r="2073">
      <c r="A2073" s="21" t="n">
        <v>2114</v>
      </c>
      <c r="B2073" s="21" t="inlineStr">
        <is>
          <t>Collateral</t>
        </is>
      </c>
      <c r="C2073" s="21" t="n">
        <v>2004</v>
      </c>
      <c r="D2073" s="21" t="inlineStr">
        <is>
          <t>USA</t>
        </is>
      </c>
      <c r="E2073" s="21" t="n">
        <v>120</v>
      </c>
      <c r="F2073" s="21" t="inlineStr">
        <is>
          <t>English</t>
        </is>
      </c>
      <c r="G2073" s="21" t="inlineStr">
        <is>
          <t>R</t>
        </is>
      </c>
      <c r="H2073" s="22" t="n">
        <v>100003492</v>
      </c>
      <c r="I2073" s="22" t="n">
        <v>65000000</v>
      </c>
      <c r="J2073" s="21">
        <f>IF(OR(H2073="",H2073=25529689.5),"Yes","No")</f>
        <v/>
      </c>
      <c r="K2073" s="21">
        <f>IF(AND(D2073="USA",C2073&gt;=1980,J2073="No"),"Yes","No")</f>
        <v/>
      </c>
      <c r="L2073" s="26">
        <f>IF(J2073="Yes","",H2073-I2073)</f>
        <v/>
      </c>
      <c r="M2073" s="27">
        <f>IF(OR(J2073="Yes",I2073=0),"",H2073/I2073)</f>
        <v/>
      </c>
      <c r="N2073" s="21">
        <f>IF(J2073="Yes","",IF(H2073&gt;=I2073,1,0))</f>
        <v/>
      </c>
      <c r="O2073" s="21">
        <f>IF(I2073&lt;=5000000,"Under $5M",IF(I2073&lt;=20000000,"$5M-20M",IF(I2073&lt;=50000000,"$20M-50M",IF(I2073&lt;=100000000,"$50M-100M","$100M+"))))</f>
        <v/>
      </c>
      <c r="P2073" s="21">
        <f>IF(E2073&lt;=90,"90 or less",IF(E2073&lt;=105,"91-105",IF(E2073&lt;=120,"106-120",IF(E2073&lt;=140,"121-140","Over 140"))))</f>
        <v/>
      </c>
      <c r="Q2073" s="28">
        <f>INT(C2073/10)*10</f>
        <v/>
      </c>
    </row>
    <row r="2074">
      <c r="A2074" s="21" t="n">
        <v>2115</v>
      </c>
      <c r="B2074" s="21" t="inlineStr">
        <is>
          <t>Confessions of a Teenage Drama Queen</t>
        </is>
      </c>
      <c r="C2074" s="21" t="n">
        <v>2004</v>
      </c>
      <c r="D2074" s="21" t="inlineStr">
        <is>
          <t>Germany</t>
        </is>
      </c>
      <c r="E2074" s="21" t="n">
        <v>89</v>
      </c>
      <c r="F2074" s="21" t="inlineStr">
        <is>
          <t>English</t>
        </is>
      </c>
      <c r="G2074" s="21" t="inlineStr">
        <is>
          <t>PG</t>
        </is>
      </c>
      <c r="H2074" s="22" t="n">
        <v>29302097</v>
      </c>
      <c r="I2074" s="22" t="n">
        <v>15000000</v>
      </c>
      <c r="J2074" s="21">
        <f>IF(OR(H2074="",H2074=25529689.5),"Yes","No")</f>
        <v/>
      </c>
      <c r="K2074" s="21">
        <f>IF(AND(D2074="USA",C2074&gt;=1980,J2074="No"),"Yes","No")</f>
        <v/>
      </c>
      <c r="L2074" s="26">
        <f>IF(J2074="Yes","",H2074-I2074)</f>
        <v/>
      </c>
      <c r="M2074" s="27">
        <f>IF(OR(J2074="Yes",I2074=0),"",H2074/I2074)</f>
        <v/>
      </c>
      <c r="N2074" s="21">
        <f>IF(J2074="Yes","",IF(H2074&gt;=I2074,1,0))</f>
        <v/>
      </c>
      <c r="O2074" s="21">
        <f>IF(I2074&lt;=5000000,"Under $5M",IF(I2074&lt;=20000000,"$5M-20M",IF(I2074&lt;=50000000,"$20M-50M",IF(I2074&lt;=100000000,"$50M-100M","$100M+"))))</f>
        <v/>
      </c>
      <c r="P2074" s="21">
        <f>IF(E2074&lt;=90,"90 or less",IF(E2074&lt;=105,"91-105",IF(E2074&lt;=120,"106-120",IF(E2074&lt;=140,"121-140","Over 140"))))</f>
        <v/>
      </c>
      <c r="Q2074" s="28">
        <f>INT(C2074/10)*10</f>
        <v/>
      </c>
    </row>
    <row r="2075">
      <c r="A2075" s="21" t="n">
        <v>2116</v>
      </c>
      <c r="B2075" s="21" t="inlineStr">
        <is>
          <t>Connie and Carla</t>
        </is>
      </c>
      <c r="C2075" s="21" t="n">
        <v>2004</v>
      </c>
      <c r="D2075" s="21" t="inlineStr">
        <is>
          <t>USA</t>
        </is>
      </c>
      <c r="E2075" s="21" t="n">
        <v>108</v>
      </c>
      <c r="F2075" s="21" t="inlineStr">
        <is>
          <t>English</t>
        </is>
      </c>
      <c r="G2075" s="21" t="inlineStr">
        <is>
          <t>PG-13</t>
        </is>
      </c>
      <c r="H2075" s="22" t="n">
        <v>8054280</v>
      </c>
      <c r="I2075" s="22" t="n">
        <v>20000000</v>
      </c>
      <c r="J2075" s="21">
        <f>IF(OR(H2075="",H2075=25529689.5),"Yes","No")</f>
        <v/>
      </c>
      <c r="K2075" s="21">
        <f>IF(AND(D2075="USA",C2075&gt;=1980,J2075="No"),"Yes","No")</f>
        <v/>
      </c>
      <c r="L2075" s="26">
        <f>IF(J2075="Yes","",H2075-I2075)</f>
        <v/>
      </c>
      <c r="M2075" s="27">
        <f>IF(OR(J2075="Yes",I2075=0),"",H2075/I2075)</f>
        <v/>
      </c>
      <c r="N2075" s="21">
        <f>IF(J2075="Yes","",IF(H2075&gt;=I2075,1,0))</f>
        <v/>
      </c>
      <c r="O2075" s="21">
        <f>IF(I2075&lt;=5000000,"Under $5M",IF(I2075&lt;=20000000,"$5M-20M",IF(I2075&lt;=50000000,"$20M-50M",IF(I2075&lt;=100000000,"$50M-100M","$100M+"))))</f>
        <v/>
      </c>
      <c r="P2075" s="21">
        <f>IF(E2075&lt;=90,"90 or less",IF(E2075&lt;=105,"91-105",IF(E2075&lt;=120,"106-120",IF(E2075&lt;=140,"121-140","Over 140"))))</f>
        <v/>
      </c>
      <c r="Q2075" s="28">
        <f>INT(C2075/10)*10</f>
        <v/>
      </c>
    </row>
    <row r="2076">
      <c r="A2076" s="21" t="n">
        <v>2117</v>
      </c>
      <c r="B2076" s="21" t="inlineStr">
        <is>
          <t>Crash</t>
        </is>
      </c>
      <c r="C2076" s="21" t="n">
        <v>2004</v>
      </c>
      <c r="D2076" s="21" t="inlineStr">
        <is>
          <t>Germany</t>
        </is>
      </c>
      <c r="E2076" s="21" t="n">
        <v>115</v>
      </c>
      <c r="F2076" s="21" t="inlineStr">
        <is>
          <t>English</t>
        </is>
      </c>
      <c r="G2076" s="21" t="inlineStr">
        <is>
          <t>R</t>
        </is>
      </c>
      <c r="H2076" s="22" t="n">
        <v>54557348</v>
      </c>
      <c r="I2076" s="22" t="n">
        <v>6500000</v>
      </c>
      <c r="J2076" s="21">
        <f>IF(OR(H2076="",H2076=25529689.5),"Yes","No")</f>
        <v/>
      </c>
      <c r="K2076" s="21">
        <f>IF(AND(D2076="USA",C2076&gt;=1980,J2076="No"),"Yes","No")</f>
        <v/>
      </c>
      <c r="L2076" s="26">
        <f>IF(J2076="Yes","",H2076-I2076)</f>
        <v/>
      </c>
      <c r="M2076" s="27">
        <f>IF(OR(J2076="Yes",I2076=0),"",H2076/I2076)</f>
        <v/>
      </c>
      <c r="N2076" s="21">
        <f>IF(J2076="Yes","",IF(H2076&gt;=I2076,1,0))</f>
        <v/>
      </c>
      <c r="O2076" s="21">
        <f>IF(I2076&lt;=5000000,"Under $5M",IF(I2076&lt;=20000000,"$5M-20M",IF(I2076&lt;=50000000,"$20M-50M",IF(I2076&lt;=100000000,"$50M-100M","$100M+"))))</f>
        <v/>
      </c>
      <c r="P2076" s="21">
        <f>IF(E2076&lt;=90,"90 or less",IF(E2076&lt;=105,"91-105",IF(E2076&lt;=120,"106-120",IF(E2076&lt;=140,"121-140","Over 140"))))</f>
        <v/>
      </c>
      <c r="Q2076" s="28">
        <f>INT(C2076/10)*10</f>
        <v/>
      </c>
    </row>
    <row r="2077">
      <c r="A2077" s="21" t="n">
        <v>2119</v>
      </c>
      <c r="B2077" s="21" t="inlineStr">
        <is>
          <t>D.E.B.S.</t>
        </is>
      </c>
      <c r="C2077" s="21" t="n">
        <v>2004</v>
      </c>
      <c r="D2077" s="21" t="inlineStr">
        <is>
          <t>USA</t>
        </is>
      </c>
      <c r="E2077" s="21" t="n">
        <v>91</v>
      </c>
      <c r="F2077" s="21" t="inlineStr">
        <is>
          <t>English</t>
        </is>
      </c>
      <c r="G2077" s="21" t="inlineStr">
        <is>
          <t>PG-13</t>
        </is>
      </c>
      <c r="H2077" s="22" t="n">
        <v>96793</v>
      </c>
      <c r="I2077" s="22" t="n">
        <v>3500000</v>
      </c>
      <c r="J2077" s="21">
        <f>IF(OR(H2077="",H2077=25529689.5),"Yes","No")</f>
        <v/>
      </c>
      <c r="K2077" s="21">
        <f>IF(AND(D2077="USA",C2077&gt;=1980,J2077="No"),"Yes","No")</f>
        <v/>
      </c>
      <c r="L2077" s="26">
        <f>IF(J2077="Yes","",H2077-I2077)</f>
        <v/>
      </c>
      <c r="M2077" s="27">
        <f>IF(OR(J2077="Yes",I2077=0),"",H2077/I2077)</f>
        <v/>
      </c>
      <c r="N2077" s="21">
        <f>IF(J2077="Yes","",IF(H2077&gt;=I2077,1,0))</f>
        <v/>
      </c>
      <c r="O2077" s="21">
        <f>IF(I2077&lt;=5000000,"Under $5M",IF(I2077&lt;=20000000,"$5M-20M",IF(I2077&lt;=50000000,"$20M-50M",IF(I2077&lt;=100000000,"$50M-100M","$100M+"))))</f>
        <v/>
      </c>
      <c r="P2077" s="21">
        <f>IF(E2077&lt;=90,"90 or less",IF(E2077&lt;=105,"91-105",IF(E2077&lt;=120,"106-120",IF(E2077&lt;=140,"121-140","Over 140"))))</f>
        <v/>
      </c>
      <c r="Q2077" s="28">
        <f>INT(C2077/10)*10</f>
        <v/>
      </c>
    </row>
    <row r="2078">
      <c r="A2078" s="21" t="n">
        <v>2120</v>
      </c>
      <c r="B2078" s="21" t="inlineStr">
        <is>
          <t>Dawn of the Dead</t>
        </is>
      </c>
      <c r="C2078" s="21" t="n">
        <v>2004</v>
      </c>
      <c r="D2078" s="21" t="inlineStr">
        <is>
          <t>USA</t>
        </is>
      </c>
      <c r="E2078" s="21" t="n">
        <v>110</v>
      </c>
      <c r="F2078" s="21" t="inlineStr">
        <is>
          <t>English</t>
        </is>
      </c>
      <c r="G2078" s="21" t="inlineStr">
        <is>
          <t>R</t>
        </is>
      </c>
      <c r="H2078" s="22" t="n">
        <v>58885635</v>
      </c>
      <c r="I2078" s="22" t="n">
        <v>26000000</v>
      </c>
      <c r="J2078" s="21">
        <f>IF(OR(H2078="",H2078=25529689.5),"Yes","No")</f>
        <v/>
      </c>
      <c r="K2078" s="21">
        <f>IF(AND(D2078="USA",C2078&gt;=1980,J2078="No"),"Yes","No")</f>
        <v/>
      </c>
      <c r="L2078" s="26">
        <f>IF(J2078="Yes","",H2078-I2078)</f>
        <v/>
      </c>
      <c r="M2078" s="27">
        <f>IF(OR(J2078="Yes",I2078=0),"",H2078/I2078)</f>
        <v/>
      </c>
      <c r="N2078" s="21">
        <f>IF(J2078="Yes","",IF(H2078&gt;=I2078,1,0))</f>
        <v/>
      </c>
      <c r="O2078" s="21">
        <f>IF(I2078&lt;=5000000,"Under $5M",IF(I2078&lt;=20000000,"$5M-20M",IF(I2078&lt;=50000000,"$20M-50M",IF(I2078&lt;=100000000,"$50M-100M","$100M+"))))</f>
        <v/>
      </c>
      <c r="P2078" s="21">
        <f>IF(E2078&lt;=90,"90 or less",IF(E2078&lt;=105,"91-105",IF(E2078&lt;=120,"106-120",IF(E2078&lt;=140,"121-140","Over 140"))))</f>
        <v/>
      </c>
      <c r="Q2078" s="28">
        <f>INT(C2078/10)*10</f>
        <v/>
      </c>
    </row>
    <row r="2079">
      <c r="A2079" s="21" t="n">
        <v>2122</v>
      </c>
      <c r="B2079" s="21" t="inlineStr">
        <is>
          <t>De-Lovely</t>
        </is>
      </c>
      <c r="C2079" s="21" t="n">
        <v>2004</v>
      </c>
      <c r="D2079" s="21" t="inlineStr">
        <is>
          <t>USA</t>
        </is>
      </c>
      <c r="E2079" s="21" t="n">
        <v>125</v>
      </c>
      <c r="F2079" s="21" t="inlineStr">
        <is>
          <t>English</t>
        </is>
      </c>
      <c r="G2079" s="21" t="inlineStr">
        <is>
          <t>PG-13</t>
        </is>
      </c>
      <c r="H2079" s="22" t="n">
        <v>13337299</v>
      </c>
      <c r="I2079" s="22" t="n">
        <v>20000000</v>
      </c>
      <c r="J2079" s="21">
        <f>IF(OR(H2079="",H2079=25529689.5),"Yes","No")</f>
        <v/>
      </c>
      <c r="K2079" s="21">
        <f>IF(AND(D2079="USA",C2079&gt;=1980,J2079="No"),"Yes","No")</f>
        <v/>
      </c>
      <c r="L2079" s="26">
        <f>IF(J2079="Yes","",H2079-I2079)</f>
        <v/>
      </c>
      <c r="M2079" s="27">
        <f>IF(OR(J2079="Yes",I2079=0),"",H2079/I2079)</f>
        <v/>
      </c>
      <c r="N2079" s="21">
        <f>IF(J2079="Yes","",IF(H2079&gt;=I2079,1,0))</f>
        <v/>
      </c>
      <c r="O2079" s="21">
        <f>IF(I2079&lt;=5000000,"Under $5M",IF(I2079&lt;=20000000,"$5M-20M",IF(I2079&lt;=50000000,"$20M-50M",IF(I2079&lt;=100000000,"$50M-100M","$100M+"))))</f>
        <v/>
      </c>
      <c r="P2079" s="21">
        <f>IF(E2079&lt;=90,"90 or less",IF(E2079&lt;=105,"91-105",IF(E2079&lt;=120,"106-120",IF(E2079&lt;=140,"121-140","Over 140"))))</f>
        <v/>
      </c>
      <c r="Q2079" s="28">
        <f>INT(C2079/10)*10</f>
        <v/>
      </c>
    </row>
    <row r="2080">
      <c r="A2080" s="21" t="n">
        <v>2123</v>
      </c>
      <c r="B2080" s="21" t="inlineStr">
        <is>
          <t>Dead Man's Shoes</t>
        </is>
      </c>
      <c r="C2080" s="21" t="n">
        <v>2004</v>
      </c>
      <c r="D2080" s="21" t="inlineStr">
        <is>
          <t>UK</t>
        </is>
      </c>
      <c r="E2080" s="21" t="n">
        <v>90</v>
      </c>
      <c r="F2080" s="21" t="inlineStr">
        <is>
          <t>English</t>
        </is>
      </c>
      <c r="G2080" s="21" t="n"/>
      <c r="H2080" s="22" t="n">
        <v>6013</v>
      </c>
      <c r="I2080" s="22" t="n">
        <v>695393</v>
      </c>
      <c r="J2080" s="21">
        <f>IF(OR(H2080="",H2080=25529689.5),"Yes","No")</f>
        <v/>
      </c>
      <c r="K2080" s="21">
        <f>IF(AND(D2080="USA",C2080&gt;=1980,J2080="No"),"Yes","No")</f>
        <v/>
      </c>
      <c r="L2080" s="26">
        <f>IF(J2080="Yes","",H2080-I2080)</f>
        <v/>
      </c>
      <c r="M2080" s="27">
        <f>IF(OR(J2080="Yes",I2080=0),"",H2080/I2080)</f>
        <v/>
      </c>
      <c r="N2080" s="21">
        <f>IF(J2080="Yes","",IF(H2080&gt;=I2080,1,0))</f>
        <v/>
      </c>
      <c r="O2080" s="21">
        <f>IF(I2080&lt;=5000000,"Under $5M",IF(I2080&lt;=20000000,"$5M-20M",IF(I2080&lt;=50000000,"$20M-50M",IF(I2080&lt;=100000000,"$50M-100M","$100M+"))))</f>
        <v/>
      </c>
      <c r="P2080" s="21">
        <f>IF(E2080&lt;=90,"90 or less",IF(E2080&lt;=105,"91-105",IF(E2080&lt;=120,"106-120",IF(E2080&lt;=140,"121-140","Over 140"))))</f>
        <v/>
      </c>
      <c r="Q2080" s="28">
        <f>INT(C2080/10)*10</f>
        <v/>
      </c>
    </row>
    <row r="2081">
      <c r="A2081" s="21" t="n">
        <v>2124</v>
      </c>
      <c r="B2081" s="21" t="inlineStr">
        <is>
          <t>Dear Frankie</t>
        </is>
      </c>
      <c r="C2081" s="21" t="n">
        <v>2004</v>
      </c>
      <c r="D2081" s="21" t="inlineStr">
        <is>
          <t>UK</t>
        </is>
      </c>
      <c r="E2081" s="21" t="n">
        <v>105</v>
      </c>
      <c r="F2081" s="21" t="inlineStr">
        <is>
          <t>English</t>
        </is>
      </c>
      <c r="G2081" s="21" t="inlineStr">
        <is>
          <t>PG-13</t>
        </is>
      </c>
      <c r="H2081" s="22" t="n">
        <v>1340891</v>
      </c>
      <c r="I2081" s="22" t="n">
        <v>20000000</v>
      </c>
      <c r="J2081" s="21">
        <f>IF(OR(H2081="",H2081=25529689.5),"Yes","No")</f>
        <v/>
      </c>
      <c r="K2081" s="21">
        <f>IF(AND(D2081="USA",C2081&gt;=1980,J2081="No"),"Yes","No")</f>
        <v/>
      </c>
      <c r="L2081" s="26">
        <f>IF(J2081="Yes","",H2081-I2081)</f>
        <v/>
      </c>
      <c r="M2081" s="27">
        <f>IF(OR(J2081="Yes",I2081=0),"",H2081/I2081)</f>
        <v/>
      </c>
      <c r="N2081" s="21">
        <f>IF(J2081="Yes","",IF(H2081&gt;=I2081,1,0))</f>
        <v/>
      </c>
      <c r="O2081" s="21">
        <f>IF(I2081&lt;=5000000,"Under $5M",IF(I2081&lt;=20000000,"$5M-20M",IF(I2081&lt;=50000000,"$20M-50M",IF(I2081&lt;=100000000,"$50M-100M","$100M+"))))</f>
        <v/>
      </c>
      <c r="P2081" s="21">
        <f>IF(E2081&lt;=90,"90 or less",IF(E2081&lt;=105,"91-105",IF(E2081&lt;=120,"106-120",IF(E2081&lt;=140,"121-140","Over 140"))))</f>
        <v/>
      </c>
      <c r="Q2081" s="28">
        <f>INT(C2081/10)*10</f>
        <v/>
      </c>
    </row>
    <row r="2082">
      <c r="A2082" s="21" t="n">
        <v>2125</v>
      </c>
      <c r="B2082" s="21" t="inlineStr">
        <is>
          <t>Dear Wendy</t>
        </is>
      </c>
      <c r="C2082" s="21" t="n">
        <v>2004</v>
      </c>
      <c r="D2082" s="21" t="inlineStr">
        <is>
          <t>Italy</t>
        </is>
      </c>
      <c r="E2082" s="21" t="n">
        <v>102</v>
      </c>
      <c r="F2082" s="21" t="inlineStr">
        <is>
          <t>English</t>
        </is>
      </c>
      <c r="G2082" s="21" t="inlineStr">
        <is>
          <t>Unrated</t>
        </is>
      </c>
      <c r="H2082" s="22" t="n">
        <v>23106</v>
      </c>
      <c r="I2082" s="22" t="n">
        <v>50000000</v>
      </c>
      <c r="J2082" s="21">
        <f>IF(OR(H2082="",H2082=25529689.5),"Yes","No")</f>
        <v/>
      </c>
      <c r="K2082" s="21">
        <f>IF(AND(D2082="USA",C2082&gt;=1980,J2082="No"),"Yes","No")</f>
        <v/>
      </c>
      <c r="L2082" s="26">
        <f>IF(J2082="Yes","",H2082-I2082)</f>
        <v/>
      </c>
      <c r="M2082" s="27">
        <f>IF(OR(J2082="Yes",I2082=0),"",H2082/I2082)</f>
        <v/>
      </c>
      <c r="N2082" s="21">
        <f>IF(J2082="Yes","",IF(H2082&gt;=I2082,1,0))</f>
        <v/>
      </c>
      <c r="O2082" s="21">
        <f>IF(I2082&lt;=5000000,"Under $5M",IF(I2082&lt;=20000000,"$5M-20M",IF(I2082&lt;=50000000,"$20M-50M",IF(I2082&lt;=100000000,"$50M-100M","$100M+"))))</f>
        <v/>
      </c>
      <c r="P2082" s="21">
        <f>IF(E2082&lt;=90,"90 or less",IF(E2082&lt;=105,"91-105",IF(E2082&lt;=120,"106-120",IF(E2082&lt;=140,"121-140","Over 140"))))</f>
        <v/>
      </c>
      <c r="Q2082" s="28">
        <f>INT(C2082/10)*10</f>
        <v/>
      </c>
    </row>
    <row r="2083">
      <c r="A2083" s="21" t="n">
        <v>2126</v>
      </c>
      <c r="B2083" s="21" t="inlineStr">
        <is>
          <t>Decoys</t>
        </is>
      </c>
      <c r="C2083" s="21" t="n">
        <v>2004</v>
      </c>
      <c r="D2083" s="21" t="inlineStr">
        <is>
          <t>Canada</t>
        </is>
      </c>
      <c r="E2083" s="21" t="n">
        <v>95</v>
      </c>
      <c r="F2083" s="21" t="inlineStr">
        <is>
          <t>English</t>
        </is>
      </c>
      <c r="G2083" s="21" t="inlineStr">
        <is>
          <t>R</t>
        </is>
      </c>
      <c r="H2083" s="22" t="n">
        <v>25529689.5</v>
      </c>
      <c r="I2083" s="22" t="n">
        <v>5000000</v>
      </c>
      <c r="J2083" s="21">
        <f>IF(OR(H2083="",H2083=25529689.5),"Yes","No")</f>
        <v/>
      </c>
      <c r="K2083" s="21">
        <f>IF(AND(D2083="USA",C2083&gt;=1980,J2083="No"),"Yes","No")</f>
        <v/>
      </c>
      <c r="L2083" s="26">
        <f>IF(J2083="Yes","",H2083-I2083)</f>
        <v/>
      </c>
      <c r="M2083" s="27">
        <f>IF(OR(J2083="Yes",I2083=0),"",H2083/I2083)</f>
        <v/>
      </c>
      <c r="N2083" s="21">
        <f>IF(J2083="Yes","",IF(H2083&gt;=I2083,1,0))</f>
        <v/>
      </c>
      <c r="O2083" s="21">
        <f>IF(I2083&lt;=5000000,"Under $5M",IF(I2083&lt;=20000000,"$5M-20M",IF(I2083&lt;=50000000,"$20M-50M",IF(I2083&lt;=100000000,"$50M-100M","$100M+"))))</f>
        <v/>
      </c>
      <c r="P2083" s="21">
        <f>IF(E2083&lt;=90,"90 or less",IF(E2083&lt;=105,"91-105",IF(E2083&lt;=120,"106-120",IF(E2083&lt;=140,"121-140","Over 140"))))</f>
        <v/>
      </c>
      <c r="Q2083" s="28">
        <f>INT(C2083/10)*10</f>
        <v/>
      </c>
    </row>
    <row r="2084">
      <c r="A2084" s="21" t="n">
        <v>2127</v>
      </c>
      <c r="B2084" s="21" t="inlineStr">
        <is>
          <t>District B13</t>
        </is>
      </c>
      <c r="C2084" s="21" t="n">
        <v>2004</v>
      </c>
      <c r="D2084" s="21" t="inlineStr">
        <is>
          <t>France</t>
        </is>
      </c>
      <c r="E2084" s="21" t="n">
        <v>84</v>
      </c>
      <c r="F2084" s="21" t="inlineStr">
        <is>
          <t>French</t>
        </is>
      </c>
      <c r="G2084" s="21" t="inlineStr">
        <is>
          <t>R</t>
        </is>
      </c>
      <c r="H2084" s="22" t="n">
        <v>1197786</v>
      </c>
      <c r="I2084" s="22" t="n">
        <v>12000000</v>
      </c>
      <c r="J2084" s="21">
        <f>IF(OR(H2084="",H2084=25529689.5),"Yes","No")</f>
        <v/>
      </c>
      <c r="K2084" s="21">
        <f>IF(AND(D2084="USA",C2084&gt;=1980,J2084="No"),"Yes","No")</f>
        <v/>
      </c>
      <c r="L2084" s="26">
        <f>IF(J2084="Yes","",H2084-I2084)</f>
        <v/>
      </c>
      <c r="M2084" s="27">
        <f>IF(OR(J2084="Yes",I2084=0),"",H2084/I2084)</f>
        <v/>
      </c>
      <c r="N2084" s="21">
        <f>IF(J2084="Yes","",IF(H2084&gt;=I2084,1,0))</f>
        <v/>
      </c>
      <c r="O2084" s="21">
        <f>IF(I2084&lt;=5000000,"Under $5M",IF(I2084&lt;=20000000,"$5M-20M",IF(I2084&lt;=50000000,"$20M-50M",IF(I2084&lt;=100000000,"$50M-100M","$100M+"))))</f>
        <v/>
      </c>
      <c r="P2084" s="21">
        <f>IF(E2084&lt;=90,"90 or less",IF(E2084&lt;=105,"91-105",IF(E2084&lt;=120,"106-120",IF(E2084&lt;=140,"121-140","Over 140"))))</f>
        <v/>
      </c>
      <c r="Q2084" s="28">
        <f>INT(C2084/10)*10</f>
        <v/>
      </c>
    </row>
    <row r="2085">
      <c r="A2085" s="21" t="n">
        <v>2128</v>
      </c>
      <c r="B2085" s="21" t="inlineStr">
        <is>
          <t>Dodgeball: A True Underdog Story</t>
        </is>
      </c>
      <c r="C2085" s="21" t="n">
        <v>2004</v>
      </c>
      <c r="D2085" s="21" t="inlineStr">
        <is>
          <t>USA</t>
        </is>
      </c>
      <c r="E2085" s="21" t="n">
        <v>92</v>
      </c>
      <c r="F2085" s="21" t="inlineStr">
        <is>
          <t>English</t>
        </is>
      </c>
      <c r="G2085" s="21" t="inlineStr">
        <is>
          <t>PG-13</t>
        </is>
      </c>
      <c r="H2085" s="22" t="n">
        <v>114324072</v>
      </c>
      <c r="I2085" s="22" t="n">
        <v>20000000</v>
      </c>
      <c r="J2085" s="21">
        <f>IF(OR(H2085="",H2085=25529689.5),"Yes","No")</f>
        <v/>
      </c>
      <c r="K2085" s="21">
        <f>IF(AND(D2085="USA",C2085&gt;=1980,J2085="No"),"Yes","No")</f>
        <v/>
      </c>
      <c r="L2085" s="26">
        <f>IF(J2085="Yes","",H2085-I2085)</f>
        <v/>
      </c>
      <c r="M2085" s="27">
        <f>IF(OR(J2085="Yes",I2085=0),"",H2085/I2085)</f>
        <v/>
      </c>
      <c r="N2085" s="21">
        <f>IF(J2085="Yes","",IF(H2085&gt;=I2085,1,0))</f>
        <v/>
      </c>
      <c r="O2085" s="21">
        <f>IF(I2085&lt;=5000000,"Under $5M",IF(I2085&lt;=20000000,"$5M-20M",IF(I2085&lt;=50000000,"$20M-50M",IF(I2085&lt;=100000000,"$50M-100M","$100M+"))))</f>
        <v/>
      </c>
      <c r="P2085" s="21">
        <f>IF(E2085&lt;=90,"90 or less",IF(E2085&lt;=105,"91-105",IF(E2085&lt;=120,"106-120",IF(E2085&lt;=140,"121-140","Over 140"))))</f>
        <v/>
      </c>
      <c r="Q2085" s="28">
        <f>INT(C2085/10)*10</f>
        <v/>
      </c>
    </row>
    <row r="2086">
      <c r="A2086" s="21" t="n">
        <v>2130</v>
      </c>
      <c r="B2086" s="21" t="inlineStr">
        <is>
          <t>Downfall</t>
        </is>
      </c>
      <c r="C2086" s="21" t="n">
        <v>2004</v>
      </c>
      <c r="D2086" s="21" t="inlineStr">
        <is>
          <t>Germany</t>
        </is>
      </c>
      <c r="E2086" s="21" t="n">
        <v>178</v>
      </c>
      <c r="F2086" s="21" t="inlineStr">
        <is>
          <t>German</t>
        </is>
      </c>
      <c r="G2086" s="21" t="inlineStr">
        <is>
          <t>R</t>
        </is>
      </c>
      <c r="H2086" s="22" t="n">
        <v>5501940</v>
      </c>
      <c r="I2086" s="22" t="n">
        <v>13500000</v>
      </c>
      <c r="J2086" s="21">
        <f>IF(OR(H2086="",H2086=25529689.5),"Yes","No")</f>
        <v/>
      </c>
      <c r="K2086" s="21">
        <f>IF(AND(D2086="USA",C2086&gt;=1980,J2086="No"),"Yes","No")</f>
        <v/>
      </c>
      <c r="L2086" s="26">
        <f>IF(J2086="Yes","",H2086-I2086)</f>
        <v/>
      </c>
      <c r="M2086" s="27">
        <f>IF(OR(J2086="Yes",I2086=0),"",H2086/I2086)</f>
        <v/>
      </c>
      <c r="N2086" s="21">
        <f>IF(J2086="Yes","",IF(H2086&gt;=I2086,1,0))</f>
        <v/>
      </c>
      <c r="O2086" s="21">
        <f>IF(I2086&lt;=5000000,"Under $5M",IF(I2086&lt;=20000000,"$5M-20M",IF(I2086&lt;=50000000,"$20M-50M",IF(I2086&lt;=100000000,"$50M-100M","$100M+"))))</f>
        <v/>
      </c>
      <c r="P2086" s="21">
        <f>IF(E2086&lt;=90,"90 or less",IF(E2086&lt;=105,"91-105",IF(E2086&lt;=120,"106-120",IF(E2086&lt;=140,"121-140","Over 140"))))</f>
        <v/>
      </c>
      <c r="Q2086" s="28">
        <f>INT(C2086/10)*10</f>
        <v/>
      </c>
    </row>
    <row r="2087">
      <c r="A2087" s="21" t="n">
        <v>2131</v>
      </c>
      <c r="B2087" s="21" t="inlineStr">
        <is>
          <t>Ella Enchanted</t>
        </is>
      </c>
      <c r="C2087" s="21" t="n">
        <v>2004</v>
      </c>
      <c r="D2087" s="21" t="inlineStr">
        <is>
          <t>USA</t>
        </is>
      </c>
      <c r="E2087" s="21" t="n">
        <v>96</v>
      </c>
      <c r="F2087" s="21" t="inlineStr">
        <is>
          <t>English</t>
        </is>
      </c>
      <c r="G2087" s="21" t="inlineStr">
        <is>
          <t>PG</t>
        </is>
      </c>
      <c r="H2087" s="22" t="n">
        <v>22913677</v>
      </c>
      <c r="I2087" s="22" t="n">
        <v>35000000</v>
      </c>
      <c r="J2087" s="21">
        <f>IF(OR(H2087="",H2087=25529689.5),"Yes","No")</f>
        <v/>
      </c>
      <c r="K2087" s="21">
        <f>IF(AND(D2087="USA",C2087&gt;=1980,J2087="No"),"Yes","No")</f>
        <v/>
      </c>
      <c r="L2087" s="26">
        <f>IF(J2087="Yes","",H2087-I2087)</f>
        <v/>
      </c>
      <c r="M2087" s="27">
        <f>IF(OR(J2087="Yes",I2087=0),"",H2087/I2087)</f>
        <v/>
      </c>
      <c r="N2087" s="21">
        <f>IF(J2087="Yes","",IF(H2087&gt;=I2087,1,0))</f>
        <v/>
      </c>
      <c r="O2087" s="21">
        <f>IF(I2087&lt;=5000000,"Under $5M",IF(I2087&lt;=20000000,"$5M-20M",IF(I2087&lt;=50000000,"$20M-50M",IF(I2087&lt;=100000000,"$50M-100M","$100M+"))))</f>
        <v/>
      </c>
      <c r="P2087" s="21">
        <f>IF(E2087&lt;=90,"90 or less",IF(E2087&lt;=105,"91-105",IF(E2087&lt;=120,"106-120",IF(E2087&lt;=140,"121-140","Over 140"))))</f>
        <v/>
      </c>
      <c r="Q2087" s="28">
        <f>INT(C2087/10)*10</f>
        <v/>
      </c>
    </row>
    <row r="2088">
      <c r="A2088" s="21" t="n">
        <v>2132</v>
      </c>
      <c r="B2088" s="21" t="inlineStr">
        <is>
          <t>Envy</t>
        </is>
      </c>
      <c r="C2088" s="21" t="n">
        <v>2004</v>
      </c>
      <c r="D2088" s="21" t="inlineStr">
        <is>
          <t>USA</t>
        </is>
      </c>
      <c r="E2088" s="21" t="n">
        <v>99</v>
      </c>
      <c r="F2088" s="21" t="inlineStr">
        <is>
          <t>English</t>
        </is>
      </c>
      <c r="G2088" s="21" t="inlineStr">
        <is>
          <t>PG-13</t>
        </is>
      </c>
      <c r="H2088" s="22" t="n">
        <v>12181484</v>
      </c>
      <c r="I2088" s="22" t="n">
        <v>40000000</v>
      </c>
      <c r="J2088" s="21">
        <f>IF(OR(H2088="",H2088=25529689.5),"Yes","No")</f>
        <v/>
      </c>
      <c r="K2088" s="21">
        <f>IF(AND(D2088="USA",C2088&gt;=1980,J2088="No"),"Yes","No")</f>
        <v/>
      </c>
      <c r="L2088" s="26">
        <f>IF(J2088="Yes","",H2088-I2088)</f>
        <v/>
      </c>
      <c r="M2088" s="27">
        <f>IF(OR(J2088="Yes",I2088=0),"",H2088/I2088)</f>
        <v/>
      </c>
      <c r="N2088" s="21">
        <f>IF(J2088="Yes","",IF(H2088&gt;=I2088,1,0))</f>
        <v/>
      </c>
      <c r="O2088" s="21">
        <f>IF(I2088&lt;=5000000,"Under $5M",IF(I2088&lt;=20000000,"$5M-20M",IF(I2088&lt;=50000000,"$20M-50M",IF(I2088&lt;=100000000,"$50M-100M","$100M+"))))</f>
        <v/>
      </c>
      <c r="P2088" s="21">
        <f>IF(E2088&lt;=90,"90 or less",IF(E2088&lt;=105,"91-105",IF(E2088&lt;=120,"106-120",IF(E2088&lt;=140,"121-140","Over 140"))))</f>
        <v/>
      </c>
      <c r="Q2088" s="28">
        <f>INT(C2088/10)*10</f>
        <v/>
      </c>
    </row>
    <row r="2089">
      <c r="A2089" s="21" t="n">
        <v>2133</v>
      </c>
      <c r="B2089" s="21" t="inlineStr">
        <is>
          <t>Eternal Sunshine of the Spotless Mind</t>
        </is>
      </c>
      <c r="C2089" s="21" t="n">
        <v>2004</v>
      </c>
      <c r="D2089" s="21" t="inlineStr">
        <is>
          <t>USA</t>
        </is>
      </c>
      <c r="E2089" s="21" t="n">
        <v>108</v>
      </c>
      <c r="F2089" s="21" t="inlineStr">
        <is>
          <t>English</t>
        </is>
      </c>
      <c r="G2089" s="21" t="inlineStr">
        <is>
          <t>R</t>
        </is>
      </c>
      <c r="H2089" s="22" t="n">
        <v>34126138</v>
      </c>
      <c r="I2089" s="22" t="n">
        <v>20000000</v>
      </c>
      <c r="J2089" s="21">
        <f>IF(OR(H2089="",H2089=25529689.5),"Yes","No")</f>
        <v/>
      </c>
      <c r="K2089" s="21">
        <f>IF(AND(D2089="USA",C2089&gt;=1980,J2089="No"),"Yes","No")</f>
        <v/>
      </c>
      <c r="L2089" s="26">
        <f>IF(J2089="Yes","",H2089-I2089)</f>
        <v/>
      </c>
      <c r="M2089" s="27">
        <f>IF(OR(J2089="Yes",I2089=0),"",H2089/I2089)</f>
        <v/>
      </c>
      <c r="N2089" s="21">
        <f>IF(J2089="Yes","",IF(H2089&gt;=I2089,1,0))</f>
        <v/>
      </c>
      <c r="O2089" s="21">
        <f>IF(I2089&lt;=5000000,"Under $5M",IF(I2089&lt;=20000000,"$5M-20M",IF(I2089&lt;=50000000,"$20M-50M",IF(I2089&lt;=100000000,"$50M-100M","$100M+"))))</f>
        <v/>
      </c>
      <c r="P2089" s="21">
        <f>IF(E2089&lt;=90,"90 or less",IF(E2089&lt;=105,"91-105",IF(E2089&lt;=120,"106-120",IF(E2089&lt;=140,"121-140","Over 140"))))</f>
        <v/>
      </c>
      <c r="Q2089" s="28">
        <f>INT(C2089/10)*10</f>
        <v/>
      </c>
    </row>
    <row r="2090">
      <c r="A2090" s="21" t="n">
        <v>2134</v>
      </c>
      <c r="B2090" s="21" t="inlineStr">
        <is>
          <t>Eulogy</t>
        </is>
      </c>
      <c r="C2090" s="21" t="n">
        <v>2004</v>
      </c>
      <c r="D2090" s="21" t="inlineStr">
        <is>
          <t>USA</t>
        </is>
      </c>
      <c r="E2090" s="21" t="n">
        <v>85</v>
      </c>
      <c r="F2090" s="21" t="inlineStr">
        <is>
          <t>English</t>
        </is>
      </c>
      <c r="G2090" s="21" t="inlineStr">
        <is>
          <t>R</t>
        </is>
      </c>
      <c r="H2090" s="22" t="n">
        <v>70527</v>
      </c>
      <c r="I2090" s="22" t="n">
        <v>6500000</v>
      </c>
      <c r="J2090" s="21">
        <f>IF(OR(H2090="",H2090=25529689.5),"Yes","No")</f>
        <v/>
      </c>
      <c r="K2090" s="21">
        <f>IF(AND(D2090="USA",C2090&gt;=1980,J2090="No"),"Yes","No")</f>
        <v/>
      </c>
      <c r="L2090" s="26">
        <f>IF(J2090="Yes","",H2090-I2090)</f>
        <v/>
      </c>
      <c r="M2090" s="27">
        <f>IF(OR(J2090="Yes",I2090=0),"",H2090/I2090)</f>
        <v/>
      </c>
      <c r="N2090" s="21">
        <f>IF(J2090="Yes","",IF(H2090&gt;=I2090,1,0))</f>
        <v/>
      </c>
      <c r="O2090" s="21">
        <f>IF(I2090&lt;=5000000,"Under $5M",IF(I2090&lt;=20000000,"$5M-20M",IF(I2090&lt;=50000000,"$20M-50M",IF(I2090&lt;=100000000,"$50M-100M","$100M+"))))</f>
        <v/>
      </c>
      <c r="P2090" s="21">
        <f>IF(E2090&lt;=90,"90 or less",IF(E2090&lt;=105,"91-105",IF(E2090&lt;=120,"106-120",IF(E2090&lt;=140,"121-140","Over 140"))))</f>
        <v/>
      </c>
      <c r="Q2090" s="28">
        <f>INT(C2090/10)*10</f>
        <v/>
      </c>
    </row>
    <row r="2091">
      <c r="A2091" s="21" t="n">
        <v>2135</v>
      </c>
      <c r="B2091" s="21" t="inlineStr">
        <is>
          <t>EuroTrip</t>
        </is>
      </c>
      <c r="C2091" s="21" t="n">
        <v>2004</v>
      </c>
      <c r="D2091" s="21" t="inlineStr">
        <is>
          <t>USA</t>
        </is>
      </c>
      <c r="E2091" s="21" t="n">
        <v>93</v>
      </c>
      <c r="F2091" s="21" t="inlineStr">
        <is>
          <t>English</t>
        </is>
      </c>
      <c r="G2091" s="21" t="inlineStr">
        <is>
          <t>R</t>
        </is>
      </c>
      <c r="H2091" s="22" t="n">
        <v>17718223</v>
      </c>
      <c r="I2091" s="22" t="n">
        <v>25000000</v>
      </c>
      <c r="J2091" s="21">
        <f>IF(OR(H2091="",H2091=25529689.5),"Yes","No")</f>
        <v/>
      </c>
      <c r="K2091" s="21">
        <f>IF(AND(D2091="USA",C2091&gt;=1980,J2091="No"),"Yes","No")</f>
        <v/>
      </c>
      <c r="L2091" s="26">
        <f>IF(J2091="Yes","",H2091-I2091)</f>
        <v/>
      </c>
      <c r="M2091" s="27">
        <f>IF(OR(J2091="Yes",I2091=0),"",H2091/I2091)</f>
        <v/>
      </c>
      <c r="N2091" s="21">
        <f>IF(J2091="Yes","",IF(H2091&gt;=I2091,1,0))</f>
        <v/>
      </c>
      <c r="O2091" s="21">
        <f>IF(I2091&lt;=5000000,"Under $5M",IF(I2091&lt;=20000000,"$5M-20M",IF(I2091&lt;=50000000,"$20M-50M",IF(I2091&lt;=100000000,"$50M-100M","$100M+"))))</f>
        <v/>
      </c>
      <c r="P2091" s="21">
        <f>IF(E2091&lt;=90,"90 or less",IF(E2091&lt;=105,"91-105",IF(E2091&lt;=120,"106-120",IF(E2091&lt;=140,"121-140","Over 140"))))</f>
        <v/>
      </c>
      <c r="Q2091" s="28">
        <f>INT(C2091/10)*10</f>
        <v/>
      </c>
    </row>
    <row r="2092">
      <c r="A2092" s="21" t="n">
        <v>2136</v>
      </c>
      <c r="B2092" s="21" t="inlineStr">
        <is>
          <t>Exorcist: The Beginning</t>
        </is>
      </c>
      <c r="C2092" s="21" t="n">
        <v>2004</v>
      </c>
      <c r="D2092" s="21" t="inlineStr">
        <is>
          <t>USA</t>
        </is>
      </c>
      <c r="E2092" s="21" t="n">
        <v>125</v>
      </c>
      <c r="F2092" s="21" t="inlineStr">
        <is>
          <t>English</t>
        </is>
      </c>
      <c r="G2092" s="21" t="inlineStr">
        <is>
          <t>R</t>
        </is>
      </c>
      <c r="H2092" s="22" t="n">
        <v>41814863</v>
      </c>
      <c r="I2092" s="22" t="n">
        <v>50000000</v>
      </c>
      <c r="J2092" s="21">
        <f>IF(OR(H2092="",H2092=25529689.5),"Yes","No")</f>
        <v/>
      </c>
      <c r="K2092" s="21">
        <f>IF(AND(D2092="USA",C2092&gt;=1980,J2092="No"),"Yes","No")</f>
        <v/>
      </c>
      <c r="L2092" s="26">
        <f>IF(J2092="Yes","",H2092-I2092)</f>
        <v/>
      </c>
      <c r="M2092" s="27">
        <f>IF(OR(J2092="Yes",I2092=0),"",H2092/I2092)</f>
        <v/>
      </c>
      <c r="N2092" s="21">
        <f>IF(J2092="Yes","",IF(H2092&gt;=I2092,1,0))</f>
        <v/>
      </c>
      <c r="O2092" s="21">
        <f>IF(I2092&lt;=5000000,"Under $5M",IF(I2092&lt;=20000000,"$5M-20M",IF(I2092&lt;=50000000,"$20M-50M",IF(I2092&lt;=100000000,"$50M-100M","$100M+"))))</f>
        <v/>
      </c>
      <c r="P2092" s="21">
        <f>IF(E2092&lt;=90,"90 or less",IF(E2092&lt;=105,"91-105",IF(E2092&lt;=120,"106-120",IF(E2092&lt;=140,"121-140","Over 140"))))</f>
        <v/>
      </c>
      <c r="Q2092" s="28">
        <f>INT(C2092/10)*10</f>
        <v/>
      </c>
    </row>
    <row r="2093">
      <c r="A2093" s="21" t="n">
        <v>2137</v>
      </c>
      <c r="B2093" s="21" t="inlineStr">
        <is>
          <t>Fahrenheit 9/11</t>
        </is>
      </c>
      <c r="C2093" s="21" t="n">
        <v>2004</v>
      </c>
      <c r="D2093" s="21" t="inlineStr">
        <is>
          <t>USA</t>
        </is>
      </c>
      <c r="E2093" s="21" t="n">
        <v>122</v>
      </c>
      <c r="F2093" s="21" t="inlineStr">
        <is>
          <t>English</t>
        </is>
      </c>
      <c r="G2093" s="21" t="inlineStr">
        <is>
          <t>R</t>
        </is>
      </c>
      <c r="H2093" s="22" t="n">
        <v>119078393</v>
      </c>
      <c r="I2093" s="22" t="n">
        <v>6000000</v>
      </c>
      <c r="J2093" s="21">
        <f>IF(OR(H2093="",H2093=25529689.5),"Yes","No")</f>
        <v/>
      </c>
      <c r="K2093" s="21">
        <f>IF(AND(D2093="USA",C2093&gt;=1980,J2093="No"),"Yes","No")</f>
        <v/>
      </c>
      <c r="L2093" s="26">
        <f>IF(J2093="Yes","",H2093-I2093)</f>
        <v/>
      </c>
      <c r="M2093" s="27">
        <f>IF(OR(J2093="Yes",I2093=0),"",H2093/I2093)</f>
        <v/>
      </c>
      <c r="N2093" s="21">
        <f>IF(J2093="Yes","",IF(H2093&gt;=I2093,1,0))</f>
        <v/>
      </c>
      <c r="O2093" s="21">
        <f>IF(I2093&lt;=5000000,"Under $5M",IF(I2093&lt;=20000000,"$5M-20M",IF(I2093&lt;=50000000,"$20M-50M",IF(I2093&lt;=100000000,"$50M-100M","$100M+"))))</f>
        <v/>
      </c>
      <c r="P2093" s="21">
        <f>IF(E2093&lt;=90,"90 or less",IF(E2093&lt;=105,"91-105",IF(E2093&lt;=120,"106-120",IF(E2093&lt;=140,"121-140","Over 140"))))</f>
        <v/>
      </c>
      <c r="Q2093" s="28">
        <f>INT(C2093/10)*10</f>
        <v/>
      </c>
    </row>
    <row r="2094">
      <c r="A2094" s="21" t="n">
        <v>2138</v>
      </c>
      <c r="B2094" s="21" t="inlineStr">
        <is>
          <t>Fascination</t>
        </is>
      </c>
      <c r="C2094" s="21" t="n">
        <v>2004</v>
      </c>
      <c r="D2094" s="21" t="inlineStr">
        <is>
          <t>Germany</t>
        </is>
      </c>
      <c r="E2094" s="21" t="n">
        <v>103</v>
      </c>
      <c r="F2094" s="21" t="inlineStr">
        <is>
          <t>English</t>
        </is>
      </c>
      <c r="G2094" s="21" t="inlineStr">
        <is>
          <t>R</t>
        </is>
      </c>
      <c r="H2094" s="22" t="n">
        <v>16066</v>
      </c>
      <c r="I2094" s="22" t="n">
        <v>5000000</v>
      </c>
      <c r="J2094" s="21">
        <f>IF(OR(H2094="",H2094=25529689.5),"Yes","No")</f>
        <v/>
      </c>
      <c r="K2094" s="21">
        <f>IF(AND(D2094="USA",C2094&gt;=1980,J2094="No"),"Yes","No")</f>
        <v/>
      </c>
      <c r="L2094" s="26">
        <f>IF(J2094="Yes","",H2094-I2094)</f>
        <v/>
      </c>
      <c r="M2094" s="27">
        <f>IF(OR(J2094="Yes",I2094=0),"",H2094/I2094)</f>
        <v/>
      </c>
      <c r="N2094" s="21">
        <f>IF(J2094="Yes","",IF(H2094&gt;=I2094,1,0))</f>
        <v/>
      </c>
      <c r="O2094" s="21">
        <f>IF(I2094&lt;=5000000,"Under $5M",IF(I2094&lt;=20000000,"$5M-20M",IF(I2094&lt;=50000000,"$20M-50M",IF(I2094&lt;=100000000,"$50M-100M","$100M+"))))</f>
        <v/>
      </c>
      <c r="P2094" s="21">
        <f>IF(E2094&lt;=90,"90 or less",IF(E2094&lt;=105,"91-105",IF(E2094&lt;=120,"106-120",IF(E2094&lt;=140,"121-140","Over 140"))))</f>
        <v/>
      </c>
      <c r="Q2094" s="28">
        <f>INT(C2094/10)*10</f>
        <v/>
      </c>
    </row>
    <row r="2095">
      <c r="A2095" s="21" t="n">
        <v>2139</v>
      </c>
      <c r="B2095" s="21" t="inlineStr">
        <is>
          <t>Fat Albert</t>
        </is>
      </c>
      <c r="C2095" s="21" t="n">
        <v>2004</v>
      </c>
      <c r="D2095" s="21" t="inlineStr">
        <is>
          <t>USA</t>
        </is>
      </c>
      <c r="E2095" s="21" t="n">
        <v>93</v>
      </c>
      <c r="F2095" s="21" t="inlineStr">
        <is>
          <t>English</t>
        </is>
      </c>
      <c r="G2095" s="21" t="inlineStr">
        <is>
          <t>PG</t>
        </is>
      </c>
      <c r="H2095" s="22" t="n">
        <v>48114556</v>
      </c>
      <c r="I2095" s="22" t="n">
        <v>26000000</v>
      </c>
      <c r="J2095" s="21">
        <f>IF(OR(H2095="",H2095=25529689.5),"Yes","No")</f>
        <v/>
      </c>
      <c r="K2095" s="21">
        <f>IF(AND(D2095="USA",C2095&gt;=1980,J2095="No"),"Yes","No")</f>
        <v/>
      </c>
      <c r="L2095" s="26">
        <f>IF(J2095="Yes","",H2095-I2095)</f>
        <v/>
      </c>
      <c r="M2095" s="27">
        <f>IF(OR(J2095="Yes",I2095=0),"",H2095/I2095)</f>
        <v/>
      </c>
      <c r="N2095" s="21">
        <f>IF(J2095="Yes","",IF(H2095&gt;=I2095,1,0))</f>
        <v/>
      </c>
      <c r="O2095" s="21">
        <f>IF(I2095&lt;=5000000,"Under $5M",IF(I2095&lt;=20000000,"$5M-20M",IF(I2095&lt;=50000000,"$20M-50M",IF(I2095&lt;=100000000,"$50M-100M","$100M+"))))</f>
        <v/>
      </c>
      <c r="P2095" s="21">
        <f>IF(E2095&lt;=90,"90 or less",IF(E2095&lt;=105,"91-105",IF(E2095&lt;=120,"106-120",IF(E2095&lt;=140,"121-140","Over 140"))))</f>
        <v/>
      </c>
      <c r="Q2095" s="28">
        <f>INT(C2095/10)*10</f>
        <v/>
      </c>
    </row>
    <row r="2096">
      <c r="A2096" s="21" t="n">
        <v>2140</v>
      </c>
      <c r="B2096" s="21" t="inlineStr">
        <is>
          <t>Fighting Tommy Riley</t>
        </is>
      </c>
      <c r="C2096" s="21" t="n">
        <v>2004</v>
      </c>
      <c r="D2096" s="21" t="inlineStr">
        <is>
          <t>USA</t>
        </is>
      </c>
      <c r="E2096" s="21" t="n">
        <v>109</v>
      </c>
      <c r="F2096" s="21" t="inlineStr">
        <is>
          <t>English</t>
        </is>
      </c>
      <c r="G2096" s="21" t="inlineStr">
        <is>
          <t>R</t>
        </is>
      </c>
      <c r="H2096" s="22" t="n">
        <v>5199</v>
      </c>
      <c r="I2096" s="22" t="n">
        <v>200000</v>
      </c>
      <c r="J2096" s="21">
        <f>IF(OR(H2096="",H2096=25529689.5),"Yes","No")</f>
        <v/>
      </c>
      <c r="K2096" s="21">
        <f>IF(AND(D2096="USA",C2096&gt;=1980,J2096="No"),"Yes","No")</f>
        <v/>
      </c>
      <c r="L2096" s="26">
        <f>IF(J2096="Yes","",H2096-I2096)</f>
        <v/>
      </c>
      <c r="M2096" s="27">
        <f>IF(OR(J2096="Yes",I2096=0),"",H2096/I2096)</f>
        <v/>
      </c>
      <c r="N2096" s="21">
        <f>IF(J2096="Yes","",IF(H2096&gt;=I2096,1,0))</f>
        <v/>
      </c>
      <c r="O2096" s="21">
        <f>IF(I2096&lt;=5000000,"Under $5M",IF(I2096&lt;=20000000,"$5M-20M",IF(I2096&lt;=50000000,"$20M-50M",IF(I2096&lt;=100000000,"$50M-100M","$100M+"))))</f>
        <v/>
      </c>
      <c r="P2096" s="21">
        <f>IF(E2096&lt;=90,"90 or less",IF(E2096&lt;=105,"91-105",IF(E2096&lt;=120,"106-120",IF(E2096&lt;=140,"121-140","Over 140"))))</f>
        <v/>
      </c>
      <c r="Q2096" s="28">
        <f>INT(C2096/10)*10</f>
        <v/>
      </c>
    </row>
    <row r="2097">
      <c r="A2097" s="21" t="n">
        <v>2141</v>
      </c>
      <c r="B2097" s="21" t="inlineStr">
        <is>
          <t>Finding Neverland</t>
        </is>
      </c>
      <c r="C2097" s="21" t="n">
        <v>2004</v>
      </c>
      <c r="D2097" s="21" t="inlineStr">
        <is>
          <t>USA</t>
        </is>
      </c>
      <c r="E2097" s="21" t="n">
        <v>101</v>
      </c>
      <c r="F2097" s="21" t="inlineStr">
        <is>
          <t>English</t>
        </is>
      </c>
      <c r="G2097" s="21" t="inlineStr">
        <is>
          <t>PG</t>
        </is>
      </c>
      <c r="H2097" s="22" t="n">
        <v>51676606</v>
      </c>
      <c r="I2097" s="22" t="n">
        <v>25000000</v>
      </c>
      <c r="J2097" s="21">
        <f>IF(OR(H2097="",H2097=25529689.5),"Yes","No")</f>
        <v/>
      </c>
      <c r="K2097" s="21">
        <f>IF(AND(D2097="USA",C2097&gt;=1980,J2097="No"),"Yes","No")</f>
        <v/>
      </c>
      <c r="L2097" s="26">
        <f>IF(J2097="Yes","",H2097-I2097)</f>
        <v/>
      </c>
      <c r="M2097" s="27">
        <f>IF(OR(J2097="Yes",I2097=0),"",H2097/I2097)</f>
        <v/>
      </c>
      <c r="N2097" s="21">
        <f>IF(J2097="Yes","",IF(H2097&gt;=I2097,1,0))</f>
        <v/>
      </c>
      <c r="O2097" s="21">
        <f>IF(I2097&lt;=5000000,"Under $5M",IF(I2097&lt;=20000000,"$5M-20M",IF(I2097&lt;=50000000,"$20M-50M",IF(I2097&lt;=100000000,"$50M-100M","$100M+"))))</f>
        <v/>
      </c>
      <c r="P2097" s="21">
        <f>IF(E2097&lt;=90,"90 or less",IF(E2097&lt;=105,"91-105",IF(E2097&lt;=120,"106-120",IF(E2097&lt;=140,"121-140","Over 140"))))</f>
        <v/>
      </c>
      <c r="Q2097" s="28">
        <f>INT(C2097/10)*10</f>
        <v/>
      </c>
    </row>
    <row r="2098">
      <c r="A2098" s="21" t="n">
        <v>2142</v>
      </c>
      <c r="B2098" s="21" t="inlineStr">
        <is>
          <t>Flight of the Phoenix</t>
        </is>
      </c>
      <c r="C2098" s="21" t="n">
        <v>2004</v>
      </c>
      <c r="D2098" s="21" t="inlineStr">
        <is>
          <t>USA</t>
        </is>
      </c>
      <c r="E2098" s="21" t="n">
        <v>113</v>
      </c>
      <c r="F2098" s="21" t="inlineStr">
        <is>
          <t>English</t>
        </is>
      </c>
      <c r="G2098" s="21" t="inlineStr">
        <is>
          <t>PG-13</t>
        </is>
      </c>
      <c r="H2098" s="22" t="n">
        <v>21009180</v>
      </c>
      <c r="I2098" s="22" t="n">
        <v>45000000</v>
      </c>
      <c r="J2098" s="21">
        <f>IF(OR(H2098="",H2098=25529689.5),"Yes","No")</f>
        <v/>
      </c>
      <c r="K2098" s="21">
        <f>IF(AND(D2098="USA",C2098&gt;=1980,J2098="No"),"Yes","No")</f>
        <v/>
      </c>
      <c r="L2098" s="26">
        <f>IF(J2098="Yes","",H2098-I2098)</f>
        <v/>
      </c>
      <c r="M2098" s="27">
        <f>IF(OR(J2098="Yes",I2098=0),"",H2098/I2098)</f>
        <v/>
      </c>
      <c r="N2098" s="21">
        <f>IF(J2098="Yes","",IF(H2098&gt;=I2098,1,0))</f>
        <v/>
      </c>
      <c r="O2098" s="21">
        <f>IF(I2098&lt;=5000000,"Under $5M",IF(I2098&lt;=20000000,"$5M-20M",IF(I2098&lt;=50000000,"$20M-50M",IF(I2098&lt;=100000000,"$50M-100M","$100M+"))))</f>
        <v/>
      </c>
      <c r="P2098" s="21">
        <f>IF(E2098&lt;=90,"90 or less",IF(E2098&lt;=105,"91-105",IF(E2098&lt;=120,"106-120",IF(E2098&lt;=140,"121-140","Over 140"))))</f>
        <v/>
      </c>
      <c r="Q2098" s="28">
        <f>INT(C2098/10)*10</f>
        <v/>
      </c>
    </row>
    <row r="2099">
      <c r="A2099" s="21" t="n">
        <v>2143</v>
      </c>
      <c r="B2099" s="21" t="inlineStr">
        <is>
          <t>Freeze Frame</t>
        </is>
      </c>
      <c r="C2099" s="21" t="n">
        <v>2004</v>
      </c>
      <c r="D2099" s="21" t="inlineStr">
        <is>
          <t>UK</t>
        </is>
      </c>
      <c r="E2099" s="21" t="n">
        <v>99</v>
      </c>
      <c r="F2099" s="21" t="inlineStr">
        <is>
          <t>English</t>
        </is>
      </c>
      <c r="G2099" s="21" t="inlineStr">
        <is>
          <t>R</t>
        </is>
      </c>
      <c r="H2099" s="22" t="n">
        <v>25529689.5</v>
      </c>
      <c r="I2099" s="22" t="n">
        <v>2000000</v>
      </c>
      <c r="J2099" s="21">
        <f>IF(OR(H2099="",H2099=25529689.5),"Yes","No")</f>
        <v/>
      </c>
      <c r="K2099" s="21">
        <f>IF(AND(D2099="USA",C2099&gt;=1980,J2099="No"),"Yes","No")</f>
        <v/>
      </c>
      <c r="L2099" s="26">
        <f>IF(J2099="Yes","",H2099-I2099)</f>
        <v/>
      </c>
      <c r="M2099" s="27">
        <f>IF(OR(J2099="Yes",I2099=0),"",H2099/I2099)</f>
        <v/>
      </c>
      <c r="N2099" s="21">
        <f>IF(J2099="Yes","",IF(H2099&gt;=I2099,1,0))</f>
        <v/>
      </c>
      <c r="O2099" s="21">
        <f>IF(I2099&lt;=5000000,"Under $5M",IF(I2099&lt;=20000000,"$5M-20M",IF(I2099&lt;=50000000,"$20M-50M",IF(I2099&lt;=100000000,"$50M-100M","$100M+"))))</f>
        <v/>
      </c>
      <c r="P2099" s="21">
        <f>IF(E2099&lt;=90,"90 or less",IF(E2099&lt;=105,"91-105",IF(E2099&lt;=120,"106-120",IF(E2099&lt;=140,"121-140","Over 140"))))</f>
        <v/>
      </c>
      <c r="Q2099" s="28">
        <f>INT(C2099/10)*10</f>
        <v/>
      </c>
    </row>
    <row r="2100">
      <c r="A2100" s="21" t="n">
        <v>2144</v>
      </c>
      <c r="B2100" s="21" t="inlineStr">
        <is>
          <t>Garden State</t>
        </is>
      </c>
      <c r="C2100" s="21" t="n">
        <v>2004</v>
      </c>
      <c r="D2100" s="21" t="inlineStr">
        <is>
          <t>USA</t>
        </is>
      </c>
      <c r="E2100" s="21" t="n">
        <v>102</v>
      </c>
      <c r="F2100" s="21" t="inlineStr">
        <is>
          <t>English</t>
        </is>
      </c>
      <c r="G2100" s="21" t="inlineStr">
        <is>
          <t>R</t>
        </is>
      </c>
      <c r="H2100" s="22" t="n">
        <v>26781723</v>
      </c>
      <c r="I2100" s="22" t="n">
        <v>2500000</v>
      </c>
      <c r="J2100" s="21">
        <f>IF(OR(H2100="",H2100=25529689.5),"Yes","No")</f>
        <v/>
      </c>
      <c r="K2100" s="21">
        <f>IF(AND(D2100="USA",C2100&gt;=1980,J2100="No"),"Yes","No")</f>
        <v/>
      </c>
      <c r="L2100" s="26">
        <f>IF(J2100="Yes","",H2100-I2100)</f>
        <v/>
      </c>
      <c r="M2100" s="27">
        <f>IF(OR(J2100="Yes",I2100=0),"",H2100/I2100)</f>
        <v/>
      </c>
      <c r="N2100" s="21">
        <f>IF(J2100="Yes","",IF(H2100&gt;=I2100,1,0))</f>
        <v/>
      </c>
      <c r="O2100" s="21">
        <f>IF(I2100&lt;=5000000,"Under $5M",IF(I2100&lt;=20000000,"$5M-20M",IF(I2100&lt;=50000000,"$20M-50M",IF(I2100&lt;=100000000,"$50M-100M","$100M+"))))</f>
        <v/>
      </c>
      <c r="P2100" s="21">
        <f>IF(E2100&lt;=90,"90 or less",IF(E2100&lt;=105,"91-105",IF(E2100&lt;=120,"106-120",IF(E2100&lt;=140,"121-140","Over 140"))))</f>
        <v/>
      </c>
      <c r="Q2100" s="28">
        <f>INT(C2100/10)*10</f>
        <v/>
      </c>
    </row>
    <row r="2101">
      <c r="A2101" s="21" t="n">
        <v>2145</v>
      </c>
      <c r="B2101" s="21" t="inlineStr">
        <is>
          <t>Garfield</t>
        </is>
      </c>
      <c r="C2101" s="21" t="n">
        <v>2004</v>
      </c>
      <c r="D2101" s="21" t="inlineStr">
        <is>
          <t>USA</t>
        </is>
      </c>
      <c r="E2101" s="21" t="n">
        <v>80</v>
      </c>
      <c r="F2101" s="21" t="inlineStr">
        <is>
          <t>English</t>
        </is>
      </c>
      <c r="G2101" s="21" t="inlineStr">
        <is>
          <t>PG</t>
        </is>
      </c>
      <c r="H2101" s="22" t="n">
        <v>75367693</v>
      </c>
      <c r="I2101" s="22" t="n">
        <v>35000000</v>
      </c>
      <c r="J2101" s="21">
        <f>IF(OR(H2101="",H2101=25529689.5),"Yes","No")</f>
        <v/>
      </c>
      <c r="K2101" s="21">
        <f>IF(AND(D2101="USA",C2101&gt;=1980,J2101="No"),"Yes","No")</f>
        <v/>
      </c>
      <c r="L2101" s="26">
        <f>IF(J2101="Yes","",H2101-I2101)</f>
        <v/>
      </c>
      <c r="M2101" s="27">
        <f>IF(OR(J2101="Yes",I2101=0),"",H2101/I2101)</f>
        <v/>
      </c>
      <c r="N2101" s="21">
        <f>IF(J2101="Yes","",IF(H2101&gt;=I2101,1,0))</f>
        <v/>
      </c>
      <c r="O2101" s="21">
        <f>IF(I2101&lt;=5000000,"Under $5M",IF(I2101&lt;=20000000,"$5M-20M",IF(I2101&lt;=50000000,"$20M-50M",IF(I2101&lt;=100000000,"$50M-100M","$100M+"))))</f>
        <v/>
      </c>
      <c r="P2101" s="21">
        <f>IF(E2101&lt;=90,"90 or less",IF(E2101&lt;=105,"91-105",IF(E2101&lt;=120,"106-120",IF(E2101&lt;=140,"121-140","Over 140"))))</f>
        <v/>
      </c>
      <c r="Q2101" s="28">
        <f>INT(C2101/10)*10</f>
        <v/>
      </c>
    </row>
    <row r="2102">
      <c r="A2102" s="21" t="n">
        <v>2146</v>
      </c>
      <c r="B2102" s="21" t="inlineStr">
        <is>
          <t>George and the Dragon</t>
        </is>
      </c>
      <c r="C2102" s="21" t="n">
        <v>2004</v>
      </c>
      <c r="D2102" s="21" t="inlineStr">
        <is>
          <t>USA</t>
        </is>
      </c>
      <c r="E2102" s="21" t="n">
        <v>93</v>
      </c>
      <c r="F2102" s="21" t="inlineStr">
        <is>
          <t>English</t>
        </is>
      </c>
      <c r="G2102" s="21" t="inlineStr">
        <is>
          <t>PG</t>
        </is>
      </c>
      <c r="H2102" s="22" t="n">
        <v>25529689.5</v>
      </c>
      <c r="I2102" s="22" t="n">
        <v>32000000</v>
      </c>
      <c r="J2102" s="21">
        <f>IF(OR(H2102="",H2102=25529689.5),"Yes","No")</f>
        <v/>
      </c>
      <c r="K2102" s="21">
        <f>IF(AND(D2102="USA",C2102&gt;=1980,J2102="No"),"Yes","No")</f>
        <v/>
      </c>
      <c r="L2102" s="26">
        <f>IF(J2102="Yes","",H2102-I2102)</f>
        <v/>
      </c>
      <c r="M2102" s="27">
        <f>IF(OR(J2102="Yes",I2102=0),"",H2102/I2102)</f>
        <v/>
      </c>
      <c r="N2102" s="21">
        <f>IF(J2102="Yes","",IF(H2102&gt;=I2102,1,0))</f>
        <v/>
      </c>
      <c r="O2102" s="21">
        <f>IF(I2102&lt;=5000000,"Under $5M",IF(I2102&lt;=20000000,"$5M-20M",IF(I2102&lt;=50000000,"$20M-50M",IF(I2102&lt;=100000000,"$50M-100M","$100M+"))))</f>
        <v/>
      </c>
      <c r="P2102" s="21">
        <f>IF(E2102&lt;=90,"90 or less",IF(E2102&lt;=105,"91-105",IF(E2102&lt;=120,"106-120",IF(E2102&lt;=140,"121-140","Over 140"))))</f>
        <v/>
      </c>
      <c r="Q2102" s="28">
        <f>INT(C2102/10)*10</f>
        <v/>
      </c>
    </row>
    <row r="2103">
      <c r="A2103" s="21" t="n">
        <v>2147</v>
      </c>
      <c r="B2103" s="21" t="inlineStr">
        <is>
          <t>Godsend</t>
        </is>
      </c>
      <c r="C2103" s="21" t="n">
        <v>2004</v>
      </c>
      <c r="D2103" s="21" t="inlineStr">
        <is>
          <t>USA</t>
        </is>
      </c>
      <c r="E2103" s="21" t="n">
        <v>102</v>
      </c>
      <c r="F2103" s="21" t="inlineStr">
        <is>
          <t>English</t>
        </is>
      </c>
      <c r="G2103" s="21" t="inlineStr">
        <is>
          <t>PG-13</t>
        </is>
      </c>
      <c r="H2103" s="22" t="n">
        <v>14334645</v>
      </c>
      <c r="I2103" s="22" t="n">
        <v>25000000</v>
      </c>
      <c r="J2103" s="21">
        <f>IF(OR(H2103="",H2103=25529689.5),"Yes","No")</f>
        <v/>
      </c>
      <c r="K2103" s="21">
        <f>IF(AND(D2103="USA",C2103&gt;=1980,J2103="No"),"Yes","No")</f>
        <v/>
      </c>
      <c r="L2103" s="26">
        <f>IF(J2103="Yes","",H2103-I2103)</f>
        <v/>
      </c>
      <c r="M2103" s="27">
        <f>IF(OR(J2103="Yes",I2103=0),"",H2103/I2103)</f>
        <v/>
      </c>
      <c r="N2103" s="21">
        <f>IF(J2103="Yes","",IF(H2103&gt;=I2103,1,0))</f>
        <v/>
      </c>
      <c r="O2103" s="21">
        <f>IF(I2103&lt;=5000000,"Under $5M",IF(I2103&lt;=20000000,"$5M-20M",IF(I2103&lt;=50000000,"$20M-50M",IF(I2103&lt;=100000000,"$50M-100M","$100M+"))))</f>
        <v/>
      </c>
      <c r="P2103" s="21">
        <f>IF(E2103&lt;=90,"90 or less",IF(E2103&lt;=105,"91-105",IF(E2103&lt;=120,"106-120",IF(E2103&lt;=140,"121-140","Over 140"))))</f>
        <v/>
      </c>
      <c r="Q2103" s="28">
        <f>INT(C2103/10)*10</f>
        <v/>
      </c>
    </row>
    <row r="2104">
      <c r="A2104" s="21" t="n">
        <v>2148</v>
      </c>
      <c r="B2104" s="21" t="inlineStr">
        <is>
          <t>Guiana 1838</t>
        </is>
      </c>
      <c r="C2104" s="21" t="n">
        <v>2004</v>
      </c>
      <c r="D2104" s="21" t="inlineStr">
        <is>
          <t>USA</t>
        </is>
      </c>
      <c r="E2104" s="21" t="n">
        <v>120</v>
      </c>
      <c r="F2104" s="21" t="inlineStr">
        <is>
          <t>English</t>
        </is>
      </c>
      <c r="G2104" s="21" t="inlineStr">
        <is>
          <t>Unrated</t>
        </is>
      </c>
      <c r="H2104" s="22" t="n">
        <v>227241</v>
      </c>
      <c r="I2104" s="22" t="n">
        <v>20000000</v>
      </c>
      <c r="J2104" s="21">
        <f>IF(OR(H2104="",H2104=25529689.5),"Yes","No")</f>
        <v/>
      </c>
      <c r="K2104" s="21">
        <f>IF(AND(D2104="USA",C2104&gt;=1980,J2104="No"),"Yes","No")</f>
        <v/>
      </c>
      <c r="L2104" s="26">
        <f>IF(J2104="Yes","",H2104-I2104)</f>
        <v/>
      </c>
      <c r="M2104" s="27">
        <f>IF(OR(J2104="Yes",I2104=0),"",H2104/I2104)</f>
        <v/>
      </c>
      <c r="N2104" s="21">
        <f>IF(J2104="Yes","",IF(H2104&gt;=I2104,1,0))</f>
        <v/>
      </c>
      <c r="O2104" s="21">
        <f>IF(I2104&lt;=5000000,"Under $5M",IF(I2104&lt;=20000000,"$5M-20M",IF(I2104&lt;=50000000,"$20M-50M",IF(I2104&lt;=100000000,"$50M-100M","$100M+"))))</f>
        <v/>
      </c>
      <c r="P2104" s="21">
        <f>IF(E2104&lt;=90,"90 or less",IF(E2104&lt;=105,"91-105",IF(E2104&lt;=120,"106-120",IF(E2104&lt;=140,"121-140","Over 140"))))</f>
        <v/>
      </c>
      <c r="Q2104" s="28">
        <f>INT(C2104/10)*10</f>
        <v/>
      </c>
    </row>
    <row r="2105">
      <c r="A2105" s="21" t="n">
        <v>2149</v>
      </c>
      <c r="B2105" s="21" t="inlineStr">
        <is>
          <t>Harold &amp; Kumar Go to White Castle</t>
        </is>
      </c>
      <c r="C2105" s="21" t="n">
        <v>2004</v>
      </c>
      <c r="D2105" s="21" t="inlineStr">
        <is>
          <t>USA</t>
        </is>
      </c>
      <c r="E2105" s="21" t="n">
        <v>88</v>
      </c>
      <c r="F2105" s="21" t="inlineStr">
        <is>
          <t>English</t>
        </is>
      </c>
      <c r="G2105" s="21" t="inlineStr">
        <is>
          <t>R</t>
        </is>
      </c>
      <c r="H2105" s="22" t="n">
        <v>18225165</v>
      </c>
      <c r="I2105" s="22" t="n">
        <v>9000000</v>
      </c>
      <c r="J2105" s="21">
        <f>IF(OR(H2105="",H2105=25529689.5),"Yes","No")</f>
        <v/>
      </c>
      <c r="K2105" s="21">
        <f>IF(AND(D2105="USA",C2105&gt;=1980,J2105="No"),"Yes","No")</f>
        <v/>
      </c>
      <c r="L2105" s="26">
        <f>IF(J2105="Yes","",H2105-I2105)</f>
        <v/>
      </c>
      <c r="M2105" s="27">
        <f>IF(OR(J2105="Yes",I2105=0),"",H2105/I2105)</f>
        <v/>
      </c>
      <c r="N2105" s="21">
        <f>IF(J2105="Yes","",IF(H2105&gt;=I2105,1,0))</f>
        <v/>
      </c>
      <c r="O2105" s="21">
        <f>IF(I2105&lt;=5000000,"Under $5M",IF(I2105&lt;=20000000,"$5M-20M",IF(I2105&lt;=50000000,"$20M-50M",IF(I2105&lt;=100000000,"$50M-100M","$100M+"))))</f>
        <v/>
      </c>
      <c r="P2105" s="21">
        <f>IF(E2105&lt;=90,"90 or less",IF(E2105&lt;=105,"91-105",IF(E2105&lt;=120,"106-120",IF(E2105&lt;=140,"121-140","Over 140"))))</f>
        <v/>
      </c>
      <c r="Q2105" s="28">
        <f>INT(C2105/10)*10</f>
        <v/>
      </c>
    </row>
    <row r="2106">
      <c r="A2106" s="21" t="n">
        <v>2150</v>
      </c>
      <c r="B2106" s="21" t="inlineStr">
        <is>
          <t>Harry Potter and the Prisoner of Azkaban</t>
        </is>
      </c>
      <c r="C2106" s="21" t="n">
        <v>2004</v>
      </c>
      <c r="D2106" s="21" t="inlineStr">
        <is>
          <t>UK</t>
        </is>
      </c>
      <c r="E2106" s="21" t="n">
        <v>142</v>
      </c>
      <c r="F2106" s="21" t="inlineStr">
        <is>
          <t>English</t>
        </is>
      </c>
      <c r="G2106" s="21" t="inlineStr">
        <is>
          <t>PG</t>
        </is>
      </c>
      <c r="H2106" s="22" t="n">
        <v>249358727</v>
      </c>
      <c r="I2106" s="22" t="n">
        <v>130000000</v>
      </c>
      <c r="J2106" s="21">
        <f>IF(OR(H2106="",H2106=25529689.5),"Yes","No")</f>
        <v/>
      </c>
      <c r="K2106" s="21">
        <f>IF(AND(D2106="USA",C2106&gt;=1980,J2106="No"),"Yes","No")</f>
        <v/>
      </c>
      <c r="L2106" s="26">
        <f>IF(J2106="Yes","",H2106-I2106)</f>
        <v/>
      </c>
      <c r="M2106" s="27">
        <f>IF(OR(J2106="Yes",I2106=0),"",H2106/I2106)</f>
        <v/>
      </c>
      <c r="N2106" s="21">
        <f>IF(J2106="Yes","",IF(H2106&gt;=I2106,1,0))</f>
        <v/>
      </c>
      <c r="O2106" s="21">
        <f>IF(I2106&lt;=5000000,"Under $5M",IF(I2106&lt;=20000000,"$5M-20M",IF(I2106&lt;=50000000,"$20M-50M",IF(I2106&lt;=100000000,"$50M-100M","$100M+"))))</f>
        <v/>
      </c>
      <c r="P2106" s="21">
        <f>IF(E2106&lt;=90,"90 or less",IF(E2106&lt;=105,"91-105",IF(E2106&lt;=120,"106-120",IF(E2106&lt;=140,"121-140","Over 140"))))</f>
        <v/>
      </c>
      <c r="Q2106" s="28">
        <f>INT(C2106/10)*10</f>
        <v/>
      </c>
    </row>
    <row r="2107">
      <c r="A2107" s="21" t="n">
        <v>2151</v>
      </c>
      <c r="B2107" s="21" t="inlineStr">
        <is>
          <t>Hellboy</t>
        </is>
      </c>
      <c r="C2107" s="21" t="n">
        <v>2004</v>
      </c>
      <c r="D2107" s="21" t="inlineStr">
        <is>
          <t>USA</t>
        </is>
      </c>
      <c r="E2107" s="21" t="n">
        <v>132</v>
      </c>
      <c r="F2107" s="21" t="inlineStr">
        <is>
          <t>English</t>
        </is>
      </c>
      <c r="G2107" s="21" t="inlineStr">
        <is>
          <t>PG-13</t>
        </is>
      </c>
      <c r="H2107" s="22" t="n">
        <v>59035104</v>
      </c>
      <c r="I2107" s="22" t="n">
        <v>66000000</v>
      </c>
      <c r="J2107" s="21">
        <f>IF(OR(H2107="",H2107=25529689.5),"Yes","No")</f>
        <v/>
      </c>
      <c r="K2107" s="21">
        <f>IF(AND(D2107="USA",C2107&gt;=1980,J2107="No"),"Yes","No")</f>
        <v/>
      </c>
      <c r="L2107" s="26">
        <f>IF(J2107="Yes","",H2107-I2107)</f>
        <v/>
      </c>
      <c r="M2107" s="27">
        <f>IF(OR(J2107="Yes",I2107=0),"",H2107/I2107)</f>
        <v/>
      </c>
      <c r="N2107" s="21">
        <f>IF(J2107="Yes","",IF(H2107&gt;=I2107,1,0))</f>
        <v/>
      </c>
      <c r="O2107" s="21">
        <f>IF(I2107&lt;=5000000,"Under $5M",IF(I2107&lt;=20000000,"$5M-20M",IF(I2107&lt;=50000000,"$20M-50M",IF(I2107&lt;=100000000,"$50M-100M","$100M+"))))</f>
        <v/>
      </c>
      <c r="P2107" s="21">
        <f>IF(E2107&lt;=90,"90 or less",IF(E2107&lt;=105,"91-105",IF(E2107&lt;=120,"106-120",IF(E2107&lt;=140,"121-140","Over 140"))))</f>
        <v/>
      </c>
      <c r="Q2107" s="28">
        <f>INT(C2107/10)*10</f>
        <v/>
      </c>
    </row>
    <row r="2108">
      <c r="A2108" s="21" t="n">
        <v>2152</v>
      </c>
      <c r="B2108" s="21" t="inlineStr">
        <is>
          <t>Hidalgo</t>
        </is>
      </c>
      <c r="C2108" s="21" t="n">
        <v>2004</v>
      </c>
      <c r="D2108" s="21" t="inlineStr">
        <is>
          <t>USA</t>
        </is>
      </c>
      <c r="E2108" s="21" t="n">
        <v>136</v>
      </c>
      <c r="F2108" s="21" t="inlineStr">
        <is>
          <t>English</t>
        </is>
      </c>
      <c r="G2108" s="21" t="inlineStr">
        <is>
          <t>PG-13</t>
        </is>
      </c>
      <c r="H2108" s="22" t="n">
        <v>67286731</v>
      </c>
      <c r="I2108" s="22" t="n">
        <v>100000000</v>
      </c>
      <c r="J2108" s="21">
        <f>IF(OR(H2108="",H2108=25529689.5),"Yes","No")</f>
        <v/>
      </c>
      <c r="K2108" s="21">
        <f>IF(AND(D2108="USA",C2108&gt;=1980,J2108="No"),"Yes","No")</f>
        <v/>
      </c>
      <c r="L2108" s="26">
        <f>IF(J2108="Yes","",H2108-I2108)</f>
        <v/>
      </c>
      <c r="M2108" s="27">
        <f>IF(OR(J2108="Yes",I2108=0),"",H2108/I2108)</f>
        <v/>
      </c>
      <c r="N2108" s="21">
        <f>IF(J2108="Yes","",IF(H2108&gt;=I2108,1,0))</f>
        <v/>
      </c>
      <c r="O2108" s="21">
        <f>IF(I2108&lt;=5000000,"Under $5M",IF(I2108&lt;=20000000,"$5M-20M",IF(I2108&lt;=50000000,"$20M-50M",IF(I2108&lt;=100000000,"$50M-100M","$100M+"))))</f>
        <v/>
      </c>
      <c r="P2108" s="21">
        <f>IF(E2108&lt;=90,"90 or less",IF(E2108&lt;=105,"91-105",IF(E2108&lt;=120,"106-120",IF(E2108&lt;=140,"121-140","Over 140"))))</f>
        <v/>
      </c>
      <c r="Q2108" s="28">
        <f>INT(C2108/10)*10</f>
        <v/>
      </c>
    </row>
    <row r="2109">
      <c r="A2109" s="21" t="n">
        <v>2153</v>
      </c>
      <c r="B2109" s="21" t="inlineStr">
        <is>
          <t>Home on the Range</t>
        </is>
      </c>
      <c r="C2109" s="21" t="n">
        <v>2004</v>
      </c>
      <c r="D2109" s="21" t="inlineStr">
        <is>
          <t>USA</t>
        </is>
      </c>
      <c r="E2109" s="21" t="n">
        <v>76</v>
      </c>
      <c r="F2109" s="21" t="inlineStr">
        <is>
          <t>English</t>
        </is>
      </c>
      <c r="G2109" s="21" t="inlineStr">
        <is>
          <t>PG</t>
        </is>
      </c>
      <c r="H2109" s="22" t="n">
        <v>50026353</v>
      </c>
      <c r="I2109" s="22" t="n">
        <v>110000000</v>
      </c>
      <c r="J2109" s="21">
        <f>IF(OR(H2109="",H2109=25529689.5),"Yes","No")</f>
        <v/>
      </c>
      <c r="K2109" s="21">
        <f>IF(AND(D2109="USA",C2109&gt;=1980,J2109="No"),"Yes","No")</f>
        <v/>
      </c>
      <c r="L2109" s="26">
        <f>IF(J2109="Yes","",H2109-I2109)</f>
        <v/>
      </c>
      <c r="M2109" s="27">
        <f>IF(OR(J2109="Yes",I2109=0),"",H2109/I2109)</f>
        <v/>
      </c>
      <c r="N2109" s="21">
        <f>IF(J2109="Yes","",IF(H2109&gt;=I2109,1,0))</f>
        <v/>
      </c>
      <c r="O2109" s="21">
        <f>IF(I2109&lt;=5000000,"Under $5M",IF(I2109&lt;=20000000,"$5M-20M",IF(I2109&lt;=50000000,"$20M-50M",IF(I2109&lt;=100000000,"$50M-100M","$100M+"))))</f>
        <v/>
      </c>
      <c r="P2109" s="21">
        <f>IF(E2109&lt;=90,"90 or less",IF(E2109&lt;=105,"91-105",IF(E2109&lt;=120,"106-120",IF(E2109&lt;=140,"121-140","Over 140"))))</f>
        <v/>
      </c>
      <c r="Q2109" s="28">
        <f>INT(C2109/10)*10</f>
        <v/>
      </c>
    </row>
    <row r="2110">
      <c r="A2110" s="21" t="n">
        <v>2154</v>
      </c>
      <c r="B2110" s="21" t="inlineStr">
        <is>
          <t>Hotel Rwanda</t>
        </is>
      </c>
      <c r="C2110" s="21" t="n">
        <v>2004</v>
      </c>
      <c r="D2110" s="21" t="inlineStr">
        <is>
          <t>UK</t>
        </is>
      </c>
      <c r="E2110" s="21" t="n">
        <v>121</v>
      </c>
      <c r="F2110" s="21" t="inlineStr">
        <is>
          <t>English</t>
        </is>
      </c>
      <c r="G2110" s="21" t="inlineStr">
        <is>
          <t>PG-13</t>
        </is>
      </c>
      <c r="H2110" s="22" t="n">
        <v>23472900</v>
      </c>
      <c r="I2110" s="22" t="n">
        <v>17500000</v>
      </c>
      <c r="J2110" s="21">
        <f>IF(OR(H2110="",H2110=25529689.5),"Yes","No")</f>
        <v/>
      </c>
      <c r="K2110" s="21">
        <f>IF(AND(D2110="USA",C2110&gt;=1980,J2110="No"),"Yes","No")</f>
        <v/>
      </c>
      <c r="L2110" s="26">
        <f>IF(J2110="Yes","",H2110-I2110)</f>
        <v/>
      </c>
      <c r="M2110" s="27">
        <f>IF(OR(J2110="Yes",I2110=0),"",H2110/I2110)</f>
        <v/>
      </c>
      <c r="N2110" s="21">
        <f>IF(J2110="Yes","",IF(H2110&gt;=I2110,1,0))</f>
        <v/>
      </c>
      <c r="O2110" s="21">
        <f>IF(I2110&lt;=5000000,"Under $5M",IF(I2110&lt;=20000000,"$5M-20M",IF(I2110&lt;=50000000,"$20M-50M",IF(I2110&lt;=100000000,"$50M-100M","$100M+"))))</f>
        <v/>
      </c>
      <c r="P2110" s="21">
        <f>IF(E2110&lt;=90,"90 or less",IF(E2110&lt;=105,"91-105",IF(E2110&lt;=120,"106-120",IF(E2110&lt;=140,"121-140","Over 140"))))</f>
        <v/>
      </c>
      <c r="Q2110" s="28">
        <f>INT(C2110/10)*10</f>
        <v/>
      </c>
    </row>
    <row r="2111">
      <c r="A2111" s="21" t="n">
        <v>2155</v>
      </c>
      <c r="B2111" s="21" t="inlineStr">
        <is>
          <t>House of D</t>
        </is>
      </c>
      <c r="C2111" s="21" t="n">
        <v>2004</v>
      </c>
      <c r="D2111" s="21" t="inlineStr">
        <is>
          <t>USA</t>
        </is>
      </c>
      <c r="E2111" s="21" t="n">
        <v>96</v>
      </c>
      <c r="F2111" s="21" t="inlineStr">
        <is>
          <t>English</t>
        </is>
      </c>
      <c r="G2111" s="21" t="inlineStr">
        <is>
          <t>PG-13</t>
        </is>
      </c>
      <c r="H2111" s="22" t="n">
        <v>371081</v>
      </c>
      <c r="I2111" s="22" t="n">
        <v>6000000</v>
      </c>
      <c r="J2111" s="21">
        <f>IF(OR(H2111="",H2111=25529689.5),"Yes","No")</f>
        <v/>
      </c>
      <c r="K2111" s="21">
        <f>IF(AND(D2111="USA",C2111&gt;=1980,J2111="No"),"Yes","No")</f>
        <v/>
      </c>
      <c r="L2111" s="26">
        <f>IF(J2111="Yes","",H2111-I2111)</f>
        <v/>
      </c>
      <c r="M2111" s="27">
        <f>IF(OR(J2111="Yes",I2111=0),"",H2111/I2111)</f>
        <v/>
      </c>
      <c r="N2111" s="21">
        <f>IF(J2111="Yes","",IF(H2111&gt;=I2111,1,0))</f>
        <v/>
      </c>
      <c r="O2111" s="21">
        <f>IF(I2111&lt;=5000000,"Under $5M",IF(I2111&lt;=20000000,"$5M-20M",IF(I2111&lt;=50000000,"$20M-50M",IF(I2111&lt;=100000000,"$50M-100M","$100M+"))))</f>
        <v/>
      </c>
      <c r="P2111" s="21">
        <f>IF(E2111&lt;=90,"90 or less",IF(E2111&lt;=105,"91-105",IF(E2111&lt;=120,"106-120",IF(E2111&lt;=140,"121-140","Over 140"))))</f>
        <v/>
      </c>
      <c r="Q2111" s="28">
        <f>INT(C2111/10)*10</f>
        <v/>
      </c>
    </row>
    <row r="2112">
      <c r="A2112" s="21" t="n">
        <v>2156</v>
      </c>
      <c r="B2112" s="21" t="inlineStr">
        <is>
          <t>House of Flying Daggers</t>
        </is>
      </c>
      <c r="C2112" s="21" t="n">
        <v>2004</v>
      </c>
      <c r="D2112" s="21" t="inlineStr">
        <is>
          <t>China</t>
        </is>
      </c>
      <c r="E2112" s="21" t="n">
        <v>119</v>
      </c>
      <c r="F2112" s="21" t="inlineStr">
        <is>
          <t>Mandarin</t>
        </is>
      </c>
      <c r="G2112" s="21" t="inlineStr">
        <is>
          <t>PG-13</t>
        </is>
      </c>
      <c r="H2112" s="22" t="n">
        <v>11041228</v>
      </c>
      <c r="I2112" s="22" t="n">
        <v>100000000</v>
      </c>
      <c r="J2112" s="21">
        <f>IF(OR(H2112="",H2112=25529689.5),"Yes","No")</f>
        <v/>
      </c>
      <c r="K2112" s="21">
        <f>IF(AND(D2112="USA",C2112&gt;=1980,J2112="No"),"Yes","No")</f>
        <v/>
      </c>
      <c r="L2112" s="26">
        <f>IF(J2112="Yes","",H2112-I2112)</f>
        <v/>
      </c>
      <c r="M2112" s="27">
        <f>IF(OR(J2112="Yes",I2112=0),"",H2112/I2112)</f>
        <v/>
      </c>
      <c r="N2112" s="21">
        <f>IF(J2112="Yes","",IF(H2112&gt;=I2112,1,0))</f>
        <v/>
      </c>
      <c r="O2112" s="21">
        <f>IF(I2112&lt;=5000000,"Under $5M",IF(I2112&lt;=20000000,"$5M-20M",IF(I2112&lt;=50000000,"$20M-50M",IF(I2112&lt;=100000000,"$50M-100M","$100M+"))))</f>
        <v/>
      </c>
      <c r="P2112" s="21">
        <f>IF(E2112&lt;=90,"90 or less",IF(E2112&lt;=105,"91-105",IF(E2112&lt;=120,"106-120",IF(E2112&lt;=140,"121-140","Over 140"))))</f>
        <v/>
      </c>
      <c r="Q2112" s="28">
        <f>INT(C2112/10)*10</f>
        <v/>
      </c>
    </row>
    <row r="2113">
      <c r="A2113" s="21" t="n">
        <v>2157</v>
      </c>
      <c r="B2113" s="21" t="inlineStr">
        <is>
          <t>Howl's Moving Castle</t>
        </is>
      </c>
      <c r="C2113" s="21" t="n">
        <v>2004</v>
      </c>
      <c r="D2113" s="21" t="inlineStr">
        <is>
          <t>Japan</t>
        </is>
      </c>
      <c r="E2113" s="21" t="n">
        <v>119</v>
      </c>
      <c r="F2113" s="21" t="inlineStr">
        <is>
          <t>Japanese</t>
        </is>
      </c>
      <c r="G2113" s="21" t="inlineStr">
        <is>
          <t>PG</t>
        </is>
      </c>
      <c r="H2113" s="22" t="n">
        <v>4710455</v>
      </c>
      <c r="I2113" s="22" t="n">
        <v>24000000</v>
      </c>
      <c r="J2113" s="21">
        <f>IF(OR(H2113="",H2113=25529689.5),"Yes","No")</f>
        <v/>
      </c>
      <c r="K2113" s="21">
        <f>IF(AND(D2113="USA",C2113&gt;=1980,J2113="No"),"Yes","No")</f>
        <v/>
      </c>
      <c r="L2113" s="26">
        <f>IF(J2113="Yes","",H2113-I2113)</f>
        <v/>
      </c>
      <c r="M2113" s="27">
        <f>IF(OR(J2113="Yes",I2113=0),"",H2113/I2113)</f>
        <v/>
      </c>
      <c r="N2113" s="21">
        <f>IF(J2113="Yes","",IF(H2113&gt;=I2113,1,0))</f>
        <v/>
      </c>
      <c r="O2113" s="21">
        <f>IF(I2113&lt;=5000000,"Under $5M",IF(I2113&lt;=20000000,"$5M-20M",IF(I2113&lt;=50000000,"$20M-50M",IF(I2113&lt;=100000000,"$50M-100M","$100M+"))))</f>
        <v/>
      </c>
      <c r="P2113" s="21">
        <f>IF(E2113&lt;=90,"90 or less",IF(E2113&lt;=105,"91-105",IF(E2113&lt;=120,"106-120",IF(E2113&lt;=140,"121-140","Over 140"))))</f>
        <v/>
      </c>
      <c r="Q2113" s="28">
        <f>INT(C2113/10)*10</f>
        <v/>
      </c>
    </row>
    <row r="2114">
      <c r="A2114" s="21" t="n">
        <v>2158</v>
      </c>
      <c r="B2114" s="21" t="inlineStr">
        <is>
          <t>I Heart Huckabees</t>
        </is>
      </c>
      <c r="C2114" s="21" t="n">
        <v>2004</v>
      </c>
      <c r="D2114" s="21" t="inlineStr">
        <is>
          <t>USA</t>
        </is>
      </c>
      <c r="E2114" s="21" t="n">
        <v>107</v>
      </c>
      <c r="F2114" s="21" t="inlineStr">
        <is>
          <t>English</t>
        </is>
      </c>
      <c r="G2114" s="21" t="inlineStr">
        <is>
          <t>R</t>
        </is>
      </c>
      <c r="H2114" s="22" t="n">
        <v>12784713</v>
      </c>
      <c r="I2114" s="22" t="n">
        <v>22000000</v>
      </c>
      <c r="J2114" s="21">
        <f>IF(OR(H2114="",H2114=25529689.5),"Yes","No")</f>
        <v/>
      </c>
      <c r="K2114" s="21">
        <f>IF(AND(D2114="USA",C2114&gt;=1980,J2114="No"),"Yes","No")</f>
        <v/>
      </c>
      <c r="L2114" s="26">
        <f>IF(J2114="Yes","",H2114-I2114)</f>
        <v/>
      </c>
      <c r="M2114" s="27">
        <f>IF(OR(J2114="Yes",I2114=0),"",H2114/I2114)</f>
        <v/>
      </c>
      <c r="N2114" s="21">
        <f>IF(J2114="Yes","",IF(H2114&gt;=I2114,1,0))</f>
        <v/>
      </c>
      <c r="O2114" s="21">
        <f>IF(I2114&lt;=5000000,"Under $5M",IF(I2114&lt;=20000000,"$5M-20M",IF(I2114&lt;=50000000,"$20M-50M",IF(I2114&lt;=100000000,"$50M-100M","$100M+"))))</f>
        <v/>
      </c>
      <c r="P2114" s="21">
        <f>IF(E2114&lt;=90,"90 or less",IF(E2114&lt;=105,"91-105",IF(E2114&lt;=120,"106-120",IF(E2114&lt;=140,"121-140","Over 140"))))</f>
        <v/>
      </c>
      <c r="Q2114" s="28">
        <f>INT(C2114/10)*10</f>
        <v/>
      </c>
    </row>
    <row r="2115">
      <c r="A2115" s="21" t="n">
        <v>2159</v>
      </c>
      <c r="B2115" s="21" t="inlineStr">
        <is>
          <t>I, Robot</t>
        </is>
      </c>
      <c r="C2115" s="21" t="n">
        <v>2004</v>
      </c>
      <c r="D2115" s="21" t="inlineStr">
        <is>
          <t>USA</t>
        </is>
      </c>
      <c r="E2115" s="21" t="n">
        <v>115</v>
      </c>
      <c r="F2115" s="21" t="inlineStr">
        <is>
          <t>English</t>
        </is>
      </c>
      <c r="G2115" s="21" t="inlineStr">
        <is>
          <t>PG-13</t>
        </is>
      </c>
      <c r="H2115" s="22" t="n">
        <v>144795350</v>
      </c>
      <c r="I2115" s="22" t="n">
        <v>120000000</v>
      </c>
      <c r="J2115" s="21">
        <f>IF(OR(H2115="",H2115=25529689.5),"Yes","No")</f>
        <v/>
      </c>
      <c r="K2115" s="21">
        <f>IF(AND(D2115="USA",C2115&gt;=1980,J2115="No"),"Yes","No")</f>
        <v/>
      </c>
      <c r="L2115" s="26">
        <f>IF(J2115="Yes","",H2115-I2115)</f>
        <v/>
      </c>
      <c r="M2115" s="27">
        <f>IF(OR(J2115="Yes",I2115=0),"",H2115/I2115)</f>
        <v/>
      </c>
      <c r="N2115" s="21">
        <f>IF(J2115="Yes","",IF(H2115&gt;=I2115,1,0))</f>
        <v/>
      </c>
      <c r="O2115" s="21">
        <f>IF(I2115&lt;=5000000,"Under $5M",IF(I2115&lt;=20000000,"$5M-20M",IF(I2115&lt;=50000000,"$20M-50M",IF(I2115&lt;=100000000,"$50M-100M","$100M+"))))</f>
        <v/>
      </c>
      <c r="P2115" s="21">
        <f>IF(E2115&lt;=90,"90 or less",IF(E2115&lt;=105,"91-105",IF(E2115&lt;=120,"106-120",IF(E2115&lt;=140,"121-140","Over 140"))))</f>
        <v/>
      </c>
      <c r="Q2115" s="28">
        <f>INT(C2115/10)*10</f>
        <v/>
      </c>
    </row>
    <row r="2116">
      <c r="A2116" s="21" t="n">
        <v>2160</v>
      </c>
      <c r="B2116" s="21" t="inlineStr">
        <is>
          <t>Imaginary Heroes</t>
        </is>
      </c>
      <c r="C2116" s="21" t="n">
        <v>2004</v>
      </c>
      <c r="D2116" s="21" t="inlineStr">
        <is>
          <t>USA</t>
        </is>
      </c>
      <c r="E2116" s="21" t="n">
        <v>111</v>
      </c>
      <c r="F2116" s="21" t="inlineStr">
        <is>
          <t>English</t>
        </is>
      </c>
      <c r="G2116" s="21" t="inlineStr">
        <is>
          <t>R</t>
        </is>
      </c>
      <c r="H2116" s="22" t="n">
        <v>228524</v>
      </c>
      <c r="I2116" s="22" t="n">
        <v>4000000</v>
      </c>
      <c r="J2116" s="21">
        <f>IF(OR(H2116="",H2116=25529689.5),"Yes","No")</f>
        <v/>
      </c>
      <c r="K2116" s="21">
        <f>IF(AND(D2116="USA",C2116&gt;=1980,J2116="No"),"Yes","No")</f>
        <v/>
      </c>
      <c r="L2116" s="26">
        <f>IF(J2116="Yes","",H2116-I2116)</f>
        <v/>
      </c>
      <c r="M2116" s="27">
        <f>IF(OR(J2116="Yes",I2116=0),"",H2116/I2116)</f>
        <v/>
      </c>
      <c r="N2116" s="21">
        <f>IF(J2116="Yes","",IF(H2116&gt;=I2116,1,0))</f>
        <v/>
      </c>
      <c r="O2116" s="21">
        <f>IF(I2116&lt;=5000000,"Under $5M",IF(I2116&lt;=20000000,"$5M-20M",IF(I2116&lt;=50000000,"$20M-50M",IF(I2116&lt;=100000000,"$50M-100M","$100M+"))))</f>
        <v/>
      </c>
      <c r="P2116" s="21">
        <f>IF(E2116&lt;=90,"90 or less",IF(E2116&lt;=105,"91-105",IF(E2116&lt;=120,"106-120",IF(E2116&lt;=140,"121-140","Over 140"))))</f>
        <v/>
      </c>
      <c r="Q2116" s="28">
        <f>INT(C2116/10)*10</f>
        <v/>
      </c>
    </row>
    <row r="2117">
      <c r="A2117" s="21" t="n">
        <v>2161</v>
      </c>
      <c r="B2117" s="21" t="inlineStr">
        <is>
          <t>In Good Company</t>
        </is>
      </c>
      <c r="C2117" s="21" t="n">
        <v>2004</v>
      </c>
      <c r="D2117" s="21" t="inlineStr">
        <is>
          <t>USA</t>
        </is>
      </c>
      <c r="E2117" s="21" t="n">
        <v>109</v>
      </c>
      <c r="F2117" s="21" t="inlineStr">
        <is>
          <t>English</t>
        </is>
      </c>
      <c r="G2117" s="21" t="inlineStr">
        <is>
          <t>PG-13</t>
        </is>
      </c>
      <c r="H2117" s="22" t="n">
        <v>45489752</v>
      </c>
      <c r="I2117" s="22" t="n">
        <v>26000000</v>
      </c>
      <c r="J2117" s="21">
        <f>IF(OR(H2117="",H2117=25529689.5),"Yes","No")</f>
        <v/>
      </c>
      <c r="K2117" s="21">
        <f>IF(AND(D2117="USA",C2117&gt;=1980,J2117="No"),"Yes","No")</f>
        <v/>
      </c>
      <c r="L2117" s="26">
        <f>IF(J2117="Yes","",H2117-I2117)</f>
        <v/>
      </c>
      <c r="M2117" s="27">
        <f>IF(OR(J2117="Yes",I2117=0),"",H2117/I2117)</f>
        <v/>
      </c>
      <c r="N2117" s="21">
        <f>IF(J2117="Yes","",IF(H2117&gt;=I2117,1,0))</f>
        <v/>
      </c>
      <c r="O2117" s="21">
        <f>IF(I2117&lt;=5000000,"Under $5M",IF(I2117&lt;=20000000,"$5M-20M",IF(I2117&lt;=50000000,"$20M-50M",IF(I2117&lt;=100000000,"$50M-100M","$100M+"))))</f>
        <v/>
      </c>
      <c r="P2117" s="21">
        <f>IF(E2117&lt;=90,"90 or less",IF(E2117&lt;=105,"91-105",IF(E2117&lt;=120,"106-120",IF(E2117&lt;=140,"121-140","Over 140"))))</f>
        <v/>
      </c>
      <c r="Q2117" s="28">
        <f>INT(C2117/10)*10</f>
        <v/>
      </c>
    </row>
    <row r="2118">
      <c r="A2118" s="21" t="n">
        <v>2162</v>
      </c>
      <c r="B2118" s="21" t="inlineStr">
        <is>
          <t>Incident at Loch Ness</t>
        </is>
      </c>
      <c r="C2118" s="21" t="n">
        <v>2004</v>
      </c>
      <c r="D2118" s="21" t="inlineStr">
        <is>
          <t>UK</t>
        </is>
      </c>
      <c r="E2118" s="21" t="n">
        <v>94</v>
      </c>
      <c r="F2118" s="21" t="inlineStr">
        <is>
          <t>English</t>
        </is>
      </c>
      <c r="G2118" s="21" t="inlineStr">
        <is>
          <t>PG-13</t>
        </is>
      </c>
      <c r="H2118" s="22" t="n">
        <v>36830</v>
      </c>
      <c r="I2118" s="22" t="n">
        <v>1400000</v>
      </c>
      <c r="J2118" s="21">
        <f>IF(OR(H2118="",H2118=25529689.5),"Yes","No")</f>
        <v/>
      </c>
      <c r="K2118" s="21">
        <f>IF(AND(D2118="USA",C2118&gt;=1980,J2118="No"),"Yes","No")</f>
        <v/>
      </c>
      <c r="L2118" s="26">
        <f>IF(J2118="Yes","",H2118-I2118)</f>
        <v/>
      </c>
      <c r="M2118" s="27">
        <f>IF(OR(J2118="Yes",I2118=0),"",H2118/I2118)</f>
        <v/>
      </c>
      <c r="N2118" s="21">
        <f>IF(J2118="Yes","",IF(H2118&gt;=I2118,1,0))</f>
        <v/>
      </c>
      <c r="O2118" s="21">
        <f>IF(I2118&lt;=5000000,"Under $5M",IF(I2118&lt;=20000000,"$5M-20M",IF(I2118&lt;=50000000,"$20M-50M",IF(I2118&lt;=100000000,"$50M-100M","$100M+"))))</f>
        <v/>
      </c>
      <c r="P2118" s="21">
        <f>IF(E2118&lt;=90,"90 or less",IF(E2118&lt;=105,"91-105",IF(E2118&lt;=120,"106-120",IF(E2118&lt;=140,"121-140","Over 140"))))</f>
        <v/>
      </c>
      <c r="Q2118" s="28">
        <f>INT(C2118/10)*10</f>
        <v/>
      </c>
    </row>
    <row r="2119">
      <c r="A2119" s="21" t="n">
        <v>2163</v>
      </c>
      <c r="B2119" s="21" t="inlineStr">
        <is>
          <t>It's All Gone Pete Tong</t>
        </is>
      </c>
      <c r="C2119" s="21" t="n">
        <v>2004</v>
      </c>
      <c r="D2119" s="21" t="inlineStr">
        <is>
          <t>UK</t>
        </is>
      </c>
      <c r="E2119" s="21" t="n">
        <v>90</v>
      </c>
      <c r="F2119" s="21" t="inlineStr">
        <is>
          <t>English</t>
        </is>
      </c>
      <c r="G2119" s="21" t="inlineStr">
        <is>
          <t>R</t>
        </is>
      </c>
      <c r="H2119" s="22" t="n">
        <v>120620</v>
      </c>
      <c r="I2119" s="22" t="n">
        <v>20000000</v>
      </c>
      <c r="J2119" s="21">
        <f>IF(OR(H2119="",H2119=25529689.5),"Yes","No")</f>
        <v/>
      </c>
      <c r="K2119" s="21">
        <f>IF(AND(D2119="USA",C2119&gt;=1980,J2119="No"),"Yes","No")</f>
        <v/>
      </c>
      <c r="L2119" s="26">
        <f>IF(J2119="Yes","",H2119-I2119)</f>
        <v/>
      </c>
      <c r="M2119" s="27">
        <f>IF(OR(J2119="Yes",I2119=0),"",H2119/I2119)</f>
        <v/>
      </c>
      <c r="N2119" s="21">
        <f>IF(J2119="Yes","",IF(H2119&gt;=I2119,1,0))</f>
        <v/>
      </c>
      <c r="O2119" s="21">
        <f>IF(I2119&lt;=5000000,"Under $5M",IF(I2119&lt;=20000000,"$5M-20M",IF(I2119&lt;=50000000,"$20M-50M",IF(I2119&lt;=100000000,"$50M-100M","$100M+"))))</f>
        <v/>
      </c>
      <c r="P2119" s="21">
        <f>IF(E2119&lt;=90,"90 or less",IF(E2119&lt;=105,"91-105",IF(E2119&lt;=120,"106-120",IF(E2119&lt;=140,"121-140","Over 140"))))</f>
        <v/>
      </c>
      <c r="Q2119" s="28">
        <f>INT(C2119/10)*10</f>
        <v/>
      </c>
    </row>
    <row r="2120">
      <c r="A2120" s="21" t="n">
        <v>2164</v>
      </c>
      <c r="B2120" s="21" t="inlineStr">
        <is>
          <t>Jersey Girl</t>
        </is>
      </c>
      <c r="C2120" s="21" t="n">
        <v>2004</v>
      </c>
      <c r="D2120" s="21" t="inlineStr">
        <is>
          <t>USA</t>
        </is>
      </c>
      <c r="E2120" s="21" t="n">
        <v>102</v>
      </c>
      <c r="F2120" s="21" t="inlineStr">
        <is>
          <t>English</t>
        </is>
      </c>
      <c r="G2120" s="21" t="inlineStr">
        <is>
          <t>PG-13</t>
        </is>
      </c>
      <c r="H2120" s="22" t="n">
        <v>25266129</v>
      </c>
      <c r="I2120" s="22" t="n">
        <v>35000000</v>
      </c>
      <c r="J2120" s="21">
        <f>IF(OR(H2120="",H2120=25529689.5),"Yes","No")</f>
        <v/>
      </c>
      <c r="K2120" s="21">
        <f>IF(AND(D2120="USA",C2120&gt;=1980,J2120="No"),"Yes","No")</f>
        <v/>
      </c>
      <c r="L2120" s="26">
        <f>IF(J2120="Yes","",H2120-I2120)</f>
        <v/>
      </c>
      <c r="M2120" s="27">
        <f>IF(OR(J2120="Yes",I2120=0),"",H2120/I2120)</f>
        <v/>
      </c>
      <c r="N2120" s="21">
        <f>IF(J2120="Yes","",IF(H2120&gt;=I2120,1,0))</f>
        <v/>
      </c>
      <c r="O2120" s="21">
        <f>IF(I2120&lt;=5000000,"Under $5M",IF(I2120&lt;=20000000,"$5M-20M",IF(I2120&lt;=50000000,"$20M-50M",IF(I2120&lt;=100000000,"$50M-100M","$100M+"))))</f>
        <v/>
      </c>
      <c r="P2120" s="21">
        <f>IF(E2120&lt;=90,"90 or less",IF(E2120&lt;=105,"91-105",IF(E2120&lt;=120,"106-120",IF(E2120&lt;=140,"121-140","Over 140"))))</f>
        <v/>
      </c>
      <c r="Q2120" s="28">
        <f>INT(C2120/10)*10</f>
        <v/>
      </c>
    </row>
    <row r="2121">
      <c r="A2121" s="21" t="n">
        <v>2165</v>
      </c>
      <c r="B2121" s="21" t="inlineStr">
        <is>
          <t>Johnson Family Vacation</t>
        </is>
      </c>
      <c r="C2121" s="21" t="n">
        <v>2004</v>
      </c>
      <c r="D2121" s="21" t="inlineStr">
        <is>
          <t>USA</t>
        </is>
      </c>
      <c r="E2121" s="21" t="n">
        <v>97</v>
      </c>
      <c r="F2121" s="21" t="inlineStr">
        <is>
          <t>English</t>
        </is>
      </c>
      <c r="G2121" s="21" t="inlineStr">
        <is>
          <t>PG-13</t>
        </is>
      </c>
      <c r="H2121" s="22" t="n">
        <v>31179516</v>
      </c>
      <c r="I2121" s="22" t="n">
        <v>12000000</v>
      </c>
      <c r="J2121" s="21">
        <f>IF(OR(H2121="",H2121=25529689.5),"Yes","No")</f>
        <v/>
      </c>
      <c r="K2121" s="21">
        <f>IF(AND(D2121="USA",C2121&gt;=1980,J2121="No"),"Yes","No")</f>
        <v/>
      </c>
      <c r="L2121" s="26">
        <f>IF(J2121="Yes","",H2121-I2121)</f>
        <v/>
      </c>
      <c r="M2121" s="27">
        <f>IF(OR(J2121="Yes",I2121=0),"",H2121/I2121)</f>
        <v/>
      </c>
      <c r="N2121" s="21">
        <f>IF(J2121="Yes","",IF(H2121&gt;=I2121,1,0))</f>
        <v/>
      </c>
      <c r="O2121" s="21">
        <f>IF(I2121&lt;=5000000,"Under $5M",IF(I2121&lt;=20000000,"$5M-20M",IF(I2121&lt;=50000000,"$20M-50M",IF(I2121&lt;=100000000,"$50M-100M","$100M+"))))</f>
        <v/>
      </c>
      <c r="P2121" s="21">
        <f>IF(E2121&lt;=90,"90 or less",IF(E2121&lt;=105,"91-105",IF(E2121&lt;=120,"106-120",IF(E2121&lt;=140,"121-140","Over 140"))))</f>
        <v/>
      </c>
      <c r="Q2121" s="28">
        <f>INT(C2121/10)*10</f>
        <v/>
      </c>
    </row>
    <row r="2122">
      <c r="A2122" s="21" t="n">
        <v>2166</v>
      </c>
      <c r="B2122" s="21" t="inlineStr">
        <is>
          <t>Kill Bill: Vol. 2</t>
        </is>
      </c>
      <c r="C2122" s="21" t="n">
        <v>2004</v>
      </c>
      <c r="D2122" s="21" t="inlineStr">
        <is>
          <t>USA</t>
        </is>
      </c>
      <c r="E2122" s="21" t="n">
        <v>137</v>
      </c>
      <c r="F2122" s="21" t="inlineStr">
        <is>
          <t>English</t>
        </is>
      </c>
      <c r="G2122" s="21" t="inlineStr">
        <is>
          <t>R</t>
        </is>
      </c>
      <c r="H2122" s="22" t="n">
        <v>66207920</v>
      </c>
      <c r="I2122" s="22" t="n">
        <v>30000000</v>
      </c>
      <c r="J2122" s="21">
        <f>IF(OR(H2122="",H2122=25529689.5),"Yes","No")</f>
        <v/>
      </c>
      <c r="K2122" s="21">
        <f>IF(AND(D2122="USA",C2122&gt;=1980,J2122="No"),"Yes","No")</f>
        <v/>
      </c>
      <c r="L2122" s="26">
        <f>IF(J2122="Yes","",H2122-I2122)</f>
        <v/>
      </c>
      <c r="M2122" s="27">
        <f>IF(OR(J2122="Yes",I2122=0),"",H2122/I2122)</f>
        <v/>
      </c>
      <c r="N2122" s="21">
        <f>IF(J2122="Yes","",IF(H2122&gt;=I2122,1,0))</f>
        <v/>
      </c>
      <c r="O2122" s="21">
        <f>IF(I2122&lt;=5000000,"Under $5M",IF(I2122&lt;=20000000,"$5M-20M",IF(I2122&lt;=50000000,"$20M-50M",IF(I2122&lt;=100000000,"$50M-100M","$100M+"))))</f>
        <v/>
      </c>
      <c r="P2122" s="21">
        <f>IF(E2122&lt;=90,"90 or less",IF(E2122&lt;=105,"91-105",IF(E2122&lt;=120,"106-120",IF(E2122&lt;=140,"121-140","Over 140"))))</f>
        <v/>
      </c>
      <c r="Q2122" s="28">
        <f>INT(C2122/10)*10</f>
        <v/>
      </c>
    </row>
    <row r="2123">
      <c r="A2123" s="21" t="n">
        <v>2167</v>
      </c>
      <c r="B2123" s="21" t="inlineStr">
        <is>
          <t>Kinsey</t>
        </is>
      </c>
      <c r="C2123" s="21" t="n">
        <v>2004</v>
      </c>
      <c r="D2123" s="21" t="inlineStr">
        <is>
          <t>USA</t>
        </is>
      </c>
      <c r="E2123" s="21" t="n">
        <v>118</v>
      </c>
      <c r="F2123" s="21" t="inlineStr">
        <is>
          <t>English</t>
        </is>
      </c>
      <c r="G2123" s="21" t="inlineStr">
        <is>
          <t>R</t>
        </is>
      </c>
      <c r="H2123" s="22" t="n">
        <v>10214647</v>
      </c>
      <c r="I2123" s="22" t="n">
        <v>11000000</v>
      </c>
      <c r="J2123" s="21">
        <f>IF(OR(H2123="",H2123=25529689.5),"Yes","No")</f>
        <v/>
      </c>
      <c r="K2123" s="21">
        <f>IF(AND(D2123="USA",C2123&gt;=1980,J2123="No"),"Yes","No")</f>
        <v/>
      </c>
      <c r="L2123" s="26">
        <f>IF(J2123="Yes","",H2123-I2123)</f>
        <v/>
      </c>
      <c r="M2123" s="27">
        <f>IF(OR(J2123="Yes",I2123=0),"",H2123/I2123)</f>
        <v/>
      </c>
      <c r="N2123" s="21">
        <f>IF(J2123="Yes","",IF(H2123&gt;=I2123,1,0))</f>
        <v/>
      </c>
      <c r="O2123" s="21">
        <f>IF(I2123&lt;=5000000,"Under $5M",IF(I2123&lt;=20000000,"$5M-20M",IF(I2123&lt;=50000000,"$20M-50M",IF(I2123&lt;=100000000,"$50M-100M","$100M+"))))</f>
        <v/>
      </c>
      <c r="P2123" s="21">
        <f>IF(E2123&lt;=90,"90 or less",IF(E2123&lt;=105,"91-105",IF(E2123&lt;=120,"106-120",IF(E2123&lt;=140,"121-140","Over 140"))))</f>
        <v/>
      </c>
      <c r="Q2123" s="28">
        <f>INT(C2123/10)*10</f>
        <v/>
      </c>
    </row>
    <row r="2124">
      <c r="A2124" s="21" t="n">
        <v>2168</v>
      </c>
      <c r="B2124" s="21" t="inlineStr">
        <is>
          <t>Kung Fu Hustle</t>
        </is>
      </c>
      <c r="C2124" s="21" t="n">
        <v>2004</v>
      </c>
      <c r="D2124" s="21" t="inlineStr">
        <is>
          <t>Hong Kong</t>
        </is>
      </c>
      <c r="E2124" s="21" t="n">
        <v>99</v>
      </c>
      <c r="F2124" s="21" t="inlineStr">
        <is>
          <t>Cantonese</t>
        </is>
      </c>
      <c r="G2124" s="21" t="inlineStr">
        <is>
          <t>R</t>
        </is>
      </c>
      <c r="H2124" s="22" t="n">
        <v>17104669</v>
      </c>
      <c r="I2124" s="22" t="n">
        <v>20000000</v>
      </c>
      <c r="J2124" s="21">
        <f>IF(OR(H2124="",H2124=25529689.5),"Yes","No")</f>
        <v/>
      </c>
      <c r="K2124" s="21">
        <f>IF(AND(D2124="USA",C2124&gt;=1980,J2124="No"),"Yes","No")</f>
        <v/>
      </c>
      <c r="L2124" s="26">
        <f>IF(J2124="Yes","",H2124-I2124)</f>
        <v/>
      </c>
      <c r="M2124" s="27">
        <f>IF(OR(J2124="Yes",I2124=0),"",H2124/I2124)</f>
        <v/>
      </c>
      <c r="N2124" s="21">
        <f>IF(J2124="Yes","",IF(H2124&gt;=I2124,1,0))</f>
        <v/>
      </c>
      <c r="O2124" s="21">
        <f>IF(I2124&lt;=5000000,"Under $5M",IF(I2124&lt;=20000000,"$5M-20M",IF(I2124&lt;=50000000,"$20M-50M",IF(I2124&lt;=100000000,"$50M-100M","$100M+"))))</f>
        <v/>
      </c>
      <c r="P2124" s="21">
        <f>IF(E2124&lt;=90,"90 or less",IF(E2124&lt;=105,"91-105",IF(E2124&lt;=120,"106-120",IF(E2124&lt;=140,"121-140","Over 140"))))</f>
        <v/>
      </c>
      <c r="Q2124" s="28">
        <f>INT(C2124/10)*10</f>
        <v/>
      </c>
    </row>
    <row r="2125">
      <c r="A2125" s="21" t="n">
        <v>2169</v>
      </c>
      <c r="B2125" s="21" t="inlineStr">
        <is>
          <t>Ladder 49</t>
        </is>
      </c>
      <c r="C2125" s="21" t="n">
        <v>2004</v>
      </c>
      <c r="D2125" s="21" t="inlineStr">
        <is>
          <t>USA</t>
        </is>
      </c>
      <c r="E2125" s="21" t="n">
        <v>115</v>
      </c>
      <c r="F2125" s="21" t="inlineStr">
        <is>
          <t>English</t>
        </is>
      </c>
      <c r="G2125" s="21" t="inlineStr">
        <is>
          <t>PG-13</t>
        </is>
      </c>
      <c r="H2125" s="22" t="n">
        <v>74540762</v>
      </c>
      <c r="I2125" s="22" t="n">
        <v>55000000</v>
      </c>
      <c r="J2125" s="21">
        <f>IF(OR(H2125="",H2125=25529689.5),"Yes","No")</f>
        <v/>
      </c>
      <c r="K2125" s="21">
        <f>IF(AND(D2125="USA",C2125&gt;=1980,J2125="No"),"Yes","No")</f>
        <v/>
      </c>
      <c r="L2125" s="26">
        <f>IF(J2125="Yes","",H2125-I2125)</f>
        <v/>
      </c>
      <c r="M2125" s="27">
        <f>IF(OR(J2125="Yes",I2125=0),"",H2125/I2125)</f>
        <v/>
      </c>
      <c r="N2125" s="21">
        <f>IF(J2125="Yes","",IF(H2125&gt;=I2125,1,0))</f>
        <v/>
      </c>
      <c r="O2125" s="21">
        <f>IF(I2125&lt;=5000000,"Under $5M",IF(I2125&lt;=20000000,"$5M-20M",IF(I2125&lt;=50000000,"$20M-50M",IF(I2125&lt;=100000000,"$50M-100M","$100M+"))))</f>
        <v/>
      </c>
      <c r="P2125" s="21">
        <f>IF(E2125&lt;=90,"90 or less",IF(E2125&lt;=105,"91-105",IF(E2125&lt;=120,"106-120",IF(E2125&lt;=140,"121-140","Over 140"))))</f>
        <v/>
      </c>
      <c r="Q2125" s="28">
        <f>INT(C2125/10)*10</f>
        <v/>
      </c>
    </row>
    <row r="2126">
      <c r="A2126" s="21" t="n">
        <v>2170</v>
      </c>
      <c r="B2126" s="21" t="inlineStr">
        <is>
          <t>Laws of Attraction</t>
        </is>
      </c>
      <c r="C2126" s="21" t="n">
        <v>2004</v>
      </c>
      <c r="D2126" s="21" t="inlineStr">
        <is>
          <t>Ireland</t>
        </is>
      </c>
      <c r="E2126" s="21" t="n">
        <v>90</v>
      </c>
      <c r="F2126" s="21" t="inlineStr">
        <is>
          <t>English</t>
        </is>
      </c>
      <c r="G2126" s="21" t="inlineStr">
        <is>
          <t>PG-13</t>
        </is>
      </c>
      <c r="H2126" s="22" t="n">
        <v>17848322</v>
      </c>
      <c r="I2126" s="22" t="n">
        <v>28000000</v>
      </c>
      <c r="J2126" s="21">
        <f>IF(OR(H2126="",H2126=25529689.5),"Yes","No")</f>
        <v/>
      </c>
      <c r="K2126" s="21">
        <f>IF(AND(D2126="USA",C2126&gt;=1980,J2126="No"),"Yes","No")</f>
        <v/>
      </c>
      <c r="L2126" s="26">
        <f>IF(J2126="Yes","",H2126-I2126)</f>
        <v/>
      </c>
      <c r="M2126" s="27">
        <f>IF(OR(J2126="Yes",I2126=0),"",H2126/I2126)</f>
        <v/>
      </c>
      <c r="N2126" s="21">
        <f>IF(J2126="Yes","",IF(H2126&gt;=I2126,1,0))</f>
        <v/>
      </c>
      <c r="O2126" s="21">
        <f>IF(I2126&lt;=5000000,"Under $5M",IF(I2126&lt;=20000000,"$5M-20M",IF(I2126&lt;=50000000,"$20M-50M",IF(I2126&lt;=100000000,"$50M-100M","$100M+"))))</f>
        <v/>
      </c>
      <c r="P2126" s="21">
        <f>IF(E2126&lt;=90,"90 or less",IF(E2126&lt;=105,"91-105",IF(E2126&lt;=120,"106-120",IF(E2126&lt;=140,"121-140","Over 140"))))</f>
        <v/>
      </c>
      <c r="Q2126" s="28">
        <f>INT(C2126/10)*10</f>
        <v/>
      </c>
    </row>
    <row r="2127">
      <c r="A2127" s="21" t="n">
        <v>2171</v>
      </c>
      <c r="B2127" s="21" t="inlineStr">
        <is>
          <t>Layer Cake</t>
        </is>
      </c>
      <c r="C2127" s="21" t="n">
        <v>2004</v>
      </c>
      <c r="D2127" s="21" t="inlineStr">
        <is>
          <t>UK</t>
        </is>
      </c>
      <c r="E2127" s="21" t="n">
        <v>105</v>
      </c>
      <c r="F2127" s="21" t="inlineStr">
        <is>
          <t>English</t>
        </is>
      </c>
      <c r="G2127" s="21" t="inlineStr">
        <is>
          <t>R</t>
        </is>
      </c>
      <c r="H2127" s="22" t="n">
        <v>2338695</v>
      </c>
      <c r="I2127" s="22" t="n">
        <v>4000000</v>
      </c>
      <c r="J2127" s="21">
        <f>IF(OR(H2127="",H2127=25529689.5),"Yes","No")</f>
        <v/>
      </c>
      <c r="K2127" s="21">
        <f>IF(AND(D2127="USA",C2127&gt;=1980,J2127="No"),"Yes","No")</f>
        <v/>
      </c>
      <c r="L2127" s="26">
        <f>IF(J2127="Yes","",H2127-I2127)</f>
        <v/>
      </c>
      <c r="M2127" s="27">
        <f>IF(OR(J2127="Yes",I2127=0),"",H2127/I2127)</f>
        <v/>
      </c>
      <c r="N2127" s="21">
        <f>IF(J2127="Yes","",IF(H2127&gt;=I2127,1,0))</f>
        <v/>
      </c>
      <c r="O2127" s="21">
        <f>IF(I2127&lt;=5000000,"Under $5M",IF(I2127&lt;=20000000,"$5M-20M",IF(I2127&lt;=50000000,"$20M-50M",IF(I2127&lt;=100000000,"$50M-100M","$100M+"))))</f>
        <v/>
      </c>
      <c r="P2127" s="21">
        <f>IF(E2127&lt;=90,"90 or less",IF(E2127&lt;=105,"91-105",IF(E2127&lt;=120,"106-120",IF(E2127&lt;=140,"121-140","Over 140"))))</f>
        <v/>
      </c>
      <c r="Q2127" s="28">
        <f>INT(C2127/10)*10</f>
        <v/>
      </c>
    </row>
    <row r="2128">
      <c r="A2128" s="21" t="n">
        <v>2172</v>
      </c>
      <c r="B2128" s="21" t="inlineStr">
        <is>
          <t>Little Black Book</t>
        </is>
      </c>
      <c r="C2128" s="21" t="n">
        <v>2004</v>
      </c>
      <c r="D2128" s="21" t="inlineStr">
        <is>
          <t>USA</t>
        </is>
      </c>
      <c r="E2128" s="21" t="n">
        <v>105</v>
      </c>
      <c r="F2128" s="21" t="inlineStr">
        <is>
          <t>English</t>
        </is>
      </c>
      <c r="G2128" s="21" t="inlineStr">
        <is>
          <t>PG-13</t>
        </is>
      </c>
      <c r="H2128" s="22" t="n">
        <v>20422207</v>
      </c>
      <c r="I2128" s="22" t="n">
        <v>35000000</v>
      </c>
      <c r="J2128" s="21">
        <f>IF(OR(H2128="",H2128=25529689.5),"Yes","No")</f>
        <v/>
      </c>
      <c r="K2128" s="21">
        <f>IF(AND(D2128="USA",C2128&gt;=1980,J2128="No"),"Yes","No")</f>
        <v/>
      </c>
      <c r="L2128" s="26">
        <f>IF(J2128="Yes","",H2128-I2128)</f>
        <v/>
      </c>
      <c r="M2128" s="27">
        <f>IF(OR(J2128="Yes",I2128=0),"",H2128/I2128)</f>
        <v/>
      </c>
      <c r="N2128" s="21">
        <f>IF(J2128="Yes","",IF(H2128&gt;=I2128,1,0))</f>
        <v/>
      </c>
      <c r="O2128" s="21">
        <f>IF(I2128&lt;=5000000,"Under $5M",IF(I2128&lt;=20000000,"$5M-20M",IF(I2128&lt;=50000000,"$20M-50M",IF(I2128&lt;=100000000,"$50M-100M","$100M+"))))</f>
        <v/>
      </c>
      <c r="P2128" s="21">
        <f>IF(E2128&lt;=90,"90 or less",IF(E2128&lt;=105,"91-105",IF(E2128&lt;=120,"106-120",IF(E2128&lt;=140,"121-140","Over 140"))))</f>
        <v/>
      </c>
      <c r="Q2128" s="28">
        <f>INT(C2128/10)*10</f>
        <v/>
      </c>
    </row>
    <row r="2129">
      <c r="A2129" s="21" t="n">
        <v>2173</v>
      </c>
      <c r="B2129" s="21" t="inlineStr">
        <is>
          <t>Live-In Maid</t>
        </is>
      </c>
      <c r="C2129" s="21" t="n">
        <v>2004</v>
      </c>
      <c r="D2129" s="21" t="inlineStr">
        <is>
          <t>Argentina</t>
        </is>
      </c>
      <c r="E2129" s="21" t="n">
        <v>83</v>
      </c>
      <c r="F2129" s="21" t="inlineStr">
        <is>
          <t>Spanish</t>
        </is>
      </c>
      <c r="G2129" s="21" t="inlineStr">
        <is>
          <t>Unrated</t>
        </is>
      </c>
      <c r="H2129" s="22" t="n">
        <v>25529689.5</v>
      </c>
      <c r="I2129" s="22" t="n">
        <v>800000</v>
      </c>
      <c r="J2129" s="21">
        <f>IF(OR(H2129="",H2129=25529689.5),"Yes","No")</f>
        <v/>
      </c>
      <c r="K2129" s="21">
        <f>IF(AND(D2129="USA",C2129&gt;=1980,J2129="No"),"Yes","No")</f>
        <v/>
      </c>
      <c r="L2129" s="26">
        <f>IF(J2129="Yes","",H2129-I2129)</f>
        <v/>
      </c>
      <c r="M2129" s="27">
        <f>IF(OR(J2129="Yes",I2129=0),"",H2129/I2129)</f>
        <v/>
      </c>
      <c r="N2129" s="21">
        <f>IF(J2129="Yes","",IF(H2129&gt;=I2129,1,0))</f>
        <v/>
      </c>
      <c r="O2129" s="21">
        <f>IF(I2129&lt;=5000000,"Under $5M",IF(I2129&lt;=20000000,"$5M-20M",IF(I2129&lt;=50000000,"$20M-50M",IF(I2129&lt;=100000000,"$50M-100M","$100M+"))))</f>
        <v/>
      </c>
      <c r="P2129" s="21">
        <f>IF(E2129&lt;=90,"90 or less",IF(E2129&lt;=105,"91-105",IF(E2129&lt;=120,"106-120",IF(E2129&lt;=140,"121-140","Over 140"))))</f>
        <v/>
      </c>
      <c r="Q2129" s="28">
        <f>INT(C2129/10)*10</f>
        <v/>
      </c>
    </row>
    <row r="2130">
      <c r="A2130" s="21" t="n">
        <v>2174</v>
      </c>
      <c r="B2130" s="21" t="inlineStr">
        <is>
          <t>Man on Fire</t>
        </is>
      </c>
      <c r="C2130" s="21" t="n">
        <v>2004</v>
      </c>
      <c r="D2130" s="21" t="inlineStr">
        <is>
          <t>USA</t>
        </is>
      </c>
      <c r="E2130" s="21" t="n">
        <v>146</v>
      </c>
      <c r="F2130" s="21" t="inlineStr">
        <is>
          <t>English</t>
        </is>
      </c>
      <c r="G2130" s="21" t="inlineStr">
        <is>
          <t>R</t>
        </is>
      </c>
      <c r="H2130" s="22" t="n">
        <v>77862546</v>
      </c>
      <c r="I2130" s="22" t="n">
        <v>70000000</v>
      </c>
      <c r="J2130" s="21">
        <f>IF(OR(H2130="",H2130=25529689.5),"Yes","No")</f>
        <v/>
      </c>
      <c r="K2130" s="21">
        <f>IF(AND(D2130="USA",C2130&gt;=1980,J2130="No"),"Yes","No")</f>
        <v/>
      </c>
      <c r="L2130" s="26">
        <f>IF(J2130="Yes","",H2130-I2130)</f>
        <v/>
      </c>
      <c r="M2130" s="27">
        <f>IF(OR(J2130="Yes",I2130=0),"",H2130/I2130)</f>
        <v/>
      </c>
      <c r="N2130" s="21">
        <f>IF(J2130="Yes","",IF(H2130&gt;=I2130,1,0))</f>
        <v/>
      </c>
      <c r="O2130" s="21">
        <f>IF(I2130&lt;=5000000,"Under $5M",IF(I2130&lt;=20000000,"$5M-20M",IF(I2130&lt;=50000000,"$20M-50M",IF(I2130&lt;=100000000,"$50M-100M","$100M+"))))</f>
        <v/>
      </c>
      <c r="P2130" s="21">
        <f>IF(E2130&lt;=90,"90 or less",IF(E2130&lt;=105,"91-105",IF(E2130&lt;=120,"106-120",IF(E2130&lt;=140,"121-140","Over 140"))))</f>
        <v/>
      </c>
      <c r="Q2130" s="28">
        <f>INT(C2130/10)*10</f>
        <v/>
      </c>
    </row>
    <row r="2131">
      <c r="A2131" s="21" t="n">
        <v>2175</v>
      </c>
      <c r="B2131" s="21" t="inlineStr">
        <is>
          <t>Maria Full of Grace</t>
        </is>
      </c>
      <c r="C2131" s="21" t="n">
        <v>2004</v>
      </c>
      <c r="D2131" s="21" t="inlineStr">
        <is>
          <t>Colombia</t>
        </is>
      </c>
      <c r="E2131" s="21" t="n">
        <v>101</v>
      </c>
      <c r="F2131" s="21" t="inlineStr">
        <is>
          <t>Spanish</t>
        </is>
      </c>
      <c r="G2131" s="21" t="inlineStr">
        <is>
          <t>R</t>
        </is>
      </c>
      <c r="H2131" s="22" t="n">
        <v>6517198</v>
      </c>
      <c r="I2131" s="22" t="n">
        <v>3000000</v>
      </c>
      <c r="J2131" s="21">
        <f>IF(OR(H2131="",H2131=25529689.5),"Yes","No")</f>
        <v/>
      </c>
      <c r="K2131" s="21">
        <f>IF(AND(D2131="USA",C2131&gt;=1980,J2131="No"),"Yes","No")</f>
        <v/>
      </c>
      <c r="L2131" s="26">
        <f>IF(J2131="Yes","",H2131-I2131)</f>
        <v/>
      </c>
      <c r="M2131" s="27">
        <f>IF(OR(J2131="Yes",I2131=0),"",H2131/I2131)</f>
        <v/>
      </c>
      <c r="N2131" s="21">
        <f>IF(J2131="Yes","",IF(H2131&gt;=I2131,1,0))</f>
        <v/>
      </c>
      <c r="O2131" s="21">
        <f>IF(I2131&lt;=5000000,"Under $5M",IF(I2131&lt;=20000000,"$5M-20M",IF(I2131&lt;=50000000,"$20M-50M",IF(I2131&lt;=100000000,"$50M-100M","$100M+"))))</f>
        <v/>
      </c>
      <c r="P2131" s="21">
        <f>IF(E2131&lt;=90,"90 or less",IF(E2131&lt;=105,"91-105",IF(E2131&lt;=120,"106-120",IF(E2131&lt;=140,"121-140","Over 140"))))</f>
        <v/>
      </c>
      <c r="Q2131" s="28">
        <f>INT(C2131/10)*10</f>
        <v/>
      </c>
    </row>
    <row r="2132">
      <c r="A2132" s="21" t="n">
        <v>2176</v>
      </c>
      <c r="B2132" s="21" t="inlineStr">
        <is>
          <t>Mean Creek</t>
        </is>
      </c>
      <c r="C2132" s="21" t="n">
        <v>2004</v>
      </c>
      <c r="D2132" s="21" t="inlineStr">
        <is>
          <t>USA</t>
        </is>
      </c>
      <c r="E2132" s="21" t="n">
        <v>90</v>
      </c>
      <c r="F2132" s="21" t="inlineStr">
        <is>
          <t>English</t>
        </is>
      </c>
      <c r="G2132" s="21" t="inlineStr">
        <is>
          <t>R</t>
        </is>
      </c>
      <c r="H2132" s="22" t="n">
        <v>603943</v>
      </c>
      <c r="I2132" s="22" t="n">
        <v>500000</v>
      </c>
      <c r="J2132" s="21">
        <f>IF(OR(H2132="",H2132=25529689.5),"Yes","No")</f>
        <v/>
      </c>
      <c r="K2132" s="21">
        <f>IF(AND(D2132="USA",C2132&gt;=1980,J2132="No"),"Yes","No")</f>
        <v/>
      </c>
      <c r="L2132" s="26">
        <f>IF(J2132="Yes","",H2132-I2132)</f>
        <v/>
      </c>
      <c r="M2132" s="27">
        <f>IF(OR(J2132="Yes",I2132=0),"",H2132/I2132)</f>
        <v/>
      </c>
      <c r="N2132" s="21">
        <f>IF(J2132="Yes","",IF(H2132&gt;=I2132,1,0))</f>
        <v/>
      </c>
      <c r="O2132" s="21">
        <f>IF(I2132&lt;=5000000,"Under $5M",IF(I2132&lt;=20000000,"$5M-20M",IF(I2132&lt;=50000000,"$20M-50M",IF(I2132&lt;=100000000,"$50M-100M","$100M+"))))</f>
        <v/>
      </c>
      <c r="P2132" s="21">
        <f>IF(E2132&lt;=90,"90 or less",IF(E2132&lt;=105,"91-105",IF(E2132&lt;=120,"106-120",IF(E2132&lt;=140,"121-140","Over 140"))))</f>
        <v/>
      </c>
      <c r="Q2132" s="28">
        <f>INT(C2132/10)*10</f>
        <v/>
      </c>
    </row>
    <row r="2133">
      <c r="A2133" s="21" t="n">
        <v>2177</v>
      </c>
      <c r="B2133" s="21" t="inlineStr">
        <is>
          <t>Mean Girls</t>
        </is>
      </c>
      <c r="C2133" s="21" t="n">
        <v>2004</v>
      </c>
      <c r="D2133" s="21" t="inlineStr">
        <is>
          <t>USA</t>
        </is>
      </c>
      <c r="E2133" s="21" t="n">
        <v>97</v>
      </c>
      <c r="F2133" s="21" t="inlineStr">
        <is>
          <t>English</t>
        </is>
      </c>
      <c r="G2133" s="21" t="inlineStr">
        <is>
          <t>PG-13</t>
        </is>
      </c>
      <c r="H2133" s="22" t="n">
        <v>86049418</v>
      </c>
      <c r="I2133" s="22" t="n">
        <v>17000000</v>
      </c>
      <c r="J2133" s="21">
        <f>IF(OR(H2133="",H2133=25529689.5),"Yes","No")</f>
        <v/>
      </c>
      <c r="K2133" s="21">
        <f>IF(AND(D2133="USA",C2133&gt;=1980,J2133="No"),"Yes","No")</f>
        <v/>
      </c>
      <c r="L2133" s="26">
        <f>IF(J2133="Yes","",H2133-I2133)</f>
        <v/>
      </c>
      <c r="M2133" s="27">
        <f>IF(OR(J2133="Yes",I2133=0),"",H2133/I2133)</f>
        <v/>
      </c>
      <c r="N2133" s="21">
        <f>IF(J2133="Yes","",IF(H2133&gt;=I2133,1,0))</f>
        <v/>
      </c>
      <c r="O2133" s="21">
        <f>IF(I2133&lt;=5000000,"Under $5M",IF(I2133&lt;=20000000,"$5M-20M",IF(I2133&lt;=50000000,"$20M-50M",IF(I2133&lt;=100000000,"$50M-100M","$100M+"))))</f>
        <v/>
      </c>
      <c r="P2133" s="21">
        <f>IF(E2133&lt;=90,"90 or less",IF(E2133&lt;=105,"91-105",IF(E2133&lt;=120,"106-120",IF(E2133&lt;=140,"121-140","Over 140"))))</f>
        <v/>
      </c>
      <c r="Q2133" s="28">
        <f>INT(C2133/10)*10</f>
        <v/>
      </c>
    </row>
    <row r="2134">
      <c r="A2134" s="21" t="n">
        <v>2178</v>
      </c>
      <c r="B2134" s="21" t="inlineStr">
        <is>
          <t>Meet the Fockers</t>
        </is>
      </c>
      <c r="C2134" s="21" t="n">
        <v>2004</v>
      </c>
      <c r="D2134" s="21" t="inlineStr">
        <is>
          <t>USA</t>
        </is>
      </c>
      <c r="E2134" s="21" t="n">
        <v>106</v>
      </c>
      <c r="F2134" s="21" t="inlineStr">
        <is>
          <t>English</t>
        </is>
      </c>
      <c r="G2134" s="21" t="inlineStr">
        <is>
          <t>PG-13</t>
        </is>
      </c>
      <c r="H2134" s="22" t="n">
        <v>279167575</v>
      </c>
      <c r="I2134" s="22" t="n">
        <v>80000000</v>
      </c>
      <c r="J2134" s="21">
        <f>IF(OR(H2134="",H2134=25529689.5),"Yes","No")</f>
        <v/>
      </c>
      <c r="K2134" s="21">
        <f>IF(AND(D2134="USA",C2134&gt;=1980,J2134="No"),"Yes","No")</f>
        <v/>
      </c>
      <c r="L2134" s="26">
        <f>IF(J2134="Yes","",H2134-I2134)</f>
        <v/>
      </c>
      <c r="M2134" s="27">
        <f>IF(OR(J2134="Yes",I2134=0),"",H2134/I2134)</f>
        <v/>
      </c>
      <c r="N2134" s="21">
        <f>IF(J2134="Yes","",IF(H2134&gt;=I2134,1,0))</f>
        <v/>
      </c>
      <c r="O2134" s="21">
        <f>IF(I2134&lt;=5000000,"Under $5M",IF(I2134&lt;=20000000,"$5M-20M",IF(I2134&lt;=50000000,"$20M-50M",IF(I2134&lt;=100000000,"$50M-100M","$100M+"))))</f>
        <v/>
      </c>
      <c r="P2134" s="21">
        <f>IF(E2134&lt;=90,"90 or less",IF(E2134&lt;=105,"91-105",IF(E2134&lt;=120,"106-120",IF(E2134&lt;=140,"121-140","Over 140"))))</f>
        <v/>
      </c>
      <c r="Q2134" s="28">
        <f>INT(C2134/10)*10</f>
        <v/>
      </c>
    </row>
    <row r="2135">
      <c r="A2135" s="21" t="n">
        <v>2179</v>
      </c>
      <c r="B2135" s="21" t="inlineStr">
        <is>
          <t>Million Dollar Baby</t>
        </is>
      </c>
      <c r="C2135" s="21" t="n">
        <v>2004</v>
      </c>
      <c r="D2135" s="21" t="inlineStr">
        <is>
          <t>USA</t>
        </is>
      </c>
      <c r="E2135" s="21" t="n">
        <v>132</v>
      </c>
      <c r="F2135" s="21" t="inlineStr">
        <is>
          <t>English</t>
        </is>
      </c>
      <c r="G2135" s="21" t="inlineStr">
        <is>
          <t>PG-13</t>
        </is>
      </c>
      <c r="H2135" s="22" t="n">
        <v>100422786</v>
      </c>
      <c r="I2135" s="22" t="n">
        <v>30000000</v>
      </c>
      <c r="J2135" s="21">
        <f>IF(OR(H2135="",H2135=25529689.5),"Yes","No")</f>
        <v/>
      </c>
      <c r="K2135" s="21">
        <f>IF(AND(D2135="USA",C2135&gt;=1980,J2135="No"),"Yes","No")</f>
        <v/>
      </c>
      <c r="L2135" s="26">
        <f>IF(J2135="Yes","",H2135-I2135)</f>
        <v/>
      </c>
      <c r="M2135" s="27">
        <f>IF(OR(J2135="Yes",I2135=0),"",H2135/I2135)</f>
        <v/>
      </c>
      <c r="N2135" s="21">
        <f>IF(J2135="Yes","",IF(H2135&gt;=I2135,1,0))</f>
        <v/>
      </c>
      <c r="O2135" s="21">
        <f>IF(I2135&lt;=5000000,"Under $5M",IF(I2135&lt;=20000000,"$5M-20M",IF(I2135&lt;=50000000,"$20M-50M",IF(I2135&lt;=100000000,"$50M-100M","$100M+"))))</f>
        <v/>
      </c>
      <c r="P2135" s="21">
        <f>IF(E2135&lt;=90,"90 or less",IF(E2135&lt;=105,"91-105",IF(E2135&lt;=120,"106-120",IF(E2135&lt;=140,"121-140","Over 140"))))</f>
        <v/>
      </c>
      <c r="Q2135" s="28">
        <f>INT(C2135/10)*10</f>
        <v/>
      </c>
    </row>
    <row r="2136">
      <c r="A2136" s="21" t="n">
        <v>2180</v>
      </c>
      <c r="B2136" s="21" t="inlineStr">
        <is>
          <t>Mindhunters</t>
        </is>
      </c>
      <c r="C2136" s="21" t="n">
        <v>2004</v>
      </c>
      <c r="D2136" s="21" t="inlineStr">
        <is>
          <t>USA</t>
        </is>
      </c>
      <c r="E2136" s="21" t="n">
        <v>101</v>
      </c>
      <c r="F2136" s="21" t="inlineStr">
        <is>
          <t>English</t>
        </is>
      </c>
      <c r="G2136" s="21" t="inlineStr">
        <is>
          <t>R</t>
        </is>
      </c>
      <c r="H2136" s="22" t="n">
        <v>4476235</v>
      </c>
      <c r="I2136" s="22" t="n">
        <v>27000000</v>
      </c>
      <c r="J2136" s="21">
        <f>IF(OR(H2136="",H2136=25529689.5),"Yes","No")</f>
        <v/>
      </c>
      <c r="K2136" s="21">
        <f>IF(AND(D2136="USA",C2136&gt;=1980,J2136="No"),"Yes","No")</f>
        <v/>
      </c>
      <c r="L2136" s="26">
        <f>IF(J2136="Yes","",H2136-I2136)</f>
        <v/>
      </c>
      <c r="M2136" s="27">
        <f>IF(OR(J2136="Yes",I2136=0),"",H2136/I2136)</f>
        <v/>
      </c>
      <c r="N2136" s="21">
        <f>IF(J2136="Yes","",IF(H2136&gt;=I2136,1,0))</f>
        <v/>
      </c>
      <c r="O2136" s="21">
        <f>IF(I2136&lt;=5000000,"Under $5M",IF(I2136&lt;=20000000,"$5M-20M",IF(I2136&lt;=50000000,"$20M-50M",IF(I2136&lt;=100000000,"$50M-100M","$100M+"))))</f>
        <v/>
      </c>
      <c r="P2136" s="21">
        <f>IF(E2136&lt;=90,"90 or less",IF(E2136&lt;=105,"91-105",IF(E2136&lt;=120,"106-120",IF(E2136&lt;=140,"121-140","Over 140"))))</f>
        <v/>
      </c>
      <c r="Q2136" s="28">
        <f>INT(C2136/10)*10</f>
        <v/>
      </c>
    </row>
    <row r="2137">
      <c r="A2137" s="21" t="n">
        <v>2181</v>
      </c>
      <c r="B2137" s="21" t="inlineStr">
        <is>
          <t>Miracle</t>
        </is>
      </c>
      <c r="C2137" s="21" t="n">
        <v>2004</v>
      </c>
      <c r="D2137" s="21" t="inlineStr">
        <is>
          <t>USA</t>
        </is>
      </c>
      <c r="E2137" s="21" t="n">
        <v>135</v>
      </c>
      <c r="F2137" s="21" t="inlineStr">
        <is>
          <t>English</t>
        </is>
      </c>
      <c r="G2137" s="21" t="inlineStr">
        <is>
          <t>PG</t>
        </is>
      </c>
      <c r="H2137" s="22" t="n">
        <v>64371181</v>
      </c>
      <c r="I2137" s="22" t="n">
        <v>28000000</v>
      </c>
      <c r="J2137" s="21">
        <f>IF(OR(H2137="",H2137=25529689.5),"Yes","No")</f>
        <v/>
      </c>
      <c r="K2137" s="21">
        <f>IF(AND(D2137="USA",C2137&gt;=1980,J2137="No"),"Yes","No")</f>
        <v/>
      </c>
      <c r="L2137" s="26">
        <f>IF(J2137="Yes","",H2137-I2137)</f>
        <v/>
      </c>
      <c r="M2137" s="27">
        <f>IF(OR(J2137="Yes",I2137=0),"",H2137/I2137)</f>
        <v/>
      </c>
      <c r="N2137" s="21">
        <f>IF(J2137="Yes","",IF(H2137&gt;=I2137,1,0))</f>
        <v/>
      </c>
      <c r="O2137" s="21">
        <f>IF(I2137&lt;=5000000,"Under $5M",IF(I2137&lt;=20000000,"$5M-20M",IF(I2137&lt;=50000000,"$20M-50M",IF(I2137&lt;=100000000,"$50M-100M","$100M+"))))</f>
        <v/>
      </c>
      <c r="P2137" s="21">
        <f>IF(E2137&lt;=90,"90 or less",IF(E2137&lt;=105,"91-105",IF(E2137&lt;=120,"106-120",IF(E2137&lt;=140,"121-140","Over 140"))))</f>
        <v/>
      </c>
      <c r="Q2137" s="28">
        <f>INT(C2137/10)*10</f>
        <v/>
      </c>
    </row>
    <row r="2138">
      <c r="A2138" s="21" t="n">
        <v>2182</v>
      </c>
      <c r="B2138" s="21" t="inlineStr">
        <is>
          <t>Mr 3000</t>
        </is>
      </c>
      <c r="C2138" s="21" t="n">
        <v>2004</v>
      </c>
      <c r="D2138" s="21" t="inlineStr">
        <is>
          <t>USA</t>
        </is>
      </c>
      <c r="E2138" s="21" t="n">
        <v>104</v>
      </c>
      <c r="F2138" s="21" t="inlineStr">
        <is>
          <t>English</t>
        </is>
      </c>
      <c r="G2138" s="21" t="inlineStr">
        <is>
          <t>PG-13</t>
        </is>
      </c>
      <c r="H2138" s="22" t="n">
        <v>21800302</v>
      </c>
      <c r="I2138" s="22" t="n">
        <v>30000000</v>
      </c>
      <c r="J2138" s="21">
        <f>IF(OR(H2138="",H2138=25529689.5),"Yes","No")</f>
        <v/>
      </c>
      <c r="K2138" s="21">
        <f>IF(AND(D2138="USA",C2138&gt;=1980,J2138="No"),"Yes","No")</f>
        <v/>
      </c>
      <c r="L2138" s="26">
        <f>IF(J2138="Yes","",H2138-I2138)</f>
        <v/>
      </c>
      <c r="M2138" s="27">
        <f>IF(OR(J2138="Yes",I2138=0),"",H2138/I2138)</f>
        <v/>
      </c>
      <c r="N2138" s="21">
        <f>IF(J2138="Yes","",IF(H2138&gt;=I2138,1,0))</f>
        <v/>
      </c>
      <c r="O2138" s="21">
        <f>IF(I2138&lt;=5000000,"Under $5M",IF(I2138&lt;=20000000,"$5M-20M",IF(I2138&lt;=50000000,"$20M-50M",IF(I2138&lt;=100000000,"$50M-100M","$100M+"))))</f>
        <v/>
      </c>
      <c r="P2138" s="21">
        <f>IF(E2138&lt;=90,"90 or less",IF(E2138&lt;=105,"91-105",IF(E2138&lt;=120,"106-120",IF(E2138&lt;=140,"121-140","Over 140"))))</f>
        <v/>
      </c>
      <c r="Q2138" s="28">
        <f>INT(C2138/10)*10</f>
        <v/>
      </c>
    </row>
    <row r="2139">
      <c r="A2139" s="21" t="n">
        <v>2183</v>
      </c>
      <c r="B2139" s="21" t="inlineStr">
        <is>
          <t>My Baby's Daddy</t>
        </is>
      </c>
      <c r="C2139" s="21" t="n">
        <v>2004</v>
      </c>
      <c r="D2139" s="21" t="inlineStr">
        <is>
          <t>USA</t>
        </is>
      </c>
      <c r="E2139" s="21" t="n">
        <v>86</v>
      </c>
      <c r="F2139" s="21" t="inlineStr">
        <is>
          <t>English</t>
        </is>
      </c>
      <c r="G2139" s="21" t="inlineStr">
        <is>
          <t>PG-13</t>
        </is>
      </c>
      <c r="H2139" s="22" t="n">
        <v>17321573</v>
      </c>
      <c r="I2139" s="22" t="n">
        <v>20000000</v>
      </c>
      <c r="J2139" s="21">
        <f>IF(OR(H2139="",H2139=25529689.5),"Yes","No")</f>
        <v/>
      </c>
      <c r="K2139" s="21">
        <f>IF(AND(D2139="USA",C2139&gt;=1980,J2139="No"),"Yes","No")</f>
        <v/>
      </c>
      <c r="L2139" s="26">
        <f>IF(J2139="Yes","",H2139-I2139)</f>
        <v/>
      </c>
      <c r="M2139" s="27">
        <f>IF(OR(J2139="Yes",I2139=0),"",H2139/I2139)</f>
        <v/>
      </c>
      <c r="N2139" s="21">
        <f>IF(J2139="Yes","",IF(H2139&gt;=I2139,1,0))</f>
        <v/>
      </c>
      <c r="O2139" s="21">
        <f>IF(I2139&lt;=5000000,"Under $5M",IF(I2139&lt;=20000000,"$5M-20M",IF(I2139&lt;=50000000,"$20M-50M",IF(I2139&lt;=100000000,"$50M-100M","$100M+"))))</f>
        <v/>
      </c>
      <c r="P2139" s="21">
        <f>IF(E2139&lt;=90,"90 or less",IF(E2139&lt;=105,"91-105",IF(E2139&lt;=120,"106-120",IF(E2139&lt;=140,"121-140","Over 140"))))</f>
        <v/>
      </c>
      <c r="Q2139" s="28">
        <f>INT(C2139/10)*10</f>
        <v/>
      </c>
    </row>
    <row r="2140">
      <c r="A2140" s="21" t="n">
        <v>2184</v>
      </c>
      <c r="B2140" s="21" t="inlineStr">
        <is>
          <t>My Date with Drew</t>
        </is>
      </c>
      <c r="C2140" s="21" t="n">
        <v>2004</v>
      </c>
      <c r="D2140" s="21" t="inlineStr">
        <is>
          <t>USA</t>
        </is>
      </c>
      <c r="E2140" s="21" t="n">
        <v>90</v>
      </c>
      <c r="F2140" s="21" t="inlineStr">
        <is>
          <t>English</t>
        </is>
      </c>
      <c r="G2140" s="21" t="inlineStr">
        <is>
          <t>PG</t>
        </is>
      </c>
      <c r="H2140" s="22" t="n">
        <v>85222</v>
      </c>
      <c r="I2140" s="22" t="n">
        <v>1100</v>
      </c>
      <c r="J2140" s="21">
        <f>IF(OR(H2140="",H2140=25529689.5),"Yes","No")</f>
        <v/>
      </c>
      <c r="K2140" s="21">
        <f>IF(AND(D2140="USA",C2140&gt;=1980,J2140="No"),"Yes","No")</f>
        <v/>
      </c>
      <c r="L2140" s="26">
        <f>IF(J2140="Yes","",H2140-I2140)</f>
        <v/>
      </c>
      <c r="M2140" s="27">
        <f>IF(OR(J2140="Yes",I2140=0),"",H2140/I2140)</f>
        <v/>
      </c>
      <c r="N2140" s="21">
        <f>IF(J2140="Yes","",IF(H2140&gt;=I2140,1,0))</f>
        <v/>
      </c>
      <c r="O2140" s="21">
        <f>IF(I2140&lt;=5000000,"Under $5M",IF(I2140&lt;=20000000,"$5M-20M",IF(I2140&lt;=50000000,"$20M-50M",IF(I2140&lt;=100000000,"$50M-100M","$100M+"))))</f>
        <v/>
      </c>
      <c r="P2140" s="21">
        <f>IF(E2140&lt;=90,"90 or less",IF(E2140&lt;=105,"91-105",IF(E2140&lt;=120,"106-120",IF(E2140&lt;=140,"121-140","Over 140"))))</f>
        <v/>
      </c>
      <c r="Q2140" s="28">
        <f>INT(C2140/10)*10</f>
        <v/>
      </c>
    </row>
    <row r="2141">
      <c r="A2141" s="21" t="n">
        <v>2185</v>
      </c>
      <c r="B2141" s="21" t="inlineStr">
        <is>
          <t>My Summer of Love</t>
        </is>
      </c>
      <c r="C2141" s="21" t="n">
        <v>2004</v>
      </c>
      <c r="D2141" s="21" t="inlineStr">
        <is>
          <t>UK</t>
        </is>
      </c>
      <c r="E2141" s="21" t="n">
        <v>86</v>
      </c>
      <c r="F2141" s="21" t="inlineStr">
        <is>
          <t>English</t>
        </is>
      </c>
      <c r="G2141" s="21" t="inlineStr">
        <is>
          <t>R</t>
        </is>
      </c>
      <c r="H2141" s="22" t="n">
        <v>992238</v>
      </c>
      <c r="I2141" s="22" t="n">
        <v>1700000</v>
      </c>
      <c r="J2141" s="21">
        <f>IF(OR(H2141="",H2141=25529689.5),"Yes","No")</f>
        <v/>
      </c>
      <c r="K2141" s="21">
        <f>IF(AND(D2141="USA",C2141&gt;=1980,J2141="No"),"Yes","No")</f>
        <v/>
      </c>
      <c r="L2141" s="26">
        <f>IF(J2141="Yes","",H2141-I2141)</f>
        <v/>
      </c>
      <c r="M2141" s="27">
        <f>IF(OR(J2141="Yes",I2141=0),"",H2141/I2141)</f>
        <v/>
      </c>
      <c r="N2141" s="21">
        <f>IF(J2141="Yes","",IF(H2141&gt;=I2141,1,0))</f>
        <v/>
      </c>
      <c r="O2141" s="21">
        <f>IF(I2141&lt;=5000000,"Under $5M",IF(I2141&lt;=20000000,"$5M-20M",IF(I2141&lt;=50000000,"$20M-50M",IF(I2141&lt;=100000000,"$50M-100M","$100M+"))))</f>
        <v/>
      </c>
      <c r="P2141" s="21">
        <f>IF(E2141&lt;=90,"90 or less",IF(E2141&lt;=105,"91-105",IF(E2141&lt;=120,"106-120",IF(E2141&lt;=140,"121-140","Over 140"))))</f>
        <v/>
      </c>
      <c r="Q2141" s="28">
        <f>INT(C2141/10)*10</f>
        <v/>
      </c>
    </row>
    <row r="2142">
      <c r="A2142" s="21" t="n">
        <v>2186</v>
      </c>
      <c r="B2142" s="21" t="inlineStr">
        <is>
          <t>Napoleon Dynamite</t>
        </is>
      </c>
      <c r="C2142" s="21" t="n">
        <v>2004</v>
      </c>
      <c r="D2142" s="21" t="inlineStr">
        <is>
          <t>USA</t>
        </is>
      </c>
      <c r="E2142" s="21" t="n">
        <v>92</v>
      </c>
      <c r="F2142" s="21" t="inlineStr">
        <is>
          <t>English</t>
        </is>
      </c>
      <c r="G2142" s="21" t="inlineStr">
        <is>
          <t>PG</t>
        </is>
      </c>
      <c r="H2142" s="22" t="n">
        <v>44540956</v>
      </c>
      <c r="I2142" s="22" t="n">
        <v>400000</v>
      </c>
      <c r="J2142" s="21">
        <f>IF(OR(H2142="",H2142=25529689.5),"Yes","No")</f>
        <v/>
      </c>
      <c r="K2142" s="21">
        <f>IF(AND(D2142="USA",C2142&gt;=1980,J2142="No"),"Yes","No")</f>
        <v/>
      </c>
      <c r="L2142" s="26">
        <f>IF(J2142="Yes","",H2142-I2142)</f>
        <v/>
      </c>
      <c r="M2142" s="27">
        <f>IF(OR(J2142="Yes",I2142=0),"",H2142/I2142)</f>
        <v/>
      </c>
      <c r="N2142" s="21">
        <f>IF(J2142="Yes","",IF(H2142&gt;=I2142,1,0))</f>
        <v/>
      </c>
      <c r="O2142" s="21">
        <f>IF(I2142&lt;=5000000,"Under $5M",IF(I2142&lt;=20000000,"$5M-20M",IF(I2142&lt;=50000000,"$20M-50M",IF(I2142&lt;=100000000,"$50M-100M","$100M+"))))</f>
        <v/>
      </c>
      <c r="P2142" s="21">
        <f>IF(E2142&lt;=90,"90 or less",IF(E2142&lt;=105,"91-105",IF(E2142&lt;=120,"106-120",IF(E2142&lt;=140,"121-140","Over 140"))))</f>
        <v/>
      </c>
      <c r="Q2142" s="28">
        <f>INT(C2142/10)*10</f>
        <v/>
      </c>
    </row>
    <row r="2143">
      <c r="A2143" s="21" t="n">
        <v>2187</v>
      </c>
      <c r="B2143" s="21" t="inlineStr">
        <is>
          <t>National Treasure</t>
        </is>
      </c>
      <c r="C2143" s="21" t="n">
        <v>2004</v>
      </c>
      <c r="D2143" s="21" t="inlineStr">
        <is>
          <t>USA</t>
        </is>
      </c>
      <c r="E2143" s="21" t="n">
        <v>131</v>
      </c>
      <c r="F2143" s="21" t="inlineStr">
        <is>
          <t>English</t>
        </is>
      </c>
      <c r="G2143" s="21" t="inlineStr">
        <is>
          <t>PG</t>
        </is>
      </c>
      <c r="H2143" s="22" t="n">
        <v>173005002</v>
      </c>
      <c r="I2143" s="22" t="n">
        <v>100000000</v>
      </c>
      <c r="J2143" s="21">
        <f>IF(OR(H2143="",H2143=25529689.5),"Yes","No")</f>
        <v/>
      </c>
      <c r="K2143" s="21">
        <f>IF(AND(D2143="USA",C2143&gt;=1980,J2143="No"),"Yes","No")</f>
        <v/>
      </c>
      <c r="L2143" s="26">
        <f>IF(J2143="Yes","",H2143-I2143)</f>
        <v/>
      </c>
      <c r="M2143" s="27">
        <f>IF(OR(J2143="Yes",I2143=0),"",H2143/I2143)</f>
        <v/>
      </c>
      <c r="N2143" s="21">
        <f>IF(J2143="Yes","",IF(H2143&gt;=I2143,1,0))</f>
        <v/>
      </c>
      <c r="O2143" s="21">
        <f>IF(I2143&lt;=5000000,"Under $5M",IF(I2143&lt;=20000000,"$5M-20M",IF(I2143&lt;=50000000,"$20M-50M",IF(I2143&lt;=100000000,"$50M-100M","$100M+"))))</f>
        <v/>
      </c>
      <c r="P2143" s="21">
        <f>IF(E2143&lt;=90,"90 or less",IF(E2143&lt;=105,"91-105",IF(E2143&lt;=120,"106-120",IF(E2143&lt;=140,"121-140","Over 140"))))</f>
        <v/>
      </c>
      <c r="Q2143" s="28">
        <f>INT(C2143/10)*10</f>
        <v/>
      </c>
    </row>
    <row r="2144">
      <c r="A2144" s="21" t="n">
        <v>2188</v>
      </c>
      <c r="B2144" s="21" t="inlineStr">
        <is>
          <t>New York Minute</t>
        </is>
      </c>
      <c r="C2144" s="21" t="n">
        <v>2004</v>
      </c>
      <c r="D2144" s="21" t="inlineStr">
        <is>
          <t>USA</t>
        </is>
      </c>
      <c r="E2144" s="21" t="n">
        <v>91</v>
      </c>
      <c r="F2144" s="21" t="inlineStr">
        <is>
          <t>English</t>
        </is>
      </c>
      <c r="G2144" s="21" t="inlineStr">
        <is>
          <t>PG</t>
        </is>
      </c>
      <c r="H2144" s="22" t="n">
        <v>14018364</v>
      </c>
      <c r="I2144" s="22" t="n">
        <v>30000000</v>
      </c>
      <c r="J2144" s="21">
        <f>IF(OR(H2144="",H2144=25529689.5),"Yes","No")</f>
        <v/>
      </c>
      <c r="K2144" s="21">
        <f>IF(AND(D2144="USA",C2144&gt;=1980,J2144="No"),"Yes","No")</f>
        <v/>
      </c>
      <c r="L2144" s="26">
        <f>IF(J2144="Yes","",H2144-I2144)</f>
        <v/>
      </c>
      <c r="M2144" s="27">
        <f>IF(OR(J2144="Yes",I2144=0),"",H2144/I2144)</f>
        <v/>
      </c>
      <c r="N2144" s="21">
        <f>IF(J2144="Yes","",IF(H2144&gt;=I2144,1,0))</f>
        <v/>
      </c>
      <c r="O2144" s="21">
        <f>IF(I2144&lt;=5000000,"Under $5M",IF(I2144&lt;=20000000,"$5M-20M",IF(I2144&lt;=50000000,"$20M-50M",IF(I2144&lt;=100000000,"$50M-100M","$100M+"))))</f>
        <v/>
      </c>
      <c r="P2144" s="21">
        <f>IF(E2144&lt;=90,"90 or less",IF(E2144&lt;=105,"91-105",IF(E2144&lt;=120,"106-120",IF(E2144&lt;=140,"121-140","Over 140"))))</f>
        <v/>
      </c>
      <c r="Q2144" s="28">
        <f>INT(C2144/10)*10</f>
        <v/>
      </c>
    </row>
    <row r="2145">
      <c r="A2145" s="21" t="n">
        <v>2189</v>
      </c>
      <c r="B2145" s="21" t="inlineStr">
        <is>
          <t>Night Watch</t>
        </is>
      </c>
      <c r="C2145" s="21" t="n">
        <v>2004</v>
      </c>
      <c r="D2145" s="21" t="inlineStr">
        <is>
          <t>Russia</t>
        </is>
      </c>
      <c r="E2145" s="21" t="n">
        <v>104</v>
      </c>
      <c r="F2145" s="21" t="inlineStr">
        <is>
          <t>Russian</t>
        </is>
      </c>
      <c r="G2145" s="21" t="inlineStr">
        <is>
          <t>R</t>
        </is>
      </c>
      <c r="H2145" s="22" t="n">
        <v>1487477</v>
      </c>
      <c r="I2145" s="22" t="n">
        <v>4200000</v>
      </c>
      <c r="J2145" s="21">
        <f>IF(OR(H2145="",H2145=25529689.5),"Yes","No")</f>
        <v/>
      </c>
      <c r="K2145" s="21">
        <f>IF(AND(D2145="USA",C2145&gt;=1980,J2145="No"),"Yes","No")</f>
        <v/>
      </c>
      <c r="L2145" s="26">
        <f>IF(J2145="Yes","",H2145-I2145)</f>
        <v/>
      </c>
      <c r="M2145" s="27">
        <f>IF(OR(J2145="Yes",I2145=0),"",H2145/I2145)</f>
        <v/>
      </c>
      <c r="N2145" s="21">
        <f>IF(J2145="Yes","",IF(H2145&gt;=I2145,1,0))</f>
        <v/>
      </c>
      <c r="O2145" s="21">
        <f>IF(I2145&lt;=5000000,"Under $5M",IF(I2145&lt;=20000000,"$5M-20M",IF(I2145&lt;=50000000,"$20M-50M",IF(I2145&lt;=100000000,"$50M-100M","$100M+"))))</f>
        <v/>
      </c>
      <c r="P2145" s="21">
        <f>IF(E2145&lt;=90,"90 or less",IF(E2145&lt;=105,"91-105",IF(E2145&lt;=120,"106-120",IF(E2145&lt;=140,"121-140","Over 140"))))</f>
        <v/>
      </c>
      <c r="Q2145" s="28">
        <f>INT(C2145/10)*10</f>
        <v/>
      </c>
    </row>
    <row r="2146">
      <c r="A2146" s="21" t="n">
        <v>2190</v>
      </c>
      <c r="B2146" s="21" t="inlineStr">
        <is>
          <t>November</t>
        </is>
      </c>
      <c r="C2146" s="21" t="n">
        <v>2004</v>
      </c>
      <c r="D2146" s="21" t="inlineStr">
        <is>
          <t>USA</t>
        </is>
      </c>
      <c r="E2146" s="21" t="n">
        <v>78</v>
      </c>
      <c r="F2146" s="21" t="inlineStr">
        <is>
          <t>English</t>
        </is>
      </c>
      <c r="G2146" s="21" t="inlineStr">
        <is>
          <t>R</t>
        </is>
      </c>
      <c r="H2146" s="22" t="n">
        <v>191309</v>
      </c>
      <c r="I2146" s="22" t="n">
        <v>150000</v>
      </c>
      <c r="J2146" s="21">
        <f>IF(OR(H2146="",H2146=25529689.5),"Yes","No")</f>
        <v/>
      </c>
      <c r="K2146" s="21">
        <f>IF(AND(D2146="USA",C2146&gt;=1980,J2146="No"),"Yes","No")</f>
        <v/>
      </c>
      <c r="L2146" s="26">
        <f>IF(J2146="Yes","",H2146-I2146)</f>
        <v/>
      </c>
      <c r="M2146" s="27">
        <f>IF(OR(J2146="Yes",I2146=0),"",H2146/I2146)</f>
        <v/>
      </c>
      <c r="N2146" s="21">
        <f>IF(J2146="Yes","",IF(H2146&gt;=I2146,1,0))</f>
        <v/>
      </c>
      <c r="O2146" s="21">
        <f>IF(I2146&lt;=5000000,"Under $5M",IF(I2146&lt;=20000000,"$5M-20M",IF(I2146&lt;=50000000,"$20M-50M",IF(I2146&lt;=100000000,"$50M-100M","$100M+"))))</f>
        <v/>
      </c>
      <c r="P2146" s="21">
        <f>IF(E2146&lt;=90,"90 or less",IF(E2146&lt;=105,"91-105",IF(E2146&lt;=120,"106-120",IF(E2146&lt;=140,"121-140","Over 140"))))</f>
        <v/>
      </c>
      <c r="Q2146" s="28">
        <f>INT(C2146/10)*10</f>
        <v/>
      </c>
    </row>
    <row r="2147">
      <c r="A2147" s="21" t="n">
        <v>2191</v>
      </c>
      <c r="B2147" s="21" t="inlineStr">
        <is>
          <t>Ocean's Twelve</t>
        </is>
      </c>
      <c r="C2147" s="21" t="n">
        <v>2004</v>
      </c>
      <c r="D2147" s="21" t="inlineStr">
        <is>
          <t>USA</t>
        </is>
      </c>
      <c r="E2147" s="21" t="n">
        <v>125</v>
      </c>
      <c r="F2147" s="21" t="inlineStr">
        <is>
          <t>English</t>
        </is>
      </c>
      <c r="G2147" s="21" t="inlineStr">
        <is>
          <t>PG-13</t>
        </is>
      </c>
      <c r="H2147" s="22" t="n">
        <v>125531634</v>
      </c>
      <c r="I2147" s="22" t="n">
        <v>110000000</v>
      </c>
      <c r="J2147" s="21">
        <f>IF(OR(H2147="",H2147=25529689.5),"Yes","No")</f>
        <v/>
      </c>
      <c r="K2147" s="21">
        <f>IF(AND(D2147="USA",C2147&gt;=1980,J2147="No"),"Yes","No")</f>
        <v/>
      </c>
      <c r="L2147" s="26">
        <f>IF(J2147="Yes","",H2147-I2147)</f>
        <v/>
      </c>
      <c r="M2147" s="27">
        <f>IF(OR(J2147="Yes",I2147=0),"",H2147/I2147)</f>
        <v/>
      </c>
      <c r="N2147" s="21">
        <f>IF(J2147="Yes","",IF(H2147&gt;=I2147,1,0))</f>
        <v/>
      </c>
      <c r="O2147" s="21">
        <f>IF(I2147&lt;=5000000,"Under $5M",IF(I2147&lt;=20000000,"$5M-20M",IF(I2147&lt;=50000000,"$20M-50M",IF(I2147&lt;=100000000,"$50M-100M","$100M+"))))</f>
        <v/>
      </c>
      <c r="P2147" s="21">
        <f>IF(E2147&lt;=90,"90 or less",IF(E2147&lt;=105,"91-105",IF(E2147&lt;=120,"106-120",IF(E2147&lt;=140,"121-140","Over 140"))))</f>
        <v/>
      </c>
      <c r="Q2147" s="28">
        <f>INT(C2147/10)*10</f>
        <v/>
      </c>
    </row>
    <row r="2148">
      <c r="A2148" s="21" t="n">
        <v>2192</v>
      </c>
      <c r="B2148" s="21" t="inlineStr">
        <is>
          <t>On the Downlow</t>
        </is>
      </c>
      <c r="C2148" s="21" t="n">
        <v>2004</v>
      </c>
      <c r="D2148" s="21" t="inlineStr">
        <is>
          <t>USA</t>
        </is>
      </c>
      <c r="E2148" s="21" t="n">
        <v>84</v>
      </c>
      <c r="F2148" s="21" t="inlineStr">
        <is>
          <t>English</t>
        </is>
      </c>
      <c r="G2148" s="21" t="n"/>
      <c r="H2148" s="22" t="n">
        <v>25529689.5</v>
      </c>
      <c r="I2148" s="22" t="n">
        <v>20000000</v>
      </c>
      <c r="J2148" s="21">
        <f>IF(OR(H2148="",H2148=25529689.5),"Yes","No")</f>
        <v/>
      </c>
      <c r="K2148" s="21">
        <f>IF(AND(D2148="USA",C2148&gt;=1980,J2148="No"),"Yes","No")</f>
        <v/>
      </c>
      <c r="L2148" s="26">
        <f>IF(J2148="Yes","",H2148-I2148)</f>
        <v/>
      </c>
      <c r="M2148" s="27">
        <f>IF(OR(J2148="Yes",I2148=0),"",H2148/I2148)</f>
        <v/>
      </c>
      <c r="N2148" s="21">
        <f>IF(J2148="Yes","",IF(H2148&gt;=I2148,1,0))</f>
        <v/>
      </c>
      <c r="O2148" s="21">
        <f>IF(I2148&lt;=5000000,"Under $5M",IF(I2148&lt;=20000000,"$5M-20M",IF(I2148&lt;=50000000,"$20M-50M",IF(I2148&lt;=100000000,"$50M-100M","$100M+"))))</f>
        <v/>
      </c>
      <c r="P2148" s="21">
        <f>IF(E2148&lt;=90,"90 or less",IF(E2148&lt;=105,"91-105",IF(E2148&lt;=120,"106-120",IF(E2148&lt;=140,"121-140","Over 140"))))</f>
        <v/>
      </c>
      <c r="Q2148" s="28">
        <f>INT(C2148/10)*10</f>
        <v/>
      </c>
    </row>
    <row r="2149">
      <c r="A2149" s="21" t="n">
        <v>2193</v>
      </c>
      <c r="B2149" s="21" t="inlineStr">
        <is>
          <t>On the Outs</t>
        </is>
      </c>
      <c r="C2149" s="21" t="n">
        <v>2004</v>
      </c>
      <c r="D2149" s="21" t="inlineStr">
        <is>
          <t>USA</t>
        </is>
      </c>
      <c r="E2149" s="21" t="n">
        <v>86</v>
      </c>
      <c r="F2149" s="21" t="inlineStr">
        <is>
          <t>English</t>
        </is>
      </c>
      <c r="G2149" s="21" t="inlineStr">
        <is>
          <t>R</t>
        </is>
      </c>
      <c r="H2149" s="22" t="n">
        <v>25529689.5</v>
      </c>
      <c r="I2149" s="22" t="n">
        <v>20000000</v>
      </c>
      <c r="J2149" s="21">
        <f>IF(OR(H2149="",H2149=25529689.5),"Yes","No")</f>
        <v/>
      </c>
      <c r="K2149" s="21">
        <f>IF(AND(D2149="USA",C2149&gt;=1980,J2149="No"),"Yes","No")</f>
        <v/>
      </c>
      <c r="L2149" s="26">
        <f>IF(J2149="Yes","",H2149-I2149)</f>
        <v/>
      </c>
      <c r="M2149" s="27">
        <f>IF(OR(J2149="Yes",I2149=0),"",H2149/I2149)</f>
        <v/>
      </c>
      <c r="N2149" s="21">
        <f>IF(J2149="Yes","",IF(H2149&gt;=I2149,1,0))</f>
        <v/>
      </c>
      <c r="O2149" s="21">
        <f>IF(I2149&lt;=5000000,"Under $5M",IF(I2149&lt;=20000000,"$5M-20M",IF(I2149&lt;=50000000,"$20M-50M",IF(I2149&lt;=100000000,"$50M-100M","$100M+"))))</f>
        <v/>
      </c>
      <c r="P2149" s="21">
        <f>IF(E2149&lt;=90,"90 or less",IF(E2149&lt;=105,"91-105",IF(E2149&lt;=120,"106-120",IF(E2149&lt;=140,"121-140","Over 140"))))</f>
        <v/>
      </c>
      <c r="Q2149" s="28">
        <f>INT(C2149/10)*10</f>
        <v/>
      </c>
    </row>
    <row r="2150">
      <c r="A2150" s="21" t="n">
        <v>2194</v>
      </c>
      <c r="B2150" s="21" t="inlineStr">
        <is>
          <t>Paparazzi</t>
        </is>
      </c>
      <c r="C2150" s="21" t="n">
        <v>2004</v>
      </c>
      <c r="D2150" s="21" t="inlineStr">
        <is>
          <t>USA</t>
        </is>
      </c>
      <c r="E2150" s="21" t="n">
        <v>84</v>
      </c>
      <c r="F2150" s="21" t="inlineStr">
        <is>
          <t>English</t>
        </is>
      </c>
      <c r="G2150" s="21" t="inlineStr">
        <is>
          <t>PG-13</t>
        </is>
      </c>
      <c r="H2150" s="22" t="n">
        <v>15712072</v>
      </c>
      <c r="I2150" s="22" t="n">
        <v>20000000</v>
      </c>
      <c r="J2150" s="21">
        <f>IF(OR(H2150="",H2150=25529689.5),"Yes","No")</f>
        <v/>
      </c>
      <c r="K2150" s="21">
        <f>IF(AND(D2150="USA",C2150&gt;=1980,J2150="No"),"Yes","No")</f>
        <v/>
      </c>
      <c r="L2150" s="26">
        <f>IF(J2150="Yes","",H2150-I2150)</f>
        <v/>
      </c>
      <c r="M2150" s="27">
        <f>IF(OR(J2150="Yes",I2150=0),"",H2150/I2150)</f>
        <v/>
      </c>
      <c r="N2150" s="21">
        <f>IF(J2150="Yes","",IF(H2150&gt;=I2150,1,0))</f>
        <v/>
      </c>
      <c r="O2150" s="21">
        <f>IF(I2150&lt;=5000000,"Under $5M",IF(I2150&lt;=20000000,"$5M-20M",IF(I2150&lt;=50000000,"$20M-50M",IF(I2150&lt;=100000000,"$50M-100M","$100M+"))))</f>
        <v/>
      </c>
      <c r="P2150" s="21">
        <f>IF(E2150&lt;=90,"90 or less",IF(E2150&lt;=105,"91-105",IF(E2150&lt;=120,"106-120",IF(E2150&lt;=140,"121-140","Over 140"))))</f>
        <v/>
      </c>
      <c r="Q2150" s="28">
        <f>INT(C2150/10)*10</f>
        <v/>
      </c>
    </row>
    <row r="2151">
      <c r="A2151" s="21" t="n">
        <v>2195</v>
      </c>
      <c r="B2151" s="21" t="inlineStr">
        <is>
          <t>Peace, Propaganda &amp; the Promised Land</t>
        </is>
      </c>
      <c r="C2151" s="21" t="n">
        <v>2004</v>
      </c>
      <c r="D2151" s="21" t="inlineStr">
        <is>
          <t>USA</t>
        </is>
      </c>
      <c r="E2151" s="21" t="n">
        <v>80</v>
      </c>
      <c r="F2151" s="21" t="inlineStr">
        <is>
          <t>English</t>
        </is>
      </c>
      <c r="G2151" s="21" t="n"/>
      <c r="H2151" s="22" t="n">
        <v>25529689.5</v>
      </c>
      <c r="I2151" s="22" t="n">
        <v>70000</v>
      </c>
      <c r="J2151" s="21">
        <f>IF(OR(H2151="",H2151=25529689.5),"Yes","No")</f>
        <v/>
      </c>
      <c r="K2151" s="21">
        <f>IF(AND(D2151="USA",C2151&gt;=1980,J2151="No"),"Yes","No")</f>
        <v/>
      </c>
      <c r="L2151" s="26">
        <f>IF(J2151="Yes","",H2151-I2151)</f>
        <v/>
      </c>
      <c r="M2151" s="27">
        <f>IF(OR(J2151="Yes",I2151=0),"",H2151/I2151)</f>
        <v/>
      </c>
      <c r="N2151" s="21">
        <f>IF(J2151="Yes","",IF(H2151&gt;=I2151,1,0))</f>
        <v/>
      </c>
      <c r="O2151" s="21">
        <f>IF(I2151&lt;=5000000,"Under $5M",IF(I2151&lt;=20000000,"$5M-20M",IF(I2151&lt;=50000000,"$20M-50M",IF(I2151&lt;=100000000,"$50M-100M","$100M+"))))</f>
        <v/>
      </c>
      <c r="P2151" s="21">
        <f>IF(E2151&lt;=90,"90 or less",IF(E2151&lt;=105,"91-105",IF(E2151&lt;=120,"106-120",IF(E2151&lt;=140,"121-140","Over 140"))))</f>
        <v/>
      </c>
      <c r="Q2151" s="28">
        <f>INT(C2151/10)*10</f>
        <v/>
      </c>
    </row>
    <row r="2152">
      <c r="A2152" s="21" t="n">
        <v>2196</v>
      </c>
      <c r="B2152" s="21" t="inlineStr">
        <is>
          <t>Primer</t>
        </is>
      </c>
      <c r="C2152" s="21" t="n">
        <v>2004</v>
      </c>
      <c r="D2152" s="21" t="inlineStr">
        <is>
          <t>USA</t>
        </is>
      </c>
      <c r="E2152" s="21" t="n">
        <v>77</v>
      </c>
      <c r="F2152" s="21" t="inlineStr">
        <is>
          <t>English</t>
        </is>
      </c>
      <c r="G2152" s="21" t="inlineStr">
        <is>
          <t>PG-13</t>
        </is>
      </c>
      <c r="H2152" s="22" t="n">
        <v>424760</v>
      </c>
      <c r="I2152" s="22" t="n">
        <v>7000</v>
      </c>
      <c r="J2152" s="21">
        <f>IF(OR(H2152="",H2152=25529689.5),"Yes","No")</f>
        <v/>
      </c>
      <c r="K2152" s="21">
        <f>IF(AND(D2152="USA",C2152&gt;=1980,J2152="No"),"Yes","No")</f>
        <v/>
      </c>
      <c r="L2152" s="26">
        <f>IF(J2152="Yes","",H2152-I2152)</f>
        <v/>
      </c>
      <c r="M2152" s="27">
        <f>IF(OR(J2152="Yes",I2152=0),"",H2152/I2152)</f>
        <v/>
      </c>
      <c r="N2152" s="21">
        <f>IF(J2152="Yes","",IF(H2152&gt;=I2152,1,0))</f>
        <v/>
      </c>
      <c r="O2152" s="21">
        <f>IF(I2152&lt;=5000000,"Under $5M",IF(I2152&lt;=20000000,"$5M-20M",IF(I2152&lt;=50000000,"$20M-50M",IF(I2152&lt;=100000000,"$50M-100M","$100M+"))))</f>
        <v/>
      </c>
      <c r="P2152" s="21">
        <f>IF(E2152&lt;=90,"90 or less",IF(E2152&lt;=105,"91-105",IF(E2152&lt;=120,"106-120",IF(E2152&lt;=140,"121-140","Over 140"))))</f>
        <v/>
      </c>
      <c r="Q2152" s="28">
        <f>INT(C2152/10)*10</f>
        <v/>
      </c>
    </row>
    <row r="2153">
      <c r="A2153" s="21" t="n">
        <v>2197</v>
      </c>
      <c r="B2153" s="21" t="inlineStr">
        <is>
          <t>Proud</t>
        </is>
      </c>
      <c r="C2153" s="21" t="n">
        <v>2004</v>
      </c>
      <c r="D2153" s="21" t="inlineStr">
        <is>
          <t>USA</t>
        </is>
      </c>
      <c r="E2153" s="21" t="n">
        <v>87</v>
      </c>
      <c r="F2153" s="21" t="inlineStr">
        <is>
          <t>English</t>
        </is>
      </c>
      <c r="G2153" s="21" t="inlineStr">
        <is>
          <t>PG</t>
        </is>
      </c>
      <c r="H2153" s="22" t="n">
        <v>25529689.5</v>
      </c>
      <c r="I2153" s="22" t="n">
        <v>1000000</v>
      </c>
      <c r="J2153" s="21">
        <f>IF(OR(H2153="",H2153=25529689.5),"Yes","No")</f>
        <v/>
      </c>
      <c r="K2153" s="21">
        <f>IF(AND(D2153="USA",C2153&gt;=1980,J2153="No"),"Yes","No")</f>
        <v/>
      </c>
      <c r="L2153" s="26">
        <f>IF(J2153="Yes","",H2153-I2153)</f>
        <v/>
      </c>
      <c r="M2153" s="27">
        <f>IF(OR(J2153="Yes",I2153=0),"",H2153/I2153)</f>
        <v/>
      </c>
      <c r="N2153" s="21">
        <f>IF(J2153="Yes","",IF(H2153&gt;=I2153,1,0))</f>
        <v/>
      </c>
      <c r="O2153" s="21">
        <f>IF(I2153&lt;=5000000,"Under $5M",IF(I2153&lt;=20000000,"$5M-20M",IF(I2153&lt;=50000000,"$20M-50M",IF(I2153&lt;=100000000,"$50M-100M","$100M+"))))</f>
        <v/>
      </c>
      <c r="P2153" s="21">
        <f>IF(E2153&lt;=90,"90 or less",IF(E2153&lt;=105,"91-105",IF(E2153&lt;=120,"106-120",IF(E2153&lt;=140,"121-140","Over 140"))))</f>
        <v/>
      </c>
      <c r="Q2153" s="28">
        <f>INT(C2153/10)*10</f>
        <v/>
      </c>
    </row>
    <row r="2154">
      <c r="A2154" s="21" t="n">
        <v>2198</v>
      </c>
      <c r="B2154" s="21" t="inlineStr">
        <is>
          <t>Raise Your Voice</t>
        </is>
      </c>
      <c r="C2154" s="21" t="n">
        <v>2004</v>
      </c>
      <c r="D2154" s="21" t="inlineStr">
        <is>
          <t>USA</t>
        </is>
      </c>
      <c r="E2154" s="21" t="n">
        <v>103</v>
      </c>
      <c r="F2154" s="21" t="inlineStr">
        <is>
          <t>English</t>
        </is>
      </c>
      <c r="G2154" s="21" t="inlineStr">
        <is>
          <t>PG</t>
        </is>
      </c>
      <c r="H2154" s="22" t="n">
        <v>10411980</v>
      </c>
      <c r="I2154" s="22" t="n">
        <v>15000000</v>
      </c>
      <c r="J2154" s="21">
        <f>IF(OR(H2154="",H2154=25529689.5),"Yes","No")</f>
        <v/>
      </c>
      <c r="K2154" s="21">
        <f>IF(AND(D2154="USA",C2154&gt;=1980,J2154="No"),"Yes","No")</f>
        <v/>
      </c>
      <c r="L2154" s="26">
        <f>IF(J2154="Yes","",H2154-I2154)</f>
        <v/>
      </c>
      <c r="M2154" s="27">
        <f>IF(OR(J2154="Yes",I2154=0),"",H2154/I2154)</f>
        <v/>
      </c>
      <c r="N2154" s="21">
        <f>IF(J2154="Yes","",IF(H2154&gt;=I2154,1,0))</f>
        <v/>
      </c>
      <c r="O2154" s="21">
        <f>IF(I2154&lt;=5000000,"Under $5M",IF(I2154&lt;=20000000,"$5M-20M",IF(I2154&lt;=50000000,"$20M-50M",IF(I2154&lt;=100000000,"$50M-100M","$100M+"))))</f>
        <v/>
      </c>
      <c r="P2154" s="21">
        <f>IF(E2154&lt;=90,"90 or less",IF(E2154&lt;=105,"91-105",IF(E2154&lt;=120,"106-120",IF(E2154&lt;=140,"121-140","Over 140"))))</f>
        <v/>
      </c>
      <c r="Q2154" s="28">
        <f>INT(C2154/10)*10</f>
        <v/>
      </c>
    </row>
    <row r="2155">
      <c r="A2155" s="21" t="n">
        <v>2199</v>
      </c>
      <c r="B2155" s="21" t="inlineStr">
        <is>
          <t>Raising Helen</t>
        </is>
      </c>
      <c r="C2155" s="21" t="n">
        <v>2004</v>
      </c>
      <c r="D2155" s="21" t="inlineStr">
        <is>
          <t>USA</t>
        </is>
      </c>
      <c r="E2155" s="21" t="n">
        <v>119</v>
      </c>
      <c r="F2155" s="21" t="inlineStr">
        <is>
          <t>English</t>
        </is>
      </c>
      <c r="G2155" s="21" t="inlineStr">
        <is>
          <t>PG-13</t>
        </is>
      </c>
      <c r="H2155" s="22" t="n">
        <v>37486138</v>
      </c>
      <c r="I2155" s="22" t="n">
        <v>50000000</v>
      </c>
      <c r="J2155" s="21">
        <f>IF(OR(H2155="",H2155=25529689.5),"Yes","No")</f>
        <v/>
      </c>
      <c r="K2155" s="21">
        <f>IF(AND(D2155="USA",C2155&gt;=1980,J2155="No"),"Yes","No")</f>
        <v/>
      </c>
      <c r="L2155" s="26">
        <f>IF(J2155="Yes","",H2155-I2155)</f>
        <v/>
      </c>
      <c r="M2155" s="27">
        <f>IF(OR(J2155="Yes",I2155=0),"",H2155/I2155)</f>
        <v/>
      </c>
      <c r="N2155" s="21">
        <f>IF(J2155="Yes","",IF(H2155&gt;=I2155,1,0))</f>
        <v/>
      </c>
      <c r="O2155" s="21">
        <f>IF(I2155&lt;=5000000,"Under $5M",IF(I2155&lt;=20000000,"$5M-20M",IF(I2155&lt;=50000000,"$20M-50M",IF(I2155&lt;=100000000,"$50M-100M","$100M+"))))</f>
        <v/>
      </c>
      <c r="P2155" s="21">
        <f>IF(E2155&lt;=90,"90 or less",IF(E2155&lt;=105,"91-105",IF(E2155&lt;=120,"106-120",IF(E2155&lt;=140,"121-140","Over 140"))))</f>
        <v/>
      </c>
      <c r="Q2155" s="28">
        <f>INT(C2155/10)*10</f>
        <v/>
      </c>
    </row>
    <row r="2156">
      <c r="A2156" s="21" t="n">
        <v>2200</v>
      </c>
      <c r="B2156" s="21" t="inlineStr">
        <is>
          <t>Ray</t>
        </is>
      </c>
      <c r="C2156" s="21" t="n">
        <v>2004</v>
      </c>
      <c r="D2156" s="21" t="inlineStr">
        <is>
          <t>USA</t>
        </is>
      </c>
      <c r="E2156" s="21" t="n">
        <v>178</v>
      </c>
      <c r="F2156" s="21" t="inlineStr">
        <is>
          <t>English</t>
        </is>
      </c>
      <c r="G2156" s="21" t="inlineStr">
        <is>
          <t>PG-13</t>
        </is>
      </c>
      <c r="H2156" s="22" t="n">
        <v>75305995</v>
      </c>
      <c r="I2156" s="22" t="n">
        <v>40000000</v>
      </c>
      <c r="J2156" s="21">
        <f>IF(OR(H2156="",H2156=25529689.5),"Yes","No")</f>
        <v/>
      </c>
      <c r="K2156" s="21">
        <f>IF(AND(D2156="USA",C2156&gt;=1980,J2156="No"),"Yes","No")</f>
        <v/>
      </c>
      <c r="L2156" s="26">
        <f>IF(J2156="Yes","",H2156-I2156)</f>
        <v/>
      </c>
      <c r="M2156" s="27">
        <f>IF(OR(J2156="Yes",I2156=0),"",H2156/I2156)</f>
        <v/>
      </c>
      <c r="N2156" s="21">
        <f>IF(J2156="Yes","",IF(H2156&gt;=I2156,1,0))</f>
        <v/>
      </c>
      <c r="O2156" s="21">
        <f>IF(I2156&lt;=5000000,"Under $5M",IF(I2156&lt;=20000000,"$5M-20M",IF(I2156&lt;=50000000,"$20M-50M",IF(I2156&lt;=100000000,"$50M-100M","$100M+"))))</f>
        <v/>
      </c>
      <c r="P2156" s="21">
        <f>IF(E2156&lt;=90,"90 or less",IF(E2156&lt;=105,"91-105",IF(E2156&lt;=120,"106-120",IF(E2156&lt;=140,"121-140","Over 140"))))</f>
        <v/>
      </c>
      <c r="Q2156" s="28">
        <f>INT(C2156/10)*10</f>
        <v/>
      </c>
    </row>
    <row r="2157">
      <c r="A2157" s="21" t="n">
        <v>2201</v>
      </c>
      <c r="B2157" s="21" t="inlineStr">
        <is>
          <t>Resident Evil: Apocalypse</t>
        </is>
      </c>
      <c r="C2157" s="21" t="n">
        <v>2004</v>
      </c>
      <c r="D2157" s="21" t="inlineStr">
        <is>
          <t>Germany</t>
        </is>
      </c>
      <c r="E2157" s="21" t="n">
        <v>98</v>
      </c>
      <c r="F2157" s="21" t="inlineStr">
        <is>
          <t>English</t>
        </is>
      </c>
      <c r="G2157" s="21" t="inlineStr">
        <is>
          <t>R</t>
        </is>
      </c>
      <c r="H2157" s="22" t="n">
        <v>50740078</v>
      </c>
      <c r="I2157" s="22" t="n">
        <v>45000000</v>
      </c>
      <c r="J2157" s="21">
        <f>IF(OR(H2157="",H2157=25529689.5),"Yes","No")</f>
        <v/>
      </c>
      <c r="K2157" s="21">
        <f>IF(AND(D2157="USA",C2157&gt;=1980,J2157="No"),"Yes","No")</f>
        <v/>
      </c>
      <c r="L2157" s="26">
        <f>IF(J2157="Yes","",H2157-I2157)</f>
        <v/>
      </c>
      <c r="M2157" s="27">
        <f>IF(OR(J2157="Yes",I2157=0),"",H2157/I2157)</f>
        <v/>
      </c>
      <c r="N2157" s="21">
        <f>IF(J2157="Yes","",IF(H2157&gt;=I2157,1,0))</f>
        <v/>
      </c>
      <c r="O2157" s="21">
        <f>IF(I2157&lt;=5000000,"Under $5M",IF(I2157&lt;=20000000,"$5M-20M",IF(I2157&lt;=50000000,"$20M-50M",IF(I2157&lt;=100000000,"$50M-100M","$100M+"))))</f>
        <v/>
      </c>
      <c r="P2157" s="21">
        <f>IF(E2157&lt;=90,"90 or less",IF(E2157&lt;=105,"91-105",IF(E2157&lt;=120,"106-120",IF(E2157&lt;=140,"121-140","Over 140"))))</f>
        <v/>
      </c>
      <c r="Q2157" s="28">
        <f>INT(C2157/10)*10</f>
        <v/>
      </c>
    </row>
    <row r="2158">
      <c r="A2158" s="21" t="n">
        <v>2202</v>
      </c>
      <c r="B2158" s="21" t="inlineStr">
        <is>
          <t>Riding Giants</t>
        </is>
      </c>
      <c r="C2158" s="21" t="n">
        <v>2004</v>
      </c>
      <c r="D2158" s="21" t="inlineStr">
        <is>
          <t>USA</t>
        </is>
      </c>
      <c r="E2158" s="21" t="n">
        <v>105</v>
      </c>
      <c r="F2158" s="21" t="inlineStr">
        <is>
          <t>English</t>
        </is>
      </c>
      <c r="G2158" s="21" t="inlineStr">
        <is>
          <t>PG-13</t>
        </is>
      </c>
      <c r="H2158" s="22" t="n">
        <v>2276368</v>
      </c>
      <c r="I2158" s="22" t="n">
        <v>20000000</v>
      </c>
      <c r="J2158" s="21">
        <f>IF(OR(H2158="",H2158=25529689.5),"Yes","No")</f>
        <v/>
      </c>
      <c r="K2158" s="21">
        <f>IF(AND(D2158="USA",C2158&gt;=1980,J2158="No"),"Yes","No")</f>
        <v/>
      </c>
      <c r="L2158" s="26">
        <f>IF(J2158="Yes","",H2158-I2158)</f>
        <v/>
      </c>
      <c r="M2158" s="27">
        <f>IF(OR(J2158="Yes",I2158=0),"",H2158/I2158)</f>
        <v/>
      </c>
      <c r="N2158" s="21">
        <f>IF(J2158="Yes","",IF(H2158&gt;=I2158,1,0))</f>
        <v/>
      </c>
      <c r="O2158" s="21">
        <f>IF(I2158&lt;=5000000,"Under $5M",IF(I2158&lt;=20000000,"$5M-20M",IF(I2158&lt;=50000000,"$20M-50M",IF(I2158&lt;=100000000,"$50M-100M","$100M+"))))</f>
        <v/>
      </c>
      <c r="P2158" s="21">
        <f>IF(E2158&lt;=90,"90 or less",IF(E2158&lt;=105,"91-105",IF(E2158&lt;=120,"106-120",IF(E2158&lt;=140,"121-140","Over 140"))))</f>
        <v/>
      </c>
      <c r="Q2158" s="28">
        <f>INT(C2158/10)*10</f>
        <v/>
      </c>
    </row>
    <row r="2159">
      <c r="A2159" s="21" t="n">
        <v>2203</v>
      </c>
      <c r="B2159" s="21" t="inlineStr">
        <is>
          <t>Saint Ralph</t>
        </is>
      </c>
      <c r="C2159" s="21" t="n">
        <v>2004</v>
      </c>
      <c r="D2159" s="21" t="inlineStr">
        <is>
          <t>Canada</t>
        </is>
      </c>
      <c r="E2159" s="21" t="n">
        <v>98</v>
      </c>
      <c r="F2159" s="21" t="inlineStr">
        <is>
          <t>English</t>
        </is>
      </c>
      <c r="G2159" s="21" t="inlineStr">
        <is>
          <t>PG-13</t>
        </is>
      </c>
      <c r="H2159" s="22" t="n">
        <v>795126</v>
      </c>
      <c r="I2159" s="22" t="n">
        <v>6000000</v>
      </c>
      <c r="J2159" s="21">
        <f>IF(OR(H2159="",H2159=25529689.5),"Yes","No")</f>
        <v/>
      </c>
      <c r="K2159" s="21">
        <f>IF(AND(D2159="USA",C2159&gt;=1980,J2159="No"),"Yes","No")</f>
        <v/>
      </c>
      <c r="L2159" s="26">
        <f>IF(J2159="Yes","",H2159-I2159)</f>
        <v/>
      </c>
      <c r="M2159" s="27">
        <f>IF(OR(J2159="Yes",I2159=0),"",H2159/I2159)</f>
        <v/>
      </c>
      <c r="N2159" s="21">
        <f>IF(J2159="Yes","",IF(H2159&gt;=I2159,1,0))</f>
        <v/>
      </c>
      <c r="O2159" s="21">
        <f>IF(I2159&lt;=5000000,"Under $5M",IF(I2159&lt;=20000000,"$5M-20M",IF(I2159&lt;=50000000,"$20M-50M",IF(I2159&lt;=100000000,"$50M-100M","$100M+"))))</f>
        <v/>
      </c>
      <c r="P2159" s="21">
        <f>IF(E2159&lt;=90,"90 or less",IF(E2159&lt;=105,"91-105",IF(E2159&lt;=120,"106-120",IF(E2159&lt;=140,"121-140","Over 140"))))</f>
        <v/>
      </c>
      <c r="Q2159" s="28">
        <f>INT(C2159/10)*10</f>
        <v/>
      </c>
    </row>
    <row r="2160">
      <c r="A2160" s="21" t="n">
        <v>2204</v>
      </c>
      <c r="B2160" s="21" t="inlineStr">
        <is>
          <t>Saved!</t>
        </is>
      </c>
      <c r="C2160" s="21" t="n">
        <v>2004</v>
      </c>
      <c r="D2160" s="21" t="inlineStr">
        <is>
          <t>USA</t>
        </is>
      </c>
      <c r="E2160" s="21" t="n">
        <v>92</v>
      </c>
      <c r="F2160" s="21" t="inlineStr">
        <is>
          <t>English</t>
        </is>
      </c>
      <c r="G2160" s="21" t="inlineStr">
        <is>
          <t>PG-13</t>
        </is>
      </c>
      <c r="H2160" s="22" t="n">
        <v>8786715</v>
      </c>
      <c r="I2160" s="22" t="n">
        <v>5000000</v>
      </c>
      <c r="J2160" s="21">
        <f>IF(OR(H2160="",H2160=25529689.5),"Yes","No")</f>
        <v/>
      </c>
      <c r="K2160" s="21">
        <f>IF(AND(D2160="USA",C2160&gt;=1980,J2160="No"),"Yes","No")</f>
        <v/>
      </c>
      <c r="L2160" s="26">
        <f>IF(J2160="Yes","",H2160-I2160)</f>
        <v/>
      </c>
      <c r="M2160" s="27">
        <f>IF(OR(J2160="Yes",I2160=0),"",H2160/I2160)</f>
        <v/>
      </c>
      <c r="N2160" s="21">
        <f>IF(J2160="Yes","",IF(H2160&gt;=I2160,1,0))</f>
        <v/>
      </c>
      <c r="O2160" s="21">
        <f>IF(I2160&lt;=5000000,"Under $5M",IF(I2160&lt;=20000000,"$5M-20M",IF(I2160&lt;=50000000,"$20M-50M",IF(I2160&lt;=100000000,"$50M-100M","$100M+"))))</f>
        <v/>
      </c>
      <c r="P2160" s="21">
        <f>IF(E2160&lt;=90,"90 or less",IF(E2160&lt;=105,"91-105",IF(E2160&lt;=120,"106-120",IF(E2160&lt;=140,"121-140","Over 140"))))</f>
        <v/>
      </c>
      <c r="Q2160" s="28">
        <f>INT(C2160/10)*10</f>
        <v/>
      </c>
    </row>
    <row r="2161">
      <c r="A2161" s="21" t="n">
        <v>2205</v>
      </c>
      <c r="B2161" s="21" t="inlineStr">
        <is>
          <t>Saving Face</t>
        </is>
      </c>
      <c r="C2161" s="21" t="n">
        <v>2004</v>
      </c>
      <c r="D2161" s="21" t="inlineStr">
        <is>
          <t>USA</t>
        </is>
      </c>
      <c r="E2161" s="21" t="n">
        <v>96</v>
      </c>
      <c r="F2161" s="21" t="inlineStr">
        <is>
          <t>English</t>
        </is>
      </c>
      <c r="G2161" s="21" t="inlineStr">
        <is>
          <t>R</t>
        </is>
      </c>
      <c r="H2161" s="22" t="n">
        <v>1186323</v>
      </c>
      <c r="I2161" s="22" t="n">
        <v>20000000</v>
      </c>
      <c r="J2161" s="21">
        <f>IF(OR(H2161="",H2161=25529689.5),"Yes","No")</f>
        <v/>
      </c>
      <c r="K2161" s="21">
        <f>IF(AND(D2161="USA",C2161&gt;=1980,J2161="No"),"Yes","No")</f>
        <v/>
      </c>
      <c r="L2161" s="26">
        <f>IF(J2161="Yes","",H2161-I2161)</f>
        <v/>
      </c>
      <c r="M2161" s="27">
        <f>IF(OR(J2161="Yes",I2161=0),"",H2161/I2161)</f>
        <v/>
      </c>
      <c r="N2161" s="21">
        <f>IF(J2161="Yes","",IF(H2161&gt;=I2161,1,0))</f>
        <v/>
      </c>
      <c r="O2161" s="21">
        <f>IF(I2161&lt;=5000000,"Under $5M",IF(I2161&lt;=20000000,"$5M-20M",IF(I2161&lt;=50000000,"$20M-50M",IF(I2161&lt;=100000000,"$50M-100M","$100M+"))))</f>
        <v/>
      </c>
      <c r="P2161" s="21">
        <f>IF(E2161&lt;=90,"90 or less",IF(E2161&lt;=105,"91-105",IF(E2161&lt;=120,"106-120",IF(E2161&lt;=140,"121-140","Over 140"))))</f>
        <v/>
      </c>
      <c r="Q2161" s="28">
        <f>INT(C2161/10)*10</f>
        <v/>
      </c>
    </row>
    <row r="2162">
      <c r="A2162" s="21" t="n">
        <v>2206</v>
      </c>
      <c r="B2162" s="21" t="inlineStr">
        <is>
          <t>Saw</t>
        </is>
      </c>
      <c r="C2162" s="21" t="n">
        <v>2004</v>
      </c>
      <c r="D2162" s="21" t="inlineStr">
        <is>
          <t>USA</t>
        </is>
      </c>
      <c r="E2162" s="21" t="n">
        <v>103</v>
      </c>
      <c r="F2162" s="21" t="inlineStr">
        <is>
          <t>English</t>
        </is>
      </c>
      <c r="G2162" s="21" t="inlineStr">
        <is>
          <t>R</t>
        </is>
      </c>
      <c r="H2162" s="22" t="n">
        <v>55153403</v>
      </c>
      <c r="I2162" s="22" t="n">
        <v>1200000</v>
      </c>
      <c r="J2162" s="21">
        <f>IF(OR(H2162="",H2162=25529689.5),"Yes","No")</f>
        <v/>
      </c>
      <c r="K2162" s="21">
        <f>IF(AND(D2162="USA",C2162&gt;=1980,J2162="No"),"Yes","No")</f>
        <v/>
      </c>
      <c r="L2162" s="26">
        <f>IF(J2162="Yes","",H2162-I2162)</f>
        <v/>
      </c>
      <c r="M2162" s="27">
        <f>IF(OR(J2162="Yes",I2162=0),"",H2162/I2162)</f>
        <v/>
      </c>
      <c r="N2162" s="21">
        <f>IF(J2162="Yes","",IF(H2162&gt;=I2162,1,0))</f>
        <v/>
      </c>
      <c r="O2162" s="21">
        <f>IF(I2162&lt;=5000000,"Under $5M",IF(I2162&lt;=20000000,"$5M-20M",IF(I2162&lt;=50000000,"$20M-50M",IF(I2162&lt;=100000000,"$50M-100M","$100M+"))))</f>
        <v/>
      </c>
      <c r="P2162" s="21">
        <f>IF(E2162&lt;=90,"90 or less",IF(E2162&lt;=105,"91-105",IF(E2162&lt;=120,"106-120",IF(E2162&lt;=140,"121-140","Over 140"))))</f>
        <v/>
      </c>
      <c r="Q2162" s="28">
        <f>INT(C2162/10)*10</f>
        <v/>
      </c>
    </row>
    <row r="2163">
      <c r="A2163" s="21" t="n">
        <v>2207</v>
      </c>
      <c r="B2163" s="21" t="inlineStr">
        <is>
          <t>Scooby-Doo 2: Monsters Unleashed</t>
        </is>
      </c>
      <c r="C2163" s="21" t="n">
        <v>2004</v>
      </c>
      <c r="D2163" s="21" t="inlineStr">
        <is>
          <t>USA</t>
        </is>
      </c>
      <c r="E2163" s="21" t="n">
        <v>93</v>
      </c>
      <c r="F2163" s="21" t="inlineStr">
        <is>
          <t>English</t>
        </is>
      </c>
      <c r="G2163" s="21" t="inlineStr">
        <is>
          <t>PG</t>
        </is>
      </c>
      <c r="H2163" s="22" t="n">
        <v>84185387</v>
      </c>
      <c r="I2163" s="22" t="n">
        <v>80000000</v>
      </c>
      <c r="J2163" s="21">
        <f>IF(OR(H2163="",H2163=25529689.5),"Yes","No")</f>
        <v/>
      </c>
      <c r="K2163" s="21">
        <f>IF(AND(D2163="USA",C2163&gt;=1980,J2163="No"),"Yes","No")</f>
        <v/>
      </c>
      <c r="L2163" s="26">
        <f>IF(J2163="Yes","",H2163-I2163)</f>
        <v/>
      </c>
      <c r="M2163" s="27">
        <f>IF(OR(J2163="Yes",I2163=0),"",H2163/I2163)</f>
        <v/>
      </c>
      <c r="N2163" s="21">
        <f>IF(J2163="Yes","",IF(H2163&gt;=I2163,1,0))</f>
        <v/>
      </c>
      <c r="O2163" s="21">
        <f>IF(I2163&lt;=5000000,"Under $5M",IF(I2163&lt;=20000000,"$5M-20M",IF(I2163&lt;=50000000,"$20M-50M",IF(I2163&lt;=100000000,"$50M-100M","$100M+"))))</f>
        <v/>
      </c>
      <c r="P2163" s="21">
        <f>IF(E2163&lt;=90,"90 or less",IF(E2163&lt;=105,"91-105",IF(E2163&lt;=120,"106-120",IF(E2163&lt;=140,"121-140","Over 140"))))</f>
        <v/>
      </c>
      <c r="Q2163" s="28">
        <f>INT(C2163/10)*10</f>
        <v/>
      </c>
    </row>
    <row r="2164">
      <c r="A2164" s="21" t="n">
        <v>2208</v>
      </c>
      <c r="B2164" s="21" t="inlineStr">
        <is>
          <t>Secret Window</t>
        </is>
      </c>
      <c r="C2164" s="21" t="n">
        <v>2004</v>
      </c>
      <c r="D2164" s="21" t="inlineStr">
        <is>
          <t>USA</t>
        </is>
      </c>
      <c r="E2164" s="21" t="n">
        <v>96</v>
      </c>
      <c r="F2164" s="21" t="inlineStr">
        <is>
          <t>English</t>
        </is>
      </c>
      <c r="G2164" s="21" t="inlineStr">
        <is>
          <t>PG-13</t>
        </is>
      </c>
      <c r="H2164" s="22" t="n">
        <v>47781388</v>
      </c>
      <c r="I2164" s="22" t="n">
        <v>40000000</v>
      </c>
      <c r="J2164" s="21">
        <f>IF(OR(H2164="",H2164=25529689.5),"Yes","No")</f>
        <v/>
      </c>
      <c r="K2164" s="21">
        <f>IF(AND(D2164="USA",C2164&gt;=1980,J2164="No"),"Yes","No")</f>
        <v/>
      </c>
      <c r="L2164" s="26">
        <f>IF(J2164="Yes","",H2164-I2164)</f>
        <v/>
      </c>
      <c r="M2164" s="27">
        <f>IF(OR(J2164="Yes",I2164=0),"",H2164/I2164)</f>
        <v/>
      </c>
      <c r="N2164" s="21">
        <f>IF(J2164="Yes","",IF(H2164&gt;=I2164,1,0))</f>
        <v/>
      </c>
      <c r="O2164" s="21">
        <f>IF(I2164&lt;=5000000,"Under $5M",IF(I2164&lt;=20000000,"$5M-20M",IF(I2164&lt;=50000000,"$20M-50M",IF(I2164&lt;=100000000,"$50M-100M","$100M+"))))</f>
        <v/>
      </c>
      <c r="P2164" s="21">
        <f>IF(E2164&lt;=90,"90 or less",IF(E2164&lt;=105,"91-105",IF(E2164&lt;=120,"106-120",IF(E2164&lt;=140,"121-140","Over 140"))))</f>
        <v/>
      </c>
      <c r="Q2164" s="28">
        <f>INT(C2164/10)*10</f>
        <v/>
      </c>
    </row>
    <row r="2165">
      <c r="A2165" s="21" t="n">
        <v>2209</v>
      </c>
      <c r="B2165" s="21" t="inlineStr">
        <is>
          <t>Seed of Chucky</t>
        </is>
      </c>
      <c r="C2165" s="21" t="n">
        <v>2004</v>
      </c>
      <c r="D2165" s="21" t="inlineStr">
        <is>
          <t>Romania</t>
        </is>
      </c>
      <c r="E2165" s="21" t="n">
        <v>88</v>
      </c>
      <c r="F2165" s="21" t="inlineStr">
        <is>
          <t>English</t>
        </is>
      </c>
      <c r="G2165" s="21" t="inlineStr">
        <is>
          <t>R</t>
        </is>
      </c>
      <c r="H2165" s="22" t="n">
        <v>17016190</v>
      </c>
      <c r="I2165" s="22" t="n">
        <v>12000000</v>
      </c>
      <c r="J2165" s="21">
        <f>IF(OR(H2165="",H2165=25529689.5),"Yes","No")</f>
        <v/>
      </c>
      <c r="K2165" s="21">
        <f>IF(AND(D2165="USA",C2165&gt;=1980,J2165="No"),"Yes","No")</f>
        <v/>
      </c>
      <c r="L2165" s="26">
        <f>IF(J2165="Yes","",H2165-I2165)</f>
        <v/>
      </c>
      <c r="M2165" s="27">
        <f>IF(OR(J2165="Yes",I2165=0),"",H2165/I2165)</f>
        <v/>
      </c>
      <c r="N2165" s="21">
        <f>IF(J2165="Yes","",IF(H2165&gt;=I2165,1,0))</f>
        <v/>
      </c>
      <c r="O2165" s="21">
        <f>IF(I2165&lt;=5000000,"Under $5M",IF(I2165&lt;=20000000,"$5M-20M",IF(I2165&lt;=50000000,"$20M-50M",IF(I2165&lt;=100000000,"$50M-100M","$100M+"))))</f>
        <v/>
      </c>
      <c r="P2165" s="21">
        <f>IF(E2165&lt;=90,"90 or less",IF(E2165&lt;=105,"91-105",IF(E2165&lt;=120,"106-120",IF(E2165&lt;=140,"121-140","Over 140"))))</f>
        <v/>
      </c>
      <c r="Q2165" s="28">
        <f>INT(C2165/10)*10</f>
        <v/>
      </c>
    </row>
    <row r="2166">
      <c r="A2166" s="21" t="n">
        <v>2210</v>
      </c>
      <c r="B2166" s="21" t="inlineStr">
        <is>
          <t>Shall We Dance</t>
        </is>
      </c>
      <c r="C2166" s="21" t="n">
        <v>2004</v>
      </c>
      <c r="D2166" s="21" t="inlineStr">
        <is>
          <t>USA</t>
        </is>
      </c>
      <c r="E2166" s="21" t="n">
        <v>106</v>
      </c>
      <c r="F2166" s="21" t="inlineStr">
        <is>
          <t>English</t>
        </is>
      </c>
      <c r="G2166" s="21" t="inlineStr">
        <is>
          <t>PG-13</t>
        </is>
      </c>
      <c r="H2166" s="22" t="n">
        <v>57887882</v>
      </c>
      <c r="I2166" s="22" t="n">
        <v>50000000</v>
      </c>
      <c r="J2166" s="21">
        <f>IF(OR(H2166="",H2166=25529689.5),"Yes","No")</f>
        <v/>
      </c>
      <c r="K2166" s="21">
        <f>IF(AND(D2166="USA",C2166&gt;=1980,J2166="No"),"Yes","No")</f>
        <v/>
      </c>
      <c r="L2166" s="26">
        <f>IF(J2166="Yes","",H2166-I2166)</f>
        <v/>
      </c>
      <c r="M2166" s="27">
        <f>IF(OR(J2166="Yes",I2166=0),"",H2166/I2166)</f>
        <v/>
      </c>
      <c r="N2166" s="21">
        <f>IF(J2166="Yes","",IF(H2166&gt;=I2166,1,0))</f>
        <v/>
      </c>
      <c r="O2166" s="21">
        <f>IF(I2166&lt;=5000000,"Under $5M",IF(I2166&lt;=20000000,"$5M-20M",IF(I2166&lt;=50000000,"$20M-50M",IF(I2166&lt;=100000000,"$50M-100M","$100M+"))))</f>
        <v/>
      </c>
      <c r="P2166" s="21">
        <f>IF(E2166&lt;=90,"90 or less",IF(E2166&lt;=105,"91-105",IF(E2166&lt;=120,"106-120",IF(E2166&lt;=140,"121-140","Over 140"))))</f>
        <v/>
      </c>
      <c r="Q2166" s="28">
        <f>INT(C2166/10)*10</f>
        <v/>
      </c>
    </row>
    <row r="2167">
      <c r="A2167" s="21" t="n">
        <v>2211</v>
      </c>
      <c r="B2167" s="21" t="inlineStr">
        <is>
          <t>Shark Tale</t>
        </is>
      </c>
      <c r="C2167" s="21" t="n">
        <v>2004</v>
      </c>
      <c r="D2167" s="21" t="inlineStr">
        <is>
          <t>USA</t>
        </is>
      </c>
      <c r="E2167" s="21" t="n">
        <v>90</v>
      </c>
      <c r="F2167" s="21" t="inlineStr">
        <is>
          <t>English</t>
        </is>
      </c>
      <c r="G2167" s="21" t="inlineStr">
        <is>
          <t>PG</t>
        </is>
      </c>
      <c r="H2167" s="22" t="n">
        <v>160762022</v>
      </c>
      <c r="I2167" s="22" t="n">
        <v>75000000</v>
      </c>
      <c r="J2167" s="21">
        <f>IF(OR(H2167="",H2167=25529689.5),"Yes","No")</f>
        <v/>
      </c>
      <c r="K2167" s="21">
        <f>IF(AND(D2167="USA",C2167&gt;=1980,J2167="No"),"Yes","No")</f>
        <v/>
      </c>
      <c r="L2167" s="26">
        <f>IF(J2167="Yes","",H2167-I2167)</f>
        <v/>
      </c>
      <c r="M2167" s="27">
        <f>IF(OR(J2167="Yes",I2167=0),"",H2167/I2167)</f>
        <v/>
      </c>
      <c r="N2167" s="21">
        <f>IF(J2167="Yes","",IF(H2167&gt;=I2167,1,0))</f>
        <v/>
      </c>
      <c r="O2167" s="21">
        <f>IF(I2167&lt;=5000000,"Under $5M",IF(I2167&lt;=20000000,"$5M-20M",IF(I2167&lt;=50000000,"$20M-50M",IF(I2167&lt;=100000000,"$50M-100M","$100M+"))))</f>
        <v/>
      </c>
      <c r="P2167" s="21">
        <f>IF(E2167&lt;=90,"90 or less",IF(E2167&lt;=105,"91-105",IF(E2167&lt;=120,"106-120",IF(E2167&lt;=140,"121-140","Over 140"))))</f>
        <v/>
      </c>
      <c r="Q2167" s="28">
        <f>INT(C2167/10)*10</f>
        <v/>
      </c>
    </row>
    <row r="2168">
      <c r="A2168" s="21" t="n">
        <v>2212</v>
      </c>
      <c r="B2168" s="21" t="inlineStr">
        <is>
          <t>Shaun of the Dead</t>
        </is>
      </c>
      <c r="C2168" s="21" t="n">
        <v>2004</v>
      </c>
      <c r="D2168" s="21" t="inlineStr">
        <is>
          <t>UK</t>
        </is>
      </c>
      <c r="E2168" s="21" t="n">
        <v>99</v>
      </c>
      <c r="F2168" s="21" t="inlineStr">
        <is>
          <t>English</t>
        </is>
      </c>
      <c r="G2168" s="21" t="inlineStr">
        <is>
          <t>R</t>
        </is>
      </c>
      <c r="H2168" s="22" t="n">
        <v>13464388</v>
      </c>
      <c r="I2168" s="22" t="n">
        <v>4000000</v>
      </c>
      <c r="J2168" s="21">
        <f>IF(OR(H2168="",H2168=25529689.5),"Yes","No")</f>
        <v/>
      </c>
      <c r="K2168" s="21">
        <f>IF(AND(D2168="USA",C2168&gt;=1980,J2168="No"),"Yes","No")</f>
        <v/>
      </c>
      <c r="L2168" s="26">
        <f>IF(J2168="Yes","",H2168-I2168)</f>
        <v/>
      </c>
      <c r="M2168" s="27">
        <f>IF(OR(J2168="Yes",I2168=0),"",H2168/I2168)</f>
        <v/>
      </c>
      <c r="N2168" s="21">
        <f>IF(J2168="Yes","",IF(H2168&gt;=I2168,1,0))</f>
        <v/>
      </c>
      <c r="O2168" s="21">
        <f>IF(I2168&lt;=5000000,"Under $5M",IF(I2168&lt;=20000000,"$5M-20M",IF(I2168&lt;=50000000,"$20M-50M",IF(I2168&lt;=100000000,"$50M-100M","$100M+"))))</f>
        <v/>
      </c>
      <c r="P2168" s="21">
        <f>IF(E2168&lt;=90,"90 or less",IF(E2168&lt;=105,"91-105",IF(E2168&lt;=120,"106-120",IF(E2168&lt;=140,"121-140","Over 140"))))</f>
        <v/>
      </c>
      <c r="Q2168" s="28">
        <f>INT(C2168/10)*10</f>
        <v/>
      </c>
    </row>
    <row r="2169">
      <c r="A2169" s="21" t="n">
        <v>2213</v>
      </c>
      <c r="B2169" s="21" t="inlineStr">
        <is>
          <t>Short Cut to Nirvana: Kumbh Mela</t>
        </is>
      </c>
      <c r="C2169" s="21" t="n">
        <v>2004</v>
      </c>
      <c r="D2169" s="21" t="inlineStr">
        <is>
          <t>USA</t>
        </is>
      </c>
      <c r="E2169" s="21" t="n">
        <v>85</v>
      </c>
      <c r="F2169" s="21" t="inlineStr">
        <is>
          <t>English</t>
        </is>
      </c>
      <c r="G2169" s="21" t="inlineStr">
        <is>
          <t>Unrated</t>
        </is>
      </c>
      <c r="H2169" s="22" t="n">
        <v>381225</v>
      </c>
      <c r="I2169" s="22" t="n">
        <v>200000</v>
      </c>
      <c r="J2169" s="21">
        <f>IF(OR(H2169="",H2169=25529689.5),"Yes","No")</f>
        <v/>
      </c>
      <c r="K2169" s="21">
        <f>IF(AND(D2169="USA",C2169&gt;=1980,J2169="No"),"Yes","No")</f>
        <v/>
      </c>
      <c r="L2169" s="26">
        <f>IF(J2169="Yes","",H2169-I2169)</f>
        <v/>
      </c>
      <c r="M2169" s="27">
        <f>IF(OR(J2169="Yes",I2169=0),"",H2169/I2169)</f>
        <v/>
      </c>
      <c r="N2169" s="21">
        <f>IF(J2169="Yes","",IF(H2169&gt;=I2169,1,0))</f>
        <v/>
      </c>
      <c r="O2169" s="21">
        <f>IF(I2169&lt;=5000000,"Under $5M",IF(I2169&lt;=20000000,"$5M-20M",IF(I2169&lt;=50000000,"$20M-50M",IF(I2169&lt;=100000000,"$50M-100M","$100M+"))))</f>
        <v/>
      </c>
      <c r="P2169" s="21">
        <f>IF(E2169&lt;=90,"90 or less",IF(E2169&lt;=105,"91-105",IF(E2169&lt;=120,"106-120",IF(E2169&lt;=140,"121-140","Over 140"))))</f>
        <v/>
      </c>
      <c r="Q2169" s="28">
        <f>INT(C2169/10)*10</f>
        <v/>
      </c>
    </row>
    <row r="2170">
      <c r="A2170" s="21" t="n">
        <v>2214</v>
      </c>
      <c r="B2170" s="21" t="inlineStr">
        <is>
          <t>Show Me</t>
        </is>
      </c>
      <c r="C2170" s="21" t="n">
        <v>2004</v>
      </c>
      <c r="D2170" s="21" t="inlineStr">
        <is>
          <t>Canada</t>
        </is>
      </c>
      <c r="E2170" s="21" t="n">
        <v>97</v>
      </c>
      <c r="F2170" s="21" t="inlineStr">
        <is>
          <t>French</t>
        </is>
      </c>
      <c r="G2170" s="21" t="inlineStr">
        <is>
          <t>R</t>
        </is>
      </c>
      <c r="H2170" s="22" t="n">
        <v>25529689.5</v>
      </c>
      <c r="I2170" s="22" t="n">
        <v>900000</v>
      </c>
      <c r="J2170" s="21">
        <f>IF(OR(H2170="",H2170=25529689.5),"Yes","No")</f>
        <v/>
      </c>
      <c r="K2170" s="21">
        <f>IF(AND(D2170="USA",C2170&gt;=1980,J2170="No"),"Yes","No")</f>
        <v/>
      </c>
      <c r="L2170" s="26">
        <f>IF(J2170="Yes","",H2170-I2170)</f>
        <v/>
      </c>
      <c r="M2170" s="27">
        <f>IF(OR(J2170="Yes",I2170=0),"",H2170/I2170)</f>
        <v/>
      </c>
      <c r="N2170" s="21">
        <f>IF(J2170="Yes","",IF(H2170&gt;=I2170,1,0))</f>
        <v/>
      </c>
      <c r="O2170" s="21">
        <f>IF(I2170&lt;=5000000,"Under $5M",IF(I2170&lt;=20000000,"$5M-20M",IF(I2170&lt;=50000000,"$20M-50M",IF(I2170&lt;=100000000,"$50M-100M","$100M+"))))</f>
        <v/>
      </c>
      <c r="P2170" s="21">
        <f>IF(E2170&lt;=90,"90 or less",IF(E2170&lt;=105,"91-105",IF(E2170&lt;=120,"106-120",IF(E2170&lt;=140,"121-140","Over 140"))))</f>
        <v/>
      </c>
      <c r="Q2170" s="28">
        <f>INT(C2170/10)*10</f>
        <v/>
      </c>
    </row>
    <row r="2171">
      <c r="A2171" s="21" t="n">
        <v>2215</v>
      </c>
      <c r="B2171" s="21" t="inlineStr">
        <is>
          <t>Shrek 2</t>
        </is>
      </c>
      <c r="C2171" s="21" t="n">
        <v>2004</v>
      </c>
      <c r="D2171" s="21" t="inlineStr">
        <is>
          <t>USA</t>
        </is>
      </c>
      <c r="E2171" s="21" t="n">
        <v>93</v>
      </c>
      <c r="F2171" s="21" t="inlineStr">
        <is>
          <t>English</t>
        </is>
      </c>
      <c r="G2171" s="21" t="inlineStr">
        <is>
          <t>PG</t>
        </is>
      </c>
      <c r="H2171" s="22" t="n">
        <v>436471036</v>
      </c>
      <c r="I2171" s="22" t="n">
        <v>150000000</v>
      </c>
      <c r="J2171" s="21">
        <f>IF(OR(H2171="",H2171=25529689.5),"Yes","No")</f>
        <v/>
      </c>
      <c r="K2171" s="21">
        <f>IF(AND(D2171="USA",C2171&gt;=1980,J2171="No"),"Yes","No")</f>
        <v/>
      </c>
      <c r="L2171" s="26">
        <f>IF(J2171="Yes","",H2171-I2171)</f>
        <v/>
      </c>
      <c r="M2171" s="27">
        <f>IF(OR(J2171="Yes",I2171=0),"",H2171/I2171)</f>
        <v/>
      </c>
      <c r="N2171" s="21">
        <f>IF(J2171="Yes","",IF(H2171&gt;=I2171,1,0))</f>
        <v/>
      </c>
      <c r="O2171" s="21">
        <f>IF(I2171&lt;=5000000,"Under $5M",IF(I2171&lt;=20000000,"$5M-20M",IF(I2171&lt;=50000000,"$20M-50M",IF(I2171&lt;=100000000,"$50M-100M","$100M+"))))</f>
        <v/>
      </c>
      <c r="P2171" s="21">
        <f>IF(E2171&lt;=90,"90 or less",IF(E2171&lt;=105,"91-105",IF(E2171&lt;=120,"106-120",IF(E2171&lt;=140,"121-140","Over 140"))))</f>
        <v/>
      </c>
      <c r="Q2171" s="28">
        <f>INT(C2171/10)*10</f>
        <v/>
      </c>
    </row>
    <row r="2172">
      <c r="A2172" s="21" t="n">
        <v>2216</v>
      </c>
      <c r="B2172" s="21" t="inlineStr">
        <is>
          <t>Sideways</t>
        </is>
      </c>
      <c r="C2172" s="21" t="n">
        <v>2004</v>
      </c>
      <c r="D2172" s="21" t="inlineStr">
        <is>
          <t>USA</t>
        </is>
      </c>
      <c r="E2172" s="21" t="n">
        <v>126</v>
      </c>
      <c r="F2172" s="21" t="inlineStr">
        <is>
          <t>English</t>
        </is>
      </c>
      <c r="G2172" s="21" t="inlineStr">
        <is>
          <t>R</t>
        </is>
      </c>
      <c r="H2172" s="22" t="n">
        <v>71502303</v>
      </c>
      <c r="I2172" s="22" t="n">
        <v>12000000</v>
      </c>
      <c r="J2172" s="21">
        <f>IF(OR(H2172="",H2172=25529689.5),"Yes","No")</f>
        <v/>
      </c>
      <c r="K2172" s="21">
        <f>IF(AND(D2172="USA",C2172&gt;=1980,J2172="No"),"Yes","No")</f>
        <v/>
      </c>
      <c r="L2172" s="26">
        <f>IF(J2172="Yes","",H2172-I2172)</f>
        <v/>
      </c>
      <c r="M2172" s="27">
        <f>IF(OR(J2172="Yes",I2172=0),"",H2172/I2172)</f>
        <v/>
      </c>
      <c r="N2172" s="21">
        <f>IF(J2172="Yes","",IF(H2172&gt;=I2172,1,0))</f>
        <v/>
      </c>
      <c r="O2172" s="21">
        <f>IF(I2172&lt;=5000000,"Under $5M",IF(I2172&lt;=20000000,"$5M-20M",IF(I2172&lt;=50000000,"$20M-50M",IF(I2172&lt;=100000000,"$50M-100M","$100M+"))))</f>
        <v/>
      </c>
      <c r="P2172" s="21">
        <f>IF(E2172&lt;=90,"90 or less",IF(E2172&lt;=105,"91-105",IF(E2172&lt;=120,"106-120",IF(E2172&lt;=140,"121-140","Over 140"))))</f>
        <v/>
      </c>
      <c r="Q2172" s="28">
        <f>INT(C2172/10)*10</f>
        <v/>
      </c>
    </row>
    <row r="2173">
      <c r="A2173" s="21" t="n">
        <v>2217</v>
      </c>
      <c r="B2173" s="21" t="inlineStr">
        <is>
          <t>Sky Captain and the World of Tomorrow</t>
        </is>
      </c>
      <c r="C2173" s="21" t="n">
        <v>2004</v>
      </c>
      <c r="D2173" s="21" t="inlineStr">
        <is>
          <t>USA</t>
        </is>
      </c>
      <c r="E2173" s="21" t="n">
        <v>106</v>
      </c>
      <c r="F2173" s="21" t="inlineStr">
        <is>
          <t>English</t>
        </is>
      </c>
      <c r="G2173" s="21" t="inlineStr">
        <is>
          <t>PG</t>
        </is>
      </c>
      <c r="H2173" s="22" t="n">
        <v>37760080</v>
      </c>
      <c r="I2173" s="22" t="n">
        <v>70000000</v>
      </c>
      <c r="J2173" s="21">
        <f>IF(OR(H2173="",H2173=25529689.5),"Yes","No")</f>
        <v/>
      </c>
      <c r="K2173" s="21">
        <f>IF(AND(D2173="USA",C2173&gt;=1980,J2173="No"),"Yes","No")</f>
        <v/>
      </c>
      <c r="L2173" s="26">
        <f>IF(J2173="Yes","",H2173-I2173)</f>
        <v/>
      </c>
      <c r="M2173" s="27">
        <f>IF(OR(J2173="Yes",I2173=0),"",H2173/I2173)</f>
        <v/>
      </c>
      <c r="N2173" s="21">
        <f>IF(J2173="Yes","",IF(H2173&gt;=I2173,1,0))</f>
        <v/>
      </c>
      <c r="O2173" s="21">
        <f>IF(I2173&lt;=5000000,"Under $5M",IF(I2173&lt;=20000000,"$5M-20M",IF(I2173&lt;=50000000,"$20M-50M",IF(I2173&lt;=100000000,"$50M-100M","$100M+"))))</f>
        <v/>
      </c>
      <c r="P2173" s="21">
        <f>IF(E2173&lt;=90,"90 or less",IF(E2173&lt;=105,"91-105",IF(E2173&lt;=120,"106-120",IF(E2173&lt;=140,"121-140","Over 140"))))</f>
        <v/>
      </c>
      <c r="Q2173" s="28">
        <f>INT(C2173/10)*10</f>
        <v/>
      </c>
    </row>
    <row r="2174">
      <c r="A2174" s="21" t="n">
        <v>2218</v>
      </c>
      <c r="B2174" s="21" t="inlineStr">
        <is>
          <t>Sleepover</t>
        </is>
      </c>
      <c r="C2174" s="21" t="n">
        <v>2004</v>
      </c>
      <c r="D2174" s="21" t="inlineStr">
        <is>
          <t>USA</t>
        </is>
      </c>
      <c r="E2174" s="21" t="n">
        <v>89</v>
      </c>
      <c r="F2174" s="21" t="inlineStr">
        <is>
          <t>English</t>
        </is>
      </c>
      <c r="G2174" s="21" t="inlineStr">
        <is>
          <t>PG</t>
        </is>
      </c>
      <c r="H2174" s="22" t="n">
        <v>8070311</v>
      </c>
      <c r="I2174" s="22" t="n">
        <v>10000000</v>
      </c>
      <c r="J2174" s="21">
        <f>IF(OR(H2174="",H2174=25529689.5),"Yes","No")</f>
        <v/>
      </c>
      <c r="K2174" s="21">
        <f>IF(AND(D2174="USA",C2174&gt;=1980,J2174="No"),"Yes","No")</f>
        <v/>
      </c>
      <c r="L2174" s="26">
        <f>IF(J2174="Yes","",H2174-I2174)</f>
        <v/>
      </c>
      <c r="M2174" s="27">
        <f>IF(OR(J2174="Yes",I2174=0),"",H2174/I2174)</f>
        <v/>
      </c>
      <c r="N2174" s="21">
        <f>IF(J2174="Yes","",IF(H2174&gt;=I2174,1,0))</f>
        <v/>
      </c>
      <c r="O2174" s="21">
        <f>IF(I2174&lt;=5000000,"Under $5M",IF(I2174&lt;=20000000,"$5M-20M",IF(I2174&lt;=50000000,"$20M-50M",IF(I2174&lt;=100000000,"$50M-100M","$100M+"))))</f>
        <v/>
      </c>
      <c r="P2174" s="21">
        <f>IF(E2174&lt;=90,"90 or less",IF(E2174&lt;=105,"91-105",IF(E2174&lt;=120,"106-120",IF(E2174&lt;=140,"121-140","Over 140"))))</f>
        <v/>
      </c>
      <c r="Q2174" s="28">
        <f>INT(C2174/10)*10</f>
        <v/>
      </c>
    </row>
    <row r="2175">
      <c r="A2175" s="21" t="n">
        <v>2219</v>
      </c>
      <c r="B2175" s="21" t="inlineStr">
        <is>
          <t>Soul Plane</t>
        </is>
      </c>
      <c r="C2175" s="21" t="n">
        <v>2004</v>
      </c>
      <c r="D2175" s="21" t="inlineStr">
        <is>
          <t>USA</t>
        </is>
      </c>
      <c r="E2175" s="21" t="n">
        <v>92</v>
      </c>
      <c r="F2175" s="21" t="inlineStr">
        <is>
          <t>English</t>
        </is>
      </c>
      <c r="G2175" s="21" t="inlineStr">
        <is>
          <t>R</t>
        </is>
      </c>
      <c r="H2175" s="22" t="n">
        <v>13922211</v>
      </c>
      <c r="I2175" s="22" t="n">
        <v>16000000</v>
      </c>
      <c r="J2175" s="21">
        <f>IF(OR(H2175="",H2175=25529689.5),"Yes","No")</f>
        <v/>
      </c>
      <c r="K2175" s="21">
        <f>IF(AND(D2175="USA",C2175&gt;=1980,J2175="No"),"Yes","No")</f>
        <v/>
      </c>
      <c r="L2175" s="26">
        <f>IF(J2175="Yes","",H2175-I2175)</f>
        <v/>
      </c>
      <c r="M2175" s="27">
        <f>IF(OR(J2175="Yes",I2175=0),"",H2175/I2175)</f>
        <v/>
      </c>
      <c r="N2175" s="21">
        <f>IF(J2175="Yes","",IF(H2175&gt;=I2175,1,0))</f>
        <v/>
      </c>
      <c r="O2175" s="21">
        <f>IF(I2175&lt;=5000000,"Under $5M",IF(I2175&lt;=20000000,"$5M-20M",IF(I2175&lt;=50000000,"$20M-50M",IF(I2175&lt;=100000000,"$50M-100M","$100M+"))))</f>
        <v/>
      </c>
      <c r="P2175" s="21">
        <f>IF(E2175&lt;=90,"90 or less",IF(E2175&lt;=105,"91-105",IF(E2175&lt;=120,"106-120",IF(E2175&lt;=140,"121-140","Over 140"))))</f>
        <v/>
      </c>
      <c r="Q2175" s="28">
        <f>INT(C2175/10)*10</f>
        <v/>
      </c>
    </row>
    <row r="2176">
      <c r="A2176" s="21" t="n">
        <v>2220</v>
      </c>
      <c r="B2176" s="21" t="inlineStr">
        <is>
          <t>Spanglish</t>
        </is>
      </c>
      <c r="C2176" s="21" t="n">
        <v>2004</v>
      </c>
      <c r="D2176" s="21" t="inlineStr">
        <is>
          <t>USA</t>
        </is>
      </c>
      <c r="E2176" s="21" t="n">
        <v>131</v>
      </c>
      <c r="F2176" s="21" t="inlineStr">
        <is>
          <t>English</t>
        </is>
      </c>
      <c r="G2176" s="21" t="inlineStr">
        <is>
          <t>PG-13</t>
        </is>
      </c>
      <c r="H2176" s="22" t="n">
        <v>42044321</v>
      </c>
      <c r="I2176" s="22" t="n">
        <v>80000000</v>
      </c>
      <c r="J2176" s="21">
        <f>IF(OR(H2176="",H2176=25529689.5),"Yes","No")</f>
        <v/>
      </c>
      <c r="K2176" s="21">
        <f>IF(AND(D2176="USA",C2176&gt;=1980,J2176="No"),"Yes","No")</f>
        <v/>
      </c>
      <c r="L2176" s="26">
        <f>IF(J2176="Yes","",H2176-I2176)</f>
        <v/>
      </c>
      <c r="M2176" s="27">
        <f>IF(OR(J2176="Yes",I2176=0),"",H2176/I2176)</f>
        <v/>
      </c>
      <c r="N2176" s="21">
        <f>IF(J2176="Yes","",IF(H2176&gt;=I2176,1,0))</f>
        <v/>
      </c>
      <c r="O2176" s="21">
        <f>IF(I2176&lt;=5000000,"Under $5M",IF(I2176&lt;=20000000,"$5M-20M",IF(I2176&lt;=50000000,"$20M-50M",IF(I2176&lt;=100000000,"$50M-100M","$100M+"))))</f>
        <v/>
      </c>
      <c r="P2176" s="21">
        <f>IF(E2176&lt;=90,"90 or less",IF(E2176&lt;=105,"91-105",IF(E2176&lt;=120,"106-120",IF(E2176&lt;=140,"121-140","Over 140"))))</f>
        <v/>
      </c>
      <c r="Q2176" s="28">
        <f>INT(C2176/10)*10</f>
        <v/>
      </c>
    </row>
    <row r="2177">
      <c r="A2177" s="21" t="n">
        <v>2221</v>
      </c>
      <c r="B2177" s="21" t="inlineStr">
        <is>
          <t>Spider-Man 2</t>
        </is>
      </c>
      <c r="C2177" s="21" t="n">
        <v>2004</v>
      </c>
      <c r="D2177" s="21" t="inlineStr">
        <is>
          <t>USA</t>
        </is>
      </c>
      <c r="E2177" s="21" t="n">
        <v>135</v>
      </c>
      <c r="F2177" s="21" t="inlineStr">
        <is>
          <t>English</t>
        </is>
      </c>
      <c r="G2177" s="21" t="inlineStr">
        <is>
          <t>PG-13</t>
        </is>
      </c>
      <c r="H2177" s="22" t="n">
        <v>373377893</v>
      </c>
      <c r="I2177" s="22" t="n">
        <v>200000000</v>
      </c>
      <c r="J2177" s="21">
        <f>IF(OR(H2177="",H2177=25529689.5),"Yes","No")</f>
        <v/>
      </c>
      <c r="K2177" s="21">
        <f>IF(AND(D2177="USA",C2177&gt;=1980,J2177="No"),"Yes","No")</f>
        <v/>
      </c>
      <c r="L2177" s="26">
        <f>IF(J2177="Yes","",H2177-I2177)</f>
        <v/>
      </c>
      <c r="M2177" s="27">
        <f>IF(OR(J2177="Yes",I2177=0),"",H2177/I2177)</f>
        <v/>
      </c>
      <c r="N2177" s="21">
        <f>IF(J2177="Yes","",IF(H2177&gt;=I2177,1,0))</f>
        <v/>
      </c>
      <c r="O2177" s="21">
        <f>IF(I2177&lt;=5000000,"Under $5M",IF(I2177&lt;=20000000,"$5M-20M",IF(I2177&lt;=50000000,"$20M-50M",IF(I2177&lt;=100000000,"$50M-100M","$100M+"))))</f>
        <v/>
      </c>
      <c r="P2177" s="21">
        <f>IF(E2177&lt;=90,"90 or less",IF(E2177&lt;=105,"91-105",IF(E2177&lt;=120,"106-120",IF(E2177&lt;=140,"121-140","Over 140"))))</f>
        <v/>
      </c>
      <c r="Q2177" s="28">
        <f>INT(C2177/10)*10</f>
        <v/>
      </c>
    </row>
    <row r="2178">
      <c r="A2178" s="21" t="n">
        <v>2222</v>
      </c>
      <c r="B2178" s="21" t="inlineStr">
        <is>
          <t>Starsky &amp; Hutch</t>
        </is>
      </c>
      <c r="C2178" s="21" t="n">
        <v>2004</v>
      </c>
      <c r="D2178" s="21" t="inlineStr">
        <is>
          <t>USA</t>
        </is>
      </c>
      <c r="E2178" s="21" t="n">
        <v>101</v>
      </c>
      <c r="F2178" s="21" t="inlineStr">
        <is>
          <t>English</t>
        </is>
      </c>
      <c r="G2178" s="21" t="inlineStr">
        <is>
          <t>PG-13</t>
        </is>
      </c>
      <c r="H2178" s="22" t="n">
        <v>88200225</v>
      </c>
      <c r="I2178" s="22" t="n">
        <v>60000000</v>
      </c>
      <c r="J2178" s="21">
        <f>IF(OR(H2178="",H2178=25529689.5),"Yes","No")</f>
        <v/>
      </c>
      <c r="K2178" s="21">
        <f>IF(AND(D2178="USA",C2178&gt;=1980,J2178="No"),"Yes","No")</f>
        <v/>
      </c>
      <c r="L2178" s="26">
        <f>IF(J2178="Yes","",H2178-I2178)</f>
        <v/>
      </c>
      <c r="M2178" s="27">
        <f>IF(OR(J2178="Yes",I2178=0),"",H2178/I2178)</f>
        <v/>
      </c>
      <c r="N2178" s="21">
        <f>IF(J2178="Yes","",IF(H2178&gt;=I2178,1,0))</f>
        <v/>
      </c>
      <c r="O2178" s="21">
        <f>IF(I2178&lt;=5000000,"Under $5M",IF(I2178&lt;=20000000,"$5M-20M",IF(I2178&lt;=50000000,"$20M-50M",IF(I2178&lt;=100000000,"$50M-100M","$100M+"))))</f>
        <v/>
      </c>
      <c r="P2178" s="21">
        <f>IF(E2178&lt;=90,"90 or less",IF(E2178&lt;=105,"91-105",IF(E2178&lt;=120,"106-120",IF(E2178&lt;=140,"121-140","Over 140"))))</f>
        <v/>
      </c>
      <c r="Q2178" s="28">
        <f>INT(C2178/10)*10</f>
        <v/>
      </c>
    </row>
    <row r="2179">
      <c r="A2179" s="21" t="n">
        <v>2223</v>
      </c>
      <c r="B2179" s="21" t="inlineStr">
        <is>
          <t>Steamboy</t>
        </is>
      </c>
      <c r="C2179" s="21" t="n">
        <v>2004</v>
      </c>
      <c r="D2179" s="21" t="inlineStr">
        <is>
          <t>Japan</t>
        </is>
      </c>
      <c r="E2179" s="21" t="n">
        <v>103</v>
      </c>
      <c r="F2179" s="21" t="inlineStr">
        <is>
          <t>Japanese</t>
        </is>
      </c>
      <c r="G2179" s="21" t="inlineStr">
        <is>
          <t>PG-13</t>
        </is>
      </c>
      <c r="H2179" s="22" t="n">
        <v>410388</v>
      </c>
      <c r="I2179" s="22" t="n">
        <v>2127519898</v>
      </c>
      <c r="J2179" s="21">
        <f>IF(OR(H2179="",H2179=25529689.5),"Yes","No")</f>
        <v/>
      </c>
      <c r="K2179" s="21">
        <f>IF(AND(D2179="USA",C2179&gt;=1980,J2179="No"),"Yes","No")</f>
        <v/>
      </c>
      <c r="L2179" s="26">
        <f>IF(J2179="Yes","",H2179-I2179)</f>
        <v/>
      </c>
      <c r="M2179" s="27">
        <f>IF(OR(J2179="Yes",I2179=0),"",H2179/I2179)</f>
        <v/>
      </c>
      <c r="N2179" s="21">
        <f>IF(J2179="Yes","",IF(H2179&gt;=I2179,1,0))</f>
        <v/>
      </c>
      <c r="O2179" s="21">
        <f>IF(I2179&lt;=5000000,"Under $5M",IF(I2179&lt;=20000000,"$5M-20M",IF(I2179&lt;=50000000,"$20M-50M",IF(I2179&lt;=100000000,"$50M-100M","$100M+"))))</f>
        <v/>
      </c>
      <c r="P2179" s="21">
        <f>IF(E2179&lt;=90,"90 or less",IF(E2179&lt;=105,"91-105",IF(E2179&lt;=120,"106-120",IF(E2179&lt;=140,"121-140","Over 140"))))</f>
        <v/>
      </c>
      <c r="Q2179" s="28">
        <f>INT(C2179/10)*10</f>
        <v/>
      </c>
    </row>
    <row r="2180">
      <c r="A2180" s="21" t="n">
        <v>2224</v>
      </c>
      <c r="B2180" s="21" t="inlineStr">
        <is>
          <t>Summer Storm</t>
        </is>
      </c>
      <c r="C2180" s="21" t="n">
        <v>2004</v>
      </c>
      <c r="D2180" s="21" t="inlineStr">
        <is>
          <t>Germany</t>
        </is>
      </c>
      <c r="E2180" s="21" t="n">
        <v>98</v>
      </c>
      <c r="F2180" s="21" t="inlineStr">
        <is>
          <t>German</t>
        </is>
      </c>
      <c r="G2180" s="21" t="inlineStr">
        <is>
          <t>R</t>
        </is>
      </c>
      <c r="H2180" s="22" t="n">
        <v>95016</v>
      </c>
      <c r="I2180" s="22" t="n">
        <v>2700000</v>
      </c>
      <c r="J2180" s="21">
        <f>IF(OR(H2180="",H2180=25529689.5),"Yes","No")</f>
        <v/>
      </c>
      <c r="K2180" s="21">
        <f>IF(AND(D2180="USA",C2180&gt;=1980,J2180="No"),"Yes","No")</f>
        <v/>
      </c>
      <c r="L2180" s="26">
        <f>IF(J2180="Yes","",H2180-I2180)</f>
        <v/>
      </c>
      <c r="M2180" s="27">
        <f>IF(OR(J2180="Yes",I2180=0),"",H2180/I2180)</f>
        <v/>
      </c>
      <c r="N2180" s="21">
        <f>IF(J2180="Yes","",IF(H2180&gt;=I2180,1,0))</f>
        <v/>
      </c>
      <c r="O2180" s="21">
        <f>IF(I2180&lt;=5000000,"Under $5M",IF(I2180&lt;=20000000,"$5M-20M",IF(I2180&lt;=50000000,"$20M-50M",IF(I2180&lt;=100000000,"$50M-100M","$100M+"))))</f>
        <v/>
      </c>
      <c r="P2180" s="21">
        <f>IF(E2180&lt;=90,"90 or less",IF(E2180&lt;=105,"91-105",IF(E2180&lt;=120,"106-120",IF(E2180&lt;=140,"121-140","Over 140"))))</f>
        <v/>
      </c>
      <c r="Q2180" s="28">
        <f>INT(C2180/10)*10</f>
        <v/>
      </c>
    </row>
    <row r="2181">
      <c r="A2181" s="21" t="n">
        <v>2225</v>
      </c>
      <c r="B2181" s="21" t="inlineStr">
        <is>
          <t>Super Size Me</t>
        </is>
      </c>
      <c r="C2181" s="21" t="n">
        <v>2004</v>
      </c>
      <c r="D2181" s="21" t="inlineStr">
        <is>
          <t>USA</t>
        </is>
      </c>
      <c r="E2181" s="21" t="n">
        <v>100</v>
      </c>
      <c r="F2181" s="21" t="inlineStr">
        <is>
          <t>English</t>
        </is>
      </c>
      <c r="G2181" s="21" t="inlineStr">
        <is>
          <t>PG</t>
        </is>
      </c>
      <c r="H2181" s="22" t="n">
        <v>11529368</v>
      </c>
      <c r="I2181" s="22" t="n">
        <v>65000</v>
      </c>
      <c r="J2181" s="21">
        <f>IF(OR(H2181="",H2181=25529689.5),"Yes","No")</f>
        <v/>
      </c>
      <c r="K2181" s="21">
        <f>IF(AND(D2181="USA",C2181&gt;=1980,J2181="No"),"Yes","No")</f>
        <v/>
      </c>
      <c r="L2181" s="26">
        <f>IF(J2181="Yes","",H2181-I2181)</f>
        <v/>
      </c>
      <c r="M2181" s="27">
        <f>IF(OR(J2181="Yes",I2181=0),"",H2181/I2181)</f>
        <v/>
      </c>
      <c r="N2181" s="21">
        <f>IF(J2181="Yes","",IF(H2181&gt;=I2181,1,0))</f>
        <v/>
      </c>
      <c r="O2181" s="21">
        <f>IF(I2181&lt;=5000000,"Under $5M",IF(I2181&lt;=20000000,"$5M-20M",IF(I2181&lt;=50000000,"$20M-50M",IF(I2181&lt;=100000000,"$50M-100M","$100M+"))))</f>
        <v/>
      </c>
      <c r="P2181" s="21">
        <f>IF(E2181&lt;=90,"90 or less",IF(E2181&lt;=105,"91-105",IF(E2181&lt;=120,"106-120",IF(E2181&lt;=140,"121-140","Over 140"))))</f>
        <v/>
      </c>
      <c r="Q2181" s="28">
        <f>INT(C2181/10)*10</f>
        <v/>
      </c>
    </row>
    <row r="2182">
      <c r="A2182" s="21" t="n">
        <v>2226</v>
      </c>
      <c r="B2182" s="21" t="inlineStr">
        <is>
          <t>Superbabies: Baby Geniuses 2</t>
        </is>
      </c>
      <c r="C2182" s="21" t="n">
        <v>2004</v>
      </c>
      <c r="D2182" s="21" t="inlineStr">
        <is>
          <t>Germany</t>
        </is>
      </c>
      <c r="E2182" s="21" t="n">
        <v>88</v>
      </c>
      <c r="F2182" s="21" t="inlineStr">
        <is>
          <t>English</t>
        </is>
      </c>
      <c r="G2182" s="21" t="inlineStr">
        <is>
          <t>PG</t>
        </is>
      </c>
      <c r="H2182" s="22" t="n">
        <v>9109322</v>
      </c>
      <c r="I2182" s="22" t="n">
        <v>20000000</v>
      </c>
      <c r="J2182" s="21">
        <f>IF(OR(H2182="",H2182=25529689.5),"Yes","No")</f>
        <v/>
      </c>
      <c r="K2182" s="21">
        <f>IF(AND(D2182="USA",C2182&gt;=1980,J2182="No"),"Yes","No")</f>
        <v/>
      </c>
      <c r="L2182" s="26">
        <f>IF(J2182="Yes","",H2182-I2182)</f>
        <v/>
      </c>
      <c r="M2182" s="27">
        <f>IF(OR(J2182="Yes",I2182=0),"",H2182/I2182)</f>
        <v/>
      </c>
      <c r="N2182" s="21">
        <f>IF(J2182="Yes","",IF(H2182&gt;=I2182,1,0))</f>
        <v/>
      </c>
      <c r="O2182" s="21">
        <f>IF(I2182&lt;=5000000,"Under $5M",IF(I2182&lt;=20000000,"$5M-20M",IF(I2182&lt;=50000000,"$20M-50M",IF(I2182&lt;=100000000,"$50M-100M","$100M+"))))</f>
        <v/>
      </c>
      <c r="P2182" s="21">
        <f>IF(E2182&lt;=90,"90 or less",IF(E2182&lt;=105,"91-105",IF(E2182&lt;=120,"106-120",IF(E2182&lt;=140,"121-140","Over 140"))))</f>
        <v/>
      </c>
      <c r="Q2182" s="28">
        <f>INT(C2182/10)*10</f>
        <v/>
      </c>
    </row>
    <row r="2183">
      <c r="A2183" s="21" t="n">
        <v>2227</v>
      </c>
      <c r="B2183" s="21" t="inlineStr">
        <is>
          <t>Suspect Zero</t>
        </is>
      </c>
      <c r="C2183" s="21" t="n">
        <v>2004</v>
      </c>
      <c r="D2183" s="21" t="inlineStr">
        <is>
          <t>USA</t>
        </is>
      </c>
      <c r="E2183" s="21" t="n">
        <v>99</v>
      </c>
      <c r="F2183" s="21" t="inlineStr">
        <is>
          <t>English</t>
        </is>
      </c>
      <c r="G2183" s="21" t="inlineStr">
        <is>
          <t>R</t>
        </is>
      </c>
      <c r="H2183" s="22" t="n">
        <v>8712564</v>
      </c>
      <c r="I2183" s="22" t="n">
        <v>27000000</v>
      </c>
      <c r="J2183" s="21">
        <f>IF(OR(H2183="",H2183=25529689.5),"Yes","No")</f>
        <v/>
      </c>
      <c r="K2183" s="21">
        <f>IF(AND(D2183="USA",C2183&gt;=1980,J2183="No"),"Yes","No")</f>
        <v/>
      </c>
      <c r="L2183" s="26">
        <f>IF(J2183="Yes","",H2183-I2183)</f>
        <v/>
      </c>
      <c r="M2183" s="27">
        <f>IF(OR(J2183="Yes",I2183=0),"",H2183/I2183)</f>
        <v/>
      </c>
      <c r="N2183" s="21">
        <f>IF(J2183="Yes","",IF(H2183&gt;=I2183,1,0))</f>
        <v/>
      </c>
      <c r="O2183" s="21">
        <f>IF(I2183&lt;=5000000,"Under $5M",IF(I2183&lt;=20000000,"$5M-20M",IF(I2183&lt;=50000000,"$20M-50M",IF(I2183&lt;=100000000,"$50M-100M","$100M+"))))</f>
        <v/>
      </c>
      <c r="P2183" s="21">
        <f>IF(E2183&lt;=90,"90 or less",IF(E2183&lt;=105,"91-105",IF(E2183&lt;=120,"106-120",IF(E2183&lt;=140,"121-140","Over 140"))))</f>
        <v/>
      </c>
      <c r="Q2183" s="28">
        <f>INT(C2183/10)*10</f>
        <v/>
      </c>
    </row>
    <row r="2184">
      <c r="A2184" s="21" t="n">
        <v>2228</v>
      </c>
      <c r="B2184" s="21" t="inlineStr">
        <is>
          <t>Tae Guk Gi: The Brotherhood of War</t>
        </is>
      </c>
      <c r="C2184" s="21" t="n">
        <v>2004</v>
      </c>
      <c r="D2184" s="21" t="inlineStr">
        <is>
          <t>South Korea</t>
        </is>
      </c>
      <c r="E2184" s="21" t="n">
        <v>148</v>
      </c>
      <c r="F2184" s="21" t="inlineStr">
        <is>
          <t>Korean</t>
        </is>
      </c>
      <c r="G2184" s="21" t="inlineStr">
        <is>
          <t>R</t>
        </is>
      </c>
      <c r="H2184" s="22" t="n">
        <v>1110186</v>
      </c>
      <c r="I2184" s="22" t="n">
        <v>12800000</v>
      </c>
      <c r="J2184" s="21">
        <f>IF(OR(H2184="",H2184=25529689.5),"Yes","No")</f>
        <v/>
      </c>
      <c r="K2184" s="21">
        <f>IF(AND(D2184="USA",C2184&gt;=1980,J2184="No"),"Yes","No")</f>
        <v/>
      </c>
      <c r="L2184" s="26">
        <f>IF(J2184="Yes","",H2184-I2184)</f>
        <v/>
      </c>
      <c r="M2184" s="27">
        <f>IF(OR(J2184="Yes",I2184=0),"",H2184/I2184)</f>
        <v/>
      </c>
      <c r="N2184" s="21">
        <f>IF(J2184="Yes","",IF(H2184&gt;=I2184,1,0))</f>
        <v/>
      </c>
      <c r="O2184" s="21">
        <f>IF(I2184&lt;=5000000,"Under $5M",IF(I2184&lt;=20000000,"$5M-20M",IF(I2184&lt;=50000000,"$20M-50M",IF(I2184&lt;=100000000,"$50M-100M","$100M+"))))</f>
        <v/>
      </c>
      <c r="P2184" s="21">
        <f>IF(E2184&lt;=90,"90 or less",IF(E2184&lt;=105,"91-105",IF(E2184&lt;=120,"106-120",IF(E2184&lt;=140,"121-140","Over 140"))))</f>
        <v/>
      </c>
      <c r="Q2184" s="28">
        <f>INT(C2184/10)*10</f>
        <v/>
      </c>
    </row>
    <row r="2185">
      <c r="A2185" s="21" t="n">
        <v>2229</v>
      </c>
      <c r="B2185" s="21" t="inlineStr">
        <is>
          <t>Teacher's Pet</t>
        </is>
      </c>
      <c r="C2185" s="21" t="n">
        <v>2004</v>
      </c>
      <c r="D2185" s="21" t="inlineStr">
        <is>
          <t>USA</t>
        </is>
      </c>
      <c r="E2185" s="21" t="n">
        <v>74</v>
      </c>
      <c r="F2185" s="21" t="inlineStr">
        <is>
          <t>English</t>
        </is>
      </c>
      <c r="G2185" s="21" t="inlineStr">
        <is>
          <t>PG</t>
        </is>
      </c>
      <c r="H2185" s="22" t="n">
        <v>6491350</v>
      </c>
      <c r="I2185" s="22" t="n">
        <v>10000000</v>
      </c>
      <c r="J2185" s="21">
        <f>IF(OR(H2185="",H2185=25529689.5),"Yes","No")</f>
        <v/>
      </c>
      <c r="K2185" s="21">
        <f>IF(AND(D2185="USA",C2185&gt;=1980,J2185="No"),"Yes","No")</f>
        <v/>
      </c>
      <c r="L2185" s="26">
        <f>IF(J2185="Yes","",H2185-I2185)</f>
        <v/>
      </c>
      <c r="M2185" s="27">
        <f>IF(OR(J2185="Yes",I2185=0),"",H2185/I2185)</f>
        <v/>
      </c>
      <c r="N2185" s="21">
        <f>IF(J2185="Yes","",IF(H2185&gt;=I2185,1,0))</f>
        <v/>
      </c>
      <c r="O2185" s="21">
        <f>IF(I2185&lt;=5000000,"Under $5M",IF(I2185&lt;=20000000,"$5M-20M",IF(I2185&lt;=50000000,"$20M-50M",IF(I2185&lt;=100000000,"$50M-100M","$100M+"))))</f>
        <v/>
      </c>
      <c r="P2185" s="21">
        <f>IF(E2185&lt;=90,"90 or less",IF(E2185&lt;=105,"91-105",IF(E2185&lt;=120,"106-120",IF(E2185&lt;=140,"121-140","Over 140"))))</f>
        <v/>
      </c>
      <c r="Q2185" s="28">
        <f>INT(C2185/10)*10</f>
        <v/>
      </c>
    </row>
    <row r="2186">
      <c r="A2186" s="21" t="n">
        <v>2230</v>
      </c>
      <c r="B2186" s="21" t="inlineStr">
        <is>
          <t>Team America: World Police</t>
        </is>
      </c>
      <c r="C2186" s="21" t="n">
        <v>2004</v>
      </c>
      <c r="D2186" s="21" t="inlineStr">
        <is>
          <t>USA</t>
        </is>
      </c>
      <c r="E2186" s="21" t="n">
        <v>98</v>
      </c>
      <c r="F2186" s="21" t="inlineStr">
        <is>
          <t>English</t>
        </is>
      </c>
      <c r="G2186" s="21" t="inlineStr">
        <is>
          <t>R</t>
        </is>
      </c>
      <c r="H2186" s="22" t="n">
        <v>32774834</v>
      </c>
      <c r="I2186" s="22" t="n">
        <v>30000000</v>
      </c>
      <c r="J2186" s="21">
        <f>IF(OR(H2186="",H2186=25529689.5),"Yes","No")</f>
        <v/>
      </c>
      <c r="K2186" s="21">
        <f>IF(AND(D2186="USA",C2186&gt;=1980,J2186="No"),"Yes","No")</f>
        <v/>
      </c>
      <c r="L2186" s="26">
        <f>IF(J2186="Yes","",H2186-I2186)</f>
        <v/>
      </c>
      <c r="M2186" s="27">
        <f>IF(OR(J2186="Yes",I2186=0),"",H2186/I2186)</f>
        <v/>
      </c>
      <c r="N2186" s="21">
        <f>IF(J2186="Yes","",IF(H2186&gt;=I2186,1,0))</f>
        <v/>
      </c>
      <c r="O2186" s="21">
        <f>IF(I2186&lt;=5000000,"Under $5M",IF(I2186&lt;=20000000,"$5M-20M",IF(I2186&lt;=50000000,"$20M-50M",IF(I2186&lt;=100000000,"$50M-100M","$100M+"))))</f>
        <v/>
      </c>
      <c r="P2186" s="21">
        <f>IF(E2186&lt;=90,"90 or less",IF(E2186&lt;=105,"91-105",IF(E2186&lt;=120,"106-120",IF(E2186&lt;=140,"121-140","Over 140"))))</f>
        <v/>
      </c>
      <c r="Q2186" s="28">
        <f>INT(C2186/10)*10</f>
        <v/>
      </c>
    </row>
    <row r="2187">
      <c r="A2187" s="21" t="n">
        <v>2231</v>
      </c>
      <c r="B2187" s="21" t="inlineStr">
        <is>
          <t>The Alamo</t>
        </is>
      </c>
      <c r="C2187" s="21" t="n">
        <v>2004</v>
      </c>
      <c r="D2187" s="21" t="inlineStr">
        <is>
          <t>USA</t>
        </is>
      </c>
      <c r="E2187" s="21" t="n">
        <v>137</v>
      </c>
      <c r="F2187" s="21" t="inlineStr">
        <is>
          <t>English</t>
        </is>
      </c>
      <c r="G2187" s="21" t="inlineStr">
        <is>
          <t>PG-13</t>
        </is>
      </c>
      <c r="H2187" s="22" t="n">
        <v>22406362</v>
      </c>
      <c r="I2187" s="22" t="n">
        <v>107000000</v>
      </c>
      <c r="J2187" s="21">
        <f>IF(OR(H2187="",H2187=25529689.5),"Yes","No")</f>
        <v/>
      </c>
      <c r="K2187" s="21">
        <f>IF(AND(D2187="USA",C2187&gt;=1980,J2187="No"),"Yes","No")</f>
        <v/>
      </c>
      <c r="L2187" s="26">
        <f>IF(J2187="Yes","",H2187-I2187)</f>
        <v/>
      </c>
      <c r="M2187" s="27">
        <f>IF(OR(J2187="Yes",I2187=0),"",H2187/I2187)</f>
        <v/>
      </c>
      <c r="N2187" s="21">
        <f>IF(J2187="Yes","",IF(H2187&gt;=I2187,1,0))</f>
        <v/>
      </c>
      <c r="O2187" s="21">
        <f>IF(I2187&lt;=5000000,"Under $5M",IF(I2187&lt;=20000000,"$5M-20M",IF(I2187&lt;=50000000,"$20M-50M",IF(I2187&lt;=100000000,"$50M-100M","$100M+"))))</f>
        <v/>
      </c>
      <c r="P2187" s="21">
        <f>IF(E2187&lt;=90,"90 or less",IF(E2187&lt;=105,"91-105",IF(E2187&lt;=120,"106-120",IF(E2187&lt;=140,"121-140","Over 140"))))</f>
        <v/>
      </c>
      <c r="Q2187" s="28">
        <f>INT(C2187/10)*10</f>
        <v/>
      </c>
    </row>
    <row r="2188">
      <c r="A2188" s="21" t="n">
        <v>2233</v>
      </c>
      <c r="B2188" s="21" t="inlineStr">
        <is>
          <t>The Aviator</t>
        </is>
      </c>
      <c r="C2188" s="21" t="n">
        <v>2004</v>
      </c>
      <c r="D2188" s="21" t="inlineStr">
        <is>
          <t>USA</t>
        </is>
      </c>
      <c r="E2188" s="21" t="n">
        <v>170</v>
      </c>
      <c r="F2188" s="21" t="inlineStr">
        <is>
          <t>English</t>
        </is>
      </c>
      <c r="G2188" s="21" t="inlineStr">
        <is>
          <t>PG-13</t>
        </is>
      </c>
      <c r="H2188" s="22" t="n">
        <v>102608827</v>
      </c>
      <c r="I2188" s="22" t="n">
        <v>110000000</v>
      </c>
      <c r="J2188" s="21">
        <f>IF(OR(H2188="",H2188=25529689.5),"Yes","No")</f>
        <v/>
      </c>
      <c r="K2188" s="21">
        <f>IF(AND(D2188="USA",C2188&gt;=1980,J2188="No"),"Yes","No")</f>
        <v/>
      </c>
      <c r="L2188" s="26">
        <f>IF(J2188="Yes","",H2188-I2188)</f>
        <v/>
      </c>
      <c r="M2188" s="27">
        <f>IF(OR(J2188="Yes",I2188=0),"",H2188/I2188)</f>
        <v/>
      </c>
      <c r="N2188" s="21">
        <f>IF(J2188="Yes","",IF(H2188&gt;=I2188,1,0))</f>
        <v/>
      </c>
      <c r="O2188" s="21">
        <f>IF(I2188&lt;=5000000,"Under $5M",IF(I2188&lt;=20000000,"$5M-20M",IF(I2188&lt;=50000000,"$20M-50M",IF(I2188&lt;=100000000,"$50M-100M","$100M+"))))</f>
        <v/>
      </c>
      <c r="P2188" s="21">
        <f>IF(E2188&lt;=90,"90 or less",IF(E2188&lt;=105,"91-105",IF(E2188&lt;=120,"106-120",IF(E2188&lt;=140,"121-140","Over 140"))))</f>
        <v/>
      </c>
      <c r="Q2188" s="28">
        <f>INT(C2188/10)*10</f>
        <v/>
      </c>
    </row>
    <row r="2189">
      <c r="A2189" s="21" t="n">
        <v>2234</v>
      </c>
      <c r="B2189" s="21" t="inlineStr">
        <is>
          <t>The Big Bounce</t>
        </is>
      </c>
      <c r="C2189" s="21" t="n">
        <v>2004</v>
      </c>
      <c r="D2189" s="21" t="inlineStr">
        <is>
          <t>USA</t>
        </is>
      </c>
      <c r="E2189" s="21" t="n">
        <v>88</v>
      </c>
      <c r="F2189" s="21" t="inlineStr">
        <is>
          <t>English</t>
        </is>
      </c>
      <c r="G2189" s="21" t="inlineStr">
        <is>
          <t>PG-13</t>
        </is>
      </c>
      <c r="H2189" s="22" t="n">
        <v>6471394</v>
      </c>
      <c r="I2189" s="22" t="n">
        <v>50000000</v>
      </c>
      <c r="J2189" s="21">
        <f>IF(OR(H2189="",H2189=25529689.5),"Yes","No")</f>
        <v/>
      </c>
      <c r="K2189" s="21">
        <f>IF(AND(D2189="USA",C2189&gt;=1980,J2189="No"),"Yes","No")</f>
        <v/>
      </c>
      <c r="L2189" s="26">
        <f>IF(J2189="Yes","",H2189-I2189)</f>
        <v/>
      </c>
      <c r="M2189" s="27">
        <f>IF(OR(J2189="Yes",I2189=0),"",H2189/I2189)</f>
        <v/>
      </c>
      <c r="N2189" s="21">
        <f>IF(J2189="Yes","",IF(H2189&gt;=I2189,1,0))</f>
        <v/>
      </c>
      <c r="O2189" s="21">
        <f>IF(I2189&lt;=5000000,"Under $5M",IF(I2189&lt;=20000000,"$5M-20M",IF(I2189&lt;=50000000,"$20M-50M",IF(I2189&lt;=100000000,"$50M-100M","$100M+"))))</f>
        <v/>
      </c>
      <c r="P2189" s="21">
        <f>IF(E2189&lt;=90,"90 or less",IF(E2189&lt;=105,"91-105",IF(E2189&lt;=120,"106-120",IF(E2189&lt;=140,"121-140","Over 140"))))</f>
        <v/>
      </c>
      <c r="Q2189" s="28">
        <f>INT(C2189/10)*10</f>
        <v/>
      </c>
    </row>
    <row r="2190">
      <c r="A2190" s="21" t="n">
        <v>2235</v>
      </c>
      <c r="B2190" s="21" t="inlineStr">
        <is>
          <t>The Blue Butterfly</t>
        </is>
      </c>
      <c r="C2190" s="21" t="n">
        <v>2004</v>
      </c>
      <c r="D2190" s="21" t="inlineStr">
        <is>
          <t>Canada</t>
        </is>
      </c>
      <c r="E2190" s="21" t="n">
        <v>97</v>
      </c>
      <c r="F2190" s="21" t="inlineStr">
        <is>
          <t>English</t>
        </is>
      </c>
      <c r="G2190" s="21" t="inlineStr">
        <is>
          <t>PG</t>
        </is>
      </c>
      <c r="H2190" s="22" t="n">
        <v>25529689.5</v>
      </c>
      <c r="I2190" s="22" t="n">
        <v>12500000</v>
      </c>
      <c r="J2190" s="21">
        <f>IF(OR(H2190="",H2190=25529689.5),"Yes","No")</f>
        <v/>
      </c>
      <c r="K2190" s="21">
        <f>IF(AND(D2190="USA",C2190&gt;=1980,J2190="No"),"Yes","No")</f>
        <v/>
      </c>
      <c r="L2190" s="26">
        <f>IF(J2190="Yes","",H2190-I2190)</f>
        <v/>
      </c>
      <c r="M2190" s="27">
        <f>IF(OR(J2190="Yes",I2190=0),"",H2190/I2190)</f>
        <v/>
      </c>
      <c r="N2190" s="21">
        <f>IF(J2190="Yes","",IF(H2190&gt;=I2190,1,0))</f>
        <v/>
      </c>
      <c r="O2190" s="21">
        <f>IF(I2190&lt;=5000000,"Under $5M",IF(I2190&lt;=20000000,"$5M-20M",IF(I2190&lt;=50000000,"$20M-50M",IF(I2190&lt;=100000000,"$50M-100M","$100M+"))))</f>
        <v/>
      </c>
      <c r="P2190" s="21">
        <f>IF(E2190&lt;=90,"90 or less",IF(E2190&lt;=105,"91-105",IF(E2190&lt;=120,"106-120",IF(E2190&lt;=140,"121-140","Over 140"))))</f>
        <v/>
      </c>
      <c r="Q2190" s="28">
        <f>INT(C2190/10)*10</f>
        <v/>
      </c>
    </row>
    <row r="2191">
      <c r="A2191" s="21" t="n">
        <v>2236</v>
      </c>
      <c r="B2191" s="21" t="inlineStr">
        <is>
          <t>The Bourne Supremacy</t>
        </is>
      </c>
      <c r="C2191" s="21" t="n">
        <v>2004</v>
      </c>
      <c r="D2191" s="21" t="inlineStr">
        <is>
          <t>USA</t>
        </is>
      </c>
      <c r="E2191" s="21" t="n">
        <v>108</v>
      </c>
      <c r="F2191" s="21" t="inlineStr">
        <is>
          <t>English</t>
        </is>
      </c>
      <c r="G2191" s="21" t="inlineStr">
        <is>
          <t>PG-13</t>
        </is>
      </c>
      <c r="H2191" s="22" t="n">
        <v>176049130</v>
      </c>
      <c r="I2191" s="22" t="n">
        <v>75000000</v>
      </c>
      <c r="J2191" s="21">
        <f>IF(OR(H2191="",H2191=25529689.5),"Yes","No")</f>
        <v/>
      </c>
      <c r="K2191" s="21">
        <f>IF(AND(D2191="USA",C2191&gt;=1980,J2191="No"),"Yes","No")</f>
        <v/>
      </c>
      <c r="L2191" s="26">
        <f>IF(J2191="Yes","",H2191-I2191)</f>
        <v/>
      </c>
      <c r="M2191" s="27">
        <f>IF(OR(J2191="Yes",I2191=0),"",H2191/I2191)</f>
        <v/>
      </c>
      <c r="N2191" s="21">
        <f>IF(J2191="Yes","",IF(H2191&gt;=I2191,1,0))</f>
        <v/>
      </c>
      <c r="O2191" s="21">
        <f>IF(I2191&lt;=5000000,"Under $5M",IF(I2191&lt;=20000000,"$5M-20M",IF(I2191&lt;=50000000,"$20M-50M",IF(I2191&lt;=100000000,"$50M-100M","$100M+"))))</f>
        <v/>
      </c>
      <c r="P2191" s="21">
        <f>IF(E2191&lt;=90,"90 or less",IF(E2191&lt;=105,"91-105",IF(E2191&lt;=120,"106-120",IF(E2191&lt;=140,"121-140","Over 140"))))</f>
        <v/>
      </c>
      <c r="Q2191" s="28">
        <f>INT(C2191/10)*10</f>
        <v/>
      </c>
    </row>
    <row r="2192">
      <c r="A2192" s="21" t="n">
        <v>2237</v>
      </c>
      <c r="B2192" s="21" t="inlineStr">
        <is>
          <t>The Bridge of San Luis Rey</t>
        </is>
      </c>
      <c r="C2192" s="21" t="n">
        <v>2004</v>
      </c>
      <c r="D2192" s="21" t="inlineStr">
        <is>
          <t>UK</t>
        </is>
      </c>
      <c r="E2192" s="21" t="n">
        <v>120</v>
      </c>
      <c r="F2192" s="21" t="inlineStr">
        <is>
          <t>English</t>
        </is>
      </c>
      <c r="G2192" s="21" t="inlineStr">
        <is>
          <t>PG</t>
        </is>
      </c>
      <c r="H2192" s="22" t="n">
        <v>42880</v>
      </c>
      <c r="I2192" s="22" t="n">
        <v>24000000</v>
      </c>
      <c r="J2192" s="21">
        <f>IF(OR(H2192="",H2192=25529689.5),"Yes","No")</f>
        <v/>
      </c>
      <c r="K2192" s="21">
        <f>IF(AND(D2192="USA",C2192&gt;=1980,J2192="No"),"Yes","No")</f>
        <v/>
      </c>
      <c r="L2192" s="26">
        <f>IF(J2192="Yes","",H2192-I2192)</f>
        <v/>
      </c>
      <c r="M2192" s="27">
        <f>IF(OR(J2192="Yes",I2192=0),"",H2192/I2192)</f>
        <v/>
      </c>
      <c r="N2192" s="21">
        <f>IF(J2192="Yes","",IF(H2192&gt;=I2192,1,0))</f>
        <v/>
      </c>
      <c r="O2192" s="21">
        <f>IF(I2192&lt;=5000000,"Under $5M",IF(I2192&lt;=20000000,"$5M-20M",IF(I2192&lt;=50000000,"$20M-50M",IF(I2192&lt;=100000000,"$50M-100M","$100M+"))))</f>
        <v/>
      </c>
      <c r="P2192" s="21">
        <f>IF(E2192&lt;=90,"90 or less",IF(E2192&lt;=105,"91-105",IF(E2192&lt;=120,"106-120",IF(E2192&lt;=140,"121-140","Over 140"))))</f>
        <v/>
      </c>
      <c r="Q2192" s="28">
        <f>INT(C2192/10)*10</f>
        <v/>
      </c>
    </row>
    <row r="2193">
      <c r="A2193" s="21" t="n">
        <v>2238</v>
      </c>
      <c r="B2193" s="21" t="inlineStr">
        <is>
          <t>The Butterfly Effect</t>
        </is>
      </c>
      <c r="C2193" s="21" t="n">
        <v>2004</v>
      </c>
      <c r="D2193" s="21" t="inlineStr">
        <is>
          <t>USA</t>
        </is>
      </c>
      <c r="E2193" s="21" t="n">
        <v>120</v>
      </c>
      <c r="F2193" s="21" t="inlineStr">
        <is>
          <t>English</t>
        </is>
      </c>
      <c r="G2193" s="21" t="inlineStr">
        <is>
          <t>R</t>
        </is>
      </c>
      <c r="H2193" s="22" t="n">
        <v>23947</v>
      </c>
      <c r="I2193" s="22" t="n">
        <v>13000000</v>
      </c>
      <c r="J2193" s="21">
        <f>IF(OR(H2193="",H2193=25529689.5),"Yes","No")</f>
        <v/>
      </c>
      <c r="K2193" s="21">
        <f>IF(AND(D2193="USA",C2193&gt;=1980,J2193="No"),"Yes","No")</f>
        <v/>
      </c>
      <c r="L2193" s="26">
        <f>IF(J2193="Yes","",H2193-I2193)</f>
        <v/>
      </c>
      <c r="M2193" s="27">
        <f>IF(OR(J2193="Yes",I2193=0),"",H2193/I2193)</f>
        <v/>
      </c>
      <c r="N2193" s="21">
        <f>IF(J2193="Yes","",IF(H2193&gt;=I2193,1,0))</f>
        <v/>
      </c>
      <c r="O2193" s="21">
        <f>IF(I2193&lt;=5000000,"Under $5M",IF(I2193&lt;=20000000,"$5M-20M",IF(I2193&lt;=50000000,"$20M-50M",IF(I2193&lt;=100000000,"$50M-100M","$100M+"))))</f>
        <v/>
      </c>
      <c r="P2193" s="21">
        <f>IF(E2193&lt;=90,"90 or less",IF(E2193&lt;=105,"91-105",IF(E2193&lt;=120,"106-120",IF(E2193&lt;=140,"121-140","Over 140"))))</f>
        <v/>
      </c>
      <c r="Q2193" s="28">
        <f>INT(C2193/10)*10</f>
        <v/>
      </c>
    </row>
    <row r="2194">
      <c r="A2194" s="21" t="n">
        <v>2239</v>
      </c>
      <c r="B2194" s="21" t="inlineStr">
        <is>
          <t>The Case of the Grinning Cat</t>
        </is>
      </c>
      <c r="C2194" s="21" t="n">
        <v>2004</v>
      </c>
      <c r="D2194" s="21" t="inlineStr">
        <is>
          <t>France</t>
        </is>
      </c>
      <c r="E2194" s="21" t="n">
        <v>59</v>
      </c>
      <c r="F2194" s="21" t="inlineStr">
        <is>
          <t>French</t>
        </is>
      </c>
      <c r="G2194" s="21" t="n"/>
      <c r="H2194" s="22" t="n">
        <v>25529689.5</v>
      </c>
      <c r="I2194" s="22" t="n">
        <v>150000</v>
      </c>
      <c r="J2194" s="21">
        <f>IF(OR(H2194="",H2194=25529689.5),"Yes","No")</f>
        <v/>
      </c>
      <c r="K2194" s="21">
        <f>IF(AND(D2194="USA",C2194&gt;=1980,J2194="No"),"Yes","No")</f>
        <v/>
      </c>
      <c r="L2194" s="26">
        <f>IF(J2194="Yes","",H2194-I2194)</f>
        <v/>
      </c>
      <c r="M2194" s="27">
        <f>IF(OR(J2194="Yes",I2194=0),"",H2194/I2194)</f>
        <v/>
      </c>
      <c r="N2194" s="21">
        <f>IF(J2194="Yes","",IF(H2194&gt;=I2194,1,0))</f>
        <v/>
      </c>
      <c r="O2194" s="21">
        <f>IF(I2194&lt;=5000000,"Under $5M",IF(I2194&lt;=20000000,"$5M-20M",IF(I2194&lt;=50000000,"$20M-50M",IF(I2194&lt;=100000000,"$50M-100M","$100M+"))))</f>
        <v/>
      </c>
      <c r="P2194" s="21">
        <f>IF(E2194&lt;=90,"90 or less",IF(E2194&lt;=105,"91-105",IF(E2194&lt;=120,"106-120",IF(E2194&lt;=140,"121-140","Over 140"))))</f>
        <v/>
      </c>
      <c r="Q2194" s="28">
        <f>INT(C2194/10)*10</f>
        <v/>
      </c>
    </row>
    <row r="2195">
      <c r="A2195" s="21" t="n">
        <v>2240</v>
      </c>
      <c r="B2195" s="21" t="inlineStr">
        <is>
          <t>The Chorus</t>
        </is>
      </c>
      <c r="C2195" s="21" t="n">
        <v>2004</v>
      </c>
      <c r="D2195" s="21" t="inlineStr">
        <is>
          <t>France</t>
        </is>
      </c>
      <c r="E2195" s="21" t="n">
        <v>97</v>
      </c>
      <c r="F2195" s="21" t="inlineStr">
        <is>
          <t>French</t>
        </is>
      </c>
      <c r="G2195" s="21" t="inlineStr">
        <is>
          <t>PG-13</t>
        </is>
      </c>
      <c r="H2195" s="22" t="n">
        <v>3629758</v>
      </c>
      <c r="I2195" s="22" t="n">
        <v>5500000</v>
      </c>
      <c r="J2195" s="21">
        <f>IF(OR(H2195="",H2195=25529689.5),"Yes","No")</f>
        <v/>
      </c>
      <c r="K2195" s="21">
        <f>IF(AND(D2195="USA",C2195&gt;=1980,J2195="No"),"Yes","No")</f>
        <v/>
      </c>
      <c r="L2195" s="26">
        <f>IF(J2195="Yes","",H2195-I2195)</f>
        <v/>
      </c>
      <c r="M2195" s="27">
        <f>IF(OR(J2195="Yes",I2195=0),"",H2195/I2195)</f>
        <v/>
      </c>
      <c r="N2195" s="21">
        <f>IF(J2195="Yes","",IF(H2195&gt;=I2195,1,0))</f>
        <v/>
      </c>
      <c r="O2195" s="21">
        <f>IF(I2195&lt;=5000000,"Under $5M",IF(I2195&lt;=20000000,"$5M-20M",IF(I2195&lt;=50000000,"$20M-50M",IF(I2195&lt;=100000000,"$50M-100M","$100M+"))))</f>
        <v/>
      </c>
      <c r="P2195" s="21">
        <f>IF(E2195&lt;=90,"90 or less",IF(E2195&lt;=105,"91-105",IF(E2195&lt;=120,"106-120",IF(E2195&lt;=140,"121-140","Over 140"))))</f>
        <v/>
      </c>
      <c r="Q2195" s="28">
        <f>INT(C2195/10)*10</f>
        <v/>
      </c>
    </row>
    <row r="2196">
      <c r="A2196" s="21" t="n">
        <v>2241</v>
      </c>
      <c r="B2196" s="21" t="inlineStr">
        <is>
          <t>The Chronicles of Riddick</t>
        </is>
      </c>
      <c r="C2196" s="21" t="n">
        <v>2004</v>
      </c>
      <c r="D2196" s="21" t="inlineStr">
        <is>
          <t>USA</t>
        </is>
      </c>
      <c r="E2196" s="21" t="n">
        <v>134</v>
      </c>
      <c r="F2196" s="21" t="inlineStr">
        <is>
          <t>English</t>
        </is>
      </c>
      <c r="G2196" s="21" t="inlineStr">
        <is>
          <t>PG-13</t>
        </is>
      </c>
      <c r="H2196" s="22" t="n">
        <v>57637485</v>
      </c>
      <c r="I2196" s="22" t="n">
        <v>105000000</v>
      </c>
      <c r="J2196" s="21">
        <f>IF(OR(H2196="",H2196=25529689.5),"Yes","No")</f>
        <v/>
      </c>
      <c r="K2196" s="21">
        <f>IF(AND(D2196="USA",C2196&gt;=1980,J2196="No"),"Yes","No")</f>
        <v/>
      </c>
      <c r="L2196" s="26">
        <f>IF(J2196="Yes","",H2196-I2196)</f>
        <v/>
      </c>
      <c r="M2196" s="27">
        <f>IF(OR(J2196="Yes",I2196=0),"",H2196/I2196)</f>
        <v/>
      </c>
      <c r="N2196" s="21">
        <f>IF(J2196="Yes","",IF(H2196&gt;=I2196,1,0))</f>
        <v/>
      </c>
      <c r="O2196" s="21">
        <f>IF(I2196&lt;=5000000,"Under $5M",IF(I2196&lt;=20000000,"$5M-20M",IF(I2196&lt;=50000000,"$20M-50M",IF(I2196&lt;=100000000,"$50M-100M","$100M+"))))</f>
        <v/>
      </c>
      <c r="P2196" s="21">
        <f>IF(E2196&lt;=90,"90 or less",IF(E2196&lt;=105,"91-105",IF(E2196&lt;=120,"106-120",IF(E2196&lt;=140,"121-140","Over 140"))))</f>
        <v/>
      </c>
      <c r="Q2196" s="28">
        <f>INT(C2196/10)*10</f>
        <v/>
      </c>
    </row>
    <row r="2197">
      <c r="A2197" s="21" t="n">
        <v>2242</v>
      </c>
      <c r="B2197" s="21" t="inlineStr">
        <is>
          <t>The Cookout</t>
        </is>
      </c>
      <c r="C2197" s="21" t="n">
        <v>2004</v>
      </c>
      <c r="D2197" s="21" t="inlineStr">
        <is>
          <t>USA</t>
        </is>
      </c>
      <c r="E2197" s="21" t="n">
        <v>97</v>
      </c>
      <c r="F2197" s="21" t="inlineStr">
        <is>
          <t>English</t>
        </is>
      </c>
      <c r="G2197" s="21" t="inlineStr">
        <is>
          <t>PG-13</t>
        </is>
      </c>
      <c r="H2197" s="22" t="n">
        <v>11540112</v>
      </c>
      <c r="I2197" s="22" t="n">
        <v>20000000</v>
      </c>
      <c r="J2197" s="21">
        <f>IF(OR(H2197="",H2197=25529689.5),"Yes","No")</f>
        <v/>
      </c>
      <c r="K2197" s="21">
        <f>IF(AND(D2197="USA",C2197&gt;=1980,J2197="No"),"Yes","No")</f>
        <v/>
      </c>
      <c r="L2197" s="26">
        <f>IF(J2197="Yes","",H2197-I2197)</f>
        <v/>
      </c>
      <c r="M2197" s="27">
        <f>IF(OR(J2197="Yes",I2197=0),"",H2197/I2197)</f>
        <v/>
      </c>
      <c r="N2197" s="21">
        <f>IF(J2197="Yes","",IF(H2197&gt;=I2197,1,0))</f>
        <v/>
      </c>
      <c r="O2197" s="21">
        <f>IF(I2197&lt;=5000000,"Under $5M",IF(I2197&lt;=20000000,"$5M-20M",IF(I2197&lt;=50000000,"$20M-50M",IF(I2197&lt;=100000000,"$50M-100M","$100M+"))))</f>
        <v/>
      </c>
      <c r="P2197" s="21">
        <f>IF(E2197&lt;=90,"90 or less",IF(E2197&lt;=105,"91-105",IF(E2197&lt;=120,"106-120",IF(E2197&lt;=140,"121-140","Over 140"))))</f>
        <v/>
      </c>
      <c r="Q2197" s="28">
        <f>INT(C2197/10)*10</f>
        <v/>
      </c>
    </row>
    <row r="2198">
      <c r="A2198" s="21" t="n">
        <v>2243</v>
      </c>
      <c r="B2198" s="21" t="inlineStr">
        <is>
          <t>The Day After Tomorrow</t>
        </is>
      </c>
      <c r="C2198" s="21" t="n">
        <v>2004</v>
      </c>
      <c r="D2198" s="21" t="inlineStr">
        <is>
          <t>USA</t>
        </is>
      </c>
      <c r="E2198" s="21" t="n">
        <v>124</v>
      </c>
      <c r="F2198" s="21" t="inlineStr">
        <is>
          <t>English</t>
        </is>
      </c>
      <c r="G2198" s="21" t="inlineStr">
        <is>
          <t>PG-13</t>
        </is>
      </c>
      <c r="H2198" s="22" t="n">
        <v>186739919</v>
      </c>
      <c r="I2198" s="22" t="n">
        <v>125000000</v>
      </c>
      <c r="J2198" s="21">
        <f>IF(OR(H2198="",H2198=25529689.5),"Yes","No")</f>
        <v/>
      </c>
      <c r="K2198" s="21">
        <f>IF(AND(D2198="USA",C2198&gt;=1980,J2198="No"),"Yes","No")</f>
        <v/>
      </c>
      <c r="L2198" s="26">
        <f>IF(J2198="Yes","",H2198-I2198)</f>
        <v/>
      </c>
      <c r="M2198" s="27">
        <f>IF(OR(J2198="Yes",I2198=0),"",H2198/I2198)</f>
        <v/>
      </c>
      <c r="N2198" s="21">
        <f>IF(J2198="Yes","",IF(H2198&gt;=I2198,1,0))</f>
        <v/>
      </c>
      <c r="O2198" s="21">
        <f>IF(I2198&lt;=5000000,"Under $5M",IF(I2198&lt;=20000000,"$5M-20M",IF(I2198&lt;=50000000,"$20M-50M",IF(I2198&lt;=100000000,"$50M-100M","$100M+"))))</f>
        <v/>
      </c>
      <c r="P2198" s="21">
        <f>IF(E2198&lt;=90,"90 or less",IF(E2198&lt;=105,"91-105",IF(E2198&lt;=120,"106-120",IF(E2198&lt;=140,"121-140","Over 140"))))</f>
        <v/>
      </c>
      <c r="Q2198" s="28">
        <f>INT(C2198/10)*10</f>
        <v/>
      </c>
    </row>
    <row r="2199">
      <c r="A2199" s="21" t="n">
        <v>2244</v>
      </c>
      <c r="B2199" s="21" t="inlineStr">
        <is>
          <t>The Girl Next Door</t>
        </is>
      </c>
      <c r="C2199" s="21" t="n">
        <v>2004</v>
      </c>
      <c r="D2199" s="21" t="inlineStr">
        <is>
          <t>USA</t>
        </is>
      </c>
      <c r="E2199" s="21" t="n">
        <v>110</v>
      </c>
      <c r="F2199" s="21" t="inlineStr">
        <is>
          <t>English</t>
        </is>
      </c>
      <c r="G2199" s="21" t="inlineStr">
        <is>
          <t>R</t>
        </is>
      </c>
      <c r="H2199" s="22" t="n">
        <v>14589444</v>
      </c>
      <c r="I2199" s="22" t="n">
        <v>25000000</v>
      </c>
      <c r="J2199" s="21">
        <f>IF(OR(H2199="",H2199=25529689.5),"Yes","No")</f>
        <v/>
      </c>
      <c r="K2199" s="21">
        <f>IF(AND(D2199="USA",C2199&gt;=1980,J2199="No"),"Yes","No")</f>
        <v/>
      </c>
      <c r="L2199" s="26">
        <f>IF(J2199="Yes","",H2199-I2199)</f>
        <v/>
      </c>
      <c r="M2199" s="27">
        <f>IF(OR(J2199="Yes",I2199=0),"",H2199/I2199)</f>
        <v/>
      </c>
      <c r="N2199" s="21">
        <f>IF(J2199="Yes","",IF(H2199&gt;=I2199,1,0))</f>
        <v/>
      </c>
      <c r="O2199" s="21">
        <f>IF(I2199&lt;=5000000,"Under $5M",IF(I2199&lt;=20000000,"$5M-20M",IF(I2199&lt;=50000000,"$20M-50M",IF(I2199&lt;=100000000,"$50M-100M","$100M+"))))</f>
        <v/>
      </c>
      <c r="P2199" s="21">
        <f>IF(E2199&lt;=90,"90 or less",IF(E2199&lt;=105,"91-105",IF(E2199&lt;=120,"106-120",IF(E2199&lt;=140,"121-140","Over 140"))))</f>
        <v/>
      </c>
      <c r="Q2199" s="28">
        <f>INT(C2199/10)*10</f>
        <v/>
      </c>
    </row>
    <row r="2200">
      <c r="A2200" s="21" t="n">
        <v>2245</v>
      </c>
      <c r="B2200" s="21" t="inlineStr">
        <is>
          <t>The Grudge</t>
        </is>
      </c>
      <c r="C2200" s="21" t="n">
        <v>2004</v>
      </c>
      <c r="D2200" s="21" t="inlineStr">
        <is>
          <t>USA</t>
        </is>
      </c>
      <c r="E2200" s="21" t="n">
        <v>98</v>
      </c>
      <c r="F2200" s="21" t="inlineStr">
        <is>
          <t>English</t>
        </is>
      </c>
      <c r="G2200" s="21" t="inlineStr">
        <is>
          <t>PG-13</t>
        </is>
      </c>
      <c r="H2200" s="22" t="n">
        <v>110175871</v>
      </c>
      <c r="I2200" s="22" t="n">
        <v>10000000</v>
      </c>
      <c r="J2200" s="21">
        <f>IF(OR(H2200="",H2200=25529689.5),"Yes","No")</f>
        <v/>
      </c>
      <c r="K2200" s="21">
        <f>IF(AND(D2200="USA",C2200&gt;=1980,J2200="No"),"Yes","No")</f>
        <v/>
      </c>
      <c r="L2200" s="26">
        <f>IF(J2200="Yes","",H2200-I2200)</f>
        <v/>
      </c>
      <c r="M2200" s="27">
        <f>IF(OR(J2200="Yes",I2200=0),"",H2200/I2200)</f>
        <v/>
      </c>
      <c r="N2200" s="21">
        <f>IF(J2200="Yes","",IF(H2200&gt;=I2200,1,0))</f>
        <v/>
      </c>
      <c r="O2200" s="21">
        <f>IF(I2200&lt;=5000000,"Under $5M",IF(I2200&lt;=20000000,"$5M-20M",IF(I2200&lt;=50000000,"$20M-50M",IF(I2200&lt;=100000000,"$50M-100M","$100M+"))))</f>
        <v/>
      </c>
      <c r="P2200" s="21">
        <f>IF(E2200&lt;=90,"90 or less",IF(E2200&lt;=105,"91-105",IF(E2200&lt;=120,"106-120",IF(E2200&lt;=140,"121-140","Over 140"))))</f>
        <v/>
      </c>
      <c r="Q2200" s="28">
        <f>INT(C2200/10)*10</f>
        <v/>
      </c>
    </row>
    <row r="2201">
      <c r="A2201" s="21" t="n">
        <v>2246</v>
      </c>
      <c r="B2201" s="21" t="inlineStr">
        <is>
          <t>The Holy Girl</t>
        </is>
      </c>
      <c r="C2201" s="21" t="n">
        <v>2004</v>
      </c>
      <c r="D2201" s="21" t="inlineStr">
        <is>
          <t>Argentina</t>
        </is>
      </c>
      <c r="E2201" s="21" t="n">
        <v>106</v>
      </c>
      <c r="F2201" s="21" t="inlineStr">
        <is>
          <t>Spanish</t>
        </is>
      </c>
      <c r="G2201" s="21" t="inlineStr">
        <is>
          <t>R</t>
        </is>
      </c>
      <c r="H2201" s="22" t="n">
        <v>304124</v>
      </c>
      <c r="I2201" s="22" t="n">
        <v>1400000</v>
      </c>
      <c r="J2201" s="21">
        <f>IF(OR(H2201="",H2201=25529689.5),"Yes","No")</f>
        <v/>
      </c>
      <c r="K2201" s="21">
        <f>IF(AND(D2201="USA",C2201&gt;=1980,J2201="No"),"Yes","No")</f>
        <v/>
      </c>
      <c r="L2201" s="26">
        <f>IF(J2201="Yes","",H2201-I2201)</f>
        <v/>
      </c>
      <c r="M2201" s="27">
        <f>IF(OR(J2201="Yes",I2201=0),"",H2201/I2201)</f>
        <v/>
      </c>
      <c r="N2201" s="21">
        <f>IF(J2201="Yes","",IF(H2201&gt;=I2201,1,0))</f>
        <v/>
      </c>
      <c r="O2201" s="21">
        <f>IF(I2201&lt;=5000000,"Under $5M",IF(I2201&lt;=20000000,"$5M-20M",IF(I2201&lt;=50000000,"$20M-50M",IF(I2201&lt;=100000000,"$50M-100M","$100M+"))))</f>
        <v/>
      </c>
      <c r="P2201" s="21">
        <f>IF(E2201&lt;=90,"90 or less",IF(E2201&lt;=105,"91-105",IF(E2201&lt;=120,"106-120",IF(E2201&lt;=140,"121-140","Over 140"))))</f>
        <v/>
      </c>
      <c r="Q2201" s="28">
        <f>INT(C2201/10)*10</f>
        <v/>
      </c>
    </row>
    <row r="2202">
      <c r="A2202" s="21" t="n">
        <v>2247</v>
      </c>
      <c r="B2202" s="21" t="inlineStr">
        <is>
          <t>The I Inside</t>
        </is>
      </c>
      <c r="C2202" s="21" t="n">
        <v>2004</v>
      </c>
      <c r="D2202" s="21" t="inlineStr">
        <is>
          <t>UK</t>
        </is>
      </c>
      <c r="E2202" s="21" t="n">
        <v>90</v>
      </c>
      <c r="F2202" s="21" t="inlineStr">
        <is>
          <t>English</t>
        </is>
      </c>
      <c r="G2202" s="21" t="inlineStr">
        <is>
          <t>R</t>
        </is>
      </c>
      <c r="H2202" s="22" t="n">
        <v>25529689.5</v>
      </c>
      <c r="I2202" s="22" t="n">
        <v>8800000</v>
      </c>
      <c r="J2202" s="21">
        <f>IF(OR(H2202="",H2202=25529689.5),"Yes","No")</f>
        <v/>
      </c>
      <c r="K2202" s="21">
        <f>IF(AND(D2202="USA",C2202&gt;=1980,J2202="No"),"Yes","No")</f>
        <v/>
      </c>
      <c r="L2202" s="26">
        <f>IF(J2202="Yes","",H2202-I2202)</f>
        <v/>
      </c>
      <c r="M2202" s="27">
        <f>IF(OR(J2202="Yes",I2202=0),"",H2202/I2202)</f>
        <v/>
      </c>
      <c r="N2202" s="21">
        <f>IF(J2202="Yes","",IF(H2202&gt;=I2202,1,0))</f>
        <v/>
      </c>
      <c r="O2202" s="21">
        <f>IF(I2202&lt;=5000000,"Under $5M",IF(I2202&lt;=20000000,"$5M-20M",IF(I2202&lt;=50000000,"$20M-50M",IF(I2202&lt;=100000000,"$50M-100M","$100M+"))))</f>
        <v/>
      </c>
      <c r="P2202" s="21">
        <f>IF(E2202&lt;=90,"90 or less",IF(E2202&lt;=105,"91-105",IF(E2202&lt;=120,"106-120",IF(E2202&lt;=140,"121-140","Over 140"))))</f>
        <v/>
      </c>
      <c r="Q2202" s="28">
        <f>INT(C2202/10)*10</f>
        <v/>
      </c>
    </row>
    <row r="2203">
      <c r="A2203" s="21" t="n">
        <v>2248</v>
      </c>
      <c r="B2203" s="21" t="inlineStr">
        <is>
          <t>The Incredibles</t>
        </is>
      </c>
      <c r="C2203" s="21" t="n">
        <v>2004</v>
      </c>
      <c r="D2203" s="21" t="inlineStr">
        <is>
          <t>USA</t>
        </is>
      </c>
      <c r="E2203" s="21" t="n">
        <v>115</v>
      </c>
      <c r="F2203" s="21" t="inlineStr">
        <is>
          <t>English</t>
        </is>
      </c>
      <c r="G2203" s="21" t="inlineStr">
        <is>
          <t>PG</t>
        </is>
      </c>
      <c r="H2203" s="22" t="n">
        <v>261437578</v>
      </c>
      <c r="I2203" s="22" t="n">
        <v>92000000</v>
      </c>
      <c r="J2203" s="21">
        <f>IF(OR(H2203="",H2203=25529689.5),"Yes","No")</f>
        <v/>
      </c>
      <c r="K2203" s="21">
        <f>IF(AND(D2203="USA",C2203&gt;=1980,J2203="No"),"Yes","No")</f>
        <v/>
      </c>
      <c r="L2203" s="26">
        <f>IF(J2203="Yes","",H2203-I2203)</f>
        <v/>
      </c>
      <c r="M2203" s="27">
        <f>IF(OR(J2203="Yes",I2203=0),"",H2203/I2203)</f>
        <v/>
      </c>
      <c r="N2203" s="21">
        <f>IF(J2203="Yes","",IF(H2203&gt;=I2203,1,0))</f>
        <v/>
      </c>
      <c r="O2203" s="21">
        <f>IF(I2203&lt;=5000000,"Under $5M",IF(I2203&lt;=20000000,"$5M-20M",IF(I2203&lt;=50000000,"$20M-50M",IF(I2203&lt;=100000000,"$50M-100M","$100M+"))))</f>
        <v/>
      </c>
      <c r="P2203" s="21">
        <f>IF(E2203&lt;=90,"90 or less",IF(E2203&lt;=105,"91-105",IF(E2203&lt;=120,"106-120",IF(E2203&lt;=140,"121-140","Over 140"))))</f>
        <v/>
      </c>
      <c r="Q2203" s="28">
        <f>INT(C2203/10)*10</f>
        <v/>
      </c>
    </row>
    <row r="2204">
      <c r="A2204" s="21" t="n">
        <v>2249</v>
      </c>
      <c r="B2204" s="21" t="inlineStr">
        <is>
          <t>The Ladykillers</t>
        </is>
      </c>
      <c r="C2204" s="21" t="n">
        <v>2004</v>
      </c>
      <c r="D2204" s="21" t="inlineStr">
        <is>
          <t>USA</t>
        </is>
      </c>
      <c r="E2204" s="21" t="n">
        <v>104</v>
      </c>
      <c r="F2204" s="21" t="inlineStr">
        <is>
          <t>English</t>
        </is>
      </c>
      <c r="G2204" s="21" t="inlineStr">
        <is>
          <t>R</t>
        </is>
      </c>
      <c r="H2204" s="22" t="n">
        <v>39692139</v>
      </c>
      <c r="I2204" s="22" t="n">
        <v>35000000</v>
      </c>
      <c r="J2204" s="21">
        <f>IF(OR(H2204="",H2204=25529689.5),"Yes","No")</f>
        <v/>
      </c>
      <c r="K2204" s="21">
        <f>IF(AND(D2204="USA",C2204&gt;=1980,J2204="No"),"Yes","No")</f>
        <v/>
      </c>
      <c r="L2204" s="26">
        <f>IF(J2204="Yes","",H2204-I2204)</f>
        <v/>
      </c>
      <c r="M2204" s="27">
        <f>IF(OR(J2204="Yes",I2204=0),"",H2204/I2204)</f>
        <v/>
      </c>
      <c r="N2204" s="21">
        <f>IF(J2204="Yes","",IF(H2204&gt;=I2204,1,0))</f>
        <v/>
      </c>
      <c r="O2204" s="21">
        <f>IF(I2204&lt;=5000000,"Under $5M",IF(I2204&lt;=20000000,"$5M-20M",IF(I2204&lt;=50000000,"$20M-50M",IF(I2204&lt;=100000000,"$50M-100M","$100M+"))))</f>
        <v/>
      </c>
      <c r="P2204" s="21">
        <f>IF(E2204&lt;=90,"90 or less",IF(E2204&lt;=105,"91-105",IF(E2204&lt;=120,"106-120",IF(E2204&lt;=140,"121-140","Over 140"))))</f>
        <v/>
      </c>
      <c r="Q2204" s="28">
        <f>INT(C2204/10)*10</f>
        <v/>
      </c>
    </row>
    <row r="2205">
      <c r="A2205" s="21" t="n">
        <v>2250</v>
      </c>
      <c r="B2205" s="21" t="inlineStr">
        <is>
          <t>The Last Shot</t>
        </is>
      </c>
      <c r="C2205" s="21" t="n">
        <v>2004</v>
      </c>
      <c r="D2205" s="21" t="inlineStr">
        <is>
          <t>USA</t>
        </is>
      </c>
      <c r="E2205" s="21" t="n">
        <v>93</v>
      </c>
      <c r="F2205" s="21" t="inlineStr">
        <is>
          <t>English</t>
        </is>
      </c>
      <c r="G2205" s="21" t="inlineStr">
        <is>
          <t>R</t>
        </is>
      </c>
      <c r="H2205" s="22" t="n">
        <v>463730</v>
      </c>
      <c r="I2205" s="22" t="n">
        <v>20000000</v>
      </c>
      <c r="J2205" s="21">
        <f>IF(OR(H2205="",H2205=25529689.5),"Yes","No")</f>
        <v/>
      </c>
      <c r="K2205" s="21">
        <f>IF(AND(D2205="USA",C2205&gt;=1980,J2205="No"),"Yes","No")</f>
        <v/>
      </c>
      <c r="L2205" s="26">
        <f>IF(J2205="Yes","",H2205-I2205)</f>
        <v/>
      </c>
      <c r="M2205" s="27">
        <f>IF(OR(J2205="Yes",I2205=0),"",H2205/I2205)</f>
        <v/>
      </c>
      <c r="N2205" s="21">
        <f>IF(J2205="Yes","",IF(H2205&gt;=I2205,1,0))</f>
        <v/>
      </c>
      <c r="O2205" s="21">
        <f>IF(I2205&lt;=5000000,"Under $5M",IF(I2205&lt;=20000000,"$5M-20M",IF(I2205&lt;=50000000,"$20M-50M",IF(I2205&lt;=100000000,"$50M-100M","$100M+"))))</f>
        <v/>
      </c>
      <c r="P2205" s="21">
        <f>IF(E2205&lt;=90,"90 or less",IF(E2205&lt;=105,"91-105",IF(E2205&lt;=120,"106-120",IF(E2205&lt;=140,"121-140","Over 140"))))</f>
        <v/>
      </c>
      <c r="Q2205" s="28">
        <f>INT(C2205/10)*10</f>
        <v/>
      </c>
    </row>
    <row r="2206">
      <c r="A2206" s="21" t="n">
        <v>2251</v>
      </c>
      <c r="B2206" s="21" t="inlineStr">
        <is>
          <t>The Libertine</t>
        </is>
      </c>
      <c r="C2206" s="21" t="n">
        <v>2004</v>
      </c>
      <c r="D2206" s="21" t="inlineStr">
        <is>
          <t>UK</t>
        </is>
      </c>
      <c r="E2206" s="21" t="n">
        <v>114</v>
      </c>
      <c r="F2206" s="21" t="inlineStr">
        <is>
          <t>English</t>
        </is>
      </c>
      <c r="G2206" s="21" t="inlineStr">
        <is>
          <t>R</t>
        </is>
      </c>
      <c r="H2206" s="22" t="n">
        <v>4829497</v>
      </c>
      <c r="I2206" s="22" t="n">
        <v>20000000</v>
      </c>
      <c r="J2206" s="21">
        <f>IF(OR(H2206="",H2206=25529689.5),"Yes","No")</f>
        <v/>
      </c>
      <c r="K2206" s="21">
        <f>IF(AND(D2206="USA",C2206&gt;=1980,J2206="No"),"Yes","No")</f>
        <v/>
      </c>
      <c r="L2206" s="26">
        <f>IF(J2206="Yes","",H2206-I2206)</f>
        <v/>
      </c>
      <c r="M2206" s="27">
        <f>IF(OR(J2206="Yes",I2206=0),"",H2206/I2206)</f>
        <v/>
      </c>
      <c r="N2206" s="21">
        <f>IF(J2206="Yes","",IF(H2206&gt;=I2206,1,0))</f>
        <v/>
      </c>
      <c r="O2206" s="21">
        <f>IF(I2206&lt;=5000000,"Under $5M",IF(I2206&lt;=20000000,"$5M-20M",IF(I2206&lt;=50000000,"$20M-50M",IF(I2206&lt;=100000000,"$50M-100M","$100M+"))))</f>
        <v/>
      </c>
      <c r="P2206" s="21">
        <f>IF(E2206&lt;=90,"90 or less",IF(E2206&lt;=105,"91-105",IF(E2206&lt;=120,"106-120",IF(E2206&lt;=140,"121-140","Over 140"))))</f>
        <v/>
      </c>
      <c r="Q2206" s="28">
        <f>INT(C2206/10)*10</f>
        <v/>
      </c>
    </row>
    <row r="2207">
      <c r="A2207" s="21" t="n">
        <v>2252</v>
      </c>
      <c r="B2207" s="21" t="inlineStr">
        <is>
          <t>The Life Aquatic with Steve Zissou</t>
        </is>
      </c>
      <c r="C2207" s="21" t="n">
        <v>2004</v>
      </c>
      <c r="D2207" s="21" t="inlineStr">
        <is>
          <t>USA</t>
        </is>
      </c>
      <c r="E2207" s="21" t="n">
        <v>119</v>
      </c>
      <c r="F2207" s="21" t="inlineStr">
        <is>
          <t>English</t>
        </is>
      </c>
      <c r="G2207" s="21" t="inlineStr">
        <is>
          <t>R</t>
        </is>
      </c>
      <c r="H2207" s="22" t="n">
        <v>24006726</v>
      </c>
      <c r="I2207" s="22" t="n">
        <v>50000000</v>
      </c>
      <c r="J2207" s="21">
        <f>IF(OR(H2207="",H2207=25529689.5),"Yes","No")</f>
        <v/>
      </c>
      <c r="K2207" s="21">
        <f>IF(AND(D2207="USA",C2207&gt;=1980,J2207="No"),"Yes","No")</f>
        <v/>
      </c>
      <c r="L2207" s="26">
        <f>IF(J2207="Yes","",H2207-I2207)</f>
        <v/>
      </c>
      <c r="M2207" s="27">
        <f>IF(OR(J2207="Yes",I2207=0),"",H2207/I2207)</f>
        <v/>
      </c>
      <c r="N2207" s="21">
        <f>IF(J2207="Yes","",IF(H2207&gt;=I2207,1,0))</f>
        <v/>
      </c>
      <c r="O2207" s="21">
        <f>IF(I2207&lt;=5000000,"Under $5M",IF(I2207&lt;=20000000,"$5M-20M",IF(I2207&lt;=50000000,"$20M-50M",IF(I2207&lt;=100000000,"$50M-100M","$100M+"))))</f>
        <v/>
      </c>
      <c r="P2207" s="21">
        <f>IF(E2207&lt;=90,"90 or less",IF(E2207&lt;=105,"91-105",IF(E2207&lt;=120,"106-120",IF(E2207&lt;=140,"121-140","Over 140"))))</f>
        <v/>
      </c>
      <c r="Q2207" s="28">
        <f>INT(C2207/10)*10</f>
        <v/>
      </c>
    </row>
    <row r="2208">
      <c r="A2208" s="21" t="n">
        <v>2253</v>
      </c>
      <c r="B2208" s="21" t="inlineStr">
        <is>
          <t>The Machinist</t>
        </is>
      </c>
      <c r="C2208" s="21" t="n">
        <v>2004</v>
      </c>
      <c r="D2208" s="21" t="inlineStr">
        <is>
          <t>Spain</t>
        </is>
      </c>
      <c r="E2208" s="21" t="n">
        <v>94</v>
      </c>
      <c r="F2208" s="21" t="inlineStr">
        <is>
          <t>English</t>
        </is>
      </c>
      <c r="G2208" s="21" t="inlineStr">
        <is>
          <t>R</t>
        </is>
      </c>
      <c r="H2208" s="22" t="n">
        <v>1082044</v>
      </c>
      <c r="I2208" s="22" t="n">
        <v>5000000</v>
      </c>
      <c r="J2208" s="21">
        <f>IF(OR(H2208="",H2208=25529689.5),"Yes","No")</f>
        <v/>
      </c>
      <c r="K2208" s="21">
        <f>IF(AND(D2208="USA",C2208&gt;=1980,J2208="No"),"Yes","No")</f>
        <v/>
      </c>
      <c r="L2208" s="26">
        <f>IF(J2208="Yes","",H2208-I2208)</f>
        <v/>
      </c>
      <c r="M2208" s="27">
        <f>IF(OR(J2208="Yes",I2208=0),"",H2208/I2208)</f>
        <v/>
      </c>
      <c r="N2208" s="21">
        <f>IF(J2208="Yes","",IF(H2208&gt;=I2208,1,0))</f>
        <v/>
      </c>
      <c r="O2208" s="21">
        <f>IF(I2208&lt;=5000000,"Under $5M",IF(I2208&lt;=20000000,"$5M-20M",IF(I2208&lt;=50000000,"$20M-50M",IF(I2208&lt;=100000000,"$50M-100M","$100M+"))))</f>
        <v/>
      </c>
      <c r="P2208" s="21">
        <f>IF(E2208&lt;=90,"90 or less",IF(E2208&lt;=105,"91-105",IF(E2208&lt;=120,"106-120",IF(E2208&lt;=140,"121-140","Over 140"))))</f>
        <v/>
      </c>
      <c r="Q2208" s="28">
        <f>INT(C2208/10)*10</f>
        <v/>
      </c>
    </row>
    <row r="2209">
      <c r="A2209" s="21" t="n">
        <v>2254</v>
      </c>
      <c r="B2209" s="21" t="inlineStr">
        <is>
          <t>The Manchurian Candidate</t>
        </is>
      </c>
      <c r="C2209" s="21" t="n">
        <v>2004</v>
      </c>
      <c r="D2209" s="21" t="inlineStr">
        <is>
          <t>USA</t>
        </is>
      </c>
      <c r="E2209" s="21" t="n">
        <v>129</v>
      </c>
      <c r="F2209" s="21" t="inlineStr">
        <is>
          <t>English</t>
        </is>
      </c>
      <c r="G2209" s="21" t="inlineStr">
        <is>
          <t>R</t>
        </is>
      </c>
      <c r="H2209" s="22" t="n">
        <v>65948711</v>
      </c>
      <c r="I2209" s="22" t="n">
        <v>80000000</v>
      </c>
      <c r="J2209" s="21">
        <f>IF(OR(H2209="",H2209=25529689.5),"Yes","No")</f>
        <v/>
      </c>
      <c r="K2209" s="21">
        <f>IF(AND(D2209="USA",C2209&gt;=1980,J2209="No"),"Yes","No")</f>
        <v/>
      </c>
      <c r="L2209" s="26">
        <f>IF(J2209="Yes","",H2209-I2209)</f>
        <v/>
      </c>
      <c r="M2209" s="27">
        <f>IF(OR(J2209="Yes",I2209=0),"",H2209/I2209)</f>
        <v/>
      </c>
      <c r="N2209" s="21">
        <f>IF(J2209="Yes","",IF(H2209&gt;=I2209,1,0))</f>
        <v/>
      </c>
      <c r="O2209" s="21">
        <f>IF(I2209&lt;=5000000,"Under $5M",IF(I2209&lt;=20000000,"$5M-20M",IF(I2209&lt;=50000000,"$20M-50M",IF(I2209&lt;=100000000,"$50M-100M","$100M+"))))</f>
        <v/>
      </c>
      <c r="P2209" s="21">
        <f>IF(E2209&lt;=90,"90 or less",IF(E2209&lt;=105,"91-105",IF(E2209&lt;=120,"106-120",IF(E2209&lt;=140,"121-140","Over 140"))))</f>
        <v/>
      </c>
      <c r="Q2209" s="28">
        <f>INT(C2209/10)*10</f>
        <v/>
      </c>
    </row>
    <row r="2210">
      <c r="A2210" s="21" t="n">
        <v>2255</v>
      </c>
      <c r="B2210" s="21" t="inlineStr">
        <is>
          <t>The Merchant of Venice</t>
        </is>
      </c>
      <c r="C2210" s="21" t="n">
        <v>2004</v>
      </c>
      <c r="D2210" s="21" t="inlineStr">
        <is>
          <t>USA</t>
        </is>
      </c>
      <c r="E2210" s="21" t="n">
        <v>131</v>
      </c>
      <c r="F2210" s="21" t="inlineStr">
        <is>
          <t>English</t>
        </is>
      </c>
      <c r="G2210" s="21" t="inlineStr">
        <is>
          <t>R</t>
        </is>
      </c>
      <c r="H2210" s="22" t="n">
        <v>3752725</v>
      </c>
      <c r="I2210" s="22" t="n">
        <v>18000000</v>
      </c>
      <c r="J2210" s="21">
        <f>IF(OR(H2210="",H2210=25529689.5),"Yes","No")</f>
        <v/>
      </c>
      <c r="K2210" s="21">
        <f>IF(AND(D2210="USA",C2210&gt;=1980,J2210="No"),"Yes","No")</f>
        <v/>
      </c>
      <c r="L2210" s="26">
        <f>IF(J2210="Yes","",H2210-I2210)</f>
        <v/>
      </c>
      <c r="M2210" s="27">
        <f>IF(OR(J2210="Yes",I2210=0),"",H2210/I2210)</f>
        <v/>
      </c>
      <c r="N2210" s="21">
        <f>IF(J2210="Yes","",IF(H2210&gt;=I2210,1,0))</f>
        <v/>
      </c>
      <c r="O2210" s="21">
        <f>IF(I2210&lt;=5000000,"Under $5M",IF(I2210&lt;=20000000,"$5M-20M",IF(I2210&lt;=50000000,"$20M-50M",IF(I2210&lt;=100000000,"$50M-100M","$100M+"))))</f>
        <v/>
      </c>
      <c r="P2210" s="21">
        <f>IF(E2210&lt;=90,"90 or less",IF(E2210&lt;=105,"91-105",IF(E2210&lt;=120,"106-120",IF(E2210&lt;=140,"121-140","Over 140"))))</f>
        <v/>
      </c>
      <c r="Q2210" s="28">
        <f>INT(C2210/10)*10</f>
        <v/>
      </c>
    </row>
    <row r="2211">
      <c r="A2211" s="21" t="n">
        <v>2256</v>
      </c>
      <c r="B2211" s="21" t="inlineStr">
        <is>
          <t>The Notebook</t>
        </is>
      </c>
      <c r="C2211" s="21" t="n">
        <v>2004</v>
      </c>
      <c r="D2211" s="21" t="inlineStr">
        <is>
          <t>USA</t>
        </is>
      </c>
      <c r="E2211" s="21" t="n">
        <v>123</v>
      </c>
      <c r="F2211" s="21" t="inlineStr">
        <is>
          <t>English</t>
        </is>
      </c>
      <c r="G2211" s="21" t="inlineStr">
        <is>
          <t>PG-13</t>
        </is>
      </c>
      <c r="H2211" s="22" t="n">
        <v>64286</v>
      </c>
      <c r="I2211" s="22" t="n">
        <v>29000000</v>
      </c>
      <c r="J2211" s="21">
        <f>IF(OR(H2211="",H2211=25529689.5),"Yes","No")</f>
        <v/>
      </c>
      <c r="K2211" s="21">
        <f>IF(AND(D2211="USA",C2211&gt;=1980,J2211="No"),"Yes","No")</f>
        <v/>
      </c>
      <c r="L2211" s="26">
        <f>IF(J2211="Yes","",H2211-I2211)</f>
        <v/>
      </c>
      <c r="M2211" s="27">
        <f>IF(OR(J2211="Yes",I2211=0),"",H2211/I2211)</f>
        <v/>
      </c>
      <c r="N2211" s="21">
        <f>IF(J2211="Yes","",IF(H2211&gt;=I2211,1,0))</f>
        <v/>
      </c>
      <c r="O2211" s="21">
        <f>IF(I2211&lt;=5000000,"Under $5M",IF(I2211&lt;=20000000,"$5M-20M",IF(I2211&lt;=50000000,"$20M-50M",IF(I2211&lt;=100000000,"$50M-100M","$100M+"))))</f>
        <v/>
      </c>
      <c r="P2211" s="21">
        <f>IF(E2211&lt;=90,"90 or less",IF(E2211&lt;=105,"91-105",IF(E2211&lt;=120,"106-120",IF(E2211&lt;=140,"121-140","Over 140"))))</f>
        <v/>
      </c>
      <c r="Q2211" s="28">
        <f>INT(C2211/10)*10</f>
        <v/>
      </c>
    </row>
    <row r="2212">
      <c r="A2212" s="21" t="n">
        <v>2257</v>
      </c>
      <c r="B2212" s="21" t="inlineStr">
        <is>
          <t>The Passion of the Christ</t>
        </is>
      </c>
      <c r="C2212" s="21" t="n">
        <v>2004</v>
      </c>
      <c r="D2212" s="21" t="inlineStr">
        <is>
          <t>USA</t>
        </is>
      </c>
      <c r="E2212" s="21" t="n">
        <v>120</v>
      </c>
      <c r="F2212" s="21" t="inlineStr">
        <is>
          <t>Aramaic</t>
        </is>
      </c>
      <c r="G2212" s="21" t="inlineStr">
        <is>
          <t>R</t>
        </is>
      </c>
      <c r="H2212" s="22" t="n">
        <v>499263</v>
      </c>
      <c r="I2212" s="22" t="n">
        <v>30000000</v>
      </c>
      <c r="J2212" s="21">
        <f>IF(OR(H2212="",H2212=25529689.5),"Yes","No")</f>
        <v/>
      </c>
      <c r="K2212" s="21">
        <f>IF(AND(D2212="USA",C2212&gt;=1980,J2212="No"),"Yes","No")</f>
        <v/>
      </c>
      <c r="L2212" s="26">
        <f>IF(J2212="Yes","",H2212-I2212)</f>
        <v/>
      </c>
      <c r="M2212" s="27">
        <f>IF(OR(J2212="Yes",I2212=0),"",H2212/I2212)</f>
        <v/>
      </c>
      <c r="N2212" s="21">
        <f>IF(J2212="Yes","",IF(H2212&gt;=I2212,1,0))</f>
        <v/>
      </c>
      <c r="O2212" s="21">
        <f>IF(I2212&lt;=5000000,"Under $5M",IF(I2212&lt;=20000000,"$5M-20M",IF(I2212&lt;=50000000,"$20M-50M",IF(I2212&lt;=100000000,"$50M-100M","$100M+"))))</f>
        <v/>
      </c>
      <c r="P2212" s="21">
        <f>IF(E2212&lt;=90,"90 or less",IF(E2212&lt;=105,"91-105",IF(E2212&lt;=120,"106-120",IF(E2212&lt;=140,"121-140","Over 140"))))</f>
        <v/>
      </c>
      <c r="Q2212" s="28">
        <f>INT(C2212/10)*10</f>
        <v/>
      </c>
    </row>
    <row r="2213">
      <c r="A2213" s="21" t="n">
        <v>2258</v>
      </c>
      <c r="B2213" s="21" t="inlineStr">
        <is>
          <t>The Phantom of the Opera</t>
        </is>
      </c>
      <c r="C2213" s="21" t="n">
        <v>2004</v>
      </c>
      <c r="D2213" s="21" t="inlineStr">
        <is>
          <t>UK</t>
        </is>
      </c>
      <c r="E2213" s="21" t="n">
        <v>143</v>
      </c>
      <c r="F2213" s="21" t="inlineStr">
        <is>
          <t>English</t>
        </is>
      </c>
      <c r="G2213" s="21" t="inlineStr">
        <is>
          <t>PG-13</t>
        </is>
      </c>
      <c r="H2213" s="22" t="n">
        <v>51225796</v>
      </c>
      <c r="I2213" s="22" t="n">
        <v>70000000</v>
      </c>
      <c r="J2213" s="21">
        <f>IF(OR(H2213="",H2213=25529689.5),"Yes","No")</f>
        <v/>
      </c>
      <c r="K2213" s="21">
        <f>IF(AND(D2213="USA",C2213&gt;=1980,J2213="No"),"Yes","No")</f>
        <v/>
      </c>
      <c r="L2213" s="26">
        <f>IF(J2213="Yes","",H2213-I2213)</f>
        <v/>
      </c>
      <c r="M2213" s="27">
        <f>IF(OR(J2213="Yes",I2213=0),"",H2213/I2213)</f>
        <v/>
      </c>
      <c r="N2213" s="21">
        <f>IF(J2213="Yes","",IF(H2213&gt;=I2213,1,0))</f>
        <v/>
      </c>
      <c r="O2213" s="21">
        <f>IF(I2213&lt;=5000000,"Under $5M",IF(I2213&lt;=20000000,"$5M-20M",IF(I2213&lt;=50000000,"$20M-50M",IF(I2213&lt;=100000000,"$50M-100M","$100M+"))))</f>
        <v/>
      </c>
      <c r="P2213" s="21">
        <f>IF(E2213&lt;=90,"90 or less",IF(E2213&lt;=105,"91-105",IF(E2213&lt;=120,"106-120",IF(E2213&lt;=140,"121-140","Over 140"))))</f>
        <v/>
      </c>
      <c r="Q2213" s="28">
        <f>INT(C2213/10)*10</f>
        <v/>
      </c>
    </row>
    <row r="2214">
      <c r="A2214" s="21" t="n">
        <v>2259</v>
      </c>
      <c r="B2214" s="21" t="inlineStr">
        <is>
          <t>The Polar Express</t>
        </is>
      </c>
      <c r="C2214" s="21" t="n">
        <v>2004</v>
      </c>
      <c r="D2214" s="21" t="inlineStr">
        <is>
          <t>USA</t>
        </is>
      </c>
      <c r="E2214" s="21" t="n">
        <v>100</v>
      </c>
      <c r="F2214" s="21" t="inlineStr">
        <is>
          <t>English</t>
        </is>
      </c>
      <c r="G2214" s="21" t="inlineStr">
        <is>
          <t>G</t>
        </is>
      </c>
      <c r="H2214" s="22" t="n">
        <v>665426</v>
      </c>
      <c r="I2214" s="22" t="n">
        <v>165000000</v>
      </c>
      <c r="J2214" s="21">
        <f>IF(OR(H2214="",H2214=25529689.5),"Yes","No")</f>
        <v/>
      </c>
      <c r="K2214" s="21">
        <f>IF(AND(D2214="USA",C2214&gt;=1980,J2214="No"),"Yes","No")</f>
        <v/>
      </c>
      <c r="L2214" s="26">
        <f>IF(J2214="Yes","",H2214-I2214)</f>
        <v/>
      </c>
      <c r="M2214" s="27">
        <f>IF(OR(J2214="Yes",I2214=0),"",H2214/I2214)</f>
        <v/>
      </c>
      <c r="N2214" s="21">
        <f>IF(J2214="Yes","",IF(H2214&gt;=I2214,1,0))</f>
        <v/>
      </c>
      <c r="O2214" s="21">
        <f>IF(I2214&lt;=5000000,"Under $5M",IF(I2214&lt;=20000000,"$5M-20M",IF(I2214&lt;=50000000,"$20M-50M",IF(I2214&lt;=100000000,"$50M-100M","$100M+"))))</f>
        <v/>
      </c>
      <c r="P2214" s="21">
        <f>IF(E2214&lt;=90,"90 or less",IF(E2214&lt;=105,"91-105",IF(E2214&lt;=120,"106-120",IF(E2214&lt;=140,"121-140","Over 140"))))</f>
        <v/>
      </c>
      <c r="Q2214" s="28">
        <f>INT(C2214/10)*10</f>
        <v/>
      </c>
    </row>
    <row r="2215">
      <c r="A2215" s="21" t="n">
        <v>2260</v>
      </c>
      <c r="B2215" s="21" t="inlineStr">
        <is>
          <t>The Prince and Me</t>
        </is>
      </c>
      <c r="C2215" s="21" t="n">
        <v>2004</v>
      </c>
      <c r="D2215" s="21" t="inlineStr">
        <is>
          <t>USA</t>
        </is>
      </c>
      <c r="E2215" s="21" t="n">
        <v>111</v>
      </c>
      <c r="F2215" s="21" t="inlineStr">
        <is>
          <t>English</t>
        </is>
      </c>
      <c r="G2215" s="21" t="inlineStr">
        <is>
          <t>PG</t>
        </is>
      </c>
      <c r="H2215" s="22" t="n">
        <v>28165882</v>
      </c>
      <c r="I2215" s="22" t="n">
        <v>20000000</v>
      </c>
      <c r="J2215" s="21">
        <f>IF(OR(H2215="",H2215=25529689.5),"Yes","No")</f>
        <v/>
      </c>
      <c r="K2215" s="21">
        <f>IF(AND(D2215="USA",C2215&gt;=1980,J2215="No"),"Yes","No")</f>
        <v/>
      </c>
      <c r="L2215" s="26">
        <f>IF(J2215="Yes","",H2215-I2215)</f>
        <v/>
      </c>
      <c r="M2215" s="27">
        <f>IF(OR(J2215="Yes",I2215=0),"",H2215/I2215)</f>
        <v/>
      </c>
      <c r="N2215" s="21">
        <f>IF(J2215="Yes","",IF(H2215&gt;=I2215,1,0))</f>
        <v/>
      </c>
      <c r="O2215" s="21">
        <f>IF(I2215&lt;=5000000,"Under $5M",IF(I2215&lt;=20000000,"$5M-20M",IF(I2215&lt;=50000000,"$20M-50M",IF(I2215&lt;=100000000,"$50M-100M","$100M+"))))</f>
        <v/>
      </c>
      <c r="P2215" s="21">
        <f>IF(E2215&lt;=90,"90 or less",IF(E2215&lt;=105,"91-105",IF(E2215&lt;=120,"106-120",IF(E2215&lt;=140,"121-140","Over 140"))))</f>
        <v/>
      </c>
      <c r="Q2215" s="28">
        <f>INT(C2215/10)*10</f>
        <v/>
      </c>
    </row>
    <row r="2216">
      <c r="A2216" s="21" t="n">
        <v>2261</v>
      </c>
      <c r="B2216" s="21" t="inlineStr">
        <is>
          <t>The Princess Diaries 2: Royal Engagement</t>
        </is>
      </c>
      <c r="C2216" s="21" t="n">
        <v>2004</v>
      </c>
      <c r="D2216" s="21" t="inlineStr">
        <is>
          <t>USA</t>
        </is>
      </c>
      <c r="E2216" s="21" t="n">
        <v>113</v>
      </c>
      <c r="F2216" s="21" t="inlineStr">
        <is>
          <t>English</t>
        </is>
      </c>
      <c r="G2216" s="21" t="inlineStr">
        <is>
          <t>G</t>
        </is>
      </c>
      <c r="H2216" s="22" t="n">
        <v>95149435</v>
      </c>
      <c r="I2216" s="22" t="n">
        <v>40000000</v>
      </c>
      <c r="J2216" s="21">
        <f>IF(OR(H2216="",H2216=25529689.5),"Yes","No")</f>
        <v/>
      </c>
      <c r="K2216" s="21">
        <f>IF(AND(D2216="USA",C2216&gt;=1980,J2216="No"),"Yes","No")</f>
        <v/>
      </c>
      <c r="L2216" s="26">
        <f>IF(J2216="Yes","",H2216-I2216)</f>
        <v/>
      </c>
      <c r="M2216" s="27">
        <f>IF(OR(J2216="Yes",I2216=0),"",H2216/I2216)</f>
        <v/>
      </c>
      <c r="N2216" s="21">
        <f>IF(J2216="Yes","",IF(H2216&gt;=I2216,1,0))</f>
        <v/>
      </c>
      <c r="O2216" s="21">
        <f>IF(I2216&lt;=5000000,"Under $5M",IF(I2216&lt;=20000000,"$5M-20M",IF(I2216&lt;=50000000,"$20M-50M",IF(I2216&lt;=100000000,"$50M-100M","$100M+"))))</f>
        <v/>
      </c>
      <c r="P2216" s="21">
        <f>IF(E2216&lt;=90,"90 or less",IF(E2216&lt;=105,"91-105",IF(E2216&lt;=120,"106-120",IF(E2216&lt;=140,"121-140","Over 140"))))</f>
        <v/>
      </c>
      <c r="Q2216" s="28">
        <f>INT(C2216/10)*10</f>
        <v/>
      </c>
    </row>
    <row r="2217">
      <c r="A2217" s="21" t="n">
        <v>2262</v>
      </c>
      <c r="B2217" s="21" t="inlineStr">
        <is>
          <t>The Punisher</t>
        </is>
      </c>
      <c r="C2217" s="21" t="n">
        <v>2004</v>
      </c>
      <c r="D2217" s="21" t="inlineStr">
        <is>
          <t>USA</t>
        </is>
      </c>
      <c r="E2217" s="21" t="n">
        <v>140</v>
      </c>
      <c r="F2217" s="21" t="inlineStr">
        <is>
          <t>English</t>
        </is>
      </c>
      <c r="G2217" s="21" t="inlineStr">
        <is>
          <t>R</t>
        </is>
      </c>
      <c r="H2217" s="22" t="n">
        <v>33682273</v>
      </c>
      <c r="I2217" s="22" t="n">
        <v>33000000</v>
      </c>
      <c r="J2217" s="21">
        <f>IF(OR(H2217="",H2217=25529689.5),"Yes","No")</f>
        <v/>
      </c>
      <c r="K2217" s="21">
        <f>IF(AND(D2217="USA",C2217&gt;=1980,J2217="No"),"Yes","No")</f>
        <v/>
      </c>
      <c r="L2217" s="26">
        <f>IF(J2217="Yes","",H2217-I2217)</f>
        <v/>
      </c>
      <c r="M2217" s="27">
        <f>IF(OR(J2217="Yes",I2217=0),"",H2217/I2217)</f>
        <v/>
      </c>
      <c r="N2217" s="21">
        <f>IF(J2217="Yes","",IF(H2217&gt;=I2217,1,0))</f>
        <v/>
      </c>
      <c r="O2217" s="21">
        <f>IF(I2217&lt;=5000000,"Under $5M",IF(I2217&lt;=20000000,"$5M-20M",IF(I2217&lt;=50000000,"$20M-50M",IF(I2217&lt;=100000000,"$50M-100M","$100M+"))))</f>
        <v/>
      </c>
      <c r="P2217" s="21">
        <f>IF(E2217&lt;=90,"90 or less",IF(E2217&lt;=105,"91-105",IF(E2217&lt;=120,"106-120",IF(E2217&lt;=140,"121-140","Over 140"))))</f>
        <v/>
      </c>
      <c r="Q2217" s="28">
        <f>INT(C2217/10)*10</f>
        <v/>
      </c>
    </row>
    <row r="2218">
      <c r="A2218" s="21" t="n">
        <v>2263</v>
      </c>
      <c r="B2218" s="21" t="inlineStr">
        <is>
          <t>The Sea Inside</t>
        </is>
      </c>
      <c r="C2218" s="21" t="n">
        <v>2004</v>
      </c>
      <c r="D2218" s="21" t="inlineStr">
        <is>
          <t>Spain</t>
        </is>
      </c>
      <c r="E2218" s="21" t="n">
        <v>125</v>
      </c>
      <c r="F2218" s="21" t="inlineStr">
        <is>
          <t>Spanish</t>
        </is>
      </c>
      <c r="G2218" s="21" t="inlineStr">
        <is>
          <t>PG-13</t>
        </is>
      </c>
      <c r="H2218" s="22" t="n">
        <v>2086345</v>
      </c>
      <c r="I2218" s="22" t="n">
        <v>10000000</v>
      </c>
      <c r="J2218" s="21">
        <f>IF(OR(H2218="",H2218=25529689.5),"Yes","No")</f>
        <v/>
      </c>
      <c r="K2218" s="21">
        <f>IF(AND(D2218="USA",C2218&gt;=1980,J2218="No"),"Yes","No")</f>
        <v/>
      </c>
      <c r="L2218" s="26">
        <f>IF(J2218="Yes","",H2218-I2218)</f>
        <v/>
      </c>
      <c r="M2218" s="27">
        <f>IF(OR(J2218="Yes",I2218=0),"",H2218/I2218)</f>
        <v/>
      </c>
      <c r="N2218" s="21">
        <f>IF(J2218="Yes","",IF(H2218&gt;=I2218,1,0))</f>
        <v/>
      </c>
      <c r="O2218" s="21">
        <f>IF(I2218&lt;=5000000,"Under $5M",IF(I2218&lt;=20000000,"$5M-20M",IF(I2218&lt;=50000000,"$20M-50M",IF(I2218&lt;=100000000,"$50M-100M","$100M+"))))</f>
        <v/>
      </c>
      <c r="P2218" s="21">
        <f>IF(E2218&lt;=90,"90 or less",IF(E2218&lt;=105,"91-105",IF(E2218&lt;=120,"106-120",IF(E2218&lt;=140,"121-140","Over 140"))))</f>
        <v/>
      </c>
      <c r="Q2218" s="28">
        <f>INT(C2218/10)*10</f>
        <v/>
      </c>
    </row>
    <row r="2219">
      <c r="A2219" s="21" t="n">
        <v>2264</v>
      </c>
      <c r="B2219" s="21" t="inlineStr">
        <is>
          <t>The SpongeBob SquarePants Movie</t>
        </is>
      </c>
      <c r="C2219" s="21" t="n">
        <v>2004</v>
      </c>
      <c r="D2219" s="21" t="inlineStr">
        <is>
          <t>USA</t>
        </is>
      </c>
      <c r="E2219" s="21" t="n">
        <v>87</v>
      </c>
      <c r="F2219" s="21" t="inlineStr">
        <is>
          <t>English</t>
        </is>
      </c>
      <c r="G2219" s="21" t="inlineStr">
        <is>
          <t>PG</t>
        </is>
      </c>
      <c r="H2219" s="22" t="n">
        <v>85416609</v>
      </c>
      <c r="I2219" s="22" t="n">
        <v>30000000</v>
      </c>
      <c r="J2219" s="21">
        <f>IF(OR(H2219="",H2219=25529689.5),"Yes","No")</f>
        <v/>
      </c>
      <c r="K2219" s="21">
        <f>IF(AND(D2219="USA",C2219&gt;=1980,J2219="No"),"Yes","No")</f>
        <v/>
      </c>
      <c r="L2219" s="26">
        <f>IF(J2219="Yes","",H2219-I2219)</f>
        <v/>
      </c>
      <c r="M2219" s="27">
        <f>IF(OR(J2219="Yes",I2219=0),"",H2219/I2219)</f>
        <v/>
      </c>
      <c r="N2219" s="21">
        <f>IF(J2219="Yes","",IF(H2219&gt;=I2219,1,0))</f>
        <v/>
      </c>
      <c r="O2219" s="21">
        <f>IF(I2219&lt;=5000000,"Under $5M",IF(I2219&lt;=20000000,"$5M-20M",IF(I2219&lt;=50000000,"$20M-50M",IF(I2219&lt;=100000000,"$50M-100M","$100M+"))))</f>
        <v/>
      </c>
      <c r="P2219" s="21">
        <f>IF(E2219&lt;=90,"90 or less",IF(E2219&lt;=105,"91-105",IF(E2219&lt;=120,"106-120",IF(E2219&lt;=140,"121-140","Over 140"))))</f>
        <v/>
      </c>
      <c r="Q2219" s="28">
        <f>INT(C2219/10)*10</f>
        <v/>
      </c>
    </row>
    <row r="2220">
      <c r="A2220" s="21" t="n">
        <v>2265</v>
      </c>
      <c r="B2220" s="21" t="inlineStr">
        <is>
          <t>The Stepford Wives</t>
        </is>
      </c>
      <c r="C2220" s="21" t="n">
        <v>2004</v>
      </c>
      <c r="D2220" s="21" t="inlineStr">
        <is>
          <t>USA</t>
        </is>
      </c>
      <c r="E2220" s="21" t="n">
        <v>93</v>
      </c>
      <c r="F2220" s="21" t="inlineStr">
        <is>
          <t>English</t>
        </is>
      </c>
      <c r="G2220" s="21" t="inlineStr">
        <is>
          <t>PG-13</t>
        </is>
      </c>
      <c r="H2220" s="22" t="n">
        <v>59475623</v>
      </c>
      <c r="I2220" s="22" t="n">
        <v>90000000</v>
      </c>
      <c r="J2220" s="21">
        <f>IF(OR(H2220="",H2220=25529689.5),"Yes","No")</f>
        <v/>
      </c>
      <c r="K2220" s="21">
        <f>IF(AND(D2220="USA",C2220&gt;=1980,J2220="No"),"Yes","No")</f>
        <v/>
      </c>
      <c r="L2220" s="26">
        <f>IF(J2220="Yes","",H2220-I2220)</f>
        <v/>
      </c>
      <c r="M2220" s="27">
        <f>IF(OR(J2220="Yes",I2220=0),"",H2220/I2220)</f>
        <v/>
      </c>
      <c r="N2220" s="21">
        <f>IF(J2220="Yes","",IF(H2220&gt;=I2220,1,0))</f>
        <v/>
      </c>
      <c r="O2220" s="21">
        <f>IF(I2220&lt;=5000000,"Under $5M",IF(I2220&lt;=20000000,"$5M-20M",IF(I2220&lt;=50000000,"$20M-50M",IF(I2220&lt;=100000000,"$50M-100M","$100M+"))))</f>
        <v/>
      </c>
      <c r="P2220" s="21">
        <f>IF(E2220&lt;=90,"90 or less",IF(E2220&lt;=105,"91-105",IF(E2220&lt;=120,"106-120",IF(E2220&lt;=140,"121-140","Over 140"))))</f>
        <v/>
      </c>
      <c r="Q2220" s="28">
        <f>INT(C2220/10)*10</f>
        <v/>
      </c>
    </row>
    <row r="2221">
      <c r="A2221" s="21" t="n">
        <v>2266</v>
      </c>
      <c r="B2221" s="21" t="inlineStr">
        <is>
          <t>The Terminal</t>
        </is>
      </c>
      <c r="C2221" s="21" t="n">
        <v>2004</v>
      </c>
      <c r="D2221" s="21" t="inlineStr">
        <is>
          <t>USA</t>
        </is>
      </c>
      <c r="E2221" s="21" t="n">
        <v>128</v>
      </c>
      <c r="F2221" s="21" t="inlineStr">
        <is>
          <t>English</t>
        </is>
      </c>
      <c r="G2221" s="21" t="inlineStr">
        <is>
          <t>PG-13</t>
        </is>
      </c>
      <c r="H2221" s="22" t="n">
        <v>77032279</v>
      </c>
      <c r="I2221" s="22" t="n">
        <v>60000000</v>
      </c>
      <c r="J2221" s="21">
        <f>IF(OR(H2221="",H2221=25529689.5),"Yes","No")</f>
        <v/>
      </c>
      <c r="K2221" s="21">
        <f>IF(AND(D2221="USA",C2221&gt;=1980,J2221="No"),"Yes","No")</f>
        <v/>
      </c>
      <c r="L2221" s="26">
        <f>IF(J2221="Yes","",H2221-I2221)</f>
        <v/>
      </c>
      <c r="M2221" s="27">
        <f>IF(OR(J2221="Yes",I2221=0),"",H2221/I2221)</f>
        <v/>
      </c>
      <c r="N2221" s="21">
        <f>IF(J2221="Yes","",IF(H2221&gt;=I2221,1,0))</f>
        <v/>
      </c>
      <c r="O2221" s="21">
        <f>IF(I2221&lt;=5000000,"Under $5M",IF(I2221&lt;=20000000,"$5M-20M",IF(I2221&lt;=50000000,"$20M-50M",IF(I2221&lt;=100000000,"$50M-100M","$100M+"))))</f>
        <v/>
      </c>
      <c r="P2221" s="21">
        <f>IF(E2221&lt;=90,"90 or less",IF(E2221&lt;=105,"91-105",IF(E2221&lt;=120,"106-120",IF(E2221&lt;=140,"121-140","Over 140"))))</f>
        <v/>
      </c>
      <c r="Q2221" s="28">
        <f>INT(C2221/10)*10</f>
        <v/>
      </c>
    </row>
    <row r="2222">
      <c r="A2222" s="21" t="n">
        <v>2267</v>
      </c>
      <c r="B2222" s="21" t="inlineStr">
        <is>
          <t>The Village</t>
        </is>
      </c>
      <c r="C2222" s="21" t="n">
        <v>2004</v>
      </c>
      <c r="D2222" s="21" t="inlineStr">
        <is>
          <t>USA</t>
        </is>
      </c>
      <c r="E2222" s="21" t="n">
        <v>108</v>
      </c>
      <c r="F2222" s="21" t="inlineStr">
        <is>
          <t>English</t>
        </is>
      </c>
      <c r="G2222" s="21" t="inlineStr">
        <is>
          <t>PG-13</t>
        </is>
      </c>
      <c r="H2222" s="22" t="n">
        <v>114195633</v>
      </c>
      <c r="I2222" s="22" t="n">
        <v>60000000</v>
      </c>
      <c r="J2222" s="21">
        <f>IF(OR(H2222="",H2222=25529689.5),"Yes","No")</f>
        <v/>
      </c>
      <c r="K2222" s="21">
        <f>IF(AND(D2222="USA",C2222&gt;=1980,J2222="No"),"Yes","No")</f>
        <v/>
      </c>
      <c r="L2222" s="26">
        <f>IF(J2222="Yes","",H2222-I2222)</f>
        <v/>
      </c>
      <c r="M2222" s="27">
        <f>IF(OR(J2222="Yes",I2222=0),"",H2222/I2222)</f>
        <v/>
      </c>
      <c r="N2222" s="21">
        <f>IF(J2222="Yes","",IF(H2222&gt;=I2222,1,0))</f>
        <v/>
      </c>
      <c r="O2222" s="21">
        <f>IF(I2222&lt;=5000000,"Under $5M",IF(I2222&lt;=20000000,"$5M-20M",IF(I2222&lt;=50000000,"$20M-50M",IF(I2222&lt;=100000000,"$50M-100M","$100M+"))))</f>
        <v/>
      </c>
      <c r="P2222" s="21">
        <f>IF(E2222&lt;=90,"90 or less",IF(E2222&lt;=105,"91-105",IF(E2222&lt;=120,"106-120",IF(E2222&lt;=140,"121-140","Over 140"))))</f>
        <v/>
      </c>
      <c r="Q2222" s="28">
        <f>INT(C2222/10)*10</f>
        <v/>
      </c>
    </row>
    <row r="2223">
      <c r="A2223" s="21" t="n">
        <v>2268</v>
      </c>
      <c r="B2223" s="21" t="inlineStr">
        <is>
          <t>The Whole Ten Yards</t>
        </is>
      </c>
      <c r="C2223" s="21" t="n">
        <v>2004</v>
      </c>
      <c r="D2223" s="21" t="inlineStr">
        <is>
          <t>USA</t>
        </is>
      </c>
      <c r="E2223" s="21" t="n">
        <v>98</v>
      </c>
      <c r="F2223" s="21" t="inlineStr">
        <is>
          <t>English</t>
        </is>
      </c>
      <c r="G2223" s="21" t="inlineStr">
        <is>
          <t>PG-13</t>
        </is>
      </c>
      <c r="H2223" s="22" t="n">
        <v>16323969</v>
      </c>
      <c r="I2223" s="22" t="n">
        <v>40000000</v>
      </c>
      <c r="J2223" s="21">
        <f>IF(OR(H2223="",H2223=25529689.5),"Yes","No")</f>
        <v/>
      </c>
      <c r="K2223" s="21">
        <f>IF(AND(D2223="USA",C2223&gt;=1980,J2223="No"),"Yes","No")</f>
        <v/>
      </c>
      <c r="L2223" s="26">
        <f>IF(J2223="Yes","",H2223-I2223)</f>
        <v/>
      </c>
      <c r="M2223" s="27">
        <f>IF(OR(J2223="Yes",I2223=0),"",H2223/I2223)</f>
        <v/>
      </c>
      <c r="N2223" s="21">
        <f>IF(J2223="Yes","",IF(H2223&gt;=I2223,1,0))</f>
        <v/>
      </c>
      <c r="O2223" s="21">
        <f>IF(I2223&lt;=5000000,"Under $5M",IF(I2223&lt;=20000000,"$5M-20M",IF(I2223&lt;=50000000,"$20M-50M",IF(I2223&lt;=100000000,"$50M-100M","$100M+"))))</f>
        <v/>
      </c>
      <c r="P2223" s="21">
        <f>IF(E2223&lt;=90,"90 or less",IF(E2223&lt;=105,"91-105",IF(E2223&lt;=120,"106-120",IF(E2223&lt;=140,"121-140","Over 140"))))</f>
        <v/>
      </c>
      <c r="Q2223" s="28">
        <f>INT(C2223/10)*10</f>
        <v/>
      </c>
    </row>
    <row r="2224">
      <c r="A2224" s="21" t="n">
        <v>2269</v>
      </c>
      <c r="B2224" s="21" t="inlineStr">
        <is>
          <t>The Work and the Glory</t>
        </is>
      </c>
      <c r="C2224" s="21" t="n">
        <v>2004</v>
      </c>
      <c r="D2224" s="21" t="inlineStr">
        <is>
          <t>USA</t>
        </is>
      </c>
      <c r="E2224" s="21" t="n">
        <v>118</v>
      </c>
      <c r="F2224" s="21" t="inlineStr">
        <is>
          <t>English</t>
        </is>
      </c>
      <c r="G2224" s="21" t="inlineStr">
        <is>
          <t>PG</t>
        </is>
      </c>
      <c r="H2224" s="22" t="n">
        <v>3347439</v>
      </c>
      <c r="I2224" s="22" t="n">
        <v>7500000</v>
      </c>
      <c r="J2224" s="21">
        <f>IF(OR(H2224="",H2224=25529689.5),"Yes","No")</f>
        <v/>
      </c>
      <c r="K2224" s="21">
        <f>IF(AND(D2224="USA",C2224&gt;=1980,J2224="No"),"Yes","No")</f>
        <v/>
      </c>
      <c r="L2224" s="26">
        <f>IF(J2224="Yes","",H2224-I2224)</f>
        <v/>
      </c>
      <c r="M2224" s="27">
        <f>IF(OR(J2224="Yes",I2224=0),"",H2224/I2224)</f>
        <v/>
      </c>
      <c r="N2224" s="21">
        <f>IF(J2224="Yes","",IF(H2224&gt;=I2224,1,0))</f>
        <v/>
      </c>
      <c r="O2224" s="21">
        <f>IF(I2224&lt;=5000000,"Under $5M",IF(I2224&lt;=20000000,"$5M-20M",IF(I2224&lt;=50000000,"$20M-50M",IF(I2224&lt;=100000000,"$50M-100M","$100M+"))))</f>
        <v/>
      </c>
      <c r="P2224" s="21">
        <f>IF(E2224&lt;=90,"90 or less",IF(E2224&lt;=105,"91-105",IF(E2224&lt;=120,"106-120",IF(E2224&lt;=140,"121-140","Over 140"))))</f>
        <v/>
      </c>
      <c r="Q2224" s="28">
        <f>INT(C2224/10)*10</f>
        <v/>
      </c>
    </row>
    <row r="2225">
      <c r="A2225" s="21" t="n">
        <v>2270</v>
      </c>
      <c r="B2225" s="21" t="inlineStr">
        <is>
          <t>Thunderbirds</t>
        </is>
      </c>
      <c r="C2225" s="21" t="n">
        <v>2004</v>
      </c>
      <c r="D2225" s="21" t="inlineStr">
        <is>
          <t>UK</t>
        </is>
      </c>
      <c r="E2225" s="21" t="n">
        <v>95</v>
      </c>
      <c r="F2225" s="21" t="inlineStr">
        <is>
          <t>English</t>
        </is>
      </c>
      <c r="G2225" s="21" t="inlineStr">
        <is>
          <t>PG</t>
        </is>
      </c>
      <c r="H2225" s="22" t="n">
        <v>6768055</v>
      </c>
      <c r="I2225" s="22" t="n">
        <v>57000000</v>
      </c>
      <c r="J2225" s="21">
        <f>IF(OR(H2225="",H2225=25529689.5),"Yes","No")</f>
        <v/>
      </c>
      <c r="K2225" s="21">
        <f>IF(AND(D2225="USA",C2225&gt;=1980,J2225="No"),"Yes","No")</f>
        <v/>
      </c>
      <c r="L2225" s="26">
        <f>IF(J2225="Yes","",H2225-I2225)</f>
        <v/>
      </c>
      <c r="M2225" s="27">
        <f>IF(OR(J2225="Yes",I2225=0),"",H2225/I2225)</f>
        <v/>
      </c>
      <c r="N2225" s="21">
        <f>IF(J2225="Yes","",IF(H2225&gt;=I2225,1,0))</f>
        <v/>
      </c>
      <c r="O2225" s="21">
        <f>IF(I2225&lt;=5000000,"Under $5M",IF(I2225&lt;=20000000,"$5M-20M",IF(I2225&lt;=50000000,"$20M-50M",IF(I2225&lt;=100000000,"$50M-100M","$100M+"))))</f>
        <v/>
      </c>
      <c r="P2225" s="21">
        <f>IF(E2225&lt;=90,"90 or less",IF(E2225&lt;=105,"91-105",IF(E2225&lt;=120,"106-120",IF(E2225&lt;=140,"121-140","Over 140"))))</f>
        <v/>
      </c>
      <c r="Q2225" s="28">
        <f>INT(C2225/10)*10</f>
        <v/>
      </c>
    </row>
    <row r="2226">
      <c r="A2226" s="21" t="n">
        <v>2271</v>
      </c>
      <c r="B2226" s="21" t="inlineStr">
        <is>
          <t>Torque</t>
        </is>
      </c>
      <c r="C2226" s="21" t="n">
        <v>2004</v>
      </c>
      <c r="D2226" s="21" t="inlineStr">
        <is>
          <t>USA</t>
        </is>
      </c>
      <c r="E2226" s="21" t="n">
        <v>84</v>
      </c>
      <c r="F2226" s="21" t="inlineStr">
        <is>
          <t>English</t>
        </is>
      </c>
      <c r="G2226" s="21" t="inlineStr">
        <is>
          <t>PG-13</t>
        </is>
      </c>
      <c r="H2226" s="22" t="n">
        <v>21176322</v>
      </c>
      <c r="I2226" s="22" t="n">
        <v>40000000</v>
      </c>
      <c r="J2226" s="21">
        <f>IF(OR(H2226="",H2226=25529689.5),"Yes","No")</f>
        <v/>
      </c>
      <c r="K2226" s="21">
        <f>IF(AND(D2226="USA",C2226&gt;=1980,J2226="No"),"Yes","No")</f>
        <v/>
      </c>
      <c r="L2226" s="26">
        <f>IF(J2226="Yes","",H2226-I2226)</f>
        <v/>
      </c>
      <c r="M2226" s="27">
        <f>IF(OR(J2226="Yes",I2226=0),"",H2226/I2226)</f>
        <v/>
      </c>
      <c r="N2226" s="21">
        <f>IF(J2226="Yes","",IF(H2226&gt;=I2226,1,0))</f>
        <v/>
      </c>
      <c r="O2226" s="21">
        <f>IF(I2226&lt;=5000000,"Under $5M",IF(I2226&lt;=20000000,"$5M-20M",IF(I2226&lt;=50000000,"$20M-50M",IF(I2226&lt;=100000000,"$50M-100M","$100M+"))))</f>
        <v/>
      </c>
      <c r="P2226" s="21">
        <f>IF(E2226&lt;=90,"90 or less",IF(E2226&lt;=105,"91-105",IF(E2226&lt;=120,"106-120",IF(E2226&lt;=140,"121-140","Over 140"))))</f>
        <v/>
      </c>
      <c r="Q2226" s="28">
        <f>INT(C2226/10)*10</f>
        <v/>
      </c>
    </row>
    <row r="2227">
      <c r="A2227" s="21" t="n">
        <v>2272</v>
      </c>
      <c r="B2227" s="21" t="inlineStr">
        <is>
          <t>Troy</t>
        </is>
      </c>
      <c r="C2227" s="21" t="n">
        <v>2004</v>
      </c>
      <c r="D2227" s="21" t="inlineStr">
        <is>
          <t>USA</t>
        </is>
      </c>
      <c r="E2227" s="21" t="n">
        <v>196</v>
      </c>
      <c r="F2227" s="21" t="inlineStr">
        <is>
          <t>English</t>
        </is>
      </c>
      <c r="G2227" s="21" t="inlineStr">
        <is>
          <t>R</t>
        </is>
      </c>
      <c r="H2227" s="22" t="n">
        <v>133228348</v>
      </c>
      <c r="I2227" s="22" t="n">
        <v>175000000</v>
      </c>
      <c r="J2227" s="21">
        <f>IF(OR(H2227="",H2227=25529689.5),"Yes","No")</f>
        <v/>
      </c>
      <c r="K2227" s="21">
        <f>IF(AND(D2227="USA",C2227&gt;=1980,J2227="No"),"Yes","No")</f>
        <v/>
      </c>
      <c r="L2227" s="26">
        <f>IF(J2227="Yes","",H2227-I2227)</f>
        <v/>
      </c>
      <c r="M2227" s="27">
        <f>IF(OR(J2227="Yes",I2227=0),"",H2227/I2227)</f>
        <v/>
      </c>
      <c r="N2227" s="21">
        <f>IF(J2227="Yes","",IF(H2227&gt;=I2227,1,0))</f>
        <v/>
      </c>
      <c r="O2227" s="21">
        <f>IF(I2227&lt;=5000000,"Under $5M",IF(I2227&lt;=20000000,"$5M-20M",IF(I2227&lt;=50000000,"$20M-50M",IF(I2227&lt;=100000000,"$50M-100M","$100M+"))))</f>
        <v/>
      </c>
      <c r="P2227" s="21">
        <f>IF(E2227&lt;=90,"90 or less",IF(E2227&lt;=105,"91-105",IF(E2227&lt;=120,"106-120",IF(E2227&lt;=140,"121-140","Over 140"))))</f>
        <v/>
      </c>
      <c r="Q2227" s="28">
        <f>INT(C2227/10)*10</f>
        <v/>
      </c>
    </row>
    <row r="2228">
      <c r="A2228" s="21" t="n">
        <v>2273</v>
      </c>
      <c r="B2228" s="21" t="inlineStr">
        <is>
          <t>Two Brothers</t>
        </is>
      </c>
      <c r="C2228" s="21" t="n">
        <v>2004</v>
      </c>
      <c r="D2228" s="21" t="inlineStr">
        <is>
          <t>France</t>
        </is>
      </c>
      <c r="E2228" s="21" t="n">
        <v>109</v>
      </c>
      <c r="F2228" s="21" t="inlineStr">
        <is>
          <t>English</t>
        </is>
      </c>
      <c r="G2228" s="21" t="inlineStr">
        <is>
          <t>PG</t>
        </is>
      </c>
      <c r="H2228" s="22" t="n">
        <v>18947630</v>
      </c>
      <c r="I2228" s="22" t="n">
        <v>59660000</v>
      </c>
      <c r="J2228" s="21">
        <f>IF(OR(H2228="",H2228=25529689.5),"Yes","No")</f>
        <v/>
      </c>
      <c r="K2228" s="21">
        <f>IF(AND(D2228="USA",C2228&gt;=1980,J2228="No"),"Yes","No")</f>
        <v/>
      </c>
      <c r="L2228" s="26">
        <f>IF(J2228="Yes","",H2228-I2228)</f>
        <v/>
      </c>
      <c r="M2228" s="27">
        <f>IF(OR(J2228="Yes",I2228=0),"",H2228/I2228)</f>
        <v/>
      </c>
      <c r="N2228" s="21">
        <f>IF(J2228="Yes","",IF(H2228&gt;=I2228,1,0))</f>
        <v/>
      </c>
      <c r="O2228" s="21">
        <f>IF(I2228&lt;=5000000,"Under $5M",IF(I2228&lt;=20000000,"$5M-20M",IF(I2228&lt;=50000000,"$20M-50M",IF(I2228&lt;=100000000,"$50M-100M","$100M+"))))</f>
        <v/>
      </c>
      <c r="P2228" s="21">
        <f>IF(E2228&lt;=90,"90 or less",IF(E2228&lt;=105,"91-105",IF(E2228&lt;=120,"106-120",IF(E2228&lt;=140,"121-140","Over 140"))))</f>
        <v/>
      </c>
      <c r="Q2228" s="28">
        <f>INT(C2228/10)*10</f>
        <v/>
      </c>
    </row>
    <row r="2229">
      <c r="A2229" s="21" t="n">
        <v>2274</v>
      </c>
      <c r="B2229" s="21" t="inlineStr">
        <is>
          <t>Vanity Fair</t>
        </is>
      </c>
      <c r="C2229" s="21" t="n">
        <v>2004</v>
      </c>
      <c r="D2229" s="21" t="inlineStr">
        <is>
          <t>USA</t>
        </is>
      </c>
      <c r="E2229" s="21" t="n">
        <v>141</v>
      </c>
      <c r="F2229" s="21" t="inlineStr">
        <is>
          <t>English</t>
        </is>
      </c>
      <c r="G2229" s="21" t="inlineStr">
        <is>
          <t>PG-13</t>
        </is>
      </c>
      <c r="H2229" s="22" t="n">
        <v>16123851</v>
      </c>
      <c r="I2229" s="22" t="n">
        <v>23000000</v>
      </c>
      <c r="J2229" s="21">
        <f>IF(OR(H2229="",H2229=25529689.5),"Yes","No")</f>
        <v/>
      </c>
      <c r="K2229" s="21">
        <f>IF(AND(D2229="USA",C2229&gt;=1980,J2229="No"),"Yes","No")</f>
        <v/>
      </c>
      <c r="L2229" s="26">
        <f>IF(J2229="Yes","",H2229-I2229)</f>
        <v/>
      </c>
      <c r="M2229" s="27">
        <f>IF(OR(J2229="Yes",I2229=0),"",H2229/I2229)</f>
        <v/>
      </c>
      <c r="N2229" s="21">
        <f>IF(J2229="Yes","",IF(H2229&gt;=I2229,1,0))</f>
        <v/>
      </c>
      <c r="O2229" s="21">
        <f>IF(I2229&lt;=5000000,"Under $5M",IF(I2229&lt;=20000000,"$5M-20M",IF(I2229&lt;=50000000,"$20M-50M",IF(I2229&lt;=100000000,"$50M-100M","$100M+"))))</f>
        <v/>
      </c>
      <c r="P2229" s="21">
        <f>IF(E2229&lt;=90,"90 or less",IF(E2229&lt;=105,"91-105",IF(E2229&lt;=120,"106-120",IF(E2229&lt;=140,"121-140","Over 140"))))</f>
        <v/>
      </c>
      <c r="Q2229" s="28">
        <f>INT(C2229/10)*10</f>
        <v/>
      </c>
    </row>
    <row r="2230">
      <c r="A2230" s="21" t="n">
        <v>2275</v>
      </c>
      <c r="B2230" s="21" t="inlineStr">
        <is>
          <t>Veer-Zaara</t>
        </is>
      </c>
      <c r="C2230" s="21" t="n">
        <v>2004</v>
      </c>
      <c r="D2230" s="21" t="inlineStr">
        <is>
          <t>India</t>
        </is>
      </c>
      <c r="E2230" s="21" t="n">
        <v>192</v>
      </c>
      <c r="F2230" s="21" t="inlineStr">
        <is>
          <t>Hindi</t>
        </is>
      </c>
      <c r="G2230" s="21" t="n"/>
      <c r="H2230" s="22" t="n">
        <v>2921738</v>
      </c>
      <c r="I2230" s="22" t="n">
        <v>7000000</v>
      </c>
      <c r="J2230" s="21">
        <f>IF(OR(H2230="",H2230=25529689.5),"Yes","No")</f>
        <v/>
      </c>
      <c r="K2230" s="21">
        <f>IF(AND(D2230="USA",C2230&gt;=1980,J2230="No"),"Yes","No")</f>
        <v/>
      </c>
      <c r="L2230" s="26">
        <f>IF(J2230="Yes","",H2230-I2230)</f>
        <v/>
      </c>
      <c r="M2230" s="27">
        <f>IF(OR(J2230="Yes",I2230=0),"",H2230/I2230)</f>
        <v/>
      </c>
      <c r="N2230" s="21">
        <f>IF(J2230="Yes","",IF(H2230&gt;=I2230,1,0))</f>
        <v/>
      </c>
      <c r="O2230" s="21">
        <f>IF(I2230&lt;=5000000,"Under $5M",IF(I2230&lt;=20000000,"$5M-20M",IF(I2230&lt;=50000000,"$20M-50M",IF(I2230&lt;=100000000,"$50M-100M","$100M+"))))</f>
        <v/>
      </c>
      <c r="P2230" s="21">
        <f>IF(E2230&lt;=90,"90 or less",IF(E2230&lt;=105,"91-105",IF(E2230&lt;=120,"106-120",IF(E2230&lt;=140,"121-140","Over 140"))))</f>
        <v/>
      </c>
      <c r="Q2230" s="28">
        <f>INT(C2230/10)*10</f>
        <v/>
      </c>
    </row>
    <row r="2231">
      <c r="A2231" s="21" t="n">
        <v>2276</v>
      </c>
      <c r="B2231" s="21" t="inlineStr">
        <is>
          <t>Vera Drake</t>
        </is>
      </c>
      <c r="C2231" s="21" t="n">
        <v>2004</v>
      </c>
      <c r="D2231" s="21" t="inlineStr">
        <is>
          <t>UK</t>
        </is>
      </c>
      <c r="E2231" s="21" t="n">
        <v>125</v>
      </c>
      <c r="F2231" s="21" t="inlineStr">
        <is>
          <t>English</t>
        </is>
      </c>
      <c r="G2231" s="21" t="inlineStr">
        <is>
          <t>R</t>
        </is>
      </c>
      <c r="H2231" s="22" t="n">
        <v>3753806</v>
      </c>
      <c r="I2231" s="22" t="n">
        <v>11000000</v>
      </c>
      <c r="J2231" s="21">
        <f>IF(OR(H2231="",H2231=25529689.5),"Yes","No")</f>
        <v/>
      </c>
      <c r="K2231" s="21">
        <f>IF(AND(D2231="USA",C2231&gt;=1980,J2231="No"),"Yes","No")</f>
        <v/>
      </c>
      <c r="L2231" s="26">
        <f>IF(J2231="Yes","",H2231-I2231)</f>
        <v/>
      </c>
      <c r="M2231" s="27">
        <f>IF(OR(J2231="Yes",I2231=0),"",H2231/I2231)</f>
        <v/>
      </c>
      <c r="N2231" s="21">
        <f>IF(J2231="Yes","",IF(H2231&gt;=I2231,1,0))</f>
        <v/>
      </c>
      <c r="O2231" s="21">
        <f>IF(I2231&lt;=5000000,"Under $5M",IF(I2231&lt;=20000000,"$5M-20M",IF(I2231&lt;=50000000,"$20M-50M",IF(I2231&lt;=100000000,"$50M-100M","$100M+"))))</f>
        <v/>
      </c>
      <c r="P2231" s="21">
        <f>IF(E2231&lt;=90,"90 or less",IF(E2231&lt;=105,"91-105",IF(E2231&lt;=120,"106-120",IF(E2231&lt;=140,"121-140","Over 140"))))</f>
        <v/>
      </c>
      <c r="Q2231" s="28">
        <f>INT(C2231/10)*10</f>
        <v/>
      </c>
    </row>
    <row r="2232">
      <c r="A2232" s="21" t="n">
        <v>2277</v>
      </c>
      <c r="B2232" s="21" t="inlineStr">
        <is>
          <t>Walking Tall</t>
        </is>
      </c>
      <c r="C2232" s="21" t="n">
        <v>2004</v>
      </c>
      <c r="D2232" s="21" t="inlineStr">
        <is>
          <t>USA</t>
        </is>
      </c>
      <c r="E2232" s="21" t="n">
        <v>86</v>
      </c>
      <c r="F2232" s="21" t="inlineStr">
        <is>
          <t>English</t>
        </is>
      </c>
      <c r="G2232" s="21" t="inlineStr">
        <is>
          <t>PG-13</t>
        </is>
      </c>
      <c r="H2232" s="22" t="n">
        <v>45860039</v>
      </c>
      <c r="I2232" s="22" t="n">
        <v>56000000</v>
      </c>
      <c r="J2232" s="21">
        <f>IF(OR(H2232="",H2232=25529689.5),"Yes","No")</f>
        <v/>
      </c>
      <c r="K2232" s="21">
        <f>IF(AND(D2232="USA",C2232&gt;=1980,J2232="No"),"Yes","No")</f>
        <v/>
      </c>
      <c r="L2232" s="26">
        <f>IF(J2232="Yes","",H2232-I2232)</f>
        <v/>
      </c>
      <c r="M2232" s="27">
        <f>IF(OR(J2232="Yes",I2232=0),"",H2232/I2232)</f>
        <v/>
      </c>
      <c r="N2232" s="21">
        <f>IF(J2232="Yes","",IF(H2232&gt;=I2232,1,0))</f>
        <v/>
      </c>
      <c r="O2232" s="21">
        <f>IF(I2232&lt;=5000000,"Under $5M",IF(I2232&lt;=20000000,"$5M-20M",IF(I2232&lt;=50000000,"$20M-50M",IF(I2232&lt;=100000000,"$50M-100M","$100M+"))))</f>
        <v/>
      </c>
      <c r="P2232" s="21">
        <f>IF(E2232&lt;=90,"90 or less",IF(E2232&lt;=105,"91-105",IF(E2232&lt;=120,"106-120",IF(E2232&lt;=140,"121-140","Over 140"))))</f>
        <v/>
      </c>
      <c r="Q2232" s="28">
        <f>INT(C2232/10)*10</f>
        <v/>
      </c>
    </row>
    <row r="2233">
      <c r="A2233" s="21" t="n">
        <v>2278</v>
      </c>
      <c r="B2233" s="21" t="inlineStr">
        <is>
          <t>Welcome to Mooseport</t>
        </is>
      </c>
      <c r="C2233" s="21" t="n">
        <v>2004</v>
      </c>
      <c r="D2233" s="21" t="inlineStr">
        <is>
          <t>USA</t>
        </is>
      </c>
      <c r="E2233" s="21" t="n">
        <v>110</v>
      </c>
      <c r="F2233" s="21" t="inlineStr">
        <is>
          <t>English</t>
        </is>
      </c>
      <c r="G2233" s="21" t="inlineStr">
        <is>
          <t>PG-13</t>
        </is>
      </c>
      <c r="H2233" s="22" t="n">
        <v>14469428</v>
      </c>
      <c r="I2233" s="22" t="n">
        <v>26000000</v>
      </c>
      <c r="J2233" s="21">
        <f>IF(OR(H2233="",H2233=25529689.5),"Yes","No")</f>
        <v/>
      </c>
      <c r="K2233" s="21">
        <f>IF(AND(D2233="USA",C2233&gt;=1980,J2233="No"),"Yes","No")</f>
        <v/>
      </c>
      <c r="L2233" s="26">
        <f>IF(J2233="Yes","",H2233-I2233)</f>
        <v/>
      </c>
      <c r="M2233" s="27">
        <f>IF(OR(J2233="Yes",I2233=0),"",H2233/I2233)</f>
        <v/>
      </c>
      <c r="N2233" s="21">
        <f>IF(J2233="Yes","",IF(H2233&gt;=I2233,1,0))</f>
        <v/>
      </c>
      <c r="O2233" s="21">
        <f>IF(I2233&lt;=5000000,"Under $5M",IF(I2233&lt;=20000000,"$5M-20M",IF(I2233&lt;=50000000,"$20M-50M",IF(I2233&lt;=100000000,"$50M-100M","$100M+"))))</f>
        <v/>
      </c>
      <c r="P2233" s="21">
        <f>IF(E2233&lt;=90,"90 or less",IF(E2233&lt;=105,"91-105",IF(E2233&lt;=120,"106-120",IF(E2233&lt;=140,"121-140","Over 140"))))</f>
        <v/>
      </c>
      <c r="Q2233" s="28">
        <f>INT(C2233/10)*10</f>
        <v/>
      </c>
    </row>
    <row r="2234">
      <c r="A2234" s="21" t="n">
        <v>2279</v>
      </c>
      <c r="B2234" s="21" t="inlineStr">
        <is>
          <t>What the #$*! Do We (K)now!?</t>
        </is>
      </c>
      <c r="C2234" s="21" t="n">
        <v>2004</v>
      </c>
      <c r="D2234" s="21" t="inlineStr">
        <is>
          <t>USA</t>
        </is>
      </c>
      <c r="E2234" s="21" t="n">
        <v>109</v>
      </c>
      <c r="F2234" s="21" t="inlineStr">
        <is>
          <t>English</t>
        </is>
      </c>
      <c r="G2234" s="21" t="inlineStr">
        <is>
          <t>Unrated</t>
        </is>
      </c>
      <c r="H2234" s="22" t="n">
        <v>10941801</v>
      </c>
      <c r="I2234" s="22" t="n">
        <v>20000000</v>
      </c>
      <c r="J2234" s="21">
        <f>IF(OR(H2234="",H2234=25529689.5),"Yes","No")</f>
        <v/>
      </c>
      <c r="K2234" s="21">
        <f>IF(AND(D2234="USA",C2234&gt;=1980,J2234="No"),"Yes","No")</f>
        <v/>
      </c>
      <c r="L2234" s="26">
        <f>IF(J2234="Yes","",H2234-I2234)</f>
        <v/>
      </c>
      <c r="M2234" s="27">
        <f>IF(OR(J2234="Yes",I2234=0),"",H2234/I2234)</f>
        <v/>
      </c>
      <c r="N2234" s="21">
        <f>IF(J2234="Yes","",IF(H2234&gt;=I2234,1,0))</f>
        <v/>
      </c>
      <c r="O2234" s="21">
        <f>IF(I2234&lt;=5000000,"Under $5M",IF(I2234&lt;=20000000,"$5M-20M",IF(I2234&lt;=50000000,"$20M-50M",IF(I2234&lt;=100000000,"$50M-100M","$100M+"))))</f>
        <v/>
      </c>
      <c r="P2234" s="21">
        <f>IF(E2234&lt;=90,"90 or less",IF(E2234&lt;=105,"91-105",IF(E2234&lt;=120,"106-120",IF(E2234&lt;=140,"121-140","Over 140"))))</f>
        <v/>
      </c>
      <c r="Q2234" s="28">
        <f>INT(C2234/10)*10</f>
        <v/>
      </c>
    </row>
    <row r="2235">
      <c r="A2235" s="21" t="n">
        <v>2280</v>
      </c>
      <c r="B2235" s="21" t="inlineStr">
        <is>
          <t>White Chicks</t>
        </is>
      </c>
      <c r="C2235" s="21" t="n">
        <v>2004</v>
      </c>
      <c r="D2235" s="21" t="inlineStr">
        <is>
          <t>USA</t>
        </is>
      </c>
      <c r="E2235" s="21" t="n">
        <v>109</v>
      </c>
      <c r="F2235" s="21" t="inlineStr">
        <is>
          <t>English</t>
        </is>
      </c>
      <c r="G2235" s="21" t="inlineStr">
        <is>
          <t>PG-13</t>
        </is>
      </c>
      <c r="H2235" s="22" t="n">
        <v>69148997</v>
      </c>
      <c r="I2235" s="22" t="n">
        <v>37000000</v>
      </c>
      <c r="J2235" s="21">
        <f>IF(OR(H2235="",H2235=25529689.5),"Yes","No")</f>
        <v/>
      </c>
      <c r="K2235" s="21">
        <f>IF(AND(D2235="USA",C2235&gt;=1980,J2235="No"),"Yes","No")</f>
        <v/>
      </c>
      <c r="L2235" s="26">
        <f>IF(J2235="Yes","",H2235-I2235)</f>
        <v/>
      </c>
      <c r="M2235" s="27">
        <f>IF(OR(J2235="Yes",I2235=0),"",H2235/I2235)</f>
        <v/>
      </c>
      <c r="N2235" s="21">
        <f>IF(J2235="Yes","",IF(H2235&gt;=I2235,1,0))</f>
        <v/>
      </c>
      <c r="O2235" s="21">
        <f>IF(I2235&lt;=5000000,"Under $5M",IF(I2235&lt;=20000000,"$5M-20M",IF(I2235&lt;=50000000,"$20M-50M",IF(I2235&lt;=100000000,"$50M-100M","$100M+"))))</f>
        <v/>
      </c>
      <c r="P2235" s="21">
        <f>IF(E2235&lt;=90,"90 or less",IF(E2235&lt;=105,"91-105",IF(E2235&lt;=120,"106-120",IF(E2235&lt;=140,"121-140","Over 140"))))</f>
        <v/>
      </c>
      <c r="Q2235" s="28">
        <f>INT(C2235/10)*10</f>
        <v/>
      </c>
    </row>
    <row r="2236">
      <c r="A2236" s="21" t="n">
        <v>2281</v>
      </c>
      <c r="B2236" s="21" t="inlineStr">
        <is>
          <t>Wicker Park</t>
        </is>
      </c>
      <c r="C2236" s="21" t="n">
        <v>2004</v>
      </c>
      <c r="D2236" s="21" t="inlineStr">
        <is>
          <t>USA</t>
        </is>
      </c>
      <c r="E2236" s="21" t="n">
        <v>114</v>
      </c>
      <c r="F2236" s="21" t="inlineStr">
        <is>
          <t>English</t>
        </is>
      </c>
      <c r="G2236" s="21" t="inlineStr">
        <is>
          <t>PG-13</t>
        </is>
      </c>
      <c r="H2236" s="22" t="n">
        <v>12831121</v>
      </c>
      <c r="I2236" s="22" t="n">
        <v>30000000</v>
      </c>
      <c r="J2236" s="21">
        <f>IF(OR(H2236="",H2236=25529689.5),"Yes","No")</f>
        <v/>
      </c>
      <c r="K2236" s="21">
        <f>IF(AND(D2236="USA",C2236&gt;=1980,J2236="No"),"Yes","No")</f>
        <v/>
      </c>
      <c r="L2236" s="26">
        <f>IF(J2236="Yes","",H2236-I2236)</f>
        <v/>
      </c>
      <c r="M2236" s="27">
        <f>IF(OR(J2236="Yes",I2236=0),"",H2236/I2236)</f>
        <v/>
      </c>
      <c r="N2236" s="21">
        <f>IF(J2236="Yes","",IF(H2236&gt;=I2236,1,0))</f>
        <v/>
      </c>
      <c r="O2236" s="21">
        <f>IF(I2236&lt;=5000000,"Under $5M",IF(I2236&lt;=20000000,"$5M-20M",IF(I2236&lt;=50000000,"$20M-50M",IF(I2236&lt;=100000000,"$50M-100M","$100M+"))))</f>
        <v/>
      </c>
      <c r="P2236" s="21">
        <f>IF(E2236&lt;=90,"90 or less",IF(E2236&lt;=105,"91-105",IF(E2236&lt;=120,"106-120",IF(E2236&lt;=140,"121-140","Over 140"))))</f>
        <v/>
      </c>
      <c r="Q2236" s="28">
        <f>INT(C2236/10)*10</f>
        <v/>
      </c>
    </row>
    <row r="2237">
      <c r="A2237" s="21" t="n">
        <v>2283</v>
      </c>
      <c r="B2237" s="21" t="inlineStr">
        <is>
          <t>Wimbledon</t>
        </is>
      </c>
      <c r="C2237" s="21" t="n">
        <v>2004</v>
      </c>
      <c r="D2237" s="21" t="inlineStr">
        <is>
          <t>UK</t>
        </is>
      </c>
      <c r="E2237" s="21" t="n">
        <v>98</v>
      </c>
      <c r="F2237" s="21" t="inlineStr">
        <is>
          <t>English</t>
        </is>
      </c>
      <c r="G2237" s="21" t="inlineStr">
        <is>
          <t>PG-13</t>
        </is>
      </c>
      <c r="H2237" s="22" t="n">
        <v>16831505</v>
      </c>
      <c r="I2237" s="22" t="n">
        <v>31000000</v>
      </c>
      <c r="J2237" s="21">
        <f>IF(OR(H2237="",H2237=25529689.5),"Yes","No")</f>
        <v/>
      </c>
      <c r="K2237" s="21">
        <f>IF(AND(D2237="USA",C2237&gt;=1980,J2237="No"),"Yes","No")</f>
        <v/>
      </c>
      <c r="L2237" s="26">
        <f>IF(J2237="Yes","",H2237-I2237)</f>
        <v/>
      </c>
      <c r="M2237" s="27">
        <f>IF(OR(J2237="Yes",I2237=0),"",H2237/I2237)</f>
        <v/>
      </c>
      <c r="N2237" s="21">
        <f>IF(J2237="Yes","",IF(H2237&gt;=I2237,1,0))</f>
        <v/>
      </c>
      <c r="O2237" s="21">
        <f>IF(I2237&lt;=5000000,"Under $5M",IF(I2237&lt;=20000000,"$5M-20M",IF(I2237&lt;=50000000,"$20M-50M",IF(I2237&lt;=100000000,"$50M-100M","$100M+"))))</f>
        <v/>
      </c>
      <c r="P2237" s="21">
        <f>IF(E2237&lt;=90,"90 or less",IF(E2237&lt;=105,"91-105",IF(E2237&lt;=120,"106-120",IF(E2237&lt;=140,"121-140","Over 140"))))</f>
        <v/>
      </c>
      <c r="Q2237" s="28">
        <f>INT(C2237/10)*10</f>
        <v/>
      </c>
    </row>
    <row r="2238">
      <c r="A2238" s="21" t="n">
        <v>2284</v>
      </c>
      <c r="B2238" s="21" t="inlineStr">
        <is>
          <t>Win a Date with Tad Hamilton!</t>
        </is>
      </c>
      <c r="C2238" s="21" t="n">
        <v>2004</v>
      </c>
      <c r="D2238" s="21" t="inlineStr">
        <is>
          <t>USA</t>
        </is>
      </c>
      <c r="E2238" s="21" t="n">
        <v>95</v>
      </c>
      <c r="F2238" s="21" t="inlineStr">
        <is>
          <t>English</t>
        </is>
      </c>
      <c r="G2238" s="21" t="inlineStr">
        <is>
          <t>PG-13</t>
        </is>
      </c>
      <c r="H2238" s="22" t="n">
        <v>16964743</v>
      </c>
      <c r="I2238" s="22" t="n">
        <v>24000000</v>
      </c>
      <c r="J2238" s="21">
        <f>IF(OR(H2238="",H2238=25529689.5),"Yes","No")</f>
        <v/>
      </c>
      <c r="K2238" s="21">
        <f>IF(AND(D2238="USA",C2238&gt;=1980,J2238="No"),"Yes","No")</f>
        <v/>
      </c>
      <c r="L2238" s="26">
        <f>IF(J2238="Yes","",H2238-I2238)</f>
        <v/>
      </c>
      <c r="M2238" s="27">
        <f>IF(OR(J2238="Yes",I2238=0),"",H2238/I2238)</f>
        <v/>
      </c>
      <c r="N2238" s="21">
        <f>IF(J2238="Yes","",IF(H2238&gt;=I2238,1,0))</f>
        <v/>
      </c>
      <c r="O2238" s="21">
        <f>IF(I2238&lt;=5000000,"Under $5M",IF(I2238&lt;=20000000,"$5M-20M",IF(I2238&lt;=50000000,"$20M-50M",IF(I2238&lt;=100000000,"$50M-100M","$100M+"))))</f>
        <v/>
      </c>
      <c r="P2238" s="21">
        <f>IF(E2238&lt;=90,"90 or less",IF(E2238&lt;=105,"91-105",IF(E2238&lt;=120,"106-120",IF(E2238&lt;=140,"121-140","Over 140"))))</f>
        <v/>
      </c>
      <c r="Q2238" s="28">
        <f>INT(C2238/10)*10</f>
        <v/>
      </c>
    </row>
    <row r="2239">
      <c r="A2239" s="21" t="n">
        <v>2285</v>
      </c>
      <c r="B2239" s="21" t="inlineStr">
        <is>
          <t>Without a Paddle</t>
        </is>
      </c>
      <c r="C2239" s="21" t="n">
        <v>2004</v>
      </c>
      <c r="D2239" s="21" t="inlineStr">
        <is>
          <t>USA</t>
        </is>
      </c>
      <c r="E2239" s="21" t="n">
        <v>95</v>
      </c>
      <c r="F2239" s="21" t="inlineStr">
        <is>
          <t>English</t>
        </is>
      </c>
      <c r="G2239" s="21" t="inlineStr">
        <is>
          <t>PG-13</t>
        </is>
      </c>
      <c r="H2239" s="22" t="n">
        <v>58156435</v>
      </c>
      <c r="I2239" s="22" t="n">
        <v>19000000</v>
      </c>
      <c r="J2239" s="21">
        <f>IF(OR(H2239="",H2239=25529689.5),"Yes","No")</f>
        <v/>
      </c>
      <c r="K2239" s="21">
        <f>IF(AND(D2239="USA",C2239&gt;=1980,J2239="No"),"Yes","No")</f>
        <v/>
      </c>
      <c r="L2239" s="26">
        <f>IF(J2239="Yes","",H2239-I2239)</f>
        <v/>
      </c>
      <c r="M2239" s="27">
        <f>IF(OR(J2239="Yes",I2239=0),"",H2239/I2239)</f>
        <v/>
      </c>
      <c r="N2239" s="21">
        <f>IF(J2239="Yes","",IF(H2239&gt;=I2239,1,0))</f>
        <v/>
      </c>
      <c r="O2239" s="21">
        <f>IF(I2239&lt;=5000000,"Under $5M",IF(I2239&lt;=20000000,"$5M-20M",IF(I2239&lt;=50000000,"$20M-50M",IF(I2239&lt;=100000000,"$50M-100M","$100M+"))))</f>
        <v/>
      </c>
      <c r="P2239" s="21">
        <f>IF(E2239&lt;=90,"90 or less",IF(E2239&lt;=105,"91-105",IF(E2239&lt;=120,"106-120",IF(E2239&lt;=140,"121-140","Over 140"))))</f>
        <v/>
      </c>
      <c r="Q2239" s="28">
        <f>INT(C2239/10)*10</f>
        <v/>
      </c>
    </row>
    <row r="2240">
      <c r="A2240" s="21" t="n">
        <v>2286</v>
      </c>
      <c r="B2240" s="21" t="inlineStr">
        <is>
          <t>Woman Thou Art Loosed</t>
        </is>
      </c>
      <c r="C2240" s="21" t="n">
        <v>2004</v>
      </c>
      <c r="D2240" s="21" t="inlineStr">
        <is>
          <t>USA</t>
        </is>
      </c>
      <c r="E2240" s="21" t="n">
        <v>94</v>
      </c>
      <c r="F2240" s="21" t="inlineStr">
        <is>
          <t>English</t>
        </is>
      </c>
      <c r="G2240" s="21" t="inlineStr">
        <is>
          <t>R</t>
        </is>
      </c>
      <c r="H2240" s="22" t="n">
        <v>6879730</v>
      </c>
      <c r="I2240" s="22" t="n">
        <v>20000000</v>
      </c>
      <c r="J2240" s="21">
        <f>IF(OR(H2240="",H2240=25529689.5),"Yes","No")</f>
        <v/>
      </c>
      <c r="K2240" s="21">
        <f>IF(AND(D2240="USA",C2240&gt;=1980,J2240="No"),"Yes","No")</f>
        <v/>
      </c>
      <c r="L2240" s="26">
        <f>IF(J2240="Yes","",H2240-I2240)</f>
        <v/>
      </c>
      <c r="M2240" s="27">
        <f>IF(OR(J2240="Yes",I2240=0),"",H2240/I2240)</f>
        <v/>
      </c>
      <c r="N2240" s="21">
        <f>IF(J2240="Yes","",IF(H2240&gt;=I2240,1,0))</f>
        <v/>
      </c>
      <c r="O2240" s="21">
        <f>IF(I2240&lt;=5000000,"Under $5M",IF(I2240&lt;=20000000,"$5M-20M",IF(I2240&lt;=50000000,"$20M-50M",IF(I2240&lt;=100000000,"$50M-100M","$100M+"))))</f>
        <v/>
      </c>
      <c r="P2240" s="21">
        <f>IF(E2240&lt;=90,"90 or less",IF(E2240&lt;=105,"91-105",IF(E2240&lt;=120,"106-120",IF(E2240&lt;=140,"121-140","Over 140"))))</f>
        <v/>
      </c>
      <c r="Q2240" s="28">
        <f>INT(C2240/10)*10</f>
        <v/>
      </c>
    </row>
    <row r="2241">
      <c r="A2241" s="21" t="n">
        <v>2287</v>
      </c>
      <c r="B2241" s="21" t="inlineStr">
        <is>
          <t>Yes</t>
        </is>
      </c>
      <c r="C2241" s="21" t="n">
        <v>2004</v>
      </c>
      <c r="D2241" s="21" t="inlineStr">
        <is>
          <t>UK</t>
        </is>
      </c>
      <c r="E2241" s="21" t="n">
        <v>100</v>
      </c>
      <c r="F2241" s="21" t="inlineStr">
        <is>
          <t>English</t>
        </is>
      </c>
      <c r="G2241" s="21" t="inlineStr">
        <is>
          <t>R</t>
        </is>
      </c>
      <c r="H2241" s="22" t="n">
        <v>396035</v>
      </c>
      <c r="I2241" s="22" t="n">
        <v>1000000</v>
      </c>
      <c r="J2241" s="21">
        <f>IF(OR(H2241="",H2241=25529689.5),"Yes","No")</f>
        <v/>
      </c>
      <c r="K2241" s="21">
        <f>IF(AND(D2241="USA",C2241&gt;=1980,J2241="No"),"Yes","No")</f>
        <v/>
      </c>
      <c r="L2241" s="26">
        <f>IF(J2241="Yes","",H2241-I2241)</f>
        <v/>
      </c>
      <c r="M2241" s="27">
        <f>IF(OR(J2241="Yes",I2241=0),"",H2241/I2241)</f>
        <v/>
      </c>
      <c r="N2241" s="21">
        <f>IF(J2241="Yes","",IF(H2241&gt;=I2241,1,0))</f>
        <v/>
      </c>
      <c r="O2241" s="21">
        <f>IF(I2241&lt;=5000000,"Under $5M",IF(I2241&lt;=20000000,"$5M-20M",IF(I2241&lt;=50000000,"$20M-50M",IF(I2241&lt;=100000000,"$50M-100M","$100M+"))))</f>
        <v/>
      </c>
      <c r="P2241" s="21">
        <f>IF(E2241&lt;=90,"90 or less",IF(E2241&lt;=105,"91-105",IF(E2241&lt;=120,"106-120",IF(E2241&lt;=140,"121-140","Over 140"))))</f>
        <v/>
      </c>
      <c r="Q2241" s="28">
        <f>INT(C2241/10)*10</f>
        <v/>
      </c>
    </row>
    <row r="2242">
      <c r="A2242" s="21" t="n">
        <v>2288</v>
      </c>
      <c r="B2242" s="21" t="inlineStr">
        <is>
          <t>You Got Served</t>
        </is>
      </c>
      <c r="C2242" s="21" t="n">
        <v>2004</v>
      </c>
      <c r="D2242" s="21" t="inlineStr">
        <is>
          <t>USA</t>
        </is>
      </c>
      <c r="E2242" s="21" t="n">
        <v>95</v>
      </c>
      <c r="F2242" s="21" t="inlineStr">
        <is>
          <t>English</t>
        </is>
      </c>
      <c r="G2242" s="21" t="inlineStr">
        <is>
          <t>PG-13</t>
        </is>
      </c>
      <c r="H2242" s="22" t="n">
        <v>40066497</v>
      </c>
      <c r="I2242" s="22" t="n">
        <v>8000000</v>
      </c>
      <c r="J2242" s="21">
        <f>IF(OR(H2242="",H2242=25529689.5),"Yes","No")</f>
        <v/>
      </c>
      <c r="K2242" s="21">
        <f>IF(AND(D2242="USA",C2242&gt;=1980,J2242="No"),"Yes","No")</f>
        <v/>
      </c>
      <c r="L2242" s="26">
        <f>IF(J2242="Yes","",H2242-I2242)</f>
        <v/>
      </c>
      <c r="M2242" s="27">
        <f>IF(OR(J2242="Yes",I2242=0),"",H2242/I2242)</f>
        <v/>
      </c>
      <c r="N2242" s="21">
        <f>IF(J2242="Yes","",IF(H2242&gt;=I2242,1,0))</f>
        <v/>
      </c>
      <c r="O2242" s="21">
        <f>IF(I2242&lt;=5000000,"Under $5M",IF(I2242&lt;=20000000,"$5M-20M",IF(I2242&lt;=50000000,"$20M-50M",IF(I2242&lt;=100000000,"$50M-100M","$100M+"))))</f>
        <v/>
      </c>
      <c r="P2242" s="21">
        <f>IF(E2242&lt;=90,"90 or less",IF(E2242&lt;=105,"91-105",IF(E2242&lt;=120,"106-120",IF(E2242&lt;=140,"121-140","Over 140"))))</f>
        <v/>
      </c>
      <c r="Q2242" s="28">
        <f>INT(C2242/10)*10</f>
        <v/>
      </c>
    </row>
    <row r="2243">
      <c r="A2243" s="21" t="n">
        <v>2289</v>
      </c>
      <c r="B2243" s="21" t="inlineStr">
        <is>
          <t>51 Birch Street</t>
        </is>
      </c>
      <c r="C2243" s="21" t="n">
        <v>2005</v>
      </c>
      <c r="D2243" s="21" t="inlineStr">
        <is>
          <t>Germany</t>
        </is>
      </c>
      <c r="E2243" s="21" t="n">
        <v>90</v>
      </c>
      <c r="F2243" s="21" t="inlineStr">
        <is>
          <t>English</t>
        </is>
      </c>
      <c r="G2243" s="21" t="inlineStr">
        <is>
          <t>Unrated</t>
        </is>
      </c>
      <c r="H2243" s="22" t="n">
        <v>84689</v>
      </c>
      <c r="I2243" s="22" t="n">
        <v>20000000</v>
      </c>
      <c r="J2243" s="21">
        <f>IF(OR(H2243="",H2243=25529689.5),"Yes","No")</f>
        <v/>
      </c>
      <c r="K2243" s="21">
        <f>IF(AND(D2243="USA",C2243&gt;=1980,J2243="No"),"Yes","No")</f>
        <v/>
      </c>
      <c r="L2243" s="26">
        <f>IF(J2243="Yes","",H2243-I2243)</f>
        <v/>
      </c>
      <c r="M2243" s="27">
        <f>IF(OR(J2243="Yes",I2243=0),"",H2243/I2243)</f>
        <v/>
      </c>
      <c r="N2243" s="21">
        <f>IF(J2243="Yes","",IF(H2243&gt;=I2243,1,0))</f>
        <v/>
      </c>
      <c r="O2243" s="21">
        <f>IF(I2243&lt;=5000000,"Under $5M",IF(I2243&lt;=20000000,"$5M-20M",IF(I2243&lt;=50000000,"$20M-50M",IF(I2243&lt;=100000000,"$50M-100M","$100M+"))))</f>
        <v/>
      </c>
      <c r="P2243" s="21">
        <f>IF(E2243&lt;=90,"90 or less",IF(E2243&lt;=105,"91-105",IF(E2243&lt;=120,"106-120",IF(E2243&lt;=140,"121-140","Over 140"))))</f>
        <v/>
      </c>
      <c r="Q2243" s="28">
        <f>INT(C2243/10)*10</f>
        <v/>
      </c>
    </row>
    <row r="2244">
      <c r="A2244" s="21" t="n">
        <v>2290</v>
      </c>
      <c r="B2244" s="21" t="inlineStr">
        <is>
          <t>A History of Violence</t>
        </is>
      </c>
      <c r="C2244" s="21" t="n">
        <v>2005</v>
      </c>
      <c r="D2244" s="21" t="inlineStr">
        <is>
          <t>USA</t>
        </is>
      </c>
      <c r="E2244" s="21" t="n">
        <v>96</v>
      </c>
      <c r="F2244" s="21" t="inlineStr">
        <is>
          <t>English</t>
        </is>
      </c>
      <c r="G2244" s="21" t="inlineStr">
        <is>
          <t>R</t>
        </is>
      </c>
      <c r="H2244" s="22" t="n">
        <v>31493782</v>
      </c>
      <c r="I2244" s="22" t="n">
        <v>32000000</v>
      </c>
      <c r="J2244" s="21">
        <f>IF(OR(H2244="",H2244=25529689.5),"Yes","No")</f>
        <v/>
      </c>
      <c r="K2244" s="21">
        <f>IF(AND(D2244="USA",C2244&gt;=1980,J2244="No"),"Yes","No")</f>
        <v/>
      </c>
      <c r="L2244" s="26">
        <f>IF(J2244="Yes","",H2244-I2244)</f>
        <v/>
      </c>
      <c r="M2244" s="27">
        <f>IF(OR(J2244="Yes",I2244=0),"",H2244/I2244)</f>
        <v/>
      </c>
      <c r="N2244" s="21">
        <f>IF(J2244="Yes","",IF(H2244&gt;=I2244,1,0))</f>
        <v/>
      </c>
      <c r="O2244" s="21">
        <f>IF(I2244&lt;=5000000,"Under $5M",IF(I2244&lt;=20000000,"$5M-20M",IF(I2244&lt;=50000000,"$20M-50M",IF(I2244&lt;=100000000,"$50M-100M","$100M+"))))</f>
        <v/>
      </c>
      <c r="P2244" s="21">
        <f>IF(E2244&lt;=90,"90 or less",IF(E2244&lt;=105,"91-105",IF(E2244&lt;=120,"106-120",IF(E2244&lt;=140,"121-140","Over 140"))))</f>
        <v/>
      </c>
      <c r="Q2244" s="28">
        <f>INT(C2244/10)*10</f>
        <v/>
      </c>
    </row>
    <row r="2245">
      <c r="A2245" s="21" t="n">
        <v>2291</v>
      </c>
      <c r="B2245" s="21" t="inlineStr">
        <is>
          <t>A Lot Like Love</t>
        </is>
      </c>
      <c r="C2245" s="21" t="n">
        <v>2005</v>
      </c>
      <c r="D2245" s="21" t="inlineStr">
        <is>
          <t>USA</t>
        </is>
      </c>
      <c r="E2245" s="21" t="n">
        <v>107</v>
      </c>
      <c r="F2245" s="21" t="inlineStr">
        <is>
          <t>English</t>
        </is>
      </c>
      <c r="G2245" s="21" t="inlineStr">
        <is>
          <t>PG-13</t>
        </is>
      </c>
      <c r="H2245" s="22" t="n">
        <v>21835784</v>
      </c>
      <c r="I2245" s="22" t="n">
        <v>30000000</v>
      </c>
      <c r="J2245" s="21">
        <f>IF(OR(H2245="",H2245=25529689.5),"Yes","No")</f>
        <v/>
      </c>
      <c r="K2245" s="21">
        <f>IF(AND(D2245="USA",C2245&gt;=1980,J2245="No"),"Yes","No")</f>
        <v/>
      </c>
      <c r="L2245" s="26">
        <f>IF(J2245="Yes","",H2245-I2245)</f>
        <v/>
      </c>
      <c r="M2245" s="27">
        <f>IF(OR(J2245="Yes",I2245=0),"",H2245/I2245)</f>
        <v/>
      </c>
      <c r="N2245" s="21">
        <f>IF(J2245="Yes","",IF(H2245&gt;=I2245,1,0))</f>
        <v/>
      </c>
      <c r="O2245" s="21">
        <f>IF(I2245&lt;=5000000,"Under $5M",IF(I2245&lt;=20000000,"$5M-20M",IF(I2245&lt;=50000000,"$20M-50M",IF(I2245&lt;=100000000,"$50M-100M","$100M+"))))</f>
        <v/>
      </c>
      <c r="P2245" s="21">
        <f>IF(E2245&lt;=90,"90 or less",IF(E2245&lt;=105,"91-105",IF(E2245&lt;=120,"106-120",IF(E2245&lt;=140,"121-140","Over 140"))))</f>
        <v/>
      </c>
      <c r="Q2245" s="28">
        <f>INT(C2245/10)*10</f>
        <v/>
      </c>
    </row>
    <row r="2246">
      <c r="A2246" s="21" t="n">
        <v>2292</v>
      </c>
      <c r="B2246" s="21" t="inlineStr">
        <is>
          <t>A Sound of Thunder</t>
        </is>
      </c>
      <c r="C2246" s="21" t="n">
        <v>2005</v>
      </c>
      <c r="D2246" s="21" t="inlineStr">
        <is>
          <t>UK</t>
        </is>
      </c>
      <c r="E2246" s="21" t="n">
        <v>102</v>
      </c>
      <c r="F2246" s="21" t="inlineStr">
        <is>
          <t>English</t>
        </is>
      </c>
      <c r="G2246" s="21" t="inlineStr">
        <is>
          <t>PG-13</t>
        </is>
      </c>
      <c r="H2246" s="22" t="n">
        <v>1891821</v>
      </c>
      <c r="I2246" s="22" t="n">
        <v>52000000</v>
      </c>
      <c r="J2246" s="21">
        <f>IF(OR(H2246="",H2246=25529689.5),"Yes","No")</f>
        <v/>
      </c>
      <c r="K2246" s="21">
        <f>IF(AND(D2246="USA",C2246&gt;=1980,J2246="No"),"Yes","No")</f>
        <v/>
      </c>
      <c r="L2246" s="26">
        <f>IF(J2246="Yes","",H2246-I2246)</f>
        <v/>
      </c>
      <c r="M2246" s="27">
        <f>IF(OR(J2246="Yes",I2246=0),"",H2246/I2246)</f>
        <v/>
      </c>
      <c r="N2246" s="21">
        <f>IF(J2246="Yes","",IF(H2246&gt;=I2246,1,0))</f>
        <v/>
      </c>
      <c r="O2246" s="21">
        <f>IF(I2246&lt;=5000000,"Under $5M",IF(I2246&lt;=20000000,"$5M-20M",IF(I2246&lt;=50000000,"$20M-50M",IF(I2246&lt;=100000000,"$50M-100M","$100M+"))))</f>
        <v/>
      </c>
      <c r="P2246" s="21">
        <f>IF(E2246&lt;=90,"90 or less",IF(E2246&lt;=105,"91-105",IF(E2246&lt;=120,"106-120",IF(E2246&lt;=140,"121-140","Over 140"))))</f>
        <v/>
      </c>
      <c r="Q2246" s="28">
        <f>INT(C2246/10)*10</f>
        <v/>
      </c>
    </row>
    <row r="2247">
      <c r="A2247" s="21" t="n">
        <v>2293</v>
      </c>
      <c r="B2247" s="21" t="inlineStr">
        <is>
          <t>Ã†on Flux</t>
        </is>
      </c>
      <c r="C2247" s="21" t="n">
        <v>2005</v>
      </c>
      <c r="D2247" s="21" t="inlineStr">
        <is>
          <t>USA</t>
        </is>
      </c>
      <c r="E2247" s="21" t="n">
        <v>93</v>
      </c>
      <c r="F2247" s="21" t="inlineStr">
        <is>
          <t>English</t>
        </is>
      </c>
      <c r="G2247" s="21" t="inlineStr">
        <is>
          <t>PG-13</t>
        </is>
      </c>
      <c r="H2247" s="22" t="n">
        <v>25857987</v>
      </c>
      <c r="I2247" s="22" t="n">
        <v>62000000</v>
      </c>
      <c r="J2247" s="21">
        <f>IF(OR(H2247="",H2247=25529689.5),"Yes","No")</f>
        <v/>
      </c>
      <c r="K2247" s="21">
        <f>IF(AND(D2247="USA",C2247&gt;=1980,J2247="No"),"Yes","No")</f>
        <v/>
      </c>
      <c r="L2247" s="26">
        <f>IF(J2247="Yes","",H2247-I2247)</f>
        <v/>
      </c>
      <c r="M2247" s="27">
        <f>IF(OR(J2247="Yes",I2247=0),"",H2247/I2247)</f>
        <v/>
      </c>
      <c r="N2247" s="21">
        <f>IF(J2247="Yes","",IF(H2247&gt;=I2247,1,0))</f>
        <v/>
      </c>
      <c r="O2247" s="21">
        <f>IF(I2247&lt;=5000000,"Under $5M",IF(I2247&lt;=20000000,"$5M-20M",IF(I2247&lt;=50000000,"$20M-50M",IF(I2247&lt;=100000000,"$50M-100M","$100M+"))))</f>
        <v/>
      </c>
      <c r="P2247" s="21">
        <f>IF(E2247&lt;=90,"90 or less",IF(E2247&lt;=105,"91-105",IF(E2247&lt;=120,"106-120",IF(E2247&lt;=140,"121-140","Over 140"))))</f>
        <v/>
      </c>
      <c r="Q2247" s="28">
        <f>INT(C2247/10)*10</f>
        <v/>
      </c>
    </row>
    <row r="2248">
      <c r="A2248" s="21" t="n">
        <v>2294</v>
      </c>
      <c r="B2248" s="21" t="inlineStr">
        <is>
          <t>Alone in the Dark</t>
        </is>
      </c>
      <c r="C2248" s="21" t="n">
        <v>2005</v>
      </c>
      <c r="D2248" s="21" t="inlineStr">
        <is>
          <t>Canada</t>
        </is>
      </c>
      <c r="E2248" s="21" t="n">
        <v>94</v>
      </c>
      <c r="F2248" s="21" t="inlineStr">
        <is>
          <t>English</t>
        </is>
      </c>
      <c r="G2248" s="21" t="inlineStr">
        <is>
          <t>R</t>
        </is>
      </c>
      <c r="H2248" s="22" t="n">
        <v>5132655</v>
      </c>
      <c r="I2248" s="22" t="n">
        <v>20000000</v>
      </c>
      <c r="J2248" s="21">
        <f>IF(OR(H2248="",H2248=25529689.5),"Yes","No")</f>
        <v/>
      </c>
      <c r="K2248" s="21">
        <f>IF(AND(D2248="USA",C2248&gt;=1980,J2248="No"),"Yes","No")</f>
        <v/>
      </c>
      <c r="L2248" s="26">
        <f>IF(J2248="Yes","",H2248-I2248)</f>
        <v/>
      </c>
      <c r="M2248" s="27">
        <f>IF(OR(J2248="Yes",I2248=0),"",H2248/I2248)</f>
        <v/>
      </c>
      <c r="N2248" s="21">
        <f>IF(J2248="Yes","",IF(H2248&gt;=I2248,1,0))</f>
        <v/>
      </c>
      <c r="O2248" s="21">
        <f>IF(I2248&lt;=5000000,"Under $5M",IF(I2248&lt;=20000000,"$5M-20M",IF(I2248&lt;=50000000,"$20M-50M",IF(I2248&lt;=100000000,"$50M-100M","$100M+"))))</f>
        <v/>
      </c>
      <c r="P2248" s="21">
        <f>IF(E2248&lt;=90,"90 or less",IF(E2248&lt;=105,"91-105",IF(E2248&lt;=120,"106-120",IF(E2248&lt;=140,"121-140","Over 140"))))</f>
        <v/>
      </c>
      <c r="Q2248" s="28">
        <f>INT(C2248/10)*10</f>
        <v/>
      </c>
    </row>
    <row r="2249">
      <c r="A2249" s="21" t="n">
        <v>2295</v>
      </c>
      <c r="B2249" s="21" t="inlineStr">
        <is>
          <t>An American Haunting</t>
        </is>
      </c>
      <c r="C2249" s="21" t="n">
        <v>2005</v>
      </c>
      <c r="D2249" s="21" t="inlineStr">
        <is>
          <t>UK</t>
        </is>
      </c>
      <c r="E2249" s="21" t="n">
        <v>91</v>
      </c>
      <c r="F2249" s="21" t="inlineStr">
        <is>
          <t>English</t>
        </is>
      </c>
      <c r="G2249" s="21" t="inlineStr">
        <is>
          <t>PG-13</t>
        </is>
      </c>
      <c r="H2249" s="22" t="n">
        <v>16298046</v>
      </c>
      <c r="I2249" s="22" t="n">
        <v>14000000</v>
      </c>
      <c r="J2249" s="21">
        <f>IF(OR(H2249="",H2249=25529689.5),"Yes","No")</f>
        <v/>
      </c>
      <c r="K2249" s="21">
        <f>IF(AND(D2249="USA",C2249&gt;=1980,J2249="No"),"Yes","No")</f>
        <v/>
      </c>
      <c r="L2249" s="26">
        <f>IF(J2249="Yes","",H2249-I2249)</f>
        <v/>
      </c>
      <c r="M2249" s="27">
        <f>IF(OR(J2249="Yes",I2249=0),"",H2249/I2249)</f>
        <v/>
      </c>
      <c r="N2249" s="21">
        <f>IF(J2249="Yes","",IF(H2249&gt;=I2249,1,0))</f>
        <v/>
      </c>
      <c r="O2249" s="21">
        <f>IF(I2249&lt;=5000000,"Under $5M",IF(I2249&lt;=20000000,"$5M-20M",IF(I2249&lt;=50000000,"$20M-50M",IF(I2249&lt;=100000000,"$50M-100M","$100M+"))))</f>
        <v/>
      </c>
      <c r="P2249" s="21">
        <f>IF(E2249&lt;=90,"90 or less",IF(E2249&lt;=105,"91-105",IF(E2249&lt;=120,"106-120",IF(E2249&lt;=140,"121-140","Over 140"))))</f>
        <v/>
      </c>
      <c r="Q2249" s="28">
        <f>INT(C2249/10)*10</f>
        <v/>
      </c>
    </row>
    <row r="2250">
      <c r="A2250" s="21" t="n">
        <v>2296</v>
      </c>
      <c r="B2250" s="21" t="inlineStr">
        <is>
          <t>An Unfinished Life</t>
        </is>
      </c>
      <c r="C2250" s="21" t="n">
        <v>2005</v>
      </c>
      <c r="D2250" s="21" t="inlineStr">
        <is>
          <t>USA</t>
        </is>
      </c>
      <c r="E2250" s="21" t="n">
        <v>108</v>
      </c>
      <c r="F2250" s="21" t="inlineStr">
        <is>
          <t>English</t>
        </is>
      </c>
      <c r="G2250" s="21" t="inlineStr">
        <is>
          <t>PG-13</t>
        </is>
      </c>
      <c r="H2250" s="22" t="n">
        <v>8535575</v>
      </c>
      <c r="I2250" s="22" t="n">
        <v>30000000</v>
      </c>
      <c r="J2250" s="21">
        <f>IF(OR(H2250="",H2250=25529689.5),"Yes","No")</f>
        <v/>
      </c>
      <c r="K2250" s="21">
        <f>IF(AND(D2250="USA",C2250&gt;=1980,J2250="No"),"Yes","No")</f>
        <v/>
      </c>
      <c r="L2250" s="26">
        <f>IF(J2250="Yes","",H2250-I2250)</f>
        <v/>
      </c>
      <c r="M2250" s="27">
        <f>IF(OR(J2250="Yes",I2250=0),"",H2250/I2250)</f>
        <v/>
      </c>
      <c r="N2250" s="21">
        <f>IF(J2250="Yes","",IF(H2250&gt;=I2250,1,0))</f>
        <v/>
      </c>
      <c r="O2250" s="21">
        <f>IF(I2250&lt;=5000000,"Under $5M",IF(I2250&lt;=20000000,"$5M-20M",IF(I2250&lt;=50000000,"$20M-50M",IF(I2250&lt;=100000000,"$50M-100M","$100M+"))))</f>
        <v/>
      </c>
      <c r="P2250" s="21">
        <f>IF(E2250&lt;=90,"90 or less",IF(E2250&lt;=105,"91-105",IF(E2250&lt;=120,"106-120",IF(E2250&lt;=140,"121-140","Over 140"))))</f>
        <v/>
      </c>
      <c r="Q2250" s="28">
        <f>INT(C2250/10)*10</f>
        <v/>
      </c>
    </row>
    <row r="2251">
      <c r="A2251" s="21" t="n">
        <v>2297</v>
      </c>
      <c r="B2251" s="21" t="inlineStr">
        <is>
          <t>Are We There Yet?</t>
        </is>
      </c>
      <c r="C2251" s="21" t="n">
        <v>2005</v>
      </c>
      <c r="D2251" s="21" t="inlineStr">
        <is>
          <t>USA</t>
        </is>
      </c>
      <c r="E2251" s="21" t="n">
        <v>95</v>
      </c>
      <c r="F2251" s="21" t="inlineStr">
        <is>
          <t>English</t>
        </is>
      </c>
      <c r="G2251" s="21" t="inlineStr">
        <is>
          <t>PG</t>
        </is>
      </c>
      <c r="H2251" s="22" t="n">
        <v>82301521</v>
      </c>
      <c r="I2251" s="22" t="n">
        <v>32000000</v>
      </c>
      <c r="J2251" s="21">
        <f>IF(OR(H2251="",H2251=25529689.5),"Yes","No")</f>
        <v/>
      </c>
      <c r="K2251" s="21">
        <f>IF(AND(D2251="USA",C2251&gt;=1980,J2251="No"),"Yes","No")</f>
        <v/>
      </c>
      <c r="L2251" s="26">
        <f>IF(J2251="Yes","",H2251-I2251)</f>
        <v/>
      </c>
      <c r="M2251" s="27">
        <f>IF(OR(J2251="Yes",I2251=0),"",H2251/I2251)</f>
        <v/>
      </c>
      <c r="N2251" s="21">
        <f>IF(J2251="Yes","",IF(H2251&gt;=I2251,1,0))</f>
        <v/>
      </c>
      <c r="O2251" s="21">
        <f>IF(I2251&lt;=5000000,"Under $5M",IF(I2251&lt;=20000000,"$5M-20M",IF(I2251&lt;=50000000,"$20M-50M",IF(I2251&lt;=100000000,"$50M-100M","$100M+"))))</f>
        <v/>
      </c>
      <c r="P2251" s="21">
        <f>IF(E2251&lt;=90,"90 or less",IF(E2251&lt;=105,"91-105",IF(E2251&lt;=120,"106-120",IF(E2251&lt;=140,"121-140","Over 140"))))</f>
        <v/>
      </c>
      <c r="Q2251" s="28">
        <f>INT(C2251/10)*10</f>
        <v/>
      </c>
    </row>
    <row r="2252">
      <c r="A2252" s="21" t="n">
        <v>2298</v>
      </c>
      <c r="B2252" s="21" t="inlineStr">
        <is>
          <t>Assault on Precinct 13</t>
        </is>
      </c>
      <c r="C2252" s="21" t="n">
        <v>2005</v>
      </c>
      <c r="D2252" s="21" t="inlineStr">
        <is>
          <t>USA</t>
        </is>
      </c>
      <c r="E2252" s="21" t="n">
        <v>109</v>
      </c>
      <c r="F2252" s="21" t="inlineStr">
        <is>
          <t>English</t>
        </is>
      </c>
      <c r="G2252" s="21" t="inlineStr">
        <is>
          <t>R</t>
        </is>
      </c>
      <c r="H2252" s="22" t="n">
        <v>19976073</v>
      </c>
      <c r="I2252" s="22" t="n">
        <v>20000000</v>
      </c>
      <c r="J2252" s="21">
        <f>IF(OR(H2252="",H2252=25529689.5),"Yes","No")</f>
        <v/>
      </c>
      <c r="K2252" s="21">
        <f>IF(AND(D2252="USA",C2252&gt;=1980,J2252="No"),"Yes","No")</f>
        <v/>
      </c>
      <c r="L2252" s="26">
        <f>IF(J2252="Yes","",H2252-I2252)</f>
        <v/>
      </c>
      <c r="M2252" s="27">
        <f>IF(OR(J2252="Yes",I2252=0),"",H2252/I2252)</f>
        <v/>
      </c>
      <c r="N2252" s="21">
        <f>IF(J2252="Yes","",IF(H2252&gt;=I2252,1,0))</f>
        <v/>
      </c>
      <c r="O2252" s="21">
        <f>IF(I2252&lt;=5000000,"Under $5M",IF(I2252&lt;=20000000,"$5M-20M",IF(I2252&lt;=50000000,"$20M-50M",IF(I2252&lt;=100000000,"$50M-100M","$100M+"))))</f>
        <v/>
      </c>
      <c r="P2252" s="21">
        <f>IF(E2252&lt;=90,"90 or less",IF(E2252&lt;=105,"91-105",IF(E2252&lt;=120,"106-120",IF(E2252&lt;=140,"121-140","Over 140"))))</f>
        <v/>
      </c>
      <c r="Q2252" s="28">
        <f>INT(C2252/10)*10</f>
        <v/>
      </c>
    </row>
    <row r="2253">
      <c r="A2253" s="21" t="n">
        <v>2299</v>
      </c>
      <c r="B2253" s="21" t="inlineStr">
        <is>
          <t>Batman Begins</t>
        </is>
      </c>
      <c r="C2253" s="21" t="n">
        <v>2005</v>
      </c>
      <c r="D2253" s="21" t="inlineStr">
        <is>
          <t>USA</t>
        </is>
      </c>
      <c r="E2253" s="21" t="n">
        <v>128</v>
      </c>
      <c r="F2253" s="21" t="inlineStr">
        <is>
          <t>English</t>
        </is>
      </c>
      <c r="G2253" s="21" t="inlineStr">
        <is>
          <t>PG-13</t>
        </is>
      </c>
      <c r="H2253" s="22" t="n">
        <v>205343774</v>
      </c>
      <c r="I2253" s="22" t="n">
        <v>150000000</v>
      </c>
      <c r="J2253" s="21">
        <f>IF(OR(H2253="",H2253=25529689.5),"Yes","No")</f>
        <v/>
      </c>
      <c r="K2253" s="21">
        <f>IF(AND(D2253="USA",C2253&gt;=1980,J2253="No"),"Yes","No")</f>
        <v/>
      </c>
      <c r="L2253" s="26">
        <f>IF(J2253="Yes","",H2253-I2253)</f>
        <v/>
      </c>
      <c r="M2253" s="27">
        <f>IF(OR(J2253="Yes",I2253=0),"",H2253/I2253)</f>
        <v/>
      </c>
      <c r="N2253" s="21">
        <f>IF(J2253="Yes","",IF(H2253&gt;=I2253,1,0))</f>
        <v/>
      </c>
      <c r="O2253" s="21">
        <f>IF(I2253&lt;=5000000,"Under $5M",IF(I2253&lt;=20000000,"$5M-20M",IF(I2253&lt;=50000000,"$20M-50M",IF(I2253&lt;=100000000,"$50M-100M","$100M+"))))</f>
        <v/>
      </c>
      <c r="P2253" s="21">
        <f>IF(E2253&lt;=90,"90 or less",IF(E2253&lt;=105,"91-105",IF(E2253&lt;=120,"106-120",IF(E2253&lt;=140,"121-140","Over 140"))))</f>
        <v/>
      </c>
      <c r="Q2253" s="28">
        <f>INT(C2253/10)*10</f>
        <v/>
      </c>
    </row>
    <row r="2254">
      <c r="A2254" s="21" t="n">
        <v>2300</v>
      </c>
      <c r="B2254" s="21" t="inlineStr">
        <is>
          <t>Be Cool</t>
        </is>
      </c>
      <c r="C2254" s="21" t="n">
        <v>2005</v>
      </c>
      <c r="D2254" s="21" t="inlineStr">
        <is>
          <t>USA</t>
        </is>
      </c>
      <c r="E2254" s="21" t="n">
        <v>118</v>
      </c>
      <c r="F2254" s="21" t="inlineStr">
        <is>
          <t>English</t>
        </is>
      </c>
      <c r="G2254" s="21" t="inlineStr">
        <is>
          <t>PG-13</t>
        </is>
      </c>
      <c r="H2254" s="22" t="n">
        <v>55808744</v>
      </c>
      <c r="I2254" s="22" t="n">
        <v>53000000</v>
      </c>
      <c r="J2254" s="21">
        <f>IF(OR(H2254="",H2254=25529689.5),"Yes","No")</f>
        <v/>
      </c>
      <c r="K2254" s="21">
        <f>IF(AND(D2254="USA",C2254&gt;=1980,J2254="No"),"Yes","No")</f>
        <v/>
      </c>
      <c r="L2254" s="26">
        <f>IF(J2254="Yes","",H2254-I2254)</f>
        <v/>
      </c>
      <c r="M2254" s="27">
        <f>IF(OR(J2254="Yes",I2254=0),"",H2254/I2254)</f>
        <v/>
      </c>
      <c r="N2254" s="21">
        <f>IF(J2254="Yes","",IF(H2254&gt;=I2254,1,0))</f>
        <v/>
      </c>
      <c r="O2254" s="21">
        <f>IF(I2254&lt;=5000000,"Under $5M",IF(I2254&lt;=20000000,"$5M-20M",IF(I2254&lt;=50000000,"$20M-50M",IF(I2254&lt;=100000000,"$50M-100M","$100M+"))))</f>
        <v/>
      </c>
      <c r="P2254" s="21">
        <f>IF(E2254&lt;=90,"90 or less",IF(E2254&lt;=105,"91-105",IF(E2254&lt;=120,"106-120",IF(E2254&lt;=140,"121-140","Over 140"))))</f>
        <v/>
      </c>
      <c r="Q2254" s="28">
        <f>INT(C2254/10)*10</f>
        <v/>
      </c>
    </row>
    <row r="2255">
      <c r="A2255" s="21" t="n">
        <v>2301</v>
      </c>
      <c r="B2255" s="21" t="inlineStr">
        <is>
          <t>Beauty Shop</t>
        </is>
      </c>
      <c r="C2255" s="21" t="n">
        <v>2005</v>
      </c>
      <c r="D2255" s="21" t="inlineStr">
        <is>
          <t>USA</t>
        </is>
      </c>
      <c r="E2255" s="21" t="n">
        <v>105</v>
      </c>
      <c r="F2255" s="21" t="inlineStr">
        <is>
          <t>English</t>
        </is>
      </c>
      <c r="G2255" s="21" t="inlineStr">
        <is>
          <t>PG-13</t>
        </is>
      </c>
      <c r="H2255" s="22" t="n">
        <v>36310118</v>
      </c>
      <c r="I2255" s="22" t="n">
        <v>20000000</v>
      </c>
      <c r="J2255" s="21">
        <f>IF(OR(H2255="",H2255=25529689.5),"Yes","No")</f>
        <v/>
      </c>
      <c r="K2255" s="21">
        <f>IF(AND(D2255="USA",C2255&gt;=1980,J2255="No"),"Yes","No")</f>
        <v/>
      </c>
      <c r="L2255" s="26">
        <f>IF(J2255="Yes","",H2255-I2255)</f>
        <v/>
      </c>
      <c r="M2255" s="27">
        <f>IF(OR(J2255="Yes",I2255=0),"",H2255/I2255)</f>
        <v/>
      </c>
      <c r="N2255" s="21">
        <f>IF(J2255="Yes","",IF(H2255&gt;=I2255,1,0))</f>
        <v/>
      </c>
      <c r="O2255" s="21">
        <f>IF(I2255&lt;=5000000,"Under $5M",IF(I2255&lt;=20000000,"$5M-20M",IF(I2255&lt;=50000000,"$20M-50M",IF(I2255&lt;=100000000,"$50M-100M","$100M+"))))</f>
        <v/>
      </c>
      <c r="P2255" s="21">
        <f>IF(E2255&lt;=90,"90 or less",IF(E2255&lt;=105,"91-105",IF(E2255&lt;=120,"106-120",IF(E2255&lt;=140,"121-140","Over 140"))))</f>
        <v/>
      </c>
      <c r="Q2255" s="28">
        <f>INT(C2255/10)*10</f>
        <v/>
      </c>
    </row>
    <row r="2256">
      <c r="A2256" s="21" t="n">
        <v>2302</v>
      </c>
      <c r="B2256" s="21" t="inlineStr">
        <is>
          <t>Because of Winn-Dixie</t>
        </is>
      </c>
      <c r="C2256" s="21" t="n">
        <v>2005</v>
      </c>
      <c r="D2256" s="21" t="inlineStr">
        <is>
          <t>USA</t>
        </is>
      </c>
      <c r="E2256" s="21" t="n">
        <v>106</v>
      </c>
      <c r="F2256" s="21" t="inlineStr">
        <is>
          <t>English</t>
        </is>
      </c>
      <c r="G2256" s="21" t="inlineStr">
        <is>
          <t>PG</t>
        </is>
      </c>
      <c r="H2256" s="22" t="n">
        <v>32645546</v>
      </c>
      <c r="I2256" s="22" t="n">
        <v>14000000</v>
      </c>
      <c r="J2256" s="21">
        <f>IF(OR(H2256="",H2256=25529689.5),"Yes","No")</f>
        <v/>
      </c>
      <c r="K2256" s="21">
        <f>IF(AND(D2256="USA",C2256&gt;=1980,J2256="No"),"Yes","No")</f>
        <v/>
      </c>
      <c r="L2256" s="26">
        <f>IF(J2256="Yes","",H2256-I2256)</f>
        <v/>
      </c>
      <c r="M2256" s="27">
        <f>IF(OR(J2256="Yes",I2256=0),"",H2256/I2256)</f>
        <v/>
      </c>
      <c r="N2256" s="21">
        <f>IF(J2256="Yes","",IF(H2256&gt;=I2256,1,0))</f>
        <v/>
      </c>
      <c r="O2256" s="21">
        <f>IF(I2256&lt;=5000000,"Under $5M",IF(I2256&lt;=20000000,"$5M-20M",IF(I2256&lt;=50000000,"$20M-50M",IF(I2256&lt;=100000000,"$50M-100M","$100M+"))))</f>
        <v/>
      </c>
      <c r="P2256" s="21">
        <f>IF(E2256&lt;=90,"90 or less",IF(E2256&lt;=105,"91-105",IF(E2256&lt;=120,"106-120",IF(E2256&lt;=140,"121-140","Over 140"))))</f>
        <v/>
      </c>
      <c r="Q2256" s="28">
        <f>INT(C2256/10)*10</f>
        <v/>
      </c>
    </row>
    <row r="2257">
      <c r="A2257" s="21" t="n">
        <v>2303</v>
      </c>
      <c r="B2257" s="21" t="inlineStr">
        <is>
          <t>BloodRayne</t>
        </is>
      </c>
      <c r="C2257" s="21" t="n">
        <v>2005</v>
      </c>
      <c r="D2257" s="21" t="inlineStr">
        <is>
          <t>USA</t>
        </is>
      </c>
      <c r="E2257" s="21" t="n">
        <v>92</v>
      </c>
      <c r="F2257" s="21" t="inlineStr">
        <is>
          <t>English</t>
        </is>
      </c>
      <c r="G2257" s="21" t="inlineStr">
        <is>
          <t>R</t>
        </is>
      </c>
      <c r="H2257" s="22" t="n">
        <v>1550000</v>
      </c>
      <c r="I2257" s="22" t="n">
        <v>25000000</v>
      </c>
      <c r="J2257" s="21">
        <f>IF(OR(H2257="",H2257=25529689.5),"Yes","No")</f>
        <v/>
      </c>
      <c r="K2257" s="21">
        <f>IF(AND(D2257="USA",C2257&gt;=1980,J2257="No"),"Yes","No")</f>
        <v/>
      </c>
      <c r="L2257" s="26">
        <f>IF(J2257="Yes","",H2257-I2257)</f>
        <v/>
      </c>
      <c r="M2257" s="27">
        <f>IF(OR(J2257="Yes",I2257=0),"",H2257/I2257)</f>
        <v/>
      </c>
      <c r="N2257" s="21">
        <f>IF(J2257="Yes","",IF(H2257&gt;=I2257,1,0))</f>
        <v/>
      </c>
      <c r="O2257" s="21">
        <f>IF(I2257&lt;=5000000,"Under $5M",IF(I2257&lt;=20000000,"$5M-20M",IF(I2257&lt;=50000000,"$20M-50M",IF(I2257&lt;=100000000,"$50M-100M","$100M+"))))</f>
        <v/>
      </c>
      <c r="P2257" s="21">
        <f>IF(E2257&lt;=90,"90 or less",IF(E2257&lt;=105,"91-105",IF(E2257&lt;=120,"106-120",IF(E2257&lt;=140,"121-140","Over 140"))))</f>
        <v/>
      </c>
      <c r="Q2257" s="28">
        <f>INT(C2257/10)*10</f>
        <v/>
      </c>
    </row>
    <row r="2258">
      <c r="A2258" s="21" t="n">
        <v>2304</v>
      </c>
      <c r="B2258" s="21" t="inlineStr">
        <is>
          <t>Boogeyman</t>
        </is>
      </c>
      <c r="C2258" s="21" t="n">
        <v>2005</v>
      </c>
      <c r="D2258" s="21" t="inlineStr">
        <is>
          <t>USA</t>
        </is>
      </c>
      <c r="E2258" s="21" t="n">
        <v>89</v>
      </c>
      <c r="F2258" s="21" t="inlineStr">
        <is>
          <t>English</t>
        </is>
      </c>
      <c r="G2258" s="21" t="inlineStr">
        <is>
          <t>PG-13</t>
        </is>
      </c>
      <c r="H2258" s="22" t="n">
        <v>46363118</v>
      </c>
      <c r="I2258" s="22" t="n">
        <v>20000000</v>
      </c>
      <c r="J2258" s="21">
        <f>IF(OR(H2258="",H2258=25529689.5),"Yes","No")</f>
        <v/>
      </c>
      <c r="K2258" s="21">
        <f>IF(AND(D2258="USA",C2258&gt;=1980,J2258="No"),"Yes","No")</f>
        <v/>
      </c>
      <c r="L2258" s="26">
        <f>IF(J2258="Yes","",H2258-I2258)</f>
        <v/>
      </c>
      <c r="M2258" s="27">
        <f>IF(OR(J2258="Yes",I2258=0),"",H2258/I2258)</f>
        <v/>
      </c>
      <c r="N2258" s="21">
        <f>IF(J2258="Yes","",IF(H2258&gt;=I2258,1,0))</f>
        <v/>
      </c>
      <c r="O2258" s="21">
        <f>IF(I2258&lt;=5000000,"Under $5M",IF(I2258&lt;=20000000,"$5M-20M",IF(I2258&lt;=50000000,"$20M-50M",IF(I2258&lt;=100000000,"$50M-100M","$100M+"))))</f>
        <v/>
      </c>
      <c r="P2258" s="21">
        <f>IF(E2258&lt;=90,"90 or less",IF(E2258&lt;=105,"91-105",IF(E2258&lt;=120,"106-120",IF(E2258&lt;=140,"121-140","Over 140"))))</f>
        <v/>
      </c>
      <c r="Q2258" s="28">
        <f>INT(C2258/10)*10</f>
        <v/>
      </c>
    </row>
    <row r="2259">
      <c r="A2259" s="21" t="n">
        <v>2305</v>
      </c>
      <c r="B2259" s="21" t="inlineStr">
        <is>
          <t>Boynton Beach Club</t>
        </is>
      </c>
      <c r="C2259" s="21" t="n">
        <v>2005</v>
      </c>
      <c r="D2259" s="21" t="inlineStr">
        <is>
          <t>USA</t>
        </is>
      </c>
      <c r="E2259" s="21" t="n">
        <v>105</v>
      </c>
      <c r="F2259" s="21" t="inlineStr">
        <is>
          <t>English</t>
        </is>
      </c>
      <c r="G2259" s="21" t="inlineStr">
        <is>
          <t>R</t>
        </is>
      </c>
      <c r="H2259" s="22" t="n">
        <v>3123749</v>
      </c>
      <c r="I2259" s="22" t="n">
        <v>1500000</v>
      </c>
      <c r="J2259" s="21">
        <f>IF(OR(H2259="",H2259=25529689.5),"Yes","No")</f>
        <v/>
      </c>
      <c r="K2259" s="21">
        <f>IF(AND(D2259="USA",C2259&gt;=1980,J2259="No"),"Yes","No")</f>
        <v/>
      </c>
      <c r="L2259" s="26">
        <f>IF(J2259="Yes","",H2259-I2259)</f>
        <v/>
      </c>
      <c r="M2259" s="27">
        <f>IF(OR(J2259="Yes",I2259=0),"",H2259/I2259)</f>
        <v/>
      </c>
      <c r="N2259" s="21">
        <f>IF(J2259="Yes","",IF(H2259&gt;=I2259,1,0))</f>
        <v/>
      </c>
      <c r="O2259" s="21">
        <f>IF(I2259&lt;=5000000,"Under $5M",IF(I2259&lt;=20000000,"$5M-20M",IF(I2259&lt;=50000000,"$20M-50M",IF(I2259&lt;=100000000,"$50M-100M","$100M+"))))</f>
        <v/>
      </c>
      <c r="P2259" s="21">
        <f>IF(E2259&lt;=90,"90 or less",IF(E2259&lt;=105,"91-105",IF(E2259&lt;=120,"106-120",IF(E2259&lt;=140,"121-140","Over 140"))))</f>
        <v/>
      </c>
      <c r="Q2259" s="28">
        <f>INT(C2259/10)*10</f>
        <v/>
      </c>
    </row>
    <row r="2260">
      <c r="A2260" s="21" t="n">
        <v>2306</v>
      </c>
      <c r="B2260" s="21" t="inlineStr">
        <is>
          <t>Brokeback Mountain</t>
        </is>
      </c>
      <c r="C2260" s="21" t="n">
        <v>2005</v>
      </c>
      <c r="D2260" s="21" t="inlineStr">
        <is>
          <t>USA</t>
        </is>
      </c>
      <c r="E2260" s="21" t="n">
        <v>134</v>
      </c>
      <c r="F2260" s="21" t="inlineStr">
        <is>
          <t>English</t>
        </is>
      </c>
      <c r="G2260" s="21" t="inlineStr">
        <is>
          <t>R</t>
        </is>
      </c>
      <c r="H2260" s="22" t="n">
        <v>83025853</v>
      </c>
      <c r="I2260" s="22" t="n">
        <v>14000000</v>
      </c>
      <c r="J2260" s="21">
        <f>IF(OR(H2260="",H2260=25529689.5),"Yes","No")</f>
        <v/>
      </c>
      <c r="K2260" s="21">
        <f>IF(AND(D2260="USA",C2260&gt;=1980,J2260="No"),"Yes","No")</f>
        <v/>
      </c>
      <c r="L2260" s="26">
        <f>IF(J2260="Yes","",H2260-I2260)</f>
        <v/>
      </c>
      <c r="M2260" s="27">
        <f>IF(OR(J2260="Yes",I2260=0),"",H2260/I2260)</f>
        <v/>
      </c>
      <c r="N2260" s="21">
        <f>IF(J2260="Yes","",IF(H2260&gt;=I2260,1,0))</f>
        <v/>
      </c>
      <c r="O2260" s="21">
        <f>IF(I2260&lt;=5000000,"Under $5M",IF(I2260&lt;=20000000,"$5M-20M",IF(I2260&lt;=50000000,"$20M-50M",IF(I2260&lt;=100000000,"$50M-100M","$100M+"))))</f>
        <v/>
      </c>
      <c r="P2260" s="21">
        <f>IF(E2260&lt;=90,"90 or less",IF(E2260&lt;=105,"91-105",IF(E2260&lt;=120,"106-120",IF(E2260&lt;=140,"121-140","Over 140"))))</f>
        <v/>
      </c>
      <c r="Q2260" s="28">
        <f>INT(C2260/10)*10</f>
        <v/>
      </c>
    </row>
    <row r="2261">
      <c r="A2261" s="21" t="n">
        <v>2307</v>
      </c>
      <c r="B2261" s="21" t="inlineStr">
        <is>
          <t>Camping sauvage</t>
        </is>
      </c>
      <c r="C2261" s="21" t="n">
        <v>2005</v>
      </c>
      <c r="D2261" s="21" t="inlineStr">
        <is>
          <t>France</t>
        </is>
      </c>
      <c r="E2261" s="21" t="n">
        <v>79</v>
      </c>
      <c r="F2261" s="21" t="inlineStr">
        <is>
          <t>French</t>
        </is>
      </c>
      <c r="G2261" s="21" t="n"/>
      <c r="H2261" s="22" t="n">
        <v>25529689.5</v>
      </c>
      <c r="I2261" s="22" t="n">
        <v>20000000</v>
      </c>
      <c r="J2261" s="21">
        <f>IF(OR(H2261="",H2261=25529689.5),"Yes","No")</f>
        <v/>
      </c>
      <c r="K2261" s="21">
        <f>IF(AND(D2261="USA",C2261&gt;=1980,J2261="No"),"Yes","No")</f>
        <v/>
      </c>
      <c r="L2261" s="26">
        <f>IF(J2261="Yes","",H2261-I2261)</f>
        <v/>
      </c>
      <c r="M2261" s="27">
        <f>IF(OR(J2261="Yes",I2261=0),"",H2261/I2261)</f>
        <v/>
      </c>
      <c r="N2261" s="21">
        <f>IF(J2261="Yes","",IF(H2261&gt;=I2261,1,0))</f>
        <v/>
      </c>
      <c r="O2261" s="21">
        <f>IF(I2261&lt;=5000000,"Under $5M",IF(I2261&lt;=20000000,"$5M-20M",IF(I2261&lt;=50000000,"$20M-50M",IF(I2261&lt;=100000000,"$50M-100M","$100M+"))))</f>
        <v/>
      </c>
      <c r="P2261" s="21">
        <f>IF(E2261&lt;=90,"90 or less",IF(E2261&lt;=105,"91-105",IF(E2261&lt;=120,"106-120",IF(E2261&lt;=140,"121-140","Over 140"))))</f>
        <v/>
      </c>
      <c r="Q2261" s="28">
        <f>INT(C2261/10)*10</f>
        <v/>
      </c>
    </row>
    <row r="2262">
      <c r="A2262" s="21" t="n">
        <v>2308</v>
      </c>
      <c r="B2262" s="21" t="inlineStr">
        <is>
          <t>Capote</t>
        </is>
      </c>
      <c r="C2262" s="21" t="n">
        <v>2005</v>
      </c>
      <c r="D2262" s="21" t="inlineStr">
        <is>
          <t>Canada</t>
        </is>
      </c>
      <c r="E2262" s="21" t="n">
        <v>110</v>
      </c>
      <c r="F2262" s="21" t="inlineStr">
        <is>
          <t>English</t>
        </is>
      </c>
      <c r="G2262" s="21" t="inlineStr">
        <is>
          <t>R</t>
        </is>
      </c>
      <c r="H2262" s="22" t="n">
        <v>28747570</v>
      </c>
      <c r="I2262" s="22" t="n">
        <v>7000000</v>
      </c>
      <c r="J2262" s="21">
        <f>IF(OR(H2262="",H2262=25529689.5),"Yes","No")</f>
        <v/>
      </c>
      <c r="K2262" s="21">
        <f>IF(AND(D2262="USA",C2262&gt;=1980,J2262="No"),"Yes","No")</f>
        <v/>
      </c>
      <c r="L2262" s="26">
        <f>IF(J2262="Yes","",H2262-I2262)</f>
        <v/>
      </c>
      <c r="M2262" s="27">
        <f>IF(OR(J2262="Yes",I2262=0),"",H2262/I2262)</f>
        <v/>
      </c>
      <c r="N2262" s="21">
        <f>IF(J2262="Yes","",IF(H2262&gt;=I2262,1,0))</f>
        <v/>
      </c>
      <c r="O2262" s="21">
        <f>IF(I2262&lt;=5000000,"Under $5M",IF(I2262&lt;=20000000,"$5M-20M",IF(I2262&lt;=50000000,"$20M-50M",IF(I2262&lt;=100000000,"$50M-100M","$100M+"))))</f>
        <v/>
      </c>
      <c r="P2262" s="21">
        <f>IF(E2262&lt;=90,"90 or less",IF(E2262&lt;=105,"91-105",IF(E2262&lt;=120,"106-120",IF(E2262&lt;=140,"121-140","Over 140"))))</f>
        <v/>
      </c>
      <c r="Q2262" s="28">
        <f>INT(C2262/10)*10</f>
        <v/>
      </c>
    </row>
    <row r="2263">
      <c r="A2263" s="21" t="n">
        <v>2309</v>
      </c>
      <c r="B2263" s="21" t="inlineStr">
        <is>
          <t>Cavite</t>
        </is>
      </c>
      <c r="C2263" s="21" t="n">
        <v>2005</v>
      </c>
      <c r="D2263" s="21" t="inlineStr">
        <is>
          <t>Philippines</t>
        </is>
      </c>
      <c r="E2263" s="21" t="n">
        <v>80</v>
      </c>
      <c r="F2263" s="21" t="inlineStr">
        <is>
          <t>English</t>
        </is>
      </c>
      <c r="G2263" s="21" t="inlineStr">
        <is>
          <t>Not Rated</t>
        </is>
      </c>
      <c r="H2263" s="22" t="n">
        <v>70071</v>
      </c>
      <c r="I2263" s="22" t="n">
        <v>7000</v>
      </c>
      <c r="J2263" s="21">
        <f>IF(OR(H2263="",H2263=25529689.5),"Yes","No")</f>
        <v/>
      </c>
      <c r="K2263" s="21">
        <f>IF(AND(D2263="USA",C2263&gt;=1980,J2263="No"),"Yes","No")</f>
        <v/>
      </c>
      <c r="L2263" s="26">
        <f>IF(J2263="Yes","",H2263-I2263)</f>
        <v/>
      </c>
      <c r="M2263" s="27">
        <f>IF(OR(J2263="Yes",I2263=0),"",H2263/I2263)</f>
        <v/>
      </c>
      <c r="N2263" s="21">
        <f>IF(J2263="Yes","",IF(H2263&gt;=I2263,1,0))</f>
        <v/>
      </c>
      <c r="O2263" s="21">
        <f>IF(I2263&lt;=5000000,"Under $5M",IF(I2263&lt;=20000000,"$5M-20M",IF(I2263&lt;=50000000,"$20M-50M",IF(I2263&lt;=100000000,"$50M-100M","$100M+"))))</f>
        <v/>
      </c>
      <c r="P2263" s="21">
        <f>IF(E2263&lt;=90,"90 or less",IF(E2263&lt;=105,"91-105",IF(E2263&lt;=120,"106-120",IF(E2263&lt;=140,"121-140","Over 140"))))</f>
        <v/>
      </c>
      <c r="Q2263" s="28">
        <f>INT(C2263/10)*10</f>
        <v/>
      </c>
    </row>
    <row r="2264">
      <c r="A2264" s="21" t="n">
        <v>2310</v>
      </c>
      <c r="B2264" s="21" t="inlineStr">
        <is>
          <t>Charlie and the Chocolate Factory</t>
        </is>
      </c>
      <c r="C2264" s="21" t="n">
        <v>2005</v>
      </c>
      <c r="D2264" s="21" t="inlineStr">
        <is>
          <t>USA</t>
        </is>
      </c>
      <c r="E2264" s="21" t="n">
        <v>115</v>
      </c>
      <c r="F2264" s="21" t="inlineStr">
        <is>
          <t>English</t>
        </is>
      </c>
      <c r="G2264" s="21" t="inlineStr">
        <is>
          <t>PG</t>
        </is>
      </c>
      <c r="H2264" s="22" t="n">
        <v>206456431</v>
      </c>
      <c r="I2264" s="22" t="n">
        <v>150000000</v>
      </c>
      <c r="J2264" s="21">
        <f>IF(OR(H2264="",H2264=25529689.5),"Yes","No")</f>
        <v/>
      </c>
      <c r="K2264" s="21">
        <f>IF(AND(D2264="USA",C2264&gt;=1980,J2264="No"),"Yes","No")</f>
        <v/>
      </c>
      <c r="L2264" s="26">
        <f>IF(J2264="Yes","",H2264-I2264)</f>
        <v/>
      </c>
      <c r="M2264" s="27">
        <f>IF(OR(J2264="Yes",I2264=0),"",H2264/I2264)</f>
        <v/>
      </c>
      <c r="N2264" s="21">
        <f>IF(J2264="Yes","",IF(H2264&gt;=I2264,1,0))</f>
        <v/>
      </c>
      <c r="O2264" s="21">
        <f>IF(I2264&lt;=5000000,"Under $5M",IF(I2264&lt;=20000000,"$5M-20M",IF(I2264&lt;=50000000,"$20M-50M",IF(I2264&lt;=100000000,"$50M-100M","$100M+"))))</f>
        <v/>
      </c>
      <c r="P2264" s="21">
        <f>IF(E2264&lt;=90,"90 or less",IF(E2264&lt;=105,"91-105",IF(E2264&lt;=120,"106-120",IF(E2264&lt;=140,"121-140","Over 140"))))</f>
        <v/>
      </c>
      <c r="Q2264" s="28">
        <f>INT(C2264/10)*10</f>
        <v/>
      </c>
    </row>
    <row r="2265">
      <c r="A2265" s="21" t="n">
        <v>2311</v>
      </c>
      <c r="B2265" s="21" t="inlineStr">
        <is>
          <t>Cheaper by the Dozen 2</t>
        </is>
      </c>
      <c r="C2265" s="21" t="n">
        <v>2005</v>
      </c>
      <c r="D2265" s="21" t="inlineStr">
        <is>
          <t>USA</t>
        </is>
      </c>
      <c r="E2265" s="21" t="n">
        <v>94</v>
      </c>
      <c r="F2265" s="21" t="inlineStr">
        <is>
          <t>English</t>
        </is>
      </c>
      <c r="G2265" s="21" t="inlineStr">
        <is>
          <t>PG</t>
        </is>
      </c>
      <c r="H2265" s="22" t="n">
        <v>82569532</v>
      </c>
      <c r="I2265" s="22" t="n">
        <v>60000000</v>
      </c>
      <c r="J2265" s="21">
        <f>IF(OR(H2265="",H2265=25529689.5),"Yes","No")</f>
        <v/>
      </c>
      <c r="K2265" s="21">
        <f>IF(AND(D2265="USA",C2265&gt;=1980,J2265="No"),"Yes","No")</f>
        <v/>
      </c>
      <c r="L2265" s="26">
        <f>IF(J2265="Yes","",H2265-I2265)</f>
        <v/>
      </c>
      <c r="M2265" s="27">
        <f>IF(OR(J2265="Yes",I2265=0),"",H2265/I2265)</f>
        <v/>
      </c>
      <c r="N2265" s="21">
        <f>IF(J2265="Yes","",IF(H2265&gt;=I2265,1,0))</f>
        <v/>
      </c>
      <c r="O2265" s="21">
        <f>IF(I2265&lt;=5000000,"Under $5M",IF(I2265&lt;=20000000,"$5M-20M",IF(I2265&lt;=50000000,"$20M-50M",IF(I2265&lt;=100000000,"$50M-100M","$100M+"))))</f>
        <v/>
      </c>
      <c r="P2265" s="21">
        <f>IF(E2265&lt;=90,"90 or less",IF(E2265&lt;=105,"91-105",IF(E2265&lt;=120,"106-120",IF(E2265&lt;=140,"121-140","Over 140"))))</f>
        <v/>
      </c>
      <c r="Q2265" s="28">
        <f>INT(C2265/10)*10</f>
        <v/>
      </c>
    </row>
    <row r="2266">
      <c r="A2266" s="21" t="n">
        <v>2312</v>
      </c>
      <c r="B2266" s="21" t="inlineStr">
        <is>
          <t>Chicken Little</t>
        </is>
      </c>
      <c r="C2266" s="21" t="n">
        <v>2005</v>
      </c>
      <c r="D2266" s="21" t="inlineStr">
        <is>
          <t>USA</t>
        </is>
      </c>
      <c r="E2266" s="21" t="n">
        <v>81</v>
      </c>
      <c r="F2266" s="21" t="inlineStr">
        <is>
          <t>English</t>
        </is>
      </c>
      <c r="G2266" s="21" t="inlineStr">
        <is>
          <t>G</t>
        </is>
      </c>
      <c r="H2266" s="22" t="n">
        <v>135381507</v>
      </c>
      <c r="I2266" s="22" t="n">
        <v>150000000</v>
      </c>
      <c r="J2266" s="21">
        <f>IF(OR(H2266="",H2266=25529689.5),"Yes","No")</f>
        <v/>
      </c>
      <c r="K2266" s="21">
        <f>IF(AND(D2266="USA",C2266&gt;=1980,J2266="No"),"Yes","No")</f>
        <v/>
      </c>
      <c r="L2266" s="26">
        <f>IF(J2266="Yes","",H2266-I2266)</f>
        <v/>
      </c>
      <c r="M2266" s="27">
        <f>IF(OR(J2266="Yes",I2266=0),"",H2266/I2266)</f>
        <v/>
      </c>
      <c r="N2266" s="21">
        <f>IF(J2266="Yes","",IF(H2266&gt;=I2266,1,0))</f>
        <v/>
      </c>
      <c r="O2266" s="21">
        <f>IF(I2266&lt;=5000000,"Under $5M",IF(I2266&lt;=20000000,"$5M-20M",IF(I2266&lt;=50000000,"$20M-50M",IF(I2266&lt;=100000000,"$50M-100M","$100M+"))))</f>
        <v/>
      </c>
      <c r="P2266" s="21">
        <f>IF(E2266&lt;=90,"90 or less",IF(E2266&lt;=105,"91-105",IF(E2266&lt;=120,"106-120",IF(E2266&lt;=140,"121-140","Over 140"))))</f>
        <v/>
      </c>
      <c r="Q2266" s="28">
        <f>INT(C2266/10)*10</f>
        <v/>
      </c>
    </row>
    <row r="2267">
      <c r="A2267" s="21" t="n">
        <v>2313</v>
      </c>
      <c r="B2267" s="21" t="inlineStr">
        <is>
          <t>Chicken Tikka Masala</t>
        </is>
      </c>
      <c r="C2267" s="21" t="n">
        <v>2005</v>
      </c>
      <c r="D2267" s="21" t="inlineStr">
        <is>
          <t>UK</t>
        </is>
      </c>
      <c r="E2267" s="21" t="n">
        <v>90</v>
      </c>
      <c r="F2267" s="21" t="inlineStr">
        <is>
          <t>English</t>
        </is>
      </c>
      <c r="G2267" s="21" t="n"/>
      <c r="H2267" s="22" t="n">
        <v>25529689.5</v>
      </c>
      <c r="I2267" s="22" t="n">
        <v>1200000</v>
      </c>
      <c r="J2267" s="21">
        <f>IF(OR(H2267="",H2267=25529689.5),"Yes","No")</f>
        <v/>
      </c>
      <c r="K2267" s="21">
        <f>IF(AND(D2267="USA",C2267&gt;=1980,J2267="No"),"Yes","No")</f>
        <v/>
      </c>
      <c r="L2267" s="26">
        <f>IF(J2267="Yes","",H2267-I2267)</f>
        <v/>
      </c>
      <c r="M2267" s="27">
        <f>IF(OR(J2267="Yes",I2267=0),"",H2267/I2267)</f>
        <v/>
      </c>
      <c r="N2267" s="21">
        <f>IF(J2267="Yes","",IF(H2267&gt;=I2267,1,0))</f>
        <v/>
      </c>
      <c r="O2267" s="21">
        <f>IF(I2267&lt;=5000000,"Under $5M",IF(I2267&lt;=20000000,"$5M-20M",IF(I2267&lt;=50000000,"$20M-50M",IF(I2267&lt;=100000000,"$50M-100M","$100M+"))))</f>
        <v/>
      </c>
      <c r="P2267" s="21">
        <f>IF(E2267&lt;=90,"90 or less",IF(E2267&lt;=105,"91-105",IF(E2267&lt;=120,"106-120",IF(E2267&lt;=140,"121-140","Over 140"))))</f>
        <v/>
      </c>
      <c r="Q2267" s="28">
        <f>INT(C2267/10)*10</f>
        <v/>
      </c>
    </row>
    <row r="2268">
      <c r="A2268" s="21" t="n">
        <v>2314</v>
      </c>
      <c r="B2268" s="21" t="inlineStr">
        <is>
          <t>Chocolate: Deep Dark Secrets</t>
        </is>
      </c>
      <c r="C2268" s="21" t="n">
        <v>2005</v>
      </c>
      <c r="D2268" s="21" t="inlineStr">
        <is>
          <t>India</t>
        </is>
      </c>
      <c r="E2268" s="21" t="n">
        <v>160</v>
      </c>
      <c r="F2268" s="21" t="inlineStr">
        <is>
          <t>Hindi</t>
        </is>
      </c>
      <c r="G2268" s="21" t="n"/>
      <c r="H2268" s="22" t="n">
        <v>49000</v>
      </c>
      <c r="I2268" s="22" t="n">
        <v>1500000</v>
      </c>
      <c r="J2268" s="21">
        <f>IF(OR(H2268="",H2268=25529689.5),"Yes","No")</f>
        <v/>
      </c>
      <c r="K2268" s="21">
        <f>IF(AND(D2268="USA",C2268&gt;=1980,J2268="No"),"Yes","No")</f>
        <v/>
      </c>
      <c r="L2268" s="26">
        <f>IF(J2268="Yes","",H2268-I2268)</f>
        <v/>
      </c>
      <c r="M2268" s="27">
        <f>IF(OR(J2268="Yes",I2268=0),"",H2268/I2268)</f>
        <v/>
      </c>
      <c r="N2268" s="21">
        <f>IF(J2268="Yes","",IF(H2268&gt;=I2268,1,0))</f>
        <v/>
      </c>
      <c r="O2268" s="21">
        <f>IF(I2268&lt;=5000000,"Under $5M",IF(I2268&lt;=20000000,"$5M-20M",IF(I2268&lt;=50000000,"$20M-50M",IF(I2268&lt;=100000000,"$50M-100M","$100M+"))))</f>
        <v/>
      </c>
      <c r="P2268" s="21">
        <f>IF(E2268&lt;=90,"90 or less",IF(E2268&lt;=105,"91-105",IF(E2268&lt;=120,"106-120",IF(E2268&lt;=140,"121-140","Over 140"))))</f>
        <v/>
      </c>
      <c r="Q2268" s="28">
        <f>INT(C2268/10)*10</f>
        <v/>
      </c>
    </row>
    <row r="2269">
      <c r="A2269" s="21" t="n">
        <v>2315</v>
      </c>
      <c r="B2269" s="21" t="inlineStr">
        <is>
          <t>Cinderella Man</t>
        </is>
      </c>
      <c r="C2269" s="21" t="n">
        <v>2005</v>
      </c>
      <c r="D2269" s="21" t="inlineStr">
        <is>
          <t>USA</t>
        </is>
      </c>
      <c r="E2269" s="21" t="n">
        <v>144</v>
      </c>
      <c r="F2269" s="21" t="inlineStr">
        <is>
          <t>English</t>
        </is>
      </c>
      <c r="G2269" s="21" t="inlineStr">
        <is>
          <t>PG-13</t>
        </is>
      </c>
      <c r="H2269" s="22" t="n">
        <v>61644321</v>
      </c>
      <c r="I2269" s="22" t="n">
        <v>88000000</v>
      </c>
      <c r="J2269" s="21">
        <f>IF(OR(H2269="",H2269=25529689.5),"Yes","No")</f>
        <v/>
      </c>
      <c r="K2269" s="21">
        <f>IF(AND(D2269="USA",C2269&gt;=1980,J2269="No"),"Yes","No")</f>
        <v/>
      </c>
      <c r="L2269" s="26">
        <f>IF(J2269="Yes","",H2269-I2269)</f>
        <v/>
      </c>
      <c r="M2269" s="27">
        <f>IF(OR(J2269="Yes",I2269=0),"",H2269/I2269)</f>
        <v/>
      </c>
      <c r="N2269" s="21">
        <f>IF(J2269="Yes","",IF(H2269&gt;=I2269,1,0))</f>
        <v/>
      </c>
      <c r="O2269" s="21">
        <f>IF(I2269&lt;=5000000,"Under $5M",IF(I2269&lt;=20000000,"$5M-20M",IF(I2269&lt;=50000000,"$20M-50M",IF(I2269&lt;=100000000,"$50M-100M","$100M+"))))</f>
        <v/>
      </c>
      <c r="P2269" s="21">
        <f>IF(E2269&lt;=90,"90 or less",IF(E2269&lt;=105,"91-105",IF(E2269&lt;=120,"106-120",IF(E2269&lt;=140,"121-140","Over 140"))))</f>
        <v/>
      </c>
      <c r="Q2269" s="28">
        <f>INT(C2269/10)*10</f>
        <v/>
      </c>
    </row>
    <row r="2270">
      <c r="A2270" s="21" t="n">
        <v>2316</v>
      </c>
      <c r="B2270" s="21" t="inlineStr">
        <is>
          <t>Coach Carter</t>
        </is>
      </c>
      <c r="C2270" s="21" t="n">
        <v>2005</v>
      </c>
      <c r="D2270" s="21" t="inlineStr">
        <is>
          <t>USA</t>
        </is>
      </c>
      <c r="E2270" s="21" t="n">
        <v>136</v>
      </c>
      <c r="F2270" s="21" t="inlineStr">
        <is>
          <t>English</t>
        </is>
      </c>
      <c r="G2270" s="21" t="inlineStr">
        <is>
          <t>PG-13</t>
        </is>
      </c>
      <c r="H2270" s="22" t="n">
        <v>67253092</v>
      </c>
      <c r="I2270" s="22" t="n">
        <v>30000000</v>
      </c>
      <c r="J2270" s="21">
        <f>IF(OR(H2270="",H2270=25529689.5),"Yes","No")</f>
        <v/>
      </c>
      <c r="K2270" s="21">
        <f>IF(AND(D2270="USA",C2270&gt;=1980,J2270="No"),"Yes","No")</f>
        <v/>
      </c>
      <c r="L2270" s="26">
        <f>IF(J2270="Yes","",H2270-I2270)</f>
        <v/>
      </c>
      <c r="M2270" s="27">
        <f>IF(OR(J2270="Yes",I2270=0),"",H2270/I2270)</f>
        <v/>
      </c>
      <c r="N2270" s="21">
        <f>IF(J2270="Yes","",IF(H2270&gt;=I2270,1,0))</f>
        <v/>
      </c>
      <c r="O2270" s="21">
        <f>IF(I2270&lt;=5000000,"Under $5M",IF(I2270&lt;=20000000,"$5M-20M",IF(I2270&lt;=50000000,"$20M-50M",IF(I2270&lt;=100000000,"$50M-100M","$100M+"))))</f>
        <v/>
      </c>
      <c r="P2270" s="21">
        <f>IF(E2270&lt;=90,"90 or less",IF(E2270&lt;=105,"91-105",IF(E2270&lt;=120,"106-120",IF(E2270&lt;=140,"121-140","Over 140"))))</f>
        <v/>
      </c>
      <c r="Q2270" s="28">
        <f>INT(C2270/10)*10</f>
        <v/>
      </c>
    </row>
    <row r="2271">
      <c r="A2271" s="21" t="n">
        <v>2317</v>
      </c>
      <c r="B2271" s="21" t="inlineStr">
        <is>
          <t>Conversations with Other Women</t>
        </is>
      </c>
      <c r="C2271" s="21" t="n">
        <v>2005</v>
      </c>
      <c r="D2271" s="21" t="inlineStr">
        <is>
          <t>UK</t>
        </is>
      </c>
      <c r="E2271" s="21" t="n">
        <v>84</v>
      </c>
      <c r="F2271" s="21" t="inlineStr">
        <is>
          <t>English</t>
        </is>
      </c>
      <c r="G2271" s="21" t="inlineStr">
        <is>
          <t>R</t>
        </is>
      </c>
      <c r="H2271" s="22" t="n">
        <v>379122</v>
      </c>
      <c r="I2271" s="22" t="n">
        <v>450000</v>
      </c>
      <c r="J2271" s="21">
        <f>IF(OR(H2271="",H2271=25529689.5),"Yes","No")</f>
        <v/>
      </c>
      <c r="K2271" s="21">
        <f>IF(AND(D2271="USA",C2271&gt;=1980,J2271="No"),"Yes","No")</f>
        <v/>
      </c>
      <c r="L2271" s="26">
        <f>IF(J2271="Yes","",H2271-I2271)</f>
        <v/>
      </c>
      <c r="M2271" s="27">
        <f>IF(OR(J2271="Yes",I2271=0),"",H2271/I2271)</f>
        <v/>
      </c>
      <c r="N2271" s="21">
        <f>IF(J2271="Yes","",IF(H2271&gt;=I2271,1,0))</f>
        <v/>
      </c>
      <c r="O2271" s="21">
        <f>IF(I2271&lt;=5000000,"Under $5M",IF(I2271&lt;=20000000,"$5M-20M",IF(I2271&lt;=50000000,"$20M-50M",IF(I2271&lt;=100000000,"$50M-100M","$100M+"))))</f>
        <v/>
      </c>
      <c r="P2271" s="21">
        <f>IF(E2271&lt;=90,"90 or less",IF(E2271&lt;=105,"91-105",IF(E2271&lt;=120,"106-120",IF(E2271&lt;=140,"121-140","Over 140"))))</f>
        <v/>
      </c>
      <c r="Q2271" s="28">
        <f>INT(C2271/10)*10</f>
        <v/>
      </c>
    </row>
    <row r="2272">
      <c r="A2272" s="21" t="n">
        <v>2318</v>
      </c>
      <c r="B2272" s="21" t="inlineStr">
        <is>
          <t>Corpse Bride</t>
        </is>
      </c>
      <c r="C2272" s="21" t="n">
        <v>2005</v>
      </c>
      <c r="D2272" s="21" t="inlineStr">
        <is>
          <t>USA</t>
        </is>
      </c>
      <c r="E2272" s="21" t="n">
        <v>77</v>
      </c>
      <c r="F2272" s="21" t="inlineStr">
        <is>
          <t>English</t>
        </is>
      </c>
      <c r="G2272" s="21" t="inlineStr">
        <is>
          <t>PG</t>
        </is>
      </c>
      <c r="H2272" s="22" t="n">
        <v>53337608</v>
      </c>
      <c r="I2272" s="22" t="n">
        <v>40000000</v>
      </c>
      <c r="J2272" s="21">
        <f>IF(OR(H2272="",H2272=25529689.5),"Yes","No")</f>
        <v/>
      </c>
      <c r="K2272" s="21">
        <f>IF(AND(D2272="USA",C2272&gt;=1980,J2272="No"),"Yes","No")</f>
        <v/>
      </c>
      <c r="L2272" s="26">
        <f>IF(J2272="Yes","",H2272-I2272)</f>
        <v/>
      </c>
      <c r="M2272" s="27">
        <f>IF(OR(J2272="Yes",I2272=0),"",H2272/I2272)</f>
        <v/>
      </c>
      <c r="N2272" s="21">
        <f>IF(J2272="Yes","",IF(H2272&gt;=I2272,1,0))</f>
        <v/>
      </c>
      <c r="O2272" s="21">
        <f>IF(I2272&lt;=5000000,"Under $5M",IF(I2272&lt;=20000000,"$5M-20M",IF(I2272&lt;=50000000,"$20M-50M",IF(I2272&lt;=100000000,"$50M-100M","$100M+"))))</f>
        <v/>
      </c>
      <c r="P2272" s="21">
        <f>IF(E2272&lt;=90,"90 or less",IF(E2272&lt;=105,"91-105",IF(E2272&lt;=120,"106-120",IF(E2272&lt;=140,"121-140","Over 140"))))</f>
        <v/>
      </c>
      <c r="Q2272" s="28">
        <f>INT(C2272/10)*10</f>
        <v/>
      </c>
    </row>
    <row r="2273">
      <c r="A2273" s="21" t="n">
        <v>2319</v>
      </c>
      <c r="B2273" s="21" t="inlineStr">
        <is>
          <t>Cry_Wolf</t>
        </is>
      </c>
      <c r="C2273" s="21" t="n">
        <v>2005</v>
      </c>
      <c r="D2273" s="21" t="inlineStr">
        <is>
          <t>USA</t>
        </is>
      </c>
      <c r="E2273" s="21" t="n">
        <v>90</v>
      </c>
      <c r="F2273" s="21" t="inlineStr">
        <is>
          <t>English</t>
        </is>
      </c>
      <c r="G2273" s="21" t="inlineStr">
        <is>
          <t>PG-13</t>
        </is>
      </c>
      <c r="H2273" s="22" t="n">
        <v>10042266</v>
      </c>
      <c r="I2273" s="22" t="n">
        <v>1000000</v>
      </c>
      <c r="J2273" s="21">
        <f>IF(OR(H2273="",H2273=25529689.5),"Yes","No")</f>
        <v/>
      </c>
      <c r="K2273" s="21">
        <f>IF(AND(D2273="USA",C2273&gt;=1980,J2273="No"),"Yes","No")</f>
        <v/>
      </c>
      <c r="L2273" s="26">
        <f>IF(J2273="Yes","",H2273-I2273)</f>
        <v/>
      </c>
      <c r="M2273" s="27">
        <f>IF(OR(J2273="Yes",I2273=0),"",H2273/I2273)</f>
        <v/>
      </c>
      <c r="N2273" s="21">
        <f>IF(J2273="Yes","",IF(H2273&gt;=I2273,1,0))</f>
        <v/>
      </c>
      <c r="O2273" s="21">
        <f>IF(I2273&lt;=5000000,"Under $5M",IF(I2273&lt;=20000000,"$5M-20M",IF(I2273&lt;=50000000,"$20M-50M",IF(I2273&lt;=100000000,"$50M-100M","$100M+"))))</f>
        <v/>
      </c>
      <c r="P2273" s="21">
        <f>IF(E2273&lt;=90,"90 or less",IF(E2273&lt;=105,"91-105",IF(E2273&lt;=120,"106-120",IF(E2273&lt;=140,"121-140","Over 140"))))</f>
        <v/>
      </c>
      <c r="Q2273" s="28">
        <f>INT(C2273/10)*10</f>
        <v/>
      </c>
    </row>
    <row r="2274">
      <c r="A2274" s="21" t="n">
        <v>2320</v>
      </c>
      <c r="B2274" s="21" t="inlineStr">
        <is>
          <t>Cursed</t>
        </is>
      </c>
      <c r="C2274" s="21" t="n">
        <v>2005</v>
      </c>
      <c r="D2274" s="21" t="inlineStr">
        <is>
          <t>USA</t>
        </is>
      </c>
      <c r="E2274" s="21" t="n">
        <v>99</v>
      </c>
      <c r="F2274" s="21" t="inlineStr">
        <is>
          <t>English</t>
        </is>
      </c>
      <c r="G2274" s="21" t="inlineStr">
        <is>
          <t>PG-13</t>
        </is>
      </c>
      <c r="H2274" s="22" t="n">
        <v>19294901</v>
      </c>
      <c r="I2274" s="22" t="n">
        <v>35000000</v>
      </c>
      <c r="J2274" s="21">
        <f>IF(OR(H2274="",H2274=25529689.5),"Yes","No")</f>
        <v/>
      </c>
      <c r="K2274" s="21">
        <f>IF(AND(D2274="USA",C2274&gt;=1980,J2274="No"),"Yes","No")</f>
        <v/>
      </c>
      <c r="L2274" s="26">
        <f>IF(J2274="Yes","",H2274-I2274)</f>
        <v/>
      </c>
      <c r="M2274" s="27">
        <f>IF(OR(J2274="Yes",I2274=0),"",H2274/I2274)</f>
        <v/>
      </c>
      <c r="N2274" s="21">
        <f>IF(J2274="Yes","",IF(H2274&gt;=I2274,1,0))</f>
        <v/>
      </c>
      <c r="O2274" s="21">
        <f>IF(I2274&lt;=5000000,"Under $5M",IF(I2274&lt;=20000000,"$5M-20M",IF(I2274&lt;=50000000,"$20M-50M",IF(I2274&lt;=100000000,"$50M-100M","$100M+"))))</f>
        <v/>
      </c>
      <c r="P2274" s="21">
        <f>IF(E2274&lt;=90,"90 or less",IF(E2274&lt;=105,"91-105",IF(E2274&lt;=120,"106-120",IF(E2274&lt;=140,"121-140","Over 140"))))</f>
        <v/>
      </c>
      <c r="Q2274" s="28">
        <f>INT(C2274/10)*10</f>
        <v/>
      </c>
    </row>
    <row r="2275">
      <c r="A2275" s="21" t="n">
        <v>2321</v>
      </c>
      <c r="B2275" s="21" t="inlineStr">
        <is>
          <t>Dark Water</t>
        </is>
      </c>
      <c r="C2275" s="21" t="n">
        <v>2005</v>
      </c>
      <c r="D2275" s="21" t="inlineStr">
        <is>
          <t>USA</t>
        </is>
      </c>
      <c r="E2275" s="21" t="n">
        <v>103</v>
      </c>
      <c r="F2275" s="21" t="inlineStr">
        <is>
          <t>English</t>
        </is>
      </c>
      <c r="G2275" s="21" t="inlineStr">
        <is>
          <t>PG-13</t>
        </is>
      </c>
      <c r="H2275" s="22" t="n">
        <v>25472967</v>
      </c>
      <c r="I2275" s="22" t="n">
        <v>30000000</v>
      </c>
      <c r="J2275" s="21">
        <f>IF(OR(H2275="",H2275=25529689.5),"Yes","No")</f>
        <v/>
      </c>
      <c r="K2275" s="21">
        <f>IF(AND(D2275="USA",C2275&gt;=1980,J2275="No"),"Yes","No")</f>
        <v/>
      </c>
      <c r="L2275" s="26">
        <f>IF(J2275="Yes","",H2275-I2275)</f>
        <v/>
      </c>
      <c r="M2275" s="27">
        <f>IF(OR(J2275="Yes",I2275=0),"",H2275/I2275)</f>
        <v/>
      </c>
      <c r="N2275" s="21">
        <f>IF(J2275="Yes","",IF(H2275&gt;=I2275,1,0))</f>
        <v/>
      </c>
      <c r="O2275" s="21">
        <f>IF(I2275&lt;=5000000,"Under $5M",IF(I2275&lt;=20000000,"$5M-20M",IF(I2275&lt;=50000000,"$20M-50M",IF(I2275&lt;=100000000,"$50M-100M","$100M+"))))</f>
        <v/>
      </c>
      <c r="P2275" s="21">
        <f>IF(E2275&lt;=90,"90 or less",IF(E2275&lt;=105,"91-105",IF(E2275&lt;=120,"106-120",IF(E2275&lt;=140,"121-140","Over 140"))))</f>
        <v/>
      </c>
      <c r="Q2275" s="28">
        <f>INT(C2275/10)*10</f>
        <v/>
      </c>
    </row>
    <row r="2276">
      <c r="A2276" s="21" t="n">
        <v>2322</v>
      </c>
      <c r="B2276" s="21" t="inlineStr">
        <is>
          <t>Dave Chappelle's Block Party</t>
        </is>
      </c>
      <c r="C2276" s="21" t="n">
        <v>2005</v>
      </c>
      <c r="D2276" s="21" t="inlineStr">
        <is>
          <t>USA</t>
        </is>
      </c>
      <c r="E2276" s="21" t="n">
        <v>100</v>
      </c>
      <c r="F2276" s="21" t="inlineStr">
        <is>
          <t>English</t>
        </is>
      </c>
      <c r="G2276" s="21" t="inlineStr">
        <is>
          <t>R</t>
        </is>
      </c>
      <c r="H2276" s="22" t="n">
        <v>11694528</v>
      </c>
      <c r="I2276" s="22" t="n">
        <v>3000000</v>
      </c>
      <c r="J2276" s="21">
        <f>IF(OR(H2276="",H2276=25529689.5),"Yes","No")</f>
        <v/>
      </c>
      <c r="K2276" s="21">
        <f>IF(AND(D2276="USA",C2276&gt;=1980,J2276="No"),"Yes","No")</f>
        <v/>
      </c>
      <c r="L2276" s="26">
        <f>IF(J2276="Yes","",H2276-I2276)</f>
        <v/>
      </c>
      <c r="M2276" s="27">
        <f>IF(OR(J2276="Yes",I2276=0),"",H2276/I2276)</f>
        <v/>
      </c>
      <c r="N2276" s="21">
        <f>IF(J2276="Yes","",IF(H2276&gt;=I2276,1,0))</f>
        <v/>
      </c>
      <c r="O2276" s="21">
        <f>IF(I2276&lt;=5000000,"Under $5M",IF(I2276&lt;=20000000,"$5M-20M",IF(I2276&lt;=50000000,"$20M-50M",IF(I2276&lt;=100000000,"$50M-100M","$100M+"))))</f>
        <v/>
      </c>
      <c r="P2276" s="21">
        <f>IF(E2276&lt;=90,"90 or less",IF(E2276&lt;=105,"91-105",IF(E2276&lt;=120,"106-120",IF(E2276&lt;=140,"121-140","Over 140"))))</f>
        <v/>
      </c>
      <c r="Q2276" s="28">
        <f>INT(C2276/10)*10</f>
        <v/>
      </c>
    </row>
    <row r="2277">
      <c r="A2277" s="21" t="n">
        <v>2323</v>
      </c>
      <c r="B2277" s="21" t="inlineStr">
        <is>
          <t>Derailed</t>
        </is>
      </c>
      <c r="C2277" s="21" t="n">
        <v>2005</v>
      </c>
      <c r="D2277" s="21" t="inlineStr">
        <is>
          <t>USA</t>
        </is>
      </c>
      <c r="E2277" s="21" t="n">
        <v>112</v>
      </c>
      <c r="F2277" s="21" t="inlineStr">
        <is>
          <t>English</t>
        </is>
      </c>
      <c r="G2277" s="21" t="inlineStr">
        <is>
          <t>R</t>
        </is>
      </c>
      <c r="H2277" s="22" t="n">
        <v>36020063</v>
      </c>
      <c r="I2277" s="22" t="n">
        <v>22000000</v>
      </c>
      <c r="J2277" s="21">
        <f>IF(OR(H2277="",H2277=25529689.5),"Yes","No")</f>
        <v/>
      </c>
      <c r="K2277" s="21">
        <f>IF(AND(D2277="USA",C2277&gt;=1980,J2277="No"),"Yes","No")</f>
        <v/>
      </c>
      <c r="L2277" s="26">
        <f>IF(J2277="Yes","",H2277-I2277)</f>
        <v/>
      </c>
      <c r="M2277" s="27">
        <f>IF(OR(J2277="Yes",I2277=0),"",H2277/I2277)</f>
        <v/>
      </c>
      <c r="N2277" s="21">
        <f>IF(J2277="Yes","",IF(H2277&gt;=I2277,1,0))</f>
        <v/>
      </c>
      <c r="O2277" s="21">
        <f>IF(I2277&lt;=5000000,"Under $5M",IF(I2277&lt;=20000000,"$5M-20M",IF(I2277&lt;=50000000,"$20M-50M",IF(I2277&lt;=100000000,"$50M-100M","$100M+"))))</f>
        <v/>
      </c>
      <c r="P2277" s="21">
        <f>IF(E2277&lt;=90,"90 or less",IF(E2277&lt;=105,"91-105",IF(E2277&lt;=120,"106-120",IF(E2277&lt;=140,"121-140","Over 140"))))</f>
        <v/>
      </c>
      <c r="Q2277" s="28">
        <f>INT(C2277/10)*10</f>
        <v/>
      </c>
    </row>
    <row r="2278">
      <c r="A2278" s="21" t="n">
        <v>2324</v>
      </c>
      <c r="B2278" s="21" t="inlineStr">
        <is>
          <t>Deuce Bigalow: European Gigolo</t>
        </is>
      </c>
      <c r="C2278" s="21" t="n">
        <v>2005</v>
      </c>
      <c r="D2278" s="21" t="inlineStr">
        <is>
          <t>USA</t>
        </is>
      </c>
      <c r="E2278" s="21" t="n">
        <v>83</v>
      </c>
      <c r="F2278" s="21" t="inlineStr">
        <is>
          <t>English</t>
        </is>
      </c>
      <c r="G2278" s="21" t="inlineStr">
        <is>
          <t>R</t>
        </is>
      </c>
      <c r="H2278" s="22" t="n">
        <v>22264487</v>
      </c>
      <c r="I2278" s="22" t="n">
        <v>22000000</v>
      </c>
      <c r="J2278" s="21">
        <f>IF(OR(H2278="",H2278=25529689.5),"Yes","No")</f>
        <v/>
      </c>
      <c r="K2278" s="21">
        <f>IF(AND(D2278="USA",C2278&gt;=1980,J2278="No"),"Yes","No")</f>
        <v/>
      </c>
      <c r="L2278" s="26">
        <f>IF(J2278="Yes","",H2278-I2278)</f>
        <v/>
      </c>
      <c r="M2278" s="27">
        <f>IF(OR(J2278="Yes",I2278=0),"",H2278/I2278)</f>
        <v/>
      </c>
      <c r="N2278" s="21">
        <f>IF(J2278="Yes","",IF(H2278&gt;=I2278,1,0))</f>
        <v/>
      </c>
      <c r="O2278" s="21">
        <f>IF(I2278&lt;=5000000,"Under $5M",IF(I2278&lt;=20000000,"$5M-20M",IF(I2278&lt;=50000000,"$20M-50M",IF(I2278&lt;=100000000,"$50M-100M","$100M+"))))</f>
        <v/>
      </c>
      <c r="P2278" s="21">
        <f>IF(E2278&lt;=90,"90 or less",IF(E2278&lt;=105,"91-105",IF(E2278&lt;=120,"106-120",IF(E2278&lt;=140,"121-140","Over 140"))))</f>
        <v/>
      </c>
      <c r="Q2278" s="28">
        <f>INT(C2278/10)*10</f>
        <v/>
      </c>
    </row>
    <row r="2279">
      <c r="A2279" s="21" t="n">
        <v>2325</v>
      </c>
      <c r="B2279" s="21" t="inlineStr">
        <is>
          <t>Diary of a Mad Black Woman</t>
        </is>
      </c>
      <c r="C2279" s="21" t="n">
        <v>2005</v>
      </c>
      <c r="D2279" s="21" t="inlineStr">
        <is>
          <t>USA</t>
        </is>
      </c>
      <c r="E2279" s="21" t="n">
        <v>116</v>
      </c>
      <c r="F2279" s="21" t="inlineStr">
        <is>
          <t>English</t>
        </is>
      </c>
      <c r="G2279" s="21" t="inlineStr">
        <is>
          <t>PG-13</t>
        </is>
      </c>
      <c r="H2279" s="22" t="n">
        <v>50382128</v>
      </c>
      <c r="I2279" s="22" t="n">
        <v>5500000</v>
      </c>
      <c r="J2279" s="21">
        <f>IF(OR(H2279="",H2279=25529689.5),"Yes","No")</f>
        <v/>
      </c>
      <c r="K2279" s="21">
        <f>IF(AND(D2279="USA",C2279&gt;=1980,J2279="No"),"Yes","No")</f>
        <v/>
      </c>
      <c r="L2279" s="26">
        <f>IF(J2279="Yes","",H2279-I2279)</f>
        <v/>
      </c>
      <c r="M2279" s="27">
        <f>IF(OR(J2279="Yes",I2279=0),"",H2279/I2279)</f>
        <v/>
      </c>
      <c r="N2279" s="21">
        <f>IF(J2279="Yes","",IF(H2279&gt;=I2279,1,0))</f>
        <v/>
      </c>
      <c r="O2279" s="21">
        <f>IF(I2279&lt;=5000000,"Under $5M",IF(I2279&lt;=20000000,"$5M-20M",IF(I2279&lt;=50000000,"$20M-50M",IF(I2279&lt;=100000000,"$50M-100M","$100M+"))))</f>
        <v/>
      </c>
      <c r="P2279" s="21">
        <f>IF(E2279&lt;=90,"90 or less",IF(E2279&lt;=105,"91-105",IF(E2279&lt;=120,"106-120",IF(E2279&lt;=140,"121-140","Over 140"))))</f>
        <v/>
      </c>
      <c r="Q2279" s="28">
        <f>INT(C2279/10)*10</f>
        <v/>
      </c>
    </row>
    <row r="2280">
      <c r="A2280" s="21" t="n">
        <v>2326</v>
      </c>
      <c r="B2280" s="21" t="inlineStr">
        <is>
          <t>Dil Jo Bhi Kahey...</t>
        </is>
      </c>
      <c r="C2280" s="21" t="n">
        <v>2005</v>
      </c>
      <c r="D2280" s="21" t="inlineStr">
        <is>
          <t>India</t>
        </is>
      </c>
      <c r="E2280" s="21" t="n">
        <v>104</v>
      </c>
      <c r="F2280" s="21" t="inlineStr">
        <is>
          <t>English</t>
        </is>
      </c>
      <c r="G2280" s="21" t="n"/>
      <c r="H2280" s="22" t="n">
        <v>129319</v>
      </c>
      <c r="I2280" s="22" t="n">
        <v>70000000</v>
      </c>
      <c r="J2280" s="21">
        <f>IF(OR(H2280="",H2280=25529689.5),"Yes","No")</f>
        <v/>
      </c>
      <c r="K2280" s="21">
        <f>IF(AND(D2280="USA",C2280&gt;=1980,J2280="No"),"Yes","No")</f>
        <v/>
      </c>
      <c r="L2280" s="26">
        <f>IF(J2280="Yes","",H2280-I2280)</f>
        <v/>
      </c>
      <c r="M2280" s="27">
        <f>IF(OR(J2280="Yes",I2280=0),"",H2280/I2280)</f>
        <v/>
      </c>
      <c r="N2280" s="21">
        <f>IF(J2280="Yes","",IF(H2280&gt;=I2280,1,0))</f>
        <v/>
      </c>
      <c r="O2280" s="21">
        <f>IF(I2280&lt;=5000000,"Under $5M",IF(I2280&lt;=20000000,"$5M-20M",IF(I2280&lt;=50000000,"$20M-50M",IF(I2280&lt;=100000000,"$50M-100M","$100M+"))))</f>
        <v/>
      </c>
      <c r="P2280" s="21">
        <f>IF(E2280&lt;=90,"90 or less",IF(E2280&lt;=105,"91-105",IF(E2280&lt;=120,"106-120",IF(E2280&lt;=140,"121-140","Over 140"))))</f>
        <v/>
      </c>
      <c r="Q2280" s="28">
        <f>INT(C2280/10)*10</f>
        <v/>
      </c>
    </row>
    <row r="2281">
      <c r="A2281" s="21" t="n">
        <v>2327</v>
      </c>
      <c r="B2281" s="21" t="inlineStr">
        <is>
          <t>Domino</t>
        </is>
      </c>
      <c r="C2281" s="21" t="n">
        <v>2005</v>
      </c>
      <c r="D2281" s="21" t="inlineStr">
        <is>
          <t>France</t>
        </is>
      </c>
      <c r="E2281" s="21" t="n">
        <v>127</v>
      </c>
      <c r="F2281" s="21" t="inlineStr">
        <is>
          <t>English</t>
        </is>
      </c>
      <c r="G2281" s="21" t="inlineStr">
        <is>
          <t>R</t>
        </is>
      </c>
      <c r="H2281" s="22" t="n">
        <v>10137232</v>
      </c>
      <c r="I2281" s="22" t="n">
        <v>50000000</v>
      </c>
      <c r="J2281" s="21">
        <f>IF(OR(H2281="",H2281=25529689.5),"Yes","No")</f>
        <v/>
      </c>
      <c r="K2281" s="21">
        <f>IF(AND(D2281="USA",C2281&gt;=1980,J2281="No"),"Yes","No")</f>
        <v/>
      </c>
      <c r="L2281" s="26">
        <f>IF(J2281="Yes","",H2281-I2281)</f>
        <v/>
      </c>
      <c r="M2281" s="27">
        <f>IF(OR(J2281="Yes",I2281=0),"",H2281/I2281)</f>
        <v/>
      </c>
      <c r="N2281" s="21">
        <f>IF(J2281="Yes","",IF(H2281&gt;=I2281,1,0))</f>
        <v/>
      </c>
      <c r="O2281" s="21">
        <f>IF(I2281&lt;=5000000,"Under $5M",IF(I2281&lt;=20000000,"$5M-20M",IF(I2281&lt;=50000000,"$20M-50M",IF(I2281&lt;=100000000,"$50M-100M","$100M+"))))</f>
        <v/>
      </c>
      <c r="P2281" s="21">
        <f>IF(E2281&lt;=90,"90 or less",IF(E2281&lt;=105,"91-105",IF(E2281&lt;=120,"106-120",IF(E2281&lt;=140,"121-140","Over 140"))))</f>
        <v/>
      </c>
      <c r="Q2281" s="28">
        <f>INT(C2281/10)*10</f>
        <v/>
      </c>
    </row>
    <row r="2282">
      <c r="A2282" s="21" t="n">
        <v>2328</v>
      </c>
      <c r="B2282" s="21" t="inlineStr">
        <is>
          <t>Doom</t>
        </is>
      </c>
      <c r="C2282" s="21" t="n">
        <v>2005</v>
      </c>
      <c r="D2282" s="21" t="inlineStr">
        <is>
          <t>UK</t>
        </is>
      </c>
      <c r="E2282" s="21" t="n">
        <v>113</v>
      </c>
      <c r="F2282" s="21" t="inlineStr">
        <is>
          <t>English</t>
        </is>
      </c>
      <c r="G2282" s="21" t="inlineStr">
        <is>
          <t>R</t>
        </is>
      </c>
      <c r="H2282" s="22" t="n">
        <v>28031250</v>
      </c>
      <c r="I2282" s="22" t="n">
        <v>60000000</v>
      </c>
      <c r="J2282" s="21">
        <f>IF(OR(H2282="",H2282=25529689.5),"Yes","No")</f>
        <v/>
      </c>
      <c r="K2282" s="21">
        <f>IF(AND(D2282="USA",C2282&gt;=1980,J2282="No"),"Yes","No")</f>
        <v/>
      </c>
      <c r="L2282" s="26">
        <f>IF(J2282="Yes","",H2282-I2282)</f>
        <v/>
      </c>
      <c r="M2282" s="27">
        <f>IF(OR(J2282="Yes",I2282=0),"",H2282/I2282)</f>
        <v/>
      </c>
      <c r="N2282" s="21">
        <f>IF(J2282="Yes","",IF(H2282&gt;=I2282,1,0))</f>
        <v/>
      </c>
      <c r="O2282" s="21">
        <f>IF(I2282&lt;=5000000,"Under $5M",IF(I2282&lt;=20000000,"$5M-20M",IF(I2282&lt;=50000000,"$20M-50M",IF(I2282&lt;=100000000,"$50M-100M","$100M+"))))</f>
        <v/>
      </c>
      <c r="P2282" s="21">
        <f>IF(E2282&lt;=90,"90 or less",IF(E2282&lt;=105,"91-105",IF(E2282&lt;=120,"106-120",IF(E2282&lt;=140,"121-140","Over 140"))))</f>
        <v/>
      </c>
      <c r="Q2282" s="28">
        <f>INT(C2282/10)*10</f>
        <v/>
      </c>
    </row>
    <row r="2283">
      <c r="A2283" s="21" t="n">
        <v>2329</v>
      </c>
      <c r="B2283" s="21" t="inlineStr">
        <is>
          <t>Down in the Valley</t>
        </is>
      </c>
      <c r="C2283" s="21" t="n">
        <v>2005</v>
      </c>
      <c r="D2283" s="21" t="inlineStr">
        <is>
          <t>USA</t>
        </is>
      </c>
      <c r="E2283" s="21" t="n">
        <v>108</v>
      </c>
      <c r="F2283" s="21" t="inlineStr">
        <is>
          <t>English</t>
        </is>
      </c>
      <c r="G2283" s="21" t="inlineStr">
        <is>
          <t>R</t>
        </is>
      </c>
      <c r="H2283" s="22" t="n">
        <v>568695</v>
      </c>
      <c r="I2283" s="22" t="n">
        <v>8000000</v>
      </c>
      <c r="J2283" s="21">
        <f>IF(OR(H2283="",H2283=25529689.5),"Yes","No")</f>
        <v/>
      </c>
      <c r="K2283" s="21">
        <f>IF(AND(D2283="USA",C2283&gt;=1980,J2283="No"),"Yes","No")</f>
        <v/>
      </c>
      <c r="L2283" s="26">
        <f>IF(J2283="Yes","",H2283-I2283)</f>
        <v/>
      </c>
      <c r="M2283" s="27">
        <f>IF(OR(J2283="Yes",I2283=0),"",H2283/I2283)</f>
        <v/>
      </c>
      <c r="N2283" s="21">
        <f>IF(J2283="Yes","",IF(H2283&gt;=I2283,1,0))</f>
        <v/>
      </c>
      <c r="O2283" s="21">
        <f>IF(I2283&lt;=5000000,"Under $5M",IF(I2283&lt;=20000000,"$5M-20M",IF(I2283&lt;=50000000,"$20M-50M",IF(I2283&lt;=100000000,"$50M-100M","$100M+"))))</f>
        <v/>
      </c>
      <c r="P2283" s="21">
        <f>IF(E2283&lt;=90,"90 or less",IF(E2283&lt;=105,"91-105",IF(E2283&lt;=120,"106-120",IF(E2283&lt;=140,"121-140","Over 140"))))</f>
        <v/>
      </c>
      <c r="Q2283" s="28">
        <f>INT(C2283/10)*10</f>
        <v/>
      </c>
    </row>
    <row r="2284">
      <c r="A2284" s="21" t="n">
        <v>2330</v>
      </c>
      <c r="B2284" s="21" t="inlineStr">
        <is>
          <t>Dreamer: Inspired by a True Story</t>
        </is>
      </c>
      <c r="C2284" s="21" t="n">
        <v>2005</v>
      </c>
      <c r="D2284" s="21" t="inlineStr">
        <is>
          <t>USA</t>
        </is>
      </c>
      <c r="E2284" s="21" t="n">
        <v>98</v>
      </c>
      <c r="F2284" s="21" t="inlineStr">
        <is>
          <t>English</t>
        </is>
      </c>
      <c r="G2284" s="21" t="inlineStr">
        <is>
          <t>PG</t>
        </is>
      </c>
      <c r="H2284" s="22" t="n">
        <v>32701088</v>
      </c>
      <c r="I2284" s="22" t="n">
        <v>32000000</v>
      </c>
      <c r="J2284" s="21">
        <f>IF(OR(H2284="",H2284=25529689.5),"Yes","No")</f>
        <v/>
      </c>
      <c r="K2284" s="21">
        <f>IF(AND(D2284="USA",C2284&gt;=1980,J2284="No"),"Yes","No")</f>
        <v/>
      </c>
      <c r="L2284" s="26">
        <f>IF(J2284="Yes","",H2284-I2284)</f>
        <v/>
      </c>
      <c r="M2284" s="27">
        <f>IF(OR(J2284="Yes",I2284=0),"",H2284/I2284)</f>
        <v/>
      </c>
      <c r="N2284" s="21">
        <f>IF(J2284="Yes","",IF(H2284&gt;=I2284,1,0))</f>
        <v/>
      </c>
      <c r="O2284" s="21">
        <f>IF(I2284&lt;=5000000,"Under $5M",IF(I2284&lt;=20000000,"$5M-20M",IF(I2284&lt;=50000000,"$20M-50M",IF(I2284&lt;=100000000,"$50M-100M","$100M+"))))</f>
        <v/>
      </c>
      <c r="P2284" s="21">
        <f>IF(E2284&lt;=90,"90 or less",IF(E2284&lt;=105,"91-105",IF(E2284&lt;=120,"106-120",IF(E2284&lt;=140,"121-140","Over 140"))))</f>
        <v/>
      </c>
      <c r="Q2284" s="28">
        <f>INT(C2284/10)*10</f>
        <v/>
      </c>
    </row>
    <row r="2285">
      <c r="A2285" s="21" t="n">
        <v>2331</v>
      </c>
      <c r="B2285" s="21" t="inlineStr">
        <is>
          <t>Duma</t>
        </is>
      </c>
      <c r="C2285" s="21" t="n">
        <v>2005</v>
      </c>
      <c r="D2285" s="21" t="inlineStr">
        <is>
          <t>USA</t>
        </is>
      </c>
      <c r="E2285" s="21" t="n">
        <v>100</v>
      </c>
      <c r="F2285" s="21" t="inlineStr">
        <is>
          <t>English</t>
        </is>
      </c>
      <c r="G2285" s="21" t="inlineStr">
        <is>
          <t>PG</t>
        </is>
      </c>
      <c r="H2285" s="22" t="n">
        <v>860002</v>
      </c>
      <c r="I2285" s="22" t="n">
        <v>12000000</v>
      </c>
      <c r="J2285" s="21">
        <f>IF(OR(H2285="",H2285=25529689.5),"Yes","No")</f>
        <v/>
      </c>
      <c r="K2285" s="21">
        <f>IF(AND(D2285="USA",C2285&gt;=1980,J2285="No"),"Yes","No")</f>
        <v/>
      </c>
      <c r="L2285" s="26">
        <f>IF(J2285="Yes","",H2285-I2285)</f>
        <v/>
      </c>
      <c r="M2285" s="27">
        <f>IF(OR(J2285="Yes",I2285=0),"",H2285/I2285)</f>
        <v/>
      </c>
      <c r="N2285" s="21">
        <f>IF(J2285="Yes","",IF(H2285&gt;=I2285,1,0))</f>
        <v/>
      </c>
      <c r="O2285" s="21">
        <f>IF(I2285&lt;=5000000,"Under $5M",IF(I2285&lt;=20000000,"$5M-20M",IF(I2285&lt;=50000000,"$20M-50M",IF(I2285&lt;=100000000,"$50M-100M","$100M+"))))</f>
        <v/>
      </c>
      <c r="P2285" s="21">
        <f>IF(E2285&lt;=90,"90 or less",IF(E2285&lt;=105,"91-105",IF(E2285&lt;=120,"106-120",IF(E2285&lt;=140,"121-140","Over 140"))))</f>
        <v/>
      </c>
      <c r="Q2285" s="28">
        <f>INT(C2285/10)*10</f>
        <v/>
      </c>
    </row>
    <row r="2286">
      <c r="A2286" s="21" t="n">
        <v>2332</v>
      </c>
      <c r="B2286" s="21" t="inlineStr">
        <is>
          <t>Dungeons &amp; Dragons: Wrath of the Dragon God</t>
        </is>
      </c>
      <c r="C2286" s="21" t="n">
        <v>2005</v>
      </c>
      <c r="D2286" s="21" t="inlineStr">
        <is>
          <t>Germany</t>
        </is>
      </c>
      <c r="E2286" s="21" t="n">
        <v>105</v>
      </c>
      <c r="F2286" s="21" t="inlineStr">
        <is>
          <t>English</t>
        </is>
      </c>
      <c r="G2286" s="21" t="inlineStr">
        <is>
          <t>Not Rated</t>
        </is>
      </c>
      <c r="H2286" s="22" t="n">
        <v>25529689.5</v>
      </c>
      <c r="I2286" s="22" t="n">
        <v>15000000</v>
      </c>
      <c r="J2286" s="21">
        <f>IF(OR(H2286="",H2286=25529689.5),"Yes","No")</f>
        <v/>
      </c>
      <c r="K2286" s="21">
        <f>IF(AND(D2286="USA",C2286&gt;=1980,J2286="No"),"Yes","No")</f>
        <v/>
      </c>
      <c r="L2286" s="26">
        <f>IF(J2286="Yes","",H2286-I2286)</f>
        <v/>
      </c>
      <c r="M2286" s="27">
        <f>IF(OR(J2286="Yes",I2286=0),"",H2286/I2286)</f>
        <v/>
      </c>
      <c r="N2286" s="21">
        <f>IF(J2286="Yes","",IF(H2286&gt;=I2286,1,0))</f>
        <v/>
      </c>
      <c r="O2286" s="21">
        <f>IF(I2286&lt;=5000000,"Under $5M",IF(I2286&lt;=20000000,"$5M-20M",IF(I2286&lt;=50000000,"$20M-50M",IF(I2286&lt;=100000000,"$50M-100M","$100M+"))))</f>
        <v/>
      </c>
      <c r="P2286" s="21">
        <f>IF(E2286&lt;=90,"90 or less",IF(E2286&lt;=105,"91-105",IF(E2286&lt;=120,"106-120",IF(E2286&lt;=140,"121-140","Over 140"))))</f>
        <v/>
      </c>
      <c r="Q2286" s="28">
        <f>INT(C2286/10)*10</f>
        <v/>
      </c>
    </row>
    <row r="2287">
      <c r="A2287" s="21" t="n">
        <v>2333</v>
      </c>
      <c r="B2287" s="21" t="inlineStr">
        <is>
          <t>Edmond</t>
        </is>
      </c>
      <c r="C2287" s="21" t="n">
        <v>2005</v>
      </c>
      <c r="D2287" s="21" t="inlineStr">
        <is>
          <t>USA</t>
        </is>
      </c>
      <c r="E2287" s="21" t="n">
        <v>82</v>
      </c>
      <c r="F2287" s="21" t="inlineStr">
        <is>
          <t>English</t>
        </is>
      </c>
      <c r="G2287" s="21" t="inlineStr">
        <is>
          <t>R</t>
        </is>
      </c>
      <c r="H2287" s="22" t="n">
        <v>131617</v>
      </c>
      <c r="I2287" s="22" t="n">
        <v>10000000</v>
      </c>
      <c r="J2287" s="21">
        <f>IF(OR(H2287="",H2287=25529689.5),"Yes","No")</f>
        <v/>
      </c>
      <c r="K2287" s="21">
        <f>IF(AND(D2287="USA",C2287&gt;=1980,J2287="No"),"Yes","No")</f>
        <v/>
      </c>
      <c r="L2287" s="26">
        <f>IF(J2287="Yes","",H2287-I2287)</f>
        <v/>
      </c>
      <c r="M2287" s="27">
        <f>IF(OR(J2287="Yes",I2287=0),"",H2287/I2287)</f>
        <v/>
      </c>
      <c r="N2287" s="21">
        <f>IF(J2287="Yes","",IF(H2287&gt;=I2287,1,0))</f>
        <v/>
      </c>
      <c r="O2287" s="21">
        <f>IF(I2287&lt;=5000000,"Under $5M",IF(I2287&lt;=20000000,"$5M-20M",IF(I2287&lt;=50000000,"$20M-50M",IF(I2287&lt;=100000000,"$50M-100M","$100M+"))))</f>
        <v/>
      </c>
      <c r="P2287" s="21">
        <f>IF(E2287&lt;=90,"90 or less",IF(E2287&lt;=105,"91-105",IF(E2287&lt;=120,"106-120",IF(E2287&lt;=140,"121-140","Over 140"))))</f>
        <v/>
      </c>
      <c r="Q2287" s="28">
        <f>INT(C2287/10)*10</f>
        <v/>
      </c>
    </row>
    <row r="2288">
      <c r="A2288" s="21" t="n">
        <v>2334</v>
      </c>
      <c r="B2288" s="21" t="inlineStr">
        <is>
          <t>Elektra</t>
        </is>
      </c>
      <c r="C2288" s="21" t="n">
        <v>2005</v>
      </c>
      <c r="D2288" s="21" t="inlineStr">
        <is>
          <t>Canada</t>
        </is>
      </c>
      <c r="E2288" s="21" t="n">
        <v>100</v>
      </c>
      <c r="F2288" s="21" t="inlineStr">
        <is>
          <t>English</t>
        </is>
      </c>
      <c r="G2288" s="21" t="inlineStr">
        <is>
          <t>PG-13</t>
        </is>
      </c>
      <c r="H2288" s="22" t="n">
        <v>24407944</v>
      </c>
      <c r="I2288" s="22" t="n">
        <v>43000000</v>
      </c>
      <c r="J2288" s="21">
        <f>IF(OR(H2288="",H2288=25529689.5),"Yes","No")</f>
        <v/>
      </c>
      <c r="K2288" s="21">
        <f>IF(AND(D2288="USA",C2288&gt;=1980,J2288="No"),"Yes","No")</f>
        <v/>
      </c>
      <c r="L2288" s="26">
        <f>IF(J2288="Yes","",H2288-I2288)</f>
        <v/>
      </c>
      <c r="M2288" s="27">
        <f>IF(OR(J2288="Yes",I2288=0),"",H2288/I2288)</f>
        <v/>
      </c>
      <c r="N2288" s="21">
        <f>IF(J2288="Yes","",IF(H2288&gt;=I2288,1,0))</f>
        <v/>
      </c>
      <c r="O2288" s="21">
        <f>IF(I2288&lt;=5000000,"Under $5M",IF(I2288&lt;=20000000,"$5M-20M",IF(I2288&lt;=50000000,"$20M-50M",IF(I2288&lt;=100000000,"$50M-100M","$100M+"))))</f>
        <v/>
      </c>
      <c r="P2288" s="21">
        <f>IF(E2288&lt;=90,"90 or less",IF(E2288&lt;=105,"91-105",IF(E2288&lt;=120,"106-120",IF(E2288&lt;=140,"121-140","Over 140"))))</f>
        <v/>
      </c>
      <c r="Q2288" s="28">
        <f>INT(C2288/10)*10</f>
        <v/>
      </c>
    </row>
    <row r="2289">
      <c r="A2289" s="21" t="n">
        <v>2335</v>
      </c>
      <c r="B2289" s="21" t="inlineStr">
        <is>
          <t>Elizabethtown</t>
        </is>
      </c>
      <c r="C2289" s="21" t="n">
        <v>2005</v>
      </c>
      <c r="D2289" s="21" t="inlineStr">
        <is>
          <t>USA</t>
        </is>
      </c>
      <c r="E2289" s="21" t="n">
        <v>123</v>
      </c>
      <c r="F2289" s="21" t="inlineStr">
        <is>
          <t>English</t>
        </is>
      </c>
      <c r="G2289" s="21" t="inlineStr">
        <is>
          <t>PG-13</t>
        </is>
      </c>
      <c r="H2289" s="22" t="n">
        <v>26838389</v>
      </c>
      <c r="I2289" s="22" t="n">
        <v>57000000</v>
      </c>
      <c r="J2289" s="21">
        <f>IF(OR(H2289="",H2289=25529689.5),"Yes","No")</f>
        <v/>
      </c>
      <c r="K2289" s="21">
        <f>IF(AND(D2289="USA",C2289&gt;=1980,J2289="No"),"Yes","No")</f>
        <v/>
      </c>
      <c r="L2289" s="26">
        <f>IF(J2289="Yes","",H2289-I2289)</f>
        <v/>
      </c>
      <c r="M2289" s="27">
        <f>IF(OR(J2289="Yes",I2289=0),"",H2289/I2289)</f>
        <v/>
      </c>
      <c r="N2289" s="21">
        <f>IF(J2289="Yes","",IF(H2289&gt;=I2289,1,0))</f>
        <v/>
      </c>
      <c r="O2289" s="21">
        <f>IF(I2289&lt;=5000000,"Under $5M",IF(I2289&lt;=20000000,"$5M-20M",IF(I2289&lt;=50000000,"$20M-50M",IF(I2289&lt;=100000000,"$50M-100M","$100M+"))))</f>
        <v/>
      </c>
      <c r="P2289" s="21">
        <f>IF(E2289&lt;=90,"90 or less",IF(E2289&lt;=105,"91-105",IF(E2289&lt;=120,"106-120",IF(E2289&lt;=140,"121-140","Over 140"))))</f>
        <v/>
      </c>
      <c r="Q2289" s="28">
        <f>INT(C2289/10)*10</f>
        <v/>
      </c>
    </row>
    <row r="2290">
      <c r="A2290" s="21" t="n">
        <v>2336</v>
      </c>
      <c r="B2290" s="21" t="inlineStr">
        <is>
          <t>End of the Spear</t>
        </is>
      </c>
      <c r="C2290" s="21" t="n">
        <v>2005</v>
      </c>
      <c r="D2290" s="21" t="inlineStr">
        <is>
          <t>USA</t>
        </is>
      </c>
      <c r="E2290" s="21" t="n">
        <v>108</v>
      </c>
      <c r="F2290" s="21" t="inlineStr">
        <is>
          <t>English</t>
        </is>
      </c>
      <c r="G2290" s="21" t="inlineStr">
        <is>
          <t>PG-13</t>
        </is>
      </c>
      <c r="H2290" s="22" t="n">
        <v>11703287</v>
      </c>
      <c r="I2290" s="22" t="n">
        <v>10000000</v>
      </c>
      <c r="J2290" s="21">
        <f>IF(OR(H2290="",H2290=25529689.5),"Yes","No")</f>
        <v/>
      </c>
      <c r="K2290" s="21">
        <f>IF(AND(D2290="USA",C2290&gt;=1980,J2290="No"),"Yes","No")</f>
        <v/>
      </c>
      <c r="L2290" s="26">
        <f>IF(J2290="Yes","",H2290-I2290)</f>
        <v/>
      </c>
      <c r="M2290" s="27">
        <f>IF(OR(J2290="Yes",I2290=0),"",H2290/I2290)</f>
        <v/>
      </c>
      <c r="N2290" s="21">
        <f>IF(J2290="Yes","",IF(H2290&gt;=I2290,1,0))</f>
        <v/>
      </c>
      <c r="O2290" s="21">
        <f>IF(I2290&lt;=5000000,"Under $5M",IF(I2290&lt;=20000000,"$5M-20M",IF(I2290&lt;=50000000,"$20M-50M",IF(I2290&lt;=100000000,"$50M-100M","$100M+"))))</f>
        <v/>
      </c>
      <c r="P2290" s="21">
        <f>IF(E2290&lt;=90,"90 or less",IF(E2290&lt;=105,"91-105",IF(E2290&lt;=120,"106-120",IF(E2290&lt;=140,"121-140","Over 140"))))</f>
        <v/>
      </c>
      <c r="Q2290" s="28">
        <f>INT(C2290/10)*10</f>
        <v/>
      </c>
    </row>
    <row r="2291">
      <c r="A2291" s="21" t="n">
        <v>2337</v>
      </c>
      <c r="B2291" s="21" t="inlineStr">
        <is>
          <t>Fateless</t>
        </is>
      </c>
      <c r="C2291" s="21" t="n">
        <v>2005</v>
      </c>
      <c r="D2291" s="21" t="inlineStr">
        <is>
          <t>Hungary</t>
        </is>
      </c>
      <c r="E2291" s="21" t="n">
        <v>134</v>
      </c>
      <c r="F2291" s="21" t="inlineStr">
        <is>
          <t>Hungarian</t>
        </is>
      </c>
      <c r="G2291" s="21" t="inlineStr">
        <is>
          <t>R</t>
        </is>
      </c>
      <c r="H2291" s="22" t="n">
        <v>195888</v>
      </c>
      <c r="I2291" s="22" t="n">
        <v>2500000000</v>
      </c>
      <c r="J2291" s="21">
        <f>IF(OR(H2291="",H2291=25529689.5),"Yes","No")</f>
        <v/>
      </c>
      <c r="K2291" s="21">
        <f>IF(AND(D2291="USA",C2291&gt;=1980,J2291="No"),"Yes","No")</f>
        <v/>
      </c>
      <c r="L2291" s="26">
        <f>IF(J2291="Yes","",H2291-I2291)</f>
        <v/>
      </c>
      <c r="M2291" s="27">
        <f>IF(OR(J2291="Yes",I2291=0),"",H2291/I2291)</f>
        <v/>
      </c>
      <c r="N2291" s="21">
        <f>IF(J2291="Yes","",IF(H2291&gt;=I2291,1,0))</f>
        <v/>
      </c>
      <c r="O2291" s="21">
        <f>IF(I2291&lt;=5000000,"Under $5M",IF(I2291&lt;=20000000,"$5M-20M",IF(I2291&lt;=50000000,"$20M-50M",IF(I2291&lt;=100000000,"$50M-100M","$100M+"))))</f>
        <v/>
      </c>
      <c r="P2291" s="21">
        <f>IF(E2291&lt;=90,"90 or less",IF(E2291&lt;=105,"91-105",IF(E2291&lt;=120,"106-120",IF(E2291&lt;=140,"121-140","Over 140"))))</f>
        <v/>
      </c>
      <c r="Q2291" s="28">
        <f>INT(C2291/10)*10</f>
        <v/>
      </c>
    </row>
    <row r="2292">
      <c r="A2292" s="21" t="n">
        <v>2338</v>
      </c>
      <c r="B2292" s="21" t="inlineStr">
        <is>
          <t>Feast</t>
        </is>
      </c>
      <c r="C2292" s="21" t="n">
        <v>2005</v>
      </c>
      <c r="D2292" s="21" t="inlineStr">
        <is>
          <t>USA</t>
        </is>
      </c>
      <c r="E2292" s="21" t="n">
        <v>95</v>
      </c>
      <c r="F2292" s="21" t="inlineStr">
        <is>
          <t>English</t>
        </is>
      </c>
      <c r="G2292" s="21" t="inlineStr">
        <is>
          <t>R</t>
        </is>
      </c>
      <c r="H2292" s="22" t="n">
        <v>25529689.5</v>
      </c>
      <c r="I2292" s="22" t="n">
        <v>3200000</v>
      </c>
      <c r="J2292" s="21">
        <f>IF(OR(H2292="",H2292=25529689.5),"Yes","No")</f>
        <v/>
      </c>
      <c r="K2292" s="21">
        <f>IF(AND(D2292="USA",C2292&gt;=1980,J2292="No"),"Yes","No")</f>
        <v/>
      </c>
      <c r="L2292" s="26">
        <f>IF(J2292="Yes","",H2292-I2292)</f>
        <v/>
      </c>
      <c r="M2292" s="27">
        <f>IF(OR(J2292="Yes",I2292=0),"",H2292/I2292)</f>
        <v/>
      </c>
      <c r="N2292" s="21">
        <f>IF(J2292="Yes","",IF(H2292&gt;=I2292,1,0))</f>
        <v/>
      </c>
      <c r="O2292" s="21">
        <f>IF(I2292&lt;=5000000,"Under $5M",IF(I2292&lt;=20000000,"$5M-20M",IF(I2292&lt;=50000000,"$20M-50M",IF(I2292&lt;=100000000,"$50M-100M","$100M+"))))</f>
        <v/>
      </c>
      <c r="P2292" s="21">
        <f>IF(E2292&lt;=90,"90 or less",IF(E2292&lt;=105,"91-105",IF(E2292&lt;=120,"106-120",IF(E2292&lt;=140,"121-140","Over 140"))))</f>
        <v/>
      </c>
      <c r="Q2292" s="28">
        <f>INT(C2292/10)*10</f>
        <v/>
      </c>
    </row>
    <row r="2293">
      <c r="A2293" s="21" t="n">
        <v>2339</v>
      </c>
      <c r="B2293" s="21" t="inlineStr">
        <is>
          <t>Fetching Cody</t>
        </is>
      </c>
      <c r="C2293" s="21" t="n">
        <v>2005</v>
      </c>
      <c r="D2293" s="21" t="inlineStr">
        <is>
          <t>Canada</t>
        </is>
      </c>
      <c r="E2293" s="21" t="n">
        <v>87</v>
      </c>
      <c r="F2293" s="21" t="inlineStr">
        <is>
          <t>English</t>
        </is>
      </c>
      <c r="G2293" s="21" t="n"/>
      <c r="H2293" s="22" t="n">
        <v>25529689.5</v>
      </c>
      <c r="I2293" s="22" t="n">
        <v>1500000</v>
      </c>
      <c r="J2293" s="21">
        <f>IF(OR(H2293="",H2293=25529689.5),"Yes","No")</f>
        <v/>
      </c>
      <c r="K2293" s="21">
        <f>IF(AND(D2293="USA",C2293&gt;=1980,J2293="No"),"Yes","No")</f>
        <v/>
      </c>
      <c r="L2293" s="26">
        <f>IF(J2293="Yes","",H2293-I2293)</f>
        <v/>
      </c>
      <c r="M2293" s="27">
        <f>IF(OR(J2293="Yes",I2293=0),"",H2293/I2293)</f>
        <v/>
      </c>
      <c r="N2293" s="21">
        <f>IF(J2293="Yes","",IF(H2293&gt;=I2293,1,0))</f>
        <v/>
      </c>
      <c r="O2293" s="21">
        <f>IF(I2293&lt;=5000000,"Under $5M",IF(I2293&lt;=20000000,"$5M-20M",IF(I2293&lt;=50000000,"$20M-50M",IF(I2293&lt;=100000000,"$50M-100M","$100M+"))))</f>
        <v/>
      </c>
      <c r="P2293" s="21">
        <f>IF(E2293&lt;=90,"90 or less",IF(E2293&lt;=105,"91-105",IF(E2293&lt;=120,"106-120",IF(E2293&lt;=140,"121-140","Over 140"))))</f>
        <v/>
      </c>
      <c r="Q2293" s="28">
        <f>INT(C2293/10)*10</f>
        <v/>
      </c>
    </row>
    <row r="2294">
      <c r="A2294" s="21" t="n">
        <v>2340</v>
      </c>
      <c r="B2294" s="21" t="inlineStr">
        <is>
          <t>Fever Pitch</t>
        </is>
      </c>
      <c r="C2294" s="21" t="n">
        <v>2005</v>
      </c>
      <c r="D2294" s="21" t="inlineStr">
        <is>
          <t>USA</t>
        </is>
      </c>
      <c r="E2294" s="21" t="n">
        <v>104</v>
      </c>
      <c r="F2294" s="21" t="inlineStr">
        <is>
          <t>English</t>
        </is>
      </c>
      <c r="G2294" s="21" t="inlineStr">
        <is>
          <t>PG-13</t>
        </is>
      </c>
      <c r="H2294" s="22" t="n">
        <v>42071069</v>
      </c>
      <c r="I2294" s="22" t="n">
        <v>30000000</v>
      </c>
      <c r="J2294" s="21">
        <f>IF(OR(H2294="",H2294=25529689.5),"Yes","No")</f>
        <v/>
      </c>
      <c r="K2294" s="21">
        <f>IF(AND(D2294="USA",C2294&gt;=1980,J2294="No"),"Yes","No")</f>
        <v/>
      </c>
      <c r="L2294" s="26">
        <f>IF(J2294="Yes","",H2294-I2294)</f>
        <v/>
      </c>
      <c r="M2294" s="27">
        <f>IF(OR(J2294="Yes",I2294=0),"",H2294/I2294)</f>
        <v/>
      </c>
      <c r="N2294" s="21">
        <f>IF(J2294="Yes","",IF(H2294&gt;=I2294,1,0))</f>
        <v/>
      </c>
      <c r="O2294" s="21">
        <f>IF(I2294&lt;=5000000,"Under $5M",IF(I2294&lt;=20000000,"$5M-20M",IF(I2294&lt;=50000000,"$20M-50M",IF(I2294&lt;=100000000,"$50M-100M","$100M+"))))</f>
        <v/>
      </c>
      <c r="P2294" s="21">
        <f>IF(E2294&lt;=90,"90 or less",IF(E2294&lt;=105,"91-105",IF(E2294&lt;=120,"106-120",IF(E2294&lt;=140,"121-140","Over 140"))))</f>
        <v/>
      </c>
      <c r="Q2294" s="28">
        <f>INT(C2294/10)*10</f>
        <v/>
      </c>
    </row>
    <row r="2295">
      <c r="A2295" s="21" t="n">
        <v>2341</v>
      </c>
      <c r="B2295" s="21" t="inlineStr">
        <is>
          <t>Flightplan</t>
        </is>
      </c>
      <c r="C2295" s="21" t="n">
        <v>2005</v>
      </c>
      <c r="D2295" s="21" t="inlineStr">
        <is>
          <t>USA</t>
        </is>
      </c>
      <c r="E2295" s="21" t="n">
        <v>98</v>
      </c>
      <c r="F2295" s="21" t="inlineStr">
        <is>
          <t>English</t>
        </is>
      </c>
      <c r="G2295" s="21" t="inlineStr">
        <is>
          <t>PG-13</t>
        </is>
      </c>
      <c r="H2295" s="22" t="n">
        <v>89706988</v>
      </c>
      <c r="I2295" s="22" t="n">
        <v>55000000</v>
      </c>
      <c r="J2295" s="21">
        <f>IF(OR(H2295="",H2295=25529689.5),"Yes","No")</f>
        <v/>
      </c>
      <c r="K2295" s="21">
        <f>IF(AND(D2295="USA",C2295&gt;=1980,J2295="No"),"Yes","No")</f>
        <v/>
      </c>
      <c r="L2295" s="26">
        <f>IF(J2295="Yes","",H2295-I2295)</f>
        <v/>
      </c>
      <c r="M2295" s="27">
        <f>IF(OR(J2295="Yes",I2295=0),"",H2295/I2295)</f>
        <v/>
      </c>
      <c r="N2295" s="21">
        <f>IF(J2295="Yes","",IF(H2295&gt;=I2295,1,0))</f>
        <v/>
      </c>
      <c r="O2295" s="21">
        <f>IF(I2295&lt;=5000000,"Under $5M",IF(I2295&lt;=20000000,"$5M-20M",IF(I2295&lt;=50000000,"$20M-50M",IF(I2295&lt;=100000000,"$50M-100M","$100M+"))))</f>
        <v/>
      </c>
      <c r="P2295" s="21">
        <f>IF(E2295&lt;=90,"90 or less",IF(E2295&lt;=105,"91-105",IF(E2295&lt;=120,"106-120",IF(E2295&lt;=140,"121-140","Over 140"))))</f>
        <v/>
      </c>
      <c r="Q2295" s="28">
        <f>INT(C2295/10)*10</f>
        <v/>
      </c>
    </row>
    <row r="2296">
      <c r="A2296" s="21" t="n">
        <v>2342</v>
      </c>
      <c r="B2296" s="21" t="inlineStr">
        <is>
          <t>Forty Shades of Blue</t>
        </is>
      </c>
      <c r="C2296" s="21" t="n">
        <v>2005</v>
      </c>
      <c r="D2296" s="21" t="inlineStr">
        <is>
          <t>USA</t>
        </is>
      </c>
      <c r="E2296" s="21" t="n">
        <v>108</v>
      </c>
      <c r="F2296" s="21" t="inlineStr">
        <is>
          <t>English</t>
        </is>
      </c>
      <c r="G2296" s="21" t="inlineStr">
        <is>
          <t>R</t>
        </is>
      </c>
      <c r="H2296" s="22" t="n">
        <v>25529689.5</v>
      </c>
      <c r="I2296" s="22" t="n">
        <v>1500000</v>
      </c>
      <c r="J2296" s="21">
        <f>IF(OR(H2296="",H2296=25529689.5),"Yes","No")</f>
        <v/>
      </c>
      <c r="K2296" s="21">
        <f>IF(AND(D2296="USA",C2296&gt;=1980,J2296="No"),"Yes","No")</f>
        <v/>
      </c>
      <c r="L2296" s="26">
        <f>IF(J2296="Yes","",H2296-I2296)</f>
        <v/>
      </c>
      <c r="M2296" s="27">
        <f>IF(OR(J2296="Yes",I2296=0),"",H2296/I2296)</f>
        <v/>
      </c>
      <c r="N2296" s="21">
        <f>IF(J2296="Yes","",IF(H2296&gt;=I2296,1,0))</f>
        <v/>
      </c>
      <c r="O2296" s="21">
        <f>IF(I2296&lt;=5000000,"Under $5M",IF(I2296&lt;=20000000,"$5M-20M",IF(I2296&lt;=50000000,"$20M-50M",IF(I2296&lt;=100000000,"$50M-100M","$100M+"))))</f>
        <v/>
      </c>
      <c r="P2296" s="21">
        <f>IF(E2296&lt;=90,"90 or less",IF(E2296&lt;=105,"91-105",IF(E2296&lt;=120,"106-120",IF(E2296&lt;=140,"121-140","Over 140"))))</f>
        <v/>
      </c>
      <c r="Q2296" s="28">
        <f>INT(C2296/10)*10</f>
        <v/>
      </c>
    </row>
    <row r="2297">
      <c r="A2297" s="21" t="n">
        <v>2343</v>
      </c>
      <c r="B2297" s="21" t="inlineStr">
        <is>
          <t>Four Brothers</t>
        </is>
      </c>
      <c r="C2297" s="21" t="n">
        <v>2005</v>
      </c>
      <c r="D2297" s="21" t="inlineStr">
        <is>
          <t>USA</t>
        </is>
      </c>
      <c r="E2297" s="21" t="n">
        <v>109</v>
      </c>
      <c r="F2297" s="21" t="inlineStr">
        <is>
          <t>English</t>
        </is>
      </c>
      <c r="G2297" s="21" t="inlineStr">
        <is>
          <t>R</t>
        </is>
      </c>
      <c r="H2297" s="22" t="n">
        <v>74484168</v>
      </c>
      <c r="I2297" s="22" t="n">
        <v>45000000</v>
      </c>
      <c r="J2297" s="21">
        <f>IF(OR(H2297="",H2297=25529689.5),"Yes","No")</f>
        <v/>
      </c>
      <c r="K2297" s="21">
        <f>IF(AND(D2297="USA",C2297&gt;=1980,J2297="No"),"Yes","No")</f>
        <v/>
      </c>
      <c r="L2297" s="26">
        <f>IF(J2297="Yes","",H2297-I2297)</f>
        <v/>
      </c>
      <c r="M2297" s="27">
        <f>IF(OR(J2297="Yes",I2297=0),"",H2297/I2297)</f>
        <v/>
      </c>
      <c r="N2297" s="21">
        <f>IF(J2297="Yes","",IF(H2297&gt;=I2297,1,0))</f>
        <v/>
      </c>
      <c r="O2297" s="21">
        <f>IF(I2297&lt;=5000000,"Under $5M",IF(I2297&lt;=20000000,"$5M-20M",IF(I2297&lt;=50000000,"$20M-50M",IF(I2297&lt;=100000000,"$50M-100M","$100M+"))))</f>
        <v/>
      </c>
      <c r="P2297" s="21">
        <f>IF(E2297&lt;=90,"90 or less",IF(E2297&lt;=105,"91-105",IF(E2297&lt;=120,"106-120",IF(E2297&lt;=140,"121-140","Over 140"))))</f>
        <v/>
      </c>
      <c r="Q2297" s="28">
        <f>INT(C2297/10)*10</f>
        <v/>
      </c>
    </row>
    <row r="2298">
      <c r="A2298" s="21" t="n">
        <v>2344</v>
      </c>
      <c r="B2298" s="21" t="inlineStr">
        <is>
          <t>Fun with Dick and Jane</t>
        </is>
      </c>
      <c r="C2298" s="21" t="n">
        <v>2005</v>
      </c>
      <c r="D2298" s="21" t="inlineStr">
        <is>
          <t>USA</t>
        </is>
      </c>
      <c r="E2298" s="21" t="n">
        <v>90</v>
      </c>
      <c r="F2298" s="21" t="inlineStr">
        <is>
          <t>English</t>
        </is>
      </c>
      <c r="G2298" s="21" t="inlineStr">
        <is>
          <t>PG-13</t>
        </is>
      </c>
      <c r="H2298" s="22" t="n">
        <v>110332737</v>
      </c>
      <c r="I2298" s="22" t="n">
        <v>100000000</v>
      </c>
      <c r="J2298" s="21">
        <f>IF(OR(H2298="",H2298=25529689.5),"Yes","No")</f>
        <v/>
      </c>
      <c r="K2298" s="21">
        <f>IF(AND(D2298="USA",C2298&gt;=1980,J2298="No"),"Yes","No")</f>
        <v/>
      </c>
      <c r="L2298" s="26">
        <f>IF(J2298="Yes","",H2298-I2298)</f>
        <v/>
      </c>
      <c r="M2298" s="27">
        <f>IF(OR(J2298="Yes",I2298=0),"",H2298/I2298)</f>
        <v/>
      </c>
      <c r="N2298" s="21">
        <f>IF(J2298="Yes","",IF(H2298&gt;=I2298,1,0))</f>
        <v/>
      </c>
      <c r="O2298" s="21">
        <f>IF(I2298&lt;=5000000,"Under $5M",IF(I2298&lt;=20000000,"$5M-20M",IF(I2298&lt;=50000000,"$20M-50M",IF(I2298&lt;=100000000,"$50M-100M","$100M+"))))</f>
        <v/>
      </c>
      <c r="P2298" s="21">
        <f>IF(E2298&lt;=90,"90 or less",IF(E2298&lt;=105,"91-105",IF(E2298&lt;=120,"106-120",IF(E2298&lt;=140,"121-140","Over 140"))))</f>
        <v/>
      </c>
      <c r="Q2298" s="28">
        <f>INT(C2298/10)*10</f>
        <v/>
      </c>
    </row>
    <row r="2299">
      <c r="A2299" s="21" t="n">
        <v>2345</v>
      </c>
      <c r="B2299" s="21" t="inlineStr">
        <is>
          <t>Get Rich or Die Tryin'</t>
        </is>
      </c>
      <c r="C2299" s="21" t="n">
        <v>2005</v>
      </c>
      <c r="D2299" s="21" t="inlineStr">
        <is>
          <t>USA</t>
        </is>
      </c>
      <c r="E2299" s="21" t="n">
        <v>117</v>
      </c>
      <c r="F2299" s="21" t="inlineStr">
        <is>
          <t>English</t>
        </is>
      </c>
      <c r="G2299" s="21" t="inlineStr">
        <is>
          <t>R</t>
        </is>
      </c>
      <c r="H2299" s="22" t="n">
        <v>30981850</v>
      </c>
      <c r="I2299" s="22" t="n">
        <v>40000000</v>
      </c>
      <c r="J2299" s="21">
        <f>IF(OR(H2299="",H2299=25529689.5),"Yes","No")</f>
        <v/>
      </c>
      <c r="K2299" s="21">
        <f>IF(AND(D2299="USA",C2299&gt;=1980,J2299="No"),"Yes","No")</f>
        <v/>
      </c>
      <c r="L2299" s="26">
        <f>IF(J2299="Yes","",H2299-I2299)</f>
        <v/>
      </c>
      <c r="M2299" s="27">
        <f>IF(OR(J2299="Yes",I2299=0),"",H2299/I2299)</f>
        <v/>
      </c>
      <c r="N2299" s="21">
        <f>IF(J2299="Yes","",IF(H2299&gt;=I2299,1,0))</f>
        <v/>
      </c>
      <c r="O2299" s="21">
        <f>IF(I2299&lt;=5000000,"Under $5M",IF(I2299&lt;=20000000,"$5M-20M",IF(I2299&lt;=50000000,"$20M-50M",IF(I2299&lt;=100000000,"$50M-100M","$100M+"))))</f>
        <v/>
      </c>
      <c r="P2299" s="21">
        <f>IF(E2299&lt;=90,"90 or less",IF(E2299&lt;=105,"91-105",IF(E2299&lt;=120,"106-120",IF(E2299&lt;=140,"121-140","Over 140"))))</f>
        <v/>
      </c>
      <c r="Q2299" s="28">
        <f>INT(C2299/10)*10</f>
        <v/>
      </c>
    </row>
    <row r="2300">
      <c r="A2300" s="21" t="n">
        <v>2346</v>
      </c>
      <c r="B2300" s="21" t="inlineStr">
        <is>
          <t>Goal! The Dream Begins</t>
        </is>
      </c>
      <c r="C2300" s="21" t="n">
        <v>2005</v>
      </c>
      <c r="D2300" s="21" t="inlineStr">
        <is>
          <t>USA</t>
        </is>
      </c>
      <c r="E2300" s="21" t="n">
        <v>118</v>
      </c>
      <c r="F2300" s="21" t="inlineStr">
        <is>
          <t>English</t>
        </is>
      </c>
      <c r="G2300" s="21" t="inlineStr">
        <is>
          <t>PG-13</t>
        </is>
      </c>
      <c r="H2300" s="22" t="n">
        <v>4280577</v>
      </c>
      <c r="I2300" s="22" t="n">
        <v>10000000</v>
      </c>
      <c r="J2300" s="21">
        <f>IF(OR(H2300="",H2300=25529689.5),"Yes","No")</f>
        <v/>
      </c>
      <c r="K2300" s="21">
        <f>IF(AND(D2300="USA",C2300&gt;=1980,J2300="No"),"Yes","No")</f>
        <v/>
      </c>
      <c r="L2300" s="26">
        <f>IF(J2300="Yes","",H2300-I2300)</f>
        <v/>
      </c>
      <c r="M2300" s="27">
        <f>IF(OR(J2300="Yes",I2300=0),"",H2300/I2300)</f>
        <v/>
      </c>
      <c r="N2300" s="21">
        <f>IF(J2300="Yes","",IF(H2300&gt;=I2300,1,0))</f>
        <v/>
      </c>
      <c r="O2300" s="21">
        <f>IF(I2300&lt;=5000000,"Under $5M",IF(I2300&lt;=20000000,"$5M-20M",IF(I2300&lt;=50000000,"$20M-50M",IF(I2300&lt;=100000000,"$50M-100M","$100M+"))))</f>
        <v/>
      </c>
      <c r="P2300" s="21">
        <f>IF(E2300&lt;=90,"90 or less",IF(E2300&lt;=105,"91-105",IF(E2300&lt;=120,"106-120",IF(E2300&lt;=140,"121-140","Over 140"))))</f>
        <v/>
      </c>
      <c r="Q2300" s="28">
        <f>INT(C2300/10)*10</f>
        <v/>
      </c>
    </row>
    <row r="2301">
      <c r="A2301" s="21" t="n">
        <v>2347</v>
      </c>
      <c r="B2301" s="21" t="inlineStr">
        <is>
          <t>Good Night, and Good Luck.</t>
        </is>
      </c>
      <c r="C2301" s="21" t="n">
        <v>2005</v>
      </c>
      <c r="D2301" s="21" t="inlineStr">
        <is>
          <t>USA</t>
        </is>
      </c>
      <c r="E2301" s="21" t="n">
        <v>93</v>
      </c>
      <c r="F2301" s="21" t="inlineStr">
        <is>
          <t>English</t>
        </is>
      </c>
      <c r="G2301" s="21" t="inlineStr">
        <is>
          <t>PG</t>
        </is>
      </c>
      <c r="H2301" s="22" t="n">
        <v>31501218</v>
      </c>
      <c r="I2301" s="22" t="n">
        <v>7500000</v>
      </c>
      <c r="J2301" s="21">
        <f>IF(OR(H2301="",H2301=25529689.5),"Yes","No")</f>
        <v/>
      </c>
      <c r="K2301" s="21">
        <f>IF(AND(D2301="USA",C2301&gt;=1980,J2301="No"),"Yes","No")</f>
        <v/>
      </c>
      <c r="L2301" s="26">
        <f>IF(J2301="Yes","",H2301-I2301)</f>
        <v/>
      </c>
      <c r="M2301" s="27">
        <f>IF(OR(J2301="Yes",I2301=0),"",H2301/I2301)</f>
        <v/>
      </c>
      <c r="N2301" s="21">
        <f>IF(J2301="Yes","",IF(H2301&gt;=I2301,1,0))</f>
        <v/>
      </c>
      <c r="O2301" s="21">
        <f>IF(I2301&lt;=5000000,"Under $5M",IF(I2301&lt;=20000000,"$5M-20M",IF(I2301&lt;=50000000,"$20M-50M",IF(I2301&lt;=100000000,"$50M-100M","$100M+"))))</f>
        <v/>
      </c>
      <c r="P2301" s="21">
        <f>IF(E2301&lt;=90,"90 or less",IF(E2301&lt;=105,"91-105",IF(E2301&lt;=120,"106-120",IF(E2301&lt;=140,"121-140","Over 140"))))</f>
        <v/>
      </c>
      <c r="Q2301" s="28">
        <f>INT(C2301/10)*10</f>
        <v/>
      </c>
    </row>
    <row r="2302">
      <c r="A2302" s="21" t="n">
        <v>2348</v>
      </c>
      <c r="B2302" s="21" t="inlineStr">
        <is>
          <t>Guess Who</t>
        </is>
      </c>
      <c r="C2302" s="21" t="n">
        <v>2005</v>
      </c>
      <c r="D2302" s="21" t="inlineStr">
        <is>
          <t>USA</t>
        </is>
      </c>
      <c r="E2302" s="21" t="n">
        <v>105</v>
      </c>
      <c r="F2302" s="21" t="inlineStr">
        <is>
          <t>English</t>
        </is>
      </c>
      <c r="G2302" s="21" t="inlineStr">
        <is>
          <t>PG-13</t>
        </is>
      </c>
      <c r="H2302" s="22" t="n">
        <v>67962333</v>
      </c>
      <c r="I2302" s="22" t="n">
        <v>35000000</v>
      </c>
      <c r="J2302" s="21">
        <f>IF(OR(H2302="",H2302=25529689.5),"Yes","No")</f>
        <v/>
      </c>
      <c r="K2302" s="21">
        <f>IF(AND(D2302="USA",C2302&gt;=1980,J2302="No"),"Yes","No")</f>
        <v/>
      </c>
      <c r="L2302" s="26">
        <f>IF(J2302="Yes","",H2302-I2302)</f>
        <v/>
      </c>
      <c r="M2302" s="27">
        <f>IF(OR(J2302="Yes",I2302=0),"",H2302/I2302)</f>
        <v/>
      </c>
      <c r="N2302" s="21">
        <f>IF(J2302="Yes","",IF(H2302&gt;=I2302,1,0))</f>
        <v/>
      </c>
      <c r="O2302" s="21">
        <f>IF(I2302&lt;=5000000,"Under $5M",IF(I2302&lt;=20000000,"$5M-20M",IF(I2302&lt;=50000000,"$20M-50M",IF(I2302&lt;=100000000,"$50M-100M","$100M+"))))</f>
        <v/>
      </c>
      <c r="P2302" s="21">
        <f>IF(E2302&lt;=90,"90 or less",IF(E2302&lt;=105,"91-105",IF(E2302&lt;=120,"106-120",IF(E2302&lt;=140,"121-140","Over 140"))))</f>
        <v/>
      </c>
      <c r="Q2302" s="28">
        <f>INT(C2302/10)*10</f>
        <v/>
      </c>
    </row>
    <row r="2303">
      <c r="A2303" s="21" t="n">
        <v>2349</v>
      </c>
      <c r="B2303" s="21" t="inlineStr">
        <is>
          <t>Hard Candy</t>
        </is>
      </c>
      <c r="C2303" s="21" t="n">
        <v>2005</v>
      </c>
      <c r="D2303" s="21" t="inlineStr">
        <is>
          <t>USA</t>
        </is>
      </c>
      <c r="E2303" s="21" t="n">
        <v>104</v>
      </c>
      <c r="F2303" s="21" t="inlineStr">
        <is>
          <t>English</t>
        </is>
      </c>
      <c r="G2303" s="21" t="inlineStr">
        <is>
          <t>R</t>
        </is>
      </c>
      <c r="H2303" s="22" t="n">
        <v>1007962</v>
      </c>
      <c r="I2303" s="22" t="n">
        <v>950000</v>
      </c>
      <c r="J2303" s="21">
        <f>IF(OR(H2303="",H2303=25529689.5),"Yes","No")</f>
        <v/>
      </c>
      <c r="K2303" s="21">
        <f>IF(AND(D2303="USA",C2303&gt;=1980,J2303="No"),"Yes","No")</f>
        <v/>
      </c>
      <c r="L2303" s="26">
        <f>IF(J2303="Yes","",H2303-I2303)</f>
        <v/>
      </c>
      <c r="M2303" s="27">
        <f>IF(OR(J2303="Yes",I2303=0),"",H2303/I2303)</f>
        <v/>
      </c>
      <c r="N2303" s="21">
        <f>IF(J2303="Yes","",IF(H2303&gt;=I2303,1,0))</f>
        <v/>
      </c>
      <c r="O2303" s="21">
        <f>IF(I2303&lt;=5000000,"Under $5M",IF(I2303&lt;=20000000,"$5M-20M",IF(I2303&lt;=50000000,"$20M-50M",IF(I2303&lt;=100000000,"$50M-100M","$100M+"))))</f>
        <v/>
      </c>
      <c r="P2303" s="21">
        <f>IF(E2303&lt;=90,"90 or less",IF(E2303&lt;=105,"91-105",IF(E2303&lt;=120,"106-120",IF(E2303&lt;=140,"121-140","Over 140"))))</f>
        <v/>
      </c>
      <c r="Q2303" s="28">
        <f>INT(C2303/10)*10</f>
        <v/>
      </c>
    </row>
    <row r="2304">
      <c r="A2304" s="21" t="n">
        <v>2350</v>
      </c>
      <c r="B2304" s="21" t="inlineStr">
        <is>
          <t>Harry Potter and the Goblet of Fire</t>
        </is>
      </c>
      <c r="C2304" s="21" t="n">
        <v>2005</v>
      </c>
      <c r="D2304" s="21" t="inlineStr">
        <is>
          <t>UK</t>
        </is>
      </c>
      <c r="E2304" s="21" t="n">
        <v>157</v>
      </c>
      <c r="F2304" s="21" t="inlineStr">
        <is>
          <t>English</t>
        </is>
      </c>
      <c r="G2304" s="21" t="inlineStr">
        <is>
          <t>PG-13</t>
        </is>
      </c>
      <c r="H2304" s="22" t="n">
        <v>289994397</v>
      </c>
      <c r="I2304" s="22" t="n">
        <v>150000000</v>
      </c>
      <c r="J2304" s="21">
        <f>IF(OR(H2304="",H2304=25529689.5),"Yes","No")</f>
        <v/>
      </c>
      <c r="K2304" s="21">
        <f>IF(AND(D2304="USA",C2304&gt;=1980,J2304="No"),"Yes","No")</f>
        <v/>
      </c>
      <c r="L2304" s="26">
        <f>IF(J2304="Yes","",H2304-I2304)</f>
        <v/>
      </c>
      <c r="M2304" s="27">
        <f>IF(OR(J2304="Yes",I2304=0),"",H2304/I2304)</f>
        <v/>
      </c>
      <c r="N2304" s="21">
        <f>IF(J2304="Yes","",IF(H2304&gt;=I2304,1,0))</f>
        <v/>
      </c>
      <c r="O2304" s="21">
        <f>IF(I2304&lt;=5000000,"Under $5M",IF(I2304&lt;=20000000,"$5M-20M",IF(I2304&lt;=50000000,"$20M-50M",IF(I2304&lt;=100000000,"$50M-100M","$100M+"))))</f>
        <v/>
      </c>
      <c r="P2304" s="21">
        <f>IF(E2304&lt;=90,"90 or less",IF(E2304&lt;=105,"91-105",IF(E2304&lt;=120,"106-120",IF(E2304&lt;=140,"121-140","Over 140"))))</f>
        <v/>
      </c>
      <c r="Q2304" s="28">
        <f>INT(C2304/10)*10</f>
        <v/>
      </c>
    </row>
    <row r="2305">
      <c r="A2305" s="21" t="n">
        <v>2351</v>
      </c>
      <c r="B2305" s="21" t="inlineStr">
        <is>
          <t>Harsh Times</t>
        </is>
      </c>
      <c r="C2305" s="21" t="n">
        <v>2005</v>
      </c>
      <c r="D2305" s="21" t="inlineStr">
        <is>
          <t>USA</t>
        </is>
      </c>
      <c r="E2305" s="21" t="n">
        <v>116</v>
      </c>
      <c r="F2305" s="21" t="inlineStr">
        <is>
          <t>English</t>
        </is>
      </c>
      <c r="G2305" s="21" t="inlineStr">
        <is>
          <t>R</t>
        </is>
      </c>
      <c r="H2305" s="22" t="n">
        <v>3335839</v>
      </c>
      <c r="I2305" s="22" t="n">
        <v>2000000</v>
      </c>
      <c r="J2305" s="21">
        <f>IF(OR(H2305="",H2305=25529689.5),"Yes","No")</f>
        <v/>
      </c>
      <c r="K2305" s="21">
        <f>IF(AND(D2305="USA",C2305&gt;=1980,J2305="No"),"Yes","No")</f>
        <v/>
      </c>
      <c r="L2305" s="26">
        <f>IF(J2305="Yes","",H2305-I2305)</f>
        <v/>
      </c>
      <c r="M2305" s="27">
        <f>IF(OR(J2305="Yes",I2305=0),"",H2305/I2305)</f>
        <v/>
      </c>
      <c r="N2305" s="21">
        <f>IF(J2305="Yes","",IF(H2305&gt;=I2305,1,0))</f>
        <v/>
      </c>
      <c r="O2305" s="21">
        <f>IF(I2305&lt;=5000000,"Under $5M",IF(I2305&lt;=20000000,"$5M-20M",IF(I2305&lt;=50000000,"$20M-50M",IF(I2305&lt;=100000000,"$50M-100M","$100M+"))))</f>
        <v/>
      </c>
      <c r="P2305" s="21">
        <f>IF(E2305&lt;=90,"90 or less",IF(E2305&lt;=105,"91-105",IF(E2305&lt;=120,"106-120",IF(E2305&lt;=140,"121-140","Over 140"))))</f>
        <v/>
      </c>
      <c r="Q2305" s="28">
        <f>INT(C2305/10)*10</f>
        <v/>
      </c>
    </row>
    <row r="2306">
      <c r="A2306" s="21" t="n">
        <v>2352</v>
      </c>
      <c r="B2306" s="21" t="inlineStr">
        <is>
          <t>Herbie Fully Loaded</t>
        </is>
      </c>
      <c r="C2306" s="21" t="n">
        <v>2005</v>
      </c>
      <c r="D2306" s="21" t="inlineStr">
        <is>
          <t>USA</t>
        </is>
      </c>
      <c r="E2306" s="21" t="n">
        <v>101</v>
      </c>
      <c r="F2306" s="21" t="inlineStr">
        <is>
          <t>English</t>
        </is>
      </c>
      <c r="G2306" s="21" t="inlineStr">
        <is>
          <t>G</t>
        </is>
      </c>
      <c r="H2306" s="22" t="n">
        <v>66002004</v>
      </c>
      <c r="I2306" s="22" t="n">
        <v>50000000</v>
      </c>
      <c r="J2306" s="21">
        <f>IF(OR(H2306="",H2306=25529689.5),"Yes","No")</f>
        <v/>
      </c>
      <c r="K2306" s="21">
        <f>IF(AND(D2306="USA",C2306&gt;=1980,J2306="No"),"Yes","No")</f>
        <v/>
      </c>
      <c r="L2306" s="26">
        <f>IF(J2306="Yes","",H2306-I2306)</f>
        <v/>
      </c>
      <c r="M2306" s="27">
        <f>IF(OR(J2306="Yes",I2306=0),"",H2306/I2306)</f>
        <v/>
      </c>
      <c r="N2306" s="21">
        <f>IF(J2306="Yes","",IF(H2306&gt;=I2306,1,0))</f>
        <v/>
      </c>
      <c r="O2306" s="21">
        <f>IF(I2306&lt;=5000000,"Under $5M",IF(I2306&lt;=20000000,"$5M-20M",IF(I2306&lt;=50000000,"$20M-50M",IF(I2306&lt;=100000000,"$50M-100M","$100M+"))))</f>
        <v/>
      </c>
      <c r="P2306" s="21">
        <f>IF(E2306&lt;=90,"90 or less",IF(E2306&lt;=105,"91-105",IF(E2306&lt;=120,"106-120",IF(E2306&lt;=140,"121-140","Over 140"))))</f>
        <v/>
      </c>
      <c r="Q2306" s="28">
        <f>INT(C2306/10)*10</f>
        <v/>
      </c>
    </row>
    <row r="2307">
      <c r="A2307" s="21" t="n">
        <v>2353</v>
      </c>
      <c r="B2307" s="21" t="inlineStr">
        <is>
          <t>Hide and Seek</t>
        </is>
      </c>
      <c r="C2307" s="21" t="n">
        <v>2005</v>
      </c>
      <c r="D2307" s="21" t="inlineStr">
        <is>
          <t>USA</t>
        </is>
      </c>
      <c r="E2307" s="21" t="n">
        <v>101</v>
      </c>
      <c r="F2307" s="21" t="inlineStr">
        <is>
          <t>English</t>
        </is>
      </c>
      <c r="G2307" s="21" t="inlineStr">
        <is>
          <t>R</t>
        </is>
      </c>
      <c r="H2307" s="22" t="n">
        <v>51097664</v>
      </c>
      <c r="I2307" s="22" t="n">
        <v>30000000</v>
      </c>
      <c r="J2307" s="21">
        <f>IF(OR(H2307="",H2307=25529689.5),"Yes","No")</f>
        <v/>
      </c>
      <c r="K2307" s="21">
        <f>IF(AND(D2307="USA",C2307&gt;=1980,J2307="No"),"Yes","No")</f>
        <v/>
      </c>
      <c r="L2307" s="26">
        <f>IF(J2307="Yes","",H2307-I2307)</f>
        <v/>
      </c>
      <c r="M2307" s="27">
        <f>IF(OR(J2307="Yes",I2307=0),"",H2307/I2307)</f>
        <v/>
      </c>
      <c r="N2307" s="21">
        <f>IF(J2307="Yes","",IF(H2307&gt;=I2307,1,0))</f>
        <v/>
      </c>
      <c r="O2307" s="21">
        <f>IF(I2307&lt;=5000000,"Under $5M",IF(I2307&lt;=20000000,"$5M-20M",IF(I2307&lt;=50000000,"$20M-50M",IF(I2307&lt;=100000000,"$50M-100M","$100M+"))))</f>
        <v/>
      </c>
      <c r="P2307" s="21">
        <f>IF(E2307&lt;=90,"90 or less",IF(E2307&lt;=105,"91-105",IF(E2307&lt;=120,"106-120",IF(E2307&lt;=140,"121-140","Over 140"))))</f>
        <v/>
      </c>
      <c r="Q2307" s="28">
        <f>INT(C2307/10)*10</f>
        <v/>
      </c>
    </row>
    <row r="2308">
      <c r="A2308" s="21" t="n">
        <v>2354</v>
      </c>
      <c r="B2308" s="21" t="inlineStr">
        <is>
          <t>Hitch</t>
        </is>
      </c>
      <c r="C2308" s="21" t="n">
        <v>2005</v>
      </c>
      <c r="D2308" s="21" t="inlineStr">
        <is>
          <t>USA</t>
        </is>
      </c>
      <c r="E2308" s="21" t="n">
        <v>118</v>
      </c>
      <c r="F2308" s="21" t="inlineStr">
        <is>
          <t>English</t>
        </is>
      </c>
      <c r="G2308" s="21" t="inlineStr">
        <is>
          <t>PG-13</t>
        </is>
      </c>
      <c r="H2308" s="22" t="n">
        <v>177575142</v>
      </c>
      <c r="I2308" s="22" t="n">
        <v>70000000</v>
      </c>
      <c r="J2308" s="21">
        <f>IF(OR(H2308="",H2308=25529689.5),"Yes","No")</f>
        <v/>
      </c>
      <c r="K2308" s="21">
        <f>IF(AND(D2308="USA",C2308&gt;=1980,J2308="No"),"Yes","No")</f>
        <v/>
      </c>
      <c r="L2308" s="26">
        <f>IF(J2308="Yes","",H2308-I2308)</f>
        <v/>
      </c>
      <c r="M2308" s="27">
        <f>IF(OR(J2308="Yes",I2308=0),"",H2308/I2308)</f>
        <v/>
      </c>
      <c r="N2308" s="21">
        <f>IF(J2308="Yes","",IF(H2308&gt;=I2308,1,0))</f>
        <v/>
      </c>
      <c r="O2308" s="21">
        <f>IF(I2308&lt;=5000000,"Under $5M",IF(I2308&lt;=20000000,"$5M-20M",IF(I2308&lt;=50000000,"$20M-50M",IF(I2308&lt;=100000000,"$50M-100M","$100M+"))))</f>
        <v/>
      </c>
      <c r="P2308" s="21">
        <f>IF(E2308&lt;=90,"90 or less",IF(E2308&lt;=105,"91-105",IF(E2308&lt;=120,"106-120",IF(E2308&lt;=140,"121-140","Over 140"))))</f>
        <v/>
      </c>
      <c r="Q2308" s="28">
        <f>INT(C2308/10)*10</f>
        <v/>
      </c>
    </row>
    <row r="2309">
      <c r="A2309" s="21" t="n">
        <v>2355</v>
      </c>
      <c r="B2309" s="21" t="inlineStr">
        <is>
          <t>Hoodwinked!</t>
        </is>
      </c>
      <c r="C2309" s="21" t="n">
        <v>2005</v>
      </c>
      <c r="D2309" s="21" t="inlineStr">
        <is>
          <t>USA</t>
        </is>
      </c>
      <c r="E2309" s="21" t="n">
        <v>80</v>
      </c>
      <c r="F2309" s="21" t="inlineStr">
        <is>
          <t>English</t>
        </is>
      </c>
      <c r="G2309" s="21" t="inlineStr">
        <is>
          <t>PG</t>
        </is>
      </c>
      <c r="H2309" s="22" t="n">
        <v>51053787</v>
      </c>
      <c r="I2309" s="22" t="n">
        <v>17500000</v>
      </c>
      <c r="J2309" s="21">
        <f>IF(OR(H2309="",H2309=25529689.5),"Yes","No")</f>
        <v/>
      </c>
      <c r="K2309" s="21">
        <f>IF(AND(D2309="USA",C2309&gt;=1980,J2309="No"),"Yes","No")</f>
        <v/>
      </c>
      <c r="L2309" s="26">
        <f>IF(J2309="Yes","",H2309-I2309)</f>
        <v/>
      </c>
      <c r="M2309" s="27">
        <f>IF(OR(J2309="Yes",I2309=0),"",H2309/I2309)</f>
        <v/>
      </c>
      <c r="N2309" s="21">
        <f>IF(J2309="Yes","",IF(H2309&gt;=I2309,1,0))</f>
        <v/>
      </c>
      <c r="O2309" s="21">
        <f>IF(I2309&lt;=5000000,"Under $5M",IF(I2309&lt;=20000000,"$5M-20M",IF(I2309&lt;=50000000,"$20M-50M",IF(I2309&lt;=100000000,"$50M-100M","$100M+"))))</f>
        <v/>
      </c>
      <c r="P2309" s="21">
        <f>IF(E2309&lt;=90,"90 or less",IF(E2309&lt;=105,"91-105",IF(E2309&lt;=120,"106-120",IF(E2309&lt;=140,"121-140","Over 140"))))</f>
        <v/>
      </c>
      <c r="Q2309" s="28">
        <f>INT(C2309/10)*10</f>
        <v/>
      </c>
    </row>
    <row r="2310">
      <c r="A2310" s="21" t="n">
        <v>2356</v>
      </c>
      <c r="B2310" s="21" t="inlineStr">
        <is>
          <t>Hostage</t>
        </is>
      </c>
      <c r="C2310" s="21" t="n">
        <v>2005</v>
      </c>
      <c r="D2310" s="21" t="inlineStr">
        <is>
          <t>USA</t>
        </is>
      </c>
      <c r="E2310" s="21" t="n">
        <v>113</v>
      </c>
      <c r="F2310" s="21" t="inlineStr">
        <is>
          <t>English</t>
        </is>
      </c>
      <c r="G2310" s="21" t="inlineStr">
        <is>
          <t>R</t>
        </is>
      </c>
      <c r="H2310" s="22" t="n">
        <v>34636443</v>
      </c>
      <c r="I2310" s="22" t="n">
        <v>52000000</v>
      </c>
      <c r="J2310" s="21">
        <f>IF(OR(H2310="",H2310=25529689.5),"Yes","No")</f>
        <v/>
      </c>
      <c r="K2310" s="21">
        <f>IF(AND(D2310="USA",C2310&gt;=1980,J2310="No"),"Yes","No")</f>
        <v/>
      </c>
      <c r="L2310" s="26">
        <f>IF(J2310="Yes","",H2310-I2310)</f>
        <v/>
      </c>
      <c r="M2310" s="27">
        <f>IF(OR(J2310="Yes",I2310=0),"",H2310/I2310)</f>
        <v/>
      </c>
      <c r="N2310" s="21">
        <f>IF(J2310="Yes","",IF(H2310&gt;=I2310,1,0))</f>
        <v/>
      </c>
      <c r="O2310" s="21">
        <f>IF(I2310&lt;=5000000,"Under $5M",IF(I2310&lt;=20000000,"$5M-20M",IF(I2310&lt;=50000000,"$20M-50M",IF(I2310&lt;=100000000,"$50M-100M","$100M+"))))</f>
        <v/>
      </c>
      <c r="P2310" s="21">
        <f>IF(E2310&lt;=90,"90 or less",IF(E2310&lt;=105,"91-105",IF(E2310&lt;=120,"106-120",IF(E2310&lt;=140,"121-140","Over 140"))))</f>
        <v/>
      </c>
      <c r="Q2310" s="28">
        <f>INT(C2310/10)*10</f>
        <v/>
      </c>
    </row>
    <row r="2311">
      <c r="A2311" s="21" t="n">
        <v>2357</v>
      </c>
      <c r="B2311" s="21" t="inlineStr">
        <is>
          <t>Hostel</t>
        </is>
      </c>
      <c r="C2311" s="21" t="n">
        <v>2005</v>
      </c>
      <c r="D2311" s="21" t="inlineStr">
        <is>
          <t>USA</t>
        </is>
      </c>
      <c r="E2311" s="21" t="n">
        <v>93</v>
      </c>
      <c r="F2311" s="21" t="inlineStr">
        <is>
          <t>English</t>
        </is>
      </c>
      <c r="G2311" s="21" t="inlineStr">
        <is>
          <t>R</t>
        </is>
      </c>
      <c r="H2311" s="22" t="n">
        <v>47277326</v>
      </c>
      <c r="I2311" s="22" t="n">
        <v>4800000</v>
      </c>
      <c r="J2311" s="21">
        <f>IF(OR(H2311="",H2311=25529689.5),"Yes","No")</f>
        <v/>
      </c>
      <c r="K2311" s="21">
        <f>IF(AND(D2311="USA",C2311&gt;=1980,J2311="No"),"Yes","No")</f>
        <v/>
      </c>
      <c r="L2311" s="26">
        <f>IF(J2311="Yes","",H2311-I2311)</f>
        <v/>
      </c>
      <c r="M2311" s="27">
        <f>IF(OR(J2311="Yes",I2311=0),"",H2311/I2311)</f>
        <v/>
      </c>
      <c r="N2311" s="21">
        <f>IF(J2311="Yes","",IF(H2311&gt;=I2311,1,0))</f>
        <v/>
      </c>
      <c r="O2311" s="21">
        <f>IF(I2311&lt;=5000000,"Under $5M",IF(I2311&lt;=20000000,"$5M-20M",IF(I2311&lt;=50000000,"$20M-50M",IF(I2311&lt;=100000000,"$50M-100M","$100M+"))))</f>
        <v/>
      </c>
      <c r="P2311" s="21">
        <f>IF(E2311&lt;=90,"90 or less",IF(E2311&lt;=105,"91-105",IF(E2311&lt;=120,"106-120",IF(E2311&lt;=140,"121-140","Over 140"))))</f>
        <v/>
      </c>
      <c r="Q2311" s="28">
        <f>INT(C2311/10)*10</f>
        <v/>
      </c>
    </row>
    <row r="2312">
      <c r="A2312" s="21" t="n">
        <v>2358</v>
      </c>
      <c r="B2312" s="21" t="inlineStr">
        <is>
          <t>House of Sand</t>
        </is>
      </c>
      <c r="C2312" s="21" t="n">
        <v>2005</v>
      </c>
      <c r="D2312" s="21" t="inlineStr">
        <is>
          <t>Brazil</t>
        </is>
      </c>
      <c r="E2312" s="21" t="n">
        <v>115</v>
      </c>
      <c r="F2312" s="21" t="inlineStr">
        <is>
          <t>Portuguese</t>
        </is>
      </c>
      <c r="G2312" s="21" t="inlineStr">
        <is>
          <t>R</t>
        </is>
      </c>
      <c r="H2312" s="22" t="n">
        <v>25529689.5</v>
      </c>
      <c r="I2312" s="22" t="n">
        <v>8000000</v>
      </c>
      <c r="J2312" s="21">
        <f>IF(OR(H2312="",H2312=25529689.5),"Yes","No")</f>
        <v/>
      </c>
      <c r="K2312" s="21">
        <f>IF(AND(D2312="USA",C2312&gt;=1980,J2312="No"),"Yes","No")</f>
        <v/>
      </c>
      <c r="L2312" s="26">
        <f>IF(J2312="Yes","",H2312-I2312)</f>
        <v/>
      </c>
      <c r="M2312" s="27">
        <f>IF(OR(J2312="Yes",I2312=0),"",H2312/I2312)</f>
        <v/>
      </c>
      <c r="N2312" s="21">
        <f>IF(J2312="Yes","",IF(H2312&gt;=I2312,1,0))</f>
        <v/>
      </c>
      <c r="O2312" s="21">
        <f>IF(I2312&lt;=5000000,"Under $5M",IF(I2312&lt;=20000000,"$5M-20M",IF(I2312&lt;=50000000,"$20M-50M",IF(I2312&lt;=100000000,"$50M-100M","$100M+"))))</f>
        <v/>
      </c>
      <c r="P2312" s="21">
        <f>IF(E2312&lt;=90,"90 or less",IF(E2312&lt;=105,"91-105",IF(E2312&lt;=120,"106-120",IF(E2312&lt;=140,"121-140","Over 140"))))</f>
        <v/>
      </c>
      <c r="Q2312" s="28">
        <f>INT(C2312/10)*10</f>
        <v/>
      </c>
    </row>
    <row r="2313">
      <c r="A2313" s="21" t="n">
        <v>2359</v>
      </c>
      <c r="B2313" s="21" t="inlineStr">
        <is>
          <t>House of Wax</t>
        </is>
      </c>
      <c r="C2313" s="21" t="n">
        <v>2005</v>
      </c>
      <c r="D2313" s="21" t="inlineStr">
        <is>
          <t>Australia</t>
        </is>
      </c>
      <c r="E2313" s="21" t="n">
        <v>108</v>
      </c>
      <c r="F2313" s="21" t="inlineStr">
        <is>
          <t>English</t>
        </is>
      </c>
      <c r="G2313" s="21" t="inlineStr">
        <is>
          <t>R</t>
        </is>
      </c>
      <c r="H2313" s="22" t="n">
        <v>32048809</v>
      </c>
      <c r="I2313" s="22" t="n">
        <v>30000000</v>
      </c>
      <c r="J2313" s="21">
        <f>IF(OR(H2313="",H2313=25529689.5),"Yes","No")</f>
        <v/>
      </c>
      <c r="K2313" s="21">
        <f>IF(AND(D2313="USA",C2313&gt;=1980,J2313="No"),"Yes","No")</f>
        <v/>
      </c>
      <c r="L2313" s="26">
        <f>IF(J2313="Yes","",H2313-I2313)</f>
        <v/>
      </c>
      <c r="M2313" s="27">
        <f>IF(OR(J2313="Yes",I2313=0),"",H2313/I2313)</f>
        <v/>
      </c>
      <c r="N2313" s="21">
        <f>IF(J2313="Yes","",IF(H2313&gt;=I2313,1,0))</f>
        <v/>
      </c>
      <c r="O2313" s="21">
        <f>IF(I2313&lt;=5000000,"Under $5M",IF(I2313&lt;=20000000,"$5M-20M",IF(I2313&lt;=50000000,"$20M-50M",IF(I2313&lt;=100000000,"$50M-100M","$100M+"))))</f>
        <v/>
      </c>
      <c r="P2313" s="21">
        <f>IF(E2313&lt;=90,"90 or less",IF(E2313&lt;=105,"91-105",IF(E2313&lt;=120,"106-120",IF(E2313&lt;=140,"121-140","Over 140"))))</f>
        <v/>
      </c>
      <c r="Q2313" s="28">
        <f>INT(C2313/10)*10</f>
        <v/>
      </c>
    </row>
    <row r="2314">
      <c r="A2314" s="21" t="n">
        <v>2361</v>
      </c>
      <c r="B2314" s="21" t="inlineStr">
        <is>
          <t>Hustle &amp; Flow</t>
        </is>
      </c>
      <c r="C2314" s="21" t="n">
        <v>2005</v>
      </c>
      <c r="D2314" s="21" t="inlineStr">
        <is>
          <t>USA</t>
        </is>
      </c>
      <c r="E2314" s="21" t="n">
        <v>116</v>
      </c>
      <c r="F2314" s="21" t="inlineStr">
        <is>
          <t>English</t>
        </is>
      </c>
      <c r="G2314" s="21" t="inlineStr">
        <is>
          <t>R</t>
        </is>
      </c>
      <c r="H2314" s="22" t="n">
        <v>22201636</v>
      </c>
      <c r="I2314" s="22" t="n">
        <v>8000000</v>
      </c>
      <c r="J2314" s="21">
        <f>IF(OR(H2314="",H2314=25529689.5),"Yes","No")</f>
        <v/>
      </c>
      <c r="K2314" s="21">
        <f>IF(AND(D2314="USA",C2314&gt;=1980,J2314="No"),"Yes","No")</f>
        <v/>
      </c>
      <c r="L2314" s="26">
        <f>IF(J2314="Yes","",H2314-I2314)</f>
        <v/>
      </c>
      <c r="M2314" s="27">
        <f>IF(OR(J2314="Yes",I2314=0),"",H2314/I2314)</f>
        <v/>
      </c>
      <c r="N2314" s="21">
        <f>IF(J2314="Yes","",IF(H2314&gt;=I2314,1,0))</f>
        <v/>
      </c>
      <c r="O2314" s="21">
        <f>IF(I2314&lt;=5000000,"Under $5M",IF(I2314&lt;=20000000,"$5M-20M",IF(I2314&lt;=50000000,"$20M-50M",IF(I2314&lt;=100000000,"$50M-100M","$100M+"))))</f>
        <v/>
      </c>
      <c r="P2314" s="21">
        <f>IF(E2314&lt;=90,"90 or less",IF(E2314&lt;=105,"91-105",IF(E2314&lt;=120,"106-120",IF(E2314&lt;=140,"121-140","Over 140"))))</f>
        <v/>
      </c>
      <c r="Q2314" s="28">
        <f>INT(C2314/10)*10</f>
        <v/>
      </c>
    </row>
    <row r="2315">
      <c r="A2315" s="21" t="n">
        <v>2362</v>
      </c>
      <c r="B2315" s="21" t="inlineStr">
        <is>
          <t>Ice Princess</t>
        </is>
      </c>
      <c r="C2315" s="21" t="n">
        <v>2005</v>
      </c>
      <c r="D2315" s="21" t="inlineStr">
        <is>
          <t>USA</t>
        </is>
      </c>
      <c r="E2315" s="21" t="n">
        <v>98</v>
      </c>
      <c r="F2315" s="21" t="inlineStr">
        <is>
          <t>English</t>
        </is>
      </c>
      <c r="G2315" s="21" t="inlineStr">
        <is>
          <t>G</t>
        </is>
      </c>
      <c r="H2315" s="22" t="n">
        <v>24381334</v>
      </c>
      <c r="I2315" s="22" t="n">
        <v>20000000</v>
      </c>
      <c r="J2315" s="21">
        <f>IF(OR(H2315="",H2315=25529689.5),"Yes","No")</f>
        <v/>
      </c>
      <c r="K2315" s="21">
        <f>IF(AND(D2315="USA",C2315&gt;=1980,J2315="No"),"Yes","No")</f>
        <v/>
      </c>
      <c r="L2315" s="26">
        <f>IF(J2315="Yes","",H2315-I2315)</f>
        <v/>
      </c>
      <c r="M2315" s="27">
        <f>IF(OR(J2315="Yes",I2315=0),"",H2315/I2315)</f>
        <v/>
      </c>
      <c r="N2315" s="21">
        <f>IF(J2315="Yes","",IF(H2315&gt;=I2315,1,0))</f>
        <v/>
      </c>
      <c r="O2315" s="21">
        <f>IF(I2315&lt;=5000000,"Under $5M",IF(I2315&lt;=20000000,"$5M-20M",IF(I2315&lt;=50000000,"$20M-50M",IF(I2315&lt;=100000000,"$50M-100M","$100M+"))))</f>
        <v/>
      </c>
      <c r="P2315" s="21">
        <f>IF(E2315&lt;=90,"90 or less",IF(E2315&lt;=105,"91-105",IF(E2315&lt;=120,"106-120",IF(E2315&lt;=140,"121-140","Over 140"))))</f>
        <v/>
      </c>
      <c r="Q2315" s="28">
        <f>INT(C2315/10)*10</f>
        <v/>
      </c>
    </row>
    <row r="2316">
      <c r="A2316" s="21" t="n">
        <v>2363</v>
      </c>
      <c r="B2316" s="21" t="inlineStr">
        <is>
          <t>Imagine Me &amp; You</t>
        </is>
      </c>
      <c r="C2316" s="21" t="n">
        <v>2005</v>
      </c>
      <c r="D2316" s="21" t="inlineStr">
        <is>
          <t>UK</t>
        </is>
      </c>
      <c r="E2316" s="21" t="n">
        <v>90</v>
      </c>
      <c r="F2316" s="21" t="inlineStr">
        <is>
          <t>English</t>
        </is>
      </c>
      <c r="G2316" s="21" t="inlineStr">
        <is>
          <t>R</t>
        </is>
      </c>
      <c r="H2316" s="22" t="n">
        <v>671240</v>
      </c>
      <c r="I2316" s="22" t="n">
        <v>7900000</v>
      </c>
      <c r="J2316" s="21">
        <f>IF(OR(H2316="",H2316=25529689.5),"Yes","No")</f>
        <v/>
      </c>
      <c r="K2316" s="21">
        <f>IF(AND(D2316="USA",C2316&gt;=1980,J2316="No"),"Yes","No")</f>
        <v/>
      </c>
      <c r="L2316" s="26">
        <f>IF(J2316="Yes","",H2316-I2316)</f>
        <v/>
      </c>
      <c r="M2316" s="27">
        <f>IF(OR(J2316="Yes",I2316=0),"",H2316/I2316)</f>
        <v/>
      </c>
      <c r="N2316" s="21">
        <f>IF(J2316="Yes","",IF(H2316&gt;=I2316,1,0))</f>
        <v/>
      </c>
      <c r="O2316" s="21">
        <f>IF(I2316&lt;=5000000,"Under $5M",IF(I2316&lt;=20000000,"$5M-20M",IF(I2316&lt;=50000000,"$20M-50M",IF(I2316&lt;=100000000,"$50M-100M","$100M+"))))</f>
        <v/>
      </c>
      <c r="P2316" s="21">
        <f>IF(E2316&lt;=90,"90 or less",IF(E2316&lt;=105,"91-105",IF(E2316&lt;=120,"106-120",IF(E2316&lt;=140,"121-140","Over 140"))))</f>
        <v/>
      </c>
      <c r="Q2316" s="28">
        <f>INT(C2316/10)*10</f>
        <v/>
      </c>
    </row>
    <row r="2317">
      <c r="A2317" s="21" t="n">
        <v>2364</v>
      </c>
      <c r="B2317" s="21" t="inlineStr">
        <is>
          <t>Inside Deep Throat</t>
        </is>
      </c>
      <c r="C2317" s="21" t="n">
        <v>2005</v>
      </c>
      <c r="D2317" s="21" t="inlineStr">
        <is>
          <t>USA</t>
        </is>
      </c>
      <c r="E2317" s="21" t="n">
        <v>89</v>
      </c>
      <c r="F2317" s="21" t="inlineStr">
        <is>
          <t>English</t>
        </is>
      </c>
      <c r="G2317" s="21" t="inlineStr">
        <is>
          <t>NC-17</t>
        </is>
      </c>
      <c r="H2317" s="22" t="n">
        <v>653621</v>
      </c>
      <c r="I2317" s="22" t="n">
        <v>2000000</v>
      </c>
      <c r="J2317" s="21">
        <f>IF(OR(H2317="",H2317=25529689.5),"Yes","No")</f>
        <v/>
      </c>
      <c r="K2317" s="21">
        <f>IF(AND(D2317="USA",C2317&gt;=1980,J2317="No"),"Yes","No")</f>
        <v/>
      </c>
      <c r="L2317" s="26">
        <f>IF(J2317="Yes","",H2317-I2317)</f>
        <v/>
      </c>
      <c r="M2317" s="27">
        <f>IF(OR(J2317="Yes",I2317=0),"",H2317/I2317)</f>
        <v/>
      </c>
      <c r="N2317" s="21">
        <f>IF(J2317="Yes","",IF(H2317&gt;=I2317,1,0))</f>
        <v/>
      </c>
      <c r="O2317" s="21">
        <f>IF(I2317&lt;=5000000,"Under $5M",IF(I2317&lt;=20000000,"$5M-20M",IF(I2317&lt;=50000000,"$20M-50M",IF(I2317&lt;=100000000,"$50M-100M","$100M+"))))</f>
        <v/>
      </c>
      <c r="P2317" s="21">
        <f>IF(E2317&lt;=90,"90 or less",IF(E2317&lt;=105,"91-105",IF(E2317&lt;=120,"106-120",IF(E2317&lt;=140,"121-140","Over 140"))))</f>
        <v/>
      </c>
      <c r="Q2317" s="28">
        <f>INT(C2317/10)*10</f>
        <v/>
      </c>
    </row>
    <row r="2318">
      <c r="A2318" s="21" t="n">
        <v>2365</v>
      </c>
      <c r="B2318" s="21" t="inlineStr">
        <is>
          <t>Insomnia Manica</t>
        </is>
      </c>
      <c r="C2318" s="21" t="n">
        <v>2005</v>
      </c>
      <c r="D2318" s="21" t="inlineStr">
        <is>
          <t>USA</t>
        </is>
      </c>
      <c r="E2318" s="21" t="n">
        <v>127</v>
      </c>
      <c r="F2318" s="21" t="inlineStr">
        <is>
          <t>English</t>
        </is>
      </c>
      <c r="G2318" s="21" t="n"/>
      <c r="H2318" s="22" t="n">
        <v>25529689.5</v>
      </c>
      <c r="I2318" s="22" t="n">
        <v>500000</v>
      </c>
      <c r="J2318" s="21">
        <f>IF(OR(H2318="",H2318=25529689.5),"Yes","No")</f>
        <v/>
      </c>
      <c r="K2318" s="21">
        <f>IF(AND(D2318="USA",C2318&gt;=1980,J2318="No"),"Yes","No")</f>
        <v/>
      </c>
      <c r="L2318" s="26">
        <f>IF(J2318="Yes","",H2318-I2318)</f>
        <v/>
      </c>
      <c r="M2318" s="27">
        <f>IF(OR(J2318="Yes",I2318=0),"",H2318/I2318)</f>
        <v/>
      </c>
      <c r="N2318" s="21">
        <f>IF(J2318="Yes","",IF(H2318&gt;=I2318,1,0))</f>
        <v/>
      </c>
      <c r="O2318" s="21">
        <f>IF(I2318&lt;=5000000,"Under $5M",IF(I2318&lt;=20000000,"$5M-20M",IF(I2318&lt;=50000000,"$20M-50M",IF(I2318&lt;=100000000,"$50M-100M","$100M+"))))</f>
        <v/>
      </c>
      <c r="P2318" s="21">
        <f>IF(E2318&lt;=90,"90 or less",IF(E2318&lt;=105,"91-105",IF(E2318&lt;=120,"106-120",IF(E2318&lt;=140,"121-140","Over 140"))))</f>
        <v/>
      </c>
      <c r="Q2318" s="28">
        <f>INT(C2318/10)*10</f>
        <v/>
      </c>
    </row>
    <row r="2319">
      <c r="A2319" s="21" t="n">
        <v>2366</v>
      </c>
      <c r="B2319" s="21" t="inlineStr">
        <is>
          <t>Into the Blue</t>
        </is>
      </c>
      <c r="C2319" s="21" t="n">
        <v>2005</v>
      </c>
      <c r="D2319" s="21" t="inlineStr">
        <is>
          <t>USA</t>
        </is>
      </c>
      <c r="E2319" s="21" t="n">
        <v>110</v>
      </c>
      <c r="F2319" s="21" t="inlineStr">
        <is>
          <t>English</t>
        </is>
      </c>
      <c r="G2319" s="21" t="inlineStr">
        <is>
          <t>PG-13</t>
        </is>
      </c>
      <c r="H2319" s="22" t="n">
        <v>18472363</v>
      </c>
      <c r="I2319" s="22" t="n">
        <v>50000000</v>
      </c>
      <c r="J2319" s="21">
        <f>IF(OR(H2319="",H2319=25529689.5),"Yes","No")</f>
        <v/>
      </c>
      <c r="K2319" s="21">
        <f>IF(AND(D2319="USA",C2319&gt;=1980,J2319="No"),"Yes","No")</f>
        <v/>
      </c>
      <c r="L2319" s="26">
        <f>IF(J2319="Yes","",H2319-I2319)</f>
        <v/>
      </c>
      <c r="M2319" s="27">
        <f>IF(OR(J2319="Yes",I2319=0),"",H2319/I2319)</f>
        <v/>
      </c>
      <c r="N2319" s="21">
        <f>IF(J2319="Yes","",IF(H2319&gt;=I2319,1,0))</f>
        <v/>
      </c>
      <c r="O2319" s="21">
        <f>IF(I2319&lt;=5000000,"Under $5M",IF(I2319&lt;=20000000,"$5M-20M",IF(I2319&lt;=50000000,"$20M-50M",IF(I2319&lt;=100000000,"$50M-100M","$100M+"))))</f>
        <v/>
      </c>
      <c r="P2319" s="21">
        <f>IF(E2319&lt;=90,"90 or less",IF(E2319&lt;=105,"91-105",IF(E2319&lt;=120,"106-120",IF(E2319&lt;=140,"121-140","Over 140"))))</f>
        <v/>
      </c>
      <c r="Q2319" s="28">
        <f>INT(C2319/10)*10</f>
        <v/>
      </c>
    </row>
    <row r="2320">
      <c r="A2320" s="21" t="n">
        <v>2367</v>
      </c>
      <c r="B2320" s="21" t="inlineStr">
        <is>
          <t>Jarhead</t>
        </is>
      </c>
      <c r="C2320" s="21" t="n">
        <v>2005</v>
      </c>
      <c r="D2320" s="21" t="inlineStr">
        <is>
          <t>Germany</t>
        </is>
      </c>
      <c r="E2320" s="21" t="n">
        <v>125</v>
      </c>
      <c r="F2320" s="21" t="inlineStr">
        <is>
          <t>English</t>
        </is>
      </c>
      <c r="G2320" s="21" t="inlineStr">
        <is>
          <t>R</t>
        </is>
      </c>
      <c r="H2320" s="22" t="n">
        <v>62647540</v>
      </c>
      <c r="I2320" s="22" t="n">
        <v>70000000</v>
      </c>
      <c r="J2320" s="21">
        <f>IF(OR(H2320="",H2320=25529689.5),"Yes","No")</f>
        <v/>
      </c>
      <c r="K2320" s="21">
        <f>IF(AND(D2320="USA",C2320&gt;=1980,J2320="No"),"Yes","No")</f>
        <v/>
      </c>
      <c r="L2320" s="26">
        <f>IF(J2320="Yes","",H2320-I2320)</f>
        <v/>
      </c>
      <c r="M2320" s="27">
        <f>IF(OR(J2320="Yes",I2320=0),"",H2320/I2320)</f>
        <v/>
      </c>
      <c r="N2320" s="21">
        <f>IF(J2320="Yes","",IF(H2320&gt;=I2320,1,0))</f>
        <v/>
      </c>
      <c r="O2320" s="21">
        <f>IF(I2320&lt;=5000000,"Under $5M",IF(I2320&lt;=20000000,"$5M-20M",IF(I2320&lt;=50000000,"$20M-50M",IF(I2320&lt;=100000000,"$50M-100M","$100M+"))))</f>
        <v/>
      </c>
      <c r="P2320" s="21">
        <f>IF(E2320&lt;=90,"90 or less",IF(E2320&lt;=105,"91-105",IF(E2320&lt;=120,"106-120",IF(E2320&lt;=140,"121-140","Over 140"))))</f>
        <v/>
      </c>
      <c r="Q2320" s="28">
        <f>INT(C2320/10)*10</f>
        <v/>
      </c>
    </row>
    <row r="2321">
      <c r="A2321" s="21" t="n">
        <v>2368</v>
      </c>
      <c r="B2321" s="21" t="inlineStr">
        <is>
          <t>Joyeux Noel</t>
        </is>
      </c>
      <c r="C2321" s="21" t="n">
        <v>2005</v>
      </c>
      <c r="D2321" s="21" t="inlineStr">
        <is>
          <t>France</t>
        </is>
      </c>
      <c r="E2321" s="21" t="n">
        <v>116</v>
      </c>
      <c r="F2321" s="21" t="inlineStr">
        <is>
          <t>French</t>
        </is>
      </c>
      <c r="G2321" s="21" t="inlineStr">
        <is>
          <t>PG-13</t>
        </is>
      </c>
      <c r="H2321" s="22" t="n">
        <v>1050445</v>
      </c>
      <c r="I2321" s="22" t="n">
        <v>22000000</v>
      </c>
      <c r="J2321" s="21">
        <f>IF(OR(H2321="",H2321=25529689.5),"Yes","No")</f>
        <v/>
      </c>
      <c r="K2321" s="21">
        <f>IF(AND(D2321="USA",C2321&gt;=1980,J2321="No"),"Yes","No")</f>
        <v/>
      </c>
      <c r="L2321" s="26">
        <f>IF(J2321="Yes","",H2321-I2321)</f>
        <v/>
      </c>
      <c r="M2321" s="27">
        <f>IF(OR(J2321="Yes",I2321=0),"",H2321/I2321)</f>
        <v/>
      </c>
      <c r="N2321" s="21">
        <f>IF(J2321="Yes","",IF(H2321&gt;=I2321,1,0))</f>
        <v/>
      </c>
      <c r="O2321" s="21">
        <f>IF(I2321&lt;=5000000,"Under $5M",IF(I2321&lt;=20000000,"$5M-20M",IF(I2321&lt;=50000000,"$20M-50M",IF(I2321&lt;=100000000,"$50M-100M","$100M+"))))</f>
        <v/>
      </c>
      <c r="P2321" s="21">
        <f>IF(E2321&lt;=90,"90 or less",IF(E2321&lt;=105,"91-105",IF(E2321&lt;=120,"106-120",IF(E2321&lt;=140,"121-140","Over 140"))))</f>
        <v/>
      </c>
      <c r="Q2321" s="28">
        <f>INT(C2321/10)*10</f>
        <v/>
      </c>
    </row>
    <row r="2322">
      <c r="A2322" s="21" t="n">
        <v>2369</v>
      </c>
      <c r="B2322" s="21" t="inlineStr">
        <is>
          <t>Just Like Heaven</t>
        </is>
      </c>
      <c r="C2322" s="21" t="n">
        <v>2005</v>
      </c>
      <c r="D2322" s="21" t="inlineStr">
        <is>
          <t>USA</t>
        </is>
      </c>
      <c r="E2322" s="21" t="n">
        <v>95</v>
      </c>
      <c r="F2322" s="21" t="inlineStr">
        <is>
          <t>English</t>
        </is>
      </c>
      <c r="G2322" s="21" t="inlineStr">
        <is>
          <t>PG-13</t>
        </is>
      </c>
      <c r="H2322" s="22" t="n">
        <v>48291624</v>
      </c>
      <c r="I2322" s="22" t="n">
        <v>58000000</v>
      </c>
      <c r="J2322" s="21">
        <f>IF(OR(H2322="",H2322=25529689.5),"Yes","No")</f>
        <v/>
      </c>
      <c r="K2322" s="21">
        <f>IF(AND(D2322="USA",C2322&gt;=1980,J2322="No"),"Yes","No")</f>
        <v/>
      </c>
      <c r="L2322" s="26">
        <f>IF(J2322="Yes","",H2322-I2322)</f>
        <v/>
      </c>
      <c r="M2322" s="27">
        <f>IF(OR(J2322="Yes",I2322=0),"",H2322/I2322)</f>
        <v/>
      </c>
      <c r="N2322" s="21">
        <f>IF(J2322="Yes","",IF(H2322&gt;=I2322,1,0))</f>
        <v/>
      </c>
      <c r="O2322" s="21">
        <f>IF(I2322&lt;=5000000,"Under $5M",IF(I2322&lt;=20000000,"$5M-20M",IF(I2322&lt;=50000000,"$20M-50M",IF(I2322&lt;=100000000,"$50M-100M","$100M+"))))</f>
        <v/>
      </c>
      <c r="P2322" s="21">
        <f>IF(E2322&lt;=90,"90 or less",IF(E2322&lt;=105,"91-105",IF(E2322&lt;=120,"106-120",IF(E2322&lt;=140,"121-140","Over 140"))))</f>
        <v/>
      </c>
      <c r="Q2322" s="28">
        <f>INT(C2322/10)*10</f>
        <v/>
      </c>
    </row>
    <row r="2323">
      <c r="A2323" s="21" t="n">
        <v>2370</v>
      </c>
      <c r="B2323" s="21" t="inlineStr">
        <is>
          <t>Kicking &amp; Screaming</t>
        </is>
      </c>
      <c r="C2323" s="21" t="n">
        <v>2005</v>
      </c>
      <c r="D2323" s="21" t="inlineStr">
        <is>
          <t>USA</t>
        </is>
      </c>
      <c r="E2323" s="21" t="n">
        <v>95</v>
      </c>
      <c r="F2323" s="21" t="inlineStr">
        <is>
          <t>English</t>
        </is>
      </c>
      <c r="G2323" s="21" t="inlineStr">
        <is>
          <t>PG</t>
        </is>
      </c>
      <c r="H2323" s="22" t="n">
        <v>52580895</v>
      </c>
      <c r="I2323" s="22" t="n">
        <v>45000000</v>
      </c>
      <c r="J2323" s="21">
        <f>IF(OR(H2323="",H2323=25529689.5),"Yes","No")</f>
        <v/>
      </c>
      <c r="K2323" s="21">
        <f>IF(AND(D2323="USA",C2323&gt;=1980,J2323="No"),"Yes","No")</f>
        <v/>
      </c>
      <c r="L2323" s="26">
        <f>IF(J2323="Yes","",H2323-I2323)</f>
        <v/>
      </c>
      <c r="M2323" s="27">
        <f>IF(OR(J2323="Yes",I2323=0),"",H2323/I2323)</f>
        <v/>
      </c>
      <c r="N2323" s="21">
        <f>IF(J2323="Yes","",IF(H2323&gt;=I2323,1,0))</f>
        <v/>
      </c>
      <c r="O2323" s="21">
        <f>IF(I2323&lt;=5000000,"Under $5M",IF(I2323&lt;=20000000,"$5M-20M",IF(I2323&lt;=50000000,"$20M-50M",IF(I2323&lt;=100000000,"$50M-100M","$100M+"))))</f>
        <v/>
      </c>
      <c r="P2323" s="21">
        <f>IF(E2323&lt;=90,"90 or less",IF(E2323&lt;=105,"91-105",IF(E2323&lt;=120,"106-120",IF(E2323&lt;=140,"121-140","Over 140"))))</f>
        <v/>
      </c>
      <c r="Q2323" s="28">
        <f>INT(C2323/10)*10</f>
        <v/>
      </c>
    </row>
    <row r="2324">
      <c r="A2324" s="21" t="n">
        <v>2371</v>
      </c>
      <c r="B2324" s="21" t="inlineStr">
        <is>
          <t>King Kong</t>
        </is>
      </c>
      <c r="C2324" s="21" t="n">
        <v>2005</v>
      </c>
      <c r="D2324" s="21" t="inlineStr">
        <is>
          <t>New Zealand</t>
        </is>
      </c>
      <c r="E2324" s="21" t="n">
        <v>201</v>
      </c>
      <c r="F2324" s="21" t="inlineStr">
        <is>
          <t>English</t>
        </is>
      </c>
      <c r="G2324" s="21" t="inlineStr">
        <is>
          <t>PG-13</t>
        </is>
      </c>
      <c r="H2324" s="22" t="n">
        <v>218051260</v>
      </c>
      <c r="I2324" s="22" t="n">
        <v>207000000</v>
      </c>
      <c r="J2324" s="21">
        <f>IF(OR(H2324="",H2324=25529689.5),"Yes","No")</f>
        <v/>
      </c>
      <c r="K2324" s="21">
        <f>IF(AND(D2324="USA",C2324&gt;=1980,J2324="No"),"Yes","No")</f>
        <v/>
      </c>
      <c r="L2324" s="26">
        <f>IF(J2324="Yes","",H2324-I2324)</f>
        <v/>
      </c>
      <c r="M2324" s="27">
        <f>IF(OR(J2324="Yes",I2324=0),"",H2324/I2324)</f>
        <v/>
      </c>
      <c r="N2324" s="21">
        <f>IF(J2324="Yes","",IF(H2324&gt;=I2324,1,0))</f>
        <v/>
      </c>
      <c r="O2324" s="21">
        <f>IF(I2324&lt;=5000000,"Under $5M",IF(I2324&lt;=20000000,"$5M-20M",IF(I2324&lt;=50000000,"$20M-50M",IF(I2324&lt;=100000000,"$50M-100M","$100M+"))))</f>
        <v/>
      </c>
      <c r="P2324" s="21">
        <f>IF(E2324&lt;=90,"90 or less",IF(E2324&lt;=105,"91-105",IF(E2324&lt;=120,"106-120",IF(E2324&lt;=140,"121-140","Over 140"))))</f>
        <v/>
      </c>
      <c r="Q2324" s="28">
        <f>INT(C2324/10)*10</f>
        <v/>
      </c>
    </row>
    <row r="2325">
      <c r="A2325" s="21" t="n">
        <v>2374</v>
      </c>
      <c r="B2325" s="21" t="inlineStr">
        <is>
          <t>King's Ransom</t>
        </is>
      </c>
      <c r="C2325" s="21" t="n">
        <v>2005</v>
      </c>
      <c r="D2325" s="21" t="inlineStr">
        <is>
          <t>USA</t>
        </is>
      </c>
      <c r="E2325" s="21" t="n">
        <v>95</v>
      </c>
      <c r="F2325" s="21" t="inlineStr">
        <is>
          <t>English</t>
        </is>
      </c>
      <c r="G2325" s="21" t="inlineStr">
        <is>
          <t>PG-13</t>
        </is>
      </c>
      <c r="H2325" s="22" t="n">
        <v>4006906</v>
      </c>
      <c r="I2325" s="22" t="n">
        <v>15000000</v>
      </c>
      <c r="J2325" s="21">
        <f>IF(OR(H2325="",H2325=25529689.5),"Yes","No")</f>
        <v/>
      </c>
      <c r="K2325" s="21">
        <f>IF(AND(D2325="USA",C2325&gt;=1980,J2325="No"),"Yes","No")</f>
        <v/>
      </c>
      <c r="L2325" s="26">
        <f>IF(J2325="Yes","",H2325-I2325)</f>
        <v/>
      </c>
      <c r="M2325" s="27">
        <f>IF(OR(J2325="Yes",I2325=0),"",H2325/I2325)</f>
        <v/>
      </c>
      <c r="N2325" s="21">
        <f>IF(J2325="Yes","",IF(H2325&gt;=I2325,1,0))</f>
        <v/>
      </c>
      <c r="O2325" s="21">
        <f>IF(I2325&lt;=5000000,"Under $5M",IF(I2325&lt;=20000000,"$5M-20M",IF(I2325&lt;=50000000,"$20M-50M",IF(I2325&lt;=100000000,"$50M-100M","$100M+"))))</f>
        <v/>
      </c>
      <c r="P2325" s="21">
        <f>IF(E2325&lt;=90,"90 or less",IF(E2325&lt;=105,"91-105",IF(E2325&lt;=120,"106-120",IF(E2325&lt;=140,"121-140","Over 140"))))</f>
        <v/>
      </c>
      <c r="Q2325" s="28">
        <f>INT(C2325/10)*10</f>
        <v/>
      </c>
    </row>
    <row r="2326">
      <c r="A2326" s="21" t="n">
        <v>2375</v>
      </c>
      <c r="B2326" s="21" t="inlineStr">
        <is>
          <t>Kingdom of Heaven</t>
        </is>
      </c>
      <c r="C2326" s="21" t="n">
        <v>2005</v>
      </c>
      <c r="D2326" s="21" t="inlineStr">
        <is>
          <t>USA</t>
        </is>
      </c>
      <c r="E2326" s="21" t="n">
        <v>194</v>
      </c>
      <c r="F2326" s="21" t="inlineStr">
        <is>
          <t>English</t>
        </is>
      </c>
      <c r="G2326" s="21" t="inlineStr">
        <is>
          <t>R</t>
        </is>
      </c>
      <c r="H2326" s="22" t="n">
        <v>47396698</v>
      </c>
      <c r="I2326" s="22" t="n">
        <v>130000000</v>
      </c>
      <c r="J2326" s="21">
        <f>IF(OR(H2326="",H2326=25529689.5),"Yes","No")</f>
        <v/>
      </c>
      <c r="K2326" s="21">
        <f>IF(AND(D2326="USA",C2326&gt;=1980,J2326="No"),"Yes","No")</f>
        <v/>
      </c>
      <c r="L2326" s="26">
        <f>IF(J2326="Yes","",H2326-I2326)</f>
        <v/>
      </c>
      <c r="M2326" s="27">
        <f>IF(OR(J2326="Yes",I2326=0),"",H2326/I2326)</f>
        <v/>
      </c>
      <c r="N2326" s="21">
        <f>IF(J2326="Yes","",IF(H2326&gt;=I2326,1,0))</f>
        <v/>
      </c>
      <c r="O2326" s="21">
        <f>IF(I2326&lt;=5000000,"Under $5M",IF(I2326&lt;=20000000,"$5M-20M",IF(I2326&lt;=50000000,"$20M-50M",IF(I2326&lt;=100000000,"$50M-100M","$100M+"))))</f>
        <v/>
      </c>
      <c r="P2326" s="21">
        <f>IF(E2326&lt;=90,"90 or less",IF(E2326&lt;=105,"91-105",IF(E2326&lt;=120,"106-120",IF(E2326&lt;=140,"121-140","Over 140"))))</f>
        <v/>
      </c>
      <c r="Q2326" s="28">
        <f>INT(C2326/10)*10</f>
        <v/>
      </c>
    </row>
    <row r="2327">
      <c r="A2327" s="21" t="n">
        <v>2376</v>
      </c>
      <c r="B2327" s="21" t="inlineStr">
        <is>
          <t>Kiss Kiss Bang Bang</t>
        </is>
      </c>
      <c r="C2327" s="21" t="n">
        <v>2005</v>
      </c>
      <c r="D2327" s="21" t="inlineStr">
        <is>
          <t>USA</t>
        </is>
      </c>
      <c r="E2327" s="21" t="n">
        <v>103</v>
      </c>
      <c r="F2327" s="21" t="inlineStr">
        <is>
          <t>English</t>
        </is>
      </c>
      <c r="G2327" s="21" t="inlineStr">
        <is>
          <t>R</t>
        </is>
      </c>
      <c r="H2327" s="22" t="n">
        <v>4235837</v>
      </c>
      <c r="I2327" s="22" t="n">
        <v>15000000</v>
      </c>
      <c r="J2327" s="21">
        <f>IF(OR(H2327="",H2327=25529689.5),"Yes","No")</f>
        <v/>
      </c>
      <c r="K2327" s="21">
        <f>IF(AND(D2327="USA",C2327&gt;=1980,J2327="No"),"Yes","No")</f>
        <v/>
      </c>
      <c r="L2327" s="26">
        <f>IF(J2327="Yes","",H2327-I2327)</f>
        <v/>
      </c>
      <c r="M2327" s="27">
        <f>IF(OR(J2327="Yes",I2327=0),"",H2327/I2327)</f>
        <v/>
      </c>
      <c r="N2327" s="21">
        <f>IF(J2327="Yes","",IF(H2327&gt;=I2327,1,0))</f>
        <v/>
      </c>
      <c r="O2327" s="21">
        <f>IF(I2327&lt;=5000000,"Under $5M",IF(I2327&lt;=20000000,"$5M-20M",IF(I2327&lt;=50000000,"$20M-50M",IF(I2327&lt;=100000000,"$50M-100M","$100M+"))))</f>
        <v/>
      </c>
      <c r="P2327" s="21">
        <f>IF(E2327&lt;=90,"90 or less",IF(E2327&lt;=105,"91-105",IF(E2327&lt;=120,"106-120",IF(E2327&lt;=140,"121-140","Over 140"))))</f>
        <v/>
      </c>
      <c r="Q2327" s="28">
        <f>INT(C2327/10)*10</f>
        <v/>
      </c>
    </row>
    <row r="2328">
      <c r="A2328" s="21" t="n">
        <v>2377</v>
      </c>
      <c r="B2328" s="21" t="inlineStr">
        <is>
          <t>Lady Vengeance</t>
        </is>
      </c>
      <c r="C2328" s="21" t="n">
        <v>2005</v>
      </c>
      <c r="D2328" s="21" t="inlineStr">
        <is>
          <t>South Korea</t>
        </is>
      </c>
      <c r="E2328" s="21" t="n">
        <v>112</v>
      </c>
      <c r="F2328" s="21" t="inlineStr">
        <is>
          <t>Korean</t>
        </is>
      </c>
      <c r="G2328" s="21" t="inlineStr">
        <is>
          <t>R</t>
        </is>
      </c>
      <c r="H2328" s="22" t="n">
        <v>211667</v>
      </c>
      <c r="I2328" s="22" t="n">
        <v>4200000000</v>
      </c>
      <c r="J2328" s="21">
        <f>IF(OR(H2328="",H2328=25529689.5),"Yes","No")</f>
        <v/>
      </c>
      <c r="K2328" s="21">
        <f>IF(AND(D2328="USA",C2328&gt;=1980,J2328="No"),"Yes","No")</f>
        <v/>
      </c>
      <c r="L2328" s="26">
        <f>IF(J2328="Yes","",H2328-I2328)</f>
        <v/>
      </c>
      <c r="M2328" s="27">
        <f>IF(OR(J2328="Yes",I2328=0),"",H2328/I2328)</f>
        <v/>
      </c>
      <c r="N2328" s="21">
        <f>IF(J2328="Yes","",IF(H2328&gt;=I2328,1,0))</f>
        <v/>
      </c>
      <c r="O2328" s="21">
        <f>IF(I2328&lt;=5000000,"Under $5M",IF(I2328&lt;=20000000,"$5M-20M",IF(I2328&lt;=50000000,"$20M-50M",IF(I2328&lt;=100000000,"$50M-100M","$100M+"))))</f>
        <v/>
      </c>
      <c r="P2328" s="21">
        <f>IF(E2328&lt;=90,"90 or less",IF(E2328&lt;=105,"91-105",IF(E2328&lt;=120,"106-120",IF(E2328&lt;=140,"121-140","Over 140"))))</f>
        <v/>
      </c>
      <c r="Q2328" s="28">
        <f>INT(C2328/10)*10</f>
        <v/>
      </c>
    </row>
    <row r="2329">
      <c r="A2329" s="21" t="n">
        <v>2378</v>
      </c>
      <c r="B2329" s="21" t="inlineStr">
        <is>
          <t>Land of the Dead</t>
        </is>
      </c>
      <c r="C2329" s="21" t="n">
        <v>2005</v>
      </c>
      <c r="D2329" s="21" t="inlineStr">
        <is>
          <t>Canada</t>
        </is>
      </c>
      <c r="E2329" s="21" t="n">
        <v>97</v>
      </c>
      <c r="F2329" s="21" t="inlineStr">
        <is>
          <t>English</t>
        </is>
      </c>
      <c r="G2329" s="21" t="inlineStr">
        <is>
          <t>R</t>
        </is>
      </c>
      <c r="H2329" s="22" t="n">
        <v>20433940</v>
      </c>
      <c r="I2329" s="22" t="n">
        <v>15000000</v>
      </c>
      <c r="J2329" s="21">
        <f>IF(OR(H2329="",H2329=25529689.5),"Yes","No")</f>
        <v/>
      </c>
      <c r="K2329" s="21">
        <f>IF(AND(D2329="USA",C2329&gt;=1980,J2329="No"),"Yes","No")</f>
        <v/>
      </c>
      <c r="L2329" s="26">
        <f>IF(J2329="Yes","",H2329-I2329)</f>
        <v/>
      </c>
      <c r="M2329" s="27">
        <f>IF(OR(J2329="Yes",I2329=0),"",H2329/I2329)</f>
        <v/>
      </c>
      <c r="N2329" s="21">
        <f>IF(J2329="Yes","",IF(H2329&gt;=I2329,1,0))</f>
        <v/>
      </c>
      <c r="O2329" s="21">
        <f>IF(I2329&lt;=5000000,"Under $5M",IF(I2329&lt;=20000000,"$5M-20M",IF(I2329&lt;=50000000,"$20M-50M",IF(I2329&lt;=100000000,"$50M-100M","$100M+"))))</f>
        <v/>
      </c>
      <c r="P2329" s="21">
        <f>IF(E2329&lt;=90,"90 or less",IF(E2329&lt;=105,"91-105",IF(E2329&lt;=120,"106-120",IF(E2329&lt;=140,"121-140","Over 140"))))</f>
        <v/>
      </c>
      <c r="Q2329" s="28">
        <f>INT(C2329/10)*10</f>
        <v/>
      </c>
    </row>
    <row r="2330">
      <c r="A2330" s="21" t="n">
        <v>2379</v>
      </c>
      <c r="B2330" s="21" t="inlineStr">
        <is>
          <t>London</t>
        </is>
      </c>
      <c r="C2330" s="21" t="n">
        <v>2005</v>
      </c>
      <c r="D2330" s="21" t="inlineStr">
        <is>
          <t>UK</t>
        </is>
      </c>
      <c r="E2330" s="21" t="n">
        <v>92</v>
      </c>
      <c r="F2330" s="21" t="inlineStr">
        <is>
          <t>English</t>
        </is>
      </c>
      <c r="G2330" s="21" t="inlineStr">
        <is>
          <t>R</t>
        </is>
      </c>
      <c r="H2330" s="22" t="n">
        <v>12667</v>
      </c>
      <c r="I2330" s="22" t="n">
        <v>14000</v>
      </c>
      <c r="J2330" s="21">
        <f>IF(OR(H2330="",H2330=25529689.5),"Yes","No")</f>
        <v/>
      </c>
      <c r="K2330" s="21">
        <f>IF(AND(D2330="USA",C2330&gt;=1980,J2330="No"),"Yes","No")</f>
        <v/>
      </c>
      <c r="L2330" s="26">
        <f>IF(J2330="Yes","",H2330-I2330)</f>
        <v/>
      </c>
      <c r="M2330" s="27">
        <f>IF(OR(J2330="Yes",I2330=0),"",H2330/I2330)</f>
        <v/>
      </c>
      <c r="N2330" s="21">
        <f>IF(J2330="Yes","",IF(H2330&gt;=I2330,1,0))</f>
        <v/>
      </c>
      <c r="O2330" s="21">
        <f>IF(I2330&lt;=5000000,"Under $5M",IF(I2330&lt;=20000000,"$5M-20M",IF(I2330&lt;=50000000,"$20M-50M",IF(I2330&lt;=100000000,"$50M-100M","$100M+"))))</f>
        <v/>
      </c>
      <c r="P2330" s="21">
        <f>IF(E2330&lt;=90,"90 or less",IF(E2330&lt;=105,"91-105",IF(E2330&lt;=120,"106-120",IF(E2330&lt;=140,"121-140","Over 140"))))</f>
        <v/>
      </c>
      <c r="Q2330" s="28">
        <f>INT(C2330/10)*10</f>
        <v/>
      </c>
    </row>
    <row r="2331">
      <c r="A2331" s="21" t="n">
        <v>2380</v>
      </c>
      <c r="B2331" s="21" t="inlineStr">
        <is>
          <t>Lonesome Jim</t>
        </is>
      </c>
      <c r="C2331" s="21" t="n">
        <v>2005</v>
      </c>
      <c r="D2331" s="21" t="inlineStr">
        <is>
          <t>USA</t>
        </is>
      </c>
      <c r="E2331" s="21" t="n">
        <v>91</v>
      </c>
      <c r="F2331" s="21" t="inlineStr">
        <is>
          <t>English</t>
        </is>
      </c>
      <c r="G2331" s="21" t="inlineStr">
        <is>
          <t>R</t>
        </is>
      </c>
      <c r="H2331" s="22" t="n">
        <v>154077</v>
      </c>
      <c r="I2331" s="22" t="n">
        <v>500000</v>
      </c>
      <c r="J2331" s="21">
        <f>IF(OR(H2331="",H2331=25529689.5),"Yes","No")</f>
        <v/>
      </c>
      <c r="K2331" s="21">
        <f>IF(AND(D2331="USA",C2331&gt;=1980,J2331="No"),"Yes","No")</f>
        <v/>
      </c>
      <c r="L2331" s="26">
        <f>IF(J2331="Yes","",H2331-I2331)</f>
        <v/>
      </c>
      <c r="M2331" s="27">
        <f>IF(OR(J2331="Yes",I2331=0),"",H2331/I2331)</f>
        <v/>
      </c>
      <c r="N2331" s="21">
        <f>IF(J2331="Yes","",IF(H2331&gt;=I2331,1,0))</f>
        <v/>
      </c>
      <c r="O2331" s="21">
        <f>IF(I2331&lt;=5000000,"Under $5M",IF(I2331&lt;=20000000,"$5M-20M",IF(I2331&lt;=50000000,"$20M-50M",IF(I2331&lt;=100000000,"$50M-100M","$100M+"))))</f>
        <v/>
      </c>
      <c r="P2331" s="21">
        <f>IF(E2331&lt;=90,"90 or less",IF(E2331&lt;=105,"91-105",IF(E2331&lt;=120,"106-120",IF(E2331&lt;=140,"121-140","Over 140"))))</f>
        <v/>
      </c>
      <c r="Q2331" s="28">
        <f>INT(C2331/10)*10</f>
        <v/>
      </c>
    </row>
    <row r="2332">
      <c r="A2332" s="21" t="n">
        <v>2381</v>
      </c>
      <c r="B2332" s="21" t="inlineStr">
        <is>
          <t>Lord of War</t>
        </is>
      </c>
      <c r="C2332" s="21" t="n">
        <v>2005</v>
      </c>
      <c r="D2332" s="21" t="inlineStr">
        <is>
          <t>USA</t>
        </is>
      </c>
      <c r="E2332" s="21" t="n">
        <v>122</v>
      </c>
      <c r="F2332" s="21" t="inlineStr">
        <is>
          <t>English</t>
        </is>
      </c>
      <c r="G2332" s="21" t="inlineStr">
        <is>
          <t>R</t>
        </is>
      </c>
      <c r="H2332" s="22" t="n">
        <v>24127895</v>
      </c>
      <c r="I2332" s="22" t="n">
        <v>50000000</v>
      </c>
      <c r="J2332" s="21">
        <f>IF(OR(H2332="",H2332=25529689.5),"Yes","No")</f>
        <v/>
      </c>
      <c r="K2332" s="21">
        <f>IF(AND(D2332="USA",C2332&gt;=1980,J2332="No"),"Yes","No")</f>
        <v/>
      </c>
      <c r="L2332" s="26">
        <f>IF(J2332="Yes","",H2332-I2332)</f>
        <v/>
      </c>
      <c r="M2332" s="27">
        <f>IF(OR(J2332="Yes",I2332=0),"",H2332/I2332)</f>
        <v/>
      </c>
      <c r="N2332" s="21">
        <f>IF(J2332="Yes","",IF(H2332&gt;=I2332,1,0))</f>
        <v/>
      </c>
      <c r="O2332" s="21">
        <f>IF(I2332&lt;=5000000,"Under $5M",IF(I2332&lt;=20000000,"$5M-20M",IF(I2332&lt;=50000000,"$20M-50M",IF(I2332&lt;=100000000,"$50M-100M","$100M+"))))</f>
        <v/>
      </c>
      <c r="P2332" s="21">
        <f>IF(E2332&lt;=90,"90 or less",IF(E2332&lt;=105,"91-105",IF(E2332&lt;=120,"106-120",IF(E2332&lt;=140,"121-140","Over 140"))))</f>
        <v/>
      </c>
      <c r="Q2332" s="28">
        <f>INT(C2332/10)*10</f>
        <v/>
      </c>
    </row>
    <row r="2333">
      <c r="A2333" s="21" t="n">
        <v>2382</v>
      </c>
      <c r="B2333" s="21" t="inlineStr">
        <is>
          <t>Lords of Dogtown</t>
        </is>
      </c>
      <c r="C2333" s="21" t="n">
        <v>2005</v>
      </c>
      <c r="D2333" s="21" t="inlineStr">
        <is>
          <t>USA</t>
        </is>
      </c>
      <c r="E2333" s="21" t="n">
        <v>107</v>
      </c>
      <c r="F2333" s="21" t="inlineStr">
        <is>
          <t>English</t>
        </is>
      </c>
      <c r="G2333" s="21" t="inlineStr">
        <is>
          <t>PG-13</t>
        </is>
      </c>
      <c r="H2333" s="22" t="n">
        <v>11008432</v>
      </c>
      <c r="I2333" s="22" t="n">
        <v>25000000</v>
      </c>
      <c r="J2333" s="21">
        <f>IF(OR(H2333="",H2333=25529689.5),"Yes","No")</f>
        <v/>
      </c>
      <c r="K2333" s="21">
        <f>IF(AND(D2333="USA",C2333&gt;=1980,J2333="No"),"Yes","No")</f>
        <v/>
      </c>
      <c r="L2333" s="26">
        <f>IF(J2333="Yes","",H2333-I2333)</f>
        <v/>
      </c>
      <c r="M2333" s="27">
        <f>IF(OR(J2333="Yes",I2333=0),"",H2333/I2333)</f>
        <v/>
      </c>
      <c r="N2333" s="21">
        <f>IF(J2333="Yes","",IF(H2333&gt;=I2333,1,0))</f>
        <v/>
      </c>
      <c r="O2333" s="21">
        <f>IF(I2333&lt;=5000000,"Under $5M",IF(I2333&lt;=20000000,"$5M-20M",IF(I2333&lt;=50000000,"$20M-50M",IF(I2333&lt;=100000000,"$50M-100M","$100M+"))))</f>
        <v/>
      </c>
      <c r="P2333" s="21">
        <f>IF(E2333&lt;=90,"90 or less",IF(E2333&lt;=105,"91-105",IF(E2333&lt;=120,"106-120",IF(E2333&lt;=140,"121-140","Over 140"))))</f>
        <v/>
      </c>
      <c r="Q2333" s="28">
        <f>INT(C2333/10)*10</f>
        <v/>
      </c>
    </row>
    <row r="2334">
      <c r="A2334" s="21" t="n">
        <v>2383</v>
      </c>
      <c r="B2334" s="21" t="inlineStr">
        <is>
          <t>Mad Hot Ballroom</t>
        </is>
      </c>
      <c r="C2334" s="21" t="n">
        <v>2005</v>
      </c>
      <c r="D2334" s="21" t="inlineStr">
        <is>
          <t>USA</t>
        </is>
      </c>
      <c r="E2334" s="21" t="n">
        <v>105</v>
      </c>
      <c r="F2334" s="21" t="inlineStr">
        <is>
          <t>English</t>
        </is>
      </c>
      <c r="G2334" s="21" t="inlineStr">
        <is>
          <t>PG</t>
        </is>
      </c>
      <c r="H2334" s="22" t="n">
        <v>8044906</v>
      </c>
      <c r="I2334" s="22" t="n">
        <v>20000000</v>
      </c>
      <c r="J2334" s="21">
        <f>IF(OR(H2334="",H2334=25529689.5),"Yes","No")</f>
        <v/>
      </c>
      <c r="K2334" s="21">
        <f>IF(AND(D2334="USA",C2334&gt;=1980,J2334="No"),"Yes","No")</f>
        <v/>
      </c>
      <c r="L2334" s="26">
        <f>IF(J2334="Yes","",H2334-I2334)</f>
        <v/>
      </c>
      <c r="M2334" s="27">
        <f>IF(OR(J2334="Yes",I2334=0),"",H2334/I2334)</f>
        <v/>
      </c>
      <c r="N2334" s="21">
        <f>IF(J2334="Yes","",IF(H2334&gt;=I2334,1,0))</f>
        <v/>
      </c>
      <c r="O2334" s="21">
        <f>IF(I2334&lt;=5000000,"Under $5M",IF(I2334&lt;=20000000,"$5M-20M",IF(I2334&lt;=50000000,"$20M-50M",IF(I2334&lt;=100000000,"$50M-100M","$100M+"))))</f>
        <v/>
      </c>
      <c r="P2334" s="21">
        <f>IF(E2334&lt;=90,"90 or less",IF(E2334&lt;=105,"91-105",IF(E2334&lt;=120,"106-120",IF(E2334&lt;=140,"121-140","Over 140"))))</f>
        <v/>
      </c>
      <c r="Q2334" s="28">
        <f>INT(C2334/10)*10</f>
        <v/>
      </c>
    </row>
    <row r="2335">
      <c r="A2335" s="21" t="n">
        <v>2384</v>
      </c>
      <c r="B2335" s="21" t="inlineStr">
        <is>
          <t>Madagascar</t>
        </is>
      </c>
      <c r="C2335" s="21" t="n">
        <v>2005</v>
      </c>
      <c r="D2335" s="21" t="inlineStr">
        <is>
          <t>USA</t>
        </is>
      </c>
      <c r="E2335" s="21" t="n">
        <v>86</v>
      </c>
      <c r="F2335" s="21" t="inlineStr">
        <is>
          <t>English</t>
        </is>
      </c>
      <c r="G2335" s="21" t="inlineStr">
        <is>
          <t>PG</t>
        </is>
      </c>
      <c r="H2335" s="22" t="n">
        <v>193136719</v>
      </c>
      <c r="I2335" s="22" t="n">
        <v>75000000</v>
      </c>
      <c r="J2335" s="21">
        <f>IF(OR(H2335="",H2335=25529689.5),"Yes","No")</f>
        <v/>
      </c>
      <c r="K2335" s="21">
        <f>IF(AND(D2335="USA",C2335&gt;=1980,J2335="No"),"Yes","No")</f>
        <v/>
      </c>
      <c r="L2335" s="26">
        <f>IF(J2335="Yes","",H2335-I2335)</f>
        <v/>
      </c>
      <c r="M2335" s="27">
        <f>IF(OR(J2335="Yes",I2335=0),"",H2335/I2335)</f>
        <v/>
      </c>
      <c r="N2335" s="21">
        <f>IF(J2335="Yes","",IF(H2335&gt;=I2335,1,0))</f>
        <v/>
      </c>
      <c r="O2335" s="21">
        <f>IF(I2335&lt;=5000000,"Under $5M",IF(I2335&lt;=20000000,"$5M-20M",IF(I2335&lt;=50000000,"$20M-50M",IF(I2335&lt;=100000000,"$50M-100M","$100M+"))))</f>
        <v/>
      </c>
      <c r="P2335" s="21">
        <f>IF(E2335&lt;=90,"90 or less",IF(E2335&lt;=105,"91-105",IF(E2335&lt;=120,"106-120",IF(E2335&lt;=140,"121-140","Over 140"))))</f>
        <v/>
      </c>
      <c r="Q2335" s="28">
        <f>INT(C2335/10)*10</f>
        <v/>
      </c>
    </row>
    <row r="2336">
      <c r="A2336" s="21" t="n">
        <v>2385</v>
      </c>
      <c r="B2336" s="21" t="inlineStr">
        <is>
          <t>Man of the House</t>
        </is>
      </c>
      <c r="C2336" s="21" t="n">
        <v>2005</v>
      </c>
      <c r="D2336" s="21" t="inlineStr">
        <is>
          <t>USA</t>
        </is>
      </c>
      <c r="E2336" s="21" t="n">
        <v>100</v>
      </c>
      <c r="F2336" s="21" t="inlineStr">
        <is>
          <t>English</t>
        </is>
      </c>
      <c r="G2336" s="21" t="inlineStr">
        <is>
          <t>PG-13</t>
        </is>
      </c>
      <c r="H2336" s="22" t="n">
        <v>19118247</v>
      </c>
      <c r="I2336" s="22" t="n">
        <v>40000000</v>
      </c>
      <c r="J2336" s="21">
        <f>IF(OR(H2336="",H2336=25529689.5),"Yes","No")</f>
        <v/>
      </c>
      <c r="K2336" s="21">
        <f>IF(AND(D2336="USA",C2336&gt;=1980,J2336="No"),"Yes","No")</f>
        <v/>
      </c>
      <c r="L2336" s="26">
        <f>IF(J2336="Yes","",H2336-I2336)</f>
        <v/>
      </c>
      <c r="M2336" s="27">
        <f>IF(OR(J2336="Yes",I2336=0),"",H2336/I2336)</f>
        <v/>
      </c>
      <c r="N2336" s="21">
        <f>IF(J2336="Yes","",IF(H2336&gt;=I2336,1,0))</f>
        <v/>
      </c>
      <c r="O2336" s="21">
        <f>IF(I2336&lt;=5000000,"Under $5M",IF(I2336&lt;=20000000,"$5M-20M",IF(I2336&lt;=50000000,"$20M-50M",IF(I2336&lt;=100000000,"$50M-100M","$100M+"))))</f>
        <v/>
      </c>
      <c r="P2336" s="21">
        <f>IF(E2336&lt;=90,"90 or less",IF(E2336&lt;=105,"91-105",IF(E2336&lt;=120,"106-120",IF(E2336&lt;=140,"121-140","Over 140"))))</f>
        <v/>
      </c>
      <c r="Q2336" s="28">
        <f>INT(C2336/10)*10</f>
        <v/>
      </c>
    </row>
    <row r="2337">
      <c r="A2337" s="21" t="n">
        <v>2386</v>
      </c>
      <c r="B2337" s="21" t="inlineStr">
        <is>
          <t>Manderlay</t>
        </is>
      </c>
      <c r="C2337" s="21" t="n">
        <v>2005</v>
      </c>
      <c r="D2337" s="21" t="inlineStr">
        <is>
          <t>Denmark</t>
        </is>
      </c>
      <c r="E2337" s="21" t="n">
        <v>139</v>
      </c>
      <c r="F2337" s="21" t="inlineStr">
        <is>
          <t>English</t>
        </is>
      </c>
      <c r="G2337" s="21" t="inlineStr">
        <is>
          <t>Not Rated</t>
        </is>
      </c>
      <c r="H2337" s="22" t="n">
        <v>74205</v>
      </c>
      <c r="I2337" s="22" t="n">
        <v>14200000</v>
      </c>
      <c r="J2337" s="21">
        <f>IF(OR(H2337="",H2337=25529689.5),"Yes","No")</f>
        <v/>
      </c>
      <c r="K2337" s="21">
        <f>IF(AND(D2337="USA",C2337&gt;=1980,J2337="No"),"Yes","No")</f>
        <v/>
      </c>
      <c r="L2337" s="26">
        <f>IF(J2337="Yes","",H2337-I2337)</f>
        <v/>
      </c>
      <c r="M2337" s="27">
        <f>IF(OR(J2337="Yes",I2337=0),"",H2337/I2337)</f>
        <v/>
      </c>
      <c r="N2337" s="21">
        <f>IF(J2337="Yes","",IF(H2337&gt;=I2337,1,0))</f>
        <v/>
      </c>
      <c r="O2337" s="21">
        <f>IF(I2337&lt;=5000000,"Under $5M",IF(I2337&lt;=20000000,"$5M-20M",IF(I2337&lt;=50000000,"$20M-50M",IF(I2337&lt;=100000000,"$50M-100M","$100M+"))))</f>
        <v/>
      </c>
      <c r="P2337" s="21">
        <f>IF(E2337&lt;=90,"90 or less",IF(E2337&lt;=105,"91-105",IF(E2337&lt;=120,"106-120",IF(E2337&lt;=140,"121-140","Over 140"))))</f>
        <v/>
      </c>
      <c r="Q2337" s="28">
        <f>INT(C2337/10)*10</f>
        <v/>
      </c>
    </row>
    <row r="2338">
      <c r="A2338" s="21" t="n">
        <v>2387</v>
      </c>
      <c r="B2338" s="21" t="inlineStr">
        <is>
          <t>March of the Penguins</t>
        </is>
      </c>
      <c r="C2338" s="21" t="n">
        <v>2005</v>
      </c>
      <c r="D2338" s="21" t="inlineStr">
        <is>
          <t>France</t>
        </is>
      </c>
      <c r="E2338" s="21" t="n">
        <v>80</v>
      </c>
      <c r="F2338" s="21" t="inlineStr">
        <is>
          <t>French</t>
        </is>
      </c>
      <c r="G2338" s="21" t="inlineStr">
        <is>
          <t>G</t>
        </is>
      </c>
      <c r="H2338" s="22" t="n">
        <v>77413017</v>
      </c>
      <c r="I2338" s="22" t="n">
        <v>8000000</v>
      </c>
      <c r="J2338" s="21">
        <f>IF(OR(H2338="",H2338=25529689.5),"Yes","No")</f>
        <v/>
      </c>
      <c r="K2338" s="21">
        <f>IF(AND(D2338="USA",C2338&gt;=1980,J2338="No"),"Yes","No")</f>
        <v/>
      </c>
      <c r="L2338" s="26">
        <f>IF(J2338="Yes","",H2338-I2338)</f>
        <v/>
      </c>
      <c r="M2338" s="27">
        <f>IF(OR(J2338="Yes",I2338=0),"",H2338/I2338)</f>
        <v/>
      </c>
      <c r="N2338" s="21">
        <f>IF(J2338="Yes","",IF(H2338&gt;=I2338,1,0))</f>
        <v/>
      </c>
      <c r="O2338" s="21">
        <f>IF(I2338&lt;=5000000,"Under $5M",IF(I2338&lt;=20000000,"$5M-20M",IF(I2338&lt;=50000000,"$20M-50M",IF(I2338&lt;=100000000,"$50M-100M","$100M+"))))</f>
        <v/>
      </c>
      <c r="P2338" s="21">
        <f>IF(E2338&lt;=90,"90 or less",IF(E2338&lt;=105,"91-105",IF(E2338&lt;=120,"106-120",IF(E2338&lt;=140,"121-140","Over 140"))))</f>
        <v/>
      </c>
      <c r="Q2338" s="28">
        <f>INT(C2338/10)*10</f>
        <v/>
      </c>
    </row>
    <row r="2339">
      <c r="A2339" s="21" t="n">
        <v>2388</v>
      </c>
      <c r="B2339" s="21" t="inlineStr">
        <is>
          <t>Match Point</t>
        </is>
      </c>
      <c r="C2339" s="21" t="n">
        <v>2005</v>
      </c>
      <c r="D2339" s="21" t="inlineStr">
        <is>
          <t>UK</t>
        </is>
      </c>
      <c r="E2339" s="21" t="n">
        <v>119</v>
      </c>
      <c r="F2339" s="21" t="inlineStr">
        <is>
          <t>English</t>
        </is>
      </c>
      <c r="G2339" s="21" t="inlineStr">
        <is>
          <t>R</t>
        </is>
      </c>
      <c r="H2339" s="22" t="n">
        <v>23089926</v>
      </c>
      <c r="I2339" s="22" t="n">
        <v>15000000</v>
      </c>
      <c r="J2339" s="21">
        <f>IF(OR(H2339="",H2339=25529689.5),"Yes","No")</f>
        <v/>
      </c>
      <c r="K2339" s="21">
        <f>IF(AND(D2339="USA",C2339&gt;=1980,J2339="No"),"Yes","No")</f>
        <v/>
      </c>
      <c r="L2339" s="26">
        <f>IF(J2339="Yes","",H2339-I2339)</f>
        <v/>
      </c>
      <c r="M2339" s="27">
        <f>IF(OR(J2339="Yes",I2339=0),"",H2339/I2339)</f>
        <v/>
      </c>
      <c r="N2339" s="21">
        <f>IF(J2339="Yes","",IF(H2339&gt;=I2339,1,0))</f>
        <v/>
      </c>
      <c r="O2339" s="21">
        <f>IF(I2339&lt;=5000000,"Under $5M",IF(I2339&lt;=20000000,"$5M-20M",IF(I2339&lt;=50000000,"$20M-50M",IF(I2339&lt;=100000000,"$50M-100M","$100M+"))))</f>
        <v/>
      </c>
      <c r="P2339" s="21">
        <f>IF(E2339&lt;=90,"90 or less",IF(E2339&lt;=105,"91-105",IF(E2339&lt;=120,"106-120",IF(E2339&lt;=140,"121-140","Over 140"))))</f>
        <v/>
      </c>
      <c r="Q2339" s="28">
        <f>INT(C2339/10)*10</f>
        <v/>
      </c>
    </row>
    <row r="2340">
      <c r="A2340" s="21" t="n">
        <v>2389</v>
      </c>
      <c r="B2340" s="21" t="inlineStr">
        <is>
          <t>Me and You and Everyone We Know</t>
        </is>
      </c>
      <c r="C2340" s="21" t="n">
        <v>2005</v>
      </c>
      <c r="D2340" s="21" t="inlineStr">
        <is>
          <t>USA</t>
        </is>
      </c>
      <c r="E2340" s="21" t="n">
        <v>91</v>
      </c>
      <c r="F2340" s="21" t="inlineStr">
        <is>
          <t>English</t>
        </is>
      </c>
      <c r="G2340" s="21" t="inlineStr">
        <is>
          <t>R</t>
        </is>
      </c>
      <c r="H2340" s="22" t="n">
        <v>3885134</v>
      </c>
      <c r="I2340" s="22" t="n">
        <v>2000000</v>
      </c>
      <c r="J2340" s="21">
        <f>IF(OR(H2340="",H2340=25529689.5),"Yes","No")</f>
        <v/>
      </c>
      <c r="K2340" s="21">
        <f>IF(AND(D2340="USA",C2340&gt;=1980,J2340="No"),"Yes","No")</f>
        <v/>
      </c>
      <c r="L2340" s="26">
        <f>IF(J2340="Yes","",H2340-I2340)</f>
        <v/>
      </c>
      <c r="M2340" s="27">
        <f>IF(OR(J2340="Yes",I2340=0),"",H2340/I2340)</f>
        <v/>
      </c>
      <c r="N2340" s="21">
        <f>IF(J2340="Yes","",IF(H2340&gt;=I2340,1,0))</f>
        <v/>
      </c>
      <c r="O2340" s="21">
        <f>IF(I2340&lt;=5000000,"Under $5M",IF(I2340&lt;=20000000,"$5M-20M",IF(I2340&lt;=50000000,"$20M-50M",IF(I2340&lt;=100000000,"$50M-100M","$100M+"))))</f>
        <v/>
      </c>
      <c r="P2340" s="21">
        <f>IF(E2340&lt;=90,"90 or less",IF(E2340&lt;=105,"91-105",IF(E2340&lt;=120,"106-120",IF(E2340&lt;=140,"121-140","Over 140"))))</f>
        <v/>
      </c>
      <c r="Q2340" s="28">
        <f>INT(C2340/10)*10</f>
        <v/>
      </c>
    </row>
    <row r="2341">
      <c r="A2341" s="21" t="n">
        <v>2390</v>
      </c>
      <c r="B2341" s="21" t="inlineStr">
        <is>
          <t>Memoirs of a Geisha</t>
        </is>
      </c>
      <c r="C2341" s="21" t="n">
        <v>2005</v>
      </c>
      <c r="D2341" s="21" t="inlineStr">
        <is>
          <t>USA</t>
        </is>
      </c>
      <c r="E2341" s="21" t="n">
        <v>145</v>
      </c>
      <c r="F2341" s="21" t="inlineStr">
        <is>
          <t>English</t>
        </is>
      </c>
      <c r="G2341" s="21" t="inlineStr">
        <is>
          <t>PG-13</t>
        </is>
      </c>
      <c r="H2341" s="22" t="n">
        <v>57010853</v>
      </c>
      <c r="I2341" s="22" t="n">
        <v>85000000</v>
      </c>
      <c r="J2341" s="21">
        <f>IF(OR(H2341="",H2341=25529689.5),"Yes","No")</f>
        <v/>
      </c>
      <c r="K2341" s="21">
        <f>IF(AND(D2341="USA",C2341&gt;=1980,J2341="No"),"Yes","No")</f>
        <v/>
      </c>
      <c r="L2341" s="26">
        <f>IF(J2341="Yes","",H2341-I2341)</f>
        <v/>
      </c>
      <c r="M2341" s="27">
        <f>IF(OR(J2341="Yes",I2341=0),"",H2341/I2341)</f>
        <v/>
      </c>
      <c r="N2341" s="21">
        <f>IF(J2341="Yes","",IF(H2341&gt;=I2341,1,0))</f>
        <v/>
      </c>
      <c r="O2341" s="21">
        <f>IF(I2341&lt;=5000000,"Under $5M",IF(I2341&lt;=20000000,"$5M-20M",IF(I2341&lt;=50000000,"$20M-50M",IF(I2341&lt;=100000000,"$50M-100M","$100M+"))))</f>
        <v/>
      </c>
      <c r="P2341" s="21">
        <f>IF(E2341&lt;=90,"90 or less",IF(E2341&lt;=105,"91-105",IF(E2341&lt;=120,"106-120",IF(E2341&lt;=140,"121-140","Over 140"))))</f>
        <v/>
      </c>
      <c r="Q2341" s="28">
        <f>INT(C2341/10)*10</f>
        <v/>
      </c>
    </row>
    <row r="2342">
      <c r="A2342" s="21" t="n">
        <v>2391</v>
      </c>
      <c r="B2342" s="21" t="inlineStr">
        <is>
          <t>Mirrormask</t>
        </is>
      </c>
      <c r="C2342" s="21" t="n">
        <v>2005</v>
      </c>
      <c r="D2342" s="21" t="inlineStr">
        <is>
          <t>UK</t>
        </is>
      </c>
      <c r="E2342" s="21" t="n">
        <v>101</v>
      </c>
      <c r="F2342" s="21" t="inlineStr">
        <is>
          <t>English</t>
        </is>
      </c>
      <c r="G2342" s="21" t="inlineStr">
        <is>
          <t>PG</t>
        </is>
      </c>
      <c r="H2342" s="22" t="n">
        <v>864959</v>
      </c>
      <c r="I2342" s="22" t="n">
        <v>4000000</v>
      </c>
      <c r="J2342" s="21">
        <f>IF(OR(H2342="",H2342=25529689.5),"Yes","No")</f>
        <v/>
      </c>
      <c r="K2342" s="21">
        <f>IF(AND(D2342="USA",C2342&gt;=1980,J2342="No"),"Yes","No")</f>
        <v/>
      </c>
      <c r="L2342" s="26">
        <f>IF(J2342="Yes","",H2342-I2342)</f>
        <v/>
      </c>
      <c r="M2342" s="27">
        <f>IF(OR(J2342="Yes",I2342=0),"",H2342/I2342)</f>
        <v/>
      </c>
      <c r="N2342" s="21">
        <f>IF(J2342="Yes","",IF(H2342&gt;=I2342,1,0))</f>
        <v/>
      </c>
      <c r="O2342" s="21">
        <f>IF(I2342&lt;=5000000,"Under $5M",IF(I2342&lt;=20000000,"$5M-20M",IF(I2342&lt;=50000000,"$20M-50M",IF(I2342&lt;=100000000,"$50M-100M","$100M+"))))</f>
        <v/>
      </c>
      <c r="P2342" s="21">
        <f>IF(E2342&lt;=90,"90 or less",IF(E2342&lt;=105,"91-105",IF(E2342&lt;=120,"106-120",IF(E2342&lt;=140,"121-140","Over 140"))))</f>
        <v/>
      </c>
      <c r="Q2342" s="28">
        <f>INT(C2342/10)*10</f>
        <v/>
      </c>
    </row>
    <row r="2343">
      <c r="A2343" s="21" t="n">
        <v>2392</v>
      </c>
      <c r="B2343" s="21" t="inlineStr">
        <is>
          <t>Miss Congeniality 2: Armed and Fabulous</t>
        </is>
      </c>
      <c r="C2343" s="21" t="n">
        <v>2005</v>
      </c>
      <c r="D2343" s="21" t="inlineStr">
        <is>
          <t>USA</t>
        </is>
      </c>
      <c r="E2343" s="21" t="n">
        <v>115</v>
      </c>
      <c r="F2343" s="21" t="inlineStr">
        <is>
          <t>English</t>
        </is>
      </c>
      <c r="G2343" s="21" t="inlineStr">
        <is>
          <t>PG-13</t>
        </is>
      </c>
      <c r="H2343" s="22" t="n">
        <v>48472213</v>
      </c>
      <c r="I2343" s="22" t="n">
        <v>45000000</v>
      </c>
      <c r="J2343" s="21">
        <f>IF(OR(H2343="",H2343=25529689.5),"Yes","No")</f>
        <v/>
      </c>
      <c r="K2343" s="21">
        <f>IF(AND(D2343="USA",C2343&gt;=1980,J2343="No"),"Yes","No")</f>
        <v/>
      </c>
      <c r="L2343" s="26">
        <f>IF(J2343="Yes","",H2343-I2343)</f>
        <v/>
      </c>
      <c r="M2343" s="27">
        <f>IF(OR(J2343="Yes",I2343=0),"",H2343/I2343)</f>
        <v/>
      </c>
      <c r="N2343" s="21">
        <f>IF(J2343="Yes","",IF(H2343&gt;=I2343,1,0))</f>
        <v/>
      </c>
      <c r="O2343" s="21">
        <f>IF(I2343&lt;=5000000,"Under $5M",IF(I2343&lt;=20000000,"$5M-20M",IF(I2343&lt;=50000000,"$20M-50M",IF(I2343&lt;=100000000,"$50M-100M","$100M+"))))</f>
        <v/>
      </c>
      <c r="P2343" s="21">
        <f>IF(E2343&lt;=90,"90 or less",IF(E2343&lt;=105,"91-105",IF(E2343&lt;=120,"106-120",IF(E2343&lt;=140,"121-140","Over 140"))))</f>
        <v/>
      </c>
      <c r="Q2343" s="28">
        <f>INT(C2343/10)*10</f>
        <v/>
      </c>
    </row>
    <row r="2344">
      <c r="A2344" s="21" t="n">
        <v>2393</v>
      </c>
      <c r="B2344" s="21" t="inlineStr">
        <is>
          <t>Monster-in-Law</t>
        </is>
      </c>
      <c r="C2344" s="21" t="n">
        <v>2005</v>
      </c>
      <c r="D2344" s="21" t="inlineStr">
        <is>
          <t>Germany</t>
        </is>
      </c>
      <c r="E2344" s="21" t="n">
        <v>101</v>
      </c>
      <c r="F2344" s="21" t="inlineStr">
        <is>
          <t>English</t>
        </is>
      </c>
      <c r="G2344" s="21" t="inlineStr">
        <is>
          <t>PG-13</t>
        </is>
      </c>
      <c r="H2344" s="22" t="n">
        <v>82931301</v>
      </c>
      <c r="I2344" s="22" t="n">
        <v>60000000</v>
      </c>
      <c r="J2344" s="21">
        <f>IF(OR(H2344="",H2344=25529689.5),"Yes","No")</f>
        <v/>
      </c>
      <c r="K2344" s="21">
        <f>IF(AND(D2344="USA",C2344&gt;=1980,J2344="No"),"Yes","No")</f>
        <v/>
      </c>
      <c r="L2344" s="26">
        <f>IF(J2344="Yes","",H2344-I2344)</f>
        <v/>
      </c>
      <c r="M2344" s="27">
        <f>IF(OR(J2344="Yes",I2344=0),"",H2344/I2344)</f>
        <v/>
      </c>
      <c r="N2344" s="21">
        <f>IF(J2344="Yes","",IF(H2344&gt;=I2344,1,0))</f>
        <v/>
      </c>
      <c r="O2344" s="21">
        <f>IF(I2344&lt;=5000000,"Under $5M",IF(I2344&lt;=20000000,"$5M-20M",IF(I2344&lt;=50000000,"$20M-50M",IF(I2344&lt;=100000000,"$50M-100M","$100M+"))))</f>
        <v/>
      </c>
      <c r="P2344" s="21">
        <f>IF(E2344&lt;=90,"90 or less",IF(E2344&lt;=105,"91-105",IF(E2344&lt;=120,"106-120",IF(E2344&lt;=140,"121-140","Over 140"))))</f>
        <v/>
      </c>
      <c r="Q2344" s="28">
        <f>INT(C2344/10)*10</f>
        <v/>
      </c>
    </row>
    <row r="2345">
      <c r="A2345" s="21" t="n">
        <v>2394</v>
      </c>
      <c r="B2345" s="21" t="inlineStr">
        <is>
          <t>Mr. &amp; Mrs. Smith</t>
        </is>
      </c>
      <c r="C2345" s="21" t="n">
        <v>2005</v>
      </c>
      <c r="D2345" s="21" t="inlineStr">
        <is>
          <t>USA</t>
        </is>
      </c>
      <c r="E2345" s="21" t="n">
        <v>126</v>
      </c>
      <c r="F2345" s="21" t="inlineStr">
        <is>
          <t>English</t>
        </is>
      </c>
      <c r="G2345" s="21" t="inlineStr">
        <is>
          <t>PG-13</t>
        </is>
      </c>
      <c r="H2345" s="22" t="n">
        <v>186336103</v>
      </c>
      <c r="I2345" s="22" t="n">
        <v>120000000</v>
      </c>
      <c r="J2345" s="21">
        <f>IF(OR(H2345="",H2345=25529689.5),"Yes","No")</f>
        <v/>
      </c>
      <c r="K2345" s="21">
        <f>IF(AND(D2345="USA",C2345&gt;=1980,J2345="No"),"Yes","No")</f>
        <v/>
      </c>
      <c r="L2345" s="26">
        <f>IF(J2345="Yes","",H2345-I2345)</f>
        <v/>
      </c>
      <c r="M2345" s="27">
        <f>IF(OR(J2345="Yes",I2345=0),"",H2345/I2345)</f>
        <v/>
      </c>
      <c r="N2345" s="21">
        <f>IF(J2345="Yes","",IF(H2345&gt;=I2345,1,0))</f>
        <v/>
      </c>
      <c r="O2345" s="21">
        <f>IF(I2345&lt;=5000000,"Under $5M",IF(I2345&lt;=20000000,"$5M-20M",IF(I2345&lt;=50000000,"$20M-50M",IF(I2345&lt;=100000000,"$50M-100M","$100M+"))))</f>
        <v/>
      </c>
      <c r="P2345" s="21">
        <f>IF(E2345&lt;=90,"90 or less",IF(E2345&lt;=105,"91-105",IF(E2345&lt;=120,"106-120",IF(E2345&lt;=140,"121-140","Over 140"))))</f>
        <v/>
      </c>
      <c r="Q2345" s="28">
        <f>INT(C2345/10)*10</f>
        <v/>
      </c>
    </row>
    <row r="2346">
      <c r="A2346" s="21" t="n">
        <v>2395</v>
      </c>
      <c r="B2346" s="21" t="inlineStr">
        <is>
          <t>Mrs Henderson Presents</t>
        </is>
      </c>
      <c r="C2346" s="21" t="n">
        <v>2005</v>
      </c>
      <c r="D2346" s="21" t="inlineStr">
        <is>
          <t>UK</t>
        </is>
      </c>
      <c r="E2346" s="21" t="n">
        <v>103</v>
      </c>
      <c r="F2346" s="21" t="inlineStr">
        <is>
          <t>English</t>
        </is>
      </c>
      <c r="G2346" s="21" t="inlineStr">
        <is>
          <t>R</t>
        </is>
      </c>
      <c r="H2346" s="22" t="n">
        <v>11034436</v>
      </c>
      <c r="I2346" s="22" t="n">
        <v>20000000</v>
      </c>
      <c r="J2346" s="21">
        <f>IF(OR(H2346="",H2346=25529689.5),"Yes","No")</f>
        <v/>
      </c>
      <c r="K2346" s="21">
        <f>IF(AND(D2346="USA",C2346&gt;=1980,J2346="No"),"Yes","No")</f>
        <v/>
      </c>
      <c r="L2346" s="26">
        <f>IF(J2346="Yes","",H2346-I2346)</f>
        <v/>
      </c>
      <c r="M2346" s="27">
        <f>IF(OR(J2346="Yes",I2346=0),"",H2346/I2346)</f>
        <v/>
      </c>
      <c r="N2346" s="21">
        <f>IF(J2346="Yes","",IF(H2346&gt;=I2346,1,0))</f>
        <v/>
      </c>
      <c r="O2346" s="21">
        <f>IF(I2346&lt;=5000000,"Under $5M",IF(I2346&lt;=20000000,"$5M-20M",IF(I2346&lt;=50000000,"$20M-50M",IF(I2346&lt;=100000000,"$50M-100M","$100M+"))))</f>
        <v/>
      </c>
      <c r="P2346" s="21">
        <f>IF(E2346&lt;=90,"90 or less",IF(E2346&lt;=105,"91-105",IF(E2346&lt;=120,"106-120",IF(E2346&lt;=140,"121-140","Over 140"))))</f>
        <v/>
      </c>
      <c r="Q2346" s="28">
        <f>INT(C2346/10)*10</f>
        <v/>
      </c>
    </row>
    <row r="2347">
      <c r="A2347" s="21" t="n">
        <v>2396</v>
      </c>
      <c r="B2347" s="21" t="inlineStr">
        <is>
          <t>Munich</t>
        </is>
      </c>
      <c r="C2347" s="21" t="n">
        <v>2005</v>
      </c>
      <c r="D2347" s="21" t="inlineStr">
        <is>
          <t>France</t>
        </is>
      </c>
      <c r="E2347" s="21" t="n">
        <v>163</v>
      </c>
      <c r="F2347" s="21" t="inlineStr">
        <is>
          <t>English</t>
        </is>
      </c>
      <c r="G2347" s="21" t="inlineStr">
        <is>
          <t>R</t>
        </is>
      </c>
      <c r="H2347" s="22" t="n">
        <v>47379090</v>
      </c>
      <c r="I2347" s="22" t="n">
        <v>70000000</v>
      </c>
      <c r="J2347" s="21">
        <f>IF(OR(H2347="",H2347=25529689.5),"Yes","No")</f>
        <v/>
      </c>
      <c r="K2347" s="21">
        <f>IF(AND(D2347="USA",C2347&gt;=1980,J2347="No"),"Yes","No")</f>
        <v/>
      </c>
      <c r="L2347" s="26">
        <f>IF(J2347="Yes","",H2347-I2347)</f>
        <v/>
      </c>
      <c r="M2347" s="27">
        <f>IF(OR(J2347="Yes",I2347=0),"",H2347/I2347)</f>
        <v/>
      </c>
      <c r="N2347" s="21">
        <f>IF(J2347="Yes","",IF(H2347&gt;=I2347,1,0))</f>
        <v/>
      </c>
      <c r="O2347" s="21">
        <f>IF(I2347&lt;=5000000,"Under $5M",IF(I2347&lt;=20000000,"$5M-20M",IF(I2347&lt;=50000000,"$20M-50M",IF(I2347&lt;=100000000,"$50M-100M","$100M+"))))</f>
        <v/>
      </c>
      <c r="P2347" s="21">
        <f>IF(E2347&lt;=90,"90 or less",IF(E2347&lt;=105,"91-105",IF(E2347&lt;=120,"106-120",IF(E2347&lt;=140,"121-140","Over 140"))))</f>
        <v/>
      </c>
      <c r="Q2347" s="28">
        <f>INT(C2347/10)*10</f>
        <v/>
      </c>
    </row>
    <row r="2348">
      <c r="A2348" s="21" t="n">
        <v>2397</v>
      </c>
      <c r="B2348" s="21" t="inlineStr">
        <is>
          <t>Murderball</t>
        </is>
      </c>
      <c r="C2348" s="21" t="n">
        <v>2005</v>
      </c>
      <c r="D2348" s="21" t="inlineStr">
        <is>
          <t>USA</t>
        </is>
      </c>
      <c r="E2348" s="21" t="n">
        <v>88</v>
      </c>
      <c r="F2348" s="21" t="inlineStr">
        <is>
          <t>English</t>
        </is>
      </c>
      <c r="G2348" s="21" t="inlineStr">
        <is>
          <t>R</t>
        </is>
      </c>
      <c r="H2348" s="22" t="n">
        <v>1523883</v>
      </c>
      <c r="I2348" s="22" t="n">
        <v>1750211</v>
      </c>
      <c r="J2348" s="21">
        <f>IF(OR(H2348="",H2348=25529689.5),"Yes","No")</f>
        <v/>
      </c>
      <c r="K2348" s="21">
        <f>IF(AND(D2348="USA",C2348&gt;=1980,J2348="No"),"Yes","No")</f>
        <v/>
      </c>
      <c r="L2348" s="26">
        <f>IF(J2348="Yes","",H2348-I2348)</f>
        <v/>
      </c>
      <c r="M2348" s="27">
        <f>IF(OR(J2348="Yes",I2348=0),"",H2348/I2348)</f>
        <v/>
      </c>
      <c r="N2348" s="21">
        <f>IF(J2348="Yes","",IF(H2348&gt;=I2348,1,0))</f>
        <v/>
      </c>
      <c r="O2348" s="21">
        <f>IF(I2348&lt;=5000000,"Under $5M",IF(I2348&lt;=20000000,"$5M-20M",IF(I2348&lt;=50000000,"$20M-50M",IF(I2348&lt;=100000000,"$50M-100M","$100M+"))))</f>
        <v/>
      </c>
      <c r="P2348" s="21">
        <f>IF(E2348&lt;=90,"90 or less",IF(E2348&lt;=105,"91-105",IF(E2348&lt;=120,"106-120",IF(E2348&lt;=140,"121-140","Over 140"))))</f>
        <v/>
      </c>
      <c r="Q2348" s="28">
        <f>INT(C2348/10)*10</f>
        <v/>
      </c>
    </row>
    <row r="2349">
      <c r="A2349" s="21" t="n">
        <v>2398</v>
      </c>
      <c r="B2349" s="21" t="inlineStr">
        <is>
          <t>Must Love Dogs</t>
        </is>
      </c>
      <c r="C2349" s="21" t="n">
        <v>2005</v>
      </c>
      <c r="D2349" s="21" t="inlineStr">
        <is>
          <t>USA</t>
        </is>
      </c>
      <c r="E2349" s="21" t="n">
        <v>98</v>
      </c>
      <c r="F2349" s="21" t="inlineStr">
        <is>
          <t>English</t>
        </is>
      </c>
      <c r="G2349" s="21" t="inlineStr">
        <is>
          <t>PG-13</t>
        </is>
      </c>
      <c r="H2349" s="22" t="n">
        <v>43894863</v>
      </c>
      <c r="I2349" s="22" t="n">
        <v>30000000</v>
      </c>
      <c r="J2349" s="21">
        <f>IF(OR(H2349="",H2349=25529689.5),"Yes","No")</f>
        <v/>
      </c>
      <c r="K2349" s="21">
        <f>IF(AND(D2349="USA",C2349&gt;=1980,J2349="No"),"Yes","No")</f>
        <v/>
      </c>
      <c r="L2349" s="26">
        <f>IF(J2349="Yes","",H2349-I2349)</f>
        <v/>
      </c>
      <c r="M2349" s="27">
        <f>IF(OR(J2349="Yes",I2349=0),"",H2349/I2349)</f>
        <v/>
      </c>
      <c r="N2349" s="21">
        <f>IF(J2349="Yes","",IF(H2349&gt;=I2349,1,0))</f>
        <v/>
      </c>
      <c r="O2349" s="21">
        <f>IF(I2349&lt;=5000000,"Under $5M",IF(I2349&lt;=20000000,"$5M-20M",IF(I2349&lt;=50000000,"$20M-50M",IF(I2349&lt;=100000000,"$50M-100M","$100M+"))))</f>
        <v/>
      </c>
      <c r="P2349" s="21">
        <f>IF(E2349&lt;=90,"90 or less",IF(E2349&lt;=105,"91-105",IF(E2349&lt;=120,"106-120",IF(E2349&lt;=140,"121-140","Over 140"))))</f>
        <v/>
      </c>
      <c r="Q2349" s="28">
        <f>INT(C2349/10)*10</f>
        <v/>
      </c>
    </row>
    <row r="2350">
      <c r="A2350" s="21" t="n">
        <v>2399</v>
      </c>
      <c r="B2350" s="21" t="inlineStr">
        <is>
          <t>Mutual Appreciation</t>
        </is>
      </c>
      <c r="C2350" s="21" t="n">
        <v>2005</v>
      </c>
      <c r="D2350" s="21" t="inlineStr">
        <is>
          <t>USA</t>
        </is>
      </c>
      <c r="E2350" s="21" t="n">
        <v>109</v>
      </c>
      <c r="F2350" s="21" t="inlineStr">
        <is>
          <t>English</t>
        </is>
      </c>
      <c r="G2350" s="21" t="inlineStr">
        <is>
          <t>R</t>
        </is>
      </c>
      <c r="H2350" s="22" t="n">
        <v>25529689.5</v>
      </c>
      <c r="I2350" s="22" t="n">
        <v>20000000</v>
      </c>
      <c r="J2350" s="21">
        <f>IF(OR(H2350="",H2350=25529689.5),"Yes","No")</f>
        <v/>
      </c>
      <c r="K2350" s="21">
        <f>IF(AND(D2350="USA",C2350&gt;=1980,J2350="No"),"Yes","No")</f>
        <v/>
      </c>
      <c r="L2350" s="26">
        <f>IF(J2350="Yes","",H2350-I2350)</f>
        <v/>
      </c>
      <c r="M2350" s="27">
        <f>IF(OR(J2350="Yes",I2350=0),"",H2350/I2350)</f>
        <v/>
      </c>
      <c r="N2350" s="21">
        <f>IF(J2350="Yes","",IF(H2350&gt;=I2350,1,0))</f>
        <v/>
      </c>
      <c r="O2350" s="21">
        <f>IF(I2350&lt;=5000000,"Under $5M",IF(I2350&lt;=20000000,"$5M-20M",IF(I2350&lt;=50000000,"$20M-50M",IF(I2350&lt;=100000000,"$50M-100M","$100M+"))))</f>
        <v/>
      </c>
      <c r="P2350" s="21">
        <f>IF(E2350&lt;=90,"90 or less",IF(E2350&lt;=105,"91-105",IF(E2350&lt;=120,"106-120",IF(E2350&lt;=140,"121-140","Over 140"))))</f>
        <v/>
      </c>
      <c r="Q2350" s="28">
        <f>INT(C2350/10)*10</f>
        <v/>
      </c>
    </row>
    <row r="2351">
      <c r="A2351" s="21" t="n">
        <v>2400</v>
      </c>
      <c r="B2351" s="21" t="inlineStr">
        <is>
          <t>My Big Fat Independent Movie</t>
        </is>
      </c>
      <c r="C2351" s="21" t="n">
        <v>2005</v>
      </c>
      <c r="D2351" s="21" t="inlineStr">
        <is>
          <t>USA</t>
        </is>
      </c>
      <c r="E2351" s="21" t="n">
        <v>80</v>
      </c>
      <c r="F2351" s="21" t="inlineStr">
        <is>
          <t>English</t>
        </is>
      </c>
      <c r="G2351" s="21" t="inlineStr">
        <is>
          <t>R</t>
        </is>
      </c>
      <c r="H2351" s="22" t="n">
        <v>25529689.5</v>
      </c>
      <c r="I2351" s="22" t="n">
        <v>3000000</v>
      </c>
      <c r="J2351" s="21">
        <f>IF(OR(H2351="",H2351=25529689.5),"Yes","No")</f>
        <v/>
      </c>
      <c r="K2351" s="21">
        <f>IF(AND(D2351="USA",C2351&gt;=1980,J2351="No"),"Yes","No")</f>
        <v/>
      </c>
      <c r="L2351" s="26">
        <f>IF(J2351="Yes","",H2351-I2351)</f>
        <v/>
      </c>
      <c r="M2351" s="27">
        <f>IF(OR(J2351="Yes",I2351=0),"",H2351/I2351)</f>
        <v/>
      </c>
      <c r="N2351" s="21">
        <f>IF(J2351="Yes","",IF(H2351&gt;=I2351,1,0))</f>
        <v/>
      </c>
      <c r="O2351" s="21">
        <f>IF(I2351&lt;=5000000,"Under $5M",IF(I2351&lt;=20000000,"$5M-20M",IF(I2351&lt;=50000000,"$20M-50M",IF(I2351&lt;=100000000,"$50M-100M","$100M+"))))</f>
        <v/>
      </c>
      <c r="P2351" s="21">
        <f>IF(E2351&lt;=90,"90 or less",IF(E2351&lt;=105,"91-105",IF(E2351&lt;=120,"106-120",IF(E2351&lt;=140,"121-140","Over 140"))))</f>
        <v/>
      </c>
      <c r="Q2351" s="28">
        <f>INT(C2351/10)*10</f>
        <v/>
      </c>
    </row>
    <row r="2352">
      <c r="A2352" s="21" t="n">
        <v>2401</v>
      </c>
      <c r="B2352" s="21" t="inlineStr">
        <is>
          <t>Nanny McPhee</t>
        </is>
      </c>
      <c r="C2352" s="21" t="n">
        <v>2005</v>
      </c>
      <c r="D2352" s="21" t="inlineStr">
        <is>
          <t>USA</t>
        </is>
      </c>
      <c r="E2352" s="21" t="n">
        <v>97</v>
      </c>
      <c r="F2352" s="21" t="inlineStr">
        <is>
          <t>English</t>
        </is>
      </c>
      <c r="G2352" s="21" t="inlineStr">
        <is>
          <t>PG</t>
        </is>
      </c>
      <c r="H2352" s="22" t="n">
        <v>47124400</v>
      </c>
      <c r="I2352" s="22" t="n">
        <v>25000000</v>
      </c>
      <c r="J2352" s="21">
        <f>IF(OR(H2352="",H2352=25529689.5),"Yes","No")</f>
        <v/>
      </c>
      <c r="K2352" s="21">
        <f>IF(AND(D2352="USA",C2352&gt;=1980,J2352="No"),"Yes","No")</f>
        <v/>
      </c>
      <c r="L2352" s="26">
        <f>IF(J2352="Yes","",H2352-I2352)</f>
        <v/>
      </c>
      <c r="M2352" s="27">
        <f>IF(OR(J2352="Yes",I2352=0),"",H2352/I2352)</f>
        <v/>
      </c>
      <c r="N2352" s="21">
        <f>IF(J2352="Yes","",IF(H2352&gt;=I2352,1,0))</f>
        <v/>
      </c>
      <c r="O2352" s="21">
        <f>IF(I2352&lt;=5000000,"Under $5M",IF(I2352&lt;=20000000,"$5M-20M",IF(I2352&lt;=50000000,"$20M-50M",IF(I2352&lt;=100000000,"$50M-100M","$100M+"))))</f>
        <v/>
      </c>
      <c r="P2352" s="21">
        <f>IF(E2352&lt;=90,"90 or less",IF(E2352&lt;=105,"91-105",IF(E2352&lt;=120,"106-120",IF(E2352&lt;=140,"121-140","Over 140"))))</f>
        <v/>
      </c>
      <c r="Q2352" s="28">
        <f>INT(C2352/10)*10</f>
        <v/>
      </c>
    </row>
    <row r="2353">
      <c r="A2353" s="21" t="n">
        <v>2402</v>
      </c>
      <c r="B2353" s="21" t="inlineStr">
        <is>
          <t>Neal 'N' Nikki</t>
        </is>
      </c>
      <c r="C2353" s="21" t="n">
        <v>2005</v>
      </c>
      <c r="D2353" s="21" t="inlineStr">
        <is>
          <t>India</t>
        </is>
      </c>
      <c r="E2353" s="21" t="n">
        <v>97</v>
      </c>
      <c r="F2353" s="21" t="inlineStr">
        <is>
          <t>English</t>
        </is>
      </c>
      <c r="G2353" s="21" t="n"/>
      <c r="H2353" s="22" t="n">
        <v>100358</v>
      </c>
      <c r="I2353" s="22" t="n">
        <v>1500000</v>
      </c>
      <c r="J2353" s="21">
        <f>IF(OR(H2353="",H2353=25529689.5),"Yes","No")</f>
        <v/>
      </c>
      <c r="K2353" s="21">
        <f>IF(AND(D2353="USA",C2353&gt;=1980,J2353="No"),"Yes","No")</f>
        <v/>
      </c>
      <c r="L2353" s="26">
        <f>IF(J2353="Yes","",H2353-I2353)</f>
        <v/>
      </c>
      <c r="M2353" s="27">
        <f>IF(OR(J2353="Yes",I2353=0),"",H2353/I2353)</f>
        <v/>
      </c>
      <c r="N2353" s="21">
        <f>IF(J2353="Yes","",IF(H2353&gt;=I2353,1,0))</f>
        <v/>
      </c>
      <c r="O2353" s="21">
        <f>IF(I2353&lt;=5000000,"Under $5M",IF(I2353&lt;=20000000,"$5M-20M",IF(I2353&lt;=50000000,"$20M-50M",IF(I2353&lt;=100000000,"$50M-100M","$100M+"))))</f>
        <v/>
      </c>
      <c r="P2353" s="21">
        <f>IF(E2353&lt;=90,"90 or less",IF(E2353&lt;=105,"91-105",IF(E2353&lt;=120,"106-120",IF(E2353&lt;=140,"121-140","Over 140"))))</f>
        <v/>
      </c>
      <c r="Q2353" s="28">
        <f>INT(C2353/10)*10</f>
        <v/>
      </c>
    </row>
    <row r="2354">
      <c r="A2354" s="21" t="n">
        <v>2403</v>
      </c>
      <c r="B2354" s="21" t="inlineStr">
        <is>
          <t>Nomad: The Warrior</t>
        </is>
      </c>
      <c r="C2354" s="21" t="n">
        <v>2005</v>
      </c>
      <c r="D2354" s="21" t="inlineStr">
        <is>
          <t>France</t>
        </is>
      </c>
      <c r="E2354" s="21" t="n">
        <v>112</v>
      </c>
      <c r="F2354" s="21" t="inlineStr">
        <is>
          <t>Kazakh</t>
        </is>
      </c>
      <c r="G2354" s="21" t="inlineStr">
        <is>
          <t>R</t>
        </is>
      </c>
      <c r="H2354" s="22" t="n">
        <v>77231</v>
      </c>
      <c r="I2354" s="22" t="n">
        <v>25000000</v>
      </c>
      <c r="J2354" s="21">
        <f>IF(OR(H2354="",H2354=25529689.5),"Yes","No")</f>
        <v/>
      </c>
      <c r="K2354" s="21">
        <f>IF(AND(D2354="USA",C2354&gt;=1980,J2354="No"),"Yes","No")</f>
        <v/>
      </c>
      <c r="L2354" s="26">
        <f>IF(J2354="Yes","",H2354-I2354)</f>
        <v/>
      </c>
      <c r="M2354" s="27">
        <f>IF(OR(J2354="Yes",I2354=0),"",H2354/I2354)</f>
        <v/>
      </c>
      <c r="N2354" s="21">
        <f>IF(J2354="Yes","",IF(H2354&gt;=I2354,1,0))</f>
        <v/>
      </c>
      <c r="O2354" s="21">
        <f>IF(I2354&lt;=5000000,"Under $5M",IF(I2354&lt;=20000000,"$5M-20M",IF(I2354&lt;=50000000,"$20M-50M",IF(I2354&lt;=100000000,"$50M-100M","$100M+"))))</f>
        <v/>
      </c>
      <c r="P2354" s="21">
        <f>IF(E2354&lt;=90,"90 or less",IF(E2354&lt;=105,"91-105",IF(E2354&lt;=120,"106-120",IF(E2354&lt;=140,"121-140","Over 140"))))</f>
        <v/>
      </c>
      <c r="Q2354" s="28">
        <f>INT(C2354/10)*10</f>
        <v/>
      </c>
    </row>
    <row r="2355">
      <c r="A2355" s="21" t="n">
        <v>2404</v>
      </c>
      <c r="B2355" s="21" t="inlineStr">
        <is>
          <t>North Country</t>
        </is>
      </c>
      <c r="C2355" s="21" t="n">
        <v>2005</v>
      </c>
      <c r="D2355" s="21" t="inlineStr">
        <is>
          <t>USA</t>
        </is>
      </c>
      <c r="E2355" s="21" t="n">
        <v>126</v>
      </c>
      <c r="F2355" s="21" t="inlineStr">
        <is>
          <t>English</t>
        </is>
      </c>
      <c r="G2355" s="21" t="inlineStr">
        <is>
          <t>R</t>
        </is>
      </c>
      <c r="H2355" s="22" t="n">
        <v>18324242</v>
      </c>
      <c r="I2355" s="22" t="n">
        <v>35000000</v>
      </c>
      <c r="J2355" s="21">
        <f>IF(OR(H2355="",H2355=25529689.5),"Yes","No")</f>
        <v/>
      </c>
      <c r="K2355" s="21">
        <f>IF(AND(D2355="USA",C2355&gt;=1980,J2355="No"),"Yes","No")</f>
        <v/>
      </c>
      <c r="L2355" s="26">
        <f>IF(J2355="Yes","",H2355-I2355)</f>
        <v/>
      </c>
      <c r="M2355" s="27">
        <f>IF(OR(J2355="Yes",I2355=0),"",H2355/I2355)</f>
        <v/>
      </c>
      <c r="N2355" s="21">
        <f>IF(J2355="Yes","",IF(H2355&gt;=I2355,1,0))</f>
        <v/>
      </c>
      <c r="O2355" s="21">
        <f>IF(I2355&lt;=5000000,"Under $5M",IF(I2355&lt;=20000000,"$5M-20M",IF(I2355&lt;=50000000,"$20M-50M",IF(I2355&lt;=100000000,"$50M-100M","$100M+"))))</f>
        <v/>
      </c>
      <c r="P2355" s="21">
        <f>IF(E2355&lt;=90,"90 or less",IF(E2355&lt;=105,"91-105",IF(E2355&lt;=120,"106-120",IF(E2355&lt;=140,"121-140","Over 140"))))</f>
        <v/>
      </c>
      <c r="Q2355" s="28">
        <f>INT(C2355/10)*10</f>
        <v/>
      </c>
    </row>
    <row r="2356">
      <c r="A2356" s="21" t="n">
        <v>2405</v>
      </c>
      <c r="B2356" s="21" t="inlineStr">
        <is>
          <t>Oliver Twist</t>
        </is>
      </c>
      <c r="C2356" s="21" t="n">
        <v>2005</v>
      </c>
      <c r="D2356" s="21" t="inlineStr">
        <is>
          <t>UK</t>
        </is>
      </c>
      <c r="E2356" s="21" t="n">
        <v>130</v>
      </c>
      <c r="F2356" s="21" t="inlineStr">
        <is>
          <t>English</t>
        </is>
      </c>
      <c r="G2356" s="21" t="inlineStr">
        <is>
          <t>PG-13</t>
        </is>
      </c>
      <c r="H2356" s="22" t="n">
        <v>1987287</v>
      </c>
      <c r="I2356" s="22" t="n">
        <v>50000000</v>
      </c>
      <c r="J2356" s="21">
        <f>IF(OR(H2356="",H2356=25529689.5),"Yes","No")</f>
        <v/>
      </c>
      <c r="K2356" s="21">
        <f>IF(AND(D2356="USA",C2356&gt;=1980,J2356="No"),"Yes","No")</f>
        <v/>
      </c>
      <c r="L2356" s="26">
        <f>IF(J2356="Yes","",H2356-I2356)</f>
        <v/>
      </c>
      <c r="M2356" s="27">
        <f>IF(OR(J2356="Yes",I2356=0),"",H2356/I2356)</f>
        <v/>
      </c>
      <c r="N2356" s="21">
        <f>IF(J2356="Yes","",IF(H2356&gt;=I2356,1,0))</f>
        <v/>
      </c>
      <c r="O2356" s="21">
        <f>IF(I2356&lt;=5000000,"Under $5M",IF(I2356&lt;=20000000,"$5M-20M",IF(I2356&lt;=50000000,"$20M-50M",IF(I2356&lt;=100000000,"$50M-100M","$100M+"))))</f>
        <v/>
      </c>
      <c r="P2356" s="21">
        <f>IF(E2356&lt;=90,"90 or less",IF(E2356&lt;=105,"91-105",IF(E2356&lt;=120,"106-120",IF(E2356&lt;=140,"121-140","Over 140"))))</f>
        <v/>
      </c>
      <c r="Q2356" s="28">
        <f>INT(C2356/10)*10</f>
        <v/>
      </c>
    </row>
    <row r="2357">
      <c r="A2357" s="21" t="n">
        <v>2406</v>
      </c>
      <c r="B2357" s="21" t="inlineStr">
        <is>
          <t>Pooh's Heffalump Movie</t>
        </is>
      </c>
      <c r="C2357" s="21" t="n">
        <v>2005</v>
      </c>
      <c r="D2357" s="21" t="inlineStr">
        <is>
          <t>USA</t>
        </is>
      </c>
      <c r="E2357" s="21" t="n">
        <v>68</v>
      </c>
      <c r="F2357" s="21" t="inlineStr">
        <is>
          <t>English</t>
        </is>
      </c>
      <c r="G2357" s="21" t="inlineStr">
        <is>
          <t>G</t>
        </is>
      </c>
      <c r="H2357" s="22" t="n">
        <v>18081626</v>
      </c>
      <c r="I2357" s="22" t="n">
        <v>20000000</v>
      </c>
      <c r="J2357" s="21">
        <f>IF(OR(H2357="",H2357=25529689.5),"Yes","No")</f>
        <v/>
      </c>
      <c r="K2357" s="21">
        <f>IF(AND(D2357="USA",C2357&gt;=1980,J2357="No"),"Yes","No")</f>
        <v/>
      </c>
      <c r="L2357" s="26">
        <f>IF(J2357="Yes","",H2357-I2357)</f>
        <v/>
      </c>
      <c r="M2357" s="27">
        <f>IF(OR(J2357="Yes",I2357=0),"",H2357/I2357)</f>
        <v/>
      </c>
      <c r="N2357" s="21">
        <f>IF(J2357="Yes","",IF(H2357&gt;=I2357,1,0))</f>
        <v/>
      </c>
      <c r="O2357" s="21">
        <f>IF(I2357&lt;=5000000,"Under $5M",IF(I2357&lt;=20000000,"$5M-20M",IF(I2357&lt;=50000000,"$20M-50M",IF(I2357&lt;=100000000,"$50M-100M","$100M+"))))</f>
        <v/>
      </c>
      <c r="P2357" s="21">
        <f>IF(E2357&lt;=90,"90 or less",IF(E2357&lt;=105,"91-105",IF(E2357&lt;=120,"106-120",IF(E2357&lt;=140,"121-140","Over 140"))))</f>
        <v/>
      </c>
      <c r="Q2357" s="28">
        <f>INT(C2357/10)*10</f>
        <v/>
      </c>
    </row>
    <row r="2358">
      <c r="A2358" s="21" t="n">
        <v>2407</v>
      </c>
      <c r="B2358" s="21" t="inlineStr">
        <is>
          <t>Pride &amp; Prejudice</t>
        </is>
      </c>
      <c r="C2358" s="21" t="n">
        <v>2005</v>
      </c>
      <c r="D2358" s="21" t="inlineStr">
        <is>
          <t>France</t>
        </is>
      </c>
      <c r="E2358" s="21" t="n">
        <v>135</v>
      </c>
      <c r="F2358" s="21" t="inlineStr">
        <is>
          <t>English</t>
        </is>
      </c>
      <c r="G2358" s="21" t="inlineStr">
        <is>
          <t>PG</t>
        </is>
      </c>
      <c r="H2358" s="22" t="n">
        <v>38372662</v>
      </c>
      <c r="I2358" s="22" t="n">
        <v>28000000</v>
      </c>
      <c r="J2358" s="21">
        <f>IF(OR(H2358="",H2358=25529689.5),"Yes","No")</f>
        <v/>
      </c>
      <c r="K2358" s="21">
        <f>IF(AND(D2358="USA",C2358&gt;=1980,J2358="No"),"Yes","No")</f>
        <v/>
      </c>
      <c r="L2358" s="26">
        <f>IF(J2358="Yes","",H2358-I2358)</f>
        <v/>
      </c>
      <c r="M2358" s="27">
        <f>IF(OR(J2358="Yes",I2358=0),"",H2358/I2358)</f>
        <v/>
      </c>
      <c r="N2358" s="21">
        <f>IF(J2358="Yes","",IF(H2358&gt;=I2358,1,0))</f>
        <v/>
      </c>
      <c r="O2358" s="21">
        <f>IF(I2358&lt;=5000000,"Under $5M",IF(I2358&lt;=20000000,"$5M-20M",IF(I2358&lt;=50000000,"$20M-50M",IF(I2358&lt;=100000000,"$50M-100M","$100M+"))))</f>
        <v/>
      </c>
      <c r="P2358" s="21">
        <f>IF(E2358&lt;=90,"90 or less",IF(E2358&lt;=105,"91-105",IF(E2358&lt;=120,"106-120",IF(E2358&lt;=140,"121-140","Over 140"))))</f>
        <v/>
      </c>
      <c r="Q2358" s="28">
        <f>INT(C2358/10)*10</f>
        <v/>
      </c>
    </row>
    <row r="2359">
      <c r="A2359" s="21" t="n">
        <v>2408</v>
      </c>
      <c r="B2359" s="21" t="inlineStr">
        <is>
          <t>Racing Stripes</t>
        </is>
      </c>
      <c r="C2359" s="21" t="n">
        <v>2005</v>
      </c>
      <c r="D2359" s="21" t="inlineStr">
        <is>
          <t>USA</t>
        </is>
      </c>
      <c r="E2359" s="21" t="n">
        <v>102</v>
      </c>
      <c r="F2359" s="21" t="inlineStr">
        <is>
          <t>English</t>
        </is>
      </c>
      <c r="G2359" s="21" t="inlineStr">
        <is>
          <t>PG</t>
        </is>
      </c>
      <c r="H2359" s="22" t="n">
        <v>49186871</v>
      </c>
      <c r="I2359" s="22" t="n">
        <v>20000000</v>
      </c>
      <c r="J2359" s="21">
        <f>IF(OR(H2359="",H2359=25529689.5),"Yes","No")</f>
        <v/>
      </c>
      <c r="K2359" s="21">
        <f>IF(AND(D2359="USA",C2359&gt;=1980,J2359="No"),"Yes","No")</f>
        <v/>
      </c>
      <c r="L2359" s="26">
        <f>IF(J2359="Yes","",H2359-I2359)</f>
        <v/>
      </c>
      <c r="M2359" s="27">
        <f>IF(OR(J2359="Yes",I2359=0),"",H2359/I2359)</f>
        <v/>
      </c>
      <c r="N2359" s="21">
        <f>IF(J2359="Yes","",IF(H2359&gt;=I2359,1,0))</f>
        <v/>
      </c>
      <c r="O2359" s="21">
        <f>IF(I2359&lt;=5000000,"Under $5M",IF(I2359&lt;=20000000,"$5M-20M",IF(I2359&lt;=50000000,"$20M-50M",IF(I2359&lt;=100000000,"$50M-100M","$100M+"))))</f>
        <v/>
      </c>
      <c r="P2359" s="21">
        <f>IF(E2359&lt;=90,"90 or less",IF(E2359&lt;=105,"91-105",IF(E2359&lt;=120,"106-120",IF(E2359&lt;=140,"121-140","Over 140"))))</f>
        <v/>
      </c>
      <c r="Q2359" s="28">
        <f>INT(C2359/10)*10</f>
        <v/>
      </c>
    </row>
    <row r="2360">
      <c r="A2360" s="21" t="n">
        <v>2409</v>
      </c>
      <c r="B2360" s="21" t="inlineStr">
        <is>
          <t>Red Eye</t>
        </is>
      </c>
      <c r="C2360" s="21" t="n">
        <v>2005</v>
      </c>
      <c r="D2360" s="21" t="inlineStr">
        <is>
          <t>USA</t>
        </is>
      </c>
      <c r="E2360" s="21" t="n">
        <v>85</v>
      </c>
      <c r="F2360" s="21" t="inlineStr">
        <is>
          <t>English</t>
        </is>
      </c>
      <c r="G2360" s="21" t="inlineStr">
        <is>
          <t>PG-13</t>
        </is>
      </c>
      <c r="H2360" s="22" t="n">
        <v>57859105</v>
      </c>
      <c r="I2360" s="22" t="n">
        <v>26000000</v>
      </c>
      <c r="J2360" s="21">
        <f>IF(OR(H2360="",H2360=25529689.5),"Yes","No")</f>
        <v/>
      </c>
      <c r="K2360" s="21">
        <f>IF(AND(D2360="USA",C2360&gt;=1980,J2360="No"),"Yes","No")</f>
        <v/>
      </c>
      <c r="L2360" s="26">
        <f>IF(J2360="Yes","",H2360-I2360)</f>
        <v/>
      </c>
      <c r="M2360" s="27">
        <f>IF(OR(J2360="Yes",I2360=0),"",H2360/I2360)</f>
        <v/>
      </c>
      <c r="N2360" s="21">
        <f>IF(J2360="Yes","",IF(H2360&gt;=I2360,1,0))</f>
        <v/>
      </c>
      <c r="O2360" s="21">
        <f>IF(I2360&lt;=5000000,"Under $5M",IF(I2360&lt;=20000000,"$5M-20M",IF(I2360&lt;=50000000,"$20M-50M",IF(I2360&lt;=100000000,"$50M-100M","$100M+"))))</f>
        <v/>
      </c>
      <c r="P2360" s="21">
        <f>IF(E2360&lt;=90,"90 or less",IF(E2360&lt;=105,"91-105",IF(E2360&lt;=120,"106-120",IF(E2360&lt;=140,"121-140","Over 140"))))</f>
        <v/>
      </c>
      <c r="Q2360" s="28">
        <f>INT(C2360/10)*10</f>
        <v/>
      </c>
    </row>
    <row r="2361">
      <c r="A2361" s="21" t="n">
        <v>2410</v>
      </c>
      <c r="B2361" s="21" t="inlineStr">
        <is>
          <t>Rent</t>
        </is>
      </c>
      <c r="C2361" s="21" t="n">
        <v>2005</v>
      </c>
      <c r="D2361" s="21" t="inlineStr">
        <is>
          <t>USA</t>
        </is>
      </c>
      <c r="E2361" s="21" t="n">
        <v>135</v>
      </c>
      <c r="F2361" s="21" t="inlineStr">
        <is>
          <t>English</t>
        </is>
      </c>
      <c r="G2361" s="21" t="inlineStr">
        <is>
          <t>PG-13</t>
        </is>
      </c>
      <c r="H2361" s="22" t="n">
        <v>29077547</v>
      </c>
      <c r="I2361" s="22" t="n">
        <v>40000000</v>
      </c>
      <c r="J2361" s="21">
        <f>IF(OR(H2361="",H2361=25529689.5),"Yes","No")</f>
        <v/>
      </c>
      <c r="K2361" s="21">
        <f>IF(AND(D2361="USA",C2361&gt;=1980,J2361="No"),"Yes","No")</f>
        <v/>
      </c>
      <c r="L2361" s="26">
        <f>IF(J2361="Yes","",H2361-I2361)</f>
        <v/>
      </c>
      <c r="M2361" s="27">
        <f>IF(OR(J2361="Yes",I2361=0),"",H2361/I2361)</f>
        <v/>
      </c>
      <c r="N2361" s="21">
        <f>IF(J2361="Yes","",IF(H2361&gt;=I2361,1,0))</f>
        <v/>
      </c>
      <c r="O2361" s="21">
        <f>IF(I2361&lt;=5000000,"Under $5M",IF(I2361&lt;=20000000,"$5M-20M",IF(I2361&lt;=50000000,"$20M-50M",IF(I2361&lt;=100000000,"$50M-100M","$100M+"))))</f>
        <v/>
      </c>
      <c r="P2361" s="21">
        <f>IF(E2361&lt;=90,"90 or less",IF(E2361&lt;=105,"91-105",IF(E2361&lt;=120,"106-120",IF(E2361&lt;=140,"121-140","Over 140"))))</f>
        <v/>
      </c>
      <c r="Q2361" s="28">
        <f>INT(C2361/10)*10</f>
        <v/>
      </c>
    </row>
    <row r="2362">
      <c r="A2362" s="21" t="n">
        <v>2411</v>
      </c>
      <c r="B2362" s="21" t="inlineStr">
        <is>
          <t>Rize</t>
        </is>
      </c>
      <c r="C2362" s="21" t="n">
        <v>2005</v>
      </c>
      <c r="D2362" s="21" t="inlineStr">
        <is>
          <t>USA</t>
        </is>
      </c>
      <c r="E2362" s="21" t="n">
        <v>86</v>
      </c>
      <c r="F2362" s="21" t="inlineStr">
        <is>
          <t>English</t>
        </is>
      </c>
      <c r="G2362" s="21" t="inlineStr">
        <is>
          <t>PG-13</t>
        </is>
      </c>
      <c r="H2362" s="22" t="n">
        <v>3278611</v>
      </c>
      <c r="I2362" s="22" t="n">
        <v>20000000</v>
      </c>
      <c r="J2362" s="21">
        <f>IF(OR(H2362="",H2362=25529689.5),"Yes","No")</f>
        <v/>
      </c>
      <c r="K2362" s="21">
        <f>IF(AND(D2362="USA",C2362&gt;=1980,J2362="No"),"Yes","No")</f>
        <v/>
      </c>
      <c r="L2362" s="26">
        <f>IF(J2362="Yes","",H2362-I2362)</f>
        <v/>
      </c>
      <c r="M2362" s="27">
        <f>IF(OR(J2362="Yes",I2362=0),"",H2362/I2362)</f>
        <v/>
      </c>
      <c r="N2362" s="21">
        <f>IF(J2362="Yes","",IF(H2362&gt;=I2362,1,0))</f>
        <v/>
      </c>
      <c r="O2362" s="21">
        <f>IF(I2362&lt;=5000000,"Under $5M",IF(I2362&lt;=20000000,"$5M-20M",IF(I2362&lt;=50000000,"$20M-50M",IF(I2362&lt;=100000000,"$50M-100M","$100M+"))))</f>
        <v/>
      </c>
      <c r="P2362" s="21">
        <f>IF(E2362&lt;=90,"90 or less",IF(E2362&lt;=105,"91-105",IF(E2362&lt;=120,"106-120",IF(E2362&lt;=140,"121-140","Over 140"))))</f>
        <v/>
      </c>
      <c r="Q2362" s="28">
        <f>INT(C2362/10)*10</f>
        <v/>
      </c>
    </row>
    <row r="2363">
      <c r="A2363" s="21" t="n">
        <v>2412</v>
      </c>
      <c r="B2363" s="21" t="inlineStr">
        <is>
          <t>Robots</t>
        </is>
      </c>
      <c r="C2363" s="21" t="n">
        <v>2005</v>
      </c>
      <c r="D2363" s="21" t="inlineStr">
        <is>
          <t>USA</t>
        </is>
      </c>
      <c r="E2363" s="21" t="n">
        <v>91</v>
      </c>
      <c r="F2363" s="21" t="inlineStr">
        <is>
          <t>English</t>
        </is>
      </c>
      <c r="G2363" s="21" t="inlineStr">
        <is>
          <t>PG</t>
        </is>
      </c>
      <c r="H2363" s="22" t="n">
        <v>128200012</v>
      </c>
      <c r="I2363" s="22" t="n">
        <v>75000000</v>
      </c>
      <c r="J2363" s="21">
        <f>IF(OR(H2363="",H2363=25529689.5),"Yes","No")</f>
        <v/>
      </c>
      <c r="K2363" s="21">
        <f>IF(AND(D2363="USA",C2363&gt;=1980,J2363="No"),"Yes","No")</f>
        <v/>
      </c>
      <c r="L2363" s="26">
        <f>IF(J2363="Yes","",H2363-I2363)</f>
        <v/>
      </c>
      <c r="M2363" s="27">
        <f>IF(OR(J2363="Yes",I2363=0),"",H2363/I2363)</f>
        <v/>
      </c>
      <c r="N2363" s="21">
        <f>IF(J2363="Yes","",IF(H2363&gt;=I2363,1,0))</f>
        <v/>
      </c>
      <c r="O2363" s="21">
        <f>IF(I2363&lt;=5000000,"Under $5M",IF(I2363&lt;=20000000,"$5M-20M",IF(I2363&lt;=50000000,"$20M-50M",IF(I2363&lt;=100000000,"$50M-100M","$100M+"))))</f>
        <v/>
      </c>
      <c r="P2363" s="21">
        <f>IF(E2363&lt;=90,"90 or less",IF(E2363&lt;=105,"91-105",IF(E2363&lt;=120,"106-120",IF(E2363&lt;=140,"121-140","Over 140"))))</f>
        <v/>
      </c>
      <c r="Q2363" s="28">
        <f>INT(C2363/10)*10</f>
        <v/>
      </c>
    </row>
    <row r="2364">
      <c r="A2364" s="21" t="n">
        <v>2413</v>
      </c>
      <c r="B2364" s="21" t="inlineStr">
        <is>
          <t>Roll Bounce</t>
        </is>
      </c>
      <c r="C2364" s="21" t="n">
        <v>2005</v>
      </c>
      <c r="D2364" s="21" t="inlineStr">
        <is>
          <t>USA</t>
        </is>
      </c>
      <c r="E2364" s="21" t="n">
        <v>112</v>
      </c>
      <c r="F2364" s="21" t="inlineStr">
        <is>
          <t>English</t>
        </is>
      </c>
      <c r="G2364" s="21" t="inlineStr">
        <is>
          <t>PG-13</t>
        </is>
      </c>
      <c r="H2364" s="22" t="n">
        <v>17378977</v>
      </c>
      <c r="I2364" s="22" t="n">
        <v>20000000</v>
      </c>
      <c r="J2364" s="21">
        <f>IF(OR(H2364="",H2364=25529689.5),"Yes","No")</f>
        <v/>
      </c>
      <c r="K2364" s="21">
        <f>IF(AND(D2364="USA",C2364&gt;=1980,J2364="No"),"Yes","No")</f>
        <v/>
      </c>
      <c r="L2364" s="26">
        <f>IF(J2364="Yes","",H2364-I2364)</f>
        <v/>
      </c>
      <c r="M2364" s="27">
        <f>IF(OR(J2364="Yes",I2364=0),"",H2364/I2364)</f>
        <v/>
      </c>
      <c r="N2364" s="21">
        <f>IF(J2364="Yes","",IF(H2364&gt;=I2364,1,0))</f>
        <v/>
      </c>
      <c r="O2364" s="21">
        <f>IF(I2364&lt;=5000000,"Under $5M",IF(I2364&lt;=20000000,"$5M-20M",IF(I2364&lt;=50000000,"$20M-50M",IF(I2364&lt;=100000000,"$50M-100M","$100M+"))))</f>
        <v/>
      </c>
      <c r="P2364" s="21">
        <f>IF(E2364&lt;=90,"90 or less",IF(E2364&lt;=105,"91-105",IF(E2364&lt;=120,"106-120",IF(E2364&lt;=140,"121-140","Over 140"))))</f>
        <v/>
      </c>
      <c r="Q2364" s="28">
        <f>INT(C2364/10)*10</f>
        <v/>
      </c>
    </row>
    <row r="2365">
      <c r="A2365" s="21" t="n">
        <v>2414</v>
      </c>
      <c r="B2365" s="21" t="inlineStr">
        <is>
          <t>Romance &amp; Cigarettes</t>
        </is>
      </c>
      <c r="C2365" s="21" t="n">
        <v>2005</v>
      </c>
      <c r="D2365" s="21" t="inlineStr">
        <is>
          <t>USA</t>
        </is>
      </c>
      <c r="E2365" s="21" t="n">
        <v>105</v>
      </c>
      <c r="F2365" s="21" t="inlineStr">
        <is>
          <t>English</t>
        </is>
      </c>
      <c r="G2365" s="21" t="inlineStr">
        <is>
          <t>R</t>
        </is>
      </c>
      <c r="H2365" s="22" t="n">
        <v>540085</v>
      </c>
      <c r="I2365" s="22" t="n">
        <v>20000000</v>
      </c>
      <c r="J2365" s="21">
        <f>IF(OR(H2365="",H2365=25529689.5),"Yes","No")</f>
        <v/>
      </c>
      <c r="K2365" s="21">
        <f>IF(AND(D2365="USA",C2365&gt;=1980,J2365="No"),"Yes","No")</f>
        <v/>
      </c>
      <c r="L2365" s="26">
        <f>IF(J2365="Yes","",H2365-I2365)</f>
        <v/>
      </c>
      <c r="M2365" s="27">
        <f>IF(OR(J2365="Yes",I2365=0),"",H2365/I2365)</f>
        <v/>
      </c>
      <c r="N2365" s="21">
        <f>IF(J2365="Yes","",IF(H2365&gt;=I2365,1,0))</f>
        <v/>
      </c>
      <c r="O2365" s="21">
        <f>IF(I2365&lt;=5000000,"Under $5M",IF(I2365&lt;=20000000,"$5M-20M",IF(I2365&lt;=50000000,"$20M-50M",IF(I2365&lt;=100000000,"$50M-100M","$100M+"))))</f>
        <v/>
      </c>
      <c r="P2365" s="21">
        <f>IF(E2365&lt;=90,"90 or less",IF(E2365&lt;=105,"91-105",IF(E2365&lt;=120,"106-120",IF(E2365&lt;=140,"121-140","Over 140"))))</f>
        <v/>
      </c>
      <c r="Q2365" s="28">
        <f>INT(C2365/10)*10</f>
        <v/>
      </c>
    </row>
    <row r="2366">
      <c r="A2366" s="21" t="n">
        <v>2415</v>
      </c>
      <c r="B2366" s="21" t="inlineStr">
        <is>
          <t>Sahara</t>
        </is>
      </c>
      <c r="C2366" s="21" t="n">
        <v>2005</v>
      </c>
      <c r="D2366" s="21" t="inlineStr">
        <is>
          <t>UK</t>
        </is>
      </c>
      <c r="E2366" s="21" t="n">
        <v>124</v>
      </c>
      <c r="F2366" s="21" t="inlineStr">
        <is>
          <t>English</t>
        </is>
      </c>
      <c r="G2366" s="21" t="inlineStr">
        <is>
          <t>PG-13</t>
        </is>
      </c>
      <c r="H2366" s="22" t="n">
        <v>68642452</v>
      </c>
      <c r="I2366" s="22" t="n">
        <v>130000000</v>
      </c>
      <c r="J2366" s="21">
        <f>IF(OR(H2366="",H2366=25529689.5),"Yes","No")</f>
        <v/>
      </c>
      <c r="K2366" s="21">
        <f>IF(AND(D2366="USA",C2366&gt;=1980,J2366="No"),"Yes","No")</f>
        <v/>
      </c>
      <c r="L2366" s="26">
        <f>IF(J2366="Yes","",H2366-I2366)</f>
        <v/>
      </c>
      <c r="M2366" s="27">
        <f>IF(OR(J2366="Yes",I2366=0),"",H2366/I2366)</f>
        <v/>
      </c>
      <c r="N2366" s="21">
        <f>IF(J2366="Yes","",IF(H2366&gt;=I2366,1,0))</f>
        <v/>
      </c>
      <c r="O2366" s="21">
        <f>IF(I2366&lt;=5000000,"Under $5M",IF(I2366&lt;=20000000,"$5M-20M",IF(I2366&lt;=50000000,"$20M-50M",IF(I2366&lt;=100000000,"$50M-100M","$100M+"))))</f>
        <v/>
      </c>
      <c r="P2366" s="21">
        <f>IF(E2366&lt;=90,"90 or less",IF(E2366&lt;=105,"91-105",IF(E2366&lt;=120,"106-120",IF(E2366&lt;=140,"121-140","Over 140"))))</f>
        <v/>
      </c>
      <c r="Q2366" s="28">
        <f>INT(C2366/10)*10</f>
        <v/>
      </c>
    </row>
    <row r="2367">
      <c r="A2367" s="21" t="n">
        <v>2416</v>
      </c>
      <c r="B2367" s="21" t="inlineStr">
        <is>
          <t>Saw II</t>
        </is>
      </c>
      <c r="C2367" s="21" t="n">
        <v>2005</v>
      </c>
      <c r="D2367" s="21" t="inlineStr">
        <is>
          <t>USA</t>
        </is>
      </c>
      <c r="E2367" s="21" t="n">
        <v>95</v>
      </c>
      <c r="F2367" s="21" t="inlineStr">
        <is>
          <t>English</t>
        </is>
      </c>
      <c r="G2367" s="21" t="inlineStr">
        <is>
          <t>R</t>
        </is>
      </c>
      <c r="H2367" s="22" t="n">
        <v>87025093</v>
      </c>
      <c r="I2367" s="22" t="n">
        <v>4000000</v>
      </c>
      <c r="J2367" s="21">
        <f>IF(OR(H2367="",H2367=25529689.5),"Yes","No")</f>
        <v/>
      </c>
      <c r="K2367" s="21">
        <f>IF(AND(D2367="USA",C2367&gt;=1980,J2367="No"),"Yes","No")</f>
        <v/>
      </c>
      <c r="L2367" s="26">
        <f>IF(J2367="Yes","",H2367-I2367)</f>
        <v/>
      </c>
      <c r="M2367" s="27">
        <f>IF(OR(J2367="Yes",I2367=0),"",H2367/I2367)</f>
        <v/>
      </c>
      <c r="N2367" s="21">
        <f>IF(J2367="Yes","",IF(H2367&gt;=I2367,1,0))</f>
        <v/>
      </c>
      <c r="O2367" s="21">
        <f>IF(I2367&lt;=5000000,"Under $5M",IF(I2367&lt;=20000000,"$5M-20M",IF(I2367&lt;=50000000,"$20M-50M",IF(I2367&lt;=100000000,"$50M-100M","$100M+"))))</f>
        <v/>
      </c>
      <c r="P2367" s="21">
        <f>IF(E2367&lt;=90,"90 or less",IF(E2367&lt;=105,"91-105",IF(E2367&lt;=120,"106-120",IF(E2367&lt;=140,"121-140","Over 140"))))</f>
        <v/>
      </c>
      <c r="Q2367" s="28">
        <f>INT(C2367/10)*10</f>
        <v/>
      </c>
    </row>
    <row r="2368">
      <c r="A2368" s="21" t="n">
        <v>2417</v>
      </c>
      <c r="B2368" s="21" t="inlineStr">
        <is>
          <t>Serenity</t>
        </is>
      </c>
      <c r="C2368" s="21" t="n">
        <v>2005</v>
      </c>
      <c r="D2368" s="21" t="inlineStr">
        <is>
          <t>USA</t>
        </is>
      </c>
      <c r="E2368" s="21" t="n">
        <v>119</v>
      </c>
      <c r="F2368" s="21" t="inlineStr">
        <is>
          <t>English</t>
        </is>
      </c>
      <c r="G2368" s="21" t="inlineStr">
        <is>
          <t>PG-13</t>
        </is>
      </c>
      <c r="H2368" s="22" t="n">
        <v>25335935</v>
      </c>
      <c r="I2368" s="22" t="n">
        <v>40000000</v>
      </c>
      <c r="J2368" s="21">
        <f>IF(OR(H2368="",H2368=25529689.5),"Yes","No")</f>
        <v/>
      </c>
      <c r="K2368" s="21">
        <f>IF(AND(D2368="USA",C2368&gt;=1980,J2368="No"),"Yes","No")</f>
        <v/>
      </c>
      <c r="L2368" s="26">
        <f>IF(J2368="Yes","",H2368-I2368)</f>
        <v/>
      </c>
      <c r="M2368" s="27">
        <f>IF(OR(J2368="Yes",I2368=0),"",H2368/I2368)</f>
        <v/>
      </c>
      <c r="N2368" s="21">
        <f>IF(J2368="Yes","",IF(H2368&gt;=I2368,1,0))</f>
        <v/>
      </c>
      <c r="O2368" s="21">
        <f>IF(I2368&lt;=5000000,"Under $5M",IF(I2368&lt;=20000000,"$5M-20M",IF(I2368&lt;=50000000,"$20M-50M",IF(I2368&lt;=100000000,"$50M-100M","$100M+"))))</f>
        <v/>
      </c>
      <c r="P2368" s="21">
        <f>IF(E2368&lt;=90,"90 or less",IF(E2368&lt;=105,"91-105",IF(E2368&lt;=120,"106-120",IF(E2368&lt;=140,"121-140","Over 140"))))</f>
        <v/>
      </c>
      <c r="Q2368" s="28">
        <f>INT(C2368/10)*10</f>
        <v/>
      </c>
    </row>
    <row r="2369">
      <c r="A2369" s="21" t="n">
        <v>2418</v>
      </c>
      <c r="B2369" s="21" t="inlineStr">
        <is>
          <t>Shopgirl</t>
        </is>
      </c>
      <c r="C2369" s="21" t="n">
        <v>2005</v>
      </c>
      <c r="D2369" s="21" t="inlineStr">
        <is>
          <t>USA</t>
        </is>
      </c>
      <c r="E2369" s="21" t="n">
        <v>106</v>
      </c>
      <c r="F2369" s="21" t="inlineStr">
        <is>
          <t>English</t>
        </is>
      </c>
      <c r="G2369" s="21" t="inlineStr">
        <is>
          <t>R</t>
        </is>
      </c>
      <c r="H2369" s="22" t="n">
        <v>10281585</v>
      </c>
      <c r="I2369" s="22" t="n">
        <v>20000000</v>
      </c>
      <c r="J2369" s="21">
        <f>IF(OR(H2369="",H2369=25529689.5),"Yes","No")</f>
        <v/>
      </c>
      <c r="K2369" s="21">
        <f>IF(AND(D2369="USA",C2369&gt;=1980,J2369="No"),"Yes","No")</f>
        <v/>
      </c>
      <c r="L2369" s="26">
        <f>IF(J2369="Yes","",H2369-I2369)</f>
        <v/>
      </c>
      <c r="M2369" s="27">
        <f>IF(OR(J2369="Yes",I2369=0),"",H2369/I2369)</f>
        <v/>
      </c>
      <c r="N2369" s="21">
        <f>IF(J2369="Yes","",IF(H2369&gt;=I2369,1,0))</f>
        <v/>
      </c>
      <c r="O2369" s="21">
        <f>IF(I2369&lt;=5000000,"Under $5M",IF(I2369&lt;=20000000,"$5M-20M",IF(I2369&lt;=50000000,"$20M-50M",IF(I2369&lt;=100000000,"$50M-100M","$100M+"))))</f>
        <v/>
      </c>
      <c r="P2369" s="21">
        <f>IF(E2369&lt;=90,"90 or less",IF(E2369&lt;=105,"91-105",IF(E2369&lt;=120,"106-120",IF(E2369&lt;=140,"121-140","Over 140"))))</f>
        <v/>
      </c>
      <c r="Q2369" s="28">
        <f>INT(C2369/10)*10</f>
        <v/>
      </c>
    </row>
    <row r="2370">
      <c r="A2370" s="21" t="n">
        <v>2419</v>
      </c>
      <c r="B2370" s="21" t="inlineStr">
        <is>
          <t>Sin City</t>
        </is>
      </c>
      <c r="C2370" s="21" t="n">
        <v>2005</v>
      </c>
      <c r="D2370" s="21" t="inlineStr">
        <is>
          <t>USA</t>
        </is>
      </c>
      <c r="E2370" s="21" t="n">
        <v>147</v>
      </c>
      <c r="F2370" s="21" t="inlineStr">
        <is>
          <t>English</t>
        </is>
      </c>
      <c r="G2370" s="21" t="inlineStr">
        <is>
          <t>R</t>
        </is>
      </c>
      <c r="H2370" s="22" t="n">
        <v>74098862</v>
      </c>
      <c r="I2370" s="22" t="n">
        <v>40000000</v>
      </c>
      <c r="J2370" s="21">
        <f>IF(OR(H2370="",H2370=25529689.5),"Yes","No")</f>
        <v/>
      </c>
      <c r="K2370" s="21">
        <f>IF(AND(D2370="USA",C2370&gt;=1980,J2370="No"),"Yes","No")</f>
        <v/>
      </c>
      <c r="L2370" s="26">
        <f>IF(J2370="Yes","",H2370-I2370)</f>
        <v/>
      </c>
      <c r="M2370" s="27">
        <f>IF(OR(J2370="Yes",I2370=0),"",H2370/I2370)</f>
        <v/>
      </c>
      <c r="N2370" s="21">
        <f>IF(J2370="Yes","",IF(H2370&gt;=I2370,1,0))</f>
        <v/>
      </c>
      <c r="O2370" s="21">
        <f>IF(I2370&lt;=5000000,"Under $5M",IF(I2370&lt;=20000000,"$5M-20M",IF(I2370&lt;=50000000,"$20M-50M",IF(I2370&lt;=100000000,"$50M-100M","$100M+"))))</f>
        <v/>
      </c>
      <c r="P2370" s="21">
        <f>IF(E2370&lt;=90,"90 or less",IF(E2370&lt;=105,"91-105",IF(E2370&lt;=120,"106-120",IF(E2370&lt;=140,"121-140","Over 140"))))</f>
        <v/>
      </c>
      <c r="Q2370" s="28">
        <f>INT(C2370/10)*10</f>
        <v/>
      </c>
    </row>
    <row r="2371">
      <c r="A2371" s="21" t="n">
        <v>2420</v>
      </c>
      <c r="B2371" s="21" t="inlineStr">
        <is>
          <t>Sisters in Law</t>
        </is>
      </c>
      <c r="C2371" s="21" t="n">
        <v>2005</v>
      </c>
      <c r="D2371" s="21" t="inlineStr">
        <is>
          <t>Cameroon</t>
        </is>
      </c>
      <c r="E2371" s="21" t="n">
        <v>104</v>
      </c>
      <c r="F2371" s="21" t="inlineStr">
        <is>
          <t>English</t>
        </is>
      </c>
      <c r="G2371" s="21" t="inlineStr">
        <is>
          <t>Not Rated</t>
        </is>
      </c>
      <c r="H2371" s="22" t="n">
        <v>32631</v>
      </c>
      <c r="I2371" s="22" t="n">
        <v>20000000</v>
      </c>
      <c r="J2371" s="21">
        <f>IF(OR(H2371="",H2371=25529689.5),"Yes","No")</f>
        <v/>
      </c>
      <c r="K2371" s="21">
        <f>IF(AND(D2371="USA",C2371&gt;=1980,J2371="No"),"Yes","No")</f>
        <v/>
      </c>
      <c r="L2371" s="26">
        <f>IF(J2371="Yes","",H2371-I2371)</f>
        <v/>
      </c>
      <c r="M2371" s="27">
        <f>IF(OR(J2371="Yes",I2371=0),"",H2371/I2371)</f>
        <v/>
      </c>
      <c r="N2371" s="21">
        <f>IF(J2371="Yes","",IF(H2371&gt;=I2371,1,0))</f>
        <v/>
      </c>
      <c r="O2371" s="21">
        <f>IF(I2371&lt;=5000000,"Under $5M",IF(I2371&lt;=20000000,"$5M-20M",IF(I2371&lt;=50000000,"$20M-50M",IF(I2371&lt;=100000000,"$50M-100M","$100M+"))))</f>
        <v/>
      </c>
      <c r="P2371" s="21">
        <f>IF(E2371&lt;=90,"90 or less",IF(E2371&lt;=105,"91-105",IF(E2371&lt;=120,"106-120",IF(E2371&lt;=140,"121-140","Over 140"))))</f>
        <v/>
      </c>
      <c r="Q2371" s="28">
        <f>INT(C2371/10)*10</f>
        <v/>
      </c>
    </row>
    <row r="2372">
      <c r="A2372" s="21" t="n">
        <v>2421</v>
      </c>
      <c r="B2372" s="21" t="inlineStr">
        <is>
          <t>Sky High</t>
        </is>
      </c>
      <c r="C2372" s="21" t="n">
        <v>2005</v>
      </c>
      <c r="D2372" s="21" t="inlineStr">
        <is>
          <t>USA</t>
        </is>
      </c>
      <c r="E2372" s="21" t="n">
        <v>100</v>
      </c>
      <c r="F2372" s="21" t="inlineStr">
        <is>
          <t>English</t>
        </is>
      </c>
      <c r="G2372" s="21" t="inlineStr">
        <is>
          <t>PG</t>
        </is>
      </c>
      <c r="H2372" s="22" t="n">
        <v>63939454</v>
      </c>
      <c r="I2372" s="22" t="n">
        <v>35000000</v>
      </c>
      <c r="J2372" s="21">
        <f>IF(OR(H2372="",H2372=25529689.5),"Yes","No")</f>
        <v/>
      </c>
      <c r="K2372" s="21">
        <f>IF(AND(D2372="USA",C2372&gt;=1980,J2372="No"),"Yes","No")</f>
        <v/>
      </c>
      <c r="L2372" s="26">
        <f>IF(J2372="Yes","",H2372-I2372)</f>
        <v/>
      </c>
      <c r="M2372" s="27">
        <f>IF(OR(J2372="Yes",I2372=0),"",H2372/I2372)</f>
        <v/>
      </c>
      <c r="N2372" s="21">
        <f>IF(J2372="Yes","",IF(H2372&gt;=I2372,1,0))</f>
        <v/>
      </c>
      <c r="O2372" s="21">
        <f>IF(I2372&lt;=5000000,"Under $5M",IF(I2372&lt;=20000000,"$5M-20M",IF(I2372&lt;=50000000,"$20M-50M",IF(I2372&lt;=100000000,"$50M-100M","$100M+"))))</f>
        <v/>
      </c>
      <c r="P2372" s="21">
        <f>IF(E2372&lt;=90,"90 or less",IF(E2372&lt;=105,"91-105",IF(E2372&lt;=120,"106-120",IF(E2372&lt;=140,"121-140","Over 140"))))</f>
        <v/>
      </c>
      <c r="Q2372" s="28">
        <f>INT(C2372/10)*10</f>
        <v/>
      </c>
    </row>
    <row r="2373">
      <c r="A2373" s="21" t="n">
        <v>2422</v>
      </c>
      <c r="B2373" s="21" t="inlineStr">
        <is>
          <t>Slow Burn</t>
        </is>
      </c>
      <c r="C2373" s="21" t="n">
        <v>2005</v>
      </c>
      <c r="D2373" s="21" t="inlineStr">
        <is>
          <t>USA</t>
        </is>
      </c>
      <c r="E2373" s="21" t="n">
        <v>93</v>
      </c>
      <c r="F2373" s="21" t="inlineStr">
        <is>
          <t>English</t>
        </is>
      </c>
      <c r="G2373" s="21" t="inlineStr">
        <is>
          <t>R</t>
        </is>
      </c>
      <c r="H2373" s="22" t="n">
        <v>1181197</v>
      </c>
      <c r="I2373" s="22" t="n">
        <v>15500000</v>
      </c>
      <c r="J2373" s="21">
        <f>IF(OR(H2373="",H2373=25529689.5),"Yes","No")</f>
        <v/>
      </c>
      <c r="K2373" s="21">
        <f>IF(AND(D2373="USA",C2373&gt;=1980,J2373="No"),"Yes","No")</f>
        <v/>
      </c>
      <c r="L2373" s="26">
        <f>IF(J2373="Yes","",H2373-I2373)</f>
        <v/>
      </c>
      <c r="M2373" s="27">
        <f>IF(OR(J2373="Yes",I2373=0),"",H2373/I2373)</f>
        <v/>
      </c>
      <c r="N2373" s="21">
        <f>IF(J2373="Yes","",IF(H2373&gt;=I2373,1,0))</f>
        <v/>
      </c>
      <c r="O2373" s="21">
        <f>IF(I2373&lt;=5000000,"Under $5M",IF(I2373&lt;=20000000,"$5M-20M",IF(I2373&lt;=50000000,"$20M-50M",IF(I2373&lt;=100000000,"$50M-100M","$100M+"))))</f>
        <v/>
      </c>
      <c r="P2373" s="21">
        <f>IF(E2373&lt;=90,"90 or less",IF(E2373&lt;=105,"91-105",IF(E2373&lt;=120,"106-120",IF(E2373&lt;=140,"121-140","Over 140"))))</f>
        <v/>
      </c>
      <c r="Q2373" s="28">
        <f>INT(C2373/10)*10</f>
        <v/>
      </c>
    </row>
    <row r="2374">
      <c r="A2374" s="21" t="n">
        <v>2423</v>
      </c>
      <c r="B2374" s="21" t="inlineStr">
        <is>
          <t>Son of the Mask</t>
        </is>
      </c>
      <c r="C2374" s="21" t="n">
        <v>2005</v>
      </c>
      <c r="D2374" s="21" t="inlineStr">
        <is>
          <t>USA</t>
        </is>
      </c>
      <c r="E2374" s="21" t="n">
        <v>94</v>
      </c>
      <c r="F2374" s="21" t="inlineStr">
        <is>
          <t>English</t>
        </is>
      </c>
      <c r="G2374" s="21" t="inlineStr">
        <is>
          <t>PG</t>
        </is>
      </c>
      <c r="H2374" s="22" t="n">
        <v>17010646</v>
      </c>
      <c r="I2374" s="22" t="n">
        <v>84000000</v>
      </c>
      <c r="J2374" s="21">
        <f>IF(OR(H2374="",H2374=25529689.5),"Yes","No")</f>
        <v/>
      </c>
      <c r="K2374" s="21">
        <f>IF(AND(D2374="USA",C2374&gt;=1980,J2374="No"),"Yes","No")</f>
        <v/>
      </c>
      <c r="L2374" s="26">
        <f>IF(J2374="Yes","",H2374-I2374)</f>
        <v/>
      </c>
      <c r="M2374" s="27">
        <f>IF(OR(J2374="Yes",I2374=0),"",H2374/I2374)</f>
        <v/>
      </c>
      <c r="N2374" s="21">
        <f>IF(J2374="Yes","",IF(H2374&gt;=I2374,1,0))</f>
        <v/>
      </c>
      <c r="O2374" s="21">
        <f>IF(I2374&lt;=5000000,"Under $5M",IF(I2374&lt;=20000000,"$5M-20M",IF(I2374&lt;=50000000,"$20M-50M",IF(I2374&lt;=100000000,"$50M-100M","$100M+"))))</f>
        <v/>
      </c>
      <c r="P2374" s="21">
        <f>IF(E2374&lt;=90,"90 or less",IF(E2374&lt;=105,"91-105",IF(E2374&lt;=120,"106-120",IF(E2374&lt;=140,"121-140","Over 140"))))</f>
        <v/>
      </c>
      <c r="Q2374" s="28">
        <f>INT(C2374/10)*10</f>
        <v/>
      </c>
    </row>
    <row r="2375">
      <c r="A2375" s="21" t="n">
        <v>2424</v>
      </c>
      <c r="B2375" s="21" t="inlineStr">
        <is>
          <t>Star Wars: Episode III - Revenge of the Sith</t>
        </is>
      </c>
      <c r="C2375" s="21" t="n">
        <v>2005</v>
      </c>
      <c r="D2375" s="21" t="inlineStr">
        <is>
          <t>USA</t>
        </is>
      </c>
      <c r="E2375" s="21" t="n">
        <v>140</v>
      </c>
      <c r="F2375" s="21" t="inlineStr">
        <is>
          <t>English</t>
        </is>
      </c>
      <c r="G2375" s="21" t="inlineStr">
        <is>
          <t>PG-13</t>
        </is>
      </c>
      <c r="H2375" s="22" t="n">
        <v>380262555</v>
      </c>
      <c r="I2375" s="22" t="n">
        <v>113000000</v>
      </c>
      <c r="J2375" s="21">
        <f>IF(OR(H2375="",H2375=25529689.5),"Yes","No")</f>
        <v/>
      </c>
      <c r="K2375" s="21">
        <f>IF(AND(D2375="USA",C2375&gt;=1980,J2375="No"),"Yes","No")</f>
        <v/>
      </c>
      <c r="L2375" s="26">
        <f>IF(J2375="Yes","",H2375-I2375)</f>
        <v/>
      </c>
      <c r="M2375" s="27">
        <f>IF(OR(J2375="Yes",I2375=0),"",H2375/I2375)</f>
        <v/>
      </c>
      <c r="N2375" s="21">
        <f>IF(J2375="Yes","",IF(H2375&gt;=I2375,1,0))</f>
        <v/>
      </c>
      <c r="O2375" s="21">
        <f>IF(I2375&lt;=5000000,"Under $5M",IF(I2375&lt;=20000000,"$5M-20M",IF(I2375&lt;=50000000,"$20M-50M",IF(I2375&lt;=100000000,"$50M-100M","$100M+"))))</f>
        <v/>
      </c>
      <c r="P2375" s="21">
        <f>IF(E2375&lt;=90,"90 or less",IF(E2375&lt;=105,"91-105",IF(E2375&lt;=120,"106-120",IF(E2375&lt;=140,"121-140","Over 140"))))</f>
        <v/>
      </c>
      <c r="Q2375" s="28">
        <f>INT(C2375/10)*10</f>
        <v/>
      </c>
    </row>
    <row r="2376">
      <c r="A2376" s="21" t="n">
        <v>2425</v>
      </c>
      <c r="B2376" s="21" t="inlineStr">
        <is>
          <t>Stealth</t>
        </is>
      </c>
      <c r="C2376" s="21" t="n">
        <v>2005</v>
      </c>
      <c r="D2376" s="21" t="inlineStr">
        <is>
          <t>USA</t>
        </is>
      </c>
      <c r="E2376" s="21" t="n">
        <v>121</v>
      </c>
      <c r="F2376" s="21" t="inlineStr">
        <is>
          <t>English</t>
        </is>
      </c>
      <c r="G2376" s="21" t="inlineStr">
        <is>
          <t>PG-13</t>
        </is>
      </c>
      <c r="H2376" s="22" t="n">
        <v>31704416</v>
      </c>
      <c r="I2376" s="22" t="n">
        <v>135000000</v>
      </c>
      <c r="J2376" s="21">
        <f>IF(OR(H2376="",H2376=25529689.5),"Yes","No")</f>
        <v/>
      </c>
      <c r="K2376" s="21">
        <f>IF(AND(D2376="USA",C2376&gt;=1980,J2376="No"),"Yes","No")</f>
        <v/>
      </c>
      <c r="L2376" s="26">
        <f>IF(J2376="Yes","",H2376-I2376)</f>
        <v/>
      </c>
      <c r="M2376" s="27">
        <f>IF(OR(J2376="Yes",I2376=0),"",H2376/I2376)</f>
        <v/>
      </c>
      <c r="N2376" s="21">
        <f>IF(J2376="Yes","",IF(H2376&gt;=I2376,1,0))</f>
        <v/>
      </c>
      <c r="O2376" s="21">
        <f>IF(I2376&lt;=5000000,"Under $5M",IF(I2376&lt;=20000000,"$5M-20M",IF(I2376&lt;=50000000,"$20M-50M",IF(I2376&lt;=100000000,"$50M-100M","$100M+"))))</f>
        <v/>
      </c>
      <c r="P2376" s="21">
        <f>IF(E2376&lt;=90,"90 or less",IF(E2376&lt;=105,"91-105",IF(E2376&lt;=120,"106-120",IF(E2376&lt;=140,"121-140","Over 140"))))</f>
        <v/>
      </c>
      <c r="Q2376" s="28">
        <f>INT(C2376/10)*10</f>
        <v/>
      </c>
    </row>
    <row r="2377">
      <c r="A2377" s="21" t="n">
        <v>2426</v>
      </c>
      <c r="B2377" s="21" t="inlineStr">
        <is>
          <t>Supercross</t>
        </is>
      </c>
      <c r="C2377" s="21" t="n">
        <v>2005</v>
      </c>
      <c r="D2377" s="21" t="inlineStr">
        <is>
          <t>USA</t>
        </is>
      </c>
      <c r="E2377" s="21" t="n">
        <v>80</v>
      </c>
      <c r="F2377" s="21" t="inlineStr">
        <is>
          <t>English</t>
        </is>
      </c>
      <c r="G2377" s="21" t="inlineStr">
        <is>
          <t>PG-13</t>
        </is>
      </c>
      <c r="H2377" s="22" t="n">
        <v>3101301</v>
      </c>
      <c r="I2377" s="22" t="n">
        <v>20000000</v>
      </c>
      <c r="J2377" s="21">
        <f>IF(OR(H2377="",H2377=25529689.5),"Yes","No")</f>
        <v/>
      </c>
      <c r="K2377" s="21">
        <f>IF(AND(D2377="USA",C2377&gt;=1980,J2377="No"),"Yes","No")</f>
        <v/>
      </c>
      <c r="L2377" s="26">
        <f>IF(J2377="Yes","",H2377-I2377)</f>
        <v/>
      </c>
      <c r="M2377" s="27">
        <f>IF(OR(J2377="Yes",I2377=0),"",H2377/I2377)</f>
        <v/>
      </c>
      <c r="N2377" s="21">
        <f>IF(J2377="Yes","",IF(H2377&gt;=I2377,1,0))</f>
        <v/>
      </c>
      <c r="O2377" s="21">
        <f>IF(I2377&lt;=5000000,"Under $5M",IF(I2377&lt;=20000000,"$5M-20M",IF(I2377&lt;=50000000,"$20M-50M",IF(I2377&lt;=100000000,"$50M-100M","$100M+"))))</f>
        <v/>
      </c>
      <c r="P2377" s="21">
        <f>IF(E2377&lt;=90,"90 or less",IF(E2377&lt;=105,"91-105",IF(E2377&lt;=120,"106-120",IF(E2377&lt;=140,"121-140","Over 140"))))</f>
        <v/>
      </c>
      <c r="Q2377" s="28">
        <f>INT(C2377/10)*10</f>
        <v/>
      </c>
    </row>
    <row r="2378">
      <c r="A2378" s="21" t="n">
        <v>2427</v>
      </c>
      <c r="B2378" s="21" t="inlineStr">
        <is>
          <t>Syriana</t>
        </is>
      </c>
      <c r="C2378" s="21" t="n">
        <v>2005</v>
      </c>
      <c r="D2378" s="21" t="inlineStr">
        <is>
          <t>USA</t>
        </is>
      </c>
      <c r="E2378" s="21" t="n">
        <v>128</v>
      </c>
      <c r="F2378" s="21" t="inlineStr">
        <is>
          <t>English</t>
        </is>
      </c>
      <c r="G2378" s="21" t="inlineStr">
        <is>
          <t>R</t>
        </is>
      </c>
      <c r="H2378" s="22" t="n">
        <v>50815288</v>
      </c>
      <c r="I2378" s="22" t="n">
        <v>50000000</v>
      </c>
      <c r="J2378" s="21">
        <f>IF(OR(H2378="",H2378=25529689.5),"Yes","No")</f>
        <v/>
      </c>
      <c r="K2378" s="21">
        <f>IF(AND(D2378="USA",C2378&gt;=1980,J2378="No"),"Yes","No")</f>
        <v/>
      </c>
      <c r="L2378" s="26">
        <f>IF(J2378="Yes","",H2378-I2378)</f>
        <v/>
      </c>
      <c r="M2378" s="27">
        <f>IF(OR(J2378="Yes",I2378=0),"",H2378/I2378)</f>
        <v/>
      </c>
      <c r="N2378" s="21">
        <f>IF(J2378="Yes","",IF(H2378&gt;=I2378,1,0))</f>
        <v/>
      </c>
      <c r="O2378" s="21">
        <f>IF(I2378&lt;=5000000,"Under $5M",IF(I2378&lt;=20000000,"$5M-20M",IF(I2378&lt;=50000000,"$20M-50M",IF(I2378&lt;=100000000,"$50M-100M","$100M+"))))</f>
        <v/>
      </c>
      <c r="P2378" s="21">
        <f>IF(E2378&lt;=90,"90 or less",IF(E2378&lt;=105,"91-105",IF(E2378&lt;=120,"106-120",IF(E2378&lt;=140,"121-140","Over 140"))))</f>
        <v/>
      </c>
      <c r="Q2378" s="28">
        <f>INT(C2378/10)*10</f>
        <v/>
      </c>
    </row>
    <row r="2379">
      <c r="A2379" s="21" t="n">
        <v>2429</v>
      </c>
      <c r="B2379" s="21" t="inlineStr">
        <is>
          <t>Thank You for Smoking</t>
        </is>
      </c>
      <c r="C2379" s="21" t="n">
        <v>2005</v>
      </c>
      <c r="D2379" s="21" t="inlineStr">
        <is>
          <t>USA</t>
        </is>
      </c>
      <c r="E2379" s="21" t="n">
        <v>92</v>
      </c>
      <c r="F2379" s="21" t="inlineStr">
        <is>
          <t>English</t>
        </is>
      </c>
      <c r="G2379" s="21" t="inlineStr">
        <is>
          <t>R</t>
        </is>
      </c>
      <c r="H2379" s="22" t="n">
        <v>24792061</v>
      </c>
      <c r="I2379" s="22" t="n">
        <v>6500000</v>
      </c>
      <c r="J2379" s="21">
        <f>IF(OR(H2379="",H2379=25529689.5),"Yes","No")</f>
        <v/>
      </c>
      <c r="K2379" s="21">
        <f>IF(AND(D2379="USA",C2379&gt;=1980,J2379="No"),"Yes","No")</f>
        <v/>
      </c>
      <c r="L2379" s="26">
        <f>IF(J2379="Yes","",H2379-I2379)</f>
        <v/>
      </c>
      <c r="M2379" s="27">
        <f>IF(OR(J2379="Yes",I2379=0),"",H2379/I2379)</f>
        <v/>
      </c>
      <c r="N2379" s="21">
        <f>IF(J2379="Yes","",IF(H2379&gt;=I2379,1,0))</f>
        <v/>
      </c>
      <c r="O2379" s="21">
        <f>IF(I2379&lt;=5000000,"Under $5M",IF(I2379&lt;=20000000,"$5M-20M",IF(I2379&lt;=50000000,"$20M-50M",IF(I2379&lt;=100000000,"$50M-100M","$100M+"))))</f>
        <v/>
      </c>
      <c r="P2379" s="21">
        <f>IF(E2379&lt;=90,"90 or less",IF(E2379&lt;=105,"91-105",IF(E2379&lt;=120,"106-120",IF(E2379&lt;=140,"121-140","Over 140"))))</f>
        <v/>
      </c>
      <c r="Q2379" s="28">
        <f>INT(C2379/10)*10</f>
        <v/>
      </c>
    </row>
    <row r="2380">
      <c r="A2380" s="21" t="n">
        <v>2430</v>
      </c>
      <c r="B2380" s="21" t="inlineStr">
        <is>
          <t>The 40-Year-Old Virgin</t>
        </is>
      </c>
      <c r="C2380" s="21" t="n">
        <v>2005</v>
      </c>
      <c r="D2380" s="21" t="inlineStr">
        <is>
          <t>USA</t>
        </is>
      </c>
      <c r="E2380" s="21" t="n">
        <v>133</v>
      </c>
      <c r="F2380" s="21" t="inlineStr">
        <is>
          <t>English</t>
        </is>
      </c>
      <c r="G2380" s="21" t="inlineStr">
        <is>
          <t>R</t>
        </is>
      </c>
      <c r="H2380" s="22" t="n">
        <v>109243478</v>
      </c>
      <c r="I2380" s="22" t="n">
        <v>26000000</v>
      </c>
      <c r="J2380" s="21">
        <f>IF(OR(H2380="",H2380=25529689.5),"Yes","No")</f>
        <v/>
      </c>
      <c r="K2380" s="21">
        <f>IF(AND(D2380="USA",C2380&gt;=1980,J2380="No"),"Yes","No")</f>
        <v/>
      </c>
      <c r="L2380" s="26">
        <f>IF(J2380="Yes","",H2380-I2380)</f>
        <v/>
      </c>
      <c r="M2380" s="27">
        <f>IF(OR(J2380="Yes",I2380=0),"",H2380/I2380)</f>
        <v/>
      </c>
      <c r="N2380" s="21">
        <f>IF(J2380="Yes","",IF(H2380&gt;=I2380,1,0))</f>
        <v/>
      </c>
      <c r="O2380" s="21">
        <f>IF(I2380&lt;=5000000,"Under $5M",IF(I2380&lt;=20000000,"$5M-20M",IF(I2380&lt;=50000000,"$20M-50M",IF(I2380&lt;=100000000,"$50M-100M","$100M+"))))</f>
        <v/>
      </c>
      <c r="P2380" s="21">
        <f>IF(E2380&lt;=90,"90 or less",IF(E2380&lt;=105,"91-105",IF(E2380&lt;=120,"106-120",IF(E2380&lt;=140,"121-140","Over 140"))))</f>
        <v/>
      </c>
      <c r="Q2380" s="28">
        <f>INT(C2380/10)*10</f>
        <v/>
      </c>
    </row>
    <row r="2381">
      <c r="A2381" s="21" t="n">
        <v>2431</v>
      </c>
      <c r="B2381" s="21" t="inlineStr">
        <is>
          <t>The Adventures of Sharkboy and Lavagirl 3-D</t>
        </is>
      </c>
      <c r="C2381" s="21" t="n">
        <v>2005</v>
      </c>
      <c r="D2381" s="21" t="inlineStr">
        <is>
          <t>USA</t>
        </is>
      </c>
      <c r="E2381" s="21" t="n">
        <v>93</v>
      </c>
      <c r="F2381" s="21" t="inlineStr">
        <is>
          <t>English</t>
        </is>
      </c>
      <c r="G2381" s="21" t="inlineStr">
        <is>
          <t>PG</t>
        </is>
      </c>
      <c r="H2381" s="22" t="n">
        <v>39177541</v>
      </c>
      <c r="I2381" s="22" t="n">
        <v>50000000</v>
      </c>
      <c r="J2381" s="21">
        <f>IF(OR(H2381="",H2381=25529689.5),"Yes","No")</f>
        <v/>
      </c>
      <c r="K2381" s="21">
        <f>IF(AND(D2381="USA",C2381&gt;=1980,J2381="No"),"Yes","No")</f>
        <v/>
      </c>
      <c r="L2381" s="26">
        <f>IF(J2381="Yes","",H2381-I2381)</f>
        <v/>
      </c>
      <c r="M2381" s="27">
        <f>IF(OR(J2381="Yes",I2381=0),"",H2381/I2381)</f>
        <v/>
      </c>
      <c r="N2381" s="21">
        <f>IF(J2381="Yes","",IF(H2381&gt;=I2381,1,0))</f>
        <v/>
      </c>
      <c r="O2381" s="21">
        <f>IF(I2381&lt;=5000000,"Under $5M",IF(I2381&lt;=20000000,"$5M-20M",IF(I2381&lt;=50000000,"$20M-50M",IF(I2381&lt;=100000000,"$50M-100M","$100M+"))))</f>
        <v/>
      </c>
      <c r="P2381" s="21">
        <f>IF(E2381&lt;=90,"90 or less",IF(E2381&lt;=105,"91-105",IF(E2381&lt;=120,"106-120",IF(E2381&lt;=140,"121-140","Over 140"))))</f>
        <v/>
      </c>
      <c r="Q2381" s="28">
        <f>INT(C2381/10)*10</f>
        <v/>
      </c>
    </row>
    <row r="2382">
      <c r="A2382" s="21" t="n">
        <v>2432</v>
      </c>
      <c r="B2382" s="21" t="inlineStr">
        <is>
          <t>The Amityville Horror</t>
        </is>
      </c>
      <c r="C2382" s="21" t="n">
        <v>2005</v>
      </c>
      <c r="D2382" s="21" t="inlineStr">
        <is>
          <t>USA</t>
        </is>
      </c>
      <c r="E2382" s="21" t="n">
        <v>90</v>
      </c>
      <c r="F2382" s="21" t="inlineStr">
        <is>
          <t>English</t>
        </is>
      </c>
      <c r="G2382" s="21" t="inlineStr">
        <is>
          <t>R</t>
        </is>
      </c>
      <c r="H2382" s="22" t="n">
        <v>64255243</v>
      </c>
      <c r="I2382" s="22" t="n">
        <v>19000000</v>
      </c>
      <c r="J2382" s="21">
        <f>IF(OR(H2382="",H2382=25529689.5),"Yes","No")</f>
        <v/>
      </c>
      <c r="K2382" s="21">
        <f>IF(AND(D2382="USA",C2382&gt;=1980,J2382="No"),"Yes","No")</f>
        <v/>
      </c>
      <c r="L2382" s="26">
        <f>IF(J2382="Yes","",H2382-I2382)</f>
        <v/>
      </c>
      <c r="M2382" s="27">
        <f>IF(OR(J2382="Yes",I2382=0),"",H2382/I2382)</f>
        <v/>
      </c>
      <c r="N2382" s="21">
        <f>IF(J2382="Yes","",IF(H2382&gt;=I2382,1,0))</f>
        <v/>
      </c>
      <c r="O2382" s="21">
        <f>IF(I2382&lt;=5000000,"Under $5M",IF(I2382&lt;=20000000,"$5M-20M",IF(I2382&lt;=50000000,"$20M-50M",IF(I2382&lt;=100000000,"$50M-100M","$100M+"))))</f>
        <v/>
      </c>
      <c r="P2382" s="21">
        <f>IF(E2382&lt;=90,"90 or less",IF(E2382&lt;=105,"91-105",IF(E2382&lt;=120,"106-120",IF(E2382&lt;=140,"121-140","Over 140"))))</f>
        <v/>
      </c>
      <c r="Q2382" s="28">
        <f>INT(C2382/10)*10</f>
        <v/>
      </c>
    </row>
    <row r="2383">
      <c r="A2383" s="21" t="n">
        <v>2433</v>
      </c>
      <c r="B2383" s="21" t="inlineStr">
        <is>
          <t>The Ballad of Jack and Rose</t>
        </is>
      </c>
      <c r="C2383" s="21" t="n">
        <v>2005</v>
      </c>
      <c r="D2383" s="21" t="inlineStr">
        <is>
          <t>USA</t>
        </is>
      </c>
      <c r="E2383" s="21" t="n">
        <v>112</v>
      </c>
      <c r="F2383" s="21" t="inlineStr">
        <is>
          <t>English</t>
        </is>
      </c>
      <c r="G2383" s="21" t="inlineStr">
        <is>
          <t>R</t>
        </is>
      </c>
      <c r="H2383" s="22" t="n">
        <v>712294</v>
      </c>
      <c r="I2383" s="22" t="n">
        <v>1500000</v>
      </c>
      <c r="J2383" s="21">
        <f>IF(OR(H2383="",H2383=25529689.5),"Yes","No")</f>
        <v/>
      </c>
      <c r="K2383" s="21">
        <f>IF(AND(D2383="USA",C2383&gt;=1980,J2383="No"),"Yes","No")</f>
        <v/>
      </c>
      <c r="L2383" s="26">
        <f>IF(J2383="Yes","",H2383-I2383)</f>
        <v/>
      </c>
      <c r="M2383" s="27">
        <f>IF(OR(J2383="Yes",I2383=0),"",H2383/I2383)</f>
        <v/>
      </c>
      <c r="N2383" s="21">
        <f>IF(J2383="Yes","",IF(H2383&gt;=I2383,1,0))</f>
        <v/>
      </c>
      <c r="O2383" s="21">
        <f>IF(I2383&lt;=5000000,"Under $5M",IF(I2383&lt;=20000000,"$5M-20M",IF(I2383&lt;=50000000,"$20M-50M",IF(I2383&lt;=100000000,"$50M-100M","$100M+"))))</f>
        <v/>
      </c>
      <c r="P2383" s="21">
        <f>IF(E2383&lt;=90,"90 or less",IF(E2383&lt;=105,"91-105",IF(E2383&lt;=120,"106-120",IF(E2383&lt;=140,"121-140","Over 140"))))</f>
        <v/>
      </c>
      <c r="Q2383" s="28">
        <f>INT(C2383/10)*10</f>
        <v/>
      </c>
    </row>
    <row r="2384">
      <c r="A2384" s="21" t="n">
        <v>2434</v>
      </c>
      <c r="B2384" s="21" t="inlineStr">
        <is>
          <t>The Blood of My Brother</t>
        </is>
      </c>
      <c r="C2384" s="21" t="n">
        <v>2005</v>
      </c>
      <c r="D2384" s="21" t="inlineStr">
        <is>
          <t>USA</t>
        </is>
      </c>
      <c r="E2384" s="21" t="n">
        <v>90</v>
      </c>
      <c r="F2384" s="21" t="inlineStr">
        <is>
          <t>English</t>
        </is>
      </c>
      <c r="G2384" s="21" t="n"/>
      <c r="H2384" s="22" t="n">
        <v>25529689.5</v>
      </c>
      <c r="I2384" s="22" t="n">
        <v>120000</v>
      </c>
      <c r="J2384" s="21">
        <f>IF(OR(H2384="",H2384=25529689.5),"Yes","No")</f>
        <v/>
      </c>
      <c r="K2384" s="21">
        <f>IF(AND(D2384="USA",C2384&gt;=1980,J2384="No"),"Yes","No")</f>
        <v/>
      </c>
      <c r="L2384" s="26">
        <f>IF(J2384="Yes","",H2384-I2384)</f>
        <v/>
      </c>
      <c r="M2384" s="27">
        <f>IF(OR(J2384="Yes",I2384=0),"",H2384/I2384)</f>
        <v/>
      </c>
      <c r="N2384" s="21">
        <f>IF(J2384="Yes","",IF(H2384&gt;=I2384,1,0))</f>
        <v/>
      </c>
      <c r="O2384" s="21">
        <f>IF(I2384&lt;=5000000,"Under $5M",IF(I2384&lt;=20000000,"$5M-20M",IF(I2384&lt;=50000000,"$20M-50M",IF(I2384&lt;=100000000,"$50M-100M","$100M+"))))</f>
        <v/>
      </c>
      <c r="P2384" s="21">
        <f>IF(E2384&lt;=90,"90 or less",IF(E2384&lt;=105,"91-105",IF(E2384&lt;=120,"106-120",IF(E2384&lt;=140,"121-140","Over 140"))))</f>
        <v/>
      </c>
      <c r="Q2384" s="28">
        <f>INT(C2384/10)*10</f>
        <v/>
      </c>
    </row>
    <row r="2385">
      <c r="A2385" s="21" t="n">
        <v>2435</v>
      </c>
      <c r="B2385" s="21" t="inlineStr">
        <is>
          <t>The Brothers Grimm</t>
        </is>
      </c>
      <c r="C2385" s="21" t="n">
        <v>2005</v>
      </c>
      <c r="D2385" s="21" t="inlineStr">
        <is>
          <t>USA</t>
        </is>
      </c>
      <c r="E2385" s="21" t="n">
        <v>118</v>
      </c>
      <c r="F2385" s="21" t="inlineStr">
        <is>
          <t>English</t>
        </is>
      </c>
      <c r="G2385" s="21" t="inlineStr">
        <is>
          <t>PG-13</t>
        </is>
      </c>
      <c r="H2385" s="22" t="n">
        <v>37899638</v>
      </c>
      <c r="I2385" s="22" t="n">
        <v>88000000</v>
      </c>
      <c r="J2385" s="21">
        <f>IF(OR(H2385="",H2385=25529689.5),"Yes","No")</f>
        <v/>
      </c>
      <c r="K2385" s="21">
        <f>IF(AND(D2385="USA",C2385&gt;=1980,J2385="No"),"Yes","No")</f>
        <v/>
      </c>
      <c r="L2385" s="26">
        <f>IF(J2385="Yes","",H2385-I2385)</f>
        <v/>
      </c>
      <c r="M2385" s="27">
        <f>IF(OR(J2385="Yes",I2385=0),"",H2385/I2385)</f>
        <v/>
      </c>
      <c r="N2385" s="21">
        <f>IF(J2385="Yes","",IF(H2385&gt;=I2385,1,0))</f>
        <v/>
      </c>
      <c r="O2385" s="21">
        <f>IF(I2385&lt;=5000000,"Under $5M",IF(I2385&lt;=20000000,"$5M-20M",IF(I2385&lt;=50000000,"$20M-50M",IF(I2385&lt;=100000000,"$50M-100M","$100M+"))))</f>
        <v/>
      </c>
      <c r="P2385" s="21">
        <f>IF(E2385&lt;=90,"90 or less",IF(E2385&lt;=105,"91-105",IF(E2385&lt;=120,"106-120",IF(E2385&lt;=140,"121-140","Over 140"))))</f>
        <v/>
      </c>
      <c r="Q2385" s="28">
        <f>INT(C2385/10)*10</f>
        <v/>
      </c>
    </row>
    <row r="2386">
      <c r="A2386" s="21" t="n">
        <v>2436</v>
      </c>
      <c r="B2386" s="21" t="inlineStr">
        <is>
          <t>The Californians</t>
        </is>
      </c>
      <c r="C2386" s="21" t="n">
        <v>2005</v>
      </c>
      <c r="D2386" s="21" t="inlineStr">
        <is>
          <t>USA</t>
        </is>
      </c>
      <c r="E2386" s="21" t="n">
        <v>87</v>
      </c>
      <c r="F2386" s="21" t="inlineStr">
        <is>
          <t>English</t>
        </is>
      </c>
      <c r="G2386" s="21" t="inlineStr">
        <is>
          <t>PG</t>
        </is>
      </c>
      <c r="H2386" s="22" t="n">
        <v>25529689.5</v>
      </c>
      <c r="I2386" s="22" t="n">
        <v>20000000</v>
      </c>
      <c r="J2386" s="21">
        <f>IF(OR(H2386="",H2386=25529689.5),"Yes","No")</f>
        <v/>
      </c>
      <c r="K2386" s="21">
        <f>IF(AND(D2386="USA",C2386&gt;=1980,J2386="No"),"Yes","No")</f>
        <v/>
      </c>
      <c r="L2386" s="26">
        <f>IF(J2386="Yes","",H2386-I2386)</f>
        <v/>
      </c>
      <c r="M2386" s="27">
        <f>IF(OR(J2386="Yes",I2386=0),"",H2386/I2386)</f>
        <v/>
      </c>
      <c r="N2386" s="21">
        <f>IF(J2386="Yes","",IF(H2386&gt;=I2386,1,0))</f>
        <v/>
      </c>
      <c r="O2386" s="21">
        <f>IF(I2386&lt;=5000000,"Under $5M",IF(I2386&lt;=20000000,"$5M-20M",IF(I2386&lt;=50000000,"$20M-50M",IF(I2386&lt;=100000000,"$50M-100M","$100M+"))))</f>
        <v/>
      </c>
      <c r="P2386" s="21">
        <f>IF(E2386&lt;=90,"90 or less",IF(E2386&lt;=105,"91-105",IF(E2386&lt;=120,"106-120",IF(E2386&lt;=140,"121-140","Over 140"))))</f>
        <v/>
      </c>
      <c r="Q2386" s="28">
        <f>INT(C2386/10)*10</f>
        <v/>
      </c>
    </row>
    <row r="2387">
      <c r="A2387" s="21" t="n">
        <v>2437</v>
      </c>
      <c r="B2387" s="21" t="inlineStr">
        <is>
          <t>The Call of Cthulhu</t>
        </is>
      </c>
      <c r="C2387" s="21" t="n">
        <v>2005</v>
      </c>
      <c r="D2387" s="21" t="inlineStr">
        <is>
          <t>USA</t>
        </is>
      </c>
      <c r="E2387" s="21" t="n">
        <v>47</v>
      </c>
      <c r="F2387" s="21" t="inlineStr">
        <is>
          <t>English</t>
        </is>
      </c>
      <c r="G2387" s="21" t="n"/>
      <c r="H2387" s="22" t="n">
        <v>25529689.5</v>
      </c>
      <c r="I2387" s="22" t="n">
        <v>50000</v>
      </c>
      <c r="J2387" s="21">
        <f>IF(OR(H2387="",H2387=25529689.5),"Yes","No")</f>
        <v/>
      </c>
      <c r="K2387" s="21">
        <f>IF(AND(D2387="USA",C2387&gt;=1980,J2387="No"),"Yes","No")</f>
        <v/>
      </c>
      <c r="L2387" s="26">
        <f>IF(J2387="Yes","",H2387-I2387)</f>
        <v/>
      </c>
      <c r="M2387" s="27">
        <f>IF(OR(J2387="Yes",I2387=0),"",H2387/I2387)</f>
        <v/>
      </c>
      <c r="N2387" s="21">
        <f>IF(J2387="Yes","",IF(H2387&gt;=I2387,1,0))</f>
        <v/>
      </c>
      <c r="O2387" s="21">
        <f>IF(I2387&lt;=5000000,"Under $5M",IF(I2387&lt;=20000000,"$5M-20M",IF(I2387&lt;=50000000,"$20M-50M",IF(I2387&lt;=100000000,"$50M-100M","$100M+"))))</f>
        <v/>
      </c>
      <c r="P2387" s="21">
        <f>IF(E2387&lt;=90,"90 or less",IF(E2387&lt;=105,"91-105",IF(E2387&lt;=120,"106-120",IF(E2387&lt;=140,"121-140","Over 140"))))</f>
        <v/>
      </c>
      <c r="Q2387" s="28">
        <f>INT(C2387/10)*10</f>
        <v/>
      </c>
    </row>
    <row r="2388">
      <c r="A2388" s="21" t="n">
        <v>2438</v>
      </c>
      <c r="B2388" s="21" t="inlineStr">
        <is>
          <t>The Cave</t>
        </is>
      </c>
      <c r="C2388" s="21" t="n">
        <v>2005</v>
      </c>
      <c r="D2388" s="21" t="inlineStr">
        <is>
          <t>USA</t>
        </is>
      </c>
      <c r="E2388" s="21" t="n">
        <v>93</v>
      </c>
      <c r="F2388" s="21" t="inlineStr">
        <is>
          <t>English</t>
        </is>
      </c>
      <c r="G2388" s="21" t="inlineStr">
        <is>
          <t>PG-13</t>
        </is>
      </c>
      <c r="H2388" s="22" t="n">
        <v>14888028</v>
      </c>
      <c r="I2388" s="22" t="n">
        <v>30000000</v>
      </c>
      <c r="J2388" s="21">
        <f>IF(OR(H2388="",H2388=25529689.5),"Yes","No")</f>
        <v/>
      </c>
      <c r="K2388" s="21">
        <f>IF(AND(D2388="USA",C2388&gt;=1980,J2388="No"),"Yes","No")</f>
        <v/>
      </c>
      <c r="L2388" s="26">
        <f>IF(J2388="Yes","",H2388-I2388)</f>
        <v/>
      </c>
      <c r="M2388" s="27">
        <f>IF(OR(J2388="Yes",I2388=0),"",H2388/I2388)</f>
        <v/>
      </c>
      <c r="N2388" s="21">
        <f>IF(J2388="Yes","",IF(H2388&gt;=I2388,1,0))</f>
        <v/>
      </c>
      <c r="O2388" s="21">
        <f>IF(I2388&lt;=5000000,"Under $5M",IF(I2388&lt;=20000000,"$5M-20M",IF(I2388&lt;=50000000,"$20M-50M",IF(I2388&lt;=100000000,"$50M-100M","$100M+"))))</f>
        <v/>
      </c>
      <c r="P2388" s="21">
        <f>IF(E2388&lt;=90,"90 or less",IF(E2388&lt;=105,"91-105",IF(E2388&lt;=120,"106-120",IF(E2388&lt;=140,"121-140","Over 140"))))</f>
        <v/>
      </c>
      <c r="Q2388" s="28">
        <f>INT(C2388/10)*10</f>
        <v/>
      </c>
    </row>
    <row r="2389">
      <c r="A2389" s="21" t="n">
        <v>2439</v>
      </c>
      <c r="B2389" s="21" t="inlineStr">
        <is>
          <t>The Chronicles of Narnia: The Lion, the Witch and the Wardrobe</t>
        </is>
      </c>
      <c r="C2389" s="21" t="n">
        <v>2005</v>
      </c>
      <c r="D2389" s="21" t="inlineStr">
        <is>
          <t>USA</t>
        </is>
      </c>
      <c r="E2389" s="21" t="n">
        <v>150</v>
      </c>
      <c r="F2389" s="21" t="inlineStr">
        <is>
          <t>English</t>
        </is>
      </c>
      <c r="G2389" s="21" t="inlineStr">
        <is>
          <t>PG</t>
        </is>
      </c>
      <c r="H2389" s="22" t="n">
        <v>291709845</v>
      </c>
      <c r="I2389" s="22" t="n">
        <v>180000000</v>
      </c>
      <c r="J2389" s="21">
        <f>IF(OR(H2389="",H2389=25529689.5),"Yes","No")</f>
        <v/>
      </c>
      <c r="K2389" s="21">
        <f>IF(AND(D2389="USA",C2389&gt;=1980,J2389="No"),"Yes","No")</f>
        <v/>
      </c>
      <c r="L2389" s="26">
        <f>IF(J2389="Yes","",H2389-I2389)</f>
        <v/>
      </c>
      <c r="M2389" s="27">
        <f>IF(OR(J2389="Yes",I2389=0),"",H2389/I2389)</f>
        <v/>
      </c>
      <c r="N2389" s="21">
        <f>IF(J2389="Yes","",IF(H2389&gt;=I2389,1,0))</f>
        <v/>
      </c>
      <c r="O2389" s="21">
        <f>IF(I2389&lt;=5000000,"Under $5M",IF(I2389&lt;=20000000,"$5M-20M",IF(I2389&lt;=50000000,"$20M-50M",IF(I2389&lt;=100000000,"$50M-100M","$100M+"))))</f>
        <v/>
      </c>
      <c r="P2389" s="21">
        <f>IF(E2389&lt;=90,"90 or less",IF(E2389&lt;=105,"91-105",IF(E2389&lt;=120,"106-120",IF(E2389&lt;=140,"121-140","Over 140"))))</f>
        <v/>
      </c>
      <c r="Q2389" s="28">
        <f>INT(C2389/10)*10</f>
        <v/>
      </c>
    </row>
    <row r="2390">
      <c r="A2390" s="21" t="n">
        <v>2440</v>
      </c>
      <c r="B2390" s="21" t="inlineStr">
        <is>
          <t>The Chumscrubber</t>
        </is>
      </c>
      <c r="C2390" s="21" t="n">
        <v>2005</v>
      </c>
      <c r="D2390" s="21" t="inlineStr">
        <is>
          <t>USA</t>
        </is>
      </c>
      <c r="E2390" s="21" t="n">
        <v>108</v>
      </c>
      <c r="F2390" s="21" t="inlineStr">
        <is>
          <t>English</t>
        </is>
      </c>
      <c r="G2390" s="21" t="inlineStr">
        <is>
          <t>R</t>
        </is>
      </c>
      <c r="H2390" s="22" t="n">
        <v>49526</v>
      </c>
      <c r="I2390" s="22" t="n">
        <v>6800000</v>
      </c>
      <c r="J2390" s="21">
        <f>IF(OR(H2390="",H2390=25529689.5),"Yes","No")</f>
        <v/>
      </c>
      <c r="K2390" s="21">
        <f>IF(AND(D2390="USA",C2390&gt;=1980,J2390="No"),"Yes","No")</f>
        <v/>
      </c>
      <c r="L2390" s="26">
        <f>IF(J2390="Yes","",H2390-I2390)</f>
        <v/>
      </c>
      <c r="M2390" s="27">
        <f>IF(OR(J2390="Yes",I2390=0),"",H2390/I2390)</f>
        <v/>
      </c>
      <c r="N2390" s="21">
        <f>IF(J2390="Yes","",IF(H2390&gt;=I2390,1,0))</f>
        <v/>
      </c>
      <c r="O2390" s="21">
        <f>IF(I2390&lt;=5000000,"Under $5M",IF(I2390&lt;=20000000,"$5M-20M",IF(I2390&lt;=50000000,"$20M-50M",IF(I2390&lt;=100000000,"$50M-100M","$100M+"))))</f>
        <v/>
      </c>
      <c r="P2390" s="21">
        <f>IF(E2390&lt;=90,"90 or less",IF(E2390&lt;=105,"91-105",IF(E2390&lt;=120,"106-120",IF(E2390&lt;=140,"121-140","Over 140"))))</f>
        <v/>
      </c>
      <c r="Q2390" s="28">
        <f>INT(C2390/10)*10</f>
        <v/>
      </c>
    </row>
    <row r="2391">
      <c r="A2391" s="21" t="n">
        <v>2441</v>
      </c>
      <c r="B2391" s="21" t="inlineStr">
        <is>
          <t>The Constant Gardener</t>
        </is>
      </c>
      <c r="C2391" s="21" t="n">
        <v>2005</v>
      </c>
      <c r="D2391" s="21" t="inlineStr">
        <is>
          <t>UK</t>
        </is>
      </c>
      <c r="E2391" s="21" t="n">
        <v>129</v>
      </c>
      <c r="F2391" s="21" t="inlineStr">
        <is>
          <t>English</t>
        </is>
      </c>
      <c r="G2391" s="21" t="inlineStr">
        <is>
          <t>R</t>
        </is>
      </c>
      <c r="H2391" s="22" t="n">
        <v>33565375</v>
      </c>
      <c r="I2391" s="22" t="n">
        <v>15000000</v>
      </c>
      <c r="J2391" s="21">
        <f>IF(OR(H2391="",H2391=25529689.5),"Yes","No")</f>
        <v/>
      </c>
      <c r="K2391" s="21">
        <f>IF(AND(D2391="USA",C2391&gt;=1980,J2391="No"),"Yes","No")</f>
        <v/>
      </c>
      <c r="L2391" s="26">
        <f>IF(J2391="Yes","",H2391-I2391)</f>
        <v/>
      </c>
      <c r="M2391" s="27">
        <f>IF(OR(J2391="Yes",I2391=0),"",H2391/I2391)</f>
        <v/>
      </c>
      <c r="N2391" s="21">
        <f>IF(J2391="Yes","",IF(H2391&gt;=I2391,1,0))</f>
        <v/>
      </c>
      <c r="O2391" s="21">
        <f>IF(I2391&lt;=5000000,"Under $5M",IF(I2391&lt;=20000000,"$5M-20M",IF(I2391&lt;=50000000,"$20M-50M",IF(I2391&lt;=100000000,"$50M-100M","$100M+"))))</f>
        <v/>
      </c>
      <c r="P2391" s="21">
        <f>IF(E2391&lt;=90,"90 or less",IF(E2391&lt;=105,"91-105",IF(E2391&lt;=120,"106-120",IF(E2391&lt;=140,"121-140","Over 140"))))</f>
        <v/>
      </c>
      <c r="Q2391" s="28">
        <f>INT(C2391/10)*10</f>
        <v/>
      </c>
    </row>
    <row r="2392">
      <c r="A2392" s="21" t="n">
        <v>2442</v>
      </c>
      <c r="B2392" s="21" t="inlineStr">
        <is>
          <t>The Curse of the Were-Rabbit</t>
        </is>
      </c>
      <c r="C2392" s="21" t="n">
        <v>2005</v>
      </c>
      <c r="D2392" s="21" t="inlineStr">
        <is>
          <t>UK</t>
        </is>
      </c>
      <c r="E2392" s="21" t="n">
        <v>85</v>
      </c>
      <c r="F2392" s="21" t="inlineStr">
        <is>
          <t>English</t>
        </is>
      </c>
      <c r="G2392" s="21" t="inlineStr">
        <is>
          <t>G</t>
        </is>
      </c>
      <c r="H2392" s="22" t="n">
        <v>56068547</v>
      </c>
      <c r="I2392" s="22" t="n">
        <v>30000000</v>
      </c>
      <c r="J2392" s="21">
        <f>IF(OR(H2392="",H2392=25529689.5),"Yes","No")</f>
        <v/>
      </c>
      <c r="K2392" s="21">
        <f>IF(AND(D2392="USA",C2392&gt;=1980,J2392="No"),"Yes","No")</f>
        <v/>
      </c>
      <c r="L2392" s="26">
        <f>IF(J2392="Yes","",H2392-I2392)</f>
        <v/>
      </c>
      <c r="M2392" s="27">
        <f>IF(OR(J2392="Yes",I2392=0),"",H2392/I2392)</f>
        <v/>
      </c>
      <c r="N2392" s="21">
        <f>IF(J2392="Yes","",IF(H2392&gt;=I2392,1,0))</f>
        <v/>
      </c>
      <c r="O2392" s="21">
        <f>IF(I2392&lt;=5000000,"Under $5M",IF(I2392&lt;=20000000,"$5M-20M",IF(I2392&lt;=50000000,"$20M-50M",IF(I2392&lt;=100000000,"$50M-100M","$100M+"))))</f>
        <v/>
      </c>
      <c r="P2392" s="21">
        <f>IF(E2392&lt;=90,"90 or less",IF(E2392&lt;=105,"91-105",IF(E2392&lt;=120,"106-120",IF(E2392&lt;=140,"121-140","Over 140"))))</f>
        <v/>
      </c>
      <c r="Q2392" s="28">
        <f>INT(C2392/10)*10</f>
        <v/>
      </c>
    </row>
    <row r="2393">
      <c r="A2393" s="21" t="n">
        <v>2443</v>
      </c>
      <c r="B2393" s="21" t="inlineStr">
        <is>
          <t>The Dark Hours</t>
        </is>
      </c>
      <c r="C2393" s="21" t="n">
        <v>2005</v>
      </c>
      <c r="D2393" s="21" t="inlineStr">
        <is>
          <t>Canada</t>
        </is>
      </c>
      <c r="E2393" s="21" t="n">
        <v>80</v>
      </c>
      <c r="F2393" s="21" t="inlineStr">
        <is>
          <t>English</t>
        </is>
      </c>
      <c r="G2393" s="21" t="inlineStr">
        <is>
          <t>R</t>
        </is>
      </c>
      <c r="H2393" s="22" t="n">
        <v>25529689.5</v>
      </c>
      <c r="I2393" s="22" t="n">
        <v>500000</v>
      </c>
      <c r="J2393" s="21">
        <f>IF(OR(H2393="",H2393=25529689.5),"Yes","No")</f>
        <v/>
      </c>
      <c r="K2393" s="21">
        <f>IF(AND(D2393="USA",C2393&gt;=1980,J2393="No"),"Yes","No")</f>
        <v/>
      </c>
      <c r="L2393" s="26">
        <f>IF(J2393="Yes","",H2393-I2393)</f>
        <v/>
      </c>
      <c r="M2393" s="27">
        <f>IF(OR(J2393="Yes",I2393=0),"",H2393/I2393)</f>
        <v/>
      </c>
      <c r="N2393" s="21">
        <f>IF(J2393="Yes","",IF(H2393&gt;=I2393,1,0))</f>
        <v/>
      </c>
      <c r="O2393" s="21">
        <f>IF(I2393&lt;=5000000,"Under $5M",IF(I2393&lt;=20000000,"$5M-20M",IF(I2393&lt;=50000000,"$20M-50M",IF(I2393&lt;=100000000,"$50M-100M","$100M+"))))</f>
        <v/>
      </c>
      <c r="P2393" s="21">
        <f>IF(E2393&lt;=90,"90 or less",IF(E2393&lt;=105,"91-105",IF(E2393&lt;=120,"106-120",IF(E2393&lt;=140,"121-140","Over 140"))))</f>
        <v/>
      </c>
      <c r="Q2393" s="28">
        <f>INT(C2393/10)*10</f>
        <v/>
      </c>
    </row>
    <row r="2394">
      <c r="A2394" s="21" t="n">
        <v>2444</v>
      </c>
      <c r="B2394" s="21" t="inlineStr">
        <is>
          <t>The Descent</t>
        </is>
      </c>
      <c r="C2394" s="21" t="n">
        <v>2005</v>
      </c>
      <c r="D2394" s="21" t="inlineStr">
        <is>
          <t>UK</t>
        </is>
      </c>
      <c r="E2394" s="21" t="n">
        <v>100</v>
      </c>
      <c r="F2394" s="21" t="inlineStr">
        <is>
          <t>English</t>
        </is>
      </c>
      <c r="G2394" s="21" t="inlineStr">
        <is>
          <t>R</t>
        </is>
      </c>
      <c r="H2394" s="22" t="n">
        <v>26005908</v>
      </c>
      <c r="I2394" s="22" t="n">
        <v>3500000</v>
      </c>
      <c r="J2394" s="21">
        <f>IF(OR(H2394="",H2394=25529689.5),"Yes","No")</f>
        <v/>
      </c>
      <c r="K2394" s="21">
        <f>IF(AND(D2394="USA",C2394&gt;=1980,J2394="No"),"Yes","No")</f>
        <v/>
      </c>
      <c r="L2394" s="26">
        <f>IF(J2394="Yes","",H2394-I2394)</f>
        <v/>
      </c>
      <c r="M2394" s="27">
        <f>IF(OR(J2394="Yes",I2394=0),"",H2394/I2394)</f>
        <v/>
      </c>
      <c r="N2394" s="21">
        <f>IF(J2394="Yes","",IF(H2394&gt;=I2394,1,0))</f>
        <v/>
      </c>
      <c r="O2394" s="21">
        <f>IF(I2394&lt;=5000000,"Under $5M",IF(I2394&lt;=20000000,"$5M-20M",IF(I2394&lt;=50000000,"$20M-50M",IF(I2394&lt;=100000000,"$50M-100M","$100M+"))))</f>
        <v/>
      </c>
      <c r="P2394" s="21">
        <f>IF(E2394&lt;=90,"90 or less",IF(E2394&lt;=105,"91-105",IF(E2394&lt;=120,"106-120",IF(E2394&lt;=140,"121-140","Over 140"))))</f>
        <v/>
      </c>
      <c r="Q2394" s="28">
        <f>INT(C2394/10)*10</f>
        <v/>
      </c>
    </row>
    <row r="2395">
      <c r="A2395" s="21" t="n">
        <v>2445</v>
      </c>
      <c r="B2395" s="21" t="inlineStr">
        <is>
          <t>The Devil's Rejects</t>
        </is>
      </c>
      <c r="C2395" s="21" t="n">
        <v>2005</v>
      </c>
      <c r="D2395" s="21" t="inlineStr">
        <is>
          <t>USA</t>
        </is>
      </c>
      <c r="E2395" s="21" t="n">
        <v>109</v>
      </c>
      <c r="F2395" s="21" t="inlineStr">
        <is>
          <t>English</t>
        </is>
      </c>
      <c r="G2395" s="21" t="inlineStr">
        <is>
          <t>R</t>
        </is>
      </c>
      <c r="H2395" s="22" t="n">
        <v>16901126</v>
      </c>
      <c r="I2395" s="22" t="n">
        <v>7000000</v>
      </c>
      <c r="J2395" s="21">
        <f>IF(OR(H2395="",H2395=25529689.5),"Yes","No")</f>
        <v/>
      </c>
      <c r="K2395" s="21">
        <f>IF(AND(D2395="USA",C2395&gt;=1980,J2395="No"),"Yes","No")</f>
        <v/>
      </c>
      <c r="L2395" s="26">
        <f>IF(J2395="Yes","",H2395-I2395)</f>
        <v/>
      </c>
      <c r="M2395" s="27">
        <f>IF(OR(J2395="Yes",I2395=0),"",H2395/I2395)</f>
        <v/>
      </c>
      <c r="N2395" s="21">
        <f>IF(J2395="Yes","",IF(H2395&gt;=I2395,1,0))</f>
        <v/>
      </c>
      <c r="O2395" s="21">
        <f>IF(I2395&lt;=5000000,"Under $5M",IF(I2395&lt;=20000000,"$5M-20M",IF(I2395&lt;=50000000,"$20M-50M",IF(I2395&lt;=100000000,"$50M-100M","$100M+"))))</f>
        <v/>
      </c>
      <c r="P2395" s="21">
        <f>IF(E2395&lt;=90,"90 or less",IF(E2395&lt;=105,"91-105",IF(E2395&lt;=120,"106-120",IF(E2395&lt;=140,"121-140","Over 140"))))</f>
        <v/>
      </c>
      <c r="Q2395" s="28">
        <f>INT(C2395/10)*10</f>
        <v/>
      </c>
    </row>
    <row r="2396">
      <c r="A2396" s="21" t="n">
        <v>2446</v>
      </c>
      <c r="B2396" s="21" t="inlineStr">
        <is>
          <t>The Dukes of Hazzard</t>
        </is>
      </c>
      <c r="C2396" s="21" t="n">
        <v>2005</v>
      </c>
      <c r="D2396" s="21" t="inlineStr">
        <is>
          <t>USA</t>
        </is>
      </c>
      <c r="E2396" s="21" t="n">
        <v>107</v>
      </c>
      <c r="F2396" s="21" t="inlineStr">
        <is>
          <t>English</t>
        </is>
      </c>
      <c r="G2396" s="21" t="inlineStr">
        <is>
          <t>PG-13</t>
        </is>
      </c>
      <c r="H2396" s="22" t="n">
        <v>80270227</v>
      </c>
      <c r="I2396" s="22" t="n">
        <v>50000000</v>
      </c>
      <c r="J2396" s="21">
        <f>IF(OR(H2396="",H2396=25529689.5),"Yes","No")</f>
        <v/>
      </c>
      <c r="K2396" s="21">
        <f>IF(AND(D2396="USA",C2396&gt;=1980,J2396="No"),"Yes","No")</f>
        <v/>
      </c>
      <c r="L2396" s="26">
        <f>IF(J2396="Yes","",H2396-I2396)</f>
        <v/>
      </c>
      <c r="M2396" s="27">
        <f>IF(OR(J2396="Yes",I2396=0),"",H2396/I2396)</f>
        <v/>
      </c>
      <c r="N2396" s="21">
        <f>IF(J2396="Yes","",IF(H2396&gt;=I2396,1,0))</f>
        <v/>
      </c>
      <c r="O2396" s="21">
        <f>IF(I2396&lt;=5000000,"Under $5M",IF(I2396&lt;=20000000,"$5M-20M",IF(I2396&lt;=50000000,"$20M-50M",IF(I2396&lt;=100000000,"$50M-100M","$100M+"))))</f>
        <v/>
      </c>
      <c r="P2396" s="21">
        <f>IF(E2396&lt;=90,"90 or less",IF(E2396&lt;=105,"91-105",IF(E2396&lt;=120,"106-120",IF(E2396&lt;=140,"121-140","Over 140"))))</f>
        <v/>
      </c>
      <c r="Q2396" s="28">
        <f>INT(C2396/10)*10</f>
        <v/>
      </c>
    </row>
    <row r="2397">
      <c r="A2397" s="21" t="n">
        <v>2447</v>
      </c>
      <c r="B2397" s="21" t="inlineStr">
        <is>
          <t>The Exorcism of Emily Rose</t>
        </is>
      </c>
      <c r="C2397" s="21" t="n">
        <v>2005</v>
      </c>
      <c r="D2397" s="21" t="inlineStr">
        <is>
          <t>USA</t>
        </is>
      </c>
      <c r="E2397" s="21" t="n">
        <v>122</v>
      </c>
      <c r="F2397" s="21" t="inlineStr">
        <is>
          <t>English</t>
        </is>
      </c>
      <c r="G2397" s="21" t="inlineStr">
        <is>
          <t>PG-13</t>
        </is>
      </c>
      <c r="H2397" s="22" t="n">
        <v>75072454</v>
      </c>
      <c r="I2397" s="22" t="n">
        <v>20000000</v>
      </c>
      <c r="J2397" s="21">
        <f>IF(OR(H2397="",H2397=25529689.5),"Yes","No")</f>
        <v/>
      </c>
      <c r="K2397" s="21">
        <f>IF(AND(D2397="USA",C2397&gt;=1980,J2397="No"),"Yes","No")</f>
        <v/>
      </c>
      <c r="L2397" s="26">
        <f>IF(J2397="Yes","",H2397-I2397)</f>
        <v/>
      </c>
      <c r="M2397" s="27">
        <f>IF(OR(J2397="Yes",I2397=0),"",H2397/I2397)</f>
        <v/>
      </c>
      <c r="N2397" s="21">
        <f>IF(J2397="Yes","",IF(H2397&gt;=I2397,1,0))</f>
        <v/>
      </c>
      <c r="O2397" s="21">
        <f>IF(I2397&lt;=5000000,"Under $5M",IF(I2397&lt;=20000000,"$5M-20M",IF(I2397&lt;=50000000,"$20M-50M",IF(I2397&lt;=100000000,"$50M-100M","$100M+"))))</f>
        <v/>
      </c>
      <c r="P2397" s="21">
        <f>IF(E2397&lt;=90,"90 or less",IF(E2397&lt;=105,"91-105",IF(E2397&lt;=120,"106-120",IF(E2397&lt;=140,"121-140","Over 140"))))</f>
        <v/>
      </c>
      <c r="Q2397" s="28">
        <f>INT(C2397/10)*10</f>
        <v/>
      </c>
    </row>
    <row r="2398">
      <c r="A2398" s="21" t="n">
        <v>2448</v>
      </c>
      <c r="B2398" s="21" t="inlineStr">
        <is>
          <t>The Family Stone</t>
        </is>
      </c>
      <c r="C2398" s="21" t="n">
        <v>2005</v>
      </c>
      <c r="D2398" s="21" t="inlineStr">
        <is>
          <t>USA</t>
        </is>
      </c>
      <c r="E2398" s="21" t="n">
        <v>103</v>
      </c>
      <c r="F2398" s="21" t="inlineStr">
        <is>
          <t>English</t>
        </is>
      </c>
      <c r="G2398" s="21" t="inlineStr">
        <is>
          <t>PG-13</t>
        </is>
      </c>
      <c r="H2398" s="22" t="n">
        <v>6061759</v>
      </c>
      <c r="I2398" s="22" t="n">
        <v>17000000</v>
      </c>
      <c r="J2398" s="21">
        <f>IF(OR(H2398="",H2398=25529689.5),"Yes","No")</f>
        <v/>
      </c>
      <c r="K2398" s="21">
        <f>IF(AND(D2398="USA",C2398&gt;=1980,J2398="No"),"Yes","No")</f>
        <v/>
      </c>
      <c r="L2398" s="26">
        <f>IF(J2398="Yes","",H2398-I2398)</f>
        <v/>
      </c>
      <c r="M2398" s="27">
        <f>IF(OR(J2398="Yes",I2398=0),"",H2398/I2398)</f>
        <v/>
      </c>
      <c r="N2398" s="21">
        <f>IF(J2398="Yes","",IF(H2398&gt;=I2398,1,0))</f>
        <v/>
      </c>
      <c r="O2398" s="21">
        <f>IF(I2398&lt;=5000000,"Under $5M",IF(I2398&lt;=20000000,"$5M-20M",IF(I2398&lt;=50000000,"$20M-50M",IF(I2398&lt;=100000000,"$50M-100M","$100M+"))))</f>
        <v/>
      </c>
      <c r="P2398" s="21">
        <f>IF(E2398&lt;=90,"90 or less",IF(E2398&lt;=105,"91-105",IF(E2398&lt;=120,"106-120",IF(E2398&lt;=140,"121-140","Over 140"))))</f>
        <v/>
      </c>
      <c r="Q2398" s="28">
        <f>INT(C2398/10)*10</f>
        <v/>
      </c>
    </row>
    <row r="2399">
      <c r="A2399" s="21" t="n">
        <v>2449</v>
      </c>
      <c r="B2399" s="21" t="inlineStr">
        <is>
          <t>The Game of Their Lives</t>
        </is>
      </c>
      <c r="C2399" s="21" t="n">
        <v>2005</v>
      </c>
      <c r="D2399" s="21" t="inlineStr">
        <is>
          <t>USA</t>
        </is>
      </c>
      <c r="E2399" s="21" t="n">
        <v>101</v>
      </c>
      <c r="F2399" s="21" t="inlineStr">
        <is>
          <t>English</t>
        </is>
      </c>
      <c r="G2399" s="21" t="inlineStr">
        <is>
          <t>PG</t>
        </is>
      </c>
      <c r="H2399" s="22" t="n">
        <v>375474</v>
      </c>
      <c r="I2399" s="22" t="n">
        <v>20000000</v>
      </c>
      <c r="J2399" s="21">
        <f>IF(OR(H2399="",H2399=25529689.5),"Yes","No")</f>
        <v/>
      </c>
      <c r="K2399" s="21">
        <f>IF(AND(D2399="USA",C2399&gt;=1980,J2399="No"),"Yes","No")</f>
        <v/>
      </c>
      <c r="L2399" s="26">
        <f>IF(J2399="Yes","",H2399-I2399)</f>
        <v/>
      </c>
      <c r="M2399" s="27">
        <f>IF(OR(J2399="Yes",I2399=0),"",H2399/I2399)</f>
        <v/>
      </c>
      <c r="N2399" s="21">
        <f>IF(J2399="Yes","",IF(H2399&gt;=I2399,1,0))</f>
        <v/>
      </c>
      <c r="O2399" s="21">
        <f>IF(I2399&lt;=5000000,"Under $5M",IF(I2399&lt;=20000000,"$5M-20M",IF(I2399&lt;=50000000,"$20M-50M",IF(I2399&lt;=100000000,"$50M-100M","$100M+"))))</f>
        <v/>
      </c>
      <c r="P2399" s="21">
        <f>IF(E2399&lt;=90,"90 or less",IF(E2399&lt;=105,"91-105",IF(E2399&lt;=120,"106-120",IF(E2399&lt;=140,"121-140","Over 140"))))</f>
        <v/>
      </c>
      <c r="Q2399" s="28">
        <f>INT(C2399/10)*10</f>
        <v/>
      </c>
    </row>
    <row r="2400">
      <c r="A2400" s="21" t="n">
        <v>2450</v>
      </c>
      <c r="B2400" s="21" t="inlineStr">
        <is>
          <t>The Great Raid</t>
        </is>
      </c>
      <c r="C2400" s="21" t="n">
        <v>2005</v>
      </c>
      <c r="D2400" s="21" t="inlineStr">
        <is>
          <t>USA</t>
        </is>
      </c>
      <c r="E2400" s="21" t="n">
        <v>132</v>
      </c>
      <c r="F2400" s="21" t="inlineStr">
        <is>
          <t>Filipino</t>
        </is>
      </c>
      <c r="G2400" s="21" t="inlineStr">
        <is>
          <t>R</t>
        </is>
      </c>
      <c r="H2400" s="22" t="n">
        <v>10166502</v>
      </c>
      <c r="I2400" s="22" t="n">
        <v>80000000</v>
      </c>
      <c r="J2400" s="21">
        <f>IF(OR(H2400="",H2400=25529689.5),"Yes","No")</f>
        <v/>
      </c>
      <c r="K2400" s="21">
        <f>IF(AND(D2400="USA",C2400&gt;=1980,J2400="No"),"Yes","No")</f>
        <v/>
      </c>
      <c r="L2400" s="26">
        <f>IF(J2400="Yes","",H2400-I2400)</f>
        <v/>
      </c>
      <c r="M2400" s="27">
        <f>IF(OR(J2400="Yes",I2400=0),"",H2400/I2400)</f>
        <v/>
      </c>
      <c r="N2400" s="21">
        <f>IF(J2400="Yes","",IF(H2400&gt;=I2400,1,0))</f>
        <v/>
      </c>
      <c r="O2400" s="21">
        <f>IF(I2400&lt;=5000000,"Under $5M",IF(I2400&lt;=20000000,"$5M-20M",IF(I2400&lt;=50000000,"$20M-50M",IF(I2400&lt;=100000000,"$50M-100M","$100M+"))))</f>
        <v/>
      </c>
      <c r="P2400" s="21">
        <f>IF(E2400&lt;=90,"90 or less",IF(E2400&lt;=105,"91-105",IF(E2400&lt;=120,"106-120",IF(E2400&lt;=140,"121-140","Over 140"))))</f>
        <v/>
      </c>
      <c r="Q2400" s="28">
        <f>INT(C2400/10)*10</f>
        <v/>
      </c>
    </row>
    <row r="2401">
      <c r="A2401" s="21" t="n">
        <v>2451</v>
      </c>
      <c r="B2401" s="21" t="inlineStr">
        <is>
          <t>The Greatest Game Ever Played</t>
        </is>
      </c>
      <c r="C2401" s="21" t="n">
        <v>2005</v>
      </c>
      <c r="D2401" s="21" t="inlineStr">
        <is>
          <t>USA</t>
        </is>
      </c>
      <c r="E2401" s="21" t="n">
        <v>120</v>
      </c>
      <c r="F2401" s="21" t="inlineStr">
        <is>
          <t>English</t>
        </is>
      </c>
      <c r="G2401" s="21" t="inlineStr">
        <is>
          <t>PG</t>
        </is>
      </c>
      <c r="H2401" s="22" t="n">
        <v>15331289</v>
      </c>
      <c r="I2401" s="22" t="n">
        <v>20000000</v>
      </c>
      <c r="J2401" s="21">
        <f>IF(OR(H2401="",H2401=25529689.5),"Yes","No")</f>
        <v/>
      </c>
      <c r="K2401" s="21">
        <f>IF(AND(D2401="USA",C2401&gt;=1980,J2401="No"),"Yes","No")</f>
        <v/>
      </c>
      <c r="L2401" s="26">
        <f>IF(J2401="Yes","",H2401-I2401)</f>
        <v/>
      </c>
      <c r="M2401" s="27">
        <f>IF(OR(J2401="Yes",I2401=0),"",H2401/I2401)</f>
        <v/>
      </c>
      <c r="N2401" s="21">
        <f>IF(J2401="Yes","",IF(H2401&gt;=I2401,1,0))</f>
        <v/>
      </c>
      <c r="O2401" s="21">
        <f>IF(I2401&lt;=5000000,"Under $5M",IF(I2401&lt;=20000000,"$5M-20M",IF(I2401&lt;=50000000,"$20M-50M",IF(I2401&lt;=100000000,"$50M-100M","$100M+"))))</f>
        <v/>
      </c>
      <c r="P2401" s="21">
        <f>IF(E2401&lt;=90,"90 or less",IF(E2401&lt;=105,"91-105",IF(E2401&lt;=120,"106-120",IF(E2401&lt;=140,"121-140","Over 140"))))</f>
        <v/>
      </c>
      <c r="Q2401" s="28">
        <f>INT(C2401/10)*10</f>
        <v/>
      </c>
    </row>
    <row r="2402">
      <c r="A2402" s="21" t="n">
        <v>2452</v>
      </c>
      <c r="B2402" s="21" t="inlineStr">
        <is>
          <t>The Helix... Loaded</t>
        </is>
      </c>
      <c r="C2402" s="21" t="n">
        <v>2005</v>
      </c>
      <c r="D2402" s="21" t="inlineStr">
        <is>
          <t>USA</t>
        </is>
      </c>
      <c r="E2402" s="21" t="n">
        <v>97</v>
      </c>
      <c r="F2402" s="21" t="inlineStr">
        <is>
          <t>English</t>
        </is>
      </c>
      <c r="G2402" s="21" t="inlineStr">
        <is>
          <t>R</t>
        </is>
      </c>
      <c r="H2402" s="22" t="n">
        <v>25529689.5</v>
      </c>
      <c r="I2402" s="22" t="n">
        <v>1000000</v>
      </c>
      <c r="J2402" s="21">
        <f>IF(OR(H2402="",H2402=25529689.5),"Yes","No")</f>
        <v/>
      </c>
      <c r="K2402" s="21">
        <f>IF(AND(D2402="USA",C2402&gt;=1980,J2402="No"),"Yes","No")</f>
        <v/>
      </c>
      <c r="L2402" s="26">
        <f>IF(J2402="Yes","",H2402-I2402)</f>
        <v/>
      </c>
      <c r="M2402" s="27">
        <f>IF(OR(J2402="Yes",I2402=0),"",H2402/I2402)</f>
        <v/>
      </c>
      <c r="N2402" s="21">
        <f>IF(J2402="Yes","",IF(H2402&gt;=I2402,1,0))</f>
        <v/>
      </c>
      <c r="O2402" s="21">
        <f>IF(I2402&lt;=5000000,"Under $5M",IF(I2402&lt;=20000000,"$5M-20M",IF(I2402&lt;=50000000,"$20M-50M",IF(I2402&lt;=100000000,"$50M-100M","$100M+"))))</f>
        <v/>
      </c>
      <c r="P2402" s="21">
        <f>IF(E2402&lt;=90,"90 or less",IF(E2402&lt;=105,"91-105",IF(E2402&lt;=120,"106-120",IF(E2402&lt;=140,"121-140","Over 140"))))</f>
        <v/>
      </c>
      <c r="Q2402" s="28">
        <f>INT(C2402/10)*10</f>
        <v/>
      </c>
    </row>
    <row r="2403">
      <c r="A2403" s="21" t="n">
        <v>2453</v>
      </c>
      <c r="B2403" s="21" t="inlineStr">
        <is>
          <t>The Hitchhiker's Guide to the Galaxy</t>
        </is>
      </c>
      <c r="C2403" s="21" t="n">
        <v>2005</v>
      </c>
      <c r="D2403" s="21" t="inlineStr">
        <is>
          <t>USA</t>
        </is>
      </c>
      <c r="E2403" s="21" t="n">
        <v>109</v>
      </c>
      <c r="F2403" s="21" t="inlineStr">
        <is>
          <t>English</t>
        </is>
      </c>
      <c r="G2403" s="21" t="inlineStr">
        <is>
          <t>PG</t>
        </is>
      </c>
      <c r="H2403" s="22" t="n">
        <v>51019112</v>
      </c>
      <c r="I2403" s="22" t="n">
        <v>50000000</v>
      </c>
      <c r="J2403" s="21">
        <f>IF(OR(H2403="",H2403=25529689.5),"Yes","No")</f>
        <v/>
      </c>
      <c r="K2403" s="21">
        <f>IF(AND(D2403="USA",C2403&gt;=1980,J2403="No"),"Yes","No")</f>
        <v/>
      </c>
      <c r="L2403" s="26">
        <f>IF(J2403="Yes","",H2403-I2403)</f>
        <v/>
      </c>
      <c r="M2403" s="27">
        <f>IF(OR(J2403="Yes",I2403=0),"",H2403/I2403)</f>
        <v/>
      </c>
      <c r="N2403" s="21">
        <f>IF(J2403="Yes","",IF(H2403&gt;=I2403,1,0))</f>
        <v/>
      </c>
      <c r="O2403" s="21">
        <f>IF(I2403&lt;=5000000,"Under $5M",IF(I2403&lt;=20000000,"$5M-20M",IF(I2403&lt;=50000000,"$20M-50M",IF(I2403&lt;=100000000,"$50M-100M","$100M+"))))</f>
        <v/>
      </c>
      <c r="P2403" s="21">
        <f>IF(E2403&lt;=90,"90 or less",IF(E2403&lt;=105,"91-105",IF(E2403&lt;=120,"106-120",IF(E2403&lt;=140,"121-140","Over 140"))))</f>
        <v/>
      </c>
      <c r="Q2403" s="28">
        <f>INT(C2403/10)*10</f>
        <v/>
      </c>
    </row>
    <row r="2404">
      <c r="A2404" s="21" t="n">
        <v>2454</v>
      </c>
      <c r="B2404" s="21" t="inlineStr">
        <is>
          <t>The Interpreter</t>
        </is>
      </c>
      <c r="C2404" s="21" t="n">
        <v>2005</v>
      </c>
      <c r="D2404" s="21" t="inlineStr">
        <is>
          <t>UK</t>
        </is>
      </c>
      <c r="E2404" s="21" t="n">
        <v>128</v>
      </c>
      <c r="F2404" s="21" t="inlineStr">
        <is>
          <t>Aboriginal</t>
        </is>
      </c>
      <c r="G2404" s="21" t="inlineStr">
        <is>
          <t>PG-13</t>
        </is>
      </c>
      <c r="H2404" s="22" t="n">
        <v>72515360</v>
      </c>
      <c r="I2404" s="22" t="n">
        <v>80000000</v>
      </c>
      <c r="J2404" s="21">
        <f>IF(OR(H2404="",H2404=25529689.5),"Yes","No")</f>
        <v/>
      </c>
      <c r="K2404" s="21">
        <f>IF(AND(D2404="USA",C2404&gt;=1980,J2404="No"),"Yes","No")</f>
        <v/>
      </c>
      <c r="L2404" s="26">
        <f>IF(J2404="Yes","",H2404-I2404)</f>
        <v/>
      </c>
      <c r="M2404" s="27">
        <f>IF(OR(J2404="Yes",I2404=0),"",H2404/I2404)</f>
        <v/>
      </c>
      <c r="N2404" s="21">
        <f>IF(J2404="Yes","",IF(H2404&gt;=I2404,1,0))</f>
        <v/>
      </c>
      <c r="O2404" s="21">
        <f>IF(I2404&lt;=5000000,"Under $5M",IF(I2404&lt;=20000000,"$5M-20M",IF(I2404&lt;=50000000,"$20M-50M",IF(I2404&lt;=100000000,"$50M-100M","$100M+"))))</f>
        <v/>
      </c>
      <c r="P2404" s="21">
        <f>IF(E2404&lt;=90,"90 or less",IF(E2404&lt;=105,"91-105",IF(E2404&lt;=120,"106-120",IF(E2404&lt;=140,"121-140","Over 140"))))</f>
        <v/>
      </c>
      <c r="Q2404" s="28">
        <f>INT(C2404/10)*10</f>
        <v/>
      </c>
    </row>
    <row r="2405">
      <c r="A2405" s="21" t="n">
        <v>2455</v>
      </c>
      <c r="B2405" s="21" t="inlineStr">
        <is>
          <t>The Island</t>
        </is>
      </c>
      <c r="C2405" s="21" t="n">
        <v>2005</v>
      </c>
      <c r="D2405" s="21" t="inlineStr">
        <is>
          <t>USA</t>
        </is>
      </c>
      <c r="E2405" s="21" t="n">
        <v>136</v>
      </c>
      <c r="F2405" s="21" t="inlineStr">
        <is>
          <t>English</t>
        </is>
      </c>
      <c r="G2405" s="21" t="inlineStr">
        <is>
          <t>PG-13</t>
        </is>
      </c>
      <c r="H2405" s="22" t="n">
        <v>35799026</v>
      </c>
      <c r="I2405" s="22" t="n">
        <v>126000000</v>
      </c>
      <c r="J2405" s="21">
        <f>IF(OR(H2405="",H2405=25529689.5),"Yes","No")</f>
        <v/>
      </c>
      <c r="K2405" s="21">
        <f>IF(AND(D2405="USA",C2405&gt;=1980,J2405="No"),"Yes","No")</f>
        <v/>
      </c>
      <c r="L2405" s="26">
        <f>IF(J2405="Yes","",H2405-I2405)</f>
        <v/>
      </c>
      <c r="M2405" s="27">
        <f>IF(OR(J2405="Yes",I2405=0),"",H2405/I2405)</f>
        <v/>
      </c>
      <c r="N2405" s="21">
        <f>IF(J2405="Yes","",IF(H2405&gt;=I2405,1,0))</f>
        <v/>
      </c>
      <c r="O2405" s="21">
        <f>IF(I2405&lt;=5000000,"Under $5M",IF(I2405&lt;=20000000,"$5M-20M",IF(I2405&lt;=50000000,"$20M-50M",IF(I2405&lt;=100000000,"$50M-100M","$100M+"))))</f>
        <v/>
      </c>
      <c r="P2405" s="21">
        <f>IF(E2405&lt;=90,"90 or less",IF(E2405&lt;=105,"91-105",IF(E2405&lt;=120,"106-120",IF(E2405&lt;=140,"121-140","Over 140"))))</f>
        <v/>
      </c>
      <c r="Q2405" s="28">
        <f>INT(C2405/10)*10</f>
        <v/>
      </c>
    </row>
    <row r="2406">
      <c r="A2406" s="21" t="n">
        <v>2457</v>
      </c>
      <c r="B2406" s="21" t="inlineStr">
        <is>
          <t>The Jacket</t>
        </is>
      </c>
      <c r="C2406" s="21" t="n">
        <v>2005</v>
      </c>
      <c r="D2406" s="21" t="inlineStr">
        <is>
          <t>USA</t>
        </is>
      </c>
      <c r="E2406" s="21" t="n">
        <v>94</v>
      </c>
      <c r="F2406" s="21" t="inlineStr">
        <is>
          <t>English</t>
        </is>
      </c>
      <c r="G2406" s="21" t="inlineStr">
        <is>
          <t>R</t>
        </is>
      </c>
      <c r="H2406" s="22" t="n">
        <v>6301131</v>
      </c>
      <c r="I2406" s="22" t="n">
        <v>29000000</v>
      </c>
      <c r="J2406" s="21">
        <f>IF(OR(H2406="",H2406=25529689.5),"Yes","No")</f>
        <v/>
      </c>
      <c r="K2406" s="21">
        <f>IF(AND(D2406="USA",C2406&gt;=1980,J2406="No"),"Yes","No")</f>
        <v/>
      </c>
      <c r="L2406" s="26">
        <f>IF(J2406="Yes","",H2406-I2406)</f>
        <v/>
      </c>
      <c r="M2406" s="27">
        <f>IF(OR(J2406="Yes",I2406=0),"",H2406/I2406)</f>
        <v/>
      </c>
      <c r="N2406" s="21">
        <f>IF(J2406="Yes","",IF(H2406&gt;=I2406,1,0))</f>
        <v/>
      </c>
      <c r="O2406" s="21">
        <f>IF(I2406&lt;=5000000,"Under $5M",IF(I2406&lt;=20000000,"$5M-20M",IF(I2406&lt;=50000000,"$20M-50M",IF(I2406&lt;=100000000,"$50M-100M","$100M+"))))</f>
        <v/>
      </c>
      <c r="P2406" s="21">
        <f>IF(E2406&lt;=90,"90 or less",IF(E2406&lt;=105,"91-105",IF(E2406&lt;=120,"106-120",IF(E2406&lt;=140,"121-140","Over 140"))))</f>
        <v/>
      </c>
      <c r="Q2406" s="28">
        <f>INT(C2406/10)*10</f>
        <v/>
      </c>
    </row>
    <row r="2407">
      <c r="A2407" s="21" t="n">
        <v>2458</v>
      </c>
      <c r="B2407" s="21" t="inlineStr">
        <is>
          <t>The Legend of Zorro</t>
        </is>
      </c>
      <c r="C2407" s="21" t="n">
        <v>2005</v>
      </c>
      <c r="D2407" s="21" t="inlineStr">
        <is>
          <t>USA</t>
        </is>
      </c>
      <c r="E2407" s="21" t="n">
        <v>129</v>
      </c>
      <c r="F2407" s="21" t="inlineStr">
        <is>
          <t>Spanish</t>
        </is>
      </c>
      <c r="G2407" s="21" t="inlineStr">
        <is>
          <t>PG</t>
        </is>
      </c>
      <c r="H2407" s="22" t="n">
        <v>45356386</v>
      </c>
      <c r="I2407" s="22" t="n">
        <v>75000000</v>
      </c>
      <c r="J2407" s="21">
        <f>IF(OR(H2407="",H2407=25529689.5),"Yes","No")</f>
        <v/>
      </c>
      <c r="K2407" s="21">
        <f>IF(AND(D2407="USA",C2407&gt;=1980,J2407="No"),"Yes","No")</f>
        <v/>
      </c>
      <c r="L2407" s="26">
        <f>IF(J2407="Yes","",H2407-I2407)</f>
        <v/>
      </c>
      <c r="M2407" s="27">
        <f>IF(OR(J2407="Yes",I2407=0),"",H2407/I2407)</f>
        <v/>
      </c>
      <c r="N2407" s="21">
        <f>IF(J2407="Yes","",IF(H2407&gt;=I2407,1,0))</f>
        <v/>
      </c>
      <c r="O2407" s="21">
        <f>IF(I2407&lt;=5000000,"Under $5M",IF(I2407&lt;=20000000,"$5M-20M",IF(I2407&lt;=50000000,"$20M-50M",IF(I2407&lt;=100000000,"$50M-100M","$100M+"))))</f>
        <v/>
      </c>
      <c r="P2407" s="21">
        <f>IF(E2407&lt;=90,"90 or less",IF(E2407&lt;=105,"91-105",IF(E2407&lt;=120,"106-120",IF(E2407&lt;=140,"121-140","Over 140"))))</f>
        <v/>
      </c>
      <c r="Q2407" s="28">
        <f>INT(C2407/10)*10</f>
        <v/>
      </c>
    </row>
    <row r="2408">
      <c r="A2408" s="21" t="n">
        <v>2459</v>
      </c>
      <c r="B2408" s="21" t="inlineStr">
        <is>
          <t>The Longest Yard</t>
        </is>
      </c>
      <c r="C2408" s="21" t="n">
        <v>2005</v>
      </c>
      <c r="D2408" s="21" t="inlineStr">
        <is>
          <t>USA</t>
        </is>
      </c>
      <c r="E2408" s="21" t="n">
        <v>113</v>
      </c>
      <c r="F2408" s="21" t="inlineStr">
        <is>
          <t>English</t>
        </is>
      </c>
      <c r="G2408" s="21" t="inlineStr">
        <is>
          <t>PG-13</t>
        </is>
      </c>
      <c r="H2408" s="22" t="n">
        <v>158115031</v>
      </c>
      <c r="I2408" s="22" t="n">
        <v>82000000</v>
      </c>
      <c r="J2408" s="21">
        <f>IF(OR(H2408="",H2408=25529689.5),"Yes","No")</f>
        <v/>
      </c>
      <c r="K2408" s="21">
        <f>IF(AND(D2408="USA",C2408&gt;=1980,J2408="No"),"Yes","No")</f>
        <v/>
      </c>
      <c r="L2408" s="26">
        <f>IF(J2408="Yes","",H2408-I2408)</f>
        <v/>
      </c>
      <c r="M2408" s="27">
        <f>IF(OR(J2408="Yes",I2408=0),"",H2408/I2408)</f>
        <v/>
      </c>
      <c r="N2408" s="21">
        <f>IF(J2408="Yes","",IF(H2408&gt;=I2408,1,0))</f>
        <v/>
      </c>
      <c r="O2408" s="21">
        <f>IF(I2408&lt;=5000000,"Under $5M",IF(I2408&lt;=20000000,"$5M-20M",IF(I2408&lt;=50000000,"$20M-50M",IF(I2408&lt;=100000000,"$50M-100M","$100M+"))))</f>
        <v/>
      </c>
      <c r="P2408" s="21">
        <f>IF(E2408&lt;=90,"90 or less",IF(E2408&lt;=105,"91-105",IF(E2408&lt;=120,"106-120",IF(E2408&lt;=140,"121-140","Over 140"))))</f>
        <v/>
      </c>
      <c r="Q2408" s="28">
        <f>INT(C2408/10)*10</f>
        <v/>
      </c>
    </row>
    <row r="2409">
      <c r="A2409" s="21" t="n">
        <v>2460</v>
      </c>
      <c r="B2409" s="21" t="inlineStr">
        <is>
          <t>The Lost City</t>
        </is>
      </c>
      <c r="C2409" s="21" t="n">
        <v>2005</v>
      </c>
      <c r="D2409" s="21" t="inlineStr">
        <is>
          <t>USA</t>
        </is>
      </c>
      <c r="E2409" s="21" t="n">
        <v>144</v>
      </c>
      <c r="F2409" s="21" t="inlineStr">
        <is>
          <t>English</t>
        </is>
      </c>
      <c r="G2409" s="21" t="inlineStr">
        <is>
          <t>R</t>
        </is>
      </c>
      <c r="H2409" s="22" t="n">
        <v>2483955</v>
      </c>
      <c r="I2409" s="22" t="n">
        <v>9600000</v>
      </c>
      <c r="J2409" s="21">
        <f>IF(OR(H2409="",H2409=25529689.5),"Yes","No")</f>
        <v/>
      </c>
      <c r="K2409" s="21">
        <f>IF(AND(D2409="USA",C2409&gt;=1980,J2409="No"),"Yes","No")</f>
        <v/>
      </c>
      <c r="L2409" s="26">
        <f>IF(J2409="Yes","",H2409-I2409)</f>
        <v/>
      </c>
      <c r="M2409" s="27">
        <f>IF(OR(J2409="Yes",I2409=0),"",H2409/I2409)</f>
        <v/>
      </c>
      <c r="N2409" s="21">
        <f>IF(J2409="Yes","",IF(H2409&gt;=I2409,1,0))</f>
        <v/>
      </c>
      <c r="O2409" s="21">
        <f>IF(I2409&lt;=5000000,"Under $5M",IF(I2409&lt;=20000000,"$5M-20M",IF(I2409&lt;=50000000,"$20M-50M",IF(I2409&lt;=100000000,"$50M-100M","$100M+"))))</f>
        <v/>
      </c>
      <c r="P2409" s="21">
        <f>IF(E2409&lt;=90,"90 or less",IF(E2409&lt;=105,"91-105",IF(E2409&lt;=120,"106-120",IF(E2409&lt;=140,"121-140","Over 140"))))</f>
        <v/>
      </c>
      <c r="Q2409" s="28">
        <f>INT(C2409/10)*10</f>
        <v/>
      </c>
    </row>
    <row r="2410">
      <c r="A2410" s="21" t="n">
        <v>2461</v>
      </c>
      <c r="B2410" s="21" t="inlineStr">
        <is>
          <t>The Man</t>
        </is>
      </c>
      <c r="C2410" s="21" t="n">
        <v>2005</v>
      </c>
      <c r="D2410" s="21" t="inlineStr">
        <is>
          <t>Germany</t>
        </is>
      </c>
      <c r="E2410" s="21" t="n">
        <v>83</v>
      </c>
      <c r="F2410" s="21" t="inlineStr">
        <is>
          <t>English</t>
        </is>
      </c>
      <c r="G2410" s="21" t="inlineStr">
        <is>
          <t>PG-13</t>
        </is>
      </c>
      <c r="H2410" s="22" t="n">
        <v>8326035</v>
      </c>
      <c r="I2410" s="22" t="n">
        <v>33000000</v>
      </c>
      <c r="J2410" s="21">
        <f>IF(OR(H2410="",H2410=25529689.5),"Yes","No")</f>
        <v/>
      </c>
      <c r="K2410" s="21">
        <f>IF(AND(D2410="USA",C2410&gt;=1980,J2410="No"),"Yes","No")</f>
        <v/>
      </c>
      <c r="L2410" s="26">
        <f>IF(J2410="Yes","",H2410-I2410)</f>
        <v/>
      </c>
      <c r="M2410" s="27">
        <f>IF(OR(J2410="Yes",I2410=0),"",H2410/I2410)</f>
        <v/>
      </c>
      <c r="N2410" s="21">
        <f>IF(J2410="Yes","",IF(H2410&gt;=I2410,1,0))</f>
        <v/>
      </c>
      <c r="O2410" s="21">
        <f>IF(I2410&lt;=5000000,"Under $5M",IF(I2410&lt;=20000000,"$5M-20M",IF(I2410&lt;=50000000,"$20M-50M",IF(I2410&lt;=100000000,"$50M-100M","$100M+"))))</f>
        <v/>
      </c>
      <c r="P2410" s="21">
        <f>IF(E2410&lt;=90,"90 or less",IF(E2410&lt;=105,"91-105",IF(E2410&lt;=120,"106-120",IF(E2410&lt;=140,"121-140","Over 140"))))</f>
        <v/>
      </c>
      <c r="Q2410" s="28">
        <f>INT(C2410/10)*10</f>
        <v/>
      </c>
    </row>
    <row r="2411">
      <c r="A2411" s="21" t="n">
        <v>2462</v>
      </c>
      <c r="B2411" s="21" t="inlineStr">
        <is>
          <t>The Matador</t>
        </is>
      </c>
      <c r="C2411" s="21" t="n">
        <v>2005</v>
      </c>
      <c r="D2411" s="21" t="inlineStr">
        <is>
          <t>USA</t>
        </is>
      </c>
      <c r="E2411" s="21" t="n">
        <v>96</v>
      </c>
      <c r="F2411" s="21" t="inlineStr">
        <is>
          <t>English</t>
        </is>
      </c>
      <c r="G2411" s="21" t="inlineStr">
        <is>
          <t>R</t>
        </is>
      </c>
      <c r="H2411" s="22" t="n">
        <v>12570442</v>
      </c>
      <c r="I2411" s="22" t="n">
        <v>10000000</v>
      </c>
      <c r="J2411" s="21">
        <f>IF(OR(H2411="",H2411=25529689.5),"Yes","No")</f>
        <v/>
      </c>
      <c r="K2411" s="21">
        <f>IF(AND(D2411="USA",C2411&gt;=1980,J2411="No"),"Yes","No")</f>
        <v/>
      </c>
      <c r="L2411" s="26">
        <f>IF(J2411="Yes","",H2411-I2411)</f>
        <v/>
      </c>
      <c r="M2411" s="27">
        <f>IF(OR(J2411="Yes",I2411=0),"",H2411/I2411)</f>
        <v/>
      </c>
      <c r="N2411" s="21">
        <f>IF(J2411="Yes","",IF(H2411&gt;=I2411,1,0))</f>
        <v/>
      </c>
      <c r="O2411" s="21">
        <f>IF(I2411&lt;=5000000,"Under $5M",IF(I2411&lt;=20000000,"$5M-20M",IF(I2411&lt;=50000000,"$20M-50M",IF(I2411&lt;=100000000,"$50M-100M","$100M+"))))</f>
        <v/>
      </c>
      <c r="P2411" s="21">
        <f>IF(E2411&lt;=90,"90 or less",IF(E2411&lt;=105,"91-105",IF(E2411&lt;=120,"106-120",IF(E2411&lt;=140,"121-140","Over 140"))))</f>
        <v/>
      </c>
      <c r="Q2411" s="28">
        <f>INT(C2411/10)*10</f>
        <v/>
      </c>
    </row>
    <row r="2412">
      <c r="A2412" s="21" t="n">
        <v>2463</v>
      </c>
      <c r="B2412" s="21" t="inlineStr">
        <is>
          <t>The Mongol King</t>
        </is>
      </c>
      <c r="C2412" s="21" t="n">
        <v>2005</v>
      </c>
      <c r="D2412" s="21" t="inlineStr">
        <is>
          <t>USA</t>
        </is>
      </c>
      <c r="E2412" s="21" t="n">
        <v>84</v>
      </c>
      <c r="F2412" s="21" t="inlineStr">
        <is>
          <t>English</t>
        </is>
      </c>
      <c r="G2412" s="21" t="inlineStr">
        <is>
          <t>PG-13</t>
        </is>
      </c>
      <c r="H2412" s="22" t="n">
        <v>25529689.5</v>
      </c>
      <c r="I2412" s="22" t="n">
        <v>3250</v>
      </c>
      <c r="J2412" s="21">
        <f>IF(OR(H2412="",H2412=25529689.5),"Yes","No")</f>
        <v/>
      </c>
      <c r="K2412" s="21">
        <f>IF(AND(D2412="USA",C2412&gt;=1980,J2412="No"),"Yes","No")</f>
        <v/>
      </c>
      <c r="L2412" s="26">
        <f>IF(J2412="Yes","",H2412-I2412)</f>
        <v/>
      </c>
      <c r="M2412" s="27">
        <f>IF(OR(J2412="Yes",I2412=0),"",H2412/I2412)</f>
        <v/>
      </c>
      <c r="N2412" s="21">
        <f>IF(J2412="Yes","",IF(H2412&gt;=I2412,1,0))</f>
        <v/>
      </c>
      <c r="O2412" s="21">
        <f>IF(I2412&lt;=5000000,"Under $5M",IF(I2412&lt;=20000000,"$5M-20M",IF(I2412&lt;=50000000,"$20M-50M",IF(I2412&lt;=100000000,"$50M-100M","$100M+"))))</f>
        <v/>
      </c>
      <c r="P2412" s="21">
        <f>IF(E2412&lt;=90,"90 or less",IF(E2412&lt;=105,"91-105",IF(E2412&lt;=120,"106-120",IF(E2412&lt;=140,"121-140","Over 140"))))</f>
        <v/>
      </c>
      <c r="Q2412" s="28">
        <f>INT(C2412/10)*10</f>
        <v/>
      </c>
    </row>
    <row r="2413">
      <c r="A2413" s="21" t="n">
        <v>2464</v>
      </c>
      <c r="B2413" s="21" t="inlineStr">
        <is>
          <t>The Motel</t>
        </is>
      </c>
      <c r="C2413" s="21" t="n">
        <v>2005</v>
      </c>
      <c r="D2413" s="21" t="inlineStr">
        <is>
          <t>USA</t>
        </is>
      </c>
      <c r="E2413" s="21" t="n">
        <v>75</v>
      </c>
      <c r="F2413" s="21" t="inlineStr">
        <is>
          <t>Cantonese</t>
        </is>
      </c>
      <c r="G2413" s="21" t="n"/>
      <c r="H2413" s="22" t="n">
        <v>47111</v>
      </c>
      <c r="I2413" s="22" t="n">
        <v>20000000</v>
      </c>
      <c r="J2413" s="21">
        <f>IF(OR(H2413="",H2413=25529689.5),"Yes","No")</f>
        <v/>
      </c>
      <c r="K2413" s="21">
        <f>IF(AND(D2413="USA",C2413&gt;=1980,J2413="No"),"Yes","No")</f>
        <v/>
      </c>
      <c r="L2413" s="26">
        <f>IF(J2413="Yes","",H2413-I2413)</f>
        <v/>
      </c>
      <c r="M2413" s="27">
        <f>IF(OR(J2413="Yes",I2413=0),"",H2413/I2413)</f>
        <v/>
      </c>
      <c r="N2413" s="21">
        <f>IF(J2413="Yes","",IF(H2413&gt;=I2413,1,0))</f>
        <v/>
      </c>
      <c r="O2413" s="21">
        <f>IF(I2413&lt;=5000000,"Under $5M",IF(I2413&lt;=20000000,"$5M-20M",IF(I2413&lt;=50000000,"$20M-50M",IF(I2413&lt;=100000000,"$50M-100M","$100M+"))))</f>
        <v/>
      </c>
      <c r="P2413" s="21">
        <f>IF(E2413&lt;=90,"90 or less",IF(E2413&lt;=105,"91-105",IF(E2413&lt;=120,"106-120",IF(E2413&lt;=140,"121-140","Over 140"))))</f>
        <v/>
      </c>
      <c r="Q2413" s="28">
        <f>INT(C2413/10)*10</f>
        <v/>
      </c>
    </row>
    <row r="2414">
      <c r="A2414" s="21" t="n">
        <v>2465</v>
      </c>
      <c r="B2414" s="21" t="inlineStr">
        <is>
          <t>The New World</t>
        </is>
      </c>
      <c r="C2414" s="21" t="n">
        <v>2005</v>
      </c>
      <c r="D2414" s="21" t="inlineStr">
        <is>
          <t>USA</t>
        </is>
      </c>
      <c r="E2414" s="21" t="n">
        <v>150</v>
      </c>
      <c r="F2414" s="21" t="inlineStr">
        <is>
          <t>English</t>
        </is>
      </c>
      <c r="G2414" s="21" t="inlineStr">
        <is>
          <t>PG-13</t>
        </is>
      </c>
      <c r="H2414" s="22" t="n">
        <v>12712093</v>
      </c>
      <c r="I2414" s="22" t="n">
        <v>30000000</v>
      </c>
      <c r="J2414" s="21">
        <f>IF(OR(H2414="",H2414=25529689.5),"Yes","No")</f>
        <v/>
      </c>
      <c r="K2414" s="21">
        <f>IF(AND(D2414="USA",C2414&gt;=1980,J2414="No"),"Yes","No")</f>
        <v/>
      </c>
      <c r="L2414" s="26">
        <f>IF(J2414="Yes","",H2414-I2414)</f>
        <v/>
      </c>
      <c r="M2414" s="27">
        <f>IF(OR(J2414="Yes",I2414=0),"",H2414/I2414)</f>
        <v/>
      </c>
      <c r="N2414" s="21">
        <f>IF(J2414="Yes","",IF(H2414&gt;=I2414,1,0))</f>
        <v/>
      </c>
      <c r="O2414" s="21">
        <f>IF(I2414&lt;=5000000,"Under $5M",IF(I2414&lt;=20000000,"$5M-20M",IF(I2414&lt;=50000000,"$20M-50M",IF(I2414&lt;=100000000,"$50M-100M","$100M+"))))</f>
        <v/>
      </c>
      <c r="P2414" s="21">
        <f>IF(E2414&lt;=90,"90 or less",IF(E2414&lt;=105,"91-105",IF(E2414&lt;=120,"106-120",IF(E2414&lt;=140,"121-140","Over 140"))))</f>
        <v/>
      </c>
      <c r="Q2414" s="28">
        <f>INT(C2414/10)*10</f>
        <v/>
      </c>
    </row>
    <row r="2415">
      <c r="A2415" s="21" t="n">
        <v>2466</v>
      </c>
      <c r="B2415" s="21" t="inlineStr">
        <is>
          <t>The Pacifier</t>
        </is>
      </c>
      <c r="C2415" s="21" t="n">
        <v>2005</v>
      </c>
      <c r="D2415" s="21" t="inlineStr">
        <is>
          <t>Canada</t>
        </is>
      </c>
      <c r="E2415" s="21" t="n">
        <v>95</v>
      </c>
      <c r="F2415" s="21" t="inlineStr">
        <is>
          <t>English</t>
        </is>
      </c>
      <c r="G2415" s="21" t="inlineStr">
        <is>
          <t>PG</t>
        </is>
      </c>
      <c r="H2415" s="22" t="n">
        <v>113006880</v>
      </c>
      <c r="I2415" s="22" t="n">
        <v>56000000</v>
      </c>
      <c r="J2415" s="21">
        <f>IF(OR(H2415="",H2415=25529689.5),"Yes","No")</f>
        <v/>
      </c>
      <c r="K2415" s="21">
        <f>IF(AND(D2415="USA",C2415&gt;=1980,J2415="No"),"Yes","No")</f>
        <v/>
      </c>
      <c r="L2415" s="26">
        <f>IF(J2415="Yes","",H2415-I2415)</f>
        <v/>
      </c>
      <c r="M2415" s="27">
        <f>IF(OR(J2415="Yes",I2415=0),"",H2415/I2415)</f>
        <v/>
      </c>
      <c r="N2415" s="21">
        <f>IF(J2415="Yes","",IF(H2415&gt;=I2415,1,0))</f>
        <v/>
      </c>
      <c r="O2415" s="21">
        <f>IF(I2415&lt;=5000000,"Under $5M",IF(I2415&lt;=20000000,"$5M-20M",IF(I2415&lt;=50000000,"$20M-50M",IF(I2415&lt;=100000000,"$50M-100M","$100M+"))))</f>
        <v/>
      </c>
      <c r="P2415" s="21">
        <f>IF(E2415&lt;=90,"90 or less",IF(E2415&lt;=105,"91-105",IF(E2415&lt;=120,"106-120",IF(E2415&lt;=140,"121-140","Over 140"))))</f>
        <v/>
      </c>
      <c r="Q2415" s="28">
        <f>INT(C2415/10)*10</f>
        <v/>
      </c>
    </row>
    <row r="2416">
      <c r="A2416" s="21" t="n">
        <v>2467</v>
      </c>
      <c r="B2416" s="21" t="inlineStr">
        <is>
          <t>The Perfect Man</t>
        </is>
      </c>
      <c r="C2416" s="21" t="n">
        <v>2005</v>
      </c>
      <c r="D2416" s="21" t="inlineStr">
        <is>
          <t>USA</t>
        </is>
      </c>
      <c r="E2416" s="21" t="n">
        <v>100</v>
      </c>
      <c r="F2416" s="21" t="inlineStr">
        <is>
          <t>English</t>
        </is>
      </c>
      <c r="G2416" s="21" t="inlineStr">
        <is>
          <t>PG</t>
        </is>
      </c>
      <c r="H2416" s="22" t="n">
        <v>16247775</v>
      </c>
      <c r="I2416" s="22" t="n">
        <v>25000000</v>
      </c>
      <c r="J2416" s="21">
        <f>IF(OR(H2416="",H2416=25529689.5),"Yes","No")</f>
        <v/>
      </c>
      <c r="K2416" s="21">
        <f>IF(AND(D2416="USA",C2416&gt;=1980,J2416="No"),"Yes","No")</f>
        <v/>
      </c>
      <c r="L2416" s="26">
        <f>IF(J2416="Yes","",H2416-I2416)</f>
        <v/>
      </c>
      <c r="M2416" s="27">
        <f>IF(OR(J2416="Yes",I2416=0),"",H2416/I2416)</f>
        <v/>
      </c>
      <c r="N2416" s="21">
        <f>IF(J2416="Yes","",IF(H2416&gt;=I2416,1,0))</f>
        <v/>
      </c>
      <c r="O2416" s="21">
        <f>IF(I2416&lt;=5000000,"Under $5M",IF(I2416&lt;=20000000,"$5M-20M",IF(I2416&lt;=50000000,"$20M-50M",IF(I2416&lt;=100000000,"$50M-100M","$100M+"))))</f>
        <v/>
      </c>
      <c r="P2416" s="21">
        <f>IF(E2416&lt;=90,"90 or less",IF(E2416&lt;=105,"91-105",IF(E2416&lt;=120,"106-120",IF(E2416&lt;=140,"121-140","Over 140"))))</f>
        <v/>
      </c>
      <c r="Q2416" s="28">
        <f>INT(C2416/10)*10</f>
        <v/>
      </c>
    </row>
    <row r="2417">
      <c r="A2417" s="21" t="n">
        <v>2468</v>
      </c>
      <c r="B2417" s="21" t="inlineStr">
        <is>
          <t>The Producers</t>
        </is>
      </c>
      <c r="C2417" s="21" t="n">
        <v>2005</v>
      </c>
      <c r="D2417" s="21" t="inlineStr">
        <is>
          <t>USA</t>
        </is>
      </c>
      <c r="E2417" s="21" t="n">
        <v>134</v>
      </c>
      <c r="F2417" s="21" t="inlineStr">
        <is>
          <t>English</t>
        </is>
      </c>
      <c r="G2417" s="21" t="inlineStr">
        <is>
          <t>PG-13</t>
        </is>
      </c>
      <c r="H2417" s="22" t="n">
        <v>19377727</v>
      </c>
      <c r="I2417" s="22" t="n">
        <v>45000000</v>
      </c>
      <c r="J2417" s="21">
        <f>IF(OR(H2417="",H2417=25529689.5),"Yes","No")</f>
        <v/>
      </c>
      <c r="K2417" s="21">
        <f>IF(AND(D2417="USA",C2417&gt;=1980,J2417="No"),"Yes","No")</f>
        <v/>
      </c>
      <c r="L2417" s="26">
        <f>IF(J2417="Yes","",H2417-I2417)</f>
        <v/>
      </c>
      <c r="M2417" s="27">
        <f>IF(OR(J2417="Yes",I2417=0),"",H2417/I2417)</f>
        <v/>
      </c>
      <c r="N2417" s="21">
        <f>IF(J2417="Yes","",IF(H2417&gt;=I2417,1,0))</f>
        <v/>
      </c>
      <c r="O2417" s="21">
        <f>IF(I2417&lt;=5000000,"Under $5M",IF(I2417&lt;=20000000,"$5M-20M",IF(I2417&lt;=50000000,"$20M-50M",IF(I2417&lt;=100000000,"$50M-100M","$100M+"))))</f>
        <v/>
      </c>
      <c r="P2417" s="21">
        <f>IF(E2417&lt;=90,"90 or less",IF(E2417&lt;=105,"91-105",IF(E2417&lt;=120,"106-120",IF(E2417&lt;=140,"121-140","Over 140"))))</f>
        <v/>
      </c>
      <c r="Q2417" s="28">
        <f>INT(C2417/10)*10</f>
        <v/>
      </c>
    </row>
    <row r="2418">
      <c r="A2418" s="21" t="n">
        <v>2469</v>
      </c>
      <c r="B2418" s="21" t="inlineStr">
        <is>
          <t>The Promise</t>
        </is>
      </c>
      <c r="C2418" s="21" t="n">
        <v>2005</v>
      </c>
      <c r="D2418" s="21" t="inlineStr">
        <is>
          <t>China</t>
        </is>
      </c>
      <c r="E2418" s="21" t="n">
        <v>103</v>
      </c>
      <c r="F2418" s="21" t="inlineStr">
        <is>
          <t>Mandarin</t>
        </is>
      </c>
      <c r="G2418" s="21" t="inlineStr">
        <is>
          <t>PG-13</t>
        </is>
      </c>
      <c r="H2418" s="22" t="n">
        <v>668171</v>
      </c>
      <c r="I2418" s="22" t="n">
        <v>60000000</v>
      </c>
      <c r="J2418" s="21">
        <f>IF(OR(H2418="",H2418=25529689.5),"Yes","No")</f>
        <v/>
      </c>
      <c r="K2418" s="21">
        <f>IF(AND(D2418="USA",C2418&gt;=1980,J2418="No"),"Yes","No")</f>
        <v/>
      </c>
      <c r="L2418" s="26">
        <f>IF(J2418="Yes","",H2418-I2418)</f>
        <v/>
      </c>
      <c r="M2418" s="27">
        <f>IF(OR(J2418="Yes",I2418=0),"",H2418/I2418)</f>
        <v/>
      </c>
      <c r="N2418" s="21">
        <f>IF(J2418="Yes","",IF(H2418&gt;=I2418,1,0))</f>
        <v/>
      </c>
      <c r="O2418" s="21">
        <f>IF(I2418&lt;=5000000,"Under $5M",IF(I2418&lt;=20000000,"$5M-20M",IF(I2418&lt;=50000000,"$20M-50M",IF(I2418&lt;=100000000,"$50M-100M","$100M+"))))</f>
        <v/>
      </c>
      <c r="P2418" s="21">
        <f>IF(E2418&lt;=90,"90 or less",IF(E2418&lt;=105,"91-105",IF(E2418&lt;=120,"106-120",IF(E2418&lt;=140,"121-140","Over 140"))))</f>
        <v/>
      </c>
      <c r="Q2418" s="28">
        <f>INT(C2418/10)*10</f>
        <v/>
      </c>
    </row>
    <row r="2419">
      <c r="A2419" s="21" t="n">
        <v>2470</v>
      </c>
      <c r="B2419" s="21" t="inlineStr">
        <is>
          <t>The Proposition</t>
        </is>
      </c>
      <c r="C2419" s="21" t="n">
        <v>2005</v>
      </c>
      <c r="D2419" s="21" t="inlineStr">
        <is>
          <t>Australia</t>
        </is>
      </c>
      <c r="E2419" s="21" t="n">
        <v>104</v>
      </c>
      <c r="F2419" s="21" t="inlineStr">
        <is>
          <t>English</t>
        </is>
      </c>
      <c r="G2419" s="21" t="inlineStr">
        <is>
          <t>R</t>
        </is>
      </c>
      <c r="H2419" s="22" t="n">
        <v>1900725</v>
      </c>
      <c r="I2419" s="22" t="n">
        <v>2000000</v>
      </c>
      <c r="J2419" s="21">
        <f>IF(OR(H2419="",H2419=25529689.5),"Yes","No")</f>
        <v/>
      </c>
      <c r="K2419" s="21">
        <f>IF(AND(D2419="USA",C2419&gt;=1980,J2419="No"),"Yes","No")</f>
        <v/>
      </c>
      <c r="L2419" s="26">
        <f>IF(J2419="Yes","",H2419-I2419)</f>
        <v/>
      </c>
      <c r="M2419" s="27">
        <f>IF(OR(J2419="Yes",I2419=0),"",H2419/I2419)</f>
        <v/>
      </c>
      <c r="N2419" s="21">
        <f>IF(J2419="Yes","",IF(H2419&gt;=I2419,1,0))</f>
        <v/>
      </c>
      <c r="O2419" s="21">
        <f>IF(I2419&lt;=5000000,"Under $5M",IF(I2419&lt;=20000000,"$5M-20M",IF(I2419&lt;=50000000,"$20M-50M",IF(I2419&lt;=100000000,"$50M-100M","$100M+"))))</f>
        <v/>
      </c>
      <c r="P2419" s="21">
        <f>IF(E2419&lt;=90,"90 or less",IF(E2419&lt;=105,"91-105",IF(E2419&lt;=120,"106-120",IF(E2419&lt;=140,"121-140","Over 140"))))</f>
        <v/>
      </c>
      <c r="Q2419" s="28">
        <f>INT(C2419/10)*10</f>
        <v/>
      </c>
    </row>
    <row r="2420">
      <c r="A2420" s="21" t="n">
        <v>2471</v>
      </c>
      <c r="B2420" s="21" t="inlineStr">
        <is>
          <t>The Protector</t>
        </is>
      </c>
      <c r="C2420" s="21" t="n">
        <v>2005</v>
      </c>
      <c r="D2420" s="21" t="inlineStr">
        <is>
          <t>Thailand</t>
        </is>
      </c>
      <c r="E2420" s="21" t="n">
        <v>111</v>
      </c>
      <c r="F2420" s="21" t="inlineStr">
        <is>
          <t>Thai</t>
        </is>
      </c>
      <c r="G2420" s="21" t="inlineStr">
        <is>
          <t>R</t>
        </is>
      </c>
      <c r="H2420" s="22" t="n">
        <v>11905519</v>
      </c>
      <c r="I2420" s="22" t="n">
        <v>200000000</v>
      </c>
      <c r="J2420" s="21">
        <f>IF(OR(H2420="",H2420=25529689.5),"Yes","No")</f>
        <v/>
      </c>
      <c r="K2420" s="21">
        <f>IF(AND(D2420="USA",C2420&gt;=1980,J2420="No"),"Yes","No")</f>
        <v/>
      </c>
      <c r="L2420" s="26">
        <f>IF(J2420="Yes","",H2420-I2420)</f>
        <v/>
      </c>
      <c r="M2420" s="27">
        <f>IF(OR(J2420="Yes",I2420=0),"",H2420/I2420)</f>
        <v/>
      </c>
      <c r="N2420" s="21">
        <f>IF(J2420="Yes","",IF(H2420&gt;=I2420,1,0))</f>
        <v/>
      </c>
      <c r="O2420" s="21">
        <f>IF(I2420&lt;=5000000,"Under $5M",IF(I2420&lt;=20000000,"$5M-20M",IF(I2420&lt;=50000000,"$20M-50M",IF(I2420&lt;=100000000,"$50M-100M","$100M+"))))</f>
        <v/>
      </c>
      <c r="P2420" s="21">
        <f>IF(E2420&lt;=90,"90 or less",IF(E2420&lt;=105,"91-105",IF(E2420&lt;=120,"106-120",IF(E2420&lt;=140,"121-140","Over 140"))))</f>
        <v/>
      </c>
      <c r="Q2420" s="28">
        <f>INT(C2420/10)*10</f>
        <v/>
      </c>
    </row>
    <row r="2421">
      <c r="A2421" s="21" t="n">
        <v>2472</v>
      </c>
      <c r="B2421" s="21" t="inlineStr">
        <is>
          <t>The Puffy Chair</t>
        </is>
      </c>
      <c r="C2421" s="21" t="n">
        <v>2005</v>
      </c>
      <c r="D2421" s="21" t="inlineStr">
        <is>
          <t>USA</t>
        </is>
      </c>
      <c r="E2421" s="21" t="n">
        <v>85</v>
      </c>
      <c r="F2421" s="21" t="inlineStr">
        <is>
          <t>English</t>
        </is>
      </c>
      <c r="G2421" s="21" t="inlineStr">
        <is>
          <t>R</t>
        </is>
      </c>
      <c r="H2421" s="22" t="n">
        <v>192467</v>
      </c>
      <c r="I2421" s="22" t="n">
        <v>15000</v>
      </c>
      <c r="J2421" s="21">
        <f>IF(OR(H2421="",H2421=25529689.5),"Yes","No")</f>
        <v/>
      </c>
      <c r="K2421" s="21">
        <f>IF(AND(D2421="USA",C2421&gt;=1980,J2421="No"),"Yes","No")</f>
        <v/>
      </c>
      <c r="L2421" s="26">
        <f>IF(J2421="Yes","",H2421-I2421)</f>
        <v/>
      </c>
      <c r="M2421" s="27">
        <f>IF(OR(J2421="Yes",I2421=0),"",H2421/I2421)</f>
        <v/>
      </c>
      <c r="N2421" s="21">
        <f>IF(J2421="Yes","",IF(H2421&gt;=I2421,1,0))</f>
        <v/>
      </c>
      <c r="O2421" s="21">
        <f>IF(I2421&lt;=5000000,"Under $5M",IF(I2421&lt;=20000000,"$5M-20M",IF(I2421&lt;=50000000,"$20M-50M",IF(I2421&lt;=100000000,"$50M-100M","$100M+"))))</f>
        <v/>
      </c>
      <c r="P2421" s="21">
        <f>IF(E2421&lt;=90,"90 or less",IF(E2421&lt;=105,"91-105",IF(E2421&lt;=120,"106-120",IF(E2421&lt;=140,"121-140","Over 140"))))</f>
        <v/>
      </c>
      <c r="Q2421" s="28">
        <f>INT(C2421/10)*10</f>
        <v/>
      </c>
    </row>
    <row r="2422">
      <c r="A2422" s="21" t="n">
        <v>2473</v>
      </c>
      <c r="B2422" s="21" t="inlineStr">
        <is>
          <t>The Quiet</t>
        </is>
      </c>
      <c r="C2422" s="21" t="n">
        <v>2005</v>
      </c>
      <c r="D2422" s="21" t="inlineStr">
        <is>
          <t>USA</t>
        </is>
      </c>
      <c r="E2422" s="21" t="n">
        <v>91</v>
      </c>
      <c r="F2422" s="21" t="inlineStr">
        <is>
          <t>English</t>
        </is>
      </c>
      <c r="G2422" s="21" t="inlineStr">
        <is>
          <t>R</t>
        </is>
      </c>
      <c r="H2422" s="22" t="n">
        <v>381186</v>
      </c>
      <c r="I2422" s="22" t="n">
        <v>900000</v>
      </c>
      <c r="J2422" s="21">
        <f>IF(OR(H2422="",H2422=25529689.5),"Yes","No")</f>
        <v/>
      </c>
      <c r="K2422" s="21">
        <f>IF(AND(D2422="USA",C2422&gt;=1980,J2422="No"),"Yes","No")</f>
        <v/>
      </c>
      <c r="L2422" s="26">
        <f>IF(J2422="Yes","",H2422-I2422)</f>
        <v/>
      </c>
      <c r="M2422" s="27">
        <f>IF(OR(J2422="Yes",I2422=0),"",H2422/I2422)</f>
        <v/>
      </c>
      <c r="N2422" s="21">
        <f>IF(J2422="Yes","",IF(H2422&gt;=I2422,1,0))</f>
        <v/>
      </c>
      <c r="O2422" s="21">
        <f>IF(I2422&lt;=5000000,"Under $5M",IF(I2422&lt;=20000000,"$5M-20M",IF(I2422&lt;=50000000,"$20M-50M",IF(I2422&lt;=100000000,"$50M-100M","$100M+"))))</f>
        <v/>
      </c>
      <c r="P2422" s="21">
        <f>IF(E2422&lt;=90,"90 or less",IF(E2422&lt;=105,"91-105",IF(E2422&lt;=120,"106-120",IF(E2422&lt;=140,"121-140","Over 140"))))</f>
        <v/>
      </c>
      <c r="Q2422" s="28">
        <f>INT(C2422/10)*10</f>
        <v/>
      </c>
    </row>
    <row r="2423">
      <c r="A2423" s="21" t="n">
        <v>2474</v>
      </c>
      <c r="B2423" s="21" t="inlineStr">
        <is>
          <t>The Ring Two</t>
        </is>
      </c>
      <c r="C2423" s="21" t="n">
        <v>2005</v>
      </c>
      <c r="D2423" s="21" t="inlineStr">
        <is>
          <t>USA</t>
        </is>
      </c>
      <c r="E2423" s="21" t="n">
        <v>128</v>
      </c>
      <c r="F2423" s="21" t="inlineStr">
        <is>
          <t>English</t>
        </is>
      </c>
      <c r="G2423" s="21" t="inlineStr">
        <is>
          <t>PG-13</t>
        </is>
      </c>
      <c r="H2423" s="22" t="n">
        <v>75888270</v>
      </c>
      <c r="I2423" s="22" t="n">
        <v>20000000</v>
      </c>
      <c r="J2423" s="21">
        <f>IF(OR(H2423="",H2423=25529689.5),"Yes","No")</f>
        <v/>
      </c>
      <c r="K2423" s="21">
        <f>IF(AND(D2423="USA",C2423&gt;=1980,J2423="No"),"Yes","No")</f>
        <v/>
      </c>
      <c r="L2423" s="26">
        <f>IF(J2423="Yes","",H2423-I2423)</f>
        <v/>
      </c>
      <c r="M2423" s="27">
        <f>IF(OR(J2423="Yes",I2423=0),"",H2423/I2423)</f>
        <v/>
      </c>
      <c r="N2423" s="21">
        <f>IF(J2423="Yes","",IF(H2423&gt;=I2423,1,0))</f>
        <v/>
      </c>
      <c r="O2423" s="21">
        <f>IF(I2423&lt;=5000000,"Under $5M",IF(I2423&lt;=20000000,"$5M-20M",IF(I2423&lt;=50000000,"$20M-50M",IF(I2423&lt;=100000000,"$50M-100M","$100M+"))))</f>
        <v/>
      </c>
      <c r="P2423" s="21">
        <f>IF(E2423&lt;=90,"90 or less",IF(E2423&lt;=105,"91-105",IF(E2423&lt;=120,"106-120",IF(E2423&lt;=140,"121-140","Over 140"))))</f>
        <v/>
      </c>
      <c r="Q2423" s="28">
        <f>INT(C2423/10)*10</f>
        <v/>
      </c>
    </row>
    <row r="2424">
      <c r="A2424" s="21" t="n">
        <v>2475</v>
      </c>
      <c r="B2424" s="21" t="inlineStr">
        <is>
          <t>The Rocket: The Legend of Rocket Richard</t>
        </is>
      </c>
      <c r="C2424" s="21" t="n">
        <v>2005</v>
      </c>
      <c r="D2424" s="21" t="inlineStr">
        <is>
          <t>Canada</t>
        </is>
      </c>
      <c r="E2424" s="21" t="n">
        <v>124</v>
      </c>
      <c r="F2424" s="21" t="inlineStr">
        <is>
          <t>French</t>
        </is>
      </c>
      <c r="G2424" s="21" t="inlineStr">
        <is>
          <t>PG</t>
        </is>
      </c>
      <c r="H2424" s="22" t="n">
        <v>25529689.5</v>
      </c>
      <c r="I2424" s="22" t="n">
        <v>8000000</v>
      </c>
      <c r="J2424" s="21">
        <f>IF(OR(H2424="",H2424=25529689.5),"Yes","No")</f>
        <v/>
      </c>
      <c r="K2424" s="21">
        <f>IF(AND(D2424="USA",C2424&gt;=1980,J2424="No"),"Yes","No")</f>
        <v/>
      </c>
      <c r="L2424" s="26">
        <f>IF(J2424="Yes","",H2424-I2424)</f>
        <v/>
      </c>
      <c r="M2424" s="27">
        <f>IF(OR(J2424="Yes",I2424=0),"",H2424/I2424)</f>
        <v/>
      </c>
      <c r="N2424" s="21">
        <f>IF(J2424="Yes","",IF(H2424&gt;=I2424,1,0))</f>
        <v/>
      </c>
      <c r="O2424" s="21">
        <f>IF(I2424&lt;=5000000,"Under $5M",IF(I2424&lt;=20000000,"$5M-20M",IF(I2424&lt;=50000000,"$20M-50M",IF(I2424&lt;=100000000,"$50M-100M","$100M+"))))</f>
        <v/>
      </c>
      <c r="P2424" s="21">
        <f>IF(E2424&lt;=90,"90 or less",IF(E2424&lt;=105,"91-105",IF(E2424&lt;=120,"106-120",IF(E2424&lt;=140,"121-140","Over 140"))))</f>
        <v/>
      </c>
      <c r="Q2424" s="28">
        <f>INT(C2424/10)*10</f>
        <v/>
      </c>
    </row>
    <row r="2425">
      <c r="A2425" s="21" t="n">
        <v>2476</v>
      </c>
      <c r="B2425" s="21" t="inlineStr">
        <is>
          <t>The Salon</t>
        </is>
      </c>
      <c r="C2425" s="21" t="n">
        <v>2005</v>
      </c>
      <c r="D2425" s="21" t="inlineStr">
        <is>
          <t>USA</t>
        </is>
      </c>
      <c r="E2425" s="21" t="n">
        <v>90</v>
      </c>
      <c r="F2425" s="21" t="inlineStr">
        <is>
          <t>English</t>
        </is>
      </c>
      <c r="G2425" s="21" t="inlineStr">
        <is>
          <t>PG-13</t>
        </is>
      </c>
      <c r="H2425" s="22" t="n">
        <v>92362</v>
      </c>
      <c r="I2425" s="22" t="n">
        <v>1500000</v>
      </c>
      <c r="J2425" s="21">
        <f>IF(OR(H2425="",H2425=25529689.5),"Yes","No")</f>
        <v/>
      </c>
      <c r="K2425" s="21">
        <f>IF(AND(D2425="USA",C2425&gt;=1980,J2425="No"),"Yes","No")</f>
        <v/>
      </c>
      <c r="L2425" s="26">
        <f>IF(J2425="Yes","",H2425-I2425)</f>
        <v/>
      </c>
      <c r="M2425" s="27">
        <f>IF(OR(J2425="Yes",I2425=0),"",H2425/I2425)</f>
        <v/>
      </c>
      <c r="N2425" s="21">
        <f>IF(J2425="Yes","",IF(H2425&gt;=I2425,1,0))</f>
        <v/>
      </c>
      <c r="O2425" s="21">
        <f>IF(I2425&lt;=5000000,"Under $5M",IF(I2425&lt;=20000000,"$5M-20M",IF(I2425&lt;=50000000,"$20M-50M",IF(I2425&lt;=100000000,"$50M-100M","$100M+"))))</f>
        <v/>
      </c>
      <c r="P2425" s="21">
        <f>IF(E2425&lt;=90,"90 or less",IF(E2425&lt;=105,"91-105",IF(E2425&lt;=120,"106-120",IF(E2425&lt;=140,"121-140","Over 140"))))</f>
        <v/>
      </c>
      <c r="Q2425" s="28">
        <f>INT(C2425/10)*10</f>
        <v/>
      </c>
    </row>
    <row r="2426">
      <c r="A2426" s="21" t="n">
        <v>2477</v>
      </c>
      <c r="B2426" s="21" t="inlineStr">
        <is>
          <t>The Sisterhood of the Traveling Pants</t>
        </is>
      </c>
      <c r="C2426" s="21" t="n">
        <v>2005</v>
      </c>
      <c r="D2426" s="21" t="inlineStr">
        <is>
          <t>USA</t>
        </is>
      </c>
      <c r="E2426" s="21" t="n">
        <v>119</v>
      </c>
      <c r="F2426" s="21" t="inlineStr">
        <is>
          <t>English</t>
        </is>
      </c>
      <c r="G2426" s="21" t="inlineStr">
        <is>
          <t>PG</t>
        </is>
      </c>
      <c r="H2426" s="22" t="n">
        <v>39008741</v>
      </c>
      <c r="I2426" s="22" t="n">
        <v>25000000</v>
      </c>
      <c r="J2426" s="21">
        <f>IF(OR(H2426="",H2426=25529689.5),"Yes","No")</f>
        <v/>
      </c>
      <c r="K2426" s="21">
        <f>IF(AND(D2426="USA",C2426&gt;=1980,J2426="No"),"Yes","No")</f>
        <v/>
      </c>
      <c r="L2426" s="26">
        <f>IF(J2426="Yes","",H2426-I2426)</f>
        <v/>
      </c>
      <c r="M2426" s="27">
        <f>IF(OR(J2426="Yes",I2426=0),"",H2426/I2426)</f>
        <v/>
      </c>
      <c r="N2426" s="21">
        <f>IF(J2426="Yes","",IF(H2426&gt;=I2426,1,0))</f>
        <v/>
      </c>
      <c r="O2426" s="21">
        <f>IF(I2426&lt;=5000000,"Under $5M",IF(I2426&lt;=20000000,"$5M-20M",IF(I2426&lt;=50000000,"$20M-50M",IF(I2426&lt;=100000000,"$50M-100M","$100M+"))))</f>
        <v/>
      </c>
      <c r="P2426" s="21">
        <f>IF(E2426&lt;=90,"90 or less",IF(E2426&lt;=105,"91-105",IF(E2426&lt;=120,"106-120",IF(E2426&lt;=140,"121-140","Over 140"))))</f>
        <v/>
      </c>
      <c r="Q2426" s="28">
        <f>INT(C2426/10)*10</f>
        <v/>
      </c>
    </row>
    <row r="2427">
      <c r="A2427" s="21" t="n">
        <v>2478</v>
      </c>
      <c r="B2427" s="21" t="inlineStr">
        <is>
          <t>The Skeleton Key</t>
        </is>
      </c>
      <c r="C2427" s="21" t="n">
        <v>2005</v>
      </c>
      <c r="D2427" s="21" t="inlineStr">
        <is>
          <t>USA</t>
        </is>
      </c>
      <c r="E2427" s="21" t="n">
        <v>104</v>
      </c>
      <c r="F2427" s="21" t="inlineStr">
        <is>
          <t>English</t>
        </is>
      </c>
      <c r="G2427" s="21" t="inlineStr">
        <is>
          <t>PG-13</t>
        </is>
      </c>
      <c r="H2427" s="22" t="n">
        <v>47806295</v>
      </c>
      <c r="I2427" s="22" t="n">
        <v>43000000</v>
      </c>
      <c r="J2427" s="21">
        <f>IF(OR(H2427="",H2427=25529689.5),"Yes","No")</f>
        <v/>
      </c>
      <c r="K2427" s="21">
        <f>IF(AND(D2427="USA",C2427&gt;=1980,J2427="No"),"Yes","No")</f>
        <v/>
      </c>
      <c r="L2427" s="26">
        <f>IF(J2427="Yes","",H2427-I2427)</f>
        <v/>
      </c>
      <c r="M2427" s="27">
        <f>IF(OR(J2427="Yes",I2427=0),"",H2427/I2427)</f>
        <v/>
      </c>
      <c r="N2427" s="21">
        <f>IF(J2427="Yes","",IF(H2427&gt;=I2427,1,0))</f>
        <v/>
      </c>
      <c r="O2427" s="21">
        <f>IF(I2427&lt;=5000000,"Under $5M",IF(I2427&lt;=20000000,"$5M-20M",IF(I2427&lt;=50000000,"$20M-50M",IF(I2427&lt;=100000000,"$50M-100M","$100M+"))))</f>
        <v/>
      </c>
      <c r="P2427" s="21">
        <f>IF(E2427&lt;=90,"90 or less",IF(E2427&lt;=105,"91-105",IF(E2427&lt;=120,"106-120",IF(E2427&lt;=140,"121-140","Over 140"))))</f>
        <v/>
      </c>
      <c r="Q2427" s="28">
        <f>INT(C2427/10)*10</f>
        <v/>
      </c>
    </row>
    <row r="2428">
      <c r="A2428" s="21" t="n">
        <v>2479</v>
      </c>
      <c r="B2428" s="21" t="inlineStr">
        <is>
          <t>The Squid and the Whale</t>
        </is>
      </c>
      <c r="C2428" s="21" t="n">
        <v>2005</v>
      </c>
      <c r="D2428" s="21" t="inlineStr">
        <is>
          <t>USA</t>
        </is>
      </c>
      <c r="E2428" s="21" t="n">
        <v>88</v>
      </c>
      <c r="F2428" s="21" t="inlineStr">
        <is>
          <t>English</t>
        </is>
      </c>
      <c r="G2428" s="21" t="inlineStr">
        <is>
          <t>R</t>
        </is>
      </c>
      <c r="H2428" s="22" t="n">
        <v>7362100</v>
      </c>
      <c r="I2428" s="22" t="n">
        <v>1500000</v>
      </c>
      <c r="J2428" s="21">
        <f>IF(OR(H2428="",H2428=25529689.5),"Yes","No")</f>
        <v/>
      </c>
      <c r="K2428" s="21">
        <f>IF(AND(D2428="USA",C2428&gt;=1980,J2428="No"),"Yes","No")</f>
        <v/>
      </c>
      <c r="L2428" s="26">
        <f>IF(J2428="Yes","",H2428-I2428)</f>
        <v/>
      </c>
      <c r="M2428" s="27">
        <f>IF(OR(J2428="Yes",I2428=0),"",H2428/I2428)</f>
        <v/>
      </c>
      <c r="N2428" s="21">
        <f>IF(J2428="Yes","",IF(H2428&gt;=I2428,1,0))</f>
        <v/>
      </c>
      <c r="O2428" s="21">
        <f>IF(I2428&lt;=5000000,"Under $5M",IF(I2428&lt;=20000000,"$5M-20M",IF(I2428&lt;=50000000,"$20M-50M",IF(I2428&lt;=100000000,"$50M-100M","$100M+"))))</f>
        <v/>
      </c>
      <c r="P2428" s="21">
        <f>IF(E2428&lt;=90,"90 or less",IF(E2428&lt;=105,"91-105",IF(E2428&lt;=120,"106-120",IF(E2428&lt;=140,"121-140","Over 140"))))</f>
        <v/>
      </c>
      <c r="Q2428" s="28">
        <f>INT(C2428/10)*10</f>
        <v/>
      </c>
    </row>
    <row r="2429">
      <c r="A2429" s="21" t="n">
        <v>2480</v>
      </c>
      <c r="B2429" s="21" t="inlineStr">
        <is>
          <t>The Upside of Anger</t>
        </is>
      </c>
      <c r="C2429" s="21" t="n">
        <v>2005</v>
      </c>
      <c r="D2429" s="21" t="inlineStr">
        <is>
          <t>USA</t>
        </is>
      </c>
      <c r="E2429" s="21" t="n">
        <v>118</v>
      </c>
      <c r="F2429" s="21" t="inlineStr">
        <is>
          <t>English</t>
        </is>
      </c>
      <c r="G2429" s="21" t="inlineStr">
        <is>
          <t>R</t>
        </is>
      </c>
      <c r="H2429" s="22" t="n">
        <v>18761993</v>
      </c>
      <c r="I2429" s="22" t="n">
        <v>9000000</v>
      </c>
      <c r="J2429" s="21">
        <f>IF(OR(H2429="",H2429=25529689.5),"Yes","No")</f>
        <v/>
      </c>
      <c r="K2429" s="21">
        <f>IF(AND(D2429="USA",C2429&gt;=1980,J2429="No"),"Yes","No")</f>
        <v/>
      </c>
      <c r="L2429" s="26">
        <f>IF(J2429="Yes","",H2429-I2429)</f>
        <v/>
      </c>
      <c r="M2429" s="27">
        <f>IF(OR(J2429="Yes",I2429=0),"",H2429/I2429)</f>
        <v/>
      </c>
      <c r="N2429" s="21">
        <f>IF(J2429="Yes","",IF(H2429&gt;=I2429,1,0))</f>
        <v/>
      </c>
      <c r="O2429" s="21">
        <f>IF(I2429&lt;=5000000,"Under $5M",IF(I2429&lt;=20000000,"$5M-20M",IF(I2429&lt;=50000000,"$20M-50M",IF(I2429&lt;=100000000,"$50M-100M","$100M+"))))</f>
        <v/>
      </c>
      <c r="P2429" s="21">
        <f>IF(E2429&lt;=90,"90 or less",IF(E2429&lt;=105,"91-105",IF(E2429&lt;=120,"106-120",IF(E2429&lt;=140,"121-140","Over 140"))))</f>
        <v/>
      </c>
      <c r="Q2429" s="28">
        <f>INT(C2429/10)*10</f>
        <v/>
      </c>
    </row>
    <row r="2430">
      <c r="A2430" s="21" t="n">
        <v>2481</v>
      </c>
      <c r="B2430" s="21" t="inlineStr">
        <is>
          <t>The Weather Man</t>
        </is>
      </c>
      <c r="C2430" s="21" t="n">
        <v>2005</v>
      </c>
      <c r="D2430" s="21" t="inlineStr">
        <is>
          <t>USA</t>
        </is>
      </c>
      <c r="E2430" s="21" t="n">
        <v>102</v>
      </c>
      <c r="F2430" s="21" t="inlineStr">
        <is>
          <t>English</t>
        </is>
      </c>
      <c r="G2430" s="21" t="inlineStr">
        <is>
          <t>R</t>
        </is>
      </c>
      <c r="H2430" s="22" t="n">
        <v>12469811</v>
      </c>
      <c r="I2430" s="22" t="n">
        <v>22000000</v>
      </c>
      <c r="J2430" s="21">
        <f>IF(OR(H2430="",H2430=25529689.5),"Yes","No")</f>
        <v/>
      </c>
      <c r="K2430" s="21">
        <f>IF(AND(D2430="USA",C2430&gt;=1980,J2430="No"),"Yes","No")</f>
        <v/>
      </c>
      <c r="L2430" s="26">
        <f>IF(J2430="Yes","",H2430-I2430)</f>
        <v/>
      </c>
      <c r="M2430" s="27">
        <f>IF(OR(J2430="Yes",I2430=0),"",H2430/I2430)</f>
        <v/>
      </c>
      <c r="N2430" s="21">
        <f>IF(J2430="Yes","",IF(H2430&gt;=I2430,1,0))</f>
        <v/>
      </c>
      <c r="O2430" s="21">
        <f>IF(I2430&lt;=5000000,"Under $5M",IF(I2430&lt;=20000000,"$5M-20M",IF(I2430&lt;=50000000,"$20M-50M",IF(I2430&lt;=100000000,"$50M-100M","$100M+"))))</f>
        <v/>
      </c>
      <c r="P2430" s="21">
        <f>IF(E2430&lt;=90,"90 or less",IF(E2430&lt;=105,"91-105",IF(E2430&lt;=120,"106-120",IF(E2430&lt;=140,"121-140","Over 140"))))</f>
        <v/>
      </c>
      <c r="Q2430" s="28">
        <f>INT(C2430/10)*10</f>
        <v/>
      </c>
    </row>
    <row r="2431">
      <c r="A2431" s="21" t="n">
        <v>2482</v>
      </c>
      <c r="B2431" s="21" t="inlineStr">
        <is>
          <t>The Wedding Date</t>
        </is>
      </c>
      <c r="C2431" s="21" t="n">
        <v>2005</v>
      </c>
      <c r="D2431" s="21" t="inlineStr">
        <is>
          <t>USA</t>
        </is>
      </c>
      <c r="E2431" s="21" t="n">
        <v>90</v>
      </c>
      <c r="F2431" s="21" t="inlineStr">
        <is>
          <t>English</t>
        </is>
      </c>
      <c r="G2431" s="21" t="inlineStr">
        <is>
          <t>PG-13</t>
        </is>
      </c>
      <c r="H2431" s="22" t="n">
        <v>31585300</v>
      </c>
      <c r="I2431" s="22" t="n">
        <v>15000000</v>
      </c>
      <c r="J2431" s="21">
        <f>IF(OR(H2431="",H2431=25529689.5),"Yes","No")</f>
        <v/>
      </c>
      <c r="K2431" s="21">
        <f>IF(AND(D2431="USA",C2431&gt;=1980,J2431="No"),"Yes","No")</f>
        <v/>
      </c>
      <c r="L2431" s="26">
        <f>IF(J2431="Yes","",H2431-I2431)</f>
        <v/>
      </c>
      <c r="M2431" s="27">
        <f>IF(OR(J2431="Yes",I2431=0),"",H2431/I2431)</f>
        <v/>
      </c>
      <c r="N2431" s="21">
        <f>IF(J2431="Yes","",IF(H2431&gt;=I2431,1,0))</f>
        <v/>
      </c>
      <c r="O2431" s="21">
        <f>IF(I2431&lt;=5000000,"Under $5M",IF(I2431&lt;=20000000,"$5M-20M",IF(I2431&lt;=50000000,"$20M-50M",IF(I2431&lt;=100000000,"$50M-100M","$100M+"))))</f>
        <v/>
      </c>
      <c r="P2431" s="21">
        <f>IF(E2431&lt;=90,"90 or less",IF(E2431&lt;=105,"91-105",IF(E2431&lt;=120,"106-120",IF(E2431&lt;=140,"121-140","Over 140"))))</f>
        <v/>
      </c>
      <c r="Q2431" s="28">
        <f>INT(C2431/10)*10</f>
        <v/>
      </c>
    </row>
    <row r="2432">
      <c r="A2432" s="21" t="n">
        <v>2483</v>
      </c>
      <c r="B2432" s="21" t="inlineStr">
        <is>
          <t>The Wendell Baker Story</t>
        </is>
      </c>
      <c r="C2432" s="21" t="n">
        <v>2005</v>
      </c>
      <c r="D2432" s="21" t="inlineStr">
        <is>
          <t>USA</t>
        </is>
      </c>
      <c r="E2432" s="21" t="n">
        <v>99</v>
      </c>
      <c r="F2432" s="21" t="inlineStr">
        <is>
          <t>English</t>
        </is>
      </c>
      <c r="G2432" s="21" t="inlineStr">
        <is>
          <t>PG-13</t>
        </is>
      </c>
      <c r="H2432" s="22" t="n">
        <v>127144</v>
      </c>
      <c r="I2432" s="22" t="n">
        <v>8000000</v>
      </c>
      <c r="J2432" s="21">
        <f>IF(OR(H2432="",H2432=25529689.5),"Yes","No")</f>
        <v/>
      </c>
      <c r="K2432" s="21">
        <f>IF(AND(D2432="USA",C2432&gt;=1980,J2432="No"),"Yes","No")</f>
        <v/>
      </c>
      <c r="L2432" s="26">
        <f>IF(J2432="Yes","",H2432-I2432)</f>
        <v/>
      </c>
      <c r="M2432" s="27">
        <f>IF(OR(J2432="Yes",I2432=0),"",H2432/I2432)</f>
        <v/>
      </c>
      <c r="N2432" s="21">
        <f>IF(J2432="Yes","",IF(H2432&gt;=I2432,1,0))</f>
        <v/>
      </c>
      <c r="O2432" s="21">
        <f>IF(I2432&lt;=5000000,"Under $5M",IF(I2432&lt;=20000000,"$5M-20M",IF(I2432&lt;=50000000,"$20M-50M",IF(I2432&lt;=100000000,"$50M-100M","$100M+"))))</f>
        <v/>
      </c>
      <c r="P2432" s="21">
        <f>IF(E2432&lt;=90,"90 or less",IF(E2432&lt;=105,"91-105",IF(E2432&lt;=120,"106-120",IF(E2432&lt;=140,"121-140","Over 140"))))</f>
        <v/>
      </c>
      <c r="Q2432" s="28">
        <f>INT(C2432/10)*10</f>
        <v/>
      </c>
    </row>
    <row r="2433">
      <c r="A2433" s="21" t="n">
        <v>2484</v>
      </c>
      <c r="B2433" s="21" t="inlineStr">
        <is>
          <t>The White Countess</t>
        </is>
      </c>
      <c r="C2433" s="21" t="n">
        <v>2005</v>
      </c>
      <c r="D2433" s="21" t="inlineStr">
        <is>
          <t>UK</t>
        </is>
      </c>
      <c r="E2433" s="21" t="n">
        <v>135</v>
      </c>
      <c r="F2433" s="21" t="inlineStr">
        <is>
          <t>English</t>
        </is>
      </c>
      <c r="G2433" s="21" t="inlineStr">
        <is>
          <t>PG-13</t>
        </is>
      </c>
      <c r="H2433" s="22" t="n">
        <v>1666262</v>
      </c>
      <c r="I2433" s="22" t="n">
        <v>16000000</v>
      </c>
      <c r="J2433" s="21">
        <f>IF(OR(H2433="",H2433=25529689.5),"Yes","No")</f>
        <v/>
      </c>
      <c r="K2433" s="21">
        <f>IF(AND(D2433="USA",C2433&gt;=1980,J2433="No"),"Yes","No")</f>
        <v/>
      </c>
      <c r="L2433" s="26">
        <f>IF(J2433="Yes","",H2433-I2433)</f>
        <v/>
      </c>
      <c r="M2433" s="27">
        <f>IF(OR(J2433="Yes",I2433=0),"",H2433/I2433)</f>
        <v/>
      </c>
      <c r="N2433" s="21">
        <f>IF(J2433="Yes","",IF(H2433&gt;=I2433,1,0))</f>
        <v/>
      </c>
      <c r="O2433" s="21">
        <f>IF(I2433&lt;=5000000,"Under $5M",IF(I2433&lt;=20000000,"$5M-20M",IF(I2433&lt;=50000000,"$20M-50M",IF(I2433&lt;=100000000,"$50M-100M","$100M+"))))</f>
        <v/>
      </c>
      <c r="P2433" s="21">
        <f>IF(E2433&lt;=90,"90 or less",IF(E2433&lt;=105,"91-105",IF(E2433&lt;=120,"106-120",IF(E2433&lt;=140,"121-140","Over 140"))))</f>
        <v/>
      </c>
      <c r="Q2433" s="28">
        <f>INT(C2433/10)*10</f>
        <v/>
      </c>
    </row>
    <row r="2434">
      <c r="A2434" s="21" t="n">
        <v>2485</v>
      </c>
      <c r="B2434" s="21" t="inlineStr">
        <is>
          <t>The Work and the Glory II: American Zion</t>
        </is>
      </c>
      <c r="C2434" s="21" t="n">
        <v>2005</v>
      </c>
      <c r="D2434" s="21" t="inlineStr">
        <is>
          <t>USA</t>
        </is>
      </c>
      <c r="E2434" s="21" t="n">
        <v>100</v>
      </c>
      <c r="F2434" s="21" t="inlineStr">
        <is>
          <t>English</t>
        </is>
      </c>
      <c r="G2434" s="21" t="inlineStr">
        <is>
          <t>PG-13</t>
        </is>
      </c>
      <c r="H2434" s="22" t="n">
        <v>2024854</v>
      </c>
      <c r="I2434" s="22" t="n">
        <v>6500000</v>
      </c>
      <c r="J2434" s="21">
        <f>IF(OR(H2434="",H2434=25529689.5),"Yes","No")</f>
        <v/>
      </c>
      <c r="K2434" s="21">
        <f>IF(AND(D2434="USA",C2434&gt;=1980,J2434="No"),"Yes","No")</f>
        <v/>
      </c>
      <c r="L2434" s="26">
        <f>IF(J2434="Yes","",H2434-I2434)</f>
        <v/>
      </c>
      <c r="M2434" s="27">
        <f>IF(OR(J2434="Yes",I2434=0),"",H2434/I2434)</f>
        <v/>
      </c>
      <c r="N2434" s="21">
        <f>IF(J2434="Yes","",IF(H2434&gt;=I2434,1,0))</f>
        <v/>
      </c>
      <c r="O2434" s="21">
        <f>IF(I2434&lt;=5000000,"Under $5M",IF(I2434&lt;=20000000,"$5M-20M",IF(I2434&lt;=50000000,"$20M-50M",IF(I2434&lt;=100000000,"$50M-100M","$100M+"))))</f>
        <v/>
      </c>
      <c r="P2434" s="21">
        <f>IF(E2434&lt;=90,"90 or less",IF(E2434&lt;=105,"91-105",IF(E2434&lt;=120,"106-120",IF(E2434&lt;=140,"121-140","Over 140"))))</f>
        <v/>
      </c>
      <c r="Q2434" s="28">
        <f>INT(C2434/10)*10</f>
        <v/>
      </c>
    </row>
    <row r="2435">
      <c r="A2435" s="21" t="n">
        <v>2486</v>
      </c>
      <c r="B2435" s="21" t="inlineStr">
        <is>
          <t>The World's Fastest Indian</t>
        </is>
      </c>
      <c r="C2435" s="21" t="n">
        <v>2005</v>
      </c>
      <c r="D2435" s="21" t="inlineStr">
        <is>
          <t>New Zealand</t>
        </is>
      </c>
      <c r="E2435" s="21" t="n">
        <v>127</v>
      </c>
      <c r="F2435" s="21" t="inlineStr">
        <is>
          <t>English</t>
        </is>
      </c>
      <c r="G2435" s="21" t="inlineStr">
        <is>
          <t>PG-13</t>
        </is>
      </c>
      <c r="H2435" s="22" t="n">
        <v>5128124</v>
      </c>
      <c r="I2435" s="22" t="n">
        <v>25000000</v>
      </c>
      <c r="J2435" s="21">
        <f>IF(OR(H2435="",H2435=25529689.5),"Yes","No")</f>
        <v/>
      </c>
      <c r="K2435" s="21">
        <f>IF(AND(D2435="USA",C2435&gt;=1980,J2435="No"),"Yes","No")</f>
        <v/>
      </c>
      <c r="L2435" s="26">
        <f>IF(J2435="Yes","",H2435-I2435)</f>
        <v/>
      </c>
      <c r="M2435" s="27">
        <f>IF(OR(J2435="Yes",I2435=0),"",H2435/I2435)</f>
        <v/>
      </c>
      <c r="N2435" s="21">
        <f>IF(J2435="Yes","",IF(H2435&gt;=I2435,1,0))</f>
        <v/>
      </c>
      <c r="O2435" s="21">
        <f>IF(I2435&lt;=5000000,"Under $5M",IF(I2435&lt;=20000000,"$5M-20M",IF(I2435&lt;=50000000,"$20M-50M",IF(I2435&lt;=100000000,"$50M-100M","$100M+"))))</f>
        <v/>
      </c>
      <c r="P2435" s="21">
        <f>IF(E2435&lt;=90,"90 or less",IF(E2435&lt;=105,"91-105",IF(E2435&lt;=120,"106-120",IF(E2435&lt;=140,"121-140","Over 140"))))</f>
        <v/>
      </c>
      <c r="Q2435" s="28">
        <f>INT(C2435/10)*10</f>
        <v/>
      </c>
    </row>
    <row r="2436">
      <c r="A2436" s="21" t="n">
        <v>2487</v>
      </c>
      <c r="B2436" s="21" t="inlineStr">
        <is>
          <t>Three Burials</t>
        </is>
      </c>
      <c r="C2436" s="21" t="n">
        <v>2005</v>
      </c>
      <c r="D2436" s="21" t="inlineStr">
        <is>
          <t>France</t>
        </is>
      </c>
      <c r="E2436" s="21" t="n">
        <v>107</v>
      </c>
      <c r="F2436" s="21" t="inlineStr">
        <is>
          <t>English</t>
        </is>
      </c>
      <c r="G2436" s="21" t="inlineStr">
        <is>
          <t>R</t>
        </is>
      </c>
      <c r="H2436" s="22" t="n">
        <v>5023275</v>
      </c>
      <c r="I2436" s="22" t="n">
        <v>15000000</v>
      </c>
      <c r="J2436" s="21">
        <f>IF(OR(H2436="",H2436=25529689.5),"Yes","No")</f>
        <v/>
      </c>
      <c r="K2436" s="21">
        <f>IF(AND(D2436="USA",C2436&gt;=1980,J2436="No"),"Yes","No")</f>
        <v/>
      </c>
      <c r="L2436" s="26">
        <f>IF(J2436="Yes","",H2436-I2436)</f>
        <v/>
      </c>
      <c r="M2436" s="27">
        <f>IF(OR(J2436="Yes",I2436=0),"",H2436/I2436)</f>
        <v/>
      </c>
      <c r="N2436" s="21">
        <f>IF(J2436="Yes","",IF(H2436&gt;=I2436,1,0))</f>
        <v/>
      </c>
      <c r="O2436" s="21">
        <f>IF(I2436&lt;=5000000,"Under $5M",IF(I2436&lt;=20000000,"$5M-20M",IF(I2436&lt;=50000000,"$20M-50M",IF(I2436&lt;=100000000,"$50M-100M","$100M+"))))</f>
        <v/>
      </c>
      <c r="P2436" s="21">
        <f>IF(E2436&lt;=90,"90 or less",IF(E2436&lt;=105,"91-105",IF(E2436&lt;=120,"106-120",IF(E2436&lt;=140,"121-140","Over 140"))))</f>
        <v/>
      </c>
      <c r="Q2436" s="28">
        <f>INT(C2436/10)*10</f>
        <v/>
      </c>
    </row>
    <row r="2437">
      <c r="A2437" s="21" t="n">
        <v>2488</v>
      </c>
      <c r="B2437" s="21" t="inlineStr">
        <is>
          <t>Thumbsucker</t>
        </is>
      </c>
      <c r="C2437" s="21" t="n">
        <v>2005</v>
      </c>
      <c r="D2437" s="21" t="inlineStr">
        <is>
          <t>USA</t>
        </is>
      </c>
      <c r="E2437" s="21" t="n">
        <v>96</v>
      </c>
      <c r="F2437" s="21" t="inlineStr">
        <is>
          <t>English</t>
        </is>
      </c>
      <c r="G2437" s="21" t="inlineStr">
        <is>
          <t>R</t>
        </is>
      </c>
      <c r="H2437" s="22" t="n">
        <v>1325073</v>
      </c>
      <c r="I2437" s="22" t="n">
        <v>4000000</v>
      </c>
      <c r="J2437" s="21">
        <f>IF(OR(H2437="",H2437=25529689.5),"Yes","No")</f>
        <v/>
      </c>
      <c r="K2437" s="21">
        <f>IF(AND(D2437="USA",C2437&gt;=1980,J2437="No"),"Yes","No")</f>
        <v/>
      </c>
      <c r="L2437" s="26">
        <f>IF(J2437="Yes","",H2437-I2437)</f>
        <v/>
      </c>
      <c r="M2437" s="27">
        <f>IF(OR(J2437="Yes",I2437=0),"",H2437/I2437)</f>
        <v/>
      </c>
      <c r="N2437" s="21">
        <f>IF(J2437="Yes","",IF(H2437&gt;=I2437,1,0))</f>
        <v/>
      </c>
      <c r="O2437" s="21">
        <f>IF(I2437&lt;=5000000,"Under $5M",IF(I2437&lt;=20000000,"$5M-20M",IF(I2437&lt;=50000000,"$20M-50M",IF(I2437&lt;=100000000,"$50M-100M","$100M+"))))</f>
        <v/>
      </c>
      <c r="P2437" s="21">
        <f>IF(E2437&lt;=90,"90 or less",IF(E2437&lt;=105,"91-105",IF(E2437&lt;=120,"106-120",IF(E2437&lt;=140,"121-140","Over 140"))))</f>
        <v/>
      </c>
      <c r="Q2437" s="28">
        <f>INT(C2437/10)*10</f>
        <v/>
      </c>
    </row>
    <row r="2438">
      <c r="A2438" s="21" t="n">
        <v>2489</v>
      </c>
      <c r="B2438" s="21" t="inlineStr">
        <is>
          <t>Transamerica</t>
        </is>
      </c>
      <c r="C2438" s="21" t="n">
        <v>2005</v>
      </c>
      <c r="D2438" s="21" t="inlineStr">
        <is>
          <t>USA</t>
        </is>
      </c>
      <c r="E2438" s="21" t="n">
        <v>103</v>
      </c>
      <c r="F2438" s="21" t="inlineStr">
        <is>
          <t>English</t>
        </is>
      </c>
      <c r="G2438" s="21" t="inlineStr">
        <is>
          <t>R</t>
        </is>
      </c>
      <c r="H2438" s="22" t="n">
        <v>9013113</v>
      </c>
      <c r="I2438" s="22" t="n">
        <v>1000000</v>
      </c>
      <c r="J2438" s="21">
        <f>IF(OR(H2438="",H2438=25529689.5),"Yes","No")</f>
        <v/>
      </c>
      <c r="K2438" s="21">
        <f>IF(AND(D2438="USA",C2438&gt;=1980,J2438="No"),"Yes","No")</f>
        <v/>
      </c>
      <c r="L2438" s="26">
        <f>IF(J2438="Yes","",H2438-I2438)</f>
        <v/>
      </c>
      <c r="M2438" s="27">
        <f>IF(OR(J2438="Yes",I2438=0),"",H2438/I2438)</f>
        <v/>
      </c>
      <c r="N2438" s="21">
        <f>IF(J2438="Yes","",IF(H2438&gt;=I2438,1,0))</f>
        <v/>
      </c>
      <c r="O2438" s="21">
        <f>IF(I2438&lt;=5000000,"Under $5M",IF(I2438&lt;=20000000,"$5M-20M",IF(I2438&lt;=50000000,"$20M-50M",IF(I2438&lt;=100000000,"$50M-100M","$100M+"))))</f>
        <v/>
      </c>
      <c r="P2438" s="21">
        <f>IF(E2438&lt;=90,"90 or less",IF(E2438&lt;=105,"91-105",IF(E2438&lt;=120,"106-120",IF(E2438&lt;=140,"121-140","Over 140"))))</f>
        <v/>
      </c>
      <c r="Q2438" s="28">
        <f>INT(C2438/10)*10</f>
        <v/>
      </c>
    </row>
    <row r="2439">
      <c r="A2439" s="21" t="n">
        <v>2490</v>
      </c>
      <c r="B2439" s="21" t="inlineStr">
        <is>
          <t>Transporter 2</t>
        </is>
      </c>
      <c r="C2439" s="21" t="n">
        <v>2005</v>
      </c>
      <c r="D2439" s="21" t="inlineStr">
        <is>
          <t>France</t>
        </is>
      </c>
      <c r="E2439" s="21" t="n">
        <v>87</v>
      </c>
      <c r="F2439" s="21" t="inlineStr">
        <is>
          <t>English</t>
        </is>
      </c>
      <c r="G2439" s="21" t="inlineStr">
        <is>
          <t>PG-13</t>
        </is>
      </c>
      <c r="H2439" s="22" t="n">
        <v>43095600</v>
      </c>
      <c r="I2439" s="22" t="n">
        <v>32000000</v>
      </c>
      <c r="J2439" s="21">
        <f>IF(OR(H2439="",H2439=25529689.5),"Yes","No")</f>
        <v/>
      </c>
      <c r="K2439" s="21">
        <f>IF(AND(D2439="USA",C2439&gt;=1980,J2439="No"),"Yes","No")</f>
        <v/>
      </c>
      <c r="L2439" s="26">
        <f>IF(J2439="Yes","",H2439-I2439)</f>
        <v/>
      </c>
      <c r="M2439" s="27">
        <f>IF(OR(J2439="Yes",I2439=0),"",H2439/I2439)</f>
        <v/>
      </c>
      <c r="N2439" s="21">
        <f>IF(J2439="Yes","",IF(H2439&gt;=I2439,1,0))</f>
        <v/>
      </c>
      <c r="O2439" s="21">
        <f>IF(I2439&lt;=5000000,"Under $5M",IF(I2439&lt;=20000000,"$5M-20M",IF(I2439&lt;=50000000,"$20M-50M",IF(I2439&lt;=100000000,"$50M-100M","$100M+"))))</f>
        <v/>
      </c>
      <c r="P2439" s="21">
        <f>IF(E2439&lt;=90,"90 or less",IF(E2439&lt;=105,"91-105",IF(E2439&lt;=120,"106-120",IF(E2439&lt;=140,"121-140","Over 140"))))</f>
        <v/>
      </c>
      <c r="Q2439" s="28">
        <f>INT(C2439/10)*10</f>
        <v/>
      </c>
    </row>
    <row r="2440">
      <c r="A2440" s="21" t="n">
        <v>2491</v>
      </c>
      <c r="B2440" s="21" t="inlineStr">
        <is>
          <t>Tristram Shandy: A Cock and Bull Story</t>
        </is>
      </c>
      <c r="C2440" s="21" t="n">
        <v>2005</v>
      </c>
      <c r="D2440" s="21" t="inlineStr">
        <is>
          <t>UK</t>
        </is>
      </c>
      <c r="E2440" s="21" t="n">
        <v>94</v>
      </c>
      <c r="F2440" s="21" t="inlineStr">
        <is>
          <t>English</t>
        </is>
      </c>
      <c r="G2440" s="21" t="inlineStr">
        <is>
          <t>R</t>
        </is>
      </c>
      <c r="H2440" s="22" t="n">
        <v>1247453</v>
      </c>
      <c r="I2440" s="22" t="n">
        <v>2800000</v>
      </c>
      <c r="J2440" s="21">
        <f>IF(OR(H2440="",H2440=25529689.5),"Yes","No")</f>
        <v/>
      </c>
      <c r="K2440" s="21">
        <f>IF(AND(D2440="USA",C2440&gt;=1980,J2440="No"),"Yes","No")</f>
        <v/>
      </c>
      <c r="L2440" s="26">
        <f>IF(J2440="Yes","",H2440-I2440)</f>
        <v/>
      </c>
      <c r="M2440" s="27">
        <f>IF(OR(J2440="Yes",I2440=0),"",H2440/I2440)</f>
        <v/>
      </c>
      <c r="N2440" s="21">
        <f>IF(J2440="Yes","",IF(H2440&gt;=I2440,1,0))</f>
        <v/>
      </c>
      <c r="O2440" s="21">
        <f>IF(I2440&lt;=5000000,"Under $5M",IF(I2440&lt;=20000000,"$5M-20M",IF(I2440&lt;=50000000,"$20M-50M",IF(I2440&lt;=100000000,"$50M-100M","$100M+"))))</f>
        <v/>
      </c>
      <c r="P2440" s="21">
        <f>IF(E2440&lt;=90,"90 or less",IF(E2440&lt;=105,"91-105",IF(E2440&lt;=120,"106-120",IF(E2440&lt;=140,"121-140","Over 140"))))</f>
        <v/>
      </c>
      <c r="Q2440" s="28">
        <f>INT(C2440/10)*10</f>
        <v/>
      </c>
    </row>
    <row r="2441">
      <c r="A2441" s="21" t="n">
        <v>2492</v>
      </c>
      <c r="B2441" s="21" t="inlineStr">
        <is>
          <t>Trust the Man</t>
        </is>
      </c>
      <c r="C2441" s="21" t="n">
        <v>2005</v>
      </c>
      <c r="D2441" s="21" t="inlineStr">
        <is>
          <t>USA</t>
        </is>
      </c>
      <c r="E2441" s="21" t="n">
        <v>103</v>
      </c>
      <c r="F2441" s="21" t="inlineStr">
        <is>
          <t>English</t>
        </is>
      </c>
      <c r="G2441" s="21" t="inlineStr">
        <is>
          <t>R</t>
        </is>
      </c>
      <c r="H2441" s="22" t="n">
        <v>1530535</v>
      </c>
      <c r="I2441" s="22" t="n">
        <v>9000000</v>
      </c>
      <c r="J2441" s="21">
        <f>IF(OR(H2441="",H2441=25529689.5),"Yes","No")</f>
        <v/>
      </c>
      <c r="K2441" s="21">
        <f>IF(AND(D2441="USA",C2441&gt;=1980,J2441="No"),"Yes","No")</f>
        <v/>
      </c>
      <c r="L2441" s="26">
        <f>IF(J2441="Yes","",H2441-I2441)</f>
        <v/>
      </c>
      <c r="M2441" s="27">
        <f>IF(OR(J2441="Yes",I2441=0),"",H2441/I2441)</f>
        <v/>
      </c>
      <c r="N2441" s="21">
        <f>IF(J2441="Yes","",IF(H2441&gt;=I2441,1,0))</f>
        <v/>
      </c>
      <c r="O2441" s="21">
        <f>IF(I2441&lt;=5000000,"Under $5M",IF(I2441&lt;=20000000,"$5M-20M",IF(I2441&lt;=50000000,"$20M-50M",IF(I2441&lt;=100000000,"$50M-100M","$100M+"))))</f>
        <v/>
      </c>
      <c r="P2441" s="21">
        <f>IF(E2441&lt;=90,"90 or less",IF(E2441&lt;=105,"91-105",IF(E2441&lt;=120,"106-120",IF(E2441&lt;=140,"121-140","Over 140"))))</f>
        <v/>
      </c>
      <c r="Q2441" s="28">
        <f>INT(C2441/10)*10</f>
        <v/>
      </c>
    </row>
    <row r="2442">
      <c r="A2442" s="21" t="n">
        <v>2493</v>
      </c>
      <c r="B2442" s="21" t="inlineStr">
        <is>
          <t>Tsotsi</t>
        </is>
      </c>
      <c r="C2442" s="21" t="n">
        <v>2005</v>
      </c>
      <c r="D2442" s="21" t="inlineStr">
        <is>
          <t>UK</t>
        </is>
      </c>
      <c r="E2442" s="21" t="n">
        <v>94</v>
      </c>
      <c r="F2442" s="21" t="inlineStr">
        <is>
          <t>Zulu</t>
        </is>
      </c>
      <c r="G2442" s="21" t="inlineStr">
        <is>
          <t>R</t>
        </is>
      </c>
      <c r="H2442" s="22" t="n">
        <v>2912363</v>
      </c>
      <c r="I2442" s="22" t="n">
        <v>3000000</v>
      </c>
      <c r="J2442" s="21">
        <f>IF(OR(H2442="",H2442=25529689.5),"Yes","No")</f>
        <v/>
      </c>
      <c r="K2442" s="21">
        <f>IF(AND(D2442="USA",C2442&gt;=1980,J2442="No"),"Yes","No")</f>
        <v/>
      </c>
      <c r="L2442" s="26">
        <f>IF(J2442="Yes","",H2442-I2442)</f>
        <v/>
      </c>
      <c r="M2442" s="27">
        <f>IF(OR(J2442="Yes",I2442=0),"",H2442/I2442)</f>
        <v/>
      </c>
      <c r="N2442" s="21">
        <f>IF(J2442="Yes","",IF(H2442&gt;=I2442,1,0))</f>
        <v/>
      </c>
      <c r="O2442" s="21">
        <f>IF(I2442&lt;=5000000,"Under $5M",IF(I2442&lt;=20000000,"$5M-20M",IF(I2442&lt;=50000000,"$20M-50M",IF(I2442&lt;=100000000,"$50M-100M","$100M+"))))</f>
        <v/>
      </c>
      <c r="P2442" s="21">
        <f>IF(E2442&lt;=90,"90 or less",IF(E2442&lt;=105,"91-105",IF(E2442&lt;=120,"106-120",IF(E2442&lt;=140,"121-140","Over 140"))))</f>
        <v/>
      </c>
      <c r="Q2442" s="28">
        <f>INT(C2442/10)*10</f>
        <v/>
      </c>
    </row>
    <row r="2443">
      <c r="A2443" s="21" t="n">
        <v>2494</v>
      </c>
      <c r="B2443" s="21" t="inlineStr">
        <is>
          <t>Underclassman</t>
        </is>
      </c>
      <c r="C2443" s="21" t="n">
        <v>2005</v>
      </c>
      <c r="D2443" s="21" t="inlineStr">
        <is>
          <t>USA</t>
        </is>
      </c>
      <c r="E2443" s="21" t="n">
        <v>95</v>
      </c>
      <c r="F2443" s="21" t="inlineStr">
        <is>
          <t>English</t>
        </is>
      </c>
      <c r="G2443" s="21" t="inlineStr">
        <is>
          <t>PG-13</t>
        </is>
      </c>
      <c r="H2443" s="22" t="n">
        <v>5654777</v>
      </c>
      <c r="I2443" s="22" t="n">
        <v>25000000</v>
      </c>
      <c r="J2443" s="21">
        <f>IF(OR(H2443="",H2443=25529689.5),"Yes","No")</f>
        <v/>
      </c>
      <c r="K2443" s="21">
        <f>IF(AND(D2443="USA",C2443&gt;=1980,J2443="No"),"Yes","No")</f>
        <v/>
      </c>
      <c r="L2443" s="26">
        <f>IF(J2443="Yes","",H2443-I2443)</f>
        <v/>
      </c>
      <c r="M2443" s="27">
        <f>IF(OR(J2443="Yes",I2443=0),"",H2443/I2443)</f>
        <v/>
      </c>
      <c r="N2443" s="21">
        <f>IF(J2443="Yes","",IF(H2443&gt;=I2443,1,0))</f>
        <v/>
      </c>
      <c r="O2443" s="21">
        <f>IF(I2443&lt;=5000000,"Under $5M",IF(I2443&lt;=20000000,"$5M-20M",IF(I2443&lt;=50000000,"$20M-50M",IF(I2443&lt;=100000000,"$50M-100M","$100M+"))))</f>
        <v/>
      </c>
      <c r="P2443" s="21">
        <f>IF(E2443&lt;=90,"90 or less",IF(E2443&lt;=105,"91-105",IF(E2443&lt;=120,"106-120",IF(E2443&lt;=140,"121-140","Over 140"))))</f>
        <v/>
      </c>
      <c r="Q2443" s="28">
        <f>INT(C2443/10)*10</f>
        <v/>
      </c>
    </row>
    <row r="2444">
      <c r="A2444" s="21" t="n">
        <v>2495</v>
      </c>
      <c r="B2444" s="21" t="inlineStr">
        <is>
          <t>Undiscovered</t>
        </is>
      </c>
      <c r="C2444" s="21" t="n">
        <v>2005</v>
      </c>
      <c r="D2444" s="21" t="inlineStr">
        <is>
          <t>Germany</t>
        </is>
      </c>
      <c r="E2444" s="21" t="n">
        <v>97</v>
      </c>
      <c r="F2444" s="21" t="inlineStr">
        <is>
          <t>English</t>
        </is>
      </c>
      <c r="G2444" s="21" t="inlineStr">
        <is>
          <t>PG-13</t>
        </is>
      </c>
      <c r="H2444" s="22" t="n">
        <v>1046166</v>
      </c>
      <c r="I2444" s="22" t="n">
        <v>9000000</v>
      </c>
      <c r="J2444" s="21">
        <f>IF(OR(H2444="",H2444=25529689.5),"Yes","No")</f>
        <v/>
      </c>
      <c r="K2444" s="21">
        <f>IF(AND(D2444="USA",C2444&gt;=1980,J2444="No"),"Yes","No")</f>
        <v/>
      </c>
      <c r="L2444" s="26">
        <f>IF(J2444="Yes","",H2444-I2444)</f>
        <v/>
      </c>
      <c r="M2444" s="27">
        <f>IF(OR(J2444="Yes",I2444=0),"",H2444/I2444)</f>
        <v/>
      </c>
      <c r="N2444" s="21">
        <f>IF(J2444="Yes","",IF(H2444&gt;=I2444,1,0))</f>
        <v/>
      </c>
      <c r="O2444" s="21">
        <f>IF(I2444&lt;=5000000,"Under $5M",IF(I2444&lt;=20000000,"$5M-20M",IF(I2444&lt;=50000000,"$20M-50M",IF(I2444&lt;=100000000,"$50M-100M","$100M+"))))</f>
        <v/>
      </c>
      <c r="P2444" s="21">
        <f>IF(E2444&lt;=90,"90 or less",IF(E2444&lt;=105,"91-105",IF(E2444&lt;=120,"106-120",IF(E2444&lt;=140,"121-140","Over 140"))))</f>
        <v/>
      </c>
      <c r="Q2444" s="28">
        <f>INT(C2444/10)*10</f>
        <v/>
      </c>
    </row>
    <row r="2445">
      <c r="A2445" s="21" t="n">
        <v>2496</v>
      </c>
      <c r="B2445" s="21" t="inlineStr">
        <is>
          <t>Unleashed</t>
        </is>
      </c>
      <c r="C2445" s="21" t="n">
        <v>2005</v>
      </c>
      <c r="D2445" s="21" t="inlineStr">
        <is>
          <t>France</t>
        </is>
      </c>
      <c r="E2445" s="21" t="n">
        <v>103</v>
      </c>
      <c r="F2445" s="21" t="inlineStr">
        <is>
          <t>English</t>
        </is>
      </c>
      <c r="G2445" s="21" t="inlineStr">
        <is>
          <t>R</t>
        </is>
      </c>
      <c r="H2445" s="22" t="n">
        <v>24520892</v>
      </c>
      <c r="I2445" s="22" t="n">
        <v>45000000</v>
      </c>
      <c r="J2445" s="21">
        <f>IF(OR(H2445="",H2445=25529689.5),"Yes","No")</f>
        <v/>
      </c>
      <c r="K2445" s="21">
        <f>IF(AND(D2445="USA",C2445&gt;=1980,J2445="No"),"Yes","No")</f>
        <v/>
      </c>
      <c r="L2445" s="26">
        <f>IF(J2445="Yes","",H2445-I2445)</f>
        <v/>
      </c>
      <c r="M2445" s="27">
        <f>IF(OR(J2445="Yes",I2445=0),"",H2445/I2445)</f>
        <v/>
      </c>
      <c r="N2445" s="21">
        <f>IF(J2445="Yes","",IF(H2445&gt;=I2445,1,0))</f>
        <v/>
      </c>
      <c r="O2445" s="21">
        <f>IF(I2445&lt;=5000000,"Under $5M",IF(I2445&lt;=20000000,"$5M-20M",IF(I2445&lt;=50000000,"$20M-50M",IF(I2445&lt;=100000000,"$50M-100M","$100M+"))))</f>
        <v/>
      </c>
      <c r="P2445" s="21">
        <f>IF(E2445&lt;=90,"90 or less",IF(E2445&lt;=105,"91-105",IF(E2445&lt;=120,"106-120",IF(E2445&lt;=140,"121-140","Over 140"))))</f>
        <v/>
      </c>
      <c r="Q2445" s="28">
        <f>INT(C2445/10)*10</f>
        <v/>
      </c>
    </row>
    <row r="2446">
      <c r="A2446" s="21" t="n">
        <v>2497</v>
      </c>
      <c r="B2446" s="21" t="inlineStr">
        <is>
          <t>V for Vendetta</t>
        </is>
      </c>
      <c r="C2446" s="21" t="n">
        <v>2005</v>
      </c>
      <c r="D2446" s="21" t="inlineStr">
        <is>
          <t>USA</t>
        </is>
      </c>
      <c r="E2446" s="21" t="n">
        <v>132</v>
      </c>
      <c r="F2446" s="21" t="inlineStr">
        <is>
          <t>English</t>
        </is>
      </c>
      <c r="G2446" s="21" t="inlineStr">
        <is>
          <t>R</t>
        </is>
      </c>
      <c r="H2446" s="22" t="n">
        <v>70496802</v>
      </c>
      <c r="I2446" s="22" t="n">
        <v>54000000</v>
      </c>
      <c r="J2446" s="21">
        <f>IF(OR(H2446="",H2446=25529689.5),"Yes","No")</f>
        <v/>
      </c>
      <c r="K2446" s="21">
        <f>IF(AND(D2446="USA",C2446&gt;=1980,J2446="No"),"Yes","No")</f>
        <v/>
      </c>
      <c r="L2446" s="26">
        <f>IF(J2446="Yes","",H2446-I2446)</f>
        <v/>
      </c>
      <c r="M2446" s="27">
        <f>IF(OR(J2446="Yes",I2446=0),"",H2446/I2446)</f>
        <v/>
      </c>
      <c r="N2446" s="21">
        <f>IF(J2446="Yes","",IF(H2446&gt;=I2446,1,0))</f>
        <v/>
      </c>
      <c r="O2446" s="21">
        <f>IF(I2446&lt;=5000000,"Under $5M",IF(I2446&lt;=20000000,"$5M-20M",IF(I2446&lt;=50000000,"$20M-50M",IF(I2446&lt;=100000000,"$50M-100M","$100M+"))))</f>
        <v/>
      </c>
      <c r="P2446" s="21">
        <f>IF(E2446&lt;=90,"90 or less",IF(E2446&lt;=105,"91-105",IF(E2446&lt;=120,"106-120",IF(E2446&lt;=140,"121-140","Over 140"))))</f>
        <v/>
      </c>
      <c r="Q2446" s="28">
        <f>INT(C2446/10)*10</f>
        <v/>
      </c>
    </row>
    <row r="2447">
      <c r="A2447" s="21" t="n">
        <v>2498</v>
      </c>
      <c r="B2447" s="21" t="inlineStr">
        <is>
          <t>Valiant</t>
        </is>
      </c>
      <c r="C2447" s="21" t="n">
        <v>2005</v>
      </c>
      <c r="D2447" s="21" t="inlineStr">
        <is>
          <t>UK</t>
        </is>
      </c>
      <c r="E2447" s="21" t="n">
        <v>76</v>
      </c>
      <c r="F2447" s="21" t="inlineStr">
        <is>
          <t>English</t>
        </is>
      </c>
      <c r="G2447" s="21" t="inlineStr">
        <is>
          <t>G</t>
        </is>
      </c>
      <c r="H2447" s="22" t="n">
        <v>19447478</v>
      </c>
      <c r="I2447" s="22" t="n">
        <v>35000000</v>
      </c>
      <c r="J2447" s="21">
        <f>IF(OR(H2447="",H2447=25529689.5),"Yes","No")</f>
        <v/>
      </c>
      <c r="K2447" s="21">
        <f>IF(AND(D2447="USA",C2447&gt;=1980,J2447="No"),"Yes","No")</f>
        <v/>
      </c>
      <c r="L2447" s="26">
        <f>IF(J2447="Yes","",H2447-I2447)</f>
        <v/>
      </c>
      <c r="M2447" s="27">
        <f>IF(OR(J2447="Yes",I2447=0),"",H2447/I2447)</f>
        <v/>
      </c>
      <c r="N2447" s="21">
        <f>IF(J2447="Yes","",IF(H2447&gt;=I2447,1,0))</f>
        <v/>
      </c>
      <c r="O2447" s="21">
        <f>IF(I2447&lt;=5000000,"Under $5M",IF(I2447&lt;=20000000,"$5M-20M",IF(I2447&lt;=50000000,"$20M-50M",IF(I2447&lt;=100000000,"$50M-100M","$100M+"))))</f>
        <v/>
      </c>
      <c r="P2447" s="21">
        <f>IF(E2447&lt;=90,"90 or less",IF(E2447&lt;=105,"91-105",IF(E2447&lt;=120,"106-120",IF(E2447&lt;=140,"121-140","Over 140"))))</f>
        <v/>
      </c>
      <c r="Q2447" s="28">
        <f>INT(C2447/10)*10</f>
        <v/>
      </c>
    </row>
    <row r="2448">
      <c r="A2448" s="21" t="n">
        <v>2499</v>
      </c>
      <c r="B2448" s="21" t="inlineStr">
        <is>
          <t>Wah-Wah</t>
        </is>
      </c>
      <c r="C2448" s="21" t="n">
        <v>2005</v>
      </c>
      <c r="D2448" s="21" t="inlineStr">
        <is>
          <t>UK</t>
        </is>
      </c>
      <c r="E2448" s="21" t="n">
        <v>97</v>
      </c>
      <c r="F2448" s="21" t="inlineStr">
        <is>
          <t>English</t>
        </is>
      </c>
      <c r="G2448" s="21" t="inlineStr">
        <is>
          <t>R</t>
        </is>
      </c>
      <c r="H2448" s="22" t="n">
        <v>233103</v>
      </c>
      <c r="I2448" s="22" t="n">
        <v>7000000</v>
      </c>
      <c r="J2448" s="21">
        <f>IF(OR(H2448="",H2448=25529689.5),"Yes","No")</f>
        <v/>
      </c>
      <c r="K2448" s="21">
        <f>IF(AND(D2448="USA",C2448&gt;=1980,J2448="No"),"Yes","No")</f>
        <v/>
      </c>
      <c r="L2448" s="26">
        <f>IF(J2448="Yes","",H2448-I2448)</f>
        <v/>
      </c>
      <c r="M2448" s="27">
        <f>IF(OR(J2448="Yes",I2448=0),"",H2448/I2448)</f>
        <v/>
      </c>
      <c r="N2448" s="21">
        <f>IF(J2448="Yes","",IF(H2448&gt;=I2448,1,0))</f>
        <v/>
      </c>
      <c r="O2448" s="21">
        <f>IF(I2448&lt;=5000000,"Under $5M",IF(I2448&lt;=20000000,"$5M-20M",IF(I2448&lt;=50000000,"$20M-50M",IF(I2448&lt;=100000000,"$50M-100M","$100M+"))))</f>
        <v/>
      </c>
      <c r="P2448" s="21">
        <f>IF(E2448&lt;=90,"90 or less",IF(E2448&lt;=105,"91-105",IF(E2448&lt;=120,"106-120",IF(E2448&lt;=140,"121-140","Over 140"))))</f>
        <v/>
      </c>
      <c r="Q2448" s="28">
        <f>INT(C2448/10)*10</f>
        <v/>
      </c>
    </row>
    <row r="2449">
      <c r="A2449" s="21" t="n">
        <v>2500</v>
      </c>
      <c r="B2449" s="21" t="inlineStr">
        <is>
          <t>Waiting...</t>
        </is>
      </c>
      <c r="C2449" s="21" t="n">
        <v>2005</v>
      </c>
      <c r="D2449" s="21" t="inlineStr">
        <is>
          <t>USA</t>
        </is>
      </c>
      <c r="E2449" s="21" t="n">
        <v>94</v>
      </c>
      <c r="F2449" s="21" t="inlineStr">
        <is>
          <t>English</t>
        </is>
      </c>
      <c r="G2449" s="21" t="inlineStr">
        <is>
          <t>R</t>
        </is>
      </c>
      <c r="H2449" s="22" t="n">
        <v>16101109</v>
      </c>
      <c r="I2449" s="22" t="n">
        <v>3000000</v>
      </c>
      <c r="J2449" s="21">
        <f>IF(OR(H2449="",H2449=25529689.5),"Yes","No")</f>
        <v/>
      </c>
      <c r="K2449" s="21">
        <f>IF(AND(D2449="USA",C2449&gt;=1980,J2449="No"),"Yes","No")</f>
        <v/>
      </c>
      <c r="L2449" s="26">
        <f>IF(J2449="Yes","",H2449-I2449)</f>
        <v/>
      </c>
      <c r="M2449" s="27">
        <f>IF(OR(J2449="Yes",I2449=0),"",H2449/I2449)</f>
        <v/>
      </c>
      <c r="N2449" s="21">
        <f>IF(J2449="Yes","",IF(H2449&gt;=I2449,1,0))</f>
        <v/>
      </c>
      <c r="O2449" s="21">
        <f>IF(I2449&lt;=5000000,"Under $5M",IF(I2449&lt;=20000000,"$5M-20M",IF(I2449&lt;=50000000,"$20M-50M",IF(I2449&lt;=100000000,"$50M-100M","$100M+"))))</f>
        <v/>
      </c>
      <c r="P2449" s="21">
        <f>IF(E2449&lt;=90,"90 or less",IF(E2449&lt;=105,"91-105",IF(E2449&lt;=120,"106-120",IF(E2449&lt;=140,"121-140","Over 140"))))</f>
        <v/>
      </c>
      <c r="Q2449" s="28">
        <f>INT(C2449/10)*10</f>
        <v/>
      </c>
    </row>
    <row r="2450">
      <c r="A2450" s="21" t="n">
        <v>2501</v>
      </c>
      <c r="B2450" s="21" t="inlineStr">
        <is>
          <t>Wal-Mart: The High Cost of Low Price</t>
        </is>
      </c>
      <c r="C2450" s="21" t="n">
        <v>2005</v>
      </c>
      <c r="D2450" s="21" t="inlineStr">
        <is>
          <t>USA</t>
        </is>
      </c>
      <c r="E2450" s="21" t="n">
        <v>20</v>
      </c>
      <c r="F2450" s="21" t="inlineStr">
        <is>
          <t>English</t>
        </is>
      </c>
      <c r="G2450" s="21" t="inlineStr">
        <is>
          <t>Not Rated</t>
        </is>
      </c>
      <c r="H2450" s="22" t="n">
        <v>25529689.5</v>
      </c>
      <c r="I2450" s="22" t="n">
        <v>1500000</v>
      </c>
      <c r="J2450" s="21">
        <f>IF(OR(H2450="",H2450=25529689.5),"Yes","No")</f>
        <v/>
      </c>
      <c r="K2450" s="21">
        <f>IF(AND(D2450="USA",C2450&gt;=1980,J2450="No"),"Yes","No")</f>
        <v/>
      </c>
      <c r="L2450" s="26">
        <f>IF(J2450="Yes","",H2450-I2450)</f>
        <v/>
      </c>
      <c r="M2450" s="27">
        <f>IF(OR(J2450="Yes",I2450=0),"",H2450/I2450)</f>
        <v/>
      </c>
      <c r="N2450" s="21">
        <f>IF(J2450="Yes","",IF(H2450&gt;=I2450,1,0))</f>
        <v/>
      </c>
      <c r="O2450" s="21">
        <f>IF(I2450&lt;=5000000,"Under $5M",IF(I2450&lt;=20000000,"$5M-20M",IF(I2450&lt;=50000000,"$20M-50M",IF(I2450&lt;=100000000,"$50M-100M","$100M+"))))</f>
        <v/>
      </c>
      <c r="P2450" s="21">
        <f>IF(E2450&lt;=90,"90 or less",IF(E2450&lt;=105,"91-105",IF(E2450&lt;=120,"106-120",IF(E2450&lt;=140,"121-140","Over 140"))))</f>
        <v/>
      </c>
      <c r="Q2450" s="28">
        <f>INT(C2450/10)*10</f>
        <v/>
      </c>
    </row>
    <row r="2451">
      <c r="A2451" s="21" t="n">
        <v>2502</v>
      </c>
      <c r="B2451" s="21" t="inlineStr">
        <is>
          <t>Walk the Line</t>
        </is>
      </c>
      <c r="C2451" s="21" t="n">
        <v>2005</v>
      </c>
      <c r="D2451" s="21" t="inlineStr">
        <is>
          <t>USA</t>
        </is>
      </c>
      <c r="E2451" s="21" t="n">
        <v>153</v>
      </c>
      <c r="F2451" s="21" t="inlineStr">
        <is>
          <t>English</t>
        </is>
      </c>
      <c r="G2451" s="21" t="inlineStr">
        <is>
          <t>PG-13</t>
        </is>
      </c>
      <c r="H2451" s="22" t="n">
        <v>119518352</v>
      </c>
      <c r="I2451" s="22" t="n">
        <v>28000000</v>
      </c>
      <c r="J2451" s="21">
        <f>IF(OR(H2451="",H2451=25529689.5),"Yes","No")</f>
        <v/>
      </c>
      <c r="K2451" s="21">
        <f>IF(AND(D2451="USA",C2451&gt;=1980,J2451="No"),"Yes","No")</f>
        <v/>
      </c>
      <c r="L2451" s="26">
        <f>IF(J2451="Yes","",H2451-I2451)</f>
        <v/>
      </c>
      <c r="M2451" s="27">
        <f>IF(OR(J2451="Yes",I2451=0),"",H2451/I2451)</f>
        <v/>
      </c>
      <c r="N2451" s="21">
        <f>IF(J2451="Yes","",IF(H2451&gt;=I2451,1,0))</f>
        <v/>
      </c>
      <c r="O2451" s="21">
        <f>IF(I2451&lt;=5000000,"Under $5M",IF(I2451&lt;=20000000,"$5M-20M",IF(I2451&lt;=50000000,"$20M-50M",IF(I2451&lt;=100000000,"$50M-100M","$100M+"))))</f>
        <v/>
      </c>
      <c r="P2451" s="21">
        <f>IF(E2451&lt;=90,"90 or less",IF(E2451&lt;=105,"91-105",IF(E2451&lt;=120,"106-120",IF(E2451&lt;=140,"121-140","Over 140"))))</f>
        <v/>
      </c>
      <c r="Q2451" s="28">
        <f>INT(C2451/10)*10</f>
        <v/>
      </c>
    </row>
    <row r="2452">
      <c r="A2452" s="21" t="n">
        <v>2503</v>
      </c>
      <c r="B2452" s="21" t="inlineStr">
        <is>
          <t>War of the Worlds</t>
        </is>
      </c>
      <c r="C2452" s="21" t="n">
        <v>2005</v>
      </c>
      <c r="D2452" s="21" t="inlineStr">
        <is>
          <t>USA</t>
        </is>
      </c>
      <c r="E2452" s="21" t="n">
        <v>116</v>
      </c>
      <c r="F2452" s="21" t="inlineStr">
        <is>
          <t>English</t>
        </is>
      </c>
      <c r="G2452" s="21" t="inlineStr">
        <is>
          <t>PG-13</t>
        </is>
      </c>
      <c r="H2452" s="22" t="n">
        <v>234277056</v>
      </c>
      <c r="I2452" s="22" t="n">
        <v>132000000</v>
      </c>
      <c r="J2452" s="21">
        <f>IF(OR(H2452="",H2452=25529689.5),"Yes","No")</f>
        <v/>
      </c>
      <c r="K2452" s="21">
        <f>IF(AND(D2452="USA",C2452&gt;=1980,J2452="No"),"Yes","No")</f>
        <v/>
      </c>
      <c r="L2452" s="26">
        <f>IF(J2452="Yes","",H2452-I2452)</f>
        <v/>
      </c>
      <c r="M2452" s="27">
        <f>IF(OR(J2452="Yes",I2452=0),"",H2452/I2452)</f>
        <v/>
      </c>
      <c r="N2452" s="21">
        <f>IF(J2452="Yes","",IF(H2452&gt;=I2452,1,0))</f>
        <v/>
      </c>
      <c r="O2452" s="21">
        <f>IF(I2452&lt;=5000000,"Under $5M",IF(I2452&lt;=20000000,"$5M-20M",IF(I2452&lt;=50000000,"$20M-50M",IF(I2452&lt;=100000000,"$50M-100M","$100M+"))))</f>
        <v/>
      </c>
      <c r="P2452" s="21">
        <f>IF(E2452&lt;=90,"90 or less",IF(E2452&lt;=105,"91-105",IF(E2452&lt;=120,"106-120",IF(E2452&lt;=140,"121-140","Over 140"))))</f>
        <v/>
      </c>
      <c r="Q2452" s="28">
        <f>INT(C2452/10)*10</f>
        <v/>
      </c>
    </row>
    <row r="2453">
      <c r="A2453" s="21" t="n">
        <v>2504</v>
      </c>
      <c r="B2453" s="21" t="inlineStr">
        <is>
          <t>Water</t>
        </is>
      </c>
      <c r="C2453" s="21" t="n">
        <v>2005</v>
      </c>
      <c r="D2453" s="21" t="inlineStr">
        <is>
          <t>Canada</t>
        </is>
      </c>
      <c r="E2453" s="21" t="n">
        <v>117</v>
      </c>
      <c r="F2453" s="21" t="inlineStr">
        <is>
          <t>Hindi</t>
        </is>
      </c>
      <c r="G2453" s="21" t="inlineStr">
        <is>
          <t>PG-13</t>
        </is>
      </c>
      <c r="H2453" s="22" t="n">
        <v>3222857</v>
      </c>
      <c r="I2453" s="22" t="n">
        <v>20000000</v>
      </c>
      <c r="J2453" s="21">
        <f>IF(OR(H2453="",H2453=25529689.5),"Yes","No")</f>
        <v/>
      </c>
      <c r="K2453" s="21">
        <f>IF(AND(D2453="USA",C2453&gt;=1980,J2453="No"),"Yes","No")</f>
        <v/>
      </c>
      <c r="L2453" s="26">
        <f>IF(J2453="Yes","",H2453-I2453)</f>
        <v/>
      </c>
      <c r="M2453" s="27">
        <f>IF(OR(J2453="Yes",I2453=0),"",H2453/I2453)</f>
        <v/>
      </c>
      <c r="N2453" s="21">
        <f>IF(J2453="Yes","",IF(H2453&gt;=I2453,1,0))</f>
        <v/>
      </c>
      <c r="O2453" s="21">
        <f>IF(I2453&lt;=5000000,"Under $5M",IF(I2453&lt;=20000000,"$5M-20M",IF(I2453&lt;=50000000,"$20M-50M",IF(I2453&lt;=100000000,"$50M-100M","$100M+"))))</f>
        <v/>
      </c>
      <c r="P2453" s="21">
        <f>IF(E2453&lt;=90,"90 or less",IF(E2453&lt;=105,"91-105",IF(E2453&lt;=120,"106-120",IF(E2453&lt;=140,"121-140","Over 140"))))</f>
        <v/>
      </c>
      <c r="Q2453" s="28">
        <f>INT(C2453/10)*10</f>
        <v/>
      </c>
    </row>
    <row r="2454">
      <c r="A2454" s="21" t="n">
        <v>2505</v>
      </c>
      <c r="B2454" s="21" t="inlineStr">
        <is>
          <t>Where the Truth Lies</t>
        </is>
      </c>
      <c r="C2454" s="21" t="n">
        <v>2005</v>
      </c>
      <c r="D2454" s="21" t="inlineStr">
        <is>
          <t>Canada</t>
        </is>
      </c>
      <c r="E2454" s="21" t="n">
        <v>107</v>
      </c>
      <c r="F2454" s="21" t="inlineStr">
        <is>
          <t>English</t>
        </is>
      </c>
      <c r="G2454" s="21" t="inlineStr">
        <is>
          <t>R</t>
        </is>
      </c>
      <c r="H2454" s="22" t="n">
        <v>871527</v>
      </c>
      <c r="I2454" s="22" t="n">
        <v>25000000</v>
      </c>
      <c r="J2454" s="21">
        <f>IF(OR(H2454="",H2454=25529689.5),"Yes","No")</f>
        <v/>
      </c>
      <c r="K2454" s="21">
        <f>IF(AND(D2454="USA",C2454&gt;=1980,J2454="No"),"Yes","No")</f>
        <v/>
      </c>
      <c r="L2454" s="26">
        <f>IF(J2454="Yes","",H2454-I2454)</f>
        <v/>
      </c>
      <c r="M2454" s="27">
        <f>IF(OR(J2454="Yes",I2454=0),"",H2454/I2454)</f>
        <v/>
      </c>
      <c r="N2454" s="21">
        <f>IF(J2454="Yes","",IF(H2454&gt;=I2454,1,0))</f>
        <v/>
      </c>
      <c r="O2454" s="21">
        <f>IF(I2454&lt;=5000000,"Under $5M",IF(I2454&lt;=20000000,"$5M-20M",IF(I2454&lt;=50000000,"$20M-50M",IF(I2454&lt;=100000000,"$50M-100M","$100M+"))))</f>
        <v/>
      </c>
      <c r="P2454" s="21">
        <f>IF(E2454&lt;=90,"90 or less",IF(E2454&lt;=105,"91-105",IF(E2454&lt;=120,"106-120",IF(E2454&lt;=140,"121-140","Over 140"))))</f>
        <v/>
      </c>
      <c r="Q2454" s="28">
        <f>INT(C2454/10)*10</f>
        <v/>
      </c>
    </row>
    <row r="2455">
      <c r="A2455" s="21" t="n">
        <v>2506</v>
      </c>
      <c r="B2455" s="21" t="inlineStr">
        <is>
          <t>White Noise</t>
        </is>
      </c>
      <c r="C2455" s="21" t="n">
        <v>2005</v>
      </c>
      <c r="D2455" s="21" t="inlineStr">
        <is>
          <t>UK</t>
        </is>
      </c>
      <c r="E2455" s="21" t="n">
        <v>101</v>
      </c>
      <c r="F2455" s="21" t="inlineStr">
        <is>
          <t>English</t>
        </is>
      </c>
      <c r="G2455" s="21" t="inlineStr">
        <is>
          <t>PG-13</t>
        </is>
      </c>
      <c r="H2455" s="22" t="n">
        <v>55865715</v>
      </c>
      <c r="I2455" s="22" t="n">
        <v>10000000</v>
      </c>
      <c r="J2455" s="21">
        <f>IF(OR(H2455="",H2455=25529689.5),"Yes","No")</f>
        <v/>
      </c>
      <c r="K2455" s="21">
        <f>IF(AND(D2455="USA",C2455&gt;=1980,J2455="No"),"Yes","No")</f>
        <v/>
      </c>
      <c r="L2455" s="26">
        <f>IF(J2455="Yes","",H2455-I2455)</f>
        <v/>
      </c>
      <c r="M2455" s="27">
        <f>IF(OR(J2455="Yes",I2455=0),"",H2455/I2455)</f>
        <v/>
      </c>
      <c r="N2455" s="21">
        <f>IF(J2455="Yes","",IF(H2455&gt;=I2455,1,0))</f>
        <v/>
      </c>
      <c r="O2455" s="21">
        <f>IF(I2455&lt;=5000000,"Under $5M",IF(I2455&lt;=20000000,"$5M-20M",IF(I2455&lt;=50000000,"$20M-50M",IF(I2455&lt;=100000000,"$50M-100M","$100M+"))))</f>
        <v/>
      </c>
      <c r="P2455" s="21">
        <f>IF(E2455&lt;=90,"90 or less",IF(E2455&lt;=105,"91-105",IF(E2455&lt;=120,"106-120",IF(E2455&lt;=140,"121-140","Over 140"))))</f>
        <v/>
      </c>
      <c r="Q2455" s="28">
        <f>INT(C2455/10)*10</f>
        <v/>
      </c>
    </row>
    <row r="2456">
      <c r="A2456" s="21" t="n">
        <v>2507</v>
      </c>
      <c r="B2456" s="21" t="inlineStr">
        <is>
          <t>Winter Passing</t>
        </is>
      </c>
      <c r="C2456" s="21" t="n">
        <v>2005</v>
      </c>
      <c r="D2456" s="21" t="inlineStr">
        <is>
          <t>USA</t>
        </is>
      </c>
      <c r="E2456" s="21" t="n">
        <v>98</v>
      </c>
      <c r="F2456" s="21" t="inlineStr">
        <is>
          <t>English</t>
        </is>
      </c>
      <c r="G2456" s="21" t="inlineStr">
        <is>
          <t>R</t>
        </is>
      </c>
      <c r="H2456" s="22" t="n">
        <v>101228</v>
      </c>
      <c r="I2456" s="22" t="n">
        <v>3500000</v>
      </c>
      <c r="J2456" s="21">
        <f>IF(OR(H2456="",H2456=25529689.5),"Yes","No")</f>
        <v/>
      </c>
      <c r="K2456" s="21">
        <f>IF(AND(D2456="USA",C2456&gt;=1980,J2456="No"),"Yes","No")</f>
        <v/>
      </c>
      <c r="L2456" s="26">
        <f>IF(J2456="Yes","",H2456-I2456)</f>
        <v/>
      </c>
      <c r="M2456" s="27">
        <f>IF(OR(J2456="Yes",I2456=0),"",H2456/I2456)</f>
        <v/>
      </c>
      <c r="N2456" s="21">
        <f>IF(J2456="Yes","",IF(H2456&gt;=I2456,1,0))</f>
        <v/>
      </c>
      <c r="O2456" s="21">
        <f>IF(I2456&lt;=5000000,"Under $5M",IF(I2456&lt;=20000000,"$5M-20M",IF(I2456&lt;=50000000,"$20M-50M",IF(I2456&lt;=100000000,"$50M-100M","$100M+"))))</f>
        <v/>
      </c>
      <c r="P2456" s="21">
        <f>IF(E2456&lt;=90,"90 or less",IF(E2456&lt;=105,"91-105",IF(E2456&lt;=120,"106-120",IF(E2456&lt;=140,"121-140","Over 140"))))</f>
        <v/>
      </c>
      <c r="Q2456" s="28">
        <f>INT(C2456/10)*10</f>
        <v/>
      </c>
    </row>
    <row r="2457">
      <c r="A2457" s="21" t="n">
        <v>2508</v>
      </c>
      <c r="B2457" s="21" t="inlineStr">
        <is>
          <t>xXx: State of the Union</t>
        </is>
      </c>
      <c r="C2457" s="21" t="n">
        <v>2005</v>
      </c>
      <c r="D2457" s="21" t="inlineStr">
        <is>
          <t>USA</t>
        </is>
      </c>
      <c r="E2457" s="21" t="n">
        <v>101</v>
      </c>
      <c r="F2457" s="21" t="inlineStr">
        <is>
          <t>English</t>
        </is>
      </c>
      <c r="G2457" s="21" t="inlineStr">
        <is>
          <t>PG-13</t>
        </is>
      </c>
      <c r="H2457" s="22" t="n">
        <v>26082914</v>
      </c>
      <c r="I2457" s="22" t="n">
        <v>87000000</v>
      </c>
      <c r="J2457" s="21">
        <f>IF(OR(H2457="",H2457=25529689.5),"Yes","No")</f>
        <v/>
      </c>
      <c r="K2457" s="21">
        <f>IF(AND(D2457="USA",C2457&gt;=1980,J2457="No"),"Yes","No")</f>
        <v/>
      </c>
      <c r="L2457" s="26">
        <f>IF(J2457="Yes","",H2457-I2457)</f>
        <v/>
      </c>
      <c r="M2457" s="27">
        <f>IF(OR(J2457="Yes",I2457=0),"",H2457/I2457)</f>
        <v/>
      </c>
      <c r="N2457" s="21">
        <f>IF(J2457="Yes","",IF(H2457&gt;=I2457,1,0))</f>
        <v/>
      </c>
      <c r="O2457" s="21">
        <f>IF(I2457&lt;=5000000,"Under $5M",IF(I2457&lt;=20000000,"$5M-20M",IF(I2457&lt;=50000000,"$20M-50M",IF(I2457&lt;=100000000,"$50M-100M","$100M+"))))</f>
        <v/>
      </c>
      <c r="P2457" s="21">
        <f>IF(E2457&lt;=90,"90 or less",IF(E2457&lt;=105,"91-105",IF(E2457&lt;=120,"106-120",IF(E2457&lt;=140,"121-140","Over 140"))))</f>
        <v/>
      </c>
      <c r="Q2457" s="28">
        <f>INT(C2457/10)*10</f>
        <v/>
      </c>
    </row>
    <row r="2458">
      <c r="A2458" s="21" t="n">
        <v>2509</v>
      </c>
      <c r="B2458" s="21" t="inlineStr">
        <is>
          <t>Zathura: A Space Adventure</t>
        </is>
      </c>
      <c r="C2458" s="21" t="n">
        <v>2005</v>
      </c>
      <c r="D2458" s="21" t="inlineStr">
        <is>
          <t>USA</t>
        </is>
      </c>
      <c r="E2458" s="21" t="n">
        <v>101</v>
      </c>
      <c r="F2458" s="21" t="inlineStr">
        <is>
          <t>English</t>
        </is>
      </c>
      <c r="G2458" s="21" t="inlineStr">
        <is>
          <t>PG</t>
        </is>
      </c>
      <c r="H2458" s="22" t="n">
        <v>28045540</v>
      </c>
      <c r="I2458" s="22" t="n">
        <v>65000000</v>
      </c>
      <c r="J2458" s="21">
        <f>IF(OR(H2458="",H2458=25529689.5),"Yes","No")</f>
        <v/>
      </c>
      <c r="K2458" s="21">
        <f>IF(AND(D2458="USA",C2458&gt;=1980,J2458="No"),"Yes","No")</f>
        <v/>
      </c>
      <c r="L2458" s="26">
        <f>IF(J2458="Yes","",H2458-I2458)</f>
        <v/>
      </c>
      <c r="M2458" s="27">
        <f>IF(OR(J2458="Yes",I2458=0),"",H2458/I2458)</f>
        <v/>
      </c>
      <c r="N2458" s="21">
        <f>IF(J2458="Yes","",IF(H2458&gt;=I2458,1,0))</f>
        <v/>
      </c>
      <c r="O2458" s="21">
        <f>IF(I2458&lt;=5000000,"Under $5M",IF(I2458&lt;=20000000,"$5M-20M",IF(I2458&lt;=50000000,"$20M-50M",IF(I2458&lt;=100000000,"$50M-100M","$100M+"))))</f>
        <v/>
      </c>
      <c r="P2458" s="21">
        <f>IF(E2458&lt;=90,"90 or less",IF(E2458&lt;=105,"91-105",IF(E2458&lt;=120,"106-120",IF(E2458&lt;=140,"121-140","Over 140"))))</f>
        <v/>
      </c>
      <c r="Q2458" s="28">
        <f>INT(C2458/10)*10</f>
        <v/>
      </c>
    </row>
    <row r="2459">
      <c r="A2459" s="21" t="n">
        <v>2510</v>
      </c>
      <c r="B2459" s="21" t="inlineStr">
        <is>
          <t>10th &amp; Wolf</t>
        </is>
      </c>
      <c r="C2459" s="21" t="n">
        <v>2006</v>
      </c>
      <c r="D2459" s="21" t="inlineStr">
        <is>
          <t>USA</t>
        </is>
      </c>
      <c r="E2459" s="21" t="n">
        <v>107</v>
      </c>
      <c r="F2459" s="21" t="inlineStr">
        <is>
          <t>English</t>
        </is>
      </c>
      <c r="G2459" s="21" t="inlineStr">
        <is>
          <t>R</t>
        </is>
      </c>
      <c r="H2459" s="22" t="n">
        <v>53481</v>
      </c>
      <c r="I2459" s="22" t="n">
        <v>8000000</v>
      </c>
      <c r="J2459" s="21">
        <f>IF(OR(H2459="",H2459=25529689.5),"Yes","No")</f>
        <v/>
      </c>
      <c r="K2459" s="21">
        <f>IF(AND(D2459="USA",C2459&gt;=1980,J2459="No"),"Yes","No")</f>
        <v/>
      </c>
      <c r="L2459" s="26">
        <f>IF(J2459="Yes","",H2459-I2459)</f>
        <v/>
      </c>
      <c r="M2459" s="27">
        <f>IF(OR(J2459="Yes",I2459=0),"",H2459/I2459)</f>
        <v/>
      </c>
      <c r="N2459" s="21">
        <f>IF(J2459="Yes","",IF(H2459&gt;=I2459,1,0))</f>
        <v/>
      </c>
      <c r="O2459" s="21">
        <f>IF(I2459&lt;=5000000,"Under $5M",IF(I2459&lt;=20000000,"$5M-20M",IF(I2459&lt;=50000000,"$20M-50M",IF(I2459&lt;=100000000,"$50M-100M","$100M+"))))</f>
        <v/>
      </c>
      <c r="P2459" s="21">
        <f>IF(E2459&lt;=90,"90 or less",IF(E2459&lt;=105,"91-105",IF(E2459&lt;=120,"106-120",IF(E2459&lt;=140,"121-140","Over 140"))))</f>
        <v/>
      </c>
      <c r="Q2459" s="28">
        <f>INT(C2459/10)*10</f>
        <v/>
      </c>
    </row>
    <row r="2460">
      <c r="A2460" s="21" t="n">
        <v>2511</v>
      </c>
      <c r="B2460" s="21" t="inlineStr">
        <is>
          <t>16 Blocks</t>
        </is>
      </c>
      <c r="C2460" s="21" t="n">
        <v>2006</v>
      </c>
      <c r="D2460" s="21" t="inlineStr">
        <is>
          <t>Germany</t>
        </is>
      </c>
      <c r="E2460" s="21" t="n">
        <v>102</v>
      </c>
      <c r="F2460" s="21" t="inlineStr">
        <is>
          <t>English</t>
        </is>
      </c>
      <c r="G2460" s="21" t="inlineStr">
        <is>
          <t>PG-13</t>
        </is>
      </c>
      <c r="H2460" s="22" t="n">
        <v>36883539</v>
      </c>
      <c r="I2460" s="22" t="n">
        <v>52000000</v>
      </c>
      <c r="J2460" s="21">
        <f>IF(OR(H2460="",H2460=25529689.5),"Yes","No")</f>
        <v/>
      </c>
      <c r="K2460" s="21">
        <f>IF(AND(D2460="USA",C2460&gt;=1980,J2460="No"),"Yes","No")</f>
        <v/>
      </c>
      <c r="L2460" s="26">
        <f>IF(J2460="Yes","",H2460-I2460)</f>
        <v/>
      </c>
      <c r="M2460" s="27">
        <f>IF(OR(J2460="Yes",I2460=0),"",H2460/I2460)</f>
        <v/>
      </c>
      <c r="N2460" s="21">
        <f>IF(J2460="Yes","",IF(H2460&gt;=I2460,1,0))</f>
        <v/>
      </c>
      <c r="O2460" s="21">
        <f>IF(I2460&lt;=5000000,"Under $5M",IF(I2460&lt;=20000000,"$5M-20M",IF(I2460&lt;=50000000,"$20M-50M",IF(I2460&lt;=100000000,"$50M-100M","$100M+"))))</f>
        <v/>
      </c>
      <c r="P2460" s="21">
        <f>IF(E2460&lt;=90,"90 or less",IF(E2460&lt;=105,"91-105",IF(E2460&lt;=120,"106-120",IF(E2460&lt;=140,"121-140","Over 140"))))</f>
        <v/>
      </c>
      <c r="Q2460" s="28">
        <f>INT(C2460/10)*10</f>
        <v/>
      </c>
    </row>
    <row r="2461">
      <c r="A2461" s="21" t="n">
        <v>2512</v>
      </c>
      <c r="B2461" s="21" t="inlineStr">
        <is>
          <t>300</t>
        </is>
      </c>
      <c r="C2461" s="21" t="n">
        <v>2006</v>
      </c>
      <c r="D2461" s="21" t="inlineStr">
        <is>
          <t>USA</t>
        </is>
      </c>
      <c r="E2461" s="21" t="n">
        <v>117</v>
      </c>
      <c r="F2461" s="21" t="inlineStr">
        <is>
          <t>English</t>
        </is>
      </c>
      <c r="G2461" s="21" t="inlineStr">
        <is>
          <t>R</t>
        </is>
      </c>
      <c r="H2461" s="22" t="n">
        <v>210592590</v>
      </c>
      <c r="I2461" s="22" t="n">
        <v>65000000</v>
      </c>
      <c r="J2461" s="21">
        <f>IF(OR(H2461="",H2461=25529689.5),"Yes","No")</f>
        <v/>
      </c>
      <c r="K2461" s="21">
        <f>IF(AND(D2461="USA",C2461&gt;=1980,J2461="No"),"Yes","No")</f>
        <v/>
      </c>
      <c r="L2461" s="26">
        <f>IF(J2461="Yes","",H2461-I2461)</f>
        <v/>
      </c>
      <c r="M2461" s="27">
        <f>IF(OR(J2461="Yes",I2461=0),"",H2461/I2461)</f>
        <v/>
      </c>
      <c r="N2461" s="21">
        <f>IF(J2461="Yes","",IF(H2461&gt;=I2461,1,0))</f>
        <v/>
      </c>
      <c r="O2461" s="21">
        <f>IF(I2461&lt;=5000000,"Under $5M",IF(I2461&lt;=20000000,"$5M-20M",IF(I2461&lt;=50000000,"$20M-50M",IF(I2461&lt;=100000000,"$50M-100M","$100M+"))))</f>
        <v/>
      </c>
      <c r="P2461" s="21">
        <f>IF(E2461&lt;=90,"90 or less",IF(E2461&lt;=105,"91-105",IF(E2461&lt;=120,"106-120",IF(E2461&lt;=140,"121-140","Over 140"))))</f>
        <v/>
      </c>
      <c r="Q2461" s="28">
        <f>INT(C2461/10)*10</f>
        <v/>
      </c>
    </row>
    <row r="2462">
      <c r="A2462" s="21" t="n">
        <v>2513</v>
      </c>
      <c r="B2462" s="21" t="inlineStr">
        <is>
          <t>A Good Year</t>
        </is>
      </c>
      <c r="C2462" s="21" t="n">
        <v>2006</v>
      </c>
      <c r="D2462" s="21" t="inlineStr">
        <is>
          <t>USA</t>
        </is>
      </c>
      <c r="E2462" s="21" t="n">
        <v>117</v>
      </c>
      <c r="F2462" s="21" t="inlineStr">
        <is>
          <t>English</t>
        </is>
      </c>
      <c r="G2462" s="21" t="inlineStr">
        <is>
          <t>PG-13</t>
        </is>
      </c>
      <c r="H2462" s="22" t="n">
        <v>7458269</v>
      </c>
      <c r="I2462" s="22" t="n">
        <v>35000000</v>
      </c>
      <c r="J2462" s="21">
        <f>IF(OR(H2462="",H2462=25529689.5),"Yes","No")</f>
        <v/>
      </c>
      <c r="K2462" s="21">
        <f>IF(AND(D2462="USA",C2462&gt;=1980,J2462="No"),"Yes","No")</f>
        <v/>
      </c>
      <c r="L2462" s="26">
        <f>IF(J2462="Yes","",H2462-I2462)</f>
        <v/>
      </c>
      <c r="M2462" s="27">
        <f>IF(OR(J2462="Yes",I2462=0),"",H2462/I2462)</f>
        <v/>
      </c>
      <c r="N2462" s="21">
        <f>IF(J2462="Yes","",IF(H2462&gt;=I2462,1,0))</f>
        <v/>
      </c>
      <c r="O2462" s="21">
        <f>IF(I2462&lt;=5000000,"Under $5M",IF(I2462&lt;=20000000,"$5M-20M",IF(I2462&lt;=50000000,"$20M-50M",IF(I2462&lt;=100000000,"$50M-100M","$100M+"))))</f>
        <v/>
      </c>
      <c r="P2462" s="21">
        <f>IF(E2462&lt;=90,"90 or less",IF(E2462&lt;=105,"91-105",IF(E2462&lt;=120,"106-120",IF(E2462&lt;=140,"121-140","Over 140"))))</f>
        <v/>
      </c>
      <c r="Q2462" s="28">
        <f>INT(C2462/10)*10</f>
        <v/>
      </c>
    </row>
    <row r="2463">
      <c r="A2463" s="21" t="n">
        <v>2514</v>
      </c>
      <c r="B2463" s="21" t="inlineStr">
        <is>
          <t>A Prairie Home Companion</t>
        </is>
      </c>
      <c r="C2463" s="21" t="n">
        <v>2006</v>
      </c>
      <c r="D2463" s="21" t="inlineStr">
        <is>
          <t>USA</t>
        </is>
      </c>
      <c r="E2463" s="21" t="n">
        <v>105</v>
      </c>
      <c r="F2463" s="21" t="inlineStr">
        <is>
          <t>English</t>
        </is>
      </c>
      <c r="G2463" s="21" t="inlineStr">
        <is>
          <t>PG-13</t>
        </is>
      </c>
      <c r="H2463" s="22" t="n">
        <v>20338609</v>
      </c>
      <c r="I2463" s="22" t="n">
        <v>10000000</v>
      </c>
      <c r="J2463" s="21">
        <f>IF(OR(H2463="",H2463=25529689.5),"Yes","No")</f>
        <v/>
      </c>
      <c r="K2463" s="21">
        <f>IF(AND(D2463="USA",C2463&gt;=1980,J2463="No"),"Yes","No")</f>
        <v/>
      </c>
      <c r="L2463" s="26">
        <f>IF(J2463="Yes","",H2463-I2463)</f>
        <v/>
      </c>
      <c r="M2463" s="27">
        <f>IF(OR(J2463="Yes",I2463=0),"",H2463/I2463)</f>
        <v/>
      </c>
      <c r="N2463" s="21">
        <f>IF(J2463="Yes","",IF(H2463&gt;=I2463,1,0))</f>
        <v/>
      </c>
      <c r="O2463" s="21">
        <f>IF(I2463&lt;=5000000,"Under $5M",IF(I2463&lt;=20000000,"$5M-20M",IF(I2463&lt;=50000000,"$20M-50M",IF(I2463&lt;=100000000,"$50M-100M","$100M+"))))</f>
        <v/>
      </c>
      <c r="P2463" s="21">
        <f>IF(E2463&lt;=90,"90 or less",IF(E2463&lt;=105,"91-105",IF(E2463&lt;=120,"106-120",IF(E2463&lt;=140,"121-140","Over 140"))))</f>
        <v/>
      </c>
      <c r="Q2463" s="28">
        <f>INT(C2463/10)*10</f>
        <v/>
      </c>
    </row>
    <row r="2464">
      <c r="A2464" s="21" t="n">
        <v>2515</v>
      </c>
      <c r="B2464" s="21" t="inlineStr">
        <is>
          <t>A Scanner Darkly</t>
        </is>
      </c>
      <c r="C2464" s="21" t="n">
        <v>2006</v>
      </c>
      <c r="D2464" s="21" t="inlineStr">
        <is>
          <t>USA</t>
        </is>
      </c>
      <c r="E2464" s="21" t="n">
        <v>100</v>
      </c>
      <c r="F2464" s="21" t="inlineStr">
        <is>
          <t>English</t>
        </is>
      </c>
      <c r="G2464" s="21" t="inlineStr">
        <is>
          <t>R</t>
        </is>
      </c>
      <c r="H2464" s="22" t="n">
        <v>5480996</v>
      </c>
      <c r="I2464" s="22" t="n">
        <v>8700000</v>
      </c>
      <c r="J2464" s="21">
        <f>IF(OR(H2464="",H2464=25529689.5),"Yes","No")</f>
        <v/>
      </c>
      <c r="K2464" s="21">
        <f>IF(AND(D2464="USA",C2464&gt;=1980,J2464="No"),"Yes","No")</f>
        <v/>
      </c>
      <c r="L2464" s="26">
        <f>IF(J2464="Yes","",H2464-I2464)</f>
        <v/>
      </c>
      <c r="M2464" s="27">
        <f>IF(OR(J2464="Yes",I2464=0),"",H2464/I2464)</f>
        <v/>
      </c>
      <c r="N2464" s="21">
        <f>IF(J2464="Yes","",IF(H2464&gt;=I2464,1,0))</f>
        <v/>
      </c>
      <c r="O2464" s="21">
        <f>IF(I2464&lt;=5000000,"Under $5M",IF(I2464&lt;=20000000,"$5M-20M",IF(I2464&lt;=50000000,"$20M-50M",IF(I2464&lt;=100000000,"$50M-100M","$100M+"))))</f>
        <v/>
      </c>
      <c r="P2464" s="21">
        <f>IF(E2464&lt;=90,"90 or less",IF(E2464&lt;=105,"91-105",IF(E2464&lt;=120,"106-120",IF(E2464&lt;=140,"121-140","Over 140"))))</f>
        <v/>
      </c>
      <c r="Q2464" s="28">
        <f>INT(C2464/10)*10</f>
        <v/>
      </c>
    </row>
    <row r="2465">
      <c r="A2465" s="21" t="n">
        <v>2516</v>
      </c>
      <c r="B2465" s="21" t="inlineStr">
        <is>
          <t>Akeelah and the Bee</t>
        </is>
      </c>
      <c r="C2465" s="21" t="n">
        <v>2006</v>
      </c>
      <c r="D2465" s="21" t="inlineStr">
        <is>
          <t>USA</t>
        </is>
      </c>
      <c r="E2465" s="21" t="n">
        <v>112</v>
      </c>
      <c r="F2465" s="21" t="inlineStr">
        <is>
          <t>English</t>
        </is>
      </c>
      <c r="G2465" s="21" t="inlineStr">
        <is>
          <t>PG</t>
        </is>
      </c>
      <c r="H2465" s="22" t="n">
        <v>18811135</v>
      </c>
      <c r="I2465" s="22" t="n">
        <v>20000000</v>
      </c>
      <c r="J2465" s="21">
        <f>IF(OR(H2465="",H2465=25529689.5),"Yes","No")</f>
        <v/>
      </c>
      <c r="K2465" s="21">
        <f>IF(AND(D2465="USA",C2465&gt;=1980,J2465="No"),"Yes","No")</f>
        <v/>
      </c>
      <c r="L2465" s="26">
        <f>IF(J2465="Yes","",H2465-I2465)</f>
        <v/>
      </c>
      <c r="M2465" s="27">
        <f>IF(OR(J2465="Yes",I2465=0),"",H2465/I2465)</f>
        <v/>
      </c>
      <c r="N2465" s="21">
        <f>IF(J2465="Yes","",IF(H2465&gt;=I2465,1,0))</f>
        <v/>
      </c>
      <c r="O2465" s="21">
        <f>IF(I2465&lt;=5000000,"Under $5M",IF(I2465&lt;=20000000,"$5M-20M",IF(I2465&lt;=50000000,"$20M-50M",IF(I2465&lt;=100000000,"$50M-100M","$100M+"))))</f>
        <v/>
      </c>
      <c r="P2465" s="21">
        <f>IF(E2465&lt;=90,"90 or less",IF(E2465&lt;=105,"91-105",IF(E2465&lt;=120,"106-120",IF(E2465&lt;=140,"121-140","Over 140"))))</f>
        <v/>
      </c>
      <c r="Q2465" s="28">
        <f>INT(C2465/10)*10</f>
        <v/>
      </c>
    </row>
    <row r="2466">
      <c r="A2466" s="21" t="n">
        <v>2517</v>
      </c>
      <c r="B2466" s="21" t="inlineStr">
        <is>
          <t>Alex Rider: Operation Stormbreaker</t>
        </is>
      </c>
      <c r="C2466" s="21" t="n">
        <v>2006</v>
      </c>
      <c r="D2466" s="21" t="inlineStr">
        <is>
          <t>Germany</t>
        </is>
      </c>
      <c r="E2466" s="21" t="n">
        <v>93</v>
      </c>
      <c r="F2466" s="21" t="inlineStr">
        <is>
          <t>English</t>
        </is>
      </c>
      <c r="G2466" s="21" t="inlineStr">
        <is>
          <t>PG</t>
        </is>
      </c>
      <c r="H2466" s="22" t="n">
        <v>652526</v>
      </c>
      <c r="I2466" s="22" t="n">
        <v>40000000</v>
      </c>
      <c r="J2466" s="21">
        <f>IF(OR(H2466="",H2466=25529689.5),"Yes","No")</f>
        <v/>
      </c>
      <c r="K2466" s="21">
        <f>IF(AND(D2466="USA",C2466&gt;=1980,J2466="No"),"Yes","No")</f>
        <v/>
      </c>
      <c r="L2466" s="26">
        <f>IF(J2466="Yes","",H2466-I2466)</f>
        <v/>
      </c>
      <c r="M2466" s="27">
        <f>IF(OR(J2466="Yes",I2466=0),"",H2466/I2466)</f>
        <v/>
      </c>
      <c r="N2466" s="21">
        <f>IF(J2466="Yes","",IF(H2466&gt;=I2466,1,0))</f>
        <v/>
      </c>
      <c r="O2466" s="21">
        <f>IF(I2466&lt;=5000000,"Under $5M",IF(I2466&lt;=20000000,"$5M-20M",IF(I2466&lt;=50000000,"$20M-50M",IF(I2466&lt;=100000000,"$50M-100M","$100M+"))))</f>
        <v/>
      </c>
      <c r="P2466" s="21">
        <f>IF(E2466&lt;=90,"90 or less",IF(E2466&lt;=105,"91-105",IF(E2466&lt;=120,"106-120",IF(E2466&lt;=140,"121-140","Over 140"))))</f>
        <v/>
      </c>
      <c r="Q2466" s="28">
        <f>INT(C2466/10)*10</f>
        <v/>
      </c>
    </row>
    <row r="2467">
      <c r="A2467" s="21" t="n">
        <v>2518</v>
      </c>
      <c r="B2467" s="21" t="inlineStr">
        <is>
          <t>All the Boys Love Mandy Lane</t>
        </is>
      </c>
      <c r="C2467" s="21" t="n">
        <v>2006</v>
      </c>
      <c r="D2467" s="21" t="inlineStr">
        <is>
          <t>USA</t>
        </is>
      </c>
      <c r="E2467" s="21" t="n">
        <v>90</v>
      </c>
      <c r="F2467" s="21" t="inlineStr">
        <is>
          <t>English</t>
        </is>
      </c>
      <c r="G2467" s="21" t="inlineStr">
        <is>
          <t>R</t>
        </is>
      </c>
      <c r="H2467" s="22" t="n">
        <v>25529689.5</v>
      </c>
      <c r="I2467" s="22" t="n">
        <v>750000</v>
      </c>
      <c r="J2467" s="21">
        <f>IF(OR(H2467="",H2467=25529689.5),"Yes","No")</f>
        <v/>
      </c>
      <c r="K2467" s="21">
        <f>IF(AND(D2467="USA",C2467&gt;=1980,J2467="No"),"Yes","No")</f>
        <v/>
      </c>
      <c r="L2467" s="26">
        <f>IF(J2467="Yes","",H2467-I2467)</f>
        <v/>
      </c>
      <c r="M2467" s="27">
        <f>IF(OR(J2467="Yes",I2467=0),"",H2467/I2467)</f>
        <v/>
      </c>
      <c r="N2467" s="21">
        <f>IF(J2467="Yes","",IF(H2467&gt;=I2467,1,0))</f>
        <v/>
      </c>
      <c r="O2467" s="21">
        <f>IF(I2467&lt;=5000000,"Under $5M",IF(I2467&lt;=20000000,"$5M-20M",IF(I2467&lt;=50000000,"$20M-50M",IF(I2467&lt;=100000000,"$50M-100M","$100M+"))))</f>
        <v/>
      </c>
      <c r="P2467" s="21">
        <f>IF(E2467&lt;=90,"90 or less",IF(E2467&lt;=105,"91-105",IF(E2467&lt;=120,"106-120",IF(E2467&lt;=140,"121-140","Over 140"))))</f>
        <v/>
      </c>
      <c r="Q2467" s="28">
        <f>INT(C2467/10)*10</f>
        <v/>
      </c>
    </row>
    <row r="2468">
      <c r="A2468" s="21" t="n">
        <v>2519</v>
      </c>
      <c r="B2468" s="21" t="inlineStr">
        <is>
          <t>All the King's Men</t>
        </is>
      </c>
      <c r="C2468" s="21" t="n">
        <v>2006</v>
      </c>
      <c r="D2468" s="21" t="inlineStr">
        <is>
          <t>Germany</t>
        </is>
      </c>
      <c r="E2468" s="21" t="n">
        <v>128</v>
      </c>
      <c r="F2468" s="21" t="inlineStr">
        <is>
          <t>English</t>
        </is>
      </c>
      <c r="G2468" s="21" t="inlineStr">
        <is>
          <t>PG-13</t>
        </is>
      </c>
      <c r="H2468" s="22" t="n">
        <v>7221458</v>
      </c>
      <c r="I2468" s="22" t="n">
        <v>55000000</v>
      </c>
      <c r="J2468" s="21">
        <f>IF(OR(H2468="",H2468=25529689.5),"Yes","No")</f>
        <v/>
      </c>
      <c r="K2468" s="21">
        <f>IF(AND(D2468="USA",C2468&gt;=1980,J2468="No"),"Yes","No")</f>
        <v/>
      </c>
      <c r="L2468" s="26">
        <f>IF(J2468="Yes","",H2468-I2468)</f>
        <v/>
      </c>
      <c r="M2468" s="27">
        <f>IF(OR(J2468="Yes",I2468=0),"",H2468/I2468)</f>
        <v/>
      </c>
      <c r="N2468" s="21">
        <f>IF(J2468="Yes","",IF(H2468&gt;=I2468,1,0))</f>
        <v/>
      </c>
      <c r="O2468" s="21">
        <f>IF(I2468&lt;=5000000,"Under $5M",IF(I2468&lt;=20000000,"$5M-20M",IF(I2468&lt;=50000000,"$20M-50M",IF(I2468&lt;=100000000,"$50M-100M","$100M+"))))</f>
        <v/>
      </c>
      <c r="P2468" s="21">
        <f>IF(E2468&lt;=90,"90 or less",IF(E2468&lt;=105,"91-105",IF(E2468&lt;=120,"106-120",IF(E2468&lt;=140,"121-140","Over 140"))))</f>
        <v/>
      </c>
      <c r="Q2468" s="28">
        <f>INT(C2468/10)*10</f>
        <v/>
      </c>
    </row>
    <row r="2469">
      <c r="A2469" s="21" t="n">
        <v>2520</v>
      </c>
      <c r="B2469" s="21" t="inlineStr">
        <is>
          <t>Alone with Her</t>
        </is>
      </c>
      <c r="C2469" s="21" t="n">
        <v>2006</v>
      </c>
      <c r="D2469" s="21" t="inlineStr">
        <is>
          <t>USA</t>
        </is>
      </c>
      <c r="E2469" s="21" t="n">
        <v>78</v>
      </c>
      <c r="F2469" s="21" t="inlineStr">
        <is>
          <t>English</t>
        </is>
      </c>
      <c r="G2469" s="21" t="inlineStr">
        <is>
          <t>Not Rated</t>
        </is>
      </c>
      <c r="H2469" s="22" t="n">
        <v>10018</v>
      </c>
      <c r="I2469" s="22" t="n">
        <v>1000000</v>
      </c>
      <c r="J2469" s="21">
        <f>IF(OR(H2469="",H2469=25529689.5),"Yes","No")</f>
        <v/>
      </c>
      <c r="K2469" s="21">
        <f>IF(AND(D2469="USA",C2469&gt;=1980,J2469="No"),"Yes","No")</f>
        <v/>
      </c>
      <c r="L2469" s="26">
        <f>IF(J2469="Yes","",H2469-I2469)</f>
        <v/>
      </c>
      <c r="M2469" s="27">
        <f>IF(OR(J2469="Yes",I2469=0),"",H2469/I2469)</f>
        <v/>
      </c>
      <c r="N2469" s="21">
        <f>IF(J2469="Yes","",IF(H2469&gt;=I2469,1,0))</f>
        <v/>
      </c>
      <c r="O2469" s="21">
        <f>IF(I2469&lt;=5000000,"Under $5M",IF(I2469&lt;=20000000,"$5M-20M",IF(I2469&lt;=50000000,"$20M-50M",IF(I2469&lt;=100000000,"$50M-100M","$100M+"))))</f>
        <v/>
      </c>
      <c r="P2469" s="21">
        <f>IF(E2469&lt;=90,"90 or less",IF(E2469&lt;=105,"91-105",IF(E2469&lt;=120,"106-120",IF(E2469&lt;=140,"121-140","Over 140"))))</f>
        <v/>
      </c>
      <c r="Q2469" s="28">
        <f>INT(C2469/10)*10</f>
        <v/>
      </c>
    </row>
    <row r="2470">
      <c r="A2470" s="21" t="n">
        <v>2521</v>
      </c>
      <c r="B2470" s="21" t="inlineStr">
        <is>
          <t>American Dreamz</t>
        </is>
      </c>
      <c r="C2470" s="21" t="n">
        <v>2006</v>
      </c>
      <c r="D2470" s="21" t="inlineStr">
        <is>
          <t>USA</t>
        </is>
      </c>
      <c r="E2470" s="21" t="n">
        <v>107</v>
      </c>
      <c r="F2470" s="21" t="inlineStr">
        <is>
          <t>English</t>
        </is>
      </c>
      <c r="G2470" s="21" t="inlineStr">
        <is>
          <t>PG-13</t>
        </is>
      </c>
      <c r="H2470" s="22" t="n">
        <v>7156725</v>
      </c>
      <c r="I2470" s="22" t="n">
        <v>19000000</v>
      </c>
      <c r="J2470" s="21">
        <f>IF(OR(H2470="",H2470=25529689.5),"Yes","No")</f>
        <v/>
      </c>
      <c r="K2470" s="21">
        <f>IF(AND(D2470="USA",C2470&gt;=1980,J2470="No"),"Yes","No")</f>
        <v/>
      </c>
      <c r="L2470" s="26">
        <f>IF(J2470="Yes","",H2470-I2470)</f>
        <v/>
      </c>
      <c r="M2470" s="27">
        <f>IF(OR(J2470="Yes",I2470=0),"",H2470/I2470)</f>
        <v/>
      </c>
      <c r="N2470" s="21">
        <f>IF(J2470="Yes","",IF(H2470&gt;=I2470,1,0))</f>
        <v/>
      </c>
      <c r="O2470" s="21">
        <f>IF(I2470&lt;=5000000,"Under $5M",IF(I2470&lt;=20000000,"$5M-20M",IF(I2470&lt;=50000000,"$20M-50M",IF(I2470&lt;=100000000,"$50M-100M","$100M+"))))</f>
        <v/>
      </c>
      <c r="P2470" s="21">
        <f>IF(E2470&lt;=90,"90 or less",IF(E2470&lt;=105,"91-105",IF(E2470&lt;=120,"106-120",IF(E2470&lt;=140,"121-140","Over 140"))))</f>
        <v/>
      </c>
      <c r="Q2470" s="28">
        <f>INT(C2470/10)*10</f>
        <v/>
      </c>
    </row>
    <row r="2471">
      <c r="A2471" s="21" t="n">
        <v>2522</v>
      </c>
      <c r="B2471" s="21" t="inlineStr">
        <is>
          <t>An Inconvenient Truth</t>
        </is>
      </c>
      <c r="C2471" s="21" t="n">
        <v>2006</v>
      </c>
      <c r="D2471" s="21" t="inlineStr">
        <is>
          <t>USA</t>
        </is>
      </c>
      <c r="E2471" s="21" t="n">
        <v>96</v>
      </c>
      <c r="F2471" s="21" t="inlineStr">
        <is>
          <t>English</t>
        </is>
      </c>
      <c r="G2471" s="21" t="inlineStr">
        <is>
          <t>PG</t>
        </is>
      </c>
      <c r="H2471" s="22" t="n">
        <v>23808111</v>
      </c>
      <c r="I2471" s="22" t="n">
        <v>20000000</v>
      </c>
      <c r="J2471" s="21">
        <f>IF(OR(H2471="",H2471=25529689.5),"Yes","No")</f>
        <v/>
      </c>
      <c r="K2471" s="21">
        <f>IF(AND(D2471="USA",C2471&gt;=1980,J2471="No"),"Yes","No")</f>
        <v/>
      </c>
      <c r="L2471" s="26">
        <f>IF(J2471="Yes","",H2471-I2471)</f>
        <v/>
      </c>
      <c r="M2471" s="27">
        <f>IF(OR(J2471="Yes",I2471=0),"",H2471/I2471)</f>
        <v/>
      </c>
      <c r="N2471" s="21">
        <f>IF(J2471="Yes","",IF(H2471&gt;=I2471,1,0))</f>
        <v/>
      </c>
      <c r="O2471" s="21">
        <f>IF(I2471&lt;=5000000,"Under $5M",IF(I2471&lt;=20000000,"$5M-20M",IF(I2471&lt;=50000000,"$20M-50M",IF(I2471&lt;=100000000,"$50M-100M","$100M+"))))</f>
        <v/>
      </c>
      <c r="P2471" s="21">
        <f>IF(E2471&lt;=90,"90 or less",IF(E2471&lt;=105,"91-105",IF(E2471&lt;=120,"106-120",IF(E2471&lt;=140,"121-140","Over 140"))))</f>
        <v/>
      </c>
      <c r="Q2471" s="28">
        <f>INT(C2471/10)*10</f>
        <v/>
      </c>
    </row>
    <row r="2472">
      <c r="A2472" s="21" t="n">
        <v>2523</v>
      </c>
      <c r="B2472" s="21" t="inlineStr">
        <is>
          <t>Apocalypto</t>
        </is>
      </c>
      <c r="C2472" s="21" t="n">
        <v>2006</v>
      </c>
      <c r="D2472" s="21" t="inlineStr">
        <is>
          <t>USA</t>
        </is>
      </c>
      <c r="E2472" s="21" t="n">
        <v>139</v>
      </c>
      <c r="F2472" s="21" t="inlineStr">
        <is>
          <t>Maya</t>
        </is>
      </c>
      <c r="G2472" s="21" t="inlineStr">
        <is>
          <t>R</t>
        </is>
      </c>
      <c r="H2472" s="22" t="n">
        <v>50859889</v>
      </c>
      <c r="I2472" s="22" t="n">
        <v>40000000</v>
      </c>
      <c r="J2472" s="21">
        <f>IF(OR(H2472="",H2472=25529689.5),"Yes","No")</f>
        <v/>
      </c>
      <c r="K2472" s="21">
        <f>IF(AND(D2472="USA",C2472&gt;=1980,J2472="No"),"Yes","No")</f>
        <v/>
      </c>
      <c r="L2472" s="26">
        <f>IF(J2472="Yes","",H2472-I2472)</f>
        <v/>
      </c>
      <c r="M2472" s="27">
        <f>IF(OR(J2472="Yes",I2472=0),"",H2472/I2472)</f>
        <v/>
      </c>
      <c r="N2472" s="21">
        <f>IF(J2472="Yes","",IF(H2472&gt;=I2472,1,0))</f>
        <v/>
      </c>
      <c r="O2472" s="21">
        <f>IF(I2472&lt;=5000000,"Under $5M",IF(I2472&lt;=20000000,"$5M-20M",IF(I2472&lt;=50000000,"$20M-50M",IF(I2472&lt;=100000000,"$50M-100M","$100M+"))))</f>
        <v/>
      </c>
      <c r="P2472" s="21">
        <f>IF(E2472&lt;=90,"90 or less",IF(E2472&lt;=105,"91-105",IF(E2472&lt;=120,"106-120",IF(E2472&lt;=140,"121-140","Over 140"))))</f>
        <v/>
      </c>
      <c r="Q2472" s="28">
        <f>INT(C2472/10)*10</f>
        <v/>
      </c>
    </row>
    <row r="2473">
      <c r="A2473" s="21" t="n">
        <v>2524</v>
      </c>
      <c r="B2473" s="21" t="inlineStr">
        <is>
          <t>Aquamarine</t>
        </is>
      </c>
      <c r="C2473" s="21" t="n">
        <v>2006</v>
      </c>
      <c r="D2473" s="21" t="inlineStr">
        <is>
          <t>USA</t>
        </is>
      </c>
      <c r="E2473" s="21" t="n">
        <v>104</v>
      </c>
      <c r="F2473" s="21" t="inlineStr">
        <is>
          <t>English</t>
        </is>
      </c>
      <c r="G2473" s="21" t="inlineStr">
        <is>
          <t>PG</t>
        </is>
      </c>
      <c r="H2473" s="22" t="n">
        <v>18595716</v>
      </c>
      <c r="I2473" s="22" t="n">
        <v>12000000</v>
      </c>
      <c r="J2473" s="21">
        <f>IF(OR(H2473="",H2473=25529689.5),"Yes","No")</f>
        <v/>
      </c>
      <c r="K2473" s="21">
        <f>IF(AND(D2473="USA",C2473&gt;=1980,J2473="No"),"Yes","No")</f>
        <v/>
      </c>
      <c r="L2473" s="26">
        <f>IF(J2473="Yes","",H2473-I2473)</f>
        <v/>
      </c>
      <c r="M2473" s="27">
        <f>IF(OR(J2473="Yes",I2473=0),"",H2473/I2473)</f>
        <v/>
      </c>
      <c r="N2473" s="21">
        <f>IF(J2473="Yes","",IF(H2473&gt;=I2473,1,0))</f>
        <v/>
      </c>
      <c r="O2473" s="21">
        <f>IF(I2473&lt;=5000000,"Under $5M",IF(I2473&lt;=20000000,"$5M-20M",IF(I2473&lt;=50000000,"$20M-50M",IF(I2473&lt;=100000000,"$50M-100M","$100M+"))))</f>
        <v/>
      </c>
      <c r="P2473" s="21">
        <f>IF(E2473&lt;=90,"90 or less",IF(E2473&lt;=105,"91-105",IF(E2473&lt;=120,"106-120",IF(E2473&lt;=140,"121-140","Over 140"))))</f>
        <v/>
      </c>
      <c r="Q2473" s="28">
        <f>INT(C2473/10)*10</f>
        <v/>
      </c>
    </row>
    <row r="2474">
      <c r="A2474" s="21" t="n">
        <v>2525</v>
      </c>
      <c r="B2474" s="21" t="inlineStr">
        <is>
          <t>Arthur and the Invisibles</t>
        </is>
      </c>
      <c r="C2474" s="21" t="n">
        <v>2006</v>
      </c>
      <c r="D2474" s="21" t="inlineStr">
        <is>
          <t>France</t>
        </is>
      </c>
      <c r="E2474" s="21" t="n">
        <v>94</v>
      </c>
      <c r="F2474" s="21" t="inlineStr">
        <is>
          <t>English</t>
        </is>
      </c>
      <c r="G2474" s="21" t="inlineStr">
        <is>
          <t>PG</t>
        </is>
      </c>
      <c r="H2474" s="22" t="n">
        <v>15131330</v>
      </c>
      <c r="I2474" s="22" t="n">
        <v>86000000</v>
      </c>
      <c r="J2474" s="21">
        <f>IF(OR(H2474="",H2474=25529689.5),"Yes","No")</f>
        <v/>
      </c>
      <c r="K2474" s="21">
        <f>IF(AND(D2474="USA",C2474&gt;=1980,J2474="No"),"Yes","No")</f>
        <v/>
      </c>
      <c r="L2474" s="26">
        <f>IF(J2474="Yes","",H2474-I2474)</f>
        <v/>
      </c>
      <c r="M2474" s="27">
        <f>IF(OR(J2474="Yes",I2474=0),"",H2474/I2474)</f>
        <v/>
      </c>
      <c r="N2474" s="21">
        <f>IF(J2474="Yes","",IF(H2474&gt;=I2474,1,0))</f>
        <v/>
      </c>
      <c r="O2474" s="21">
        <f>IF(I2474&lt;=5000000,"Under $5M",IF(I2474&lt;=20000000,"$5M-20M",IF(I2474&lt;=50000000,"$20M-50M",IF(I2474&lt;=100000000,"$50M-100M","$100M+"))))</f>
        <v/>
      </c>
      <c r="P2474" s="21">
        <f>IF(E2474&lt;=90,"90 or less",IF(E2474&lt;=105,"91-105",IF(E2474&lt;=120,"106-120",IF(E2474&lt;=140,"121-140","Over 140"))))</f>
        <v/>
      </c>
      <c r="Q2474" s="28">
        <f>INT(C2474/10)*10</f>
        <v/>
      </c>
    </row>
    <row r="2475">
      <c r="A2475" s="21" t="n">
        <v>2526</v>
      </c>
      <c r="B2475" s="21" t="inlineStr">
        <is>
          <t>ATL</t>
        </is>
      </c>
      <c r="C2475" s="21" t="n">
        <v>2006</v>
      </c>
      <c r="D2475" s="21" t="inlineStr">
        <is>
          <t>USA</t>
        </is>
      </c>
      <c r="E2475" s="21" t="n">
        <v>105</v>
      </c>
      <c r="F2475" s="21" t="inlineStr">
        <is>
          <t>English</t>
        </is>
      </c>
      <c r="G2475" s="21" t="inlineStr">
        <is>
          <t>PG-13</t>
        </is>
      </c>
      <c r="H2475" s="22" t="n">
        <v>21160089</v>
      </c>
      <c r="I2475" s="22" t="n">
        <v>20000000</v>
      </c>
      <c r="J2475" s="21">
        <f>IF(OR(H2475="",H2475=25529689.5),"Yes","No")</f>
        <v/>
      </c>
      <c r="K2475" s="21">
        <f>IF(AND(D2475="USA",C2475&gt;=1980,J2475="No"),"Yes","No")</f>
        <v/>
      </c>
      <c r="L2475" s="26">
        <f>IF(J2475="Yes","",H2475-I2475)</f>
        <v/>
      </c>
      <c r="M2475" s="27">
        <f>IF(OR(J2475="Yes",I2475=0),"",H2475/I2475)</f>
        <v/>
      </c>
      <c r="N2475" s="21">
        <f>IF(J2475="Yes","",IF(H2475&gt;=I2475,1,0))</f>
        <v/>
      </c>
      <c r="O2475" s="21">
        <f>IF(I2475&lt;=5000000,"Under $5M",IF(I2475&lt;=20000000,"$5M-20M",IF(I2475&lt;=50000000,"$20M-50M",IF(I2475&lt;=100000000,"$50M-100M","$100M+"))))</f>
        <v/>
      </c>
      <c r="P2475" s="21">
        <f>IF(E2475&lt;=90,"90 or less",IF(E2475&lt;=105,"91-105",IF(E2475&lt;=120,"106-120",IF(E2475&lt;=140,"121-140","Over 140"))))</f>
        <v/>
      </c>
      <c r="Q2475" s="28">
        <f>INT(C2475/10)*10</f>
        <v/>
      </c>
    </row>
    <row r="2476">
      <c r="A2476" s="21" t="n">
        <v>2527</v>
      </c>
      <c r="B2476" s="21" t="inlineStr">
        <is>
          <t>Babel</t>
        </is>
      </c>
      <c r="C2476" s="21" t="n">
        <v>2006</v>
      </c>
      <c r="D2476" s="21" t="inlineStr">
        <is>
          <t>France</t>
        </is>
      </c>
      <c r="E2476" s="21" t="n">
        <v>143</v>
      </c>
      <c r="F2476" s="21" t="inlineStr">
        <is>
          <t>English</t>
        </is>
      </c>
      <c r="G2476" s="21" t="inlineStr">
        <is>
          <t>R</t>
        </is>
      </c>
      <c r="H2476" s="22" t="n">
        <v>34300771</v>
      </c>
      <c r="I2476" s="22" t="n">
        <v>25000000</v>
      </c>
      <c r="J2476" s="21">
        <f>IF(OR(H2476="",H2476=25529689.5),"Yes","No")</f>
        <v/>
      </c>
      <c r="K2476" s="21">
        <f>IF(AND(D2476="USA",C2476&gt;=1980,J2476="No"),"Yes","No")</f>
        <v/>
      </c>
      <c r="L2476" s="26">
        <f>IF(J2476="Yes","",H2476-I2476)</f>
        <v/>
      </c>
      <c r="M2476" s="27">
        <f>IF(OR(J2476="Yes",I2476=0),"",H2476/I2476)</f>
        <v/>
      </c>
      <c r="N2476" s="21">
        <f>IF(J2476="Yes","",IF(H2476&gt;=I2476,1,0))</f>
        <v/>
      </c>
      <c r="O2476" s="21">
        <f>IF(I2476&lt;=5000000,"Under $5M",IF(I2476&lt;=20000000,"$5M-20M",IF(I2476&lt;=50000000,"$20M-50M",IF(I2476&lt;=100000000,"$50M-100M","$100M+"))))</f>
        <v/>
      </c>
      <c r="P2476" s="21">
        <f>IF(E2476&lt;=90,"90 or less",IF(E2476&lt;=105,"91-105",IF(E2476&lt;=120,"106-120",IF(E2476&lt;=140,"121-140","Over 140"))))</f>
        <v/>
      </c>
      <c r="Q2476" s="28">
        <f>INT(C2476/10)*10</f>
        <v/>
      </c>
    </row>
    <row r="2477">
      <c r="A2477" s="21" t="n">
        <v>2528</v>
      </c>
      <c r="B2477" s="21" t="inlineStr">
        <is>
          <t>Bandidas</t>
        </is>
      </c>
      <c r="C2477" s="21" t="n">
        <v>2006</v>
      </c>
      <c r="D2477" s="21" t="inlineStr">
        <is>
          <t>France</t>
        </is>
      </c>
      <c r="E2477" s="21" t="n">
        <v>93</v>
      </c>
      <c r="F2477" s="21" t="inlineStr">
        <is>
          <t>English</t>
        </is>
      </c>
      <c r="G2477" s="21" t="inlineStr">
        <is>
          <t>PG-13</t>
        </is>
      </c>
      <c r="H2477" s="22" t="n">
        <v>25529689.5</v>
      </c>
      <c r="I2477" s="22" t="n">
        <v>32000000</v>
      </c>
      <c r="J2477" s="21">
        <f>IF(OR(H2477="",H2477=25529689.5),"Yes","No")</f>
        <v/>
      </c>
      <c r="K2477" s="21">
        <f>IF(AND(D2477="USA",C2477&gt;=1980,J2477="No"),"Yes","No")</f>
        <v/>
      </c>
      <c r="L2477" s="26">
        <f>IF(J2477="Yes","",H2477-I2477)</f>
        <v/>
      </c>
      <c r="M2477" s="27">
        <f>IF(OR(J2477="Yes",I2477=0),"",H2477/I2477)</f>
        <v/>
      </c>
      <c r="N2477" s="21">
        <f>IF(J2477="Yes","",IF(H2477&gt;=I2477,1,0))</f>
        <v/>
      </c>
      <c r="O2477" s="21">
        <f>IF(I2477&lt;=5000000,"Under $5M",IF(I2477&lt;=20000000,"$5M-20M",IF(I2477&lt;=50000000,"$20M-50M",IF(I2477&lt;=100000000,"$50M-100M","$100M+"))))</f>
        <v/>
      </c>
      <c r="P2477" s="21">
        <f>IF(E2477&lt;=90,"90 or less",IF(E2477&lt;=105,"91-105",IF(E2477&lt;=120,"106-120",IF(E2477&lt;=140,"121-140","Over 140"))))</f>
        <v/>
      </c>
      <c r="Q2477" s="28">
        <f>INT(C2477/10)*10</f>
        <v/>
      </c>
    </row>
    <row r="2478">
      <c r="A2478" s="21" t="n">
        <v>2529</v>
      </c>
      <c r="B2478" s="21" t="inlineStr">
        <is>
          <t>Barnyard</t>
        </is>
      </c>
      <c r="C2478" s="21" t="n">
        <v>2006</v>
      </c>
      <c r="D2478" s="21" t="inlineStr">
        <is>
          <t>Germany</t>
        </is>
      </c>
      <c r="E2478" s="21" t="n">
        <v>90</v>
      </c>
      <c r="F2478" s="21" t="inlineStr">
        <is>
          <t>English</t>
        </is>
      </c>
      <c r="G2478" s="21" t="inlineStr">
        <is>
          <t>PG</t>
        </is>
      </c>
      <c r="H2478" s="22" t="n">
        <v>72601713</v>
      </c>
      <c r="I2478" s="22" t="n">
        <v>51000000</v>
      </c>
      <c r="J2478" s="21">
        <f>IF(OR(H2478="",H2478=25529689.5),"Yes","No")</f>
        <v/>
      </c>
      <c r="K2478" s="21">
        <f>IF(AND(D2478="USA",C2478&gt;=1980,J2478="No"),"Yes","No")</f>
        <v/>
      </c>
      <c r="L2478" s="26">
        <f>IF(J2478="Yes","",H2478-I2478)</f>
        <v/>
      </c>
      <c r="M2478" s="27">
        <f>IF(OR(J2478="Yes",I2478=0),"",H2478/I2478)</f>
        <v/>
      </c>
      <c r="N2478" s="21">
        <f>IF(J2478="Yes","",IF(H2478&gt;=I2478,1,0))</f>
        <v/>
      </c>
      <c r="O2478" s="21">
        <f>IF(I2478&lt;=5000000,"Under $5M",IF(I2478&lt;=20000000,"$5M-20M",IF(I2478&lt;=50000000,"$20M-50M",IF(I2478&lt;=100000000,"$50M-100M","$100M+"))))</f>
        <v/>
      </c>
      <c r="P2478" s="21">
        <f>IF(E2478&lt;=90,"90 or less",IF(E2478&lt;=105,"91-105",IF(E2478&lt;=120,"106-120",IF(E2478&lt;=140,"121-140","Over 140"))))</f>
        <v/>
      </c>
      <c r="Q2478" s="28">
        <f>INT(C2478/10)*10</f>
        <v/>
      </c>
    </row>
    <row r="2479">
      <c r="A2479" s="21" t="n">
        <v>2530</v>
      </c>
      <c r="B2479" s="21" t="inlineStr">
        <is>
          <t>Basic Instinct 2</t>
        </is>
      </c>
      <c r="C2479" s="21" t="n">
        <v>2006</v>
      </c>
      <c r="D2479" s="21" t="inlineStr">
        <is>
          <t>UK</t>
        </is>
      </c>
      <c r="E2479" s="21" t="n">
        <v>116</v>
      </c>
      <c r="F2479" s="21" t="inlineStr">
        <is>
          <t>English</t>
        </is>
      </c>
      <c r="G2479" s="21" t="inlineStr">
        <is>
          <t>R</t>
        </is>
      </c>
      <c r="H2479" s="22" t="n">
        <v>5851188</v>
      </c>
      <c r="I2479" s="22" t="n">
        <v>70000000</v>
      </c>
      <c r="J2479" s="21">
        <f>IF(OR(H2479="",H2479=25529689.5),"Yes","No")</f>
        <v/>
      </c>
      <c r="K2479" s="21">
        <f>IF(AND(D2479="USA",C2479&gt;=1980,J2479="No"),"Yes","No")</f>
        <v/>
      </c>
      <c r="L2479" s="26">
        <f>IF(J2479="Yes","",H2479-I2479)</f>
        <v/>
      </c>
      <c r="M2479" s="27">
        <f>IF(OR(J2479="Yes",I2479=0),"",H2479/I2479)</f>
        <v/>
      </c>
      <c r="N2479" s="21">
        <f>IF(J2479="Yes","",IF(H2479&gt;=I2479,1,0))</f>
        <v/>
      </c>
      <c r="O2479" s="21">
        <f>IF(I2479&lt;=5000000,"Under $5M",IF(I2479&lt;=20000000,"$5M-20M",IF(I2479&lt;=50000000,"$20M-50M",IF(I2479&lt;=100000000,"$50M-100M","$100M+"))))</f>
        <v/>
      </c>
      <c r="P2479" s="21">
        <f>IF(E2479&lt;=90,"90 or less",IF(E2479&lt;=105,"91-105",IF(E2479&lt;=120,"106-120",IF(E2479&lt;=140,"121-140","Over 140"))))</f>
        <v/>
      </c>
      <c r="Q2479" s="28">
        <f>INT(C2479/10)*10</f>
        <v/>
      </c>
    </row>
    <row r="2480">
      <c r="A2480" s="21" t="n">
        <v>2531</v>
      </c>
      <c r="B2480" s="21" t="inlineStr">
        <is>
          <t>Beer League</t>
        </is>
      </c>
      <c r="C2480" s="21" t="n">
        <v>2006</v>
      </c>
      <c r="D2480" s="21" t="inlineStr">
        <is>
          <t>USA</t>
        </is>
      </c>
      <c r="E2480" s="21" t="n">
        <v>86</v>
      </c>
      <c r="F2480" s="21" t="inlineStr">
        <is>
          <t>English</t>
        </is>
      </c>
      <c r="G2480" s="21" t="inlineStr">
        <is>
          <t>R</t>
        </is>
      </c>
      <c r="H2480" s="22" t="n">
        <v>475000</v>
      </c>
      <c r="I2480" s="22" t="n">
        <v>2800000</v>
      </c>
      <c r="J2480" s="21">
        <f>IF(OR(H2480="",H2480=25529689.5),"Yes","No")</f>
        <v/>
      </c>
      <c r="K2480" s="21">
        <f>IF(AND(D2480="USA",C2480&gt;=1980,J2480="No"),"Yes","No")</f>
        <v/>
      </c>
      <c r="L2480" s="26">
        <f>IF(J2480="Yes","",H2480-I2480)</f>
        <v/>
      </c>
      <c r="M2480" s="27">
        <f>IF(OR(J2480="Yes",I2480=0),"",H2480/I2480)</f>
        <v/>
      </c>
      <c r="N2480" s="21">
        <f>IF(J2480="Yes","",IF(H2480&gt;=I2480,1,0))</f>
        <v/>
      </c>
      <c r="O2480" s="21">
        <f>IF(I2480&lt;=5000000,"Under $5M",IF(I2480&lt;=20000000,"$5M-20M",IF(I2480&lt;=50000000,"$20M-50M",IF(I2480&lt;=100000000,"$50M-100M","$100M+"))))</f>
        <v/>
      </c>
      <c r="P2480" s="21">
        <f>IF(E2480&lt;=90,"90 or less",IF(E2480&lt;=105,"91-105",IF(E2480&lt;=120,"106-120",IF(E2480&lt;=140,"121-140","Over 140"))))</f>
        <v/>
      </c>
      <c r="Q2480" s="28">
        <f>INT(C2480/10)*10</f>
        <v/>
      </c>
    </row>
    <row r="2481">
      <c r="A2481" s="21" t="n">
        <v>2532</v>
      </c>
      <c r="B2481" s="21" t="inlineStr">
        <is>
          <t>Beerfest</t>
        </is>
      </c>
      <c r="C2481" s="21" t="n">
        <v>2006</v>
      </c>
      <c r="D2481" s="21" t="inlineStr">
        <is>
          <t>USA</t>
        </is>
      </c>
      <c r="E2481" s="21" t="n">
        <v>110</v>
      </c>
      <c r="F2481" s="21" t="inlineStr">
        <is>
          <t>English</t>
        </is>
      </c>
      <c r="G2481" s="21" t="inlineStr">
        <is>
          <t>R</t>
        </is>
      </c>
      <c r="H2481" s="22" t="n">
        <v>19179969</v>
      </c>
      <c r="I2481" s="22" t="n">
        <v>17500000</v>
      </c>
      <c r="J2481" s="21">
        <f>IF(OR(H2481="",H2481=25529689.5),"Yes","No")</f>
        <v/>
      </c>
      <c r="K2481" s="21">
        <f>IF(AND(D2481="USA",C2481&gt;=1980,J2481="No"),"Yes","No")</f>
        <v/>
      </c>
      <c r="L2481" s="26">
        <f>IF(J2481="Yes","",H2481-I2481)</f>
        <v/>
      </c>
      <c r="M2481" s="27">
        <f>IF(OR(J2481="Yes",I2481=0),"",H2481/I2481)</f>
        <v/>
      </c>
      <c r="N2481" s="21">
        <f>IF(J2481="Yes","",IF(H2481&gt;=I2481,1,0))</f>
        <v/>
      </c>
      <c r="O2481" s="21">
        <f>IF(I2481&lt;=5000000,"Under $5M",IF(I2481&lt;=20000000,"$5M-20M",IF(I2481&lt;=50000000,"$20M-50M",IF(I2481&lt;=100000000,"$50M-100M","$100M+"))))</f>
        <v/>
      </c>
      <c r="P2481" s="21">
        <f>IF(E2481&lt;=90,"90 or less",IF(E2481&lt;=105,"91-105",IF(E2481&lt;=120,"106-120",IF(E2481&lt;=140,"121-140","Over 140"))))</f>
        <v/>
      </c>
      <c r="Q2481" s="28">
        <f>INT(C2481/10)*10</f>
        <v/>
      </c>
    </row>
    <row r="2482">
      <c r="A2482" s="21" t="n">
        <v>2533</v>
      </c>
      <c r="B2482" s="21" t="inlineStr">
        <is>
          <t>Bella</t>
        </is>
      </c>
      <c r="C2482" s="21" t="n">
        <v>2006</v>
      </c>
      <c r="D2482" s="21" t="inlineStr">
        <is>
          <t>USA</t>
        </is>
      </c>
      <c r="E2482" s="21" t="n">
        <v>91</v>
      </c>
      <c r="F2482" s="21" t="inlineStr">
        <is>
          <t>English</t>
        </is>
      </c>
      <c r="G2482" s="21" t="inlineStr">
        <is>
          <t>PG-13</t>
        </is>
      </c>
      <c r="H2482" s="22" t="n">
        <v>8108247</v>
      </c>
      <c r="I2482" s="22" t="n">
        <v>3300000</v>
      </c>
      <c r="J2482" s="21">
        <f>IF(OR(H2482="",H2482=25529689.5),"Yes","No")</f>
        <v/>
      </c>
      <c r="K2482" s="21">
        <f>IF(AND(D2482="USA",C2482&gt;=1980,J2482="No"),"Yes","No")</f>
        <v/>
      </c>
      <c r="L2482" s="26">
        <f>IF(J2482="Yes","",H2482-I2482)</f>
        <v/>
      </c>
      <c r="M2482" s="27">
        <f>IF(OR(J2482="Yes",I2482=0),"",H2482/I2482)</f>
        <v/>
      </c>
      <c r="N2482" s="21">
        <f>IF(J2482="Yes","",IF(H2482&gt;=I2482,1,0))</f>
        <v/>
      </c>
      <c r="O2482" s="21">
        <f>IF(I2482&lt;=5000000,"Under $5M",IF(I2482&lt;=20000000,"$5M-20M",IF(I2482&lt;=50000000,"$20M-50M",IF(I2482&lt;=100000000,"$50M-100M","$100M+"))))</f>
        <v/>
      </c>
      <c r="P2482" s="21">
        <f>IF(E2482&lt;=90,"90 or less",IF(E2482&lt;=105,"91-105",IF(E2482&lt;=120,"106-120",IF(E2482&lt;=140,"121-140","Over 140"))))</f>
        <v/>
      </c>
      <c r="Q2482" s="28">
        <f>INT(C2482/10)*10</f>
        <v/>
      </c>
    </row>
    <row r="2483">
      <c r="A2483" s="21" t="n">
        <v>2534</v>
      </c>
      <c r="B2483" s="21" t="inlineStr">
        <is>
          <t>Big Momma's House 2</t>
        </is>
      </c>
      <c r="C2483" s="21" t="n">
        <v>2006</v>
      </c>
      <c r="D2483" s="21" t="inlineStr">
        <is>
          <t>USA</t>
        </is>
      </c>
      <c r="E2483" s="21" t="n">
        <v>99</v>
      </c>
      <c r="F2483" s="21" t="inlineStr">
        <is>
          <t>English</t>
        </is>
      </c>
      <c r="G2483" s="21" t="inlineStr">
        <is>
          <t>PG-13</t>
        </is>
      </c>
      <c r="H2483" s="22" t="n">
        <v>70163652</v>
      </c>
      <c r="I2483" s="22" t="n">
        <v>40000000</v>
      </c>
      <c r="J2483" s="21">
        <f>IF(OR(H2483="",H2483=25529689.5),"Yes","No")</f>
        <v/>
      </c>
      <c r="K2483" s="21">
        <f>IF(AND(D2483="USA",C2483&gt;=1980,J2483="No"),"Yes","No")</f>
        <v/>
      </c>
      <c r="L2483" s="26">
        <f>IF(J2483="Yes","",H2483-I2483)</f>
        <v/>
      </c>
      <c r="M2483" s="27">
        <f>IF(OR(J2483="Yes",I2483=0),"",H2483/I2483)</f>
        <v/>
      </c>
      <c r="N2483" s="21">
        <f>IF(J2483="Yes","",IF(H2483&gt;=I2483,1,0))</f>
        <v/>
      </c>
      <c r="O2483" s="21">
        <f>IF(I2483&lt;=5000000,"Under $5M",IF(I2483&lt;=20000000,"$5M-20M",IF(I2483&lt;=50000000,"$20M-50M",IF(I2483&lt;=100000000,"$50M-100M","$100M+"))))</f>
        <v/>
      </c>
      <c r="P2483" s="21">
        <f>IF(E2483&lt;=90,"90 or less",IF(E2483&lt;=105,"91-105",IF(E2483&lt;=120,"106-120",IF(E2483&lt;=140,"121-140","Over 140"))))</f>
        <v/>
      </c>
      <c r="Q2483" s="28">
        <f>INT(C2483/10)*10</f>
        <v/>
      </c>
    </row>
    <row r="2484">
      <c r="A2484" s="21" t="n">
        <v>2535</v>
      </c>
      <c r="B2484" s="21" t="inlineStr">
        <is>
          <t>Black Book</t>
        </is>
      </c>
      <c r="C2484" s="21" t="n">
        <v>2006</v>
      </c>
      <c r="D2484" s="21" t="inlineStr">
        <is>
          <t>Netherlands</t>
        </is>
      </c>
      <c r="E2484" s="21" t="n">
        <v>145</v>
      </c>
      <c r="F2484" s="21" t="inlineStr">
        <is>
          <t>Dutch</t>
        </is>
      </c>
      <c r="G2484" s="21" t="inlineStr">
        <is>
          <t>R</t>
        </is>
      </c>
      <c r="H2484" s="22" t="n">
        <v>4398392</v>
      </c>
      <c r="I2484" s="22" t="n">
        <v>21000000</v>
      </c>
      <c r="J2484" s="21">
        <f>IF(OR(H2484="",H2484=25529689.5),"Yes","No")</f>
        <v/>
      </c>
      <c r="K2484" s="21">
        <f>IF(AND(D2484="USA",C2484&gt;=1980,J2484="No"),"Yes","No")</f>
        <v/>
      </c>
      <c r="L2484" s="26">
        <f>IF(J2484="Yes","",H2484-I2484)</f>
        <v/>
      </c>
      <c r="M2484" s="27">
        <f>IF(OR(J2484="Yes",I2484=0),"",H2484/I2484)</f>
        <v/>
      </c>
      <c r="N2484" s="21">
        <f>IF(J2484="Yes","",IF(H2484&gt;=I2484,1,0))</f>
        <v/>
      </c>
      <c r="O2484" s="21">
        <f>IF(I2484&lt;=5000000,"Under $5M",IF(I2484&lt;=20000000,"$5M-20M",IF(I2484&lt;=50000000,"$20M-50M",IF(I2484&lt;=100000000,"$50M-100M","$100M+"))))</f>
        <v/>
      </c>
      <c r="P2484" s="21">
        <f>IF(E2484&lt;=90,"90 or less",IF(E2484&lt;=105,"91-105",IF(E2484&lt;=120,"106-120",IF(E2484&lt;=140,"121-140","Over 140"))))</f>
        <v/>
      </c>
      <c r="Q2484" s="28">
        <f>INT(C2484/10)*10</f>
        <v/>
      </c>
    </row>
    <row r="2485">
      <c r="A2485" s="21" t="n">
        <v>2536</v>
      </c>
      <c r="B2485" s="21" t="inlineStr">
        <is>
          <t>Black Christmas</t>
        </is>
      </c>
      <c r="C2485" s="21" t="n">
        <v>2006</v>
      </c>
      <c r="D2485" s="21" t="inlineStr">
        <is>
          <t>USA</t>
        </is>
      </c>
      <c r="E2485" s="21" t="n">
        <v>94</v>
      </c>
      <c r="F2485" s="21" t="inlineStr">
        <is>
          <t>English</t>
        </is>
      </c>
      <c r="G2485" s="21" t="inlineStr">
        <is>
          <t>R</t>
        </is>
      </c>
      <c r="H2485" s="22" t="n">
        <v>16235293</v>
      </c>
      <c r="I2485" s="22" t="n">
        <v>9000000</v>
      </c>
      <c r="J2485" s="21">
        <f>IF(OR(H2485="",H2485=25529689.5),"Yes","No")</f>
        <v/>
      </c>
      <c r="K2485" s="21">
        <f>IF(AND(D2485="USA",C2485&gt;=1980,J2485="No"),"Yes","No")</f>
        <v/>
      </c>
      <c r="L2485" s="26">
        <f>IF(J2485="Yes","",H2485-I2485)</f>
        <v/>
      </c>
      <c r="M2485" s="27">
        <f>IF(OR(J2485="Yes",I2485=0),"",H2485/I2485)</f>
        <v/>
      </c>
      <c r="N2485" s="21">
        <f>IF(J2485="Yes","",IF(H2485&gt;=I2485,1,0))</f>
        <v/>
      </c>
      <c r="O2485" s="21">
        <f>IF(I2485&lt;=5000000,"Under $5M",IF(I2485&lt;=20000000,"$5M-20M",IF(I2485&lt;=50000000,"$20M-50M",IF(I2485&lt;=100000000,"$50M-100M","$100M+"))))</f>
        <v/>
      </c>
      <c r="P2485" s="21">
        <f>IF(E2485&lt;=90,"90 or less",IF(E2485&lt;=105,"91-105",IF(E2485&lt;=120,"106-120",IF(E2485&lt;=140,"121-140","Over 140"))))</f>
        <v/>
      </c>
      <c r="Q2485" s="28">
        <f>INT(C2485/10)*10</f>
        <v/>
      </c>
    </row>
    <row r="2486">
      <c r="A2486" s="21" t="n">
        <v>2537</v>
      </c>
      <c r="B2486" s="21" t="inlineStr">
        <is>
          <t>Black Snake Moan</t>
        </is>
      </c>
      <c r="C2486" s="21" t="n">
        <v>2006</v>
      </c>
      <c r="D2486" s="21" t="inlineStr">
        <is>
          <t>USA</t>
        </is>
      </c>
      <c r="E2486" s="21" t="n">
        <v>116</v>
      </c>
      <c r="F2486" s="21" t="inlineStr">
        <is>
          <t>English</t>
        </is>
      </c>
      <c r="G2486" s="21" t="inlineStr">
        <is>
          <t>R</t>
        </is>
      </c>
      <c r="H2486" s="22" t="n">
        <v>9396487</v>
      </c>
      <c r="I2486" s="22" t="n">
        <v>15000000</v>
      </c>
      <c r="J2486" s="21">
        <f>IF(OR(H2486="",H2486=25529689.5),"Yes","No")</f>
        <v/>
      </c>
      <c r="K2486" s="21">
        <f>IF(AND(D2486="USA",C2486&gt;=1980,J2486="No"),"Yes","No")</f>
        <v/>
      </c>
      <c r="L2486" s="26">
        <f>IF(J2486="Yes","",H2486-I2486)</f>
        <v/>
      </c>
      <c r="M2486" s="27">
        <f>IF(OR(J2486="Yes",I2486=0),"",H2486/I2486)</f>
        <v/>
      </c>
      <c r="N2486" s="21">
        <f>IF(J2486="Yes","",IF(H2486&gt;=I2486,1,0))</f>
        <v/>
      </c>
      <c r="O2486" s="21">
        <f>IF(I2486&lt;=5000000,"Under $5M",IF(I2486&lt;=20000000,"$5M-20M",IF(I2486&lt;=50000000,"$20M-50M",IF(I2486&lt;=100000000,"$50M-100M","$100M+"))))</f>
        <v/>
      </c>
      <c r="P2486" s="21">
        <f>IF(E2486&lt;=90,"90 or less",IF(E2486&lt;=105,"91-105",IF(E2486&lt;=120,"106-120",IF(E2486&lt;=140,"121-140","Over 140"))))</f>
        <v/>
      </c>
      <c r="Q2486" s="28">
        <f>INT(C2486/10)*10</f>
        <v/>
      </c>
    </row>
    <row r="2487">
      <c r="A2487" s="21" t="n">
        <v>2538</v>
      </c>
      <c r="B2487" s="21" t="inlineStr">
        <is>
          <t>Blood Diamond</t>
        </is>
      </c>
      <c r="C2487" s="21" t="n">
        <v>2006</v>
      </c>
      <c r="D2487" s="21" t="inlineStr">
        <is>
          <t>Germany</t>
        </is>
      </c>
      <c r="E2487" s="21" t="n">
        <v>143</v>
      </c>
      <c r="F2487" s="21" t="inlineStr">
        <is>
          <t>English</t>
        </is>
      </c>
      <c r="G2487" s="21" t="inlineStr">
        <is>
          <t>R</t>
        </is>
      </c>
      <c r="H2487" s="22" t="n">
        <v>57366262</v>
      </c>
      <c r="I2487" s="22" t="n">
        <v>100000000</v>
      </c>
      <c r="J2487" s="21">
        <f>IF(OR(H2487="",H2487=25529689.5),"Yes","No")</f>
        <v/>
      </c>
      <c r="K2487" s="21">
        <f>IF(AND(D2487="USA",C2487&gt;=1980,J2487="No"),"Yes","No")</f>
        <v/>
      </c>
      <c r="L2487" s="26">
        <f>IF(J2487="Yes","",H2487-I2487)</f>
        <v/>
      </c>
      <c r="M2487" s="27">
        <f>IF(OR(J2487="Yes",I2487=0),"",H2487/I2487)</f>
        <v/>
      </c>
      <c r="N2487" s="21">
        <f>IF(J2487="Yes","",IF(H2487&gt;=I2487,1,0))</f>
        <v/>
      </c>
      <c r="O2487" s="21">
        <f>IF(I2487&lt;=5000000,"Under $5M",IF(I2487&lt;=20000000,"$5M-20M",IF(I2487&lt;=50000000,"$20M-50M",IF(I2487&lt;=100000000,"$50M-100M","$100M+"))))</f>
        <v/>
      </c>
      <c r="P2487" s="21">
        <f>IF(E2487&lt;=90,"90 or less",IF(E2487&lt;=105,"91-105",IF(E2487&lt;=120,"106-120",IF(E2487&lt;=140,"121-140","Over 140"))))</f>
        <v/>
      </c>
      <c r="Q2487" s="28">
        <f>INT(C2487/10)*10</f>
        <v/>
      </c>
    </row>
    <row r="2488">
      <c r="A2488" s="21" t="n">
        <v>2539</v>
      </c>
      <c r="B2488" s="21" t="inlineStr">
        <is>
          <t>Bobby</t>
        </is>
      </c>
      <c r="C2488" s="21" t="n">
        <v>2006</v>
      </c>
      <c r="D2488" s="21" t="inlineStr">
        <is>
          <t>USA</t>
        </is>
      </c>
      <c r="E2488" s="21" t="n">
        <v>112</v>
      </c>
      <c r="F2488" s="21" t="inlineStr">
        <is>
          <t>English</t>
        </is>
      </c>
      <c r="G2488" s="21" t="inlineStr">
        <is>
          <t>R</t>
        </is>
      </c>
      <c r="H2488" s="22" t="n">
        <v>11204499</v>
      </c>
      <c r="I2488" s="22" t="n">
        <v>14000000</v>
      </c>
      <c r="J2488" s="21">
        <f>IF(OR(H2488="",H2488=25529689.5),"Yes","No")</f>
        <v/>
      </c>
      <c r="K2488" s="21">
        <f>IF(AND(D2488="USA",C2488&gt;=1980,J2488="No"),"Yes","No")</f>
        <v/>
      </c>
      <c r="L2488" s="26">
        <f>IF(J2488="Yes","",H2488-I2488)</f>
        <v/>
      </c>
      <c r="M2488" s="27">
        <f>IF(OR(J2488="Yes",I2488=0),"",H2488/I2488)</f>
        <v/>
      </c>
      <c r="N2488" s="21">
        <f>IF(J2488="Yes","",IF(H2488&gt;=I2488,1,0))</f>
        <v/>
      </c>
      <c r="O2488" s="21">
        <f>IF(I2488&lt;=5000000,"Under $5M",IF(I2488&lt;=20000000,"$5M-20M",IF(I2488&lt;=50000000,"$20M-50M",IF(I2488&lt;=100000000,"$50M-100M","$100M+"))))</f>
        <v/>
      </c>
      <c r="P2488" s="21">
        <f>IF(E2488&lt;=90,"90 or less",IF(E2488&lt;=105,"91-105",IF(E2488&lt;=120,"106-120",IF(E2488&lt;=140,"121-140","Over 140"))))</f>
        <v/>
      </c>
      <c r="Q2488" s="28">
        <f>INT(C2488/10)*10</f>
        <v/>
      </c>
    </row>
    <row r="2489">
      <c r="A2489" s="21" t="n">
        <v>2540</v>
      </c>
      <c r="B2489" s="21" t="inlineStr">
        <is>
          <t>Bon Cop Bad Cop</t>
        </is>
      </c>
      <c r="C2489" s="21" t="n">
        <v>2006</v>
      </c>
      <c r="D2489" s="21" t="inlineStr">
        <is>
          <t>Canada</t>
        </is>
      </c>
      <c r="E2489" s="21" t="n">
        <v>116</v>
      </c>
      <c r="F2489" s="21" t="inlineStr">
        <is>
          <t>English</t>
        </is>
      </c>
      <c r="G2489" s="21" t="inlineStr">
        <is>
          <t>R</t>
        </is>
      </c>
      <c r="H2489" s="22" t="n">
        <v>25529689.5</v>
      </c>
      <c r="I2489" s="22" t="n">
        <v>8000000</v>
      </c>
      <c r="J2489" s="21">
        <f>IF(OR(H2489="",H2489=25529689.5),"Yes","No")</f>
        <v/>
      </c>
      <c r="K2489" s="21">
        <f>IF(AND(D2489="USA",C2489&gt;=1980,J2489="No"),"Yes","No")</f>
        <v/>
      </c>
      <c r="L2489" s="26">
        <f>IF(J2489="Yes","",H2489-I2489)</f>
        <v/>
      </c>
      <c r="M2489" s="27">
        <f>IF(OR(J2489="Yes",I2489=0),"",H2489/I2489)</f>
        <v/>
      </c>
      <c r="N2489" s="21">
        <f>IF(J2489="Yes","",IF(H2489&gt;=I2489,1,0))</f>
        <v/>
      </c>
      <c r="O2489" s="21">
        <f>IF(I2489&lt;=5000000,"Under $5M",IF(I2489&lt;=20000000,"$5M-20M",IF(I2489&lt;=50000000,"$20M-50M",IF(I2489&lt;=100000000,"$50M-100M","$100M+"))))</f>
        <v/>
      </c>
      <c r="P2489" s="21">
        <f>IF(E2489&lt;=90,"90 or less",IF(E2489&lt;=105,"91-105",IF(E2489&lt;=120,"106-120",IF(E2489&lt;=140,"121-140","Over 140"))))</f>
        <v/>
      </c>
      <c r="Q2489" s="28">
        <f>INT(C2489/10)*10</f>
        <v/>
      </c>
    </row>
    <row r="2490">
      <c r="A2490" s="21" t="n">
        <v>2541</v>
      </c>
      <c r="B2490" s="21" t="inlineStr">
        <is>
          <t>Borat: Cultural Learnings of America for Make Benefit Glorious Nation of Kazakhstan</t>
        </is>
      </c>
      <c r="C2490" s="21" t="n">
        <v>2006</v>
      </c>
      <c r="D2490" s="21" t="inlineStr">
        <is>
          <t>USA</t>
        </is>
      </c>
      <c r="E2490" s="21" t="n">
        <v>82</v>
      </c>
      <c r="F2490" s="21" t="inlineStr">
        <is>
          <t>English</t>
        </is>
      </c>
      <c r="G2490" s="21" t="inlineStr">
        <is>
          <t>R</t>
        </is>
      </c>
      <c r="H2490" s="22" t="n">
        <v>128505958</v>
      </c>
      <c r="I2490" s="22" t="n">
        <v>18000000</v>
      </c>
      <c r="J2490" s="21">
        <f>IF(OR(H2490="",H2490=25529689.5),"Yes","No")</f>
        <v/>
      </c>
      <c r="K2490" s="21">
        <f>IF(AND(D2490="USA",C2490&gt;=1980,J2490="No"),"Yes","No")</f>
        <v/>
      </c>
      <c r="L2490" s="26">
        <f>IF(J2490="Yes","",H2490-I2490)</f>
        <v/>
      </c>
      <c r="M2490" s="27">
        <f>IF(OR(J2490="Yes",I2490=0),"",H2490/I2490)</f>
        <v/>
      </c>
      <c r="N2490" s="21">
        <f>IF(J2490="Yes","",IF(H2490&gt;=I2490,1,0))</f>
        <v/>
      </c>
      <c r="O2490" s="21">
        <f>IF(I2490&lt;=5000000,"Under $5M",IF(I2490&lt;=20000000,"$5M-20M",IF(I2490&lt;=50000000,"$20M-50M",IF(I2490&lt;=100000000,"$50M-100M","$100M+"))))</f>
        <v/>
      </c>
      <c r="P2490" s="21">
        <f>IF(E2490&lt;=90,"90 or less",IF(E2490&lt;=105,"91-105",IF(E2490&lt;=120,"106-120",IF(E2490&lt;=140,"121-140","Over 140"))))</f>
        <v/>
      </c>
      <c r="Q2490" s="28">
        <f>INT(C2490/10)*10</f>
        <v/>
      </c>
    </row>
    <row r="2491">
      <c r="A2491" s="21" t="n">
        <v>2542</v>
      </c>
      <c r="B2491" s="21" t="inlineStr">
        <is>
          <t>Captain Alatriste: The Spanish Musketeer</t>
        </is>
      </c>
      <c r="C2491" s="21" t="n">
        <v>2006</v>
      </c>
      <c r="D2491" s="21" t="inlineStr">
        <is>
          <t>Spain</t>
        </is>
      </c>
      <c r="E2491" s="21" t="n">
        <v>145</v>
      </c>
      <c r="F2491" s="21" t="inlineStr">
        <is>
          <t>Spanish</t>
        </is>
      </c>
      <c r="G2491" s="21" t="n"/>
      <c r="H2491" s="22" t="n">
        <v>25529689.5</v>
      </c>
      <c r="I2491" s="22" t="n">
        <v>24000000</v>
      </c>
      <c r="J2491" s="21">
        <f>IF(OR(H2491="",H2491=25529689.5),"Yes","No")</f>
        <v/>
      </c>
      <c r="K2491" s="21">
        <f>IF(AND(D2491="USA",C2491&gt;=1980,J2491="No"),"Yes","No")</f>
        <v/>
      </c>
      <c r="L2491" s="26">
        <f>IF(J2491="Yes","",H2491-I2491)</f>
        <v/>
      </c>
      <c r="M2491" s="27">
        <f>IF(OR(J2491="Yes",I2491=0),"",H2491/I2491)</f>
        <v/>
      </c>
      <c r="N2491" s="21">
        <f>IF(J2491="Yes","",IF(H2491&gt;=I2491,1,0))</f>
        <v/>
      </c>
      <c r="O2491" s="21">
        <f>IF(I2491&lt;=5000000,"Under $5M",IF(I2491&lt;=20000000,"$5M-20M",IF(I2491&lt;=50000000,"$20M-50M",IF(I2491&lt;=100000000,"$50M-100M","$100M+"))))</f>
        <v/>
      </c>
      <c r="P2491" s="21">
        <f>IF(E2491&lt;=90,"90 or less",IF(E2491&lt;=105,"91-105",IF(E2491&lt;=120,"106-120",IF(E2491&lt;=140,"121-140","Over 140"))))</f>
        <v/>
      </c>
      <c r="Q2491" s="28">
        <f>INT(C2491/10)*10</f>
        <v/>
      </c>
    </row>
    <row r="2492">
      <c r="A2492" s="21" t="n">
        <v>2543</v>
      </c>
      <c r="B2492" s="21" t="inlineStr">
        <is>
          <t>Cars</t>
        </is>
      </c>
      <c r="C2492" s="21" t="n">
        <v>2006</v>
      </c>
      <c r="D2492" s="21" t="inlineStr">
        <is>
          <t>USA</t>
        </is>
      </c>
      <c r="E2492" s="21" t="n">
        <v>117</v>
      </c>
      <c r="F2492" s="21" t="inlineStr">
        <is>
          <t>English</t>
        </is>
      </c>
      <c r="G2492" s="21" t="inlineStr">
        <is>
          <t>G</t>
        </is>
      </c>
      <c r="H2492" s="22" t="n">
        <v>244052771</v>
      </c>
      <c r="I2492" s="22" t="n">
        <v>120000000</v>
      </c>
      <c r="J2492" s="21">
        <f>IF(OR(H2492="",H2492=25529689.5),"Yes","No")</f>
        <v/>
      </c>
      <c r="K2492" s="21">
        <f>IF(AND(D2492="USA",C2492&gt;=1980,J2492="No"),"Yes","No")</f>
        <v/>
      </c>
      <c r="L2492" s="26">
        <f>IF(J2492="Yes","",H2492-I2492)</f>
        <v/>
      </c>
      <c r="M2492" s="27">
        <f>IF(OR(J2492="Yes",I2492=0),"",H2492/I2492)</f>
        <v/>
      </c>
      <c r="N2492" s="21">
        <f>IF(J2492="Yes","",IF(H2492&gt;=I2492,1,0))</f>
        <v/>
      </c>
      <c r="O2492" s="21">
        <f>IF(I2492&lt;=5000000,"Under $5M",IF(I2492&lt;=20000000,"$5M-20M",IF(I2492&lt;=50000000,"$20M-50M",IF(I2492&lt;=100000000,"$50M-100M","$100M+"))))</f>
        <v/>
      </c>
      <c r="P2492" s="21">
        <f>IF(E2492&lt;=90,"90 or less",IF(E2492&lt;=105,"91-105",IF(E2492&lt;=120,"106-120",IF(E2492&lt;=140,"121-140","Over 140"))))</f>
        <v/>
      </c>
      <c r="Q2492" s="28">
        <f>INT(C2492/10)*10</f>
        <v/>
      </c>
    </row>
    <row r="2493">
      <c r="A2493" s="21" t="n">
        <v>2544</v>
      </c>
      <c r="B2493" s="21" t="inlineStr">
        <is>
          <t>Casino Royale</t>
        </is>
      </c>
      <c r="C2493" s="21" t="n">
        <v>2006</v>
      </c>
      <c r="D2493" s="21" t="inlineStr">
        <is>
          <t>UK</t>
        </is>
      </c>
      <c r="E2493" s="21" t="n">
        <v>144</v>
      </c>
      <c r="F2493" s="21" t="inlineStr">
        <is>
          <t>English</t>
        </is>
      </c>
      <c r="G2493" s="21" t="inlineStr">
        <is>
          <t>PG-13</t>
        </is>
      </c>
      <c r="H2493" s="22" t="n">
        <v>167007184</v>
      </c>
      <c r="I2493" s="22" t="n">
        <v>150000000</v>
      </c>
      <c r="J2493" s="21">
        <f>IF(OR(H2493="",H2493=25529689.5),"Yes","No")</f>
        <v/>
      </c>
      <c r="K2493" s="21">
        <f>IF(AND(D2493="USA",C2493&gt;=1980,J2493="No"),"Yes","No")</f>
        <v/>
      </c>
      <c r="L2493" s="26">
        <f>IF(J2493="Yes","",H2493-I2493)</f>
        <v/>
      </c>
      <c r="M2493" s="27">
        <f>IF(OR(J2493="Yes",I2493=0),"",H2493/I2493)</f>
        <v/>
      </c>
      <c r="N2493" s="21">
        <f>IF(J2493="Yes","",IF(H2493&gt;=I2493,1,0))</f>
        <v/>
      </c>
      <c r="O2493" s="21">
        <f>IF(I2493&lt;=5000000,"Under $5M",IF(I2493&lt;=20000000,"$5M-20M",IF(I2493&lt;=50000000,"$20M-50M",IF(I2493&lt;=100000000,"$50M-100M","$100M+"))))</f>
        <v/>
      </c>
      <c r="P2493" s="21">
        <f>IF(E2493&lt;=90,"90 or less",IF(E2493&lt;=105,"91-105",IF(E2493&lt;=120,"106-120",IF(E2493&lt;=140,"121-140","Over 140"))))</f>
        <v/>
      </c>
      <c r="Q2493" s="28">
        <f>INT(C2493/10)*10</f>
        <v/>
      </c>
    </row>
    <row r="2494">
      <c r="A2494" s="21" t="n">
        <v>2546</v>
      </c>
      <c r="B2494" s="21" t="inlineStr">
        <is>
          <t>Catch a Fire</t>
        </is>
      </c>
      <c r="C2494" s="21" t="n">
        <v>2006</v>
      </c>
      <c r="D2494" s="21" t="inlineStr">
        <is>
          <t>France</t>
        </is>
      </c>
      <c r="E2494" s="21" t="n">
        <v>98</v>
      </c>
      <c r="F2494" s="21" t="inlineStr">
        <is>
          <t>English</t>
        </is>
      </c>
      <c r="G2494" s="21" t="inlineStr">
        <is>
          <t>PG-13</t>
        </is>
      </c>
      <c r="H2494" s="22" t="n">
        <v>4291965</v>
      </c>
      <c r="I2494" s="22" t="n">
        <v>14000000</v>
      </c>
      <c r="J2494" s="21">
        <f>IF(OR(H2494="",H2494=25529689.5),"Yes","No")</f>
        <v/>
      </c>
      <c r="K2494" s="21">
        <f>IF(AND(D2494="USA",C2494&gt;=1980,J2494="No"),"Yes","No")</f>
        <v/>
      </c>
      <c r="L2494" s="26">
        <f>IF(J2494="Yes","",H2494-I2494)</f>
        <v/>
      </c>
      <c r="M2494" s="27">
        <f>IF(OR(J2494="Yes",I2494=0),"",H2494/I2494)</f>
        <v/>
      </c>
      <c r="N2494" s="21">
        <f>IF(J2494="Yes","",IF(H2494&gt;=I2494,1,0))</f>
        <v/>
      </c>
      <c r="O2494" s="21">
        <f>IF(I2494&lt;=5000000,"Under $5M",IF(I2494&lt;=20000000,"$5M-20M",IF(I2494&lt;=50000000,"$20M-50M",IF(I2494&lt;=100000000,"$50M-100M","$100M+"))))</f>
        <v/>
      </c>
      <c r="P2494" s="21">
        <f>IF(E2494&lt;=90,"90 or less",IF(E2494&lt;=105,"91-105",IF(E2494&lt;=120,"106-120",IF(E2494&lt;=140,"121-140","Over 140"))))</f>
        <v/>
      </c>
      <c r="Q2494" s="28">
        <f>INT(C2494/10)*10</f>
        <v/>
      </c>
    </row>
    <row r="2495">
      <c r="A2495" s="21" t="n">
        <v>2547</v>
      </c>
      <c r="B2495" s="21" t="inlineStr">
        <is>
          <t>Charlotte's Web</t>
        </is>
      </c>
      <c r="C2495" s="21" t="n">
        <v>2006</v>
      </c>
      <c r="D2495" s="21" t="inlineStr">
        <is>
          <t>USA</t>
        </is>
      </c>
      <c r="E2495" s="21" t="n">
        <v>97</v>
      </c>
      <c r="F2495" s="21" t="inlineStr">
        <is>
          <t>English</t>
        </is>
      </c>
      <c r="G2495" s="21" t="inlineStr">
        <is>
          <t>G</t>
        </is>
      </c>
      <c r="H2495" s="22" t="n">
        <v>82506325</v>
      </c>
      <c r="I2495" s="22" t="n">
        <v>20000000</v>
      </c>
      <c r="J2495" s="21">
        <f>IF(OR(H2495="",H2495=25529689.5),"Yes","No")</f>
        <v/>
      </c>
      <c r="K2495" s="21">
        <f>IF(AND(D2495="USA",C2495&gt;=1980,J2495="No"),"Yes","No")</f>
        <v/>
      </c>
      <c r="L2495" s="26">
        <f>IF(J2495="Yes","",H2495-I2495)</f>
        <v/>
      </c>
      <c r="M2495" s="27">
        <f>IF(OR(J2495="Yes",I2495=0),"",H2495/I2495)</f>
        <v/>
      </c>
      <c r="N2495" s="21">
        <f>IF(J2495="Yes","",IF(H2495&gt;=I2495,1,0))</f>
        <v/>
      </c>
      <c r="O2495" s="21">
        <f>IF(I2495&lt;=5000000,"Under $5M",IF(I2495&lt;=20000000,"$5M-20M",IF(I2495&lt;=50000000,"$20M-50M",IF(I2495&lt;=100000000,"$50M-100M","$100M+"))))</f>
        <v/>
      </c>
      <c r="P2495" s="21">
        <f>IF(E2495&lt;=90,"90 or less",IF(E2495&lt;=105,"91-105",IF(E2495&lt;=120,"106-120",IF(E2495&lt;=140,"121-140","Over 140"))))</f>
        <v/>
      </c>
      <c r="Q2495" s="28">
        <f>INT(C2495/10)*10</f>
        <v/>
      </c>
    </row>
    <row r="2496">
      <c r="A2496" s="21" t="n">
        <v>2548</v>
      </c>
      <c r="B2496" s="21" t="inlineStr">
        <is>
          <t>Children of Men</t>
        </is>
      </c>
      <c r="C2496" s="21" t="n">
        <v>2006</v>
      </c>
      <c r="D2496" s="21" t="inlineStr">
        <is>
          <t>USA</t>
        </is>
      </c>
      <c r="E2496" s="21" t="n">
        <v>109</v>
      </c>
      <c r="F2496" s="21" t="inlineStr">
        <is>
          <t>English</t>
        </is>
      </c>
      <c r="G2496" s="21" t="inlineStr">
        <is>
          <t>R</t>
        </is>
      </c>
      <c r="H2496" s="22" t="n">
        <v>35286428</v>
      </c>
      <c r="I2496" s="22" t="n">
        <v>76000000</v>
      </c>
      <c r="J2496" s="21">
        <f>IF(OR(H2496="",H2496=25529689.5),"Yes","No")</f>
        <v/>
      </c>
      <c r="K2496" s="21">
        <f>IF(AND(D2496="USA",C2496&gt;=1980,J2496="No"),"Yes","No")</f>
        <v/>
      </c>
      <c r="L2496" s="26">
        <f>IF(J2496="Yes","",H2496-I2496)</f>
        <v/>
      </c>
      <c r="M2496" s="27">
        <f>IF(OR(J2496="Yes",I2496=0),"",H2496/I2496)</f>
        <v/>
      </c>
      <c r="N2496" s="21">
        <f>IF(J2496="Yes","",IF(H2496&gt;=I2496,1,0))</f>
        <v/>
      </c>
      <c r="O2496" s="21">
        <f>IF(I2496&lt;=5000000,"Under $5M",IF(I2496&lt;=20000000,"$5M-20M",IF(I2496&lt;=50000000,"$20M-50M",IF(I2496&lt;=100000000,"$50M-100M","$100M+"))))</f>
        <v/>
      </c>
      <c r="P2496" s="21">
        <f>IF(E2496&lt;=90,"90 or less",IF(E2496&lt;=105,"91-105",IF(E2496&lt;=120,"106-120",IF(E2496&lt;=140,"121-140","Over 140"))))</f>
        <v/>
      </c>
      <c r="Q2496" s="28">
        <f>INT(C2496/10)*10</f>
        <v/>
      </c>
    </row>
    <row r="2497">
      <c r="A2497" s="21" t="n">
        <v>2549</v>
      </c>
      <c r="B2497" s="21" t="inlineStr">
        <is>
          <t>Clerks II</t>
        </is>
      </c>
      <c r="C2497" s="21" t="n">
        <v>2006</v>
      </c>
      <c r="D2497" s="21" t="inlineStr">
        <is>
          <t>USA</t>
        </is>
      </c>
      <c r="E2497" s="21" t="n">
        <v>97</v>
      </c>
      <c r="F2497" s="21" t="inlineStr">
        <is>
          <t>English</t>
        </is>
      </c>
      <c r="G2497" s="21" t="inlineStr">
        <is>
          <t>R</t>
        </is>
      </c>
      <c r="H2497" s="22" t="n">
        <v>24138847</v>
      </c>
      <c r="I2497" s="22" t="n">
        <v>5000000</v>
      </c>
      <c r="J2497" s="21">
        <f>IF(OR(H2497="",H2497=25529689.5),"Yes","No")</f>
        <v/>
      </c>
      <c r="K2497" s="21">
        <f>IF(AND(D2497="USA",C2497&gt;=1980,J2497="No"),"Yes","No")</f>
        <v/>
      </c>
      <c r="L2497" s="26">
        <f>IF(J2497="Yes","",H2497-I2497)</f>
        <v/>
      </c>
      <c r="M2497" s="27">
        <f>IF(OR(J2497="Yes",I2497=0),"",H2497/I2497)</f>
        <v/>
      </c>
      <c r="N2497" s="21">
        <f>IF(J2497="Yes","",IF(H2497&gt;=I2497,1,0))</f>
        <v/>
      </c>
      <c r="O2497" s="21">
        <f>IF(I2497&lt;=5000000,"Under $5M",IF(I2497&lt;=20000000,"$5M-20M",IF(I2497&lt;=50000000,"$20M-50M",IF(I2497&lt;=100000000,"$50M-100M","$100M+"))))</f>
        <v/>
      </c>
      <c r="P2497" s="21">
        <f>IF(E2497&lt;=90,"90 or less",IF(E2497&lt;=105,"91-105",IF(E2497&lt;=120,"106-120",IF(E2497&lt;=140,"121-140","Over 140"))))</f>
        <v/>
      </c>
      <c r="Q2497" s="28">
        <f>INT(C2497/10)*10</f>
        <v/>
      </c>
    </row>
    <row r="2498">
      <c r="A2498" s="21" t="n">
        <v>2550</v>
      </c>
      <c r="B2498" s="21" t="inlineStr">
        <is>
          <t>Click</t>
        </is>
      </c>
      <c r="C2498" s="21" t="n">
        <v>2006</v>
      </c>
      <c r="D2498" s="21" t="inlineStr">
        <is>
          <t>USA</t>
        </is>
      </c>
      <c r="E2498" s="21" t="n">
        <v>107</v>
      </c>
      <c r="F2498" s="21" t="inlineStr">
        <is>
          <t>English</t>
        </is>
      </c>
      <c r="G2498" s="21" t="inlineStr">
        <is>
          <t>PG-13</t>
        </is>
      </c>
      <c r="H2498" s="22" t="n">
        <v>137340146</v>
      </c>
      <c r="I2498" s="22" t="n">
        <v>70000000</v>
      </c>
      <c r="J2498" s="21">
        <f>IF(OR(H2498="",H2498=25529689.5),"Yes","No")</f>
        <v/>
      </c>
      <c r="K2498" s="21">
        <f>IF(AND(D2498="USA",C2498&gt;=1980,J2498="No"),"Yes","No")</f>
        <v/>
      </c>
      <c r="L2498" s="26">
        <f>IF(J2498="Yes","",H2498-I2498)</f>
        <v/>
      </c>
      <c r="M2498" s="27">
        <f>IF(OR(J2498="Yes",I2498=0),"",H2498/I2498)</f>
        <v/>
      </c>
      <c r="N2498" s="21">
        <f>IF(J2498="Yes","",IF(H2498&gt;=I2498,1,0))</f>
        <v/>
      </c>
      <c r="O2498" s="21">
        <f>IF(I2498&lt;=5000000,"Under $5M",IF(I2498&lt;=20000000,"$5M-20M",IF(I2498&lt;=50000000,"$20M-50M",IF(I2498&lt;=100000000,"$50M-100M","$100M+"))))</f>
        <v/>
      </c>
      <c r="P2498" s="21">
        <f>IF(E2498&lt;=90,"90 or less",IF(E2498&lt;=105,"91-105",IF(E2498&lt;=120,"106-120",IF(E2498&lt;=140,"121-140","Over 140"))))</f>
        <v/>
      </c>
      <c r="Q2498" s="28">
        <f>INT(C2498/10)*10</f>
        <v/>
      </c>
    </row>
    <row r="2499">
      <c r="A2499" s="21" t="n">
        <v>2551</v>
      </c>
      <c r="B2499" s="21" t="inlineStr">
        <is>
          <t>Come Early Morning</t>
        </is>
      </c>
      <c r="C2499" s="21" t="n">
        <v>2006</v>
      </c>
      <c r="D2499" s="21" t="inlineStr">
        <is>
          <t>USA</t>
        </is>
      </c>
      <c r="E2499" s="21" t="n">
        <v>97</v>
      </c>
      <c r="F2499" s="21" t="inlineStr">
        <is>
          <t>English</t>
        </is>
      </c>
      <c r="G2499" s="21" t="inlineStr">
        <is>
          <t>R</t>
        </is>
      </c>
      <c r="H2499" s="22" t="n">
        <v>117560</v>
      </c>
      <c r="I2499" s="22" t="n">
        <v>6000000</v>
      </c>
      <c r="J2499" s="21">
        <f>IF(OR(H2499="",H2499=25529689.5),"Yes","No")</f>
        <v/>
      </c>
      <c r="K2499" s="21">
        <f>IF(AND(D2499="USA",C2499&gt;=1980,J2499="No"),"Yes","No")</f>
        <v/>
      </c>
      <c r="L2499" s="26">
        <f>IF(J2499="Yes","",H2499-I2499)</f>
        <v/>
      </c>
      <c r="M2499" s="27">
        <f>IF(OR(J2499="Yes",I2499=0),"",H2499/I2499)</f>
        <v/>
      </c>
      <c r="N2499" s="21">
        <f>IF(J2499="Yes","",IF(H2499&gt;=I2499,1,0))</f>
        <v/>
      </c>
      <c r="O2499" s="21">
        <f>IF(I2499&lt;=5000000,"Under $5M",IF(I2499&lt;=20000000,"$5M-20M",IF(I2499&lt;=50000000,"$20M-50M",IF(I2499&lt;=100000000,"$50M-100M","$100M+"))))</f>
        <v/>
      </c>
      <c r="P2499" s="21">
        <f>IF(E2499&lt;=90,"90 or less",IF(E2499&lt;=105,"91-105",IF(E2499&lt;=120,"106-120",IF(E2499&lt;=140,"121-140","Over 140"))))</f>
        <v/>
      </c>
      <c r="Q2499" s="28">
        <f>INT(C2499/10)*10</f>
        <v/>
      </c>
    </row>
    <row r="2500">
      <c r="A2500" s="21" t="n">
        <v>2552</v>
      </c>
      <c r="B2500" s="21" t="inlineStr">
        <is>
          <t>Copying Beethoven</t>
        </is>
      </c>
      <c r="C2500" s="21" t="n">
        <v>2006</v>
      </c>
      <c r="D2500" s="21" t="inlineStr">
        <is>
          <t>USA</t>
        </is>
      </c>
      <c r="E2500" s="21" t="n">
        <v>104</v>
      </c>
      <c r="F2500" s="21" t="inlineStr">
        <is>
          <t>English</t>
        </is>
      </c>
      <c r="G2500" s="21" t="inlineStr">
        <is>
          <t>PG-13</t>
        </is>
      </c>
      <c r="H2500" s="22" t="n">
        <v>352786</v>
      </c>
      <c r="I2500" s="22" t="n">
        <v>11000000</v>
      </c>
      <c r="J2500" s="21">
        <f>IF(OR(H2500="",H2500=25529689.5),"Yes","No")</f>
        <v/>
      </c>
      <c r="K2500" s="21">
        <f>IF(AND(D2500="USA",C2500&gt;=1980,J2500="No"),"Yes","No")</f>
        <v/>
      </c>
      <c r="L2500" s="26">
        <f>IF(J2500="Yes","",H2500-I2500)</f>
        <v/>
      </c>
      <c r="M2500" s="27">
        <f>IF(OR(J2500="Yes",I2500=0),"",H2500/I2500)</f>
        <v/>
      </c>
      <c r="N2500" s="21">
        <f>IF(J2500="Yes","",IF(H2500&gt;=I2500,1,0))</f>
        <v/>
      </c>
      <c r="O2500" s="21">
        <f>IF(I2500&lt;=5000000,"Under $5M",IF(I2500&lt;=20000000,"$5M-20M",IF(I2500&lt;=50000000,"$20M-50M",IF(I2500&lt;=100000000,"$50M-100M","$100M+"))))</f>
        <v/>
      </c>
      <c r="P2500" s="21">
        <f>IF(E2500&lt;=90,"90 or less",IF(E2500&lt;=105,"91-105",IF(E2500&lt;=120,"106-120",IF(E2500&lt;=140,"121-140","Over 140"))))</f>
        <v/>
      </c>
      <c r="Q2500" s="28">
        <f>INT(C2500/10)*10</f>
        <v/>
      </c>
    </row>
    <row r="2501">
      <c r="A2501" s="21" t="n">
        <v>2553</v>
      </c>
      <c r="B2501" s="21" t="inlineStr">
        <is>
          <t>Crank</t>
        </is>
      </c>
      <c r="C2501" s="21" t="n">
        <v>2006</v>
      </c>
      <c r="D2501" s="21" t="inlineStr">
        <is>
          <t>USA</t>
        </is>
      </c>
      <c r="E2501" s="21" t="n">
        <v>93</v>
      </c>
      <c r="F2501" s="21" t="inlineStr">
        <is>
          <t>English</t>
        </is>
      </c>
      <c r="G2501" s="21" t="inlineStr">
        <is>
          <t>R</t>
        </is>
      </c>
      <c r="H2501" s="22" t="n">
        <v>27829874</v>
      </c>
      <c r="I2501" s="22" t="n">
        <v>12000000</v>
      </c>
      <c r="J2501" s="21">
        <f>IF(OR(H2501="",H2501=25529689.5),"Yes","No")</f>
        <v/>
      </c>
      <c r="K2501" s="21">
        <f>IF(AND(D2501="USA",C2501&gt;=1980,J2501="No"),"Yes","No")</f>
        <v/>
      </c>
      <c r="L2501" s="26">
        <f>IF(J2501="Yes","",H2501-I2501)</f>
        <v/>
      </c>
      <c r="M2501" s="27">
        <f>IF(OR(J2501="Yes",I2501=0),"",H2501/I2501)</f>
        <v/>
      </c>
      <c r="N2501" s="21">
        <f>IF(J2501="Yes","",IF(H2501&gt;=I2501,1,0))</f>
        <v/>
      </c>
      <c r="O2501" s="21">
        <f>IF(I2501&lt;=5000000,"Under $5M",IF(I2501&lt;=20000000,"$5M-20M",IF(I2501&lt;=50000000,"$20M-50M",IF(I2501&lt;=100000000,"$50M-100M","$100M+"))))</f>
        <v/>
      </c>
      <c r="P2501" s="21">
        <f>IF(E2501&lt;=90,"90 or less",IF(E2501&lt;=105,"91-105",IF(E2501&lt;=120,"106-120",IF(E2501&lt;=140,"121-140","Over 140"))))</f>
        <v/>
      </c>
      <c r="Q2501" s="28">
        <f>INT(C2501/10)*10</f>
        <v/>
      </c>
    </row>
    <row r="2502">
      <c r="A2502" s="21" t="n">
        <v>2554</v>
      </c>
      <c r="B2502" s="21" t="inlineStr">
        <is>
          <t>Crazy Stone</t>
        </is>
      </c>
      <c r="C2502" s="21" t="n">
        <v>2006</v>
      </c>
      <c r="D2502" s="21" t="inlineStr">
        <is>
          <t>China</t>
        </is>
      </c>
      <c r="E2502" s="21" t="n">
        <v>98</v>
      </c>
      <c r="F2502" s="21" t="inlineStr">
        <is>
          <t>Mandarin</t>
        </is>
      </c>
      <c r="G2502" s="21" t="n"/>
      <c r="H2502" s="22" t="n">
        <v>25529689.5</v>
      </c>
      <c r="I2502" s="22" t="n">
        <v>3000000</v>
      </c>
      <c r="J2502" s="21">
        <f>IF(OR(H2502="",H2502=25529689.5),"Yes","No")</f>
        <v/>
      </c>
      <c r="K2502" s="21">
        <f>IF(AND(D2502="USA",C2502&gt;=1980,J2502="No"),"Yes","No")</f>
        <v/>
      </c>
      <c r="L2502" s="26">
        <f>IF(J2502="Yes","",H2502-I2502)</f>
        <v/>
      </c>
      <c r="M2502" s="27">
        <f>IF(OR(J2502="Yes",I2502=0),"",H2502/I2502)</f>
        <v/>
      </c>
      <c r="N2502" s="21">
        <f>IF(J2502="Yes","",IF(H2502&gt;=I2502,1,0))</f>
        <v/>
      </c>
      <c r="O2502" s="21">
        <f>IF(I2502&lt;=5000000,"Under $5M",IF(I2502&lt;=20000000,"$5M-20M",IF(I2502&lt;=50000000,"$20M-50M",IF(I2502&lt;=100000000,"$50M-100M","$100M+"))))</f>
        <v/>
      </c>
      <c r="P2502" s="21">
        <f>IF(E2502&lt;=90,"90 or less",IF(E2502&lt;=105,"91-105",IF(E2502&lt;=120,"106-120",IF(E2502&lt;=140,"121-140","Over 140"))))</f>
        <v/>
      </c>
      <c r="Q2502" s="28">
        <f>INT(C2502/10)*10</f>
        <v/>
      </c>
    </row>
    <row r="2503">
      <c r="A2503" s="21" t="n">
        <v>2555</v>
      </c>
      <c r="B2503" s="21" t="inlineStr">
        <is>
          <t>Crossover</t>
        </is>
      </c>
      <c r="C2503" s="21" t="n">
        <v>2006</v>
      </c>
      <c r="D2503" s="21" t="inlineStr">
        <is>
          <t>USA</t>
        </is>
      </c>
      <c r="E2503" s="21" t="n">
        <v>95</v>
      </c>
      <c r="F2503" s="21" t="inlineStr">
        <is>
          <t>English</t>
        </is>
      </c>
      <c r="G2503" s="21" t="inlineStr">
        <is>
          <t>PG-13</t>
        </is>
      </c>
      <c r="H2503" s="22" t="n">
        <v>7009668</v>
      </c>
      <c r="I2503" s="22" t="n">
        <v>5600000</v>
      </c>
      <c r="J2503" s="21">
        <f>IF(OR(H2503="",H2503=25529689.5),"Yes","No")</f>
        <v/>
      </c>
      <c r="K2503" s="21">
        <f>IF(AND(D2503="USA",C2503&gt;=1980,J2503="No"),"Yes","No")</f>
        <v/>
      </c>
      <c r="L2503" s="26">
        <f>IF(J2503="Yes","",H2503-I2503)</f>
        <v/>
      </c>
      <c r="M2503" s="27">
        <f>IF(OR(J2503="Yes",I2503=0),"",H2503/I2503)</f>
        <v/>
      </c>
      <c r="N2503" s="21">
        <f>IF(J2503="Yes","",IF(H2503&gt;=I2503,1,0))</f>
        <v/>
      </c>
      <c r="O2503" s="21">
        <f>IF(I2503&lt;=5000000,"Under $5M",IF(I2503&lt;=20000000,"$5M-20M",IF(I2503&lt;=50000000,"$20M-50M",IF(I2503&lt;=100000000,"$50M-100M","$100M+"))))</f>
        <v/>
      </c>
      <c r="P2503" s="21">
        <f>IF(E2503&lt;=90,"90 or less",IF(E2503&lt;=105,"91-105",IF(E2503&lt;=120,"106-120",IF(E2503&lt;=140,"121-140","Over 140"))))</f>
        <v/>
      </c>
      <c r="Q2503" s="28">
        <f>INT(C2503/10)*10</f>
        <v/>
      </c>
    </row>
    <row r="2504">
      <c r="A2504" s="21" t="n">
        <v>2556</v>
      </c>
      <c r="B2504" s="21" t="inlineStr">
        <is>
          <t>Curious George</t>
        </is>
      </c>
      <c r="C2504" s="21" t="n">
        <v>2006</v>
      </c>
      <c r="D2504" s="21" t="inlineStr">
        <is>
          <t>USA</t>
        </is>
      </c>
      <c r="E2504" s="21" t="n">
        <v>78</v>
      </c>
      <c r="F2504" s="21" t="inlineStr">
        <is>
          <t>English</t>
        </is>
      </c>
      <c r="G2504" s="21" t="inlineStr">
        <is>
          <t>G</t>
        </is>
      </c>
      <c r="H2504" s="22" t="n">
        <v>58336565</v>
      </c>
      <c r="I2504" s="22" t="n">
        <v>50000000</v>
      </c>
      <c r="J2504" s="21">
        <f>IF(OR(H2504="",H2504=25529689.5),"Yes","No")</f>
        <v/>
      </c>
      <c r="K2504" s="21">
        <f>IF(AND(D2504="USA",C2504&gt;=1980,J2504="No"),"Yes","No")</f>
        <v/>
      </c>
      <c r="L2504" s="26">
        <f>IF(J2504="Yes","",H2504-I2504)</f>
        <v/>
      </c>
      <c r="M2504" s="27">
        <f>IF(OR(J2504="Yes",I2504=0),"",H2504/I2504)</f>
        <v/>
      </c>
      <c r="N2504" s="21">
        <f>IF(J2504="Yes","",IF(H2504&gt;=I2504,1,0))</f>
        <v/>
      </c>
      <c r="O2504" s="21">
        <f>IF(I2504&lt;=5000000,"Under $5M",IF(I2504&lt;=20000000,"$5M-20M",IF(I2504&lt;=50000000,"$20M-50M",IF(I2504&lt;=100000000,"$50M-100M","$100M+"))))</f>
        <v/>
      </c>
      <c r="P2504" s="21">
        <f>IF(E2504&lt;=90,"90 or less",IF(E2504&lt;=105,"91-105",IF(E2504&lt;=120,"106-120",IF(E2504&lt;=140,"121-140","Over 140"))))</f>
        <v/>
      </c>
      <c r="Q2504" s="28">
        <f>INT(C2504/10)*10</f>
        <v/>
      </c>
    </row>
    <row r="2505">
      <c r="A2505" s="21" t="n">
        <v>2557</v>
      </c>
      <c r="B2505" s="21" t="inlineStr">
        <is>
          <t>Curse of the Golden Flower</t>
        </is>
      </c>
      <c r="C2505" s="21" t="n">
        <v>2006</v>
      </c>
      <c r="D2505" s="21" t="inlineStr">
        <is>
          <t>China</t>
        </is>
      </c>
      <c r="E2505" s="21" t="n">
        <v>114</v>
      </c>
      <c r="F2505" s="21" t="inlineStr">
        <is>
          <t>Mandarin</t>
        </is>
      </c>
      <c r="G2505" s="21" t="inlineStr">
        <is>
          <t>R</t>
        </is>
      </c>
      <c r="H2505" s="22" t="n">
        <v>6565495</v>
      </c>
      <c r="I2505" s="22" t="n">
        <v>45000000</v>
      </c>
      <c r="J2505" s="21">
        <f>IF(OR(H2505="",H2505=25529689.5),"Yes","No")</f>
        <v/>
      </c>
      <c r="K2505" s="21">
        <f>IF(AND(D2505="USA",C2505&gt;=1980,J2505="No"),"Yes","No")</f>
        <v/>
      </c>
      <c r="L2505" s="26">
        <f>IF(J2505="Yes","",H2505-I2505)</f>
        <v/>
      </c>
      <c r="M2505" s="27">
        <f>IF(OR(J2505="Yes",I2505=0),"",H2505/I2505)</f>
        <v/>
      </c>
      <c r="N2505" s="21">
        <f>IF(J2505="Yes","",IF(H2505&gt;=I2505,1,0))</f>
        <v/>
      </c>
      <c r="O2505" s="21">
        <f>IF(I2505&lt;=5000000,"Under $5M",IF(I2505&lt;=20000000,"$5M-20M",IF(I2505&lt;=50000000,"$20M-50M",IF(I2505&lt;=100000000,"$50M-100M","$100M+"))))</f>
        <v/>
      </c>
      <c r="P2505" s="21">
        <f>IF(E2505&lt;=90,"90 or less",IF(E2505&lt;=105,"91-105",IF(E2505&lt;=120,"106-120",IF(E2505&lt;=140,"121-140","Over 140"))))</f>
        <v/>
      </c>
      <c r="Q2505" s="28">
        <f>INT(C2505/10)*10</f>
        <v/>
      </c>
    </row>
    <row r="2506">
      <c r="A2506" s="21" t="n">
        <v>2558</v>
      </c>
      <c r="B2506" s="21" t="inlineStr">
        <is>
          <t>Date Movie</t>
        </is>
      </c>
      <c r="C2506" s="21" t="n">
        <v>2006</v>
      </c>
      <c r="D2506" s="21" t="inlineStr">
        <is>
          <t>USA</t>
        </is>
      </c>
      <c r="E2506" s="21" t="n">
        <v>85</v>
      </c>
      <c r="F2506" s="21" t="inlineStr">
        <is>
          <t>English</t>
        </is>
      </c>
      <c r="G2506" s="21" t="inlineStr">
        <is>
          <t>PG-13</t>
        </is>
      </c>
      <c r="H2506" s="22" t="n">
        <v>48546578</v>
      </c>
      <c r="I2506" s="22" t="n">
        <v>20000000</v>
      </c>
      <c r="J2506" s="21">
        <f>IF(OR(H2506="",H2506=25529689.5),"Yes","No")</f>
        <v/>
      </c>
      <c r="K2506" s="21">
        <f>IF(AND(D2506="USA",C2506&gt;=1980,J2506="No"),"Yes","No")</f>
        <v/>
      </c>
      <c r="L2506" s="26">
        <f>IF(J2506="Yes","",H2506-I2506)</f>
        <v/>
      </c>
      <c r="M2506" s="27">
        <f>IF(OR(J2506="Yes",I2506=0),"",H2506/I2506)</f>
        <v/>
      </c>
      <c r="N2506" s="21">
        <f>IF(J2506="Yes","",IF(H2506&gt;=I2506,1,0))</f>
        <v/>
      </c>
      <c r="O2506" s="21">
        <f>IF(I2506&lt;=5000000,"Under $5M",IF(I2506&lt;=20000000,"$5M-20M",IF(I2506&lt;=50000000,"$20M-50M",IF(I2506&lt;=100000000,"$50M-100M","$100M+"))))</f>
        <v/>
      </c>
      <c r="P2506" s="21">
        <f>IF(E2506&lt;=90,"90 or less",IF(E2506&lt;=105,"91-105",IF(E2506&lt;=120,"106-120",IF(E2506&lt;=140,"121-140","Over 140"))))</f>
        <v/>
      </c>
      <c r="Q2506" s="28">
        <f>INT(C2506/10)*10</f>
        <v/>
      </c>
    </row>
    <row r="2507">
      <c r="A2507" s="21" t="n">
        <v>2559</v>
      </c>
      <c r="B2507" s="21" t="inlineStr">
        <is>
          <t>Deck the Halls</t>
        </is>
      </c>
      <c r="C2507" s="21" t="n">
        <v>2006</v>
      </c>
      <c r="D2507" s="21" t="inlineStr">
        <is>
          <t>USA</t>
        </is>
      </c>
      <c r="E2507" s="21" t="n">
        <v>93</v>
      </c>
      <c r="F2507" s="21" t="inlineStr">
        <is>
          <t>English</t>
        </is>
      </c>
      <c r="G2507" s="21" t="inlineStr">
        <is>
          <t>PG</t>
        </is>
      </c>
      <c r="H2507" s="22" t="n">
        <v>35092918</v>
      </c>
      <c r="I2507" s="22" t="n">
        <v>20000000</v>
      </c>
      <c r="J2507" s="21">
        <f>IF(OR(H2507="",H2507=25529689.5),"Yes","No")</f>
        <v/>
      </c>
      <c r="K2507" s="21">
        <f>IF(AND(D2507="USA",C2507&gt;=1980,J2507="No"),"Yes","No")</f>
        <v/>
      </c>
      <c r="L2507" s="26">
        <f>IF(J2507="Yes","",H2507-I2507)</f>
        <v/>
      </c>
      <c r="M2507" s="27">
        <f>IF(OR(J2507="Yes",I2507=0),"",H2507/I2507)</f>
        <v/>
      </c>
      <c r="N2507" s="21">
        <f>IF(J2507="Yes","",IF(H2507&gt;=I2507,1,0))</f>
        <v/>
      </c>
      <c r="O2507" s="21">
        <f>IF(I2507&lt;=5000000,"Under $5M",IF(I2507&lt;=20000000,"$5M-20M",IF(I2507&lt;=50000000,"$20M-50M",IF(I2507&lt;=100000000,"$50M-100M","$100M+"))))</f>
        <v/>
      </c>
      <c r="P2507" s="21">
        <f>IF(E2507&lt;=90,"90 or less",IF(E2507&lt;=105,"91-105",IF(E2507&lt;=120,"106-120",IF(E2507&lt;=140,"121-140","Over 140"))))</f>
        <v/>
      </c>
      <c r="Q2507" s="28">
        <f>INT(C2507/10)*10</f>
        <v/>
      </c>
    </row>
    <row r="2508">
      <c r="A2508" s="21" t="n">
        <v>2560</v>
      </c>
      <c r="B2508" s="21" t="inlineStr">
        <is>
          <t>DOA: Dead or Alive</t>
        </is>
      </c>
      <c r="C2508" s="21" t="n">
        <v>2006</v>
      </c>
      <c r="D2508" s="21" t="inlineStr">
        <is>
          <t>USA</t>
        </is>
      </c>
      <c r="E2508" s="21" t="n">
        <v>87</v>
      </c>
      <c r="F2508" s="21" t="inlineStr">
        <is>
          <t>English</t>
        </is>
      </c>
      <c r="G2508" s="21" t="inlineStr">
        <is>
          <t>PG-13</t>
        </is>
      </c>
      <c r="H2508" s="22" t="n">
        <v>480314</v>
      </c>
      <c r="I2508" s="22" t="n">
        <v>21000000</v>
      </c>
      <c r="J2508" s="21">
        <f>IF(OR(H2508="",H2508=25529689.5),"Yes","No")</f>
        <v/>
      </c>
      <c r="K2508" s="21">
        <f>IF(AND(D2508="USA",C2508&gt;=1980,J2508="No"),"Yes","No")</f>
        <v/>
      </c>
      <c r="L2508" s="26">
        <f>IF(J2508="Yes","",H2508-I2508)</f>
        <v/>
      </c>
      <c r="M2508" s="27">
        <f>IF(OR(J2508="Yes",I2508=0),"",H2508/I2508)</f>
        <v/>
      </c>
      <c r="N2508" s="21">
        <f>IF(J2508="Yes","",IF(H2508&gt;=I2508,1,0))</f>
        <v/>
      </c>
      <c r="O2508" s="21">
        <f>IF(I2508&lt;=5000000,"Under $5M",IF(I2508&lt;=20000000,"$5M-20M",IF(I2508&lt;=50000000,"$20M-50M",IF(I2508&lt;=100000000,"$50M-100M","$100M+"))))</f>
        <v/>
      </c>
      <c r="P2508" s="21">
        <f>IF(E2508&lt;=90,"90 or less",IF(E2508&lt;=105,"91-105",IF(E2508&lt;=120,"106-120",IF(E2508&lt;=140,"121-140","Over 140"))))</f>
        <v/>
      </c>
      <c r="Q2508" s="28">
        <f>INT(C2508/10)*10</f>
        <v/>
      </c>
    </row>
    <row r="2509">
      <c r="A2509" s="21" t="n">
        <v>2561</v>
      </c>
      <c r="B2509" s="21" t="inlineStr">
        <is>
          <t>Doogal</t>
        </is>
      </c>
      <c r="C2509" s="21" t="n">
        <v>2006</v>
      </c>
      <c r="D2509" s="21" t="inlineStr">
        <is>
          <t>USA</t>
        </is>
      </c>
      <c r="E2509" s="21" t="n">
        <v>77</v>
      </c>
      <c r="F2509" s="21" t="inlineStr">
        <is>
          <t>English</t>
        </is>
      </c>
      <c r="G2509" s="21" t="inlineStr">
        <is>
          <t>G</t>
        </is>
      </c>
      <c r="H2509" s="22" t="n">
        <v>7382993</v>
      </c>
      <c r="I2509" s="22" t="n">
        <v>20000000</v>
      </c>
      <c r="J2509" s="21">
        <f>IF(OR(H2509="",H2509=25529689.5),"Yes","No")</f>
        <v/>
      </c>
      <c r="K2509" s="21">
        <f>IF(AND(D2509="USA",C2509&gt;=1980,J2509="No"),"Yes","No")</f>
        <v/>
      </c>
      <c r="L2509" s="26">
        <f>IF(J2509="Yes","",H2509-I2509)</f>
        <v/>
      </c>
      <c r="M2509" s="27">
        <f>IF(OR(J2509="Yes",I2509=0),"",H2509/I2509)</f>
        <v/>
      </c>
      <c r="N2509" s="21">
        <f>IF(J2509="Yes","",IF(H2509&gt;=I2509,1,0))</f>
        <v/>
      </c>
      <c r="O2509" s="21">
        <f>IF(I2509&lt;=5000000,"Under $5M",IF(I2509&lt;=20000000,"$5M-20M",IF(I2509&lt;=50000000,"$20M-50M",IF(I2509&lt;=100000000,"$50M-100M","$100M+"))))</f>
        <v/>
      </c>
      <c r="P2509" s="21">
        <f>IF(E2509&lt;=90,"90 or less",IF(E2509&lt;=105,"91-105",IF(E2509&lt;=120,"106-120",IF(E2509&lt;=140,"121-140","Over 140"))))</f>
        <v/>
      </c>
      <c r="Q2509" s="28">
        <f>INT(C2509/10)*10</f>
        <v/>
      </c>
    </row>
    <row r="2510">
      <c r="A2510" s="21" t="n">
        <v>2562</v>
      </c>
      <c r="B2510" s="21" t="inlineStr">
        <is>
          <t>Dreamgirls</t>
        </is>
      </c>
      <c r="C2510" s="21" t="n">
        <v>2006</v>
      </c>
      <c r="D2510" s="21" t="inlineStr">
        <is>
          <t>USA</t>
        </is>
      </c>
      <c r="E2510" s="21" t="n">
        <v>130</v>
      </c>
      <c r="F2510" s="21" t="inlineStr">
        <is>
          <t>English</t>
        </is>
      </c>
      <c r="G2510" s="21" t="inlineStr">
        <is>
          <t>PG-13</t>
        </is>
      </c>
      <c r="H2510" s="22" t="n">
        <v>103338338</v>
      </c>
      <c r="I2510" s="22" t="n">
        <v>70000000</v>
      </c>
      <c r="J2510" s="21">
        <f>IF(OR(H2510="",H2510=25529689.5),"Yes","No")</f>
        <v/>
      </c>
      <c r="K2510" s="21">
        <f>IF(AND(D2510="USA",C2510&gt;=1980,J2510="No"),"Yes","No")</f>
        <v/>
      </c>
      <c r="L2510" s="26">
        <f>IF(J2510="Yes","",H2510-I2510)</f>
        <v/>
      </c>
      <c r="M2510" s="27">
        <f>IF(OR(J2510="Yes",I2510=0),"",H2510/I2510)</f>
        <v/>
      </c>
      <c r="N2510" s="21">
        <f>IF(J2510="Yes","",IF(H2510&gt;=I2510,1,0))</f>
        <v/>
      </c>
      <c r="O2510" s="21">
        <f>IF(I2510&lt;=5000000,"Under $5M",IF(I2510&lt;=20000000,"$5M-20M",IF(I2510&lt;=50000000,"$20M-50M",IF(I2510&lt;=100000000,"$50M-100M","$100M+"))))</f>
        <v/>
      </c>
      <c r="P2510" s="21">
        <f>IF(E2510&lt;=90,"90 or less",IF(E2510&lt;=105,"91-105",IF(E2510&lt;=120,"106-120",IF(E2510&lt;=140,"121-140","Over 140"))))</f>
        <v/>
      </c>
      <c r="Q2510" s="28">
        <f>INT(C2510/10)*10</f>
        <v/>
      </c>
    </row>
    <row r="2511">
      <c r="A2511" s="21" t="n">
        <v>2563</v>
      </c>
      <c r="B2511" s="21" t="inlineStr">
        <is>
          <t>Driving Lessons</t>
        </is>
      </c>
      <c r="C2511" s="21" t="n">
        <v>2006</v>
      </c>
      <c r="D2511" s="21" t="inlineStr">
        <is>
          <t>UK</t>
        </is>
      </c>
      <c r="E2511" s="21" t="n">
        <v>98</v>
      </c>
      <c r="F2511" s="21" t="inlineStr">
        <is>
          <t>English</t>
        </is>
      </c>
      <c r="G2511" s="21" t="inlineStr">
        <is>
          <t>PG-13</t>
        </is>
      </c>
      <c r="H2511" s="22" t="n">
        <v>238774</v>
      </c>
      <c r="I2511" s="22" t="n">
        <v>20000000</v>
      </c>
      <c r="J2511" s="21">
        <f>IF(OR(H2511="",H2511=25529689.5),"Yes","No")</f>
        <v/>
      </c>
      <c r="K2511" s="21">
        <f>IF(AND(D2511="USA",C2511&gt;=1980,J2511="No"),"Yes","No")</f>
        <v/>
      </c>
      <c r="L2511" s="26">
        <f>IF(J2511="Yes","",H2511-I2511)</f>
        <v/>
      </c>
      <c r="M2511" s="27">
        <f>IF(OR(J2511="Yes",I2511=0),"",H2511/I2511)</f>
        <v/>
      </c>
      <c r="N2511" s="21">
        <f>IF(J2511="Yes","",IF(H2511&gt;=I2511,1,0))</f>
        <v/>
      </c>
      <c r="O2511" s="21">
        <f>IF(I2511&lt;=5000000,"Under $5M",IF(I2511&lt;=20000000,"$5M-20M",IF(I2511&lt;=50000000,"$20M-50M",IF(I2511&lt;=100000000,"$50M-100M","$100M+"))))</f>
        <v/>
      </c>
      <c r="P2511" s="21">
        <f>IF(E2511&lt;=90,"90 or less",IF(E2511&lt;=105,"91-105",IF(E2511&lt;=120,"106-120",IF(E2511&lt;=140,"121-140","Over 140"))))</f>
        <v/>
      </c>
      <c r="Q2511" s="28">
        <f>INT(C2511/10)*10</f>
        <v/>
      </c>
    </row>
    <row r="2512">
      <c r="A2512" s="21" t="n">
        <v>2564</v>
      </c>
      <c r="B2512" s="21" t="inlineStr">
        <is>
          <t>Eight Below</t>
        </is>
      </c>
      <c r="C2512" s="21" t="n">
        <v>2006</v>
      </c>
      <c r="D2512" s="21" t="inlineStr">
        <is>
          <t>USA</t>
        </is>
      </c>
      <c r="E2512" s="21" t="n">
        <v>120</v>
      </c>
      <c r="F2512" s="21" t="inlineStr">
        <is>
          <t>English</t>
        </is>
      </c>
      <c r="G2512" s="21" t="inlineStr">
        <is>
          <t>PG</t>
        </is>
      </c>
      <c r="H2512" s="22" t="n">
        <v>81593527</v>
      </c>
      <c r="I2512" s="22" t="n">
        <v>40000000</v>
      </c>
      <c r="J2512" s="21">
        <f>IF(OR(H2512="",H2512=25529689.5),"Yes","No")</f>
        <v/>
      </c>
      <c r="K2512" s="21">
        <f>IF(AND(D2512="USA",C2512&gt;=1980,J2512="No"),"Yes","No")</f>
        <v/>
      </c>
      <c r="L2512" s="26">
        <f>IF(J2512="Yes","",H2512-I2512)</f>
        <v/>
      </c>
      <c r="M2512" s="27">
        <f>IF(OR(J2512="Yes",I2512=0),"",H2512/I2512)</f>
        <v/>
      </c>
      <c r="N2512" s="21">
        <f>IF(J2512="Yes","",IF(H2512&gt;=I2512,1,0))</f>
        <v/>
      </c>
      <c r="O2512" s="21">
        <f>IF(I2512&lt;=5000000,"Under $5M",IF(I2512&lt;=20000000,"$5M-20M",IF(I2512&lt;=50000000,"$20M-50M",IF(I2512&lt;=100000000,"$50M-100M","$100M+"))))</f>
        <v/>
      </c>
      <c r="P2512" s="21">
        <f>IF(E2512&lt;=90,"90 or less",IF(E2512&lt;=105,"91-105",IF(E2512&lt;=120,"106-120",IF(E2512&lt;=140,"121-140","Over 140"))))</f>
        <v/>
      </c>
      <c r="Q2512" s="28">
        <f>INT(C2512/10)*10</f>
        <v/>
      </c>
    </row>
    <row r="2513">
      <c r="A2513" s="21" t="n">
        <v>2565</v>
      </c>
      <c r="B2513" s="21" t="inlineStr">
        <is>
          <t>Employee of the Month</t>
        </is>
      </c>
      <c r="C2513" s="21" t="n">
        <v>2006</v>
      </c>
      <c r="D2513" s="21" t="inlineStr">
        <is>
          <t>USA</t>
        </is>
      </c>
      <c r="E2513" s="21" t="n">
        <v>103</v>
      </c>
      <c r="F2513" s="21" t="inlineStr">
        <is>
          <t>English</t>
        </is>
      </c>
      <c r="G2513" s="21" t="inlineStr">
        <is>
          <t>PG-13</t>
        </is>
      </c>
      <c r="H2513" s="22" t="n">
        <v>28435406</v>
      </c>
      <c r="I2513" s="22" t="n">
        <v>12000000</v>
      </c>
      <c r="J2513" s="21">
        <f>IF(OR(H2513="",H2513=25529689.5),"Yes","No")</f>
        <v/>
      </c>
      <c r="K2513" s="21">
        <f>IF(AND(D2513="USA",C2513&gt;=1980,J2513="No"),"Yes","No")</f>
        <v/>
      </c>
      <c r="L2513" s="26">
        <f>IF(J2513="Yes","",H2513-I2513)</f>
        <v/>
      </c>
      <c r="M2513" s="27">
        <f>IF(OR(J2513="Yes",I2513=0),"",H2513/I2513)</f>
        <v/>
      </c>
      <c r="N2513" s="21">
        <f>IF(J2513="Yes","",IF(H2513&gt;=I2513,1,0))</f>
        <v/>
      </c>
      <c r="O2513" s="21">
        <f>IF(I2513&lt;=5000000,"Under $5M",IF(I2513&lt;=20000000,"$5M-20M",IF(I2513&lt;=50000000,"$20M-50M",IF(I2513&lt;=100000000,"$50M-100M","$100M+"))))</f>
        <v/>
      </c>
      <c r="P2513" s="21">
        <f>IF(E2513&lt;=90,"90 or less",IF(E2513&lt;=105,"91-105",IF(E2513&lt;=120,"106-120",IF(E2513&lt;=140,"121-140","Over 140"))))</f>
        <v/>
      </c>
      <c r="Q2513" s="28">
        <f>INT(C2513/10)*10</f>
        <v/>
      </c>
    </row>
    <row r="2514">
      <c r="A2514" s="21" t="n">
        <v>2566</v>
      </c>
      <c r="B2514" s="21" t="inlineStr">
        <is>
          <t>Eragon</t>
        </is>
      </c>
      <c r="C2514" s="21" t="n">
        <v>2006</v>
      </c>
      <c r="D2514" s="21" t="inlineStr">
        <is>
          <t>USA</t>
        </is>
      </c>
      <c r="E2514" s="21" t="n">
        <v>104</v>
      </c>
      <c r="F2514" s="21" t="inlineStr">
        <is>
          <t>English</t>
        </is>
      </c>
      <c r="G2514" s="21" t="inlineStr">
        <is>
          <t>PG</t>
        </is>
      </c>
      <c r="H2514" s="22" t="n">
        <v>75030163</v>
      </c>
      <c r="I2514" s="22" t="n">
        <v>100000000</v>
      </c>
      <c r="J2514" s="21">
        <f>IF(OR(H2514="",H2514=25529689.5),"Yes","No")</f>
        <v/>
      </c>
      <c r="K2514" s="21">
        <f>IF(AND(D2514="USA",C2514&gt;=1980,J2514="No"),"Yes","No")</f>
        <v/>
      </c>
      <c r="L2514" s="26">
        <f>IF(J2514="Yes","",H2514-I2514)</f>
        <v/>
      </c>
      <c r="M2514" s="27">
        <f>IF(OR(J2514="Yes",I2514=0),"",H2514/I2514)</f>
        <v/>
      </c>
      <c r="N2514" s="21">
        <f>IF(J2514="Yes","",IF(H2514&gt;=I2514,1,0))</f>
        <v/>
      </c>
      <c r="O2514" s="21">
        <f>IF(I2514&lt;=5000000,"Under $5M",IF(I2514&lt;=20000000,"$5M-20M",IF(I2514&lt;=50000000,"$20M-50M",IF(I2514&lt;=100000000,"$50M-100M","$100M+"))))</f>
        <v/>
      </c>
      <c r="P2514" s="21">
        <f>IF(E2514&lt;=90,"90 or less",IF(E2514&lt;=105,"91-105",IF(E2514&lt;=120,"106-120",IF(E2514&lt;=140,"121-140","Over 140"))))</f>
        <v/>
      </c>
      <c r="Q2514" s="28">
        <f>INT(C2514/10)*10</f>
        <v/>
      </c>
    </row>
    <row r="2515">
      <c r="A2515" s="21" t="n">
        <v>2567</v>
      </c>
      <c r="B2515" s="21" t="inlineStr">
        <is>
          <t>Exiled</t>
        </is>
      </c>
      <c r="C2515" s="21" t="n">
        <v>2006</v>
      </c>
      <c r="D2515" s="21" t="inlineStr">
        <is>
          <t>Hong Kong</t>
        </is>
      </c>
      <c r="E2515" s="21" t="n">
        <v>110</v>
      </c>
      <c r="F2515" s="21" t="inlineStr">
        <is>
          <t>Cantonese</t>
        </is>
      </c>
      <c r="G2515" s="21" t="inlineStr">
        <is>
          <t>R</t>
        </is>
      </c>
      <c r="H2515" s="22" t="n">
        <v>49413</v>
      </c>
      <c r="I2515" s="22" t="n">
        <v>35000000</v>
      </c>
      <c r="J2515" s="21">
        <f>IF(OR(H2515="",H2515=25529689.5),"Yes","No")</f>
        <v/>
      </c>
      <c r="K2515" s="21">
        <f>IF(AND(D2515="USA",C2515&gt;=1980,J2515="No"),"Yes","No")</f>
        <v/>
      </c>
      <c r="L2515" s="26">
        <f>IF(J2515="Yes","",H2515-I2515)</f>
        <v/>
      </c>
      <c r="M2515" s="27">
        <f>IF(OR(J2515="Yes",I2515=0),"",H2515/I2515)</f>
        <v/>
      </c>
      <c r="N2515" s="21">
        <f>IF(J2515="Yes","",IF(H2515&gt;=I2515,1,0))</f>
        <v/>
      </c>
      <c r="O2515" s="21">
        <f>IF(I2515&lt;=5000000,"Under $5M",IF(I2515&lt;=20000000,"$5M-20M",IF(I2515&lt;=50000000,"$20M-50M",IF(I2515&lt;=100000000,"$50M-100M","$100M+"))))</f>
        <v/>
      </c>
      <c r="P2515" s="21">
        <f>IF(E2515&lt;=90,"90 or less",IF(E2515&lt;=105,"91-105",IF(E2515&lt;=120,"106-120",IF(E2515&lt;=140,"121-140","Over 140"))))</f>
        <v/>
      </c>
      <c r="Q2515" s="28">
        <f>INT(C2515/10)*10</f>
        <v/>
      </c>
    </row>
    <row r="2516">
      <c r="A2516" s="21" t="n">
        <v>2568</v>
      </c>
      <c r="B2516" s="21" t="inlineStr">
        <is>
          <t>Eye of the Dolphin</t>
        </is>
      </c>
      <c r="C2516" s="21" t="n">
        <v>2006</v>
      </c>
      <c r="D2516" s="21" t="inlineStr">
        <is>
          <t>USA</t>
        </is>
      </c>
      <c r="E2516" s="21" t="n">
        <v>100</v>
      </c>
      <c r="F2516" s="21" t="inlineStr">
        <is>
          <t>English</t>
        </is>
      </c>
      <c r="G2516" s="21" t="inlineStr">
        <is>
          <t>PG-13</t>
        </is>
      </c>
      <c r="H2516" s="22" t="n">
        <v>71904</v>
      </c>
      <c r="I2516" s="22" t="n">
        <v>2500000</v>
      </c>
      <c r="J2516" s="21">
        <f>IF(OR(H2516="",H2516=25529689.5),"Yes","No")</f>
        <v/>
      </c>
      <c r="K2516" s="21">
        <f>IF(AND(D2516="USA",C2516&gt;=1980,J2516="No"),"Yes","No")</f>
        <v/>
      </c>
      <c r="L2516" s="26">
        <f>IF(J2516="Yes","",H2516-I2516)</f>
        <v/>
      </c>
      <c r="M2516" s="27">
        <f>IF(OR(J2516="Yes",I2516=0),"",H2516/I2516)</f>
        <v/>
      </c>
      <c r="N2516" s="21">
        <f>IF(J2516="Yes","",IF(H2516&gt;=I2516,1,0))</f>
        <v/>
      </c>
      <c r="O2516" s="21">
        <f>IF(I2516&lt;=5000000,"Under $5M",IF(I2516&lt;=20000000,"$5M-20M",IF(I2516&lt;=50000000,"$20M-50M",IF(I2516&lt;=100000000,"$50M-100M","$100M+"))))</f>
        <v/>
      </c>
      <c r="P2516" s="21">
        <f>IF(E2516&lt;=90,"90 or less",IF(E2516&lt;=105,"91-105",IF(E2516&lt;=120,"106-120",IF(E2516&lt;=140,"121-140","Over 140"))))</f>
        <v/>
      </c>
      <c r="Q2516" s="28">
        <f>INT(C2516/10)*10</f>
        <v/>
      </c>
    </row>
    <row r="2517">
      <c r="A2517" s="21" t="n">
        <v>2569</v>
      </c>
      <c r="B2517" s="21" t="inlineStr">
        <is>
          <t>Facing the Giants</t>
        </is>
      </c>
      <c r="C2517" s="21" t="n">
        <v>2006</v>
      </c>
      <c r="D2517" s="21" t="inlineStr">
        <is>
          <t>USA</t>
        </is>
      </c>
      <c r="E2517" s="21" t="n">
        <v>111</v>
      </c>
      <c r="F2517" s="21" t="inlineStr">
        <is>
          <t>English</t>
        </is>
      </c>
      <c r="G2517" s="21" t="inlineStr">
        <is>
          <t>PG</t>
        </is>
      </c>
      <c r="H2517" s="22" t="n">
        <v>10174663</v>
      </c>
      <c r="I2517" s="22" t="n">
        <v>100000</v>
      </c>
      <c r="J2517" s="21">
        <f>IF(OR(H2517="",H2517=25529689.5),"Yes","No")</f>
        <v/>
      </c>
      <c r="K2517" s="21">
        <f>IF(AND(D2517="USA",C2517&gt;=1980,J2517="No"),"Yes","No")</f>
        <v/>
      </c>
      <c r="L2517" s="26">
        <f>IF(J2517="Yes","",H2517-I2517)</f>
        <v/>
      </c>
      <c r="M2517" s="27">
        <f>IF(OR(J2517="Yes",I2517=0),"",H2517/I2517)</f>
        <v/>
      </c>
      <c r="N2517" s="21">
        <f>IF(J2517="Yes","",IF(H2517&gt;=I2517,1,0))</f>
        <v/>
      </c>
      <c r="O2517" s="21">
        <f>IF(I2517&lt;=5000000,"Under $5M",IF(I2517&lt;=20000000,"$5M-20M",IF(I2517&lt;=50000000,"$20M-50M",IF(I2517&lt;=100000000,"$50M-100M","$100M+"))))</f>
        <v/>
      </c>
      <c r="P2517" s="21">
        <f>IF(E2517&lt;=90,"90 or less",IF(E2517&lt;=105,"91-105",IF(E2517&lt;=120,"106-120",IF(E2517&lt;=140,"121-140","Over 140"))))</f>
        <v/>
      </c>
      <c r="Q2517" s="28">
        <f>INT(C2517/10)*10</f>
        <v/>
      </c>
    </row>
    <row r="2518">
      <c r="A2518" s="21" t="n">
        <v>2570</v>
      </c>
      <c r="B2518" s="21" t="inlineStr">
        <is>
          <t>Factory Girl</t>
        </is>
      </c>
      <c r="C2518" s="21" t="n">
        <v>2006</v>
      </c>
      <c r="D2518" s="21" t="inlineStr">
        <is>
          <t>USA</t>
        </is>
      </c>
      <c r="E2518" s="21" t="n">
        <v>99</v>
      </c>
      <c r="F2518" s="21" t="inlineStr">
        <is>
          <t>English</t>
        </is>
      </c>
      <c r="G2518" s="21" t="inlineStr">
        <is>
          <t>R</t>
        </is>
      </c>
      <c r="H2518" s="22" t="n">
        <v>1654367</v>
      </c>
      <c r="I2518" s="22" t="n">
        <v>7000000</v>
      </c>
      <c r="J2518" s="21">
        <f>IF(OR(H2518="",H2518=25529689.5),"Yes","No")</f>
        <v/>
      </c>
      <c r="K2518" s="21">
        <f>IF(AND(D2518="USA",C2518&gt;=1980,J2518="No"),"Yes","No")</f>
        <v/>
      </c>
      <c r="L2518" s="26">
        <f>IF(J2518="Yes","",H2518-I2518)</f>
        <v/>
      </c>
      <c r="M2518" s="27">
        <f>IF(OR(J2518="Yes",I2518=0),"",H2518/I2518)</f>
        <v/>
      </c>
      <c r="N2518" s="21">
        <f>IF(J2518="Yes","",IF(H2518&gt;=I2518,1,0))</f>
        <v/>
      </c>
      <c r="O2518" s="21">
        <f>IF(I2518&lt;=5000000,"Under $5M",IF(I2518&lt;=20000000,"$5M-20M",IF(I2518&lt;=50000000,"$20M-50M",IF(I2518&lt;=100000000,"$50M-100M","$100M+"))))</f>
        <v/>
      </c>
      <c r="P2518" s="21">
        <f>IF(E2518&lt;=90,"90 or less",IF(E2518&lt;=105,"91-105",IF(E2518&lt;=120,"106-120",IF(E2518&lt;=140,"121-140","Over 140"))))</f>
        <v/>
      </c>
      <c r="Q2518" s="28">
        <f>INT(C2518/10)*10</f>
        <v/>
      </c>
    </row>
    <row r="2519">
      <c r="A2519" s="21" t="n">
        <v>2571</v>
      </c>
      <c r="B2519" s="21" t="inlineStr">
        <is>
          <t>Failure to Launch</t>
        </is>
      </c>
      <c r="C2519" s="21" t="n">
        <v>2006</v>
      </c>
      <c r="D2519" s="21" t="inlineStr">
        <is>
          <t>USA</t>
        </is>
      </c>
      <c r="E2519" s="21" t="n">
        <v>95</v>
      </c>
      <c r="F2519" s="21" t="inlineStr">
        <is>
          <t>English</t>
        </is>
      </c>
      <c r="G2519" s="21" t="inlineStr">
        <is>
          <t>PG-13</t>
        </is>
      </c>
      <c r="H2519" s="22" t="n">
        <v>88658172</v>
      </c>
      <c r="I2519" s="22" t="n">
        <v>50000000</v>
      </c>
      <c r="J2519" s="21">
        <f>IF(OR(H2519="",H2519=25529689.5),"Yes","No")</f>
        <v/>
      </c>
      <c r="K2519" s="21">
        <f>IF(AND(D2519="USA",C2519&gt;=1980,J2519="No"),"Yes","No")</f>
        <v/>
      </c>
      <c r="L2519" s="26">
        <f>IF(J2519="Yes","",H2519-I2519)</f>
        <v/>
      </c>
      <c r="M2519" s="27">
        <f>IF(OR(J2519="Yes",I2519=0),"",H2519/I2519)</f>
        <v/>
      </c>
      <c r="N2519" s="21">
        <f>IF(J2519="Yes","",IF(H2519&gt;=I2519,1,0))</f>
        <v/>
      </c>
      <c r="O2519" s="21">
        <f>IF(I2519&lt;=5000000,"Under $5M",IF(I2519&lt;=20000000,"$5M-20M",IF(I2519&lt;=50000000,"$20M-50M",IF(I2519&lt;=100000000,"$50M-100M","$100M+"))))</f>
        <v/>
      </c>
      <c r="P2519" s="21">
        <f>IF(E2519&lt;=90,"90 or less",IF(E2519&lt;=105,"91-105",IF(E2519&lt;=120,"106-120",IF(E2519&lt;=140,"121-140","Over 140"))))</f>
        <v/>
      </c>
      <c r="Q2519" s="28">
        <f>INT(C2519/10)*10</f>
        <v/>
      </c>
    </row>
    <row r="2520">
      <c r="A2520" s="21" t="n">
        <v>2572</v>
      </c>
      <c r="B2520" s="21" t="inlineStr">
        <is>
          <t>Faith Like Potatoes</t>
        </is>
      </c>
      <c r="C2520" s="21" t="n">
        <v>2006</v>
      </c>
      <c r="D2520" s="21" t="inlineStr">
        <is>
          <t>South Africa</t>
        </is>
      </c>
      <c r="E2520" s="21" t="n">
        <v>116</v>
      </c>
      <c r="F2520" s="21" t="inlineStr">
        <is>
          <t>Zulu</t>
        </is>
      </c>
      <c r="G2520" s="21" t="inlineStr">
        <is>
          <t>PG</t>
        </is>
      </c>
      <c r="H2520" s="22" t="n">
        <v>25529689.5</v>
      </c>
      <c r="I2520" s="22" t="n">
        <v>10000000</v>
      </c>
      <c r="J2520" s="21">
        <f>IF(OR(H2520="",H2520=25529689.5),"Yes","No")</f>
        <v/>
      </c>
      <c r="K2520" s="21">
        <f>IF(AND(D2520="USA",C2520&gt;=1980,J2520="No"),"Yes","No")</f>
        <v/>
      </c>
      <c r="L2520" s="26">
        <f>IF(J2520="Yes","",H2520-I2520)</f>
        <v/>
      </c>
      <c r="M2520" s="27">
        <f>IF(OR(J2520="Yes",I2520=0),"",H2520/I2520)</f>
        <v/>
      </c>
      <c r="N2520" s="21">
        <f>IF(J2520="Yes","",IF(H2520&gt;=I2520,1,0))</f>
        <v/>
      </c>
      <c r="O2520" s="21">
        <f>IF(I2520&lt;=5000000,"Under $5M",IF(I2520&lt;=20000000,"$5M-20M",IF(I2520&lt;=50000000,"$20M-50M",IF(I2520&lt;=100000000,"$50M-100M","$100M+"))))</f>
        <v/>
      </c>
      <c r="P2520" s="21">
        <f>IF(E2520&lt;=90,"90 or less",IF(E2520&lt;=105,"91-105",IF(E2520&lt;=120,"106-120",IF(E2520&lt;=140,"121-140","Over 140"))))</f>
        <v/>
      </c>
      <c r="Q2520" s="28">
        <f>INT(C2520/10)*10</f>
        <v/>
      </c>
    </row>
    <row r="2521">
      <c r="A2521" s="21" t="n">
        <v>2573</v>
      </c>
      <c r="B2521" s="21" t="inlineStr">
        <is>
          <t>Farce of the Penguins</t>
        </is>
      </c>
      <c r="C2521" s="21" t="n">
        <v>2006</v>
      </c>
      <c r="D2521" s="21" t="inlineStr">
        <is>
          <t>USA</t>
        </is>
      </c>
      <c r="E2521" s="21" t="n">
        <v>80</v>
      </c>
      <c r="F2521" s="21" t="inlineStr">
        <is>
          <t>English</t>
        </is>
      </c>
      <c r="G2521" s="21" t="inlineStr">
        <is>
          <t>R</t>
        </is>
      </c>
      <c r="H2521" s="22" t="n">
        <v>25529689.5</v>
      </c>
      <c r="I2521" s="22" t="n">
        <v>20000000</v>
      </c>
      <c r="J2521" s="21">
        <f>IF(OR(H2521="",H2521=25529689.5),"Yes","No")</f>
        <v/>
      </c>
      <c r="K2521" s="21">
        <f>IF(AND(D2521="USA",C2521&gt;=1980,J2521="No"),"Yes","No")</f>
        <v/>
      </c>
      <c r="L2521" s="26">
        <f>IF(J2521="Yes","",H2521-I2521)</f>
        <v/>
      </c>
      <c r="M2521" s="27">
        <f>IF(OR(J2521="Yes",I2521=0),"",H2521/I2521)</f>
        <v/>
      </c>
      <c r="N2521" s="21">
        <f>IF(J2521="Yes","",IF(H2521&gt;=I2521,1,0))</f>
        <v/>
      </c>
      <c r="O2521" s="21">
        <f>IF(I2521&lt;=5000000,"Under $5M",IF(I2521&lt;=20000000,"$5M-20M",IF(I2521&lt;=50000000,"$20M-50M",IF(I2521&lt;=100000000,"$50M-100M","$100M+"))))</f>
        <v/>
      </c>
      <c r="P2521" s="21">
        <f>IF(E2521&lt;=90,"90 or less",IF(E2521&lt;=105,"91-105",IF(E2521&lt;=120,"106-120",IF(E2521&lt;=140,"121-140","Over 140"))))</f>
        <v/>
      </c>
      <c r="Q2521" s="28">
        <f>INT(C2521/10)*10</f>
        <v/>
      </c>
    </row>
    <row r="2522">
      <c r="A2522" s="21" t="n">
        <v>2574</v>
      </c>
      <c r="B2522" s="21" t="inlineStr">
        <is>
          <t>Fido</t>
        </is>
      </c>
      <c r="C2522" s="21" t="n">
        <v>2006</v>
      </c>
      <c r="D2522" s="21" t="inlineStr">
        <is>
          <t>Canada</t>
        </is>
      </c>
      <c r="E2522" s="21" t="n">
        <v>93</v>
      </c>
      <c r="F2522" s="21" t="inlineStr">
        <is>
          <t>English</t>
        </is>
      </c>
      <c r="G2522" s="21" t="inlineStr">
        <is>
          <t>R</t>
        </is>
      </c>
      <c r="H2522" s="22" t="n">
        <v>298110</v>
      </c>
      <c r="I2522" s="22" t="n">
        <v>8000000</v>
      </c>
      <c r="J2522" s="21">
        <f>IF(OR(H2522="",H2522=25529689.5),"Yes","No")</f>
        <v/>
      </c>
      <c r="K2522" s="21">
        <f>IF(AND(D2522="USA",C2522&gt;=1980,J2522="No"),"Yes","No")</f>
        <v/>
      </c>
      <c r="L2522" s="26">
        <f>IF(J2522="Yes","",H2522-I2522)</f>
        <v/>
      </c>
      <c r="M2522" s="27">
        <f>IF(OR(J2522="Yes",I2522=0),"",H2522/I2522)</f>
        <v/>
      </c>
      <c r="N2522" s="21">
        <f>IF(J2522="Yes","",IF(H2522&gt;=I2522,1,0))</f>
        <v/>
      </c>
      <c r="O2522" s="21">
        <f>IF(I2522&lt;=5000000,"Under $5M",IF(I2522&lt;=20000000,"$5M-20M",IF(I2522&lt;=50000000,"$20M-50M",IF(I2522&lt;=100000000,"$50M-100M","$100M+"))))</f>
        <v/>
      </c>
      <c r="P2522" s="21">
        <f>IF(E2522&lt;=90,"90 or less",IF(E2522&lt;=105,"91-105",IF(E2522&lt;=120,"106-120",IF(E2522&lt;=140,"121-140","Over 140"))))</f>
        <v/>
      </c>
      <c r="Q2522" s="28">
        <f>INT(C2522/10)*10</f>
        <v/>
      </c>
    </row>
    <row r="2523">
      <c r="A2523" s="21" t="n">
        <v>2575</v>
      </c>
      <c r="B2523" s="21" t="inlineStr">
        <is>
          <t>Final Destination 3</t>
        </is>
      </c>
      <c r="C2523" s="21" t="n">
        <v>2006</v>
      </c>
      <c r="D2523" s="21" t="inlineStr">
        <is>
          <t>Germany</t>
        </is>
      </c>
      <c r="E2523" s="21" t="n">
        <v>86</v>
      </c>
      <c r="F2523" s="21" t="inlineStr">
        <is>
          <t>English</t>
        </is>
      </c>
      <c r="G2523" s="21" t="inlineStr">
        <is>
          <t>R</t>
        </is>
      </c>
      <c r="H2523" s="22" t="n">
        <v>54098051</v>
      </c>
      <c r="I2523" s="22" t="n">
        <v>25000000</v>
      </c>
      <c r="J2523" s="21">
        <f>IF(OR(H2523="",H2523=25529689.5),"Yes","No")</f>
        <v/>
      </c>
      <c r="K2523" s="21">
        <f>IF(AND(D2523="USA",C2523&gt;=1980,J2523="No"),"Yes","No")</f>
        <v/>
      </c>
      <c r="L2523" s="26">
        <f>IF(J2523="Yes","",H2523-I2523)</f>
        <v/>
      </c>
      <c r="M2523" s="27">
        <f>IF(OR(J2523="Yes",I2523=0),"",H2523/I2523)</f>
        <v/>
      </c>
      <c r="N2523" s="21">
        <f>IF(J2523="Yes","",IF(H2523&gt;=I2523,1,0))</f>
        <v/>
      </c>
      <c r="O2523" s="21">
        <f>IF(I2523&lt;=5000000,"Under $5M",IF(I2523&lt;=20000000,"$5M-20M",IF(I2523&lt;=50000000,"$20M-50M",IF(I2523&lt;=100000000,"$50M-100M","$100M+"))))</f>
        <v/>
      </c>
      <c r="P2523" s="21">
        <f>IF(E2523&lt;=90,"90 or less",IF(E2523&lt;=105,"91-105",IF(E2523&lt;=120,"106-120",IF(E2523&lt;=140,"121-140","Over 140"))))</f>
        <v/>
      </c>
      <c r="Q2523" s="28">
        <f>INT(C2523/10)*10</f>
        <v/>
      </c>
    </row>
    <row r="2524">
      <c r="A2524" s="21" t="n">
        <v>2576</v>
      </c>
      <c r="B2524" s="21" t="inlineStr">
        <is>
          <t>Find Me Guilty</t>
        </is>
      </c>
      <c r="C2524" s="21" t="n">
        <v>2006</v>
      </c>
      <c r="D2524" s="21" t="inlineStr">
        <is>
          <t>Germany</t>
        </is>
      </c>
      <c r="E2524" s="21" t="n">
        <v>125</v>
      </c>
      <c r="F2524" s="21" t="inlineStr">
        <is>
          <t>English</t>
        </is>
      </c>
      <c r="G2524" s="21" t="inlineStr">
        <is>
          <t>R</t>
        </is>
      </c>
      <c r="H2524" s="22" t="n">
        <v>1172769</v>
      </c>
      <c r="I2524" s="22" t="n">
        <v>13000000</v>
      </c>
      <c r="J2524" s="21">
        <f>IF(OR(H2524="",H2524=25529689.5),"Yes","No")</f>
        <v/>
      </c>
      <c r="K2524" s="21">
        <f>IF(AND(D2524="USA",C2524&gt;=1980,J2524="No"),"Yes","No")</f>
        <v/>
      </c>
      <c r="L2524" s="26">
        <f>IF(J2524="Yes","",H2524-I2524)</f>
        <v/>
      </c>
      <c r="M2524" s="27">
        <f>IF(OR(J2524="Yes",I2524=0),"",H2524/I2524)</f>
        <v/>
      </c>
      <c r="N2524" s="21">
        <f>IF(J2524="Yes","",IF(H2524&gt;=I2524,1,0))</f>
        <v/>
      </c>
      <c r="O2524" s="21">
        <f>IF(I2524&lt;=5000000,"Under $5M",IF(I2524&lt;=20000000,"$5M-20M",IF(I2524&lt;=50000000,"$20M-50M",IF(I2524&lt;=100000000,"$50M-100M","$100M+"))))</f>
        <v/>
      </c>
      <c r="P2524" s="21">
        <f>IF(E2524&lt;=90,"90 or less",IF(E2524&lt;=105,"91-105",IF(E2524&lt;=120,"106-120",IF(E2524&lt;=140,"121-140","Over 140"))))</f>
        <v/>
      </c>
      <c r="Q2524" s="28">
        <f>INT(C2524/10)*10</f>
        <v/>
      </c>
    </row>
    <row r="2525">
      <c r="A2525" s="21" t="n">
        <v>2577</v>
      </c>
      <c r="B2525" s="21" t="inlineStr">
        <is>
          <t>Firewall</t>
        </is>
      </c>
      <c r="C2525" s="21" t="n">
        <v>2006</v>
      </c>
      <c r="D2525" s="21" t="inlineStr">
        <is>
          <t>USA</t>
        </is>
      </c>
      <c r="E2525" s="21" t="n">
        <v>105</v>
      </c>
      <c r="F2525" s="21" t="inlineStr">
        <is>
          <t>English</t>
        </is>
      </c>
      <c r="G2525" s="21" t="inlineStr">
        <is>
          <t>PG-13</t>
        </is>
      </c>
      <c r="H2525" s="22" t="n">
        <v>48745150</v>
      </c>
      <c r="I2525" s="22" t="n">
        <v>50000000</v>
      </c>
      <c r="J2525" s="21">
        <f>IF(OR(H2525="",H2525=25529689.5),"Yes","No")</f>
        <v/>
      </c>
      <c r="K2525" s="21">
        <f>IF(AND(D2525="USA",C2525&gt;=1980,J2525="No"),"Yes","No")</f>
        <v/>
      </c>
      <c r="L2525" s="26">
        <f>IF(J2525="Yes","",H2525-I2525)</f>
        <v/>
      </c>
      <c r="M2525" s="27">
        <f>IF(OR(J2525="Yes",I2525=0),"",H2525/I2525)</f>
        <v/>
      </c>
      <c r="N2525" s="21">
        <f>IF(J2525="Yes","",IF(H2525&gt;=I2525,1,0))</f>
        <v/>
      </c>
      <c r="O2525" s="21">
        <f>IF(I2525&lt;=5000000,"Under $5M",IF(I2525&lt;=20000000,"$5M-20M",IF(I2525&lt;=50000000,"$20M-50M",IF(I2525&lt;=100000000,"$50M-100M","$100M+"))))</f>
        <v/>
      </c>
      <c r="P2525" s="21">
        <f>IF(E2525&lt;=90,"90 or less",IF(E2525&lt;=105,"91-105",IF(E2525&lt;=120,"106-120",IF(E2525&lt;=140,"121-140","Over 140"))))</f>
        <v/>
      </c>
      <c r="Q2525" s="28">
        <f>INT(C2525/10)*10</f>
        <v/>
      </c>
    </row>
    <row r="2526">
      <c r="A2526" s="21" t="n">
        <v>2578</v>
      </c>
      <c r="B2526" s="21" t="inlineStr">
        <is>
          <t>Flags of Our Fathers</t>
        </is>
      </c>
      <c r="C2526" s="21" t="n">
        <v>2006</v>
      </c>
      <c r="D2526" s="21" t="inlineStr">
        <is>
          <t>USA</t>
        </is>
      </c>
      <c r="E2526" s="21" t="n">
        <v>135</v>
      </c>
      <c r="F2526" s="21" t="inlineStr">
        <is>
          <t>English</t>
        </is>
      </c>
      <c r="G2526" s="21" t="inlineStr">
        <is>
          <t>R</t>
        </is>
      </c>
      <c r="H2526" s="22" t="n">
        <v>33574332</v>
      </c>
      <c r="I2526" s="22" t="n">
        <v>90000000</v>
      </c>
      <c r="J2526" s="21">
        <f>IF(OR(H2526="",H2526=25529689.5),"Yes","No")</f>
        <v/>
      </c>
      <c r="K2526" s="21">
        <f>IF(AND(D2526="USA",C2526&gt;=1980,J2526="No"),"Yes","No")</f>
        <v/>
      </c>
      <c r="L2526" s="26">
        <f>IF(J2526="Yes","",H2526-I2526)</f>
        <v/>
      </c>
      <c r="M2526" s="27">
        <f>IF(OR(J2526="Yes",I2526=0),"",H2526/I2526)</f>
        <v/>
      </c>
      <c r="N2526" s="21">
        <f>IF(J2526="Yes","",IF(H2526&gt;=I2526,1,0))</f>
        <v/>
      </c>
      <c r="O2526" s="21">
        <f>IF(I2526&lt;=5000000,"Under $5M",IF(I2526&lt;=20000000,"$5M-20M",IF(I2526&lt;=50000000,"$20M-50M",IF(I2526&lt;=100000000,"$50M-100M","$100M+"))))</f>
        <v/>
      </c>
      <c r="P2526" s="21">
        <f>IF(E2526&lt;=90,"90 or less",IF(E2526&lt;=105,"91-105",IF(E2526&lt;=120,"106-120",IF(E2526&lt;=140,"121-140","Over 140"))))</f>
        <v/>
      </c>
      <c r="Q2526" s="28">
        <f>INT(C2526/10)*10</f>
        <v/>
      </c>
    </row>
    <row r="2527">
      <c r="A2527" s="21" t="n">
        <v>2579</v>
      </c>
      <c r="B2527" s="21" t="inlineStr">
        <is>
          <t>Flicka</t>
        </is>
      </c>
      <c r="C2527" s="21" t="n">
        <v>2006</v>
      </c>
      <c r="D2527" s="21" t="inlineStr">
        <is>
          <t>USA</t>
        </is>
      </c>
      <c r="E2527" s="21" t="n">
        <v>95</v>
      </c>
      <c r="F2527" s="21" t="inlineStr">
        <is>
          <t>English</t>
        </is>
      </c>
      <c r="G2527" s="21" t="inlineStr">
        <is>
          <t>PG</t>
        </is>
      </c>
      <c r="H2527" s="22" t="n">
        <v>20998709</v>
      </c>
      <c r="I2527" s="22" t="n">
        <v>15000000</v>
      </c>
      <c r="J2527" s="21">
        <f>IF(OR(H2527="",H2527=25529689.5),"Yes","No")</f>
        <v/>
      </c>
      <c r="K2527" s="21">
        <f>IF(AND(D2527="USA",C2527&gt;=1980,J2527="No"),"Yes","No")</f>
        <v/>
      </c>
      <c r="L2527" s="26">
        <f>IF(J2527="Yes","",H2527-I2527)</f>
        <v/>
      </c>
      <c r="M2527" s="27">
        <f>IF(OR(J2527="Yes",I2527=0),"",H2527/I2527)</f>
        <v/>
      </c>
      <c r="N2527" s="21">
        <f>IF(J2527="Yes","",IF(H2527&gt;=I2527,1,0))</f>
        <v/>
      </c>
      <c r="O2527" s="21">
        <f>IF(I2527&lt;=5000000,"Under $5M",IF(I2527&lt;=20000000,"$5M-20M",IF(I2527&lt;=50000000,"$20M-50M",IF(I2527&lt;=100000000,"$50M-100M","$100M+"))))</f>
        <v/>
      </c>
      <c r="P2527" s="21">
        <f>IF(E2527&lt;=90,"90 or less",IF(E2527&lt;=105,"91-105",IF(E2527&lt;=120,"106-120",IF(E2527&lt;=140,"121-140","Over 140"))))</f>
        <v/>
      </c>
      <c r="Q2527" s="28">
        <f>INT(C2527/10)*10</f>
        <v/>
      </c>
    </row>
    <row r="2528">
      <c r="A2528" s="21" t="n">
        <v>2580</v>
      </c>
      <c r="B2528" s="21" t="inlineStr">
        <is>
          <t>Flushed Away</t>
        </is>
      </c>
      <c r="C2528" s="21" t="n">
        <v>2006</v>
      </c>
      <c r="D2528" s="21" t="inlineStr">
        <is>
          <t>UK</t>
        </is>
      </c>
      <c r="E2528" s="21" t="n">
        <v>85</v>
      </c>
      <c r="F2528" s="21" t="inlineStr">
        <is>
          <t>English</t>
        </is>
      </c>
      <c r="G2528" s="21" t="inlineStr">
        <is>
          <t>PG</t>
        </is>
      </c>
      <c r="H2528" s="22" t="n">
        <v>64459316</v>
      </c>
      <c r="I2528" s="22" t="n">
        <v>149000000</v>
      </c>
      <c r="J2528" s="21">
        <f>IF(OR(H2528="",H2528=25529689.5),"Yes","No")</f>
        <v/>
      </c>
      <c r="K2528" s="21">
        <f>IF(AND(D2528="USA",C2528&gt;=1980,J2528="No"),"Yes","No")</f>
        <v/>
      </c>
      <c r="L2528" s="26">
        <f>IF(J2528="Yes","",H2528-I2528)</f>
        <v/>
      </c>
      <c r="M2528" s="27">
        <f>IF(OR(J2528="Yes",I2528=0),"",H2528/I2528)</f>
        <v/>
      </c>
      <c r="N2528" s="21">
        <f>IF(J2528="Yes","",IF(H2528&gt;=I2528,1,0))</f>
        <v/>
      </c>
      <c r="O2528" s="21">
        <f>IF(I2528&lt;=5000000,"Under $5M",IF(I2528&lt;=20000000,"$5M-20M",IF(I2528&lt;=50000000,"$20M-50M",IF(I2528&lt;=100000000,"$50M-100M","$100M+"))))</f>
        <v/>
      </c>
      <c r="P2528" s="21">
        <f>IF(E2528&lt;=90,"90 or less",IF(E2528&lt;=105,"91-105",IF(E2528&lt;=120,"106-120",IF(E2528&lt;=140,"121-140","Over 140"))))</f>
        <v/>
      </c>
      <c r="Q2528" s="28">
        <f>INT(C2528/10)*10</f>
        <v/>
      </c>
    </row>
    <row r="2529">
      <c r="A2529" s="21" t="n">
        <v>2581</v>
      </c>
      <c r="B2529" s="21" t="inlineStr">
        <is>
          <t>Flyboys</t>
        </is>
      </c>
      <c r="C2529" s="21" t="n">
        <v>2006</v>
      </c>
      <c r="D2529" s="21" t="inlineStr">
        <is>
          <t>UK</t>
        </is>
      </c>
      <c r="E2529" s="21" t="n">
        <v>140</v>
      </c>
      <c r="F2529" s="21" t="inlineStr">
        <is>
          <t>English</t>
        </is>
      </c>
      <c r="G2529" s="21" t="inlineStr">
        <is>
          <t>PG-13</t>
        </is>
      </c>
      <c r="H2529" s="22" t="n">
        <v>13082288</v>
      </c>
      <c r="I2529" s="22" t="n">
        <v>60000000</v>
      </c>
      <c r="J2529" s="21">
        <f>IF(OR(H2529="",H2529=25529689.5),"Yes","No")</f>
        <v/>
      </c>
      <c r="K2529" s="21">
        <f>IF(AND(D2529="USA",C2529&gt;=1980,J2529="No"),"Yes","No")</f>
        <v/>
      </c>
      <c r="L2529" s="26">
        <f>IF(J2529="Yes","",H2529-I2529)</f>
        <v/>
      </c>
      <c r="M2529" s="27">
        <f>IF(OR(J2529="Yes",I2529=0),"",H2529/I2529)</f>
        <v/>
      </c>
      <c r="N2529" s="21">
        <f>IF(J2529="Yes","",IF(H2529&gt;=I2529,1,0))</f>
        <v/>
      </c>
      <c r="O2529" s="21">
        <f>IF(I2529&lt;=5000000,"Under $5M",IF(I2529&lt;=20000000,"$5M-20M",IF(I2529&lt;=50000000,"$20M-50M",IF(I2529&lt;=100000000,"$50M-100M","$100M+"))))</f>
        <v/>
      </c>
      <c r="P2529" s="21">
        <f>IF(E2529&lt;=90,"90 or less",IF(E2529&lt;=105,"91-105",IF(E2529&lt;=120,"106-120",IF(E2529&lt;=140,"121-140","Over 140"))))</f>
        <v/>
      </c>
      <c r="Q2529" s="28">
        <f>INT(C2529/10)*10</f>
        <v/>
      </c>
    </row>
    <row r="2530">
      <c r="A2530" s="21" t="n">
        <v>2582</v>
      </c>
      <c r="B2530" s="21" t="inlineStr">
        <is>
          <t>For Your Consideration</t>
        </is>
      </c>
      <c r="C2530" s="21" t="n">
        <v>2006</v>
      </c>
      <c r="D2530" s="21" t="inlineStr">
        <is>
          <t>USA</t>
        </is>
      </c>
      <c r="E2530" s="21" t="n">
        <v>86</v>
      </c>
      <c r="F2530" s="21" t="inlineStr">
        <is>
          <t>English</t>
        </is>
      </c>
      <c r="G2530" s="21" t="inlineStr">
        <is>
          <t>PG-13</t>
        </is>
      </c>
      <c r="H2530" s="22" t="n">
        <v>5542025</v>
      </c>
      <c r="I2530" s="22" t="n">
        <v>12000000</v>
      </c>
      <c r="J2530" s="21">
        <f>IF(OR(H2530="",H2530=25529689.5),"Yes","No")</f>
        <v/>
      </c>
      <c r="K2530" s="21">
        <f>IF(AND(D2530="USA",C2530&gt;=1980,J2530="No"),"Yes","No")</f>
        <v/>
      </c>
      <c r="L2530" s="26">
        <f>IF(J2530="Yes","",H2530-I2530)</f>
        <v/>
      </c>
      <c r="M2530" s="27">
        <f>IF(OR(J2530="Yes",I2530=0),"",H2530/I2530)</f>
        <v/>
      </c>
      <c r="N2530" s="21">
        <f>IF(J2530="Yes","",IF(H2530&gt;=I2530,1,0))</f>
        <v/>
      </c>
      <c r="O2530" s="21">
        <f>IF(I2530&lt;=5000000,"Under $5M",IF(I2530&lt;=20000000,"$5M-20M",IF(I2530&lt;=50000000,"$20M-50M",IF(I2530&lt;=100000000,"$50M-100M","$100M+"))))</f>
        <v/>
      </c>
      <c r="P2530" s="21">
        <f>IF(E2530&lt;=90,"90 or less",IF(E2530&lt;=105,"91-105",IF(E2530&lt;=120,"106-120",IF(E2530&lt;=140,"121-140","Over 140"))))</f>
        <v/>
      </c>
      <c r="Q2530" s="28">
        <f>INT(C2530/10)*10</f>
        <v/>
      </c>
    </row>
    <row r="2531">
      <c r="A2531" s="21" t="n">
        <v>2583</v>
      </c>
      <c r="B2531" s="21" t="inlineStr">
        <is>
          <t>Friends with Money</t>
        </is>
      </c>
      <c r="C2531" s="21" t="n">
        <v>2006</v>
      </c>
      <c r="D2531" s="21" t="inlineStr">
        <is>
          <t>USA</t>
        </is>
      </c>
      <c r="E2531" s="21" t="n">
        <v>88</v>
      </c>
      <c r="F2531" s="21" t="inlineStr">
        <is>
          <t>English</t>
        </is>
      </c>
      <c r="G2531" s="21" t="inlineStr">
        <is>
          <t>R</t>
        </is>
      </c>
      <c r="H2531" s="22" t="n">
        <v>13367101</v>
      </c>
      <c r="I2531" s="22" t="n">
        <v>6500000</v>
      </c>
      <c r="J2531" s="21">
        <f>IF(OR(H2531="",H2531=25529689.5),"Yes","No")</f>
        <v/>
      </c>
      <c r="K2531" s="21">
        <f>IF(AND(D2531="USA",C2531&gt;=1980,J2531="No"),"Yes","No")</f>
        <v/>
      </c>
      <c r="L2531" s="26">
        <f>IF(J2531="Yes","",H2531-I2531)</f>
        <v/>
      </c>
      <c r="M2531" s="27">
        <f>IF(OR(J2531="Yes",I2531=0),"",H2531/I2531)</f>
        <v/>
      </c>
      <c r="N2531" s="21">
        <f>IF(J2531="Yes","",IF(H2531&gt;=I2531,1,0))</f>
        <v/>
      </c>
      <c r="O2531" s="21">
        <f>IF(I2531&lt;=5000000,"Under $5M",IF(I2531&lt;=20000000,"$5M-20M",IF(I2531&lt;=50000000,"$20M-50M",IF(I2531&lt;=100000000,"$50M-100M","$100M+"))))</f>
        <v/>
      </c>
      <c r="P2531" s="21">
        <f>IF(E2531&lt;=90,"90 or less",IF(E2531&lt;=105,"91-105",IF(E2531&lt;=120,"106-120",IF(E2531&lt;=140,"121-140","Over 140"))))</f>
        <v/>
      </c>
      <c r="Q2531" s="28">
        <f>INT(C2531/10)*10</f>
        <v/>
      </c>
    </row>
    <row r="2532">
      <c r="A2532" s="21" t="n">
        <v>2584</v>
      </c>
      <c r="B2532" s="21" t="inlineStr">
        <is>
          <t>Fur: An Imaginary Portrait of Diane Arbus</t>
        </is>
      </c>
      <c r="C2532" s="21" t="n">
        <v>2006</v>
      </c>
      <c r="D2532" s="21" t="inlineStr">
        <is>
          <t>USA</t>
        </is>
      </c>
      <c r="E2532" s="21" t="n">
        <v>122</v>
      </c>
      <c r="F2532" s="21" t="inlineStr">
        <is>
          <t>English</t>
        </is>
      </c>
      <c r="G2532" s="21" t="inlineStr">
        <is>
          <t>R</t>
        </is>
      </c>
      <c r="H2532" s="22" t="n">
        <v>220914</v>
      </c>
      <c r="I2532" s="22" t="n">
        <v>16800000</v>
      </c>
      <c r="J2532" s="21">
        <f>IF(OR(H2532="",H2532=25529689.5),"Yes","No")</f>
        <v/>
      </c>
      <c r="K2532" s="21">
        <f>IF(AND(D2532="USA",C2532&gt;=1980,J2532="No"),"Yes","No")</f>
        <v/>
      </c>
      <c r="L2532" s="26">
        <f>IF(J2532="Yes","",H2532-I2532)</f>
        <v/>
      </c>
      <c r="M2532" s="27">
        <f>IF(OR(J2532="Yes",I2532=0),"",H2532/I2532)</f>
        <v/>
      </c>
      <c r="N2532" s="21">
        <f>IF(J2532="Yes","",IF(H2532&gt;=I2532,1,0))</f>
        <v/>
      </c>
      <c r="O2532" s="21">
        <f>IF(I2532&lt;=5000000,"Under $5M",IF(I2532&lt;=20000000,"$5M-20M",IF(I2532&lt;=50000000,"$20M-50M",IF(I2532&lt;=100000000,"$50M-100M","$100M+"))))</f>
        <v/>
      </c>
      <c r="P2532" s="21">
        <f>IF(E2532&lt;=90,"90 or less",IF(E2532&lt;=105,"91-105",IF(E2532&lt;=120,"106-120",IF(E2532&lt;=140,"121-140","Over 140"))))</f>
        <v/>
      </c>
      <c r="Q2532" s="28">
        <f>INT(C2532/10)*10</f>
        <v/>
      </c>
    </row>
    <row r="2533">
      <c r="A2533" s="21" t="n">
        <v>2585</v>
      </c>
      <c r="B2533" s="21" t="inlineStr">
        <is>
          <t>Garfield 2</t>
        </is>
      </c>
      <c r="C2533" s="21" t="n">
        <v>2006</v>
      </c>
      <c r="D2533" s="21" t="inlineStr">
        <is>
          <t>UK</t>
        </is>
      </c>
      <c r="E2533" s="21" t="n">
        <v>86</v>
      </c>
      <c r="F2533" s="21" t="inlineStr">
        <is>
          <t>English</t>
        </is>
      </c>
      <c r="G2533" s="21" t="inlineStr">
        <is>
          <t>PG</t>
        </is>
      </c>
      <c r="H2533" s="22" t="n">
        <v>28424210</v>
      </c>
      <c r="I2533" s="22" t="n">
        <v>20000000</v>
      </c>
      <c r="J2533" s="21">
        <f>IF(OR(H2533="",H2533=25529689.5),"Yes","No")</f>
        <v/>
      </c>
      <c r="K2533" s="21">
        <f>IF(AND(D2533="USA",C2533&gt;=1980,J2533="No"),"Yes","No")</f>
        <v/>
      </c>
      <c r="L2533" s="26">
        <f>IF(J2533="Yes","",H2533-I2533)</f>
        <v/>
      </c>
      <c r="M2533" s="27">
        <f>IF(OR(J2533="Yes",I2533=0),"",H2533/I2533)</f>
        <v/>
      </c>
      <c r="N2533" s="21">
        <f>IF(J2533="Yes","",IF(H2533&gt;=I2533,1,0))</f>
        <v/>
      </c>
      <c r="O2533" s="21">
        <f>IF(I2533&lt;=5000000,"Under $5M",IF(I2533&lt;=20000000,"$5M-20M",IF(I2533&lt;=50000000,"$20M-50M",IF(I2533&lt;=100000000,"$50M-100M","$100M+"))))</f>
        <v/>
      </c>
      <c r="P2533" s="21">
        <f>IF(E2533&lt;=90,"90 or less",IF(E2533&lt;=105,"91-105",IF(E2533&lt;=120,"106-120",IF(E2533&lt;=140,"121-140","Over 140"))))</f>
        <v/>
      </c>
      <c r="Q2533" s="28">
        <f>INT(C2533/10)*10</f>
        <v/>
      </c>
    </row>
    <row r="2534">
      <c r="A2534" s="21" t="n">
        <v>2586</v>
      </c>
      <c r="B2534" s="21" t="inlineStr">
        <is>
          <t>Glory Road</t>
        </is>
      </c>
      <c r="C2534" s="21" t="n">
        <v>2006</v>
      </c>
      <c r="D2534" s="21" t="inlineStr">
        <is>
          <t>USA</t>
        </is>
      </c>
      <c r="E2534" s="21" t="n">
        <v>118</v>
      </c>
      <c r="F2534" s="21" t="inlineStr">
        <is>
          <t>English</t>
        </is>
      </c>
      <c r="G2534" s="21" t="inlineStr">
        <is>
          <t>PG</t>
        </is>
      </c>
      <c r="H2534" s="22" t="n">
        <v>42643187</v>
      </c>
      <c r="I2534" s="22" t="n">
        <v>20000000</v>
      </c>
      <c r="J2534" s="21">
        <f>IF(OR(H2534="",H2534=25529689.5),"Yes","No")</f>
        <v/>
      </c>
      <c r="K2534" s="21">
        <f>IF(AND(D2534="USA",C2534&gt;=1980,J2534="No"),"Yes","No")</f>
        <v/>
      </c>
      <c r="L2534" s="26">
        <f>IF(J2534="Yes","",H2534-I2534)</f>
        <v/>
      </c>
      <c r="M2534" s="27">
        <f>IF(OR(J2534="Yes",I2534=0),"",H2534/I2534)</f>
        <v/>
      </c>
      <c r="N2534" s="21">
        <f>IF(J2534="Yes","",IF(H2534&gt;=I2534,1,0))</f>
        <v/>
      </c>
      <c r="O2534" s="21">
        <f>IF(I2534&lt;=5000000,"Under $5M",IF(I2534&lt;=20000000,"$5M-20M",IF(I2534&lt;=50000000,"$20M-50M",IF(I2534&lt;=100000000,"$50M-100M","$100M+"))))</f>
        <v/>
      </c>
      <c r="P2534" s="21">
        <f>IF(E2534&lt;=90,"90 or less",IF(E2534&lt;=105,"91-105",IF(E2534&lt;=120,"106-120",IF(E2534&lt;=140,"121-140","Over 140"))))</f>
        <v/>
      </c>
      <c r="Q2534" s="28">
        <f>INT(C2534/10)*10</f>
        <v/>
      </c>
    </row>
    <row r="2535">
      <c r="A2535" s="21" t="n">
        <v>2587</v>
      </c>
      <c r="B2535" s="21" t="inlineStr">
        <is>
          <t>Grandma's Boy</t>
        </is>
      </c>
      <c r="C2535" s="21" t="n">
        <v>2006</v>
      </c>
      <c r="D2535" s="21" t="inlineStr">
        <is>
          <t>USA</t>
        </is>
      </c>
      <c r="E2535" s="21" t="n">
        <v>90</v>
      </c>
      <c r="F2535" s="21" t="inlineStr">
        <is>
          <t>English</t>
        </is>
      </c>
      <c r="G2535" s="21" t="inlineStr">
        <is>
          <t>R</t>
        </is>
      </c>
      <c r="H2535" s="22" t="n">
        <v>6088249</v>
      </c>
      <c r="I2535" s="22" t="n">
        <v>20000000</v>
      </c>
      <c r="J2535" s="21">
        <f>IF(OR(H2535="",H2535=25529689.5),"Yes","No")</f>
        <v/>
      </c>
      <c r="K2535" s="21">
        <f>IF(AND(D2535="USA",C2535&gt;=1980,J2535="No"),"Yes","No")</f>
        <v/>
      </c>
      <c r="L2535" s="26">
        <f>IF(J2535="Yes","",H2535-I2535)</f>
        <v/>
      </c>
      <c r="M2535" s="27">
        <f>IF(OR(J2535="Yes",I2535=0),"",H2535/I2535)</f>
        <v/>
      </c>
      <c r="N2535" s="21">
        <f>IF(J2535="Yes","",IF(H2535&gt;=I2535,1,0))</f>
        <v/>
      </c>
      <c r="O2535" s="21">
        <f>IF(I2535&lt;=5000000,"Under $5M",IF(I2535&lt;=20000000,"$5M-20M",IF(I2535&lt;=50000000,"$20M-50M",IF(I2535&lt;=100000000,"$50M-100M","$100M+"))))</f>
        <v/>
      </c>
      <c r="P2535" s="21">
        <f>IF(E2535&lt;=90,"90 or less",IF(E2535&lt;=105,"91-105",IF(E2535&lt;=120,"106-120",IF(E2535&lt;=140,"121-140","Over 140"))))</f>
        <v/>
      </c>
      <c r="Q2535" s="28">
        <f>INT(C2535/10)*10</f>
        <v/>
      </c>
    </row>
    <row r="2536">
      <c r="A2536" s="21" t="n">
        <v>2588</v>
      </c>
      <c r="B2536" s="21" t="inlineStr">
        <is>
          <t>Gridiron Gang</t>
        </is>
      </c>
      <c r="C2536" s="21" t="n">
        <v>2006</v>
      </c>
      <c r="D2536" s="21" t="inlineStr">
        <is>
          <t>USA</t>
        </is>
      </c>
      <c r="E2536" s="21" t="n">
        <v>125</v>
      </c>
      <c r="F2536" s="21" t="inlineStr">
        <is>
          <t>English</t>
        </is>
      </c>
      <c r="G2536" s="21" t="inlineStr">
        <is>
          <t>PG-13</t>
        </is>
      </c>
      <c r="H2536" s="22" t="n">
        <v>38432823</v>
      </c>
      <c r="I2536" s="22" t="n">
        <v>30000000</v>
      </c>
      <c r="J2536" s="21">
        <f>IF(OR(H2536="",H2536=25529689.5),"Yes","No")</f>
        <v/>
      </c>
      <c r="K2536" s="21">
        <f>IF(AND(D2536="USA",C2536&gt;=1980,J2536="No"),"Yes","No")</f>
        <v/>
      </c>
      <c r="L2536" s="26">
        <f>IF(J2536="Yes","",H2536-I2536)</f>
        <v/>
      </c>
      <c r="M2536" s="27">
        <f>IF(OR(J2536="Yes",I2536=0),"",H2536/I2536)</f>
        <v/>
      </c>
      <c r="N2536" s="21">
        <f>IF(J2536="Yes","",IF(H2536&gt;=I2536,1,0))</f>
        <v/>
      </c>
      <c r="O2536" s="21">
        <f>IF(I2536&lt;=5000000,"Under $5M",IF(I2536&lt;=20000000,"$5M-20M",IF(I2536&lt;=50000000,"$20M-50M",IF(I2536&lt;=100000000,"$50M-100M","$100M+"))))</f>
        <v/>
      </c>
      <c r="P2536" s="21">
        <f>IF(E2536&lt;=90,"90 or less",IF(E2536&lt;=105,"91-105",IF(E2536&lt;=120,"106-120",IF(E2536&lt;=140,"121-140","Over 140"))))</f>
        <v/>
      </c>
      <c r="Q2536" s="28">
        <f>INT(C2536/10)*10</f>
        <v/>
      </c>
    </row>
    <row r="2537">
      <c r="A2537" s="21" t="n">
        <v>2589</v>
      </c>
      <c r="B2537" s="21" t="inlineStr">
        <is>
          <t>Half Nelson</t>
        </is>
      </c>
      <c r="C2537" s="21" t="n">
        <v>2006</v>
      </c>
      <c r="D2537" s="21" t="inlineStr">
        <is>
          <t>USA</t>
        </is>
      </c>
      <c r="E2537" s="21" t="n">
        <v>106</v>
      </c>
      <c r="F2537" s="21" t="inlineStr">
        <is>
          <t>English</t>
        </is>
      </c>
      <c r="G2537" s="21" t="inlineStr">
        <is>
          <t>R</t>
        </is>
      </c>
      <c r="H2537" s="22" t="n">
        <v>2694973</v>
      </c>
      <c r="I2537" s="22" t="n">
        <v>700000</v>
      </c>
      <c r="J2537" s="21">
        <f>IF(OR(H2537="",H2537=25529689.5),"Yes","No")</f>
        <v/>
      </c>
      <c r="K2537" s="21">
        <f>IF(AND(D2537="USA",C2537&gt;=1980,J2537="No"),"Yes","No")</f>
        <v/>
      </c>
      <c r="L2537" s="26">
        <f>IF(J2537="Yes","",H2537-I2537)</f>
        <v/>
      </c>
      <c r="M2537" s="27">
        <f>IF(OR(J2537="Yes",I2537=0),"",H2537/I2537)</f>
        <v/>
      </c>
      <c r="N2537" s="21">
        <f>IF(J2537="Yes","",IF(H2537&gt;=I2537,1,0))</f>
        <v/>
      </c>
      <c r="O2537" s="21">
        <f>IF(I2537&lt;=5000000,"Under $5M",IF(I2537&lt;=20000000,"$5M-20M",IF(I2537&lt;=50000000,"$20M-50M",IF(I2537&lt;=100000000,"$50M-100M","$100M+"))))</f>
        <v/>
      </c>
      <c r="P2537" s="21">
        <f>IF(E2537&lt;=90,"90 or less",IF(E2537&lt;=105,"91-105",IF(E2537&lt;=120,"106-120",IF(E2537&lt;=140,"121-140","Over 140"))))</f>
        <v/>
      </c>
      <c r="Q2537" s="28">
        <f>INT(C2537/10)*10</f>
        <v/>
      </c>
    </row>
    <row r="2538">
      <c r="A2538" s="21" t="n">
        <v>2590</v>
      </c>
      <c r="B2538" s="21" t="inlineStr">
        <is>
          <t>Happily N'Ever After</t>
        </is>
      </c>
      <c r="C2538" s="21" t="n">
        <v>2006</v>
      </c>
      <c r="D2538" s="21" t="inlineStr">
        <is>
          <t>USA</t>
        </is>
      </c>
      <c r="E2538" s="21" t="n">
        <v>75</v>
      </c>
      <c r="F2538" s="21" t="inlineStr">
        <is>
          <t>English</t>
        </is>
      </c>
      <c r="G2538" s="21" t="inlineStr">
        <is>
          <t>PG</t>
        </is>
      </c>
      <c r="H2538" s="22" t="n">
        <v>15519841</v>
      </c>
      <c r="I2538" s="22" t="n">
        <v>47000000</v>
      </c>
      <c r="J2538" s="21">
        <f>IF(OR(H2538="",H2538=25529689.5),"Yes","No")</f>
        <v/>
      </c>
      <c r="K2538" s="21">
        <f>IF(AND(D2538="USA",C2538&gt;=1980,J2538="No"),"Yes","No")</f>
        <v/>
      </c>
      <c r="L2538" s="26">
        <f>IF(J2538="Yes","",H2538-I2538)</f>
        <v/>
      </c>
      <c r="M2538" s="27">
        <f>IF(OR(J2538="Yes",I2538=0),"",H2538/I2538)</f>
        <v/>
      </c>
      <c r="N2538" s="21">
        <f>IF(J2538="Yes","",IF(H2538&gt;=I2538,1,0))</f>
        <v/>
      </c>
      <c r="O2538" s="21">
        <f>IF(I2538&lt;=5000000,"Under $5M",IF(I2538&lt;=20000000,"$5M-20M",IF(I2538&lt;=50000000,"$20M-50M",IF(I2538&lt;=100000000,"$50M-100M","$100M+"))))</f>
        <v/>
      </c>
      <c r="P2538" s="21">
        <f>IF(E2538&lt;=90,"90 or less",IF(E2538&lt;=105,"91-105",IF(E2538&lt;=120,"106-120",IF(E2538&lt;=140,"121-140","Over 140"))))</f>
        <v/>
      </c>
      <c r="Q2538" s="28">
        <f>INT(C2538/10)*10</f>
        <v/>
      </c>
    </row>
    <row r="2539">
      <c r="A2539" s="21" t="n">
        <v>2591</v>
      </c>
      <c r="B2539" s="21" t="inlineStr">
        <is>
          <t>Happy Feet</t>
        </is>
      </c>
      <c r="C2539" s="21" t="n">
        <v>2006</v>
      </c>
      <c r="D2539" s="21" t="inlineStr">
        <is>
          <t>USA</t>
        </is>
      </c>
      <c r="E2539" s="21" t="n">
        <v>108</v>
      </c>
      <c r="F2539" s="21" t="inlineStr">
        <is>
          <t>English</t>
        </is>
      </c>
      <c r="G2539" s="21" t="inlineStr">
        <is>
          <t>PG</t>
        </is>
      </c>
      <c r="H2539" s="22" t="n">
        <v>197992827</v>
      </c>
      <c r="I2539" s="22" t="n">
        <v>100000000</v>
      </c>
      <c r="J2539" s="21">
        <f>IF(OR(H2539="",H2539=25529689.5),"Yes","No")</f>
        <v/>
      </c>
      <c r="K2539" s="21">
        <f>IF(AND(D2539="USA",C2539&gt;=1980,J2539="No"),"Yes","No")</f>
        <v/>
      </c>
      <c r="L2539" s="26">
        <f>IF(J2539="Yes","",H2539-I2539)</f>
        <v/>
      </c>
      <c r="M2539" s="27">
        <f>IF(OR(J2539="Yes",I2539=0),"",H2539/I2539)</f>
        <v/>
      </c>
      <c r="N2539" s="21">
        <f>IF(J2539="Yes","",IF(H2539&gt;=I2539,1,0))</f>
        <v/>
      </c>
      <c r="O2539" s="21">
        <f>IF(I2539&lt;=5000000,"Under $5M",IF(I2539&lt;=20000000,"$5M-20M",IF(I2539&lt;=50000000,"$20M-50M",IF(I2539&lt;=100000000,"$50M-100M","$100M+"))))</f>
        <v/>
      </c>
      <c r="P2539" s="21">
        <f>IF(E2539&lt;=90,"90 or less",IF(E2539&lt;=105,"91-105",IF(E2539&lt;=120,"106-120",IF(E2539&lt;=140,"121-140","Over 140"))))</f>
        <v/>
      </c>
      <c r="Q2539" s="28">
        <f>INT(C2539/10)*10</f>
        <v/>
      </c>
    </row>
    <row r="2540">
      <c r="A2540" s="21" t="n">
        <v>2592</v>
      </c>
      <c r="B2540" s="21" t="inlineStr">
        <is>
          <t>Hatchet</t>
        </is>
      </c>
      <c r="C2540" s="21" t="n">
        <v>2006</v>
      </c>
      <c r="D2540" s="21" t="inlineStr">
        <is>
          <t>USA</t>
        </is>
      </c>
      <c r="E2540" s="21" t="n">
        <v>93</v>
      </c>
      <c r="F2540" s="21" t="inlineStr">
        <is>
          <t>English</t>
        </is>
      </c>
      <c r="G2540" s="21" t="inlineStr">
        <is>
          <t>R</t>
        </is>
      </c>
      <c r="H2540" s="22" t="n">
        <v>25529689.5</v>
      </c>
      <c r="I2540" s="22" t="n">
        <v>1500000</v>
      </c>
      <c r="J2540" s="21">
        <f>IF(OR(H2540="",H2540=25529689.5),"Yes","No")</f>
        <v/>
      </c>
      <c r="K2540" s="21">
        <f>IF(AND(D2540="USA",C2540&gt;=1980,J2540="No"),"Yes","No")</f>
        <v/>
      </c>
      <c r="L2540" s="26">
        <f>IF(J2540="Yes","",H2540-I2540)</f>
        <v/>
      </c>
      <c r="M2540" s="27">
        <f>IF(OR(J2540="Yes",I2540=0),"",H2540/I2540)</f>
        <v/>
      </c>
      <c r="N2540" s="21">
        <f>IF(J2540="Yes","",IF(H2540&gt;=I2540,1,0))</f>
        <v/>
      </c>
      <c r="O2540" s="21">
        <f>IF(I2540&lt;=5000000,"Under $5M",IF(I2540&lt;=20000000,"$5M-20M",IF(I2540&lt;=50000000,"$20M-50M",IF(I2540&lt;=100000000,"$50M-100M","$100M+"))))</f>
        <v/>
      </c>
      <c r="P2540" s="21">
        <f>IF(E2540&lt;=90,"90 or less",IF(E2540&lt;=105,"91-105",IF(E2540&lt;=120,"106-120",IF(E2540&lt;=140,"121-140","Over 140"))))</f>
        <v/>
      </c>
      <c r="Q2540" s="28">
        <f>INT(C2540/10)*10</f>
        <v/>
      </c>
    </row>
    <row r="2541">
      <c r="A2541" s="21" t="n">
        <v>2593</v>
      </c>
      <c r="B2541" s="21" t="inlineStr">
        <is>
          <t>Hoot</t>
        </is>
      </c>
      <c r="C2541" s="21" t="n">
        <v>2006</v>
      </c>
      <c r="D2541" s="21" t="inlineStr">
        <is>
          <t>USA</t>
        </is>
      </c>
      <c r="E2541" s="21" t="n">
        <v>91</v>
      </c>
      <c r="F2541" s="21" t="inlineStr">
        <is>
          <t>English</t>
        </is>
      </c>
      <c r="G2541" s="21" t="inlineStr">
        <is>
          <t>PG</t>
        </is>
      </c>
      <c r="H2541" s="22" t="n">
        <v>8080116</v>
      </c>
      <c r="I2541" s="22" t="n">
        <v>15000000</v>
      </c>
      <c r="J2541" s="21">
        <f>IF(OR(H2541="",H2541=25529689.5),"Yes","No")</f>
        <v/>
      </c>
      <c r="K2541" s="21">
        <f>IF(AND(D2541="USA",C2541&gt;=1980,J2541="No"),"Yes","No")</f>
        <v/>
      </c>
      <c r="L2541" s="26">
        <f>IF(J2541="Yes","",H2541-I2541)</f>
        <v/>
      </c>
      <c r="M2541" s="27">
        <f>IF(OR(J2541="Yes",I2541=0),"",H2541/I2541)</f>
        <v/>
      </c>
      <c r="N2541" s="21">
        <f>IF(J2541="Yes","",IF(H2541&gt;=I2541,1,0))</f>
        <v/>
      </c>
      <c r="O2541" s="21">
        <f>IF(I2541&lt;=5000000,"Under $5M",IF(I2541&lt;=20000000,"$5M-20M",IF(I2541&lt;=50000000,"$20M-50M",IF(I2541&lt;=100000000,"$50M-100M","$100M+"))))</f>
        <v/>
      </c>
      <c r="P2541" s="21">
        <f>IF(E2541&lt;=90,"90 or less",IF(E2541&lt;=105,"91-105",IF(E2541&lt;=120,"106-120",IF(E2541&lt;=140,"121-140","Over 140"))))</f>
        <v/>
      </c>
      <c r="Q2541" s="28">
        <f>INT(C2541/10)*10</f>
        <v/>
      </c>
    </row>
    <row r="2542">
      <c r="A2542" s="21" t="n">
        <v>2594</v>
      </c>
      <c r="B2542" s="21" t="inlineStr">
        <is>
          <t>I Served the King of England</t>
        </is>
      </c>
      <c r="C2542" s="21" t="n">
        <v>2006</v>
      </c>
      <c r="D2542" s="21" t="inlineStr">
        <is>
          <t>Czech Republic</t>
        </is>
      </c>
      <c r="E2542" s="21" t="n">
        <v>113</v>
      </c>
      <c r="F2542" s="21" t="inlineStr">
        <is>
          <t>Czech</t>
        </is>
      </c>
      <c r="G2542" s="21" t="inlineStr">
        <is>
          <t>R</t>
        </is>
      </c>
      <c r="H2542" s="22" t="n">
        <v>617228</v>
      </c>
      <c r="I2542" s="22" t="n">
        <v>84450000</v>
      </c>
      <c r="J2542" s="21">
        <f>IF(OR(H2542="",H2542=25529689.5),"Yes","No")</f>
        <v/>
      </c>
      <c r="K2542" s="21">
        <f>IF(AND(D2542="USA",C2542&gt;=1980,J2542="No"),"Yes","No")</f>
        <v/>
      </c>
      <c r="L2542" s="26">
        <f>IF(J2542="Yes","",H2542-I2542)</f>
        <v/>
      </c>
      <c r="M2542" s="27">
        <f>IF(OR(J2542="Yes",I2542=0),"",H2542/I2542)</f>
        <v/>
      </c>
      <c r="N2542" s="21">
        <f>IF(J2542="Yes","",IF(H2542&gt;=I2542,1,0))</f>
        <v/>
      </c>
      <c r="O2542" s="21">
        <f>IF(I2542&lt;=5000000,"Under $5M",IF(I2542&lt;=20000000,"$5M-20M",IF(I2542&lt;=50000000,"$20M-50M",IF(I2542&lt;=100000000,"$50M-100M","$100M+"))))</f>
        <v/>
      </c>
      <c r="P2542" s="21">
        <f>IF(E2542&lt;=90,"90 or less",IF(E2542&lt;=105,"91-105",IF(E2542&lt;=120,"106-120",IF(E2542&lt;=140,"121-140","Over 140"))))</f>
        <v/>
      </c>
      <c r="Q2542" s="28">
        <f>INT(C2542/10)*10</f>
        <v/>
      </c>
    </row>
    <row r="2543">
      <c r="A2543" s="21" t="n">
        <v>2595</v>
      </c>
      <c r="B2543" s="21" t="inlineStr">
        <is>
          <t>I Want Someone to Eat Cheese With</t>
        </is>
      </c>
      <c r="C2543" s="21" t="n">
        <v>2006</v>
      </c>
      <c r="D2543" s="21" t="inlineStr">
        <is>
          <t>USA</t>
        </is>
      </c>
      <c r="E2543" s="21" t="n">
        <v>80</v>
      </c>
      <c r="F2543" s="21" t="inlineStr">
        <is>
          <t>English</t>
        </is>
      </c>
      <c r="G2543" s="21" t="inlineStr">
        <is>
          <t>R</t>
        </is>
      </c>
      <c r="H2543" s="22" t="n">
        <v>194568</v>
      </c>
      <c r="I2543" s="22" t="n">
        <v>1500000</v>
      </c>
      <c r="J2543" s="21">
        <f>IF(OR(H2543="",H2543=25529689.5),"Yes","No")</f>
        <v/>
      </c>
      <c r="K2543" s="21">
        <f>IF(AND(D2543="USA",C2543&gt;=1980,J2543="No"),"Yes","No")</f>
        <v/>
      </c>
      <c r="L2543" s="26">
        <f>IF(J2543="Yes","",H2543-I2543)</f>
        <v/>
      </c>
      <c r="M2543" s="27">
        <f>IF(OR(J2543="Yes",I2543=0),"",H2543/I2543)</f>
        <v/>
      </c>
      <c r="N2543" s="21">
        <f>IF(J2543="Yes","",IF(H2543&gt;=I2543,1,0))</f>
        <v/>
      </c>
      <c r="O2543" s="21">
        <f>IF(I2543&lt;=5000000,"Under $5M",IF(I2543&lt;=20000000,"$5M-20M",IF(I2543&lt;=50000000,"$20M-50M",IF(I2543&lt;=100000000,"$50M-100M","$100M+"))))</f>
        <v/>
      </c>
      <c r="P2543" s="21">
        <f>IF(E2543&lt;=90,"90 or less",IF(E2543&lt;=105,"91-105",IF(E2543&lt;=120,"106-120",IF(E2543&lt;=140,"121-140","Over 140"))))</f>
        <v/>
      </c>
      <c r="Q2543" s="28">
        <f>INT(C2543/10)*10</f>
        <v/>
      </c>
    </row>
    <row r="2544">
      <c r="A2544" s="21" t="n">
        <v>2596</v>
      </c>
      <c r="B2544" s="21" t="inlineStr">
        <is>
          <t>Ice Age: The Meltdown</t>
        </is>
      </c>
      <c r="C2544" s="21" t="n">
        <v>2006</v>
      </c>
      <c r="D2544" s="21" t="inlineStr">
        <is>
          <t>USA</t>
        </is>
      </c>
      <c r="E2544" s="21" t="n">
        <v>115</v>
      </c>
      <c r="F2544" s="21" t="inlineStr">
        <is>
          <t>English</t>
        </is>
      </c>
      <c r="G2544" s="21" t="inlineStr">
        <is>
          <t>PG</t>
        </is>
      </c>
      <c r="H2544" s="22" t="n">
        <v>195329763</v>
      </c>
      <c r="I2544" s="22" t="n">
        <v>80000000</v>
      </c>
      <c r="J2544" s="21">
        <f>IF(OR(H2544="",H2544=25529689.5),"Yes","No")</f>
        <v/>
      </c>
      <c r="K2544" s="21">
        <f>IF(AND(D2544="USA",C2544&gt;=1980,J2544="No"),"Yes","No")</f>
        <v/>
      </c>
      <c r="L2544" s="26">
        <f>IF(J2544="Yes","",H2544-I2544)</f>
        <v/>
      </c>
      <c r="M2544" s="27">
        <f>IF(OR(J2544="Yes",I2544=0),"",H2544/I2544)</f>
        <v/>
      </c>
      <c r="N2544" s="21">
        <f>IF(J2544="Yes","",IF(H2544&gt;=I2544,1,0))</f>
        <v/>
      </c>
      <c r="O2544" s="21">
        <f>IF(I2544&lt;=5000000,"Under $5M",IF(I2544&lt;=20000000,"$5M-20M",IF(I2544&lt;=50000000,"$20M-50M",IF(I2544&lt;=100000000,"$50M-100M","$100M+"))))</f>
        <v/>
      </c>
      <c r="P2544" s="21">
        <f>IF(E2544&lt;=90,"90 or less",IF(E2544&lt;=105,"91-105",IF(E2544&lt;=120,"106-120",IF(E2544&lt;=140,"121-140","Over 140"))))</f>
        <v/>
      </c>
      <c r="Q2544" s="28">
        <f>INT(C2544/10)*10</f>
        <v/>
      </c>
    </row>
    <row r="2545">
      <c r="A2545" s="21" t="n">
        <v>2597</v>
      </c>
      <c r="B2545" s="21" t="inlineStr">
        <is>
          <t>Idiocracy</t>
        </is>
      </c>
      <c r="C2545" s="21" t="n">
        <v>2006</v>
      </c>
      <c r="D2545" s="21" t="inlineStr">
        <is>
          <t>USA</t>
        </is>
      </c>
      <c r="E2545" s="21" t="n">
        <v>84</v>
      </c>
      <c r="F2545" s="21" t="inlineStr">
        <is>
          <t>English</t>
        </is>
      </c>
      <c r="G2545" s="21" t="inlineStr">
        <is>
          <t>R</t>
        </is>
      </c>
      <c r="H2545" s="22" t="n">
        <v>438653</v>
      </c>
      <c r="I2545" s="22" t="n">
        <v>20000000</v>
      </c>
      <c r="J2545" s="21">
        <f>IF(OR(H2545="",H2545=25529689.5),"Yes","No")</f>
        <v/>
      </c>
      <c r="K2545" s="21">
        <f>IF(AND(D2545="USA",C2545&gt;=1980,J2545="No"),"Yes","No")</f>
        <v/>
      </c>
      <c r="L2545" s="26">
        <f>IF(J2545="Yes","",H2545-I2545)</f>
        <v/>
      </c>
      <c r="M2545" s="27">
        <f>IF(OR(J2545="Yes",I2545=0),"",H2545/I2545)</f>
        <v/>
      </c>
      <c r="N2545" s="21">
        <f>IF(J2545="Yes","",IF(H2545&gt;=I2545,1,0))</f>
        <v/>
      </c>
      <c r="O2545" s="21">
        <f>IF(I2545&lt;=5000000,"Under $5M",IF(I2545&lt;=20000000,"$5M-20M",IF(I2545&lt;=50000000,"$20M-50M",IF(I2545&lt;=100000000,"$50M-100M","$100M+"))))</f>
        <v/>
      </c>
      <c r="P2545" s="21">
        <f>IF(E2545&lt;=90,"90 or less",IF(E2545&lt;=105,"91-105",IF(E2545&lt;=120,"106-120",IF(E2545&lt;=140,"121-140","Over 140"))))</f>
        <v/>
      </c>
      <c r="Q2545" s="28">
        <f>INT(C2545/10)*10</f>
        <v/>
      </c>
    </row>
    <row r="2546">
      <c r="A2546" s="21" t="n">
        <v>2598</v>
      </c>
      <c r="B2546" s="21" t="inlineStr">
        <is>
          <t>Idlewild</t>
        </is>
      </c>
      <c r="C2546" s="21" t="n">
        <v>2006</v>
      </c>
      <c r="D2546" s="21" t="inlineStr">
        <is>
          <t>USA</t>
        </is>
      </c>
      <c r="E2546" s="21" t="n">
        <v>121</v>
      </c>
      <c r="F2546" s="21" t="inlineStr">
        <is>
          <t>English</t>
        </is>
      </c>
      <c r="G2546" s="21" t="inlineStr">
        <is>
          <t>R</t>
        </is>
      </c>
      <c r="H2546" s="22" t="n">
        <v>12549485</v>
      </c>
      <c r="I2546" s="22" t="n">
        <v>15000000</v>
      </c>
      <c r="J2546" s="21">
        <f>IF(OR(H2546="",H2546=25529689.5),"Yes","No")</f>
        <v/>
      </c>
      <c r="K2546" s="21">
        <f>IF(AND(D2546="USA",C2546&gt;=1980,J2546="No"),"Yes","No")</f>
        <v/>
      </c>
      <c r="L2546" s="26">
        <f>IF(J2546="Yes","",H2546-I2546)</f>
        <v/>
      </c>
      <c r="M2546" s="27">
        <f>IF(OR(J2546="Yes",I2546=0),"",H2546/I2546)</f>
        <v/>
      </c>
      <c r="N2546" s="21">
        <f>IF(J2546="Yes","",IF(H2546&gt;=I2546,1,0))</f>
        <v/>
      </c>
      <c r="O2546" s="21">
        <f>IF(I2546&lt;=5000000,"Under $5M",IF(I2546&lt;=20000000,"$5M-20M",IF(I2546&lt;=50000000,"$20M-50M",IF(I2546&lt;=100000000,"$50M-100M","$100M+"))))</f>
        <v/>
      </c>
      <c r="P2546" s="21">
        <f>IF(E2546&lt;=90,"90 or less",IF(E2546&lt;=105,"91-105",IF(E2546&lt;=120,"106-120",IF(E2546&lt;=140,"121-140","Over 140"))))</f>
        <v/>
      </c>
      <c r="Q2546" s="28">
        <f>INT(C2546/10)*10</f>
        <v/>
      </c>
    </row>
    <row r="2547">
      <c r="A2547" s="21" t="n">
        <v>2599</v>
      </c>
      <c r="B2547" s="21" t="inlineStr">
        <is>
          <t>In Her Line of Fire</t>
        </is>
      </c>
      <c r="C2547" s="21" t="n">
        <v>2006</v>
      </c>
      <c r="D2547" s="21" t="inlineStr">
        <is>
          <t>Germany</t>
        </is>
      </c>
      <c r="E2547" s="21" t="n">
        <v>88</v>
      </c>
      <c r="F2547" s="21" t="inlineStr">
        <is>
          <t>English</t>
        </is>
      </c>
      <c r="G2547" s="21" t="inlineStr">
        <is>
          <t>R</t>
        </is>
      </c>
      <c r="H2547" s="22" t="n">
        <v>721</v>
      </c>
      <c r="I2547" s="22" t="n">
        <v>1000000</v>
      </c>
      <c r="J2547" s="21">
        <f>IF(OR(H2547="",H2547=25529689.5),"Yes","No")</f>
        <v/>
      </c>
      <c r="K2547" s="21">
        <f>IF(AND(D2547="USA",C2547&gt;=1980,J2547="No"),"Yes","No")</f>
        <v/>
      </c>
      <c r="L2547" s="26">
        <f>IF(J2547="Yes","",H2547-I2547)</f>
        <v/>
      </c>
      <c r="M2547" s="27">
        <f>IF(OR(J2547="Yes",I2547=0),"",H2547/I2547)</f>
        <v/>
      </c>
      <c r="N2547" s="21">
        <f>IF(J2547="Yes","",IF(H2547&gt;=I2547,1,0))</f>
        <v/>
      </c>
      <c r="O2547" s="21">
        <f>IF(I2547&lt;=5000000,"Under $5M",IF(I2547&lt;=20000000,"$5M-20M",IF(I2547&lt;=50000000,"$20M-50M",IF(I2547&lt;=100000000,"$50M-100M","$100M+"))))</f>
        <v/>
      </c>
      <c r="P2547" s="21">
        <f>IF(E2547&lt;=90,"90 or less",IF(E2547&lt;=105,"91-105",IF(E2547&lt;=120,"106-120",IF(E2547&lt;=140,"121-140","Over 140"))))</f>
        <v/>
      </c>
      <c r="Q2547" s="28">
        <f>INT(C2547/10)*10</f>
        <v/>
      </c>
    </row>
    <row r="2548">
      <c r="A2548" s="21" t="n">
        <v>2600</v>
      </c>
      <c r="B2548" s="21" t="inlineStr">
        <is>
          <t>Infamous</t>
        </is>
      </c>
      <c r="C2548" s="21" t="n">
        <v>2006</v>
      </c>
      <c r="D2548" s="21" t="inlineStr">
        <is>
          <t>USA</t>
        </is>
      </c>
      <c r="E2548" s="21" t="n">
        <v>118</v>
      </c>
      <c r="F2548" s="21" t="inlineStr">
        <is>
          <t>English</t>
        </is>
      </c>
      <c r="G2548" s="21" t="inlineStr">
        <is>
          <t>R</t>
        </is>
      </c>
      <c r="H2548" s="22" t="n">
        <v>1150403</v>
      </c>
      <c r="I2548" s="22" t="n">
        <v>13000000</v>
      </c>
      <c r="J2548" s="21">
        <f>IF(OR(H2548="",H2548=25529689.5),"Yes","No")</f>
        <v/>
      </c>
      <c r="K2548" s="21">
        <f>IF(AND(D2548="USA",C2548&gt;=1980,J2548="No"),"Yes","No")</f>
        <v/>
      </c>
      <c r="L2548" s="26">
        <f>IF(J2548="Yes","",H2548-I2548)</f>
        <v/>
      </c>
      <c r="M2548" s="27">
        <f>IF(OR(J2548="Yes",I2548=0),"",H2548/I2548)</f>
        <v/>
      </c>
      <c r="N2548" s="21">
        <f>IF(J2548="Yes","",IF(H2548&gt;=I2548,1,0))</f>
        <v/>
      </c>
      <c r="O2548" s="21">
        <f>IF(I2548&lt;=5000000,"Under $5M",IF(I2548&lt;=20000000,"$5M-20M",IF(I2548&lt;=50000000,"$20M-50M",IF(I2548&lt;=100000000,"$50M-100M","$100M+"))))</f>
        <v/>
      </c>
      <c r="P2548" s="21">
        <f>IF(E2548&lt;=90,"90 or less",IF(E2548&lt;=105,"91-105",IF(E2548&lt;=120,"106-120",IF(E2548&lt;=140,"121-140","Over 140"))))</f>
        <v/>
      </c>
      <c r="Q2548" s="28">
        <f>INT(C2548/10)*10</f>
        <v/>
      </c>
    </row>
    <row r="2549">
      <c r="A2549" s="21" t="n">
        <v>2601</v>
      </c>
      <c r="B2549" s="21" t="inlineStr">
        <is>
          <t>Inside Man</t>
        </is>
      </c>
      <c r="C2549" s="21" t="n">
        <v>2006</v>
      </c>
      <c r="D2549" s="21" t="inlineStr">
        <is>
          <t>USA</t>
        </is>
      </c>
      <c r="E2549" s="21" t="n">
        <v>129</v>
      </c>
      <c r="F2549" s="21" t="inlineStr">
        <is>
          <t>English</t>
        </is>
      </c>
      <c r="G2549" s="21" t="inlineStr">
        <is>
          <t>R</t>
        </is>
      </c>
      <c r="H2549" s="22" t="n">
        <v>88504640</v>
      </c>
      <c r="I2549" s="22" t="n">
        <v>45000000</v>
      </c>
      <c r="J2549" s="21">
        <f>IF(OR(H2549="",H2549=25529689.5),"Yes","No")</f>
        <v/>
      </c>
      <c r="K2549" s="21">
        <f>IF(AND(D2549="USA",C2549&gt;=1980,J2549="No"),"Yes","No")</f>
        <v/>
      </c>
      <c r="L2549" s="26">
        <f>IF(J2549="Yes","",H2549-I2549)</f>
        <v/>
      </c>
      <c r="M2549" s="27">
        <f>IF(OR(J2549="Yes",I2549=0),"",H2549/I2549)</f>
        <v/>
      </c>
      <c r="N2549" s="21">
        <f>IF(J2549="Yes","",IF(H2549&gt;=I2549,1,0))</f>
        <v/>
      </c>
      <c r="O2549" s="21">
        <f>IF(I2549&lt;=5000000,"Under $5M",IF(I2549&lt;=20000000,"$5M-20M",IF(I2549&lt;=50000000,"$20M-50M",IF(I2549&lt;=100000000,"$50M-100M","$100M+"))))</f>
        <v/>
      </c>
      <c r="P2549" s="21">
        <f>IF(E2549&lt;=90,"90 or less",IF(E2549&lt;=105,"91-105",IF(E2549&lt;=120,"106-120",IF(E2549&lt;=140,"121-140","Over 140"))))</f>
        <v/>
      </c>
      <c r="Q2549" s="28">
        <f>INT(C2549/10)*10</f>
        <v/>
      </c>
    </row>
    <row r="2550">
      <c r="A2550" s="21" t="n">
        <v>2602</v>
      </c>
      <c r="B2550" s="21" t="inlineStr">
        <is>
          <t>Ira &amp; Abby</t>
        </is>
      </c>
      <c r="C2550" s="21" t="n">
        <v>2006</v>
      </c>
      <c r="D2550" s="21" t="inlineStr">
        <is>
          <t>USA</t>
        </is>
      </c>
      <c r="E2550" s="21" t="n">
        <v>101</v>
      </c>
      <c r="F2550" s="21" t="inlineStr">
        <is>
          <t>English</t>
        </is>
      </c>
      <c r="G2550" s="21" t="inlineStr">
        <is>
          <t>R</t>
        </is>
      </c>
      <c r="H2550" s="22" t="n">
        <v>220234</v>
      </c>
      <c r="I2550" s="22" t="n">
        <v>3500000</v>
      </c>
      <c r="J2550" s="21">
        <f>IF(OR(H2550="",H2550=25529689.5),"Yes","No")</f>
        <v/>
      </c>
      <c r="K2550" s="21">
        <f>IF(AND(D2550="USA",C2550&gt;=1980,J2550="No"),"Yes","No")</f>
        <v/>
      </c>
      <c r="L2550" s="26">
        <f>IF(J2550="Yes","",H2550-I2550)</f>
        <v/>
      </c>
      <c r="M2550" s="27">
        <f>IF(OR(J2550="Yes",I2550=0),"",H2550/I2550)</f>
        <v/>
      </c>
      <c r="N2550" s="21">
        <f>IF(J2550="Yes","",IF(H2550&gt;=I2550,1,0))</f>
        <v/>
      </c>
      <c r="O2550" s="21">
        <f>IF(I2550&lt;=5000000,"Under $5M",IF(I2550&lt;=20000000,"$5M-20M",IF(I2550&lt;=50000000,"$20M-50M",IF(I2550&lt;=100000000,"$50M-100M","$100M+"))))</f>
        <v/>
      </c>
      <c r="P2550" s="21">
        <f>IF(E2550&lt;=90,"90 or less",IF(E2550&lt;=105,"91-105",IF(E2550&lt;=120,"106-120",IF(E2550&lt;=140,"121-140","Over 140"))))</f>
        <v/>
      </c>
      <c r="Q2550" s="28">
        <f>INT(C2550/10)*10</f>
        <v/>
      </c>
    </row>
    <row r="2551">
      <c r="A2551" s="21" t="n">
        <v>2603</v>
      </c>
      <c r="B2551" s="21" t="inlineStr">
        <is>
          <t>Iraq for Sale: The War Profiteers</t>
        </is>
      </c>
      <c r="C2551" s="21" t="n">
        <v>2006</v>
      </c>
      <c r="D2551" s="21" t="inlineStr">
        <is>
          <t>USA</t>
        </is>
      </c>
      <c r="E2551" s="21" t="n">
        <v>75</v>
      </c>
      <c r="F2551" s="21" t="inlineStr">
        <is>
          <t>English</t>
        </is>
      </c>
      <c r="G2551" s="21" t="n"/>
      <c r="H2551" s="22" t="n">
        <v>25529689.5</v>
      </c>
      <c r="I2551" s="22" t="n">
        <v>750000</v>
      </c>
      <c r="J2551" s="21">
        <f>IF(OR(H2551="",H2551=25529689.5),"Yes","No")</f>
        <v/>
      </c>
      <c r="K2551" s="21">
        <f>IF(AND(D2551="USA",C2551&gt;=1980,J2551="No"),"Yes","No")</f>
        <v/>
      </c>
      <c r="L2551" s="26">
        <f>IF(J2551="Yes","",H2551-I2551)</f>
        <v/>
      </c>
      <c r="M2551" s="27">
        <f>IF(OR(J2551="Yes",I2551=0),"",H2551/I2551)</f>
        <v/>
      </c>
      <c r="N2551" s="21">
        <f>IF(J2551="Yes","",IF(H2551&gt;=I2551,1,0))</f>
        <v/>
      </c>
      <c r="O2551" s="21">
        <f>IF(I2551&lt;=5000000,"Under $5M",IF(I2551&lt;=20000000,"$5M-20M",IF(I2551&lt;=50000000,"$20M-50M",IF(I2551&lt;=100000000,"$50M-100M","$100M+"))))</f>
        <v/>
      </c>
      <c r="P2551" s="21">
        <f>IF(E2551&lt;=90,"90 or less",IF(E2551&lt;=105,"91-105",IF(E2551&lt;=120,"106-120",IF(E2551&lt;=140,"121-140","Over 140"))))</f>
        <v/>
      </c>
      <c r="Q2551" s="28">
        <f>INT(C2551/10)*10</f>
        <v/>
      </c>
    </row>
    <row r="2552">
      <c r="A2552" s="21" t="n">
        <v>2604</v>
      </c>
      <c r="B2552" s="21" t="inlineStr">
        <is>
          <t>Jackass Number Two</t>
        </is>
      </c>
      <c r="C2552" s="21" t="n">
        <v>2006</v>
      </c>
      <c r="D2552" s="21" t="inlineStr">
        <is>
          <t>USA</t>
        </is>
      </c>
      <c r="E2552" s="21" t="n">
        <v>92</v>
      </c>
      <c r="F2552" s="21" t="inlineStr">
        <is>
          <t>English</t>
        </is>
      </c>
      <c r="G2552" s="21" t="inlineStr">
        <is>
          <t>R</t>
        </is>
      </c>
      <c r="H2552" s="22" t="n">
        <v>72755517</v>
      </c>
      <c r="I2552" s="22" t="n">
        <v>20000000</v>
      </c>
      <c r="J2552" s="21">
        <f>IF(OR(H2552="",H2552=25529689.5),"Yes","No")</f>
        <v/>
      </c>
      <c r="K2552" s="21">
        <f>IF(AND(D2552="USA",C2552&gt;=1980,J2552="No"),"Yes","No")</f>
        <v/>
      </c>
      <c r="L2552" s="26">
        <f>IF(J2552="Yes","",H2552-I2552)</f>
        <v/>
      </c>
      <c r="M2552" s="27">
        <f>IF(OR(J2552="Yes",I2552=0),"",H2552/I2552)</f>
        <v/>
      </c>
      <c r="N2552" s="21">
        <f>IF(J2552="Yes","",IF(H2552&gt;=I2552,1,0))</f>
        <v/>
      </c>
      <c r="O2552" s="21">
        <f>IF(I2552&lt;=5000000,"Under $5M",IF(I2552&lt;=20000000,"$5M-20M",IF(I2552&lt;=50000000,"$20M-50M",IF(I2552&lt;=100000000,"$50M-100M","$100M+"))))</f>
        <v/>
      </c>
      <c r="P2552" s="21">
        <f>IF(E2552&lt;=90,"90 or less",IF(E2552&lt;=105,"91-105",IF(E2552&lt;=120,"106-120",IF(E2552&lt;=140,"121-140","Over 140"))))</f>
        <v/>
      </c>
      <c r="Q2552" s="28">
        <f>INT(C2552/10)*10</f>
        <v/>
      </c>
    </row>
    <row r="2553">
      <c r="A2553" s="21" t="n">
        <v>2605</v>
      </c>
      <c r="B2553" s="21" t="inlineStr">
        <is>
          <t>Jimmy and Judy</t>
        </is>
      </c>
      <c r="C2553" s="21" t="n">
        <v>2006</v>
      </c>
      <c r="D2553" s="21" t="inlineStr">
        <is>
          <t>USA</t>
        </is>
      </c>
      <c r="E2553" s="21" t="n">
        <v>99</v>
      </c>
      <c r="F2553" s="21" t="inlineStr">
        <is>
          <t>English</t>
        </is>
      </c>
      <c r="G2553" s="21" t="inlineStr">
        <is>
          <t>R</t>
        </is>
      </c>
      <c r="H2553" s="22" t="n">
        <v>25529689.5</v>
      </c>
      <c r="I2553" s="22" t="n">
        <v>1000000</v>
      </c>
      <c r="J2553" s="21">
        <f>IF(OR(H2553="",H2553=25529689.5),"Yes","No")</f>
        <v/>
      </c>
      <c r="K2553" s="21">
        <f>IF(AND(D2553="USA",C2553&gt;=1980,J2553="No"),"Yes","No")</f>
        <v/>
      </c>
      <c r="L2553" s="26">
        <f>IF(J2553="Yes","",H2553-I2553)</f>
        <v/>
      </c>
      <c r="M2553" s="27">
        <f>IF(OR(J2553="Yes",I2553=0),"",H2553/I2553)</f>
        <v/>
      </c>
      <c r="N2553" s="21">
        <f>IF(J2553="Yes","",IF(H2553&gt;=I2553,1,0))</f>
        <v/>
      </c>
      <c r="O2553" s="21">
        <f>IF(I2553&lt;=5000000,"Under $5M",IF(I2553&lt;=20000000,"$5M-20M",IF(I2553&lt;=50000000,"$20M-50M",IF(I2553&lt;=100000000,"$50M-100M","$100M+"))))</f>
        <v/>
      </c>
      <c r="P2553" s="21">
        <f>IF(E2553&lt;=90,"90 or less",IF(E2553&lt;=105,"91-105",IF(E2553&lt;=120,"106-120",IF(E2553&lt;=140,"121-140","Over 140"))))</f>
        <v/>
      </c>
      <c r="Q2553" s="28">
        <f>INT(C2553/10)*10</f>
        <v/>
      </c>
    </row>
    <row r="2554">
      <c r="A2554" s="21" t="n">
        <v>2606</v>
      </c>
      <c r="B2554" s="21" t="inlineStr">
        <is>
          <t>Jindabyne</t>
        </is>
      </c>
      <c r="C2554" s="21" t="n">
        <v>2006</v>
      </c>
      <c r="D2554" s="21" t="inlineStr">
        <is>
          <t>Australia</t>
        </is>
      </c>
      <c r="E2554" s="21" t="n">
        <v>118</v>
      </c>
      <c r="F2554" s="21" t="inlineStr">
        <is>
          <t>English</t>
        </is>
      </c>
      <c r="G2554" s="21" t="inlineStr">
        <is>
          <t>R</t>
        </is>
      </c>
      <c r="H2554" s="22" t="n">
        <v>399879</v>
      </c>
      <c r="I2554" s="22" t="n">
        <v>15000000</v>
      </c>
      <c r="J2554" s="21">
        <f>IF(OR(H2554="",H2554=25529689.5),"Yes","No")</f>
        <v/>
      </c>
      <c r="K2554" s="21">
        <f>IF(AND(D2554="USA",C2554&gt;=1980,J2554="No"),"Yes","No")</f>
        <v/>
      </c>
      <c r="L2554" s="26">
        <f>IF(J2554="Yes","",H2554-I2554)</f>
        <v/>
      </c>
      <c r="M2554" s="27">
        <f>IF(OR(J2554="Yes",I2554=0),"",H2554/I2554)</f>
        <v/>
      </c>
      <c r="N2554" s="21">
        <f>IF(J2554="Yes","",IF(H2554&gt;=I2554,1,0))</f>
        <v/>
      </c>
      <c r="O2554" s="21">
        <f>IF(I2554&lt;=5000000,"Under $5M",IF(I2554&lt;=20000000,"$5M-20M",IF(I2554&lt;=50000000,"$20M-50M",IF(I2554&lt;=100000000,"$50M-100M","$100M+"))))</f>
        <v/>
      </c>
      <c r="P2554" s="21">
        <f>IF(E2554&lt;=90,"90 or less",IF(E2554&lt;=105,"91-105",IF(E2554&lt;=120,"106-120",IF(E2554&lt;=140,"121-140","Over 140"))))</f>
        <v/>
      </c>
      <c r="Q2554" s="28">
        <f>INT(C2554/10)*10</f>
        <v/>
      </c>
    </row>
    <row r="2555">
      <c r="A2555" s="21" t="n">
        <v>2607</v>
      </c>
      <c r="B2555" s="21" t="inlineStr">
        <is>
          <t>Journey from the Fall</t>
        </is>
      </c>
      <c r="C2555" s="21" t="n">
        <v>2006</v>
      </c>
      <c r="D2555" s="21" t="inlineStr">
        <is>
          <t>USA</t>
        </is>
      </c>
      <c r="E2555" s="21" t="n">
        <v>135</v>
      </c>
      <c r="F2555" s="21" t="inlineStr">
        <is>
          <t>Vietnamese</t>
        </is>
      </c>
      <c r="G2555" s="21" t="inlineStr">
        <is>
          <t>R</t>
        </is>
      </c>
      <c r="H2555" s="22" t="n">
        <v>638951</v>
      </c>
      <c r="I2555" s="22" t="n">
        <v>1592000</v>
      </c>
      <c r="J2555" s="21">
        <f>IF(OR(H2555="",H2555=25529689.5),"Yes","No")</f>
        <v/>
      </c>
      <c r="K2555" s="21">
        <f>IF(AND(D2555="USA",C2555&gt;=1980,J2555="No"),"Yes","No")</f>
        <v/>
      </c>
      <c r="L2555" s="26">
        <f>IF(J2555="Yes","",H2555-I2555)</f>
        <v/>
      </c>
      <c r="M2555" s="27">
        <f>IF(OR(J2555="Yes",I2555=0),"",H2555/I2555)</f>
        <v/>
      </c>
      <c r="N2555" s="21">
        <f>IF(J2555="Yes","",IF(H2555&gt;=I2555,1,0))</f>
        <v/>
      </c>
      <c r="O2555" s="21">
        <f>IF(I2555&lt;=5000000,"Under $5M",IF(I2555&lt;=20000000,"$5M-20M",IF(I2555&lt;=50000000,"$20M-50M",IF(I2555&lt;=100000000,"$50M-100M","$100M+"))))</f>
        <v/>
      </c>
      <c r="P2555" s="21">
        <f>IF(E2555&lt;=90,"90 or less",IF(E2555&lt;=105,"91-105",IF(E2555&lt;=120,"106-120",IF(E2555&lt;=140,"121-140","Over 140"))))</f>
        <v/>
      </c>
      <c r="Q2555" s="28">
        <f>INT(C2555/10)*10</f>
        <v/>
      </c>
    </row>
    <row r="2556">
      <c r="A2556" s="21" t="n">
        <v>2608</v>
      </c>
      <c r="B2556" s="21" t="inlineStr">
        <is>
          <t>Just My Luck</t>
        </is>
      </c>
      <c r="C2556" s="21" t="n">
        <v>2006</v>
      </c>
      <c r="D2556" s="21" t="inlineStr">
        <is>
          <t>USA</t>
        </is>
      </c>
      <c r="E2556" s="21" t="n">
        <v>103</v>
      </c>
      <c r="F2556" s="21" t="inlineStr">
        <is>
          <t>English</t>
        </is>
      </c>
      <c r="G2556" s="21" t="inlineStr">
        <is>
          <t>PG-13</t>
        </is>
      </c>
      <c r="H2556" s="22" t="n">
        <v>17324744</v>
      </c>
      <c r="I2556" s="22" t="n">
        <v>28000000</v>
      </c>
      <c r="J2556" s="21">
        <f>IF(OR(H2556="",H2556=25529689.5),"Yes","No")</f>
        <v/>
      </c>
      <c r="K2556" s="21">
        <f>IF(AND(D2556="USA",C2556&gt;=1980,J2556="No"),"Yes","No")</f>
        <v/>
      </c>
      <c r="L2556" s="26">
        <f>IF(J2556="Yes","",H2556-I2556)</f>
        <v/>
      </c>
      <c r="M2556" s="27">
        <f>IF(OR(J2556="Yes",I2556=0),"",H2556/I2556)</f>
        <v/>
      </c>
      <c r="N2556" s="21">
        <f>IF(J2556="Yes","",IF(H2556&gt;=I2556,1,0))</f>
        <v/>
      </c>
      <c r="O2556" s="21">
        <f>IF(I2556&lt;=5000000,"Under $5M",IF(I2556&lt;=20000000,"$5M-20M",IF(I2556&lt;=50000000,"$20M-50M",IF(I2556&lt;=100000000,"$50M-100M","$100M+"))))</f>
        <v/>
      </c>
      <c r="P2556" s="21">
        <f>IF(E2556&lt;=90,"90 or less",IF(E2556&lt;=105,"91-105",IF(E2556&lt;=120,"106-120",IF(E2556&lt;=140,"121-140","Over 140"))))</f>
        <v/>
      </c>
      <c r="Q2556" s="28">
        <f>INT(C2556/10)*10</f>
        <v/>
      </c>
    </row>
    <row r="2557">
      <c r="A2557" s="21" t="n">
        <v>2609</v>
      </c>
      <c r="B2557" s="21" t="inlineStr">
        <is>
          <t>Kabhi Alvida Naa Kehna</t>
        </is>
      </c>
      <c r="C2557" s="21" t="n">
        <v>2006</v>
      </c>
      <c r="D2557" s="21" t="inlineStr">
        <is>
          <t>India</t>
        </is>
      </c>
      <c r="E2557" s="21" t="n">
        <v>193</v>
      </c>
      <c r="F2557" s="21" t="inlineStr">
        <is>
          <t>Hindi</t>
        </is>
      </c>
      <c r="G2557" s="21" t="inlineStr">
        <is>
          <t>R</t>
        </is>
      </c>
      <c r="H2557" s="22" t="n">
        <v>3275443</v>
      </c>
      <c r="I2557" s="22" t="n">
        <v>700000000</v>
      </c>
      <c r="J2557" s="21">
        <f>IF(OR(H2557="",H2557=25529689.5),"Yes","No")</f>
        <v/>
      </c>
      <c r="K2557" s="21">
        <f>IF(AND(D2557="USA",C2557&gt;=1980,J2557="No"),"Yes","No")</f>
        <v/>
      </c>
      <c r="L2557" s="26">
        <f>IF(J2557="Yes","",H2557-I2557)</f>
        <v/>
      </c>
      <c r="M2557" s="27">
        <f>IF(OR(J2557="Yes",I2557=0),"",H2557/I2557)</f>
        <v/>
      </c>
      <c r="N2557" s="21">
        <f>IF(J2557="Yes","",IF(H2557&gt;=I2557,1,0))</f>
        <v/>
      </c>
      <c r="O2557" s="21">
        <f>IF(I2557&lt;=5000000,"Under $5M",IF(I2557&lt;=20000000,"$5M-20M",IF(I2557&lt;=50000000,"$20M-50M",IF(I2557&lt;=100000000,"$50M-100M","$100M+"))))</f>
        <v/>
      </c>
      <c r="P2557" s="21">
        <f>IF(E2557&lt;=90,"90 or less",IF(E2557&lt;=105,"91-105",IF(E2557&lt;=120,"106-120",IF(E2557&lt;=140,"121-140","Over 140"))))</f>
        <v/>
      </c>
      <c r="Q2557" s="28">
        <f>INT(C2557/10)*10</f>
        <v/>
      </c>
    </row>
    <row r="2558">
      <c r="A2558" s="21" t="n">
        <v>2610</v>
      </c>
      <c r="B2558" s="21" t="inlineStr">
        <is>
          <t>Keeping Up with the Steins</t>
        </is>
      </c>
      <c r="C2558" s="21" t="n">
        <v>2006</v>
      </c>
      <c r="D2558" s="21" t="inlineStr">
        <is>
          <t>USA</t>
        </is>
      </c>
      <c r="E2558" s="21" t="n">
        <v>90</v>
      </c>
      <c r="F2558" s="21" t="inlineStr">
        <is>
          <t>English</t>
        </is>
      </c>
      <c r="G2558" s="21" t="inlineStr">
        <is>
          <t>PG-13</t>
        </is>
      </c>
      <c r="H2558" s="22" t="n">
        <v>4328294</v>
      </c>
      <c r="I2558" s="22" t="n">
        <v>20000000</v>
      </c>
      <c r="J2558" s="21">
        <f>IF(OR(H2558="",H2558=25529689.5),"Yes","No")</f>
        <v/>
      </c>
      <c r="K2558" s="21">
        <f>IF(AND(D2558="USA",C2558&gt;=1980,J2558="No"),"Yes","No")</f>
        <v/>
      </c>
      <c r="L2558" s="26">
        <f>IF(J2558="Yes","",H2558-I2558)</f>
        <v/>
      </c>
      <c r="M2558" s="27">
        <f>IF(OR(J2558="Yes",I2558=0),"",H2558/I2558)</f>
        <v/>
      </c>
      <c r="N2558" s="21">
        <f>IF(J2558="Yes","",IF(H2558&gt;=I2558,1,0))</f>
        <v/>
      </c>
      <c r="O2558" s="21">
        <f>IF(I2558&lt;=5000000,"Under $5M",IF(I2558&lt;=20000000,"$5M-20M",IF(I2558&lt;=50000000,"$20M-50M",IF(I2558&lt;=100000000,"$50M-100M","$100M+"))))</f>
        <v/>
      </c>
      <c r="P2558" s="21">
        <f>IF(E2558&lt;=90,"90 or less",IF(E2558&lt;=105,"91-105",IF(E2558&lt;=120,"106-120",IF(E2558&lt;=140,"121-140","Over 140"))))</f>
        <v/>
      </c>
      <c r="Q2558" s="28">
        <f>INT(C2558/10)*10</f>
        <v/>
      </c>
    </row>
    <row r="2559">
      <c r="A2559" s="21" t="n">
        <v>2611</v>
      </c>
      <c r="B2559" s="21" t="inlineStr">
        <is>
          <t>Krrish</t>
        </is>
      </c>
      <c r="C2559" s="21" t="n">
        <v>2006</v>
      </c>
      <c r="D2559" s="21" t="inlineStr">
        <is>
          <t>India</t>
        </is>
      </c>
      <c r="E2559" s="21" t="n">
        <v>168</v>
      </c>
      <c r="F2559" s="21" t="inlineStr">
        <is>
          <t>Hindi</t>
        </is>
      </c>
      <c r="G2559" s="21" t="inlineStr">
        <is>
          <t>Not Rated</t>
        </is>
      </c>
      <c r="H2559" s="22" t="n">
        <v>25529689.5</v>
      </c>
      <c r="I2559" s="22" t="n">
        <v>10000000</v>
      </c>
      <c r="J2559" s="21">
        <f>IF(OR(H2559="",H2559=25529689.5),"Yes","No")</f>
        <v/>
      </c>
      <c r="K2559" s="21">
        <f>IF(AND(D2559="USA",C2559&gt;=1980,J2559="No"),"Yes","No")</f>
        <v/>
      </c>
      <c r="L2559" s="26">
        <f>IF(J2559="Yes","",H2559-I2559)</f>
        <v/>
      </c>
      <c r="M2559" s="27">
        <f>IF(OR(J2559="Yes",I2559=0),"",H2559/I2559)</f>
        <v/>
      </c>
      <c r="N2559" s="21">
        <f>IF(J2559="Yes","",IF(H2559&gt;=I2559,1,0))</f>
        <v/>
      </c>
      <c r="O2559" s="21">
        <f>IF(I2559&lt;=5000000,"Under $5M",IF(I2559&lt;=20000000,"$5M-20M",IF(I2559&lt;=50000000,"$20M-50M",IF(I2559&lt;=100000000,"$50M-100M","$100M+"))))</f>
        <v/>
      </c>
      <c r="P2559" s="21">
        <f>IF(E2559&lt;=90,"90 or less",IF(E2559&lt;=105,"91-105",IF(E2559&lt;=120,"106-120",IF(E2559&lt;=140,"121-140","Over 140"))))</f>
        <v/>
      </c>
      <c r="Q2559" s="28">
        <f>INT(C2559/10)*10</f>
        <v/>
      </c>
    </row>
    <row r="2560">
      <c r="A2560" s="21" t="n">
        <v>2612</v>
      </c>
      <c r="B2560" s="21" t="inlineStr">
        <is>
          <t>Lady in the Water</t>
        </is>
      </c>
      <c r="C2560" s="21" t="n">
        <v>2006</v>
      </c>
      <c r="D2560" s="21" t="inlineStr">
        <is>
          <t>USA</t>
        </is>
      </c>
      <c r="E2560" s="21" t="n">
        <v>110</v>
      </c>
      <c r="F2560" s="21" t="inlineStr">
        <is>
          <t>English</t>
        </is>
      </c>
      <c r="G2560" s="21" t="inlineStr">
        <is>
          <t>PG-13</t>
        </is>
      </c>
      <c r="H2560" s="22" t="n">
        <v>42272747</v>
      </c>
      <c r="I2560" s="22" t="n">
        <v>70000000</v>
      </c>
      <c r="J2560" s="21">
        <f>IF(OR(H2560="",H2560=25529689.5),"Yes","No")</f>
        <v/>
      </c>
      <c r="K2560" s="21">
        <f>IF(AND(D2560="USA",C2560&gt;=1980,J2560="No"),"Yes","No")</f>
        <v/>
      </c>
      <c r="L2560" s="26">
        <f>IF(J2560="Yes","",H2560-I2560)</f>
        <v/>
      </c>
      <c r="M2560" s="27">
        <f>IF(OR(J2560="Yes",I2560=0),"",H2560/I2560)</f>
        <v/>
      </c>
      <c r="N2560" s="21">
        <f>IF(J2560="Yes","",IF(H2560&gt;=I2560,1,0))</f>
        <v/>
      </c>
      <c r="O2560" s="21">
        <f>IF(I2560&lt;=5000000,"Under $5M",IF(I2560&lt;=20000000,"$5M-20M",IF(I2560&lt;=50000000,"$20M-50M",IF(I2560&lt;=100000000,"$50M-100M","$100M+"))))</f>
        <v/>
      </c>
      <c r="P2560" s="21">
        <f>IF(E2560&lt;=90,"90 or less",IF(E2560&lt;=105,"91-105",IF(E2560&lt;=120,"106-120",IF(E2560&lt;=140,"121-140","Over 140"))))</f>
        <v/>
      </c>
      <c r="Q2560" s="28">
        <f>INT(C2560/10)*10</f>
        <v/>
      </c>
    </row>
    <row r="2561">
      <c r="A2561" s="21" t="n">
        <v>2613</v>
      </c>
      <c r="B2561" s="21" t="inlineStr">
        <is>
          <t>Lage Raho Munna Bhai</t>
        </is>
      </c>
      <c r="C2561" s="21" t="n">
        <v>2006</v>
      </c>
      <c r="D2561" s="21" t="inlineStr">
        <is>
          <t>India</t>
        </is>
      </c>
      <c r="E2561" s="21" t="n">
        <v>144</v>
      </c>
      <c r="F2561" s="21" t="inlineStr">
        <is>
          <t>Hindi</t>
        </is>
      </c>
      <c r="G2561" s="21" t="inlineStr">
        <is>
          <t>PG-13</t>
        </is>
      </c>
      <c r="H2561" s="22" t="n">
        <v>25529689.5</v>
      </c>
      <c r="I2561" s="22" t="n">
        <v>120000000</v>
      </c>
      <c r="J2561" s="21">
        <f>IF(OR(H2561="",H2561=25529689.5),"Yes","No")</f>
        <v/>
      </c>
      <c r="K2561" s="21">
        <f>IF(AND(D2561="USA",C2561&gt;=1980,J2561="No"),"Yes","No")</f>
        <v/>
      </c>
      <c r="L2561" s="26">
        <f>IF(J2561="Yes","",H2561-I2561)</f>
        <v/>
      </c>
      <c r="M2561" s="27">
        <f>IF(OR(J2561="Yes",I2561=0),"",H2561/I2561)</f>
        <v/>
      </c>
      <c r="N2561" s="21">
        <f>IF(J2561="Yes","",IF(H2561&gt;=I2561,1,0))</f>
        <v/>
      </c>
      <c r="O2561" s="21">
        <f>IF(I2561&lt;=5000000,"Under $5M",IF(I2561&lt;=20000000,"$5M-20M",IF(I2561&lt;=50000000,"$20M-50M",IF(I2561&lt;=100000000,"$50M-100M","$100M+"))))</f>
        <v/>
      </c>
      <c r="P2561" s="21">
        <f>IF(E2561&lt;=90,"90 or less",IF(E2561&lt;=105,"91-105",IF(E2561&lt;=120,"106-120",IF(E2561&lt;=140,"121-140","Over 140"))))</f>
        <v/>
      </c>
      <c r="Q2561" s="28">
        <f>INT(C2561/10)*10</f>
        <v/>
      </c>
    </row>
    <row r="2562">
      <c r="A2562" s="21" t="n">
        <v>2614</v>
      </c>
      <c r="B2562" s="21" t="inlineStr">
        <is>
          <t>Lake of Fire</t>
        </is>
      </c>
      <c r="C2562" s="21" t="n">
        <v>2006</v>
      </c>
      <c r="D2562" s="21" t="inlineStr">
        <is>
          <t>USA</t>
        </is>
      </c>
      <c r="E2562" s="21" t="n">
        <v>152</v>
      </c>
      <c r="F2562" s="21" t="inlineStr">
        <is>
          <t>English</t>
        </is>
      </c>
      <c r="G2562" s="21" t="inlineStr">
        <is>
          <t>Unrated</t>
        </is>
      </c>
      <c r="H2562" s="22" t="n">
        <v>23807</v>
      </c>
      <c r="I2562" s="22" t="n">
        <v>20000000</v>
      </c>
      <c r="J2562" s="21">
        <f>IF(OR(H2562="",H2562=25529689.5),"Yes","No")</f>
        <v/>
      </c>
      <c r="K2562" s="21">
        <f>IF(AND(D2562="USA",C2562&gt;=1980,J2562="No"),"Yes","No")</f>
        <v/>
      </c>
      <c r="L2562" s="26">
        <f>IF(J2562="Yes","",H2562-I2562)</f>
        <v/>
      </c>
      <c r="M2562" s="27">
        <f>IF(OR(J2562="Yes",I2562=0),"",H2562/I2562)</f>
        <v/>
      </c>
      <c r="N2562" s="21">
        <f>IF(J2562="Yes","",IF(H2562&gt;=I2562,1,0))</f>
        <v/>
      </c>
      <c r="O2562" s="21">
        <f>IF(I2562&lt;=5000000,"Under $5M",IF(I2562&lt;=20000000,"$5M-20M",IF(I2562&lt;=50000000,"$20M-50M",IF(I2562&lt;=100000000,"$50M-100M","$100M+"))))</f>
        <v/>
      </c>
      <c r="P2562" s="21">
        <f>IF(E2562&lt;=90,"90 or less",IF(E2562&lt;=105,"91-105",IF(E2562&lt;=120,"106-120",IF(E2562&lt;=140,"121-140","Over 140"))))</f>
        <v/>
      </c>
      <c r="Q2562" s="28">
        <f>INT(C2562/10)*10</f>
        <v/>
      </c>
    </row>
    <row r="2563">
      <c r="A2563" s="21" t="n">
        <v>2615</v>
      </c>
      <c r="B2563" s="21" t="inlineStr">
        <is>
          <t>Larry the Cable Guy: Health Inspector</t>
        </is>
      </c>
      <c r="C2563" s="21" t="n">
        <v>2006</v>
      </c>
      <c r="D2563" s="21" t="inlineStr">
        <is>
          <t>USA</t>
        </is>
      </c>
      <c r="E2563" s="21" t="n">
        <v>89</v>
      </c>
      <c r="F2563" s="21" t="inlineStr">
        <is>
          <t>English</t>
        </is>
      </c>
      <c r="G2563" s="21" t="inlineStr">
        <is>
          <t>PG-13</t>
        </is>
      </c>
      <c r="H2563" s="22" t="n">
        <v>15655665</v>
      </c>
      <c r="I2563" s="22" t="n">
        <v>4000000</v>
      </c>
      <c r="J2563" s="21">
        <f>IF(OR(H2563="",H2563=25529689.5),"Yes","No")</f>
        <v/>
      </c>
      <c r="K2563" s="21">
        <f>IF(AND(D2563="USA",C2563&gt;=1980,J2563="No"),"Yes","No")</f>
        <v/>
      </c>
      <c r="L2563" s="26">
        <f>IF(J2563="Yes","",H2563-I2563)</f>
        <v/>
      </c>
      <c r="M2563" s="27">
        <f>IF(OR(J2563="Yes",I2563=0),"",H2563/I2563)</f>
        <v/>
      </c>
      <c r="N2563" s="21">
        <f>IF(J2563="Yes","",IF(H2563&gt;=I2563,1,0))</f>
        <v/>
      </c>
      <c r="O2563" s="21">
        <f>IF(I2563&lt;=5000000,"Under $5M",IF(I2563&lt;=20000000,"$5M-20M",IF(I2563&lt;=50000000,"$20M-50M",IF(I2563&lt;=100000000,"$50M-100M","$100M+"))))</f>
        <v/>
      </c>
      <c r="P2563" s="21">
        <f>IF(E2563&lt;=90,"90 or less",IF(E2563&lt;=105,"91-105",IF(E2563&lt;=120,"106-120",IF(E2563&lt;=140,"121-140","Over 140"))))</f>
        <v/>
      </c>
      <c r="Q2563" s="28">
        <f>INT(C2563/10)*10</f>
        <v/>
      </c>
    </row>
    <row r="2564">
      <c r="A2564" s="21" t="n">
        <v>2616</v>
      </c>
      <c r="B2564" s="21" t="inlineStr">
        <is>
          <t>Last Holiday</t>
        </is>
      </c>
      <c r="C2564" s="21" t="n">
        <v>2006</v>
      </c>
      <c r="D2564" s="21" t="inlineStr">
        <is>
          <t>USA</t>
        </is>
      </c>
      <c r="E2564" s="21" t="n">
        <v>112</v>
      </c>
      <c r="F2564" s="21" t="inlineStr">
        <is>
          <t>English</t>
        </is>
      </c>
      <c r="G2564" s="21" t="inlineStr">
        <is>
          <t>PG-13</t>
        </is>
      </c>
      <c r="H2564" s="22" t="n">
        <v>38360195</v>
      </c>
      <c r="I2564" s="22" t="n">
        <v>45000000</v>
      </c>
      <c r="J2564" s="21">
        <f>IF(OR(H2564="",H2564=25529689.5),"Yes","No")</f>
        <v/>
      </c>
      <c r="K2564" s="21">
        <f>IF(AND(D2564="USA",C2564&gt;=1980,J2564="No"),"Yes","No")</f>
        <v/>
      </c>
      <c r="L2564" s="26">
        <f>IF(J2564="Yes","",H2564-I2564)</f>
        <v/>
      </c>
      <c r="M2564" s="27">
        <f>IF(OR(J2564="Yes",I2564=0),"",H2564/I2564)</f>
        <v/>
      </c>
      <c r="N2564" s="21">
        <f>IF(J2564="Yes","",IF(H2564&gt;=I2564,1,0))</f>
        <v/>
      </c>
      <c r="O2564" s="21">
        <f>IF(I2564&lt;=5000000,"Under $5M",IF(I2564&lt;=20000000,"$5M-20M",IF(I2564&lt;=50000000,"$20M-50M",IF(I2564&lt;=100000000,"$50M-100M","$100M+"))))</f>
        <v/>
      </c>
      <c r="P2564" s="21">
        <f>IF(E2564&lt;=90,"90 or less",IF(E2564&lt;=105,"91-105",IF(E2564&lt;=120,"106-120",IF(E2564&lt;=140,"121-140","Over 140"))))</f>
        <v/>
      </c>
      <c r="Q2564" s="28">
        <f>INT(C2564/10)*10</f>
        <v/>
      </c>
    </row>
    <row r="2565">
      <c r="A2565" s="21" t="n">
        <v>2617</v>
      </c>
      <c r="B2565" s="21" t="inlineStr">
        <is>
          <t>Let's Go to Prison</t>
        </is>
      </c>
      <c r="C2565" s="21" t="n">
        <v>2006</v>
      </c>
      <c r="D2565" s="21" t="inlineStr">
        <is>
          <t>USA</t>
        </is>
      </c>
      <c r="E2565" s="21" t="n">
        <v>90</v>
      </c>
      <c r="F2565" s="21" t="inlineStr">
        <is>
          <t>English</t>
        </is>
      </c>
      <c r="G2565" s="21" t="inlineStr">
        <is>
          <t>R</t>
        </is>
      </c>
      <c r="H2565" s="22" t="n">
        <v>4613815</v>
      </c>
      <c r="I2565" s="22" t="n">
        <v>20000000</v>
      </c>
      <c r="J2565" s="21">
        <f>IF(OR(H2565="",H2565=25529689.5),"Yes","No")</f>
        <v/>
      </c>
      <c r="K2565" s="21">
        <f>IF(AND(D2565="USA",C2565&gt;=1980,J2565="No"),"Yes","No")</f>
        <v/>
      </c>
      <c r="L2565" s="26">
        <f>IF(J2565="Yes","",H2565-I2565)</f>
        <v/>
      </c>
      <c r="M2565" s="27">
        <f>IF(OR(J2565="Yes",I2565=0),"",H2565/I2565)</f>
        <v/>
      </c>
      <c r="N2565" s="21">
        <f>IF(J2565="Yes","",IF(H2565&gt;=I2565,1,0))</f>
        <v/>
      </c>
      <c r="O2565" s="21">
        <f>IF(I2565&lt;=5000000,"Under $5M",IF(I2565&lt;=20000000,"$5M-20M",IF(I2565&lt;=50000000,"$20M-50M",IF(I2565&lt;=100000000,"$50M-100M","$100M+"))))</f>
        <v/>
      </c>
      <c r="P2565" s="21">
        <f>IF(E2565&lt;=90,"90 or less",IF(E2565&lt;=105,"91-105",IF(E2565&lt;=120,"106-120",IF(E2565&lt;=140,"121-140","Over 140"))))</f>
        <v/>
      </c>
      <c r="Q2565" s="28">
        <f>INT(C2565/10)*10</f>
        <v/>
      </c>
    </row>
    <row r="2566">
      <c r="A2566" s="21" t="n">
        <v>2618</v>
      </c>
      <c r="B2566" s="21" t="inlineStr">
        <is>
          <t>Letters from Iwo Jima</t>
        </is>
      </c>
      <c r="C2566" s="21" t="n">
        <v>2006</v>
      </c>
      <c r="D2566" s="21" t="inlineStr">
        <is>
          <t>USA</t>
        </is>
      </c>
      <c r="E2566" s="21" t="n">
        <v>141</v>
      </c>
      <c r="F2566" s="21" t="inlineStr">
        <is>
          <t>Japanese</t>
        </is>
      </c>
      <c r="G2566" s="21" t="inlineStr">
        <is>
          <t>R</t>
        </is>
      </c>
      <c r="H2566" s="22" t="n">
        <v>13753931</v>
      </c>
      <c r="I2566" s="22" t="n">
        <v>19000000</v>
      </c>
      <c r="J2566" s="21">
        <f>IF(OR(H2566="",H2566=25529689.5),"Yes","No")</f>
        <v/>
      </c>
      <c r="K2566" s="21">
        <f>IF(AND(D2566="USA",C2566&gt;=1980,J2566="No"),"Yes","No")</f>
        <v/>
      </c>
      <c r="L2566" s="26">
        <f>IF(J2566="Yes","",H2566-I2566)</f>
        <v/>
      </c>
      <c r="M2566" s="27">
        <f>IF(OR(J2566="Yes",I2566=0),"",H2566/I2566)</f>
        <v/>
      </c>
      <c r="N2566" s="21">
        <f>IF(J2566="Yes","",IF(H2566&gt;=I2566,1,0))</f>
        <v/>
      </c>
      <c r="O2566" s="21">
        <f>IF(I2566&lt;=5000000,"Under $5M",IF(I2566&lt;=20000000,"$5M-20M",IF(I2566&lt;=50000000,"$20M-50M",IF(I2566&lt;=100000000,"$50M-100M","$100M+"))))</f>
        <v/>
      </c>
      <c r="P2566" s="21">
        <f>IF(E2566&lt;=90,"90 or less",IF(E2566&lt;=105,"91-105",IF(E2566&lt;=120,"106-120",IF(E2566&lt;=140,"121-140","Over 140"))))</f>
        <v/>
      </c>
      <c r="Q2566" s="28">
        <f>INT(C2566/10)*10</f>
        <v/>
      </c>
    </row>
    <row r="2567">
      <c r="A2567" s="21" t="n">
        <v>2619</v>
      </c>
      <c r="B2567" s="21" t="inlineStr">
        <is>
          <t>Little Big Top</t>
        </is>
      </c>
      <c r="C2567" s="21" t="n">
        <v>2006</v>
      </c>
      <c r="D2567" s="21" t="inlineStr">
        <is>
          <t>USA</t>
        </is>
      </c>
      <c r="E2567" s="21" t="n">
        <v>83</v>
      </c>
      <c r="F2567" s="21" t="inlineStr">
        <is>
          <t>English</t>
        </is>
      </c>
      <c r="G2567" s="21" t="n"/>
      <c r="H2567" s="22" t="n">
        <v>25529689.5</v>
      </c>
      <c r="I2567" s="22" t="n">
        <v>240000</v>
      </c>
      <c r="J2567" s="21">
        <f>IF(OR(H2567="",H2567=25529689.5),"Yes","No")</f>
        <v/>
      </c>
      <c r="K2567" s="21">
        <f>IF(AND(D2567="USA",C2567&gt;=1980,J2567="No"),"Yes","No")</f>
        <v/>
      </c>
      <c r="L2567" s="26">
        <f>IF(J2567="Yes","",H2567-I2567)</f>
        <v/>
      </c>
      <c r="M2567" s="27">
        <f>IF(OR(J2567="Yes",I2567=0),"",H2567/I2567)</f>
        <v/>
      </c>
      <c r="N2567" s="21">
        <f>IF(J2567="Yes","",IF(H2567&gt;=I2567,1,0))</f>
        <v/>
      </c>
      <c r="O2567" s="21">
        <f>IF(I2567&lt;=5000000,"Under $5M",IF(I2567&lt;=20000000,"$5M-20M",IF(I2567&lt;=50000000,"$20M-50M",IF(I2567&lt;=100000000,"$50M-100M","$100M+"))))</f>
        <v/>
      </c>
      <c r="P2567" s="21">
        <f>IF(E2567&lt;=90,"90 or less",IF(E2567&lt;=105,"91-105",IF(E2567&lt;=120,"106-120",IF(E2567&lt;=140,"121-140","Over 140"))))</f>
        <v/>
      </c>
      <c r="Q2567" s="28">
        <f>INT(C2567/10)*10</f>
        <v/>
      </c>
    </row>
    <row r="2568">
      <c r="A2568" s="21" t="n">
        <v>2620</v>
      </c>
      <c r="B2568" s="21" t="inlineStr">
        <is>
          <t>Little Children</t>
        </is>
      </c>
      <c r="C2568" s="21" t="n">
        <v>2006</v>
      </c>
      <c r="D2568" s="21" t="inlineStr">
        <is>
          <t>USA</t>
        </is>
      </c>
      <c r="E2568" s="21" t="n">
        <v>137</v>
      </c>
      <c r="F2568" s="21" t="inlineStr">
        <is>
          <t>English</t>
        </is>
      </c>
      <c r="G2568" s="21" t="inlineStr">
        <is>
          <t>R</t>
        </is>
      </c>
      <c r="H2568" s="22" t="n">
        <v>5459824</v>
      </c>
      <c r="I2568" s="22" t="n">
        <v>26000000</v>
      </c>
      <c r="J2568" s="21">
        <f>IF(OR(H2568="",H2568=25529689.5),"Yes","No")</f>
        <v/>
      </c>
      <c r="K2568" s="21">
        <f>IF(AND(D2568="USA",C2568&gt;=1980,J2568="No"),"Yes","No")</f>
        <v/>
      </c>
      <c r="L2568" s="26">
        <f>IF(J2568="Yes","",H2568-I2568)</f>
        <v/>
      </c>
      <c r="M2568" s="27">
        <f>IF(OR(J2568="Yes",I2568=0),"",H2568/I2568)</f>
        <v/>
      </c>
      <c r="N2568" s="21">
        <f>IF(J2568="Yes","",IF(H2568&gt;=I2568,1,0))</f>
        <v/>
      </c>
      <c r="O2568" s="21">
        <f>IF(I2568&lt;=5000000,"Under $5M",IF(I2568&lt;=20000000,"$5M-20M",IF(I2568&lt;=50000000,"$20M-50M",IF(I2568&lt;=100000000,"$50M-100M","$100M+"))))</f>
        <v/>
      </c>
      <c r="P2568" s="21">
        <f>IF(E2568&lt;=90,"90 or less",IF(E2568&lt;=105,"91-105",IF(E2568&lt;=120,"106-120",IF(E2568&lt;=140,"121-140","Over 140"))))</f>
        <v/>
      </c>
      <c r="Q2568" s="28">
        <f>INT(C2568/10)*10</f>
        <v/>
      </c>
    </row>
    <row r="2569">
      <c r="A2569" s="21" t="n">
        <v>2621</v>
      </c>
      <c r="B2569" s="21" t="inlineStr">
        <is>
          <t>Little Miss Sunshine</t>
        </is>
      </c>
      <c r="C2569" s="21" t="n">
        <v>2006</v>
      </c>
      <c r="D2569" s="21" t="inlineStr">
        <is>
          <t>USA</t>
        </is>
      </c>
      <c r="E2569" s="21" t="n">
        <v>101</v>
      </c>
      <c r="F2569" s="21" t="inlineStr">
        <is>
          <t>English</t>
        </is>
      </c>
      <c r="G2569" s="21" t="inlineStr">
        <is>
          <t>R</t>
        </is>
      </c>
      <c r="H2569" s="22" t="n">
        <v>59889948</v>
      </c>
      <c r="I2569" s="22" t="n">
        <v>8000000</v>
      </c>
      <c r="J2569" s="21">
        <f>IF(OR(H2569="",H2569=25529689.5),"Yes","No")</f>
        <v/>
      </c>
      <c r="K2569" s="21">
        <f>IF(AND(D2569="USA",C2569&gt;=1980,J2569="No"),"Yes","No")</f>
        <v/>
      </c>
      <c r="L2569" s="26">
        <f>IF(J2569="Yes","",H2569-I2569)</f>
        <v/>
      </c>
      <c r="M2569" s="27">
        <f>IF(OR(J2569="Yes",I2569=0),"",H2569/I2569)</f>
        <v/>
      </c>
      <c r="N2569" s="21">
        <f>IF(J2569="Yes","",IF(H2569&gt;=I2569,1,0))</f>
        <v/>
      </c>
      <c r="O2569" s="21">
        <f>IF(I2569&lt;=5000000,"Under $5M",IF(I2569&lt;=20000000,"$5M-20M",IF(I2569&lt;=50000000,"$20M-50M",IF(I2569&lt;=100000000,"$50M-100M","$100M+"))))</f>
        <v/>
      </c>
      <c r="P2569" s="21">
        <f>IF(E2569&lt;=90,"90 or less",IF(E2569&lt;=105,"91-105",IF(E2569&lt;=120,"106-120",IF(E2569&lt;=140,"121-140","Over 140"))))</f>
        <v/>
      </c>
      <c r="Q2569" s="28">
        <f>INT(C2569/10)*10</f>
        <v/>
      </c>
    </row>
    <row r="2570">
      <c r="A2570" s="21" t="n">
        <v>2622</v>
      </c>
      <c r="B2570" s="21" t="inlineStr">
        <is>
          <t>Littleman</t>
        </is>
      </c>
      <c r="C2570" s="21" t="n">
        <v>2006</v>
      </c>
      <c r="D2570" s="21" t="inlineStr">
        <is>
          <t>USA</t>
        </is>
      </c>
      <c r="E2570" s="21" t="n">
        <v>98</v>
      </c>
      <c r="F2570" s="21" t="inlineStr">
        <is>
          <t>English</t>
        </is>
      </c>
      <c r="G2570" s="21" t="inlineStr">
        <is>
          <t>PG-13</t>
        </is>
      </c>
      <c r="H2570" s="22" t="n">
        <v>58255287</v>
      </c>
      <c r="I2570" s="22" t="n">
        <v>64000000</v>
      </c>
      <c r="J2570" s="21">
        <f>IF(OR(H2570="",H2570=25529689.5),"Yes","No")</f>
        <v/>
      </c>
      <c r="K2570" s="21">
        <f>IF(AND(D2570="USA",C2570&gt;=1980,J2570="No"),"Yes","No")</f>
        <v/>
      </c>
      <c r="L2570" s="26">
        <f>IF(J2570="Yes","",H2570-I2570)</f>
        <v/>
      </c>
      <c r="M2570" s="27">
        <f>IF(OR(J2570="Yes",I2570=0),"",H2570/I2570)</f>
        <v/>
      </c>
      <c r="N2570" s="21">
        <f>IF(J2570="Yes","",IF(H2570&gt;=I2570,1,0))</f>
        <v/>
      </c>
      <c r="O2570" s="21">
        <f>IF(I2570&lt;=5000000,"Under $5M",IF(I2570&lt;=20000000,"$5M-20M",IF(I2570&lt;=50000000,"$20M-50M",IF(I2570&lt;=100000000,"$50M-100M","$100M+"))))</f>
        <v/>
      </c>
      <c r="P2570" s="21">
        <f>IF(E2570&lt;=90,"90 or less",IF(E2570&lt;=105,"91-105",IF(E2570&lt;=120,"106-120",IF(E2570&lt;=140,"121-140","Over 140"))))</f>
        <v/>
      </c>
      <c r="Q2570" s="28">
        <f>INT(C2570/10)*10</f>
        <v/>
      </c>
    </row>
    <row r="2571">
      <c r="A2571" s="21" t="n">
        <v>2623</v>
      </c>
      <c r="B2571" s="21" t="inlineStr">
        <is>
          <t>London to Brighton</t>
        </is>
      </c>
      <c r="C2571" s="21" t="n">
        <v>2006</v>
      </c>
      <c r="D2571" s="21" t="inlineStr">
        <is>
          <t>UK</t>
        </is>
      </c>
      <c r="E2571" s="21" t="n">
        <v>85</v>
      </c>
      <c r="F2571" s="21" t="inlineStr">
        <is>
          <t>English</t>
        </is>
      </c>
      <c r="G2571" s="21" t="inlineStr">
        <is>
          <t>R</t>
        </is>
      </c>
      <c r="H2571" s="22" t="n">
        <v>25529689.5</v>
      </c>
      <c r="I2571" s="22" t="n">
        <v>500000</v>
      </c>
      <c r="J2571" s="21">
        <f>IF(OR(H2571="",H2571=25529689.5),"Yes","No")</f>
        <v/>
      </c>
      <c r="K2571" s="21">
        <f>IF(AND(D2571="USA",C2571&gt;=1980,J2571="No"),"Yes","No")</f>
        <v/>
      </c>
      <c r="L2571" s="26">
        <f>IF(J2571="Yes","",H2571-I2571)</f>
        <v/>
      </c>
      <c r="M2571" s="27">
        <f>IF(OR(J2571="Yes",I2571=0),"",H2571/I2571)</f>
        <v/>
      </c>
      <c r="N2571" s="21">
        <f>IF(J2571="Yes","",IF(H2571&gt;=I2571,1,0))</f>
        <v/>
      </c>
      <c r="O2571" s="21">
        <f>IF(I2571&lt;=5000000,"Under $5M",IF(I2571&lt;=20000000,"$5M-20M",IF(I2571&lt;=50000000,"$20M-50M",IF(I2571&lt;=100000000,"$50M-100M","$100M+"))))</f>
        <v/>
      </c>
      <c r="P2571" s="21">
        <f>IF(E2571&lt;=90,"90 or less",IF(E2571&lt;=105,"91-105",IF(E2571&lt;=120,"106-120",IF(E2571&lt;=140,"121-140","Over 140"))))</f>
        <v/>
      </c>
      <c r="Q2571" s="28">
        <f>INT(C2571/10)*10</f>
        <v/>
      </c>
    </row>
    <row r="2572">
      <c r="A2572" s="21" t="n">
        <v>2624</v>
      </c>
      <c r="B2572" s="21" t="inlineStr">
        <is>
          <t>Love's Abiding Joy</t>
        </is>
      </c>
      <c r="C2572" s="21" t="n">
        <v>2006</v>
      </c>
      <c r="D2572" s="21" t="inlineStr">
        <is>
          <t>USA</t>
        </is>
      </c>
      <c r="E2572" s="21" t="n">
        <v>87</v>
      </c>
      <c r="F2572" s="21" t="n"/>
      <c r="G2572" s="21" t="inlineStr">
        <is>
          <t>PG</t>
        </is>
      </c>
      <c r="H2572" s="22" t="n">
        <v>252726</v>
      </c>
      <c r="I2572" s="22" t="n">
        <v>3000000</v>
      </c>
      <c r="J2572" s="21">
        <f>IF(OR(H2572="",H2572=25529689.5),"Yes","No")</f>
        <v/>
      </c>
      <c r="K2572" s="21">
        <f>IF(AND(D2572="USA",C2572&gt;=1980,J2572="No"),"Yes","No")</f>
        <v/>
      </c>
      <c r="L2572" s="26">
        <f>IF(J2572="Yes","",H2572-I2572)</f>
        <v/>
      </c>
      <c r="M2572" s="27">
        <f>IF(OR(J2572="Yes",I2572=0),"",H2572/I2572)</f>
        <v/>
      </c>
      <c r="N2572" s="21">
        <f>IF(J2572="Yes","",IF(H2572&gt;=I2572,1,0))</f>
        <v/>
      </c>
      <c r="O2572" s="21">
        <f>IF(I2572&lt;=5000000,"Under $5M",IF(I2572&lt;=20000000,"$5M-20M",IF(I2572&lt;=50000000,"$20M-50M",IF(I2572&lt;=100000000,"$50M-100M","$100M+"))))</f>
        <v/>
      </c>
      <c r="P2572" s="21">
        <f>IF(E2572&lt;=90,"90 or less",IF(E2572&lt;=105,"91-105",IF(E2572&lt;=120,"106-120",IF(E2572&lt;=140,"121-140","Over 140"))))</f>
        <v/>
      </c>
      <c r="Q2572" s="28">
        <f>INT(C2572/10)*10</f>
        <v/>
      </c>
    </row>
    <row r="2573">
      <c r="A2573" s="21" t="n">
        <v>2625</v>
      </c>
      <c r="B2573" s="21" t="inlineStr">
        <is>
          <t>Loving Annabelle</t>
        </is>
      </c>
      <c r="C2573" s="21" t="n">
        <v>2006</v>
      </c>
      <c r="D2573" s="21" t="inlineStr">
        <is>
          <t>USA</t>
        </is>
      </c>
      <c r="E2573" s="21" t="n">
        <v>76</v>
      </c>
      <c r="F2573" s="21" t="inlineStr">
        <is>
          <t>English</t>
        </is>
      </c>
      <c r="G2573" s="21" t="inlineStr">
        <is>
          <t>Not Rated</t>
        </is>
      </c>
      <c r="H2573" s="22" t="n">
        <v>25529689.5</v>
      </c>
      <c r="I2573" s="22" t="n">
        <v>1000000</v>
      </c>
      <c r="J2573" s="21">
        <f>IF(OR(H2573="",H2573=25529689.5),"Yes","No")</f>
        <v/>
      </c>
      <c r="K2573" s="21">
        <f>IF(AND(D2573="USA",C2573&gt;=1980,J2573="No"),"Yes","No")</f>
        <v/>
      </c>
      <c r="L2573" s="26">
        <f>IF(J2573="Yes","",H2573-I2573)</f>
        <v/>
      </c>
      <c r="M2573" s="27">
        <f>IF(OR(J2573="Yes",I2573=0),"",H2573/I2573)</f>
        <v/>
      </c>
      <c r="N2573" s="21">
        <f>IF(J2573="Yes","",IF(H2573&gt;=I2573,1,0))</f>
        <v/>
      </c>
      <c r="O2573" s="21">
        <f>IF(I2573&lt;=5000000,"Under $5M",IF(I2573&lt;=20000000,"$5M-20M",IF(I2573&lt;=50000000,"$20M-50M",IF(I2573&lt;=100000000,"$50M-100M","$100M+"))))</f>
        <v/>
      </c>
      <c r="P2573" s="21">
        <f>IF(E2573&lt;=90,"90 or less",IF(E2573&lt;=105,"91-105",IF(E2573&lt;=120,"106-120",IF(E2573&lt;=140,"121-140","Over 140"))))</f>
        <v/>
      </c>
      <c r="Q2573" s="28">
        <f>INT(C2573/10)*10</f>
        <v/>
      </c>
    </row>
    <row r="2574">
      <c r="A2574" s="21" t="n">
        <v>2626</v>
      </c>
      <c r="B2574" s="21" t="inlineStr">
        <is>
          <t>Lucky Number Slevin</t>
        </is>
      </c>
      <c r="C2574" s="21" t="n">
        <v>2006</v>
      </c>
      <c r="D2574" s="21" t="inlineStr">
        <is>
          <t>Germany</t>
        </is>
      </c>
      <c r="E2574" s="21" t="n">
        <v>110</v>
      </c>
      <c r="F2574" s="21" t="inlineStr">
        <is>
          <t>English</t>
        </is>
      </c>
      <c r="G2574" s="21" t="inlineStr">
        <is>
          <t>R</t>
        </is>
      </c>
      <c r="H2574" s="22" t="n">
        <v>22494487</v>
      </c>
      <c r="I2574" s="22" t="n">
        <v>27000000</v>
      </c>
      <c r="J2574" s="21">
        <f>IF(OR(H2574="",H2574=25529689.5),"Yes","No")</f>
        <v/>
      </c>
      <c r="K2574" s="21">
        <f>IF(AND(D2574="USA",C2574&gt;=1980,J2574="No"),"Yes","No")</f>
        <v/>
      </c>
      <c r="L2574" s="26">
        <f>IF(J2574="Yes","",H2574-I2574)</f>
        <v/>
      </c>
      <c r="M2574" s="27">
        <f>IF(OR(J2574="Yes",I2574=0),"",H2574/I2574)</f>
        <v/>
      </c>
      <c r="N2574" s="21">
        <f>IF(J2574="Yes","",IF(H2574&gt;=I2574,1,0))</f>
        <v/>
      </c>
      <c r="O2574" s="21">
        <f>IF(I2574&lt;=5000000,"Under $5M",IF(I2574&lt;=20000000,"$5M-20M",IF(I2574&lt;=50000000,"$20M-50M",IF(I2574&lt;=100000000,"$50M-100M","$100M+"))))</f>
        <v/>
      </c>
      <c r="P2574" s="21">
        <f>IF(E2574&lt;=90,"90 or less",IF(E2574&lt;=105,"91-105",IF(E2574&lt;=120,"106-120",IF(E2574&lt;=140,"121-140","Over 140"))))</f>
        <v/>
      </c>
      <c r="Q2574" s="28">
        <f>INT(C2574/10)*10</f>
        <v/>
      </c>
    </row>
    <row r="2575">
      <c r="A2575" s="21" t="n">
        <v>2628</v>
      </c>
      <c r="B2575" s="21" t="inlineStr">
        <is>
          <t>Madea's Family Reunion</t>
        </is>
      </c>
      <c r="C2575" s="21" t="n">
        <v>2006</v>
      </c>
      <c r="D2575" s="21" t="inlineStr">
        <is>
          <t>USA</t>
        </is>
      </c>
      <c r="E2575" s="21" t="n">
        <v>107</v>
      </c>
      <c r="F2575" s="21" t="inlineStr">
        <is>
          <t>English</t>
        </is>
      </c>
      <c r="G2575" s="21" t="inlineStr">
        <is>
          <t>PG-13</t>
        </is>
      </c>
      <c r="H2575" s="22" t="n">
        <v>63231524</v>
      </c>
      <c r="I2575" s="22" t="n">
        <v>6000000</v>
      </c>
      <c r="J2575" s="21">
        <f>IF(OR(H2575="",H2575=25529689.5),"Yes","No")</f>
        <v/>
      </c>
      <c r="K2575" s="21">
        <f>IF(AND(D2575="USA",C2575&gt;=1980,J2575="No"),"Yes","No")</f>
        <v/>
      </c>
      <c r="L2575" s="26">
        <f>IF(J2575="Yes","",H2575-I2575)</f>
        <v/>
      </c>
      <c r="M2575" s="27">
        <f>IF(OR(J2575="Yes",I2575=0),"",H2575/I2575)</f>
        <v/>
      </c>
      <c r="N2575" s="21">
        <f>IF(J2575="Yes","",IF(H2575&gt;=I2575,1,0))</f>
        <v/>
      </c>
      <c r="O2575" s="21">
        <f>IF(I2575&lt;=5000000,"Under $5M",IF(I2575&lt;=20000000,"$5M-20M",IF(I2575&lt;=50000000,"$20M-50M",IF(I2575&lt;=100000000,"$50M-100M","$100M+"))))</f>
        <v/>
      </c>
      <c r="P2575" s="21">
        <f>IF(E2575&lt;=90,"90 or less",IF(E2575&lt;=105,"91-105",IF(E2575&lt;=120,"106-120",IF(E2575&lt;=140,"121-140","Over 140"))))</f>
        <v/>
      </c>
      <c r="Q2575" s="28">
        <f>INT(C2575/10)*10</f>
        <v/>
      </c>
    </row>
    <row r="2576">
      <c r="A2576" s="21" t="n">
        <v>2629</v>
      </c>
      <c r="B2576" s="21" t="inlineStr">
        <is>
          <t>Man of the Year</t>
        </is>
      </c>
      <c r="C2576" s="21" t="n">
        <v>2006</v>
      </c>
      <c r="D2576" s="21" t="inlineStr">
        <is>
          <t>USA</t>
        </is>
      </c>
      <c r="E2576" s="21" t="n">
        <v>115</v>
      </c>
      <c r="F2576" s="21" t="inlineStr">
        <is>
          <t>English</t>
        </is>
      </c>
      <c r="G2576" s="21" t="inlineStr">
        <is>
          <t>PG-13</t>
        </is>
      </c>
      <c r="H2576" s="22" t="n">
        <v>37442180</v>
      </c>
      <c r="I2576" s="22" t="n">
        <v>20000000</v>
      </c>
      <c r="J2576" s="21">
        <f>IF(OR(H2576="",H2576=25529689.5),"Yes","No")</f>
        <v/>
      </c>
      <c r="K2576" s="21">
        <f>IF(AND(D2576="USA",C2576&gt;=1980,J2576="No"),"Yes","No")</f>
        <v/>
      </c>
      <c r="L2576" s="26">
        <f>IF(J2576="Yes","",H2576-I2576)</f>
        <v/>
      </c>
      <c r="M2576" s="27">
        <f>IF(OR(J2576="Yes",I2576=0),"",H2576/I2576)</f>
        <v/>
      </c>
      <c r="N2576" s="21">
        <f>IF(J2576="Yes","",IF(H2576&gt;=I2576,1,0))</f>
        <v/>
      </c>
      <c r="O2576" s="21">
        <f>IF(I2576&lt;=5000000,"Under $5M",IF(I2576&lt;=20000000,"$5M-20M",IF(I2576&lt;=50000000,"$20M-50M",IF(I2576&lt;=100000000,"$50M-100M","$100M+"))))</f>
        <v/>
      </c>
      <c r="P2576" s="21">
        <f>IF(E2576&lt;=90,"90 or less",IF(E2576&lt;=105,"91-105",IF(E2576&lt;=120,"106-120",IF(E2576&lt;=140,"121-140","Over 140"))))</f>
        <v/>
      </c>
      <c r="Q2576" s="28">
        <f>INT(C2576/10)*10</f>
        <v/>
      </c>
    </row>
    <row r="2577">
      <c r="A2577" s="21" t="n">
        <v>2630</v>
      </c>
      <c r="B2577" s="21" t="inlineStr">
        <is>
          <t>Marie Antoinette</t>
        </is>
      </c>
      <c r="C2577" s="21" t="n">
        <v>2006</v>
      </c>
      <c r="D2577" s="21" t="inlineStr">
        <is>
          <t>USA</t>
        </is>
      </c>
      <c r="E2577" s="21" t="n">
        <v>123</v>
      </c>
      <c r="F2577" s="21" t="inlineStr">
        <is>
          <t>English</t>
        </is>
      </c>
      <c r="G2577" s="21" t="inlineStr">
        <is>
          <t>PG-13</t>
        </is>
      </c>
      <c r="H2577" s="22" t="n">
        <v>15962471</v>
      </c>
      <c r="I2577" s="22" t="n">
        <v>40000000</v>
      </c>
      <c r="J2577" s="21">
        <f>IF(OR(H2577="",H2577=25529689.5),"Yes","No")</f>
        <v/>
      </c>
      <c r="K2577" s="21">
        <f>IF(AND(D2577="USA",C2577&gt;=1980,J2577="No"),"Yes","No")</f>
        <v/>
      </c>
      <c r="L2577" s="26">
        <f>IF(J2577="Yes","",H2577-I2577)</f>
        <v/>
      </c>
      <c r="M2577" s="27">
        <f>IF(OR(J2577="Yes",I2577=0),"",H2577/I2577)</f>
        <v/>
      </c>
      <c r="N2577" s="21">
        <f>IF(J2577="Yes","",IF(H2577&gt;=I2577,1,0))</f>
        <v/>
      </c>
      <c r="O2577" s="21">
        <f>IF(I2577&lt;=5000000,"Under $5M",IF(I2577&lt;=20000000,"$5M-20M",IF(I2577&lt;=50000000,"$20M-50M",IF(I2577&lt;=100000000,"$50M-100M","$100M+"))))</f>
        <v/>
      </c>
      <c r="P2577" s="21">
        <f>IF(E2577&lt;=90,"90 or less",IF(E2577&lt;=105,"91-105",IF(E2577&lt;=120,"106-120",IF(E2577&lt;=140,"121-140","Over 140"))))</f>
        <v/>
      </c>
      <c r="Q2577" s="28">
        <f>INT(C2577/10)*10</f>
        <v/>
      </c>
    </row>
    <row r="2578">
      <c r="A2578" s="21" t="n">
        <v>2631</v>
      </c>
      <c r="B2578" s="21" t="inlineStr">
        <is>
          <t>Miss Potter</t>
        </is>
      </c>
      <c r="C2578" s="21" t="n">
        <v>2006</v>
      </c>
      <c r="D2578" s="21" t="inlineStr">
        <is>
          <t>UK</t>
        </is>
      </c>
      <c r="E2578" s="21" t="n">
        <v>88</v>
      </c>
      <c r="F2578" s="21" t="inlineStr">
        <is>
          <t>English</t>
        </is>
      </c>
      <c r="G2578" s="21" t="inlineStr">
        <is>
          <t>PG</t>
        </is>
      </c>
      <c r="H2578" s="22" t="n">
        <v>2975649</v>
      </c>
      <c r="I2578" s="22" t="n">
        <v>30000000</v>
      </c>
      <c r="J2578" s="21">
        <f>IF(OR(H2578="",H2578=25529689.5),"Yes","No")</f>
        <v/>
      </c>
      <c r="K2578" s="21">
        <f>IF(AND(D2578="USA",C2578&gt;=1980,J2578="No"),"Yes","No")</f>
        <v/>
      </c>
      <c r="L2578" s="26">
        <f>IF(J2578="Yes","",H2578-I2578)</f>
        <v/>
      </c>
      <c r="M2578" s="27">
        <f>IF(OR(J2578="Yes",I2578=0),"",H2578/I2578)</f>
        <v/>
      </c>
      <c r="N2578" s="21">
        <f>IF(J2578="Yes","",IF(H2578&gt;=I2578,1,0))</f>
        <v/>
      </c>
      <c r="O2578" s="21">
        <f>IF(I2578&lt;=5000000,"Under $5M",IF(I2578&lt;=20000000,"$5M-20M",IF(I2578&lt;=50000000,"$20M-50M",IF(I2578&lt;=100000000,"$50M-100M","$100M+"))))</f>
        <v/>
      </c>
      <c r="P2578" s="21">
        <f>IF(E2578&lt;=90,"90 or less",IF(E2578&lt;=105,"91-105",IF(E2578&lt;=120,"106-120",IF(E2578&lt;=140,"121-140","Over 140"))))</f>
        <v/>
      </c>
      <c r="Q2578" s="28">
        <f>INT(C2578/10)*10</f>
        <v/>
      </c>
    </row>
    <row r="2579">
      <c r="A2579" s="21" t="n">
        <v>2632</v>
      </c>
      <c r="B2579" s="21" t="inlineStr">
        <is>
          <t>Mission: Impossible III</t>
        </is>
      </c>
      <c r="C2579" s="21" t="n">
        <v>2006</v>
      </c>
      <c r="D2579" s="21" t="inlineStr">
        <is>
          <t>USA</t>
        </is>
      </c>
      <c r="E2579" s="21" t="n">
        <v>124</v>
      </c>
      <c r="F2579" s="21" t="inlineStr">
        <is>
          <t>English</t>
        </is>
      </c>
      <c r="G2579" s="21" t="inlineStr">
        <is>
          <t>PG-13</t>
        </is>
      </c>
      <c r="H2579" s="22" t="n">
        <v>133382309</v>
      </c>
      <c r="I2579" s="22" t="n">
        <v>150000000</v>
      </c>
      <c r="J2579" s="21">
        <f>IF(OR(H2579="",H2579=25529689.5),"Yes","No")</f>
        <v/>
      </c>
      <c r="K2579" s="21">
        <f>IF(AND(D2579="USA",C2579&gt;=1980,J2579="No"),"Yes","No")</f>
        <v/>
      </c>
      <c r="L2579" s="26">
        <f>IF(J2579="Yes","",H2579-I2579)</f>
        <v/>
      </c>
      <c r="M2579" s="27">
        <f>IF(OR(J2579="Yes",I2579=0),"",H2579/I2579)</f>
        <v/>
      </c>
      <c r="N2579" s="21">
        <f>IF(J2579="Yes","",IF(H2579&gt;=I2579,1,0))</f>
        <v/>
      </c>
      <c r="O2579" s="21">
        <f>IF(I2579&lt;=5000000,"Under $5M",IF(I2579&lt;=20000000,"$5M-20M",IF(I2579&lt;=50000000,"$20M-50M",IF(I2579&lt;=100000000,"$50M-100M","$100M+"))))</f>
        <v/>
      </c>
      <c r="P2579" s="21">
        <f>IF(E2579&lt;=90,"90 or less",IF(E2579&lt;=105,"91-105",IF(E2579&lt;=120,"106-120",IF(E2579&lt;=140,"121-140","Over 140"))))</f>
        <v/>
      </c>
      <c r="Q2579" s="28">
        <f>INT(C2579/10)*10</f>
        <v/>
      </c>
    </row>
    <row r="2580">
      <c r="A2580" s="21" t="n">
        <v>2633</v>
      </c>
      <c r="B2580" s="21" t="inlineStr">
        <is>
          <t>Monster House</t>
        </is>
      </c>
      <c r="C2580" s="21" t="n">
        <v>2006</v>
      </c>
      <c r="D2580" s="21" t="inlineStr">
        <is>
          <t>USA</t>
        </is>
      </c>
      <c r="E2580" s="21" t="n">
        <v>91</v>
      </c>
      <c r="F2580" s="21" t="inlineStr">
        <is>
          <t>English</t>
        </is>
      </c>
      <c r="G2580" s="21" t="inlineStr">
        <is>
          <t>PG</t>
        </is>
      </c>
      <c r="H2580" s="22" t="n">
        <v>73661010</v>
      </c>
      <c r="I2580" s="22" t="n">
        <v>75000000</v>
      </c>
      <c r="J2580" s="21">
        <f>IF(OR(H2580="",H2580=25529689.5),"Yes","No")</f>
        <v/>
      </c>
      <c r="K2580" s="21">
        <f>IF(AND(D2580="USA",C2580&gt;=1980,J2580="No"),"Yes","No")</f>
        <v/>
      </c>
      <c r="L2580" s="26">
        <f>IF(J2580="Yes","",H2580-I2580)</f>
        <v/>
      </c>
      <c r="M2580" s="27">
        <f>IF(OR(J2580="Yes",I2580=0),"",H2580/I2580)</f>
        <v/>
      </c>
      <c r="N2580" s="21">
        <f>IF(J2580="Yes","",IF(H2580&gt;=I2580,1,0))</f>
        <v/>
      </c>
      <c r="O2580" s="21">
        <f>IF(I2580&lt;=5000000,"Under $5M",IF(I2580&lt;=20000000,"$5M-20M",IF(I2580&lt;=50000000,"$20M-50M",IF(I2580&lt;=100000000,"$50M-100M","$100M+"))))</f>
        <v/>
      </c>
      <c r="P2580" s="21">
        <f>IF(E2580&lt;=90,"90 or less",IF(E2580&lt;=105,"91-105",IF(E2580&lt;=120,"106-120",IF(E2580&lt;=140,"121-140","Over 140"))))</f>
        <v/>
      </c>
      <c r="Q2580" s="28">
        <f>INT(C2580/10)*10</f>
        <v/>
      </c>
    </row>
    <row r="2581">
      <c r="A2581" s="21" t="n">
        <v>2634</v>
      </c>
      <c r="B2581" s="21" t="inlineStr">
        <is>
          <t>My Super Ex-Girlfriend</t>
        </is>
      </c>
      <c r="C2581" s="21" t="n">
        <v>2006</v>
      </c>
      <c r="D2581" s="21" t="inlineStr">
        <is>
          <t>USA</t>
        </is>
      </c>
      <c r="E2581" s="21" t="n">
        <v>95</v>
      </c>
      <c r="F2581" s="21" t="inlineStr">
        <is>
          <t>English</t>
        </is>
      </c>
      <c r="G2581" s="21" t="inlineStr">
        <is>
          <t>PG-13</t>
        </is>
      </c>
      <c r="H2581" s="22" t="n">
        <v>22526144</v>
      </c>
      <c r="I2581" s="22" t="n">
        <v>30000000</v>
      </c>
      <c r="J2581" s="21">
        <f>IF(OR(H2581="",H2581=25529689.5),"Yes","No")</f>
        <v/>
      </c>
      <c r="K2581" s="21">
        <f>IF(AND(D2581="USA",C2581&gt;=1980,J2581="No"),"Yes","No")</f>
        <v/>
      </c>
      <c r="L2581" s="26">
        <f>IF(J2581="Yes","",H2581-I2581)</f>
        <v/>
      </c>
      <c r="M2581" s="27">
        <f>IF(OR(J2581="Yes",I2581=0),"",H2581/I2581)</f>
        <v/>
      </c>
      <c r="N2581" s="21">
        <f>IF(J2581="Yes","",IF(H2581&gt;=I2581,1,0))</f>
        <v/>
      </c>
      <c r="O2581" s="21">
        <f>IF(I2581&lt;=5000000,"Under $5M",IF(I2581&lt;=20000000,"$5M-20M",IF(I2581&lt;=50000000,"$20M-50M",IF(I2581&lt;=100000000,"$50M-100M","$100M+"))))</f>
        <v/>
      </c>
      <c r="P2581" s="21">
        <f>IF(E2581&lt;=90,"90 or less",IF(E2581&lt;=105,"91-105",IF(E2581&lt;=120,"106-120",IF(E2581&lt;=140,"121-140","Over 140"))))</f>
        <v/>
      </c>
      <c r="Q2581" s="28">
        <f>INT(C2581/10)*10</f>
        <v/>
      </c>
    </row>
    <row r="2582">
      <c r="A2582" s="21" t="n">
        <v>2635</v>
      </c>
      <c r="B2582" s="21" t="inlineStr">
        <is>
          <t>Nacho Libre</t>
        </is>
      </c>
      <c r="C2582" s="21" t="n">
        <v>2006</v>
      </c>
      <c r="D2582" s="21" t="inlineStr">
        <is>
          <t>Germany</t>
        </is>
      </c>
      <c r="E2582" s="21" t="n">
        <v>92</v>
      </c>
      <c r="F2582" s="21" t="inlineStr">
        <is>
          <t>English</t>
        </is>
      </c>
      <c r="G2582" s="21" t="inlineStr">
        <is>
          <t>PG</t>
        </is>
      </c>
      <c r="H2582" s="22" t="n">
        <v>80197993</v>
      </c>
      <c r="I2582" s="22" t="n">
        <v>32000000</v>
      </c>
      <c r="J2582" s="21">
        <f>IF(OR(H2582="",H2582=25529689.5),"Yes","No")</f>
        <v/>
      </c>
      <c r="K2582" s="21">
        <f>IF(AND(D2582="USA",C2582&gt;=1980,J2582="No"),"Yes","No")</f>
        <v/>
      </c>
      <c r="L2582" s="26">
        <f>IF(J2582="Yes","",H2582-I2582)</f>
        <v/>
      </c>
      <c r="M2582" s="27">
        <f>IF(OR(J2582="Yes",I2582=0),"",H2582/I2582)</f>
        <v/>
      </c>
      <c r="N2582" s="21">
        <f>IF(J2582="Yes","",IF(H2582&gt;=I2582,1,0))</f>
        <v/>
      </c>
      <c r="O2582" s="21">
        <f>IF(I2582&lt;=5000000,"Under $5M",IF(I2582&lt;=20000000,"$5M-20M",IF(I2582&lt;=50000000,"$20M-50M",IF(I2582&lt;=100000000,"$50M-100M","$100M+"))))</f>
        <v/>
      </c>
      <c r="P2582" s="21">
        <f>IF(E2582&lt;=90,"90 or less",IF(E2582&lt;=105,"91-105",IF(E2582&lt;=120,"106-120",IF(E2582&lt;=140,"121-140","Over 140"))))</f>
        <v/>
      </c>
      <c r="Q2582" s="28">
        <f>INT(C2582/10)*10</f>
        <v/>
      </c>
    </row>
    <row r="2583">
      <c r="A2583" s="21" t="n">
        <v>2636</v>
      </c>
      <c r="B2583" s="21" t="inlineStr">
        <is>
          <t>Night at the Museum</t>
        </is>
      </c>
      <c r="C2583" s="21" t="n">
        <v>2006</v>
      </c>
      <c r="D2583" s="21" t="inlineStr">
        <is>
          <t>USA</t>
        </is>
      </c>
      <c r="E2583" s="21" t="n">
        <v>108</v>
      </c>
      <c r="F2583" s="21" t="inlineStr">
        <is>
          <t>English</t>
        </is>
      </c>
      <c r="G2583" s="21" t="inlineStr">
        <is>
          <t>PG</t>
        </is>
      </c>
      <c r="H2583" s="22" t="n">
        <v>250863268</v>
      </c>
      <c r="I2583" s="22" t="n">
        <v>110000000</v>
      </c>
      <c r="J2583" s="21">
        <f>IF(OR(H2583="",H2583=25529689.5),"Yes","No")</f>
        <v/>
      </c>
      <c r="K2583" s="21">
        <f>IF(AND(D2583="USA",C2583&gt;=1980,J2583="No"),"Yes","No")</f>
        <v/>
      </c>
      <c r="L2583" s="26">
        <f>IF(J2583="Yes","",H2583-I2583)</f>
        <v/>
      </c>
      <c r="M2583" s="27">
        <f>IF(OR(J2583="Yes",I2583=0),"",H2583/I2583)</f>
        <v/>
      </c>
      <c r="N2583" s="21">
        <f>IF(J2583="Yes","",IF(H2583&gt;=I2583,1,0))</f>
        <v/>
      </c>
      <c r="O2583" s="21">
        <f>IF(I2583&lt;=5000000,"Under $5M",IF(I2583&lt;=20000000,"$5M-20M",IF(I2583&lt;=50000000,"$20M-50M",IF(I2583&lt;=100000000,"$50M-100M","$100M+"))))</f>
        <v/>
      </c>
      <c r="P2583" s="21">
        <f>IF(E2583&lt;=90,"90 or less",IF(E2583&lt;=105,"91-105",IF(E2583&lt;=120,"106-120",IF(E2583&lt;=140,"121-140","Over 140"))))</f>
        <v/>
      </c>
      <c r="Q2583" s="28">
        <f>INT(C2583/10)*10</f>
        <v/>
      </c>
    </row>
    <row r="2584">
      <c r="A2584" s="21" t="n">
        <v>2637</v>
      </c>
      <c r="B2584" s="21" t="inlineStr">
        <is>
          <t>Notes on a Scandal</t>
        </is>
      </c>
      <c r="C2584" s="21" t="n">
        <v>2006</v>
      </c>
      <c r="D2584" s="21" t="inlineStr">
        <is>
          <t>UK</t>
        </is>
      </c>
      <c r="E2584" s="21" t="n">
        <v>92</v>
      </c>
      <c r="F2584" s="21" t="inlineStr">
        <is>
          <t>English</t>
        </is>
      </c>
      <c r="G2584" s="21" t="inlineStr">
        <is>
          <t>R</t>
        </is>
      </c>
      <c r="H2584" s="22" t="n">
        <v>17508670</v>
      </c>
      <c r="I2584" s="22" t="n">
        <v>15000000</v>
      </c>
      <c r="J2584" s="21">
        <f>IF(OR(H2584="",H2584=25529689.5),"Yes","No")</f>
        <v/>
      </c>
      <c r="K2584" s="21">
        <f>IF(AND(D2584="USA",C2584&gt;=1980,J2584="No"),"Yes","No")</f>
        <v/>
      </c>
      <c r="L2584" s="26">
        <f>IF(J2584="Yes","",H2584-I2584)</f>
        <v/>
      </c>
      <c r="M2584" s="27">
        <f>IF(OR(J2584="Yes",I2584=0),"",H2584/I2584)</f>
        <v/>
      </c>
      <c r="N2584" s="21">
        <f>IF(J2584="Yes","",IF(H2584&gt;=I2584,1,0))</f>
        <v/>
      </c>
      <c r="O2584" s="21">
        <f>IF(I2584&lt;=5000000,"Under $5M",IF(I2584&lt;=20000000,"$5M-20M",IF(I2584&lt;=50000000,"$20M-50M",IF(I2584&lt;=100000000,"$50M-100M","$100M+"))))</f>
        <v/>
      </c>
      <c r="P2584" s="21">
        <f>IF(E2584&lt;=90,"90 or less",IF(E2584&lt;=105,"91-105",IF(E2584&lt;=120,"106-120",IF(E2584&lt;=140,"121-140","Over 140"))))</f>
        <v/>
      </c>
      <c r="Q2584" s="28">
        <f>INT(C2584/10)*10</f>
        <v/>
      </c>
    </row>
    <row r="2585">
      <c r="A2585" s="21" t="n">
        <v>2638</v>
      </c>
      <c r="B2585" s="21" t="inlineStr">
        <is>
          <t>Old Joy</t>
        </is>
      </c>
      <c r="C2585" s="21" t="n">
        <v>2006</v>
      </c>
      <c r="D2585" s="21" t="inlineStr">
        <is>
          <t>USA</t>
        </is>
      </c>
      <c r="E2585" s="21" t="n">
        <v>76</v>
      </c>
      <c r="F2585" s="21" t="inlineStr">
        <is>
          <t>English</t>
        </is>
      </c>
      <c r="G2585" s="21" t="inlineStr">
        <is>
          <t>Unrated</t>
        </is>
      </c>
      <c r="H2585" s="22" t="n">
        <v>255352</v>
      </c>
      <c r="I2585" s="22" t="n">
        <v>300000</v>
      </c>
      <c r="J2585" s="21">
        <f>IF(OR(H2585="",H2585=25529689.5),"Yes","No")</f>
        <v/>
      </c>
      <c r="K2585" s="21">
        <f>IF(AND(D2585="USA",C2585&gt;=1980,J2585="No"),"Yes","No")</f>
        <v/>
      </c>
      <c r="L2585" s="26">
        <f>IF(J2585="Yes","",H2585-I2585)</f>
        <v/>
      </c>
      <c r="M2585" s="27">
        <f>IF(OR(J2585="Yes",I2585=0),"",H2585/I2585)</f>
        <v/>
      </c>
      <c r="N2585" s="21">
        <f>IF(J2585="Yes","",IF(H2585&gt;=I2585,1,0))</f>
        <v/>
      </c>
      <c r="O2585" s="21">
        <f>IF(I2585&lt;=5000000,"Under $5M",IF(I2585&lt;=20000000,"$5M-20M",IF(I2585&lt;=50000000,"$20M-50M",IF(I2585&lt;=100000000,"$50M-100M","$100M+"))))</f>
        <v/>
      </c>
      <c r="P2585" s="21">
        <f>IF(E2585&lt;=90,"90 or less",IF(E2585&lt;=105,"91-105",IF(E2585&lt;=120,"106-120",IF(E2585&lt;=140,"121-140","Over 140"))))</f>
        <v/>
      </c>
      <c r="Q2585" s="28">
        <f>INT(C2585/10)*10</f>
        <v/>
      </c>
    </row>
    <row r="2586">
      <c r="A2586" s="21" t="n">
        <v>2639</v>
      </c>
      <c r="B2586" s="21" t="inlineStr">
        <is>
          <t>Once in a Lifetime: The Extraordinary Story of the New York Cosmos</t>
        </is>
      </c>
      <c r="C2586" s="21" t="n">
        <v>2006</v>
      </c>
      <c r="D2586" s="21" t="inlineStr">
        <is>
          <t>UK</t>
        </is>
      </c>
      <c r="E2586" s="21" t="n">
        <v>97</v>
      </c>
      <c r="F2586" s="21" t="inlineStr">
        <is>
          <t>English</t>
        </is>
      </c>
      <c r="G2586" s="21" t="inlineStr">
        <is>
          <t>PG-13</t>
        </is>
      </c>
      <c r="H2586" s="22" t="n">
        <v>144431</v>
      </c>
      <c r="I2586" s="22" t="n">
        <v>1000000</v>
      </c>
      <c r="J2586" s="21">
        <f>IF(OR(H2586="",H2586=25529689.5),"Yes","No")</f>
        <v/>
      </c>
      <c r="K2586" s="21">
        <f>IF(AND(D2586="USA",C2586&gt;=1980,J2586="No"),"Yes","No")</f>
        <v/>
      </c>
      <c r="L2586" s="26">
        <f>IF(J2586="Yes","",H2586-I2586)</f>
        <v/>
      </c>
      <c r="M2586" s="27">
        <f>IF(OR(J2586="Yes",I2586=0),"",H2586/I2586)</f>
        <v/>
      </c>
      <c r="N2586" s="21">
        <f>IF(J2586="Yes","",IF(H2586&gt;=I2586,1,0))</f>
        <v/>
      </c>
      <c r="O2586" s="21">
        <f>IF(I2586&lt;=5000000,"Under $5M",IF(I2586&lt;=20000000,"$5M-20M",IF(I2586&lt;=50000000,"$20M-50M",IF(I2586&lt;=100000000,"$50M-100M","$100M+"))))</f>
        <v/>
      </c>
      <c r="P2586" s="21">
        <f>IF(E2586&lt;=90,"90 or less",IF(E2586&lt;=105,"91-105",IF(E2586&lt;=120,"106-120",IF(E2586&lt;=140,"121-140","Over 140"))))</f>
        <v/>
      </c>
      <c r="Q2586" s="28">
        <f>INT(C2586/10)*10</f>
        <v/>
      </c>
    </row>
    <row r="2587">
      <c r="A2587" s="21" t="n">
        <v>2640</v>
      </c>
      <c r="B2587" s="21" t="inlineStr">
        <is>
          <t>One Night with the King</t>
        </is>
      </c>
      <c r="C2587" s="21" t="n">
        <v>2006</v>
      </c>
      <c r="D2587" s="21" t="inlineStr">
        <is>
          <t>USA</t>
        </is>
      </c>
      <c r="E2587" s="21" t="n">
        <v>123</v>
      </c>
      <c r="F2587" s="21" t="inlineStr">
        <is>
          <t>English</t>
        </is>
      </c>
      <c r="G2587" s="21" t="inlineStr">
        <is>
          <t>PG</t>
        </is>
      </c>
      <c r="H2587" s="22" t="n">
        <v>13391174</v>
      </c>
      <c r="I2587" s="22" t="n">
        <v>20000000</v>
      </c>
      <c r="J2587" s="21">
        <f>IF(OR(H2587="",H2587=25529689.5),"Yes","No")</f>
        <v/>
      </c>
      <c r="K2587" s="21">
        <f>IF(AND(D2587="USA",C2587&gt;=1980,J2587="No"),"Yes","No")</f>
        <v/>
      </c>
      <c r="L2587" s="26">
        <f>IF(J2587="Yes","",H2587-I2587)</f>
        <v/>
      </c>
      <c r="M2587" s="27">
        <f>IF(OR(J2587="Yes",I2587=0),"",H2587/I2587)</f>
        <v/>
      </c>
      <c r="N2587" s="21">
        <f>IF(J2587="Yes","",IF(H2587&gt;=I2587,1,0))</f>
        <v/>
      </c>
      <c r="O2587" s="21">
        <f>IF(I2587&lt;=5000000,"Under $5M",IF(I2587&lt;=20000000,"$5M-20M",IF(I2587&lt;=50000000,"$20M-50M",IF(I2587&lt;=100000000,"$50M-100M","$100M+"))))</f>
        <v/>
      </c>
      <c r="P2587" s="21">
        <f>IF(E2587&lt;=90,"90 or less",IF(E2587&lt;=105,"91-105",IF(E2587&lt;=120,"106-120",IF(E2587&lt;=140,"121-140","Over 140"))))</f>
        <v/>
      </c>
      <c r="Q2587" s="28">
        <f>INT(C2587/10)*10</f>
        <v/>
      </c>
    </row>
    <row r="2588">
      <c r="A2588" s="21" t="n">
        <v>2641</v>
      </c>
      <c r="B2588" s="21" t="inlineStr">
        <is>
          <t>One to Another</t>
        </is>
      </c>
      <c r="C2588" s="21" t="n">
        <v>2006</v>
      </c>
      <c r="D2588" s="21" t="inlineStr">
        <is>
          <t>France</t>
        </is>
      </c>
      <c r="E2588" s="21" t="n">
        <v>95</v>
      </c>
      <c r="F2588" s="21" t="inlineStr">
        <is>
          <t>French</t>
        </is>
      </c>
      <c r="G2588" s="21" t="inlineStr">
        <is>
          <t>Unrated</t>
        </is>
      </c>
      <c r="H2588" s="22" t="n">
        <v>18435</v>
      </c>
      <c r="I2588" s="22" t="n">
        <v>1400000</v>
      </c>
      <c r="J2588" s="21">
        <f>IF(OR(H2588="",H2588=25529689.5),"Yes","No")</f>
        <v/>
      </c>
      <c r="K2588" s="21">
        <f>IF(AND(D2588="USA",C2588&gt;=1980,J2588="No"),"Yes","No")</f>
        <v/>
      </c>
      <c r="L2588" s="26">
        <f>IF(J2588="Yes","",H2588-I2588)</f>
        <v/>
      </c>
      <c r="M2588" s="27">
        <f>IF(OR(J2588="Yes",I2588=0),"",H2588/I2588)</f>
        <v/>
      </c>
      <c r="N2588" s="21">
        <f>IF(J2588="Yes","",IF(H2588&gt;=I2588,1,0))</f>
        <v/>
      </c>
      <c r="O2588" s="21">
        <f>IF(I2588&lt;=5000000,"Under $5M",IF(I2588&lt;=20000000,"$5M-20M",IF(I2588&lt;=50000000,"$20M-50M",IF(I2588&lt;=100000000,"$50M-100M","$100M+"))))</f>
        <v/>
      </c>
      <c r="P2588" s="21">
        <f>IF(E2588&lt;=90,"90 or less",IF(E2588&lt;=105,"91-105",IF(E2588&lt;=120,"106-120",IF(E2588&lt;=140,"121-140","Over 140"))))</f>
        <v/>
      </c>
      <c r="Q2588" s="28">
        <f>INT(C2588/10)*10</f>
        <v/>
      </c>
    </row>
    <row r="2589">
      <c r="A2589" s="21" t="n">
        <v>2642</v>
      </c>
      <c r="B2589" s="21" t="inlineStr">
        <is>
          <t>Opal Dream</t>
        </is>
      </c>
      <c r="C2589" s="21" t="n">
        <v>2006</v>
      </c>
      <c r="D2589" s="21" t="inlineStr">
        <is>
          <t>Australia</t>
        </is>
      </c>
      <c r="E2589" s="21" t="n">
        <v>86</v>
      </c>
      <c r="F2589" s="21" t="inlineStr">
        <is>
          <t>English</t>
        </is>
      </c>
      <c r="G2589" s="21" t="inlineStr">
        <is>
          <t>PG</t>
        </is>
      </c>
      <c r="H2589" s="22" t="n">
        <v>13751</v>
      </c>
      <c r="I2589" s="22" t="n">
        <v>11400000</v>
      </c>
      <c r="J2589" s="21">
        <f>IF(OR(H2589="",H2589=25529689.5),"Yes","No")</f>
        <v/>
      </c>
      <c r="K2589" s="21">
        <f>IF(AND(D2589="USA",C2589&gt;=1980,J2589="No"),"Yes","No")</f>
        <v/>
      </c>
      <c r="L2589" s="26">
        <f>IF(J2589="Yes","",H2589-I2589)</f>
        <v/>
      </c>
      <c r="M2589" s="27">
        <f>IF(OR(J2589="Yes",I2589=0),"",H2589/I2589)</f>
        <v/>
      </c>
      <c r="N2589" s="21">
        <f>IF(J2589="Yes","",IF(H2589&gt;=I2589,1,0))</f>
        <v/>
      </c>
      <c r="O2589" s="21">
        <f>IF(I2589&lt;=5000000,"Under $5M",IF(I2589&lt;=20000000,"$5M-20M",IF(I2589&lt;=50000000,"$20M-50M",IF(I2589&lt;=100000000,"$50M-100M","$100M+"))))</f>
        <v/>
      </c>
      <c r="P2589" s="21">
        <f>IF(E2589&lt;=90,"90 or less",IF(E2589&lt;=105,"91-105",IF(E2589&lt;=120,"106-120",IF(E2589&lt;=140,"121-140","Over 140"))))</f>
        <v/>
      </c>
      <c r="Q2589" s="28">
        <f>INT(C2589/10)*10</f>
        <v/>
      </c>
    </row>
    <row r="2590">
      <c r="A2590" s="21" t="n">
        <v>2643</v>
      </c>
      <c r="B2590" s="21" t="inlineStr">
        <is>
          <t>Open Season</t>
        </is>
      </c>
      <c r="C2590" s="21" t="n">
        <v>2006</v>
      </c>
      <c r="D2590" s="21" t="inlineStr">
        <is>
          <t>USA</t>
        </is>
      </c>
      <c r="E2590" s="21" t="n">
        <v>83</v>
      </c>
      <c r="F2590" s="21" t="inlineStr">
        <is>
          <t>English</t>
        </is>
      </c>
      <c r="G2590" s="21" t="inlineStr">
        <is>
          <t>PG</t>
        </is>
      </c>
      <c r="H2590" s="22" t="n">
        <v>84303558</v>
      </c>
      <c r="I2590" s="22" t="n">
        <v>85000000</v>
      </c>
      <c r="J2590" s="21">
        <f>IF(OR(H2590="",H2590=25529689.5),"Yes","No")</f>
        <v/>
      </c>
      <c r="K2590" s="21">
        <f>IF(AND(D2590="USA",C2590&gt;=1980,J2590="No"),"Yes","No")</f>
        <v/>
      </c>
      <c r="L2590" s="26">
        <f>IF(J2590="Yes","",H2590-I2590)</f>
        <v/>
      </c>
      <c r="M2590" s="27">
        <f>IF(OR(J2590="Yes",I2590=0),"",H2590/I2590)</f>
        <v/>
      </c>
      <c r="N2590" s="21">
        <f>IF(J2590="Yes","",IF(H2590&gt;=I2590,1,0))</f>
        <v/>
      </c>
      <c r="O2590" s="21">
        <f>IF(I2590&lt;=5000000,"Under $5M",IF(I2590&lt;=20000000,"$5M-20M",IF(I2590&lt;=50000000,"$20M-50M",IF(I2590&lt;=100000000,"$50M-100M","$100M+"))))</f>
        <v/>
      </c>
      <c r="P2590" s="21">
        <f>IF(E2590&lt;=90,"90 or less",IF(E2590&lt;=105,"91-105",IF(E2590&lt;=120,"106-120",IF(E2590&lt;=140,"121-140","Over 140"))))</f>
        <v/>
      </c>
      <c r="Q2590" s="28">
        <f>INT(C2590/10)*10</f>
        <v/>
      </c>
    </row>
    <row r="2591">
      <c r="A2591" s="21" t="n">
        <v>2644</v>
      </c>
      <c r="B2591" s="21" t="inlineStr">
        <is>
          <t>Out of the Blue</t>
        </is>
      </c>
      <c r="C2591" s="21" t="n">
        <v>2006</v>
      </c>
      <c r="D2591" s="21" t="inlineStr">
        <is>
          <t>New Zealand</t>
        </is>
      </c>
      <c r="E2591" s="21" t="n">
        <v>100</v>
      </c>
      <c r="F2591" s="21" t="inlineStr">
        <is>
          <t>English</t>
        </is>
      </c>
      <c r="G2591" s="21" t="n"/>
      <c r="H2591" s="22" t="n">
        <v>728</v>
      </c>
      <c r="I2591" s="22" t="n">
        <v>20000000</v>
      </c>
      <c r="J2591" s="21">
        <f>IF(OR(H2591="",H2591=25529689.5),"Yes","No")</f>
        <v/>
      </c>
      <c r="K2591" s="21">
        <f>IF(AND(D2591="USA",C2591&gt;=1980,J2591="No"),"Yes","No")</f>
        <v/>
      </c>
      <c r="L2591" s="26">
        <f>IF(J2591="Yes","",H2591-I2591)</f>
        <v/>
      </c>
      <c r="M2591" s="27">
        <f>IF(OR(J2591="Yes",I2591=0),"",H2591/I2591)</f>
        <v/>
      </c>
      <c r="N2591" s="21">
        <f>IF(J2591="Yes","",IF(H2591&gt;=I2591,1,0))</f>
        <v/>
      </c>
      <c r="O2591" s="21">
        <f>IF(I2591&lt;=5000000,"Under $5M",IF(I2591&lt;=20000000,"$5M-20M",IF(I2591&lt;=50000000,"$20M-50M",IF(I2591&lt;=100000000,"$50M-100M","$100M+"))))</f>
        <v/>
      </c>
      <c r="P2591" s="21">
        <f>IF(E2591&lt;=90,"90 or less",IF(E2591&lt;=105,"91-105",IF(E2591&lt;=120,"106-120",IF(E2591&lt;=140,"121-140","Over 140"))))</f>
        <v/>
      </c>
      <c r="Q2591" s="28">
        <f>INT(C2591/10)*10</f>
        <v/>
      </c>
    </row>
    <row r="2592">
      <c r="A2592" s="21" t="n">
        <v>2645</v>
      </c>
      <c r="B2592" s="21" t="inlineStr">
        <is>
          <t>Over the Hedge</t>
        </is>
      </c>
      <c r="C2592" s="21" t="n">
        <v>2006</v>
      </c>
      <c r="D2592" s="21" t="inlineStr">
        <is>
          <t>USA</t>
        </is>
      </c>
      <c r="E2592" s="21" t="n">
        <v>83</v>
      </c>
      <c r="F2592" s="21" t="inlineStr">
        <is>
          <t>English</t>
        </is>
      </c>
      <c r="G2592" s="21" t="inlineStr">
        <is>
          <t>PG</t>
        </is>
      </c>
      <c r="H2592" s="22" t="n">
        <v>155019340</v>
      </c>
      <c r="I2592" s="22" t="n">
        <v>80000000</v>
      </c>
      <c r="J2592" s="21">
        <f>IF(OR(H2592="",H2592=25529689.5),"Yes","No")</f>
        <v/>
      </c>
      <c r="K2592" s="21">
        <f>IF(AND(D2592="USA",C2592&gt;=1980,J2592="No"),"Yes","No")</f>
        <v/>
      </c>
      <c r="L2592" s="26">
        <f>IF(J2592="Yes","",H2592-I2592)</f>
        <v/>
      </c>
      <c r="M2592" s="27">
        <f>IF(OR(J2592="Yes",I2592=0),"",H2592/I2592)</f>
        <v/>
      </c>
      <c r="N2592" s="21">
        <f>IF(J2592="Yes","",IF(H2592&gt;=I2592,1,0))</f>
        <v/>
      </c>
      <c r="O2592" s="21">
        <f>IF(I2592&lt;=5000000,"Under $5M",IF(I2592&lt;=20000000,"$5M-20M",IF(I2592&lt;=50000000,"$20M-50M",IF(I2592&lt;=100000000,"$50M-100M","$100M+"))))</f>
        <v/>
      </c>
      <c r="P2592" s="21">
        <f>IF(E2592&lt;=90,"90 or less",IF(E2592&lt;=105,"91-105",IF(E2592&lt;=120,"106-120",IF(E2592&lt;=140,"121-140","Over 140"))))</f>
        <v/>
      </c>
      <c r="Q2592" s="28">
        <f>INT(C2592/10)*10</f>
        <v/>
      </c>
    </row>
    <row r="2593">
      <c r="A2593" s="21" t="n">
        <v>2646</v>
      </c>
      <c r="B2593" s="21" t="inlineStr">
        <is>
          <t>Pan's Labyrinth</t>
        </is>
      </c>
      <c r="C2593" s="21" t="n">
        <v>2006</v>
      </c>
      <c r="D2593" s="21" t="inlineStr">
        <is>
          <t>Spain</t>
        </is>
      </c>
      <c r="E2593" s="21" t="n">
        <v>112</v>
      </c>
      <c r="F2593" s="21" t="inlineStr">
        <is>
          <t>Spanish</t>
        </is>
      </c>
      <c r="G2593" s="21" t="inlineStr">
        <is>
          <t>R</t>
        </is>
      </c>
      <c r="H2593" s="22" t="n">
        <v>37623143</v>
      </c>
      <c r="I2593" s="22" t="n">
        <v>13500000</v>
      </c>
      <c r="J2593" s="21">
        <f>IF(OR(H2593="",H2593=25529689.5),"Yes","No")</f>
        <v/>
      </c>
      <c r="K2593" s="21">
        <f>IF(AND(D2593="USA",C2593&gt;=1980,J2593="No"),"Yes","No")</f>
        <v/>
      </c>
      <c r="L2593" s="26">
        <f>IF(J2593="Yes","",H2593-I2593)</f>
        <v/>
      </c>
      <c r="M2593" s="27">
        <f>IF(OR(J2593="Yes",I2593=0),"",H2593/I2593)</f>
        <v/>
      </c>
      <c r="N2593" s="21">
        <f>IF(J2593="Yes","",IF(H2593&gt;=I2593,1,0))</f>
        <v/>
      </c>
      <c r="O2593" s="21">
        <f>IF(I2593&lt;=5000000,"Under $5M",IF(I2593&lt;=20000000,"$5M-20M",IF(I2593&lt;=50000000,"$20M-50M",IF(I2593&lt;=100000000,"$50M-100M","$100M+"))))</f>
        <v/>
      </c>
      <c r="P2593" s="21">
        <f>IF(E2593&lt;=90,"90 or less",IF(E2593&lt;=105,"91-105",IF(E2593&lt;=120,"106-120",IF(E2593&lt;=140,"121-140","Over 140"))))</f>
        <v/>
      </c>
      <c r="Q2593" s="28">
        <f>INT(C2593/10)*10</f>
        <v/>
      </c>
    </row>
    <row r="2594">
      <c r="A2594" s="21" t="n">
        <v>2647</v>
      </c>
      <c r="B2594" s="21" t="inlineStr">
        <is>
          <t>Paris, je t'aime</t>
        </is>
      </c>
      <c r="C2594" s="21" t="n">
        <v>2006</v>
      </c>
      <c r="D2594" s="21" t="inlineStr">
        <is>
          <t>France</t>
        </is>
      </c>
      <c r="E2594" s="21" t="n">
        <v>120</v>
      </c>
      <c r="F2594" s="21" t="inlineStr">
        <is>
          <t>French</t>
        </is>
      </c>
      <c r="G2594" s="21" t="inlineStr">
        <is>
          <t>R</t>
        </is>
      </c>
      <c r="H2594" s="22" t="n">
        <v>4857376</v>
      </c>
      <c r="I2594" s="22" t="n">
        <v>13000000</v>
      </c>
      <c r="J2594" s="21">
        <f>IF(OR(H2594="",H2594=25529689.5),"Yes","No")</f>
        <v/>
      </c>
      <c r="K2594" s="21">
        <f>IF(AND(D2594="USA",C2594&gt;=1980,J2594="No"),"Yes","No")</f>
        <v/>
      </c>
      <c r="L2594" s="26">
        <f>IF(J2594="Yes","",H2594-I2594)</f>
        <v/>
      </c>
      <c r="M2594" s="27">
        <f>IF(OR(J2594="Yes",I2594=0),"",H2594/I2594)</f>
        <v/>
      </c>
      <c r="N2594" s="21">
        <f>IF(J2594="Yes","",IF(H2594&gt;=I2594,1,0))</f>
        <v/>
      </c>
      <c r="O2594" s="21">
        <f>IF(I2594&lt;=5000000,"Under $5M",IF(I2594&lt;=20000000,"$5M-20M",IF(I2594&lt;=50000000,"$20M-50M",IF(I2594&lt;=100000000,"$50M-100M","$100M+"))))</f>
        <v/>
      </c>
      <c r="P2594" s="21">
        <f>IF(E2594&lt;=90,"90 or less",IF(E2594&lt;=105,"91-105",IF(E2594&lt;=120,"106-120",IF(E2594&lt;=140,"121-140","Over 140"))))</f>
        <v/>
      </c>
      <c r="Q2594" s="28">
        <f>INT(C2594/10)*10</f>
        <v/>
      </c>
    </row>
    <row r="2595">
      <c r="A2595" s="21" t="n">
        <v>2648</v>
      </c>
      <c r="B2595" s="21" t="inlineStr">
        <is>
          <t>Peaceful Warrior</t>
        </is>
      </c>
      <c r="C2595" s="21" t="n">
        <v>2006</v>
      </c>
      <c r="D2595" s="21" t="inlineStr">
        <is>
          <t>Germany</t>
        </is>
      </c>
      <c r="E2595" s="21" t="n">
        <v>120</v>
      </c>
      <c r="F2595" s="21" t="inlineStr">
        <is>
          <t>English</t>
        </is>
      </c>
      <c r="G2595" s="21" t="inlineStr">
        <is>
          <t>PG-13</t>
        </is>
      </c>
      <c r="H2595" s="22" t="n">
        <v>1055654</v>
      </c>
      <c r="I2595" s="22" t="n">
        <v>10000000</v>
      </c>
      <c r="J2595" s="21">
        <f>IF(OR(H2595="",H2595=25529689.5),"Yes","No")</f>
        <v/>
      </c>
      <c r="K2595" s="21">
        <f>IF(AND(D2595="USA",C2595&gt;=1980,J2595="No"),"Yes","No")</f>
        <v/>
      </c>
      <c r="L2595" s="26">
        <f>IF(J2595="Yes","",H2595-I2595)</f>
        <v/>
      </c>
      <c r="M2595" s="27">
        <f>IF(OR(J2595="Yes",I2595=0),"",H2595/I2595)</f>
        <v/>
      </c>
      <c r="N2595" s="21">
        <f>IF(J2595="Yes","",IF(H2595&gt;=I2595,1,0))</f>
        <v/>
      </c>
      <c r="O2595" s="21">
        <f>IF(I2595&lt;=5000000,"Under $5M",IF(I2595&lt;=20000000,"$5M-20M",IF(I2595&lt;=50000000,"$20M-50M",IF(I2595&lt;=100000000,"$50M-100M","$100M+"))))</f>
        <v/>
      </c>
      <c r="P2595" s="21">
        <f>IF(E2595&lt;=90,"90 or less",IF(E2595&lt;=105,"91-105",IF(E2595&lt;=120,"106-120",IF(E2595&lt;=140,"121-140","Over 140"))))</f>
        <v/>
      </c>
      <c r="Q2595" s="28">
        <f>INT(C2595/10)*10</f>
        <v/>
      </c>
    </row>
    <row r="2596">
      <c r="A2596" s="21" t="n">
        <v>2649</v>
      </c>
      <c r="B2596" s="21" t="inlineStr">
        <is>
          <t>Perfume: The Story of a Murderer</t>
        </is>
      </c>
      <c r="C2596" s="21" t="n">
        <v>2006</v>
      </c>
      <c r="D2596" s="21" t="inlineStr">
        <is>
          <t>Germany</t>
        </is>
      </c>
      <c r="E2596" s="21" t="n">
        <v>147</v>
      </c>
      <c r="F2596" s="21" t="inlineStr">
        <is>
          <t>English</t>
        </is>
      </c>
      <c r="G2596" s="21" t="inlineStr">
        <is>
          <t>R</t>
        </is>
      </c>
      <c r="H2596" s="22" t="n">
        <v>2208939</v>
      </c>
      <c r="I2596" s="22" t="n">
        <v>50000000</v>
      </c>
      <c r="J2596" s="21">
        <f>IF(OR(H2596="",H2596=25529689.5),"Yes","No")</f>
        <v/>
      </c>
      <c r="K2596" s="21">
        <f>IF(AND(D2596="USA",C2596&gt;=1980,J2596="No"),"Yes","No")</f>
        <v/>
      </c>
      <c r="L2596" s="26">
        <f>IF(J2596="Yes","",H2596-I2596)</f>
        <v/>
      </c>
      <c r="M2596" s="27">
        <f>IF(OR(J2596="Yes",I2596=0),"",H2596/I2596)</f>
        <v/>
      </c>
      <c r="N2596" s="21">
        <f>IF(J2596="Yes","",IF(H2596&gt;=I2596,1,0))</f>
        <v/>
      </c>
      <c r="O2596" s="21">
        <f>IF(I2596&lt;=5000000,"Under $5M",IF(I2596&lt;=20000000,"$5M-20M",IF(I2596&lt;=50000000,"$20M-50M",IF(I2596&lt;=100000000,"$50M-100M","$100M+"))))</f>
        <v/>
      </c>
      <c r="P2596" s="21">
        <f>IF(E2596&lt;=90,"90 or less",IF(E2596&lt;=105,"91-105",IF(E2596&lt;=120,"106-120",IF(E2596&lt;=140,"121-140","Over 140"))))</f>
        <v/>
      </c>
      <c r="Q2596" s="28">
        <f>INT(C2596/10)*10</f>
        <v/>
      </c>
    </row>
    <row r="2597">
      <c r="A2597" s="21" t="n">
        <v>2650</v>
      </c>
      <c r="B2597" s="21" t="inlineStr">
        <is>
          <t>Phat Girlz</t>
        </is>
      </c>
      <c r="C2597" s="21" t="n">
        <v>2006</v>
      </c>
      <c r="D2597" s="21" t="inlineStr">
        <is>
          <t>USA</t>
        </is>
      </c>
      <c r="E2597" s="21" t="n">
        <v>99</v>
      </c>
      <c r="F2597" s="21" t="inlineStr">
        <is>
          <t>English</t>
        </is>
      </c>
      <c r="G2597" s="21" t="inlineStr">
        <is>
          <t>PG-13</t>
        </is>
      </c>
      <c r="H2597" s="22" t="n">
        <v>7059537</v>
      </c>
      <c r="I2597" s="22" t="n">
        <v>3000000</v>
      </c>
      <c r="J2597" s="21">
        <f>IF(OR(H2597="",H2597=25529689.5),"Yes","No")</f>
        <v/>
      </c>
      <c r="K2597" s="21">
        <f>IF(AND(D2597="USA",C2597&gt;=1980,J2597="No"),"Yes","No")</f>
        <v/>
      </c>
      <c r="L2597" s="26">
        <f>IF(J2597="Yes","",H2597-I2597)</f>
        <v/>
      </c>
      <c r="M2597" s="27">
        <f>IF(OR(J2597="Yes",I2597=0),"",H2597/I2597)</f>
        <v/>
      </c>
      <c r="N2597" s="21">
        <f>IF(J2597="Yes","",IF(H2597&gt;=I2597,1,0))</f>
        <v/>
      </c>
      <c r="O2597" s="21">
        <f>IF(I2597&lt;=5000000,"Under $5M",IF(I2597&lt;=20000000,"$5M-20M",IF(I2597&lt;=50000000,"$20M-50M",IF(I2597&lt;=100000000,"$50M-100M","$100M+"))))</f>
        <v/>
      </c>
      <c r="P2597" s="21">
        <f>IF(E2597&lt;=90,"90 or less",IF(E2597&lt;=105,"91-105",IF(E2597&lt;=120,"106-120",IF(E2597&lt;=140,"121-140","Over 140"))))</f>
        <v/>
      </c>
      <c r="Q2597" s="28">
        <f>INT(C2597/10)*10</f>
        <v/>
      </c>
    </row>
    <row r="2598">
      <c r="A2598" s="21" t="n">
        <v>2651</v>
      </c>
      <c r="B2598" s="21" t="inlineStr">
        <is>
          <t>Pirates of the Caribbean: Dead Man's Chest</t>
        </is>
      </c>
      <c r="C2598" s="21" t="n">
        <v>2006</v>
      </c>
      <c r="D2598" s="21" t="inlineStr">
        <is>
          <t>USA</t>
        </is>
      </c>
      <c r="E2598" s="21" t="n">
        <v>151</v>
      </c>
      <c r="F2598" s="21" t="inlineStr">
        <is>
          <t>English</t>
        </is>
      </c>
      <c r="G2598" s="21" t="inlineStr">
        <is>
          <t>PG-13</t>
        </is>
      </c>
      <c r="H2598" s="22" t="n">
        <v>423032628</v>
      </c>
      <c r="I2598" s="22" t="n">
        <v>225000000</v>
      </c>
      <c r="J2598" s="21">
        <f>IF(OR(H2598="",H2598=25529689.5),"Yes","No")</f>
        <v/>
      </c>
      <c r="K2598" s="21">
        <f>IF(AND(D2598="USA",C2598&gt;=1980,J2598="No"),"Yes","No")</f>
        <v/>
      </c>
      <c r="L2598" s="26">
        <f>IF(J2598="Yes","",H2598-I2598)</f>
        <v/>
      </c>
      <c r="M2598" s="27">
        <f>IF(OR(J2598="Yes",I2598=0),"",H2598/I2598)</f>
        <v/>
      </c>
      <c r="N2598" s="21">
        <f>IF(J2598="Yes","",IF(H2598&gt;=I2598,1,0))</f>
        <v/>
      </c>
      <c r="O2598" s="21">
        <f>IF(I2598&lt;=5000000,"Under $5M",IF(I2598&lt;=20000000,"$5M-20M",IF(I2598&lt;=50000000,"$20M-50M",IF(I2598&lt;=100000000,"$50M-100M","$100M+"))))</f>
        <v/>
      </c>
      <c r="P2598" s="21">
        <f>IF(E2598&lt;=90,"90 or less",IF(E2598&lt;=105,"91-105",IF(E2598&lt;=120,"106-120",IF(E2598&lt;=140,"121-140","Over 140"))))</f>
        <v/>
      </c>
      <c r="Q2598" s="28">
        <f>INT(C2598/10)*10</f>
        <v/>
      </c>
    </row>
    <row r="2599">
      <c r="A2599" s="21" t="n">
        <v>2652</v>
      </c>
      <c r="B2599" s="21" t="inlineStr">
        <is>
          <t>Poseidon</t>
        </is>
      </c>
      <c r="C2599" s="21" t="n">
        <v>2006</v>
      </c>
      <c r="D2599" s="21" t="inlineStr">
        <is>
          <t>USA</t>
        </is>
      </c>
      <c r="E2599" s="21" t="n">
        <v>98</v>
      </c>
      <c r="F2599" s="21" t="inlineStr">
        <is>
          <t>English</t>
        </is>
      </c>
      <c r="G2599" s="21" t="inlineStr">
        <is>
          <t>PG-13</t>
        </is>
      </c>
      <c r="H2599" s="22" t="n">
        <v>60655503</v>
      </c>
      <c r="I2599" s="22" t="n">
        <v>160000000</v>
      </c>
      <c r="J2599" s="21">
        <f>IF(OR(H2599="",H2599=25529689.5),"Yes","No")</f>
        <v/>
      </c>
      <c r="K2599" s="21">
        <f>IF(AND(D2599="USA",C2599&gt;=1980,J2599="No"),"Yes","No")</f>
        <v/>
      </c>
      <c r="L2599" s="26">
        <f>IF(J2599="Yes","",H2599-I2599)</f>
        <v/>
      </c>
      <c r="M2599" s="27">
        <f>IF(OR(J2599="Yes",I2599=0),"",H2599/I2599)</f>
        <v/>
      </c>
      <c r="N2599" s="21">
        <f>IF(J2599="Yes","",IF(H2599&gt;=I2599,1,0))</f>
        <v/>
      </c>
      <c r="O2599" s="21">
        <f>IF(I2599&lt;=5000000,"Under $5M",IF(I2599&lt;=20000000,"$5M-20M",IF(I2599&lt;=50000000,"$20M-50M",IF(I2599&lt;=100000000,"$50M-100M","$100M+"))))</f>
        <v/>
      </c>
      <c r="P2599" s="21">
        <f>IF(E2599&lt;=90,"90 or less",IF(E2599&lt;=105,"91-105",IF(E2599&lt;=120,"106-120",IF(E2599&lt;=140,"121-140","Over 140"))))</f>
        <v/>
      </c>
      <c r="Q2599" s="28">
        <f>INT(C2599/10)*10</f>
        <v/>
      </c>
    </row>
    <row r="2600">
      <c r="A2600" s="21" t="n">
        <v>2653</v>
      </c>
      <c r="B2600" s="21" t="inlineStr">
        <is>
          <t>Poultrygeist: Night of the Chicken Dead</t>
        </is>
      </c>
      <c r="C2600" s="21" t="n">
        <v>2006</v>
      </c>
      <c r="D2600" s="21" t="inlineStr">
        <is>
          <t>USA</t>
        </is>
      </c>
      <c r="E2600" s="21" t="n">
        <v>103</v>
      </c>
      <c r="F2600" s="21" t="inlineStr">
        <is>
          <t>English</t>
        </is>
      </c>
      <c r="G2600" s="21" t="inlineStr">
        <is>
          <t>Unrated</t>
        </is>
      </c>
      <c r="H2600" s="22" t="n">
        <v>23000</v>
      </c>
      <c r="I2600" s="22" t="n">
        <v>500000</v>
      </c>
      <c r="J2600" s="21">
        <f>IF(OR(H2600="",H2600=25529689.5),"Yes","No")</f>
        <v/>
      </c>
      <c r="K2600" s="21">
        <f>IF(AND(D2600="USA",C2600&gt;=1980,J2600="No"),"Yes","No")</f>
        <v/>
      </c>
      <c r="L2600" s="26">
        <f>IF(J2600="Yes","",H2600-I2600)</f>
        <v/>
      </c>
      <c r="M2600" s="27">
        <f>IF(OR(J2600="Yes",I2600=0),"",H2600/I2600)</f>
        <v/>
      </c>
      <c r="N2600" s="21">
        <f>IF(J2600="Yes","",IF(H2600&gt;=I2600,1,0))</f>
        <v/>
      </c>
      <c r="O2600" s="21">
        <f>IF(I2600&lt;=5000000,"Under $5M",IF(I2600&lt;=20000000,"$5M-20M",IF(I2600&lt;=50000000,"$20M-50M",IF(I2600&lt;=100000000,"$50M-100M","$100M+"))))</f>
        <v/>
      </c>
      <c r="P2600" s="21">
        <f>IF(E2600&lt;=90,"90 or less",IF(E2600&lt;=105,"91-105",IF(E2600&lt;=120,"106-120",IF(E2600&lt;=140,"121-140","Over 140"))))</f>
        <v/>
      </c>
      <c r="Q2600" s="28">
        <f>INT(C2600/10)*10</f>
        <v/>
      </c>
    </row>
    <row r="2601">
      <c r="A2601" s="21" t="n">
        <v>2654</v>
      </c>
      <c r="B2601" s="21" t="inlineStr">
        <is>
          <t>Pulse</t>
        </is>
      </c>
      <c r="C2601" s="21" t="n">
        <v>2006</v>
      </c>
      <c r="D2601" s="21" t="inlineStr">
        <is>
          <t>USA</t>
        </is>
      </c>
      <c r="E2601" s="21" t="n">
        <v>90</v>
      </c>
      <c r="F2601" s="21" t="inlineStr">
        <is>
          <t>English</t>
        </is>
      </c>
      <c r="G2601" s="21" t="inlineStr">
        <is>
          <t>PG-13</t>
        </is>
      </c>
      <c r="H2601" s="22" t="n">
        <v>20259297</v>
      </c>
      <c r="I2601" s="22" t="n">
        <v>20000000</v>
      </c>
      <c r="J2601" s="21">
        <f>IF(OR(H2601="",H2601=25529689.5),"Yes","No")</f>
        <v/>
      </c>
      <c r="K2601" s="21">
        <f>IF(AND(D2601="USA",C2601&gt;=1980,J2601="No"),"Yes","No")</f>
        <v/>
      </c>
      <c r="L2601" s="26">
        <f>IF(J2601="Yes","",H2601-I2601)</f>
        <v/>
      </c>
      <c r="M2601" s="27">
        <f>IF(OR(J2601="Yes",I2601=0),"",H2601/I2601)</f>
        <v/>
      </c>
      <c r="N2601" s="21">
        <f>IF(J2601="Yes","",IF(H2601&gt;=I2601,1,0))</f>
        <v/>
      </c>
      <c r="O2601" s="21">
        <f>IF(I2601&lt;=5000000,"Under $5M",IF(I2601&lt;=20000000,"$5M-20M",IF(I2601&lt;=50000000,"$20M-50M",IF(I2601&lt;=100000000,"$50M-100M","$100M+"))))</f>
        <v/>
      </c>
      <c r="P2601" s="21">
        <f>IF(E2601&lt;=90,"90 or less",IF(E2601&lt;=105,"91-105",IF(E2601&lt;=120,"106-120",IF(E2601&lt;=140,"121-140","Over 140"))))</f>
        <v/>
      </c>
      <c r="Q2601" s="28">
        <f>INT(C2601/10)*10</f>
        <v/>
      </c>
    </row>
    <row r="2602">
      <c r="A2602" s="21" t="n">
        <v>2655</v>
      </c>
      <c r="B2602" s="21" t="inlineStr">
        <is>
          <t>QuinceaÃ±era</t>
        </is>
      </c>
      <c r="C2602" s="21" t="n">
        <v>2006</v>
      </c>
      <c r="D2602" s="21" t="inlineStr">
        <is>
          <t>USA</t>
        </is>
      </c>
      <c r="E2602" s="21" t="n">
        <v>90</v>
      </c>
      <c r="F2602" s="21" t="inlineStr">
        <is>
          <t>Spanish</t>
        </is>
      </c>
      <c r="G2602" s="21" t="inlineStr">
        <is>
          <t>R</t>
        </is>
      </c>
      <c r="H2602" s="22" t="n">
        <v>1689999</v>
      </c>
      <c r="I2602" s="22" t="n">
        <v>400000</v>
      </c>
      <c r="J2602" s="21">
        <f>IF(OR(H2602="",H2602=25529689.5),"Yes","No")</f>
        <v/>
      </c>
      <c r="K2602" s="21">
        <f>IF(AND(D2602="USA",C2602&gt;=1980,J2602="No"),"Yes","No")</f>
        <v/>
      </c>
      <c r="L2602" s="26">
        <f>IF(J2602="Yes","",H2602-I2602)</f>
        <v/>
      </c>
      <c r="M2602" s="27">
        <f>IF(OR(J2602="Yes",I2602=0),"",H2602/I2602)</f>
        <v/>
      </c>
      <c r="N2602" s="21">
        <f>IF(J2602="Yes","",IF(H2602&gt;=I2602,1,0))</f>
        <v/>
      </c>
      <c r="O2602" s="21">
        <f>IF(I2602&lt;=5000000,"Under $5M",IF(I2602&lt;=20000000,"$5M-20M",IF(I2602&lt;=50000000,"$20M-50M",IF(I2602&lt;=100000000,"$50M-100M","$100M+"))))</f>
        <v/>
      </c>
      <c r="P2602" s="21">
        <f>IF(E2602&lt;=90,"90 or less",IF(E2602&lt;=105,"91-105",IF(E2602&lt;=120,"106-120",IF(E2602&lt;=140,"121-140","Over 140"))))</f>
        <v/>
      </c>
      <c r="Q2602" s="28">
        <f>INT(C2602/10)*10</f>
        <v/>
      </c>
    </row>
    <row r="2603">
      <c r="A2603" s="21" t="n">
        <v>2656</v>
      </c>
      <c r="B2603" s="21" t="inlineStr">
        <is>
          <t>Rang De Basanti</t>
        </is>
      </c>
      <c r="C2603" s="21" t="n">
        <v>2006</v>
      </c>
      <c r="D2603" s="21" t="inlineStr">
        <is>
          <t>India</t>
        </is>
      </c>
      <c r="E2603" s="21" t="n">
        <v>157</v>
      </c>
      <c r="F2603" s="21" t="inlineStr">
        <is>
          <t>Hindi</t>
        </is>
      </c>
      <c r="G2603" s="21" t="inlineStr">
        <is>
          <t>Not Rated</t>
        </is>
      </c>
      <c r="H2603" s="22" t="n">
        <v>2197331</v>
      </c>
      <c r="I2603" s="22" t="n">
        <v>20000000</v>
      </c>
      <c r="J2603" s="21">
        <f>IF(OR(H2603="",H2603=25529689.5),"Yes","No")</f>
        <v/>
      </c>
      <c r="K2603" s="21">
        <f>IF(AND(D2603="USA",C2603&gt;=1980,J2603="No"),"Yes","No")</f>
        <v/>
      </c>
      <c r="L2603" s="26">
        <f>IF(J2603="Yes","",H2603-I2603)</f>
        <v/>
      </c>
      <c r="M2603" s="27">
        <f>IF(OR(J2603="Yes",I2603=0),"",H2603/I2603)</f>
        <v/>
      </c>
      <c r="N2603" s="21">
        <f>IF(J2603="Yes","",IF(H2603&gt;=I2603,1,0))</f>
        <v/>
      </c>
      <c r="O2603" s="21">
        <f>IF(I2603&lt;=5000000,"Under $5M",IF(I2603&lt;=20000000,"$5M-20M",IF(I2603&lt;=50000000,"$20M-50M",IF(I2603&lt;=100000000,"$50M-100M","$100M+"))))</f>
        <v/>
      </c>
      <c r="P2603" s="21">
        <f>IF(E2603&lt;=90,"90 or less",IF(E2603&lt;=105,"91-105",IF(E2603&lt;=120,"106-120",IF(E2603&lt;=140,"121-140","Over 140"))))</f>
        <v/>
      </c>
      <c r="Q2603" s="28">
        <f>INT(C2603/10)*10</f>
        <v/>
      </c>
    </row>
    <row r="2604">
      <c r="A2604" s="21" t="n">
        <v>2657</v>
      </c>
      <c r="B2604" s="21" t="inlineStr">
        <is>
          <t>Renaissance</t>
        </is>
      </c>
      <c r="C2604" s="21" t="n">
        <v>2006</v>
      </c>
      <c r="D2604" s="21" t="inlineStr">
        <is>
          <t>France</t>
        </is>
      </c>
      <c r="E2604" s="21" t="n">
        <v>105</v>
      </c>
      <c r="F2604" s="21" t="inlineStr">
        <is>
          <t>English</t>
        </is>
      </c>
      <c r="G2604" s="21" t="inlineStr">
        <is>
          <t>R</t>
        </is>
      </c>
      <c r="H2604" s="22" t="n">
        <v>63260</v>
      </c>
      <c r="I2604" s="22" t="n">
        <v>14000000</v>
      </c>
      <c r="J2604" s="21">
        <f>IF(OR(H2604="",H2604=25529689.5),"Yes","No")</f>
        <v/>
      </c>
      <c r="K2604" s="21">
        <f>IF(AND(D2604="USA",C2604&gt;=1980,J2604="No"),"Yes","No")</f>
        <v/>
      </c>
      <c r="L2604" s="26">
        <f>IF(J2604="Yes","",H2604-I2604)</f>
        <v/>
      </c>
      <c r="M2604" s="27">
        <f>IF(OR(J2604="Yes",I2604=0),"",H2604/I2604)</f>
        <v/>
      </c>
      <c r="N2604" s="21">
        <f>IF(J2604="Yes","",IF(H2604&gt;=I2604,1,0))</f>
        <v/>
      </c>
      <c r="O2604" s="21">
        <f>IF(I2604&lt;=5000000,"Under $5M",IF(I2604&lt;=20000000,"$5M-20M",IF(I2604&lt;=50000000,"$20M-50M",IF(I2604&lt;=100000000,"$50M-100M","$100M+"))))</f>
        <v/>
      </c>
      <c r="P2604" s="21">
        <f>IF(E2604&lt;=90,"90 or less",IF(E2604&lt;=105,"91-105",IF(E2604&lt;=120,"106-120",IF(E2604&lt;=140,"121-140","Over 140"))))</f>
        <v/>
      </c>
      <c r="Q2604" s="28">
        <f>INT(C2604/10)*10</f>
        <v/>
      </c>
    </row>
    <row r="2605">
      <c r="A2605" s="21" t="n">
        <v>2658</v>
      </c>
      <c r="B2605" s="21" t="inlineStr">
        <is>
          <t>Rescue Dawn</t>
        </is>
      </c>
      <c r="C2605" s="21" t="n">
        <v>2006</v>
      </c>
      <c r="D2605" s="21" t="inlineStr">
        <is>
          <t>USA</t>
        </is>
      </c>
      <c r="E2605" s="21" t="n">
        <v>120</v>
      </c>
      <c r="F2605" s="21" t="inlineStr">
        <is>
          <t>English</t>
        </is>
      </c>
      <c r="G2605" s="21" t="inlineStr">
        <is>
          <t>PG-13</t>
        </is>
      </c>
      <c r="H2605" s="22" t="n">
        <v>5484375</v>
      </c>
      <c r="I2605" s="22" t="n">
        <v>10000000</v>
      </c>
      <c r="J2605" s="21">
        <f>IF(OR(H2605="",H2605=25529689.5),"Yes","No")</f>
        <v/>
      </c>
      <c r="K2605" s="21">
        <f>IF(AND(D2605="USA",C2605&gt;=1980,J2605="No"),"Yes","No")</f>
        <v/>
      </c>
      <c r="L2605" s="26">
        <f>IF(J2605="Yes","",H2605-I2605)</f>
        <v/>
      </c>
      <c r="M2605" s="27">
        <f>IF(OR(J2605="Yes",I2605=0),"",H2605/I2605)</f>
        <v/>
      </c>
      <c r="N2605" s="21">
        <f>IF(J2605="Yes","",IF(H2605&gt;=I2605,1,0))</f>
        <v/>
      </c>
      <c r="O2605" s="21">
        <f>IF(I2605&lt;=5000000,"Under $5M",IF(I2605&lt;=20000000,"$5M-20M",IF(I2605&lt;=50000000,"$20M-50M",IF(I2605&lt;=100000000,"$50M-100M","$100M+"))))</f>
        <v/>
      </c>
      <c r="P2605" s="21">
        <f>IF(E2605&lt;=90,"90 or less",IF(E2605&lt;=105,"91-105",IF(E2605&lt;=120,"106-120",IF(E2605&lt;=140,"121-140","Over 140"))))</f>
        <v/>
      </c>
      <c r="Q2605" s="28">
        <f>INT(C2605/10)*10</f>
        <v/>
      </c>
    </row>
    <row r="2606">
      <c r="A2606" s="21" t="n">
        <v>2659</v>
      </c>
      <c r="B2606" s="21" t="inlineStr">
        <is>
          <t>Rocky Balboa</t>
        </is>
      </c>
      <c r="C2606" s="21" t="n">
        <v>2006</v>
      </c>
      <c r="D2606" s="21" t="inlineStr">
        <is>
          <t>USA</t>
        </is>
      </c>
      <c r="E2606" s="21" t="n">
        <v>139</v>
      </c>
      <c r="F2606" s="21" t="inlineStr">
        <is>
          <t>English</t>
        </is>
      </c>
      <c r="G2606" s="21" t="inlineStr">
        <is>
          <t>PG</t>
        </is>
      </c>
      <c r="H2606" s="22" t="n">
        <v>70269171</v>
      </c>
      <c r="I2606" s="22" t="n">
        <v>24000000</v>
      </c>
      <c r="J2606" s="21">
        <f>IF(OR(H2606="",H2606=25529689.5),"Yes","No")</f>
        <v/>
      </c>
      <c r="K2606" s="21">
        <f>IF(AND(D2606="USA",C2606&gt;=1980,J2606="No"),"Yes","No")</f>
        <v/>
      </c>
      <c r="L2606" s="26">
        <f>IF(J2606="Yes","",H2606-I2606)</f>
        <v/>
      </c>
      <c r="M2606" s="27">
        <f>IF(OR(J2606="Yes",I2606=0),"",H2606/I2606)</f>
        <v/>
      </c>
      <c r="N2606" s="21">
        <f>IF(J2606="Yes","",IF(H2606&gt;=I2606,1,0))</f>
        <v/>
      </c>
      <c r="O2606" s="21">
        <f>IF(I2606&lt;=5000000,"Under $5M",IF(I2606&lt;=20000000,"$5M-20M",IF(I2606&lt;=50000000,"$20M-50M",IF(I2606&lt;=100000000,"$50M-100M","$100M+"))))</f>
        <v/>
      </c>
      <c r="P2606" s="21">
        <f>IF(E2606&lt;=90,"90 or less",IF(E2606&lt;=105,"91-105",IF(E2606&lt;=120,"106-120",IF(E2606&lt;=140,"121-140","Over 140"))))</f>
        <v/>
      </c>
      <c r="Q2606" s="28">
        <f>INT(C2606/10)*10</f>
        <v/>
      </c>
    </row>
    <row r="2607">
      <c r="A2607" s="21" t="n">
        <v>2660</v>
      </c>
      <c r="B2607" s="21" t="inlineStr">
        <is>
          <t>Running Scared</t>
        </is>
      </c>
      <c r="C2607" s="21" t="n">
        <v>2006</v>
      </c>
      <c r="D2607" s="21" t="inlineStr">
        <is>
          <t>Germany</t>
        </is>
      </c>
      <c r="E2607" s="21" t="n">
        <v>122</v>
      </c>
      <c r="F2607" s="21" t="inlineStr">
        <is>
          <t>English</t>
        </is>
      </c>
      <c r="G2607" s="21" t="inlineStr">
        <is>
          <t>R</t>
        </is>
      </c>
      <c r="H2607" s="22" t="n">
        <v>6855137</v>
      </c>
      <c r="I2607" s="22" t="n">
        <v>17000000</v>
      </c>
      <c r="J2607" s="21">
        <f>IF(OR(H2607="",H2607=25529689.5),"Yes","No")</f>
        <v/>
      </c>
      <c r="K2607" s="21">
        <f>IF(AND(D2607="USA",C2607&gt;=1980,J2607="No"),"Yes","No")</f>
        <v/>
      </c>
      <c r="L2607" s="26">
        <f>IF(J2607="Yes","",H2607-I2607)</f>
        <v/>
      </c>
      <c r="M2607" s="27">
        <f>IF(OR(J2607="Yes",I2607=0),"",H2607/I2607)</f>
        <v/>
      </c>
      <c r="N2607" s="21">
        <f>IF(J2607="Yes","",IF(H2607&gt;=I2607,1,0))</f>
        <v/>
      </c>
      <c r="O2607" s="21">
        <f>IF(I2607&lt;=5000000,"Under $5M",IF(I2607&lt;=20000000,"$5M-20M",IF(I2607&lt;=50000000,"$20M-50M",IF(I2607&lt;=100000000,"$50M-100M","$100M+"))))</f>
        <v/>
      </c>
      <c r="P2607" s="21">
        <f>IF(E2607&lt;=90,"90 or less",IF(E2607&lt;=105,"91-105",IF(E2607&lt;=120,"106-120",IF(E2607&lt;=140,"121-140","Over 140"))))</f>
        <v/>
      </c>
      <c r="Q2607" s="28">
        <f>INT(C2607/10)*10</f>
        <v/>
      </c>
    </row>
    <row r="2608">
      <c r="A2608" s="21" t="n">
        <v>2661</v>
      </c>
      <c r="B2608" s="21" t="inlineStr">
        <is>
          <t>Running with Scissors</t>
        </is>
      </c>
      <c r="C2608" s="21" t="n">
        <v>2006</v>
      </c>
      <c r="D2608" s="21" t="inlineStr">
        <is>
          <t>USA</t>
        </is>
      </c>
      <c r="E2608" s="21" t="n">
        <v>122</v>
      </c>
      <c r="F2608" s="21" t="inlineStr">
        <is>
          <t>English</t>
        </is>
      </c>
      <c r="G2608" s="21" t="inlineStr">
        <is>
          <t>R</t>
        </is>
      </c>
      <c r="H2608" s="22" t="n">
        <v>6754898</v>
      </c>
      <c r="I2608" s="22" t="n">
        <v>12000000</v>
      </c>
      <c r="J2608" s="21">
        <f>IF(OR(H2608="",H2608=25529689.5),"Yes","No")</f>
        <v/>
      </c>
      <c r="K2608" s="21">
        <f>IF(AND(D2608="USA",C2608&gt;=1980,J2608="No"),"Yes","No")</f>
        <v/>
      </c>
      <c r="L2608" s="26">
        <f>IF(J2608="Yes","",H2608-I2608)</f>
        <v/>
      </c>
      <c r="M2608" s="27">
        <f>IF(OR(J2608="Yes",I2608=0),"",H2608/I2608)</f>
        <v/>
      </c>
      <c r="N2608" s="21">
        <f>IF(J2608="Yes","",IF(H2608&gt;=I2608,1,0))</f>
        <v/>
      </c>
      <c r="O2608" s="21">
        <f>IF(I2608&lt;=5000000,"Under $5M",IF(I2608&lt;=20000000,"$5M-20M",IF(I2608&lt;=50000000,"$20M-50M",IF(I2608&lt;=100000000,"$50M-100M","$100M+"))))</f>
        <v/>
      </c>
      <c r="P2608" s="21">
        <f>IF(E2608&lt;=90,"90 or less",IF(E2608&lt;=105,"91-105",IF(E2608&lt;=120,"106-120",IF(E2608&lt;=140,"121-140","Over 140"))))</f>
        <v/>
      </c>
      <c r="Q2608" s="28">
        <f>INT(C2608/10)*10</f>
        <v/>
      </c>
    </row>
    <row r="2609">
      <c r="A2609" s="21" t="n">
        <v>2662</v>
      </c>
      <c r="B2609" s="21" t="inlineStr">
        <is>
          <t>Saw III</t>
        </is>
      </c>
      <c r="C2609" s="21" t="n">
        <v>2006</v>
      </c>
      <c r="D2609" s="21" t="inlineStr">
        <is>
          <t>USA</t>
        </is>
      </c>
      <c r="E2609" s="21" t="n">
        <v>121</v>
      </c>
      <c r="F2609" s="21" t="inlineStr">
        <is>
          <t>English</t>
        </is>
      </c>
      <c r="G2609" s="21" t="inlineStr">
        <is>
          <t>R</t>
        </is>
      </c>
      <c r="H2609" s="22" t="n">
        <v>80150343</v>
      </c>
      <c r="I2609" s="22" t="n">
        <v>10000000</v>
      </c>
      <c r="J2609" s="21">
        <f>IF(OR(H2609="",H2609=25529689.5),"Yes","No")</f>
        <v/>
      </c>
      <c r="K2609" s="21">
        <f>IF(AND(D2609="USA",C2609&gt;=1980,J2609="No"),"Yes","No")</f>
        <v/>
      </c>
      <c r="L2609" s="26">
        <f>IF(J2609="Yes","",H2609-I2609)</f>
        <v/>
      </c>
      <c r="M2609" s="27">
        <f>IF(OR(J2609="Yes",I2609=0),"",H2609/I2609)</f>
        <v/>
      </c>
      <c r="N2609" s="21">
        <f>IF(J2609="Yes","",IF(H2609&gt;=I2609,1,0))</f>
        <v/>
      </c>
      <c r="O2609" s="21">
        <f>IF(I2609&lt;=5000000,"Under $5M",IF(I2609&lt;=20000000,"$5M-20M",IF(I2609&lt;=50000000,"$20M-50M",IF(I2609&lt;=100000000,"$50M-100M","$100M+"))))</f>
        <v/>
      </c>
      <c r="P2609" s="21">
        <f>IF(E2609&lt;=90,"90 or less",IF(E2609&lt;=105,"91-105",IF(E2609&lt;=120,"106-120",IF(E2609&lt;=140,"121-140","Over 140"))))</f>
        <v/>
      </c>
      <c r="Q2609" s="28">
        <f>INT(C2609/10)*10</f>
        <v/>
      </c>
    </row>
    <row r="2610">
      <c r="A2610" s="21" t="n">
        <v>2663</v>
      </c>
      <c r="B2610" s="21" t="inlineStr">
        <is>
          <t>Scary Movie 4</t>
        </is>
      </c>
      <c r="C2610" s="21" t="n">
        <v>2006</v>
      </c>
      <c r="D2610" s="21" t="inlineStr">
        <is>
          <t>USA</t>
        </is>
      </c>
      <c r="E2610" s="21" t="n">
        <v>89</v>
      </c>
      <c r="F2610" s="21" t="inlineStr">
        <is>
          <t>English</t>
        </is>
      </c>
      <c r="G2610" s="21" t="inlineStr">
        <is>
          <t>PG-13</t>
        </is>
      </c>
      <c r="H2610" s="22" t="n">
        <v>90703745</v>
      </c>
      <c r="I2610" s="22" t="n">
        <v>45000000</v>
      </c>
      <c r="J2610" s="21">
        <f>IF(OR(H2610="",H2610=25529689.5),"Yes","No")</f>
        <v/>
      </c>
      <c r="K2610" s="21">
        <f>IF(AND(D2610="USA",C2610&gt;=1980,J2610="No"),"Yes","No")</f>
        <v/>
      </c>
      <c r="L2610" s="26">
        <f>IF(J2610="Yes","",H2610-I2610)</f>
        <v/>
      </c>
      <c r="M2610" s="27">
        <f>IF(OR(J2610="Yes",I2610=0),"",H2610/I2610)</f>
        <v/>
      </c>
      <c r="N2610" s="21">
        <f>IF(J2610="Yes","",IF(H2610&gt;=I2610,1,0))</f>
        <v/>
      </c>
      <c r="O2610" s="21">
        <f>IF(I2610&lt;=5000000,"Under $5M",IF(I2610&lt;=20000000,"$5M-20M",IF(I2610&lt;=50000000,"$20M-50M",IF(I2610&lt;=100000000,"$50M-100M","$100M+"))))</f>
        <v/>
      </c>
      <c r="P2610" s="21">
        <f>IF(E2610&lt;=90,"90 or less",IF(E2610&lt;=105,"91-105",IF(E2610&lt;=120,"106-120",IF(E2610&lt;=140,"121-140","Over 140"))))</f>
        <v/>
      </c>
      <c r="Q2610" s="28">
        <f>INT(C2610/10)*10</f>
        <v/>
      </c>
    </row>
    <row r="2611">
      <c r="A2611" s="21" t="n">
        <v>2664</v>
      </c>
      <c r="B2611" s="21" t="inlineStr">
        <is>
          <t>School for Scoundrels</t>
        </is>
      </c>
      <c r="C2611" s="21" t="n">
        <v>2006</v>
      </c>
      <c r="D2611" s="21" t="inlineStr">
        <is>
          <t>USA</t>
        </is>
      </c>
      <c r="E2611" s="21" t="n">
        <v>108</v>
      </c>
      <c r="F2611" s="21" t="inlineStr">
        <is>
          <t>English</t>
        </is>
      </c>
      <c r="G2611" s="21" t="inlineStr">
        <is>
          <t>PG-13</t>
        </is>
      </c>
      <c r="H2611" s="22" t="n">
        <v>17803796</v>
      </c>
      <c r="I2611" s="22" t="n">
        <v>20000000</v>
      </c>
      <c r="J2611" s="21">
        <f>IF(OR(H2611="",H2611=25529689.5),"Yes","No")</f>
        <v/>
      </c>
      <c r="K2611" s="21">
        <f>IF(AND(D2611="USA",C2611&gt;=1980,J2611="No"),"Yes","No")</f>
        <v/>
      </c>
      <c r="L2611" s="26">
        <f>IF(J2611="Yes","",H2611-I2611)</f>
        <v/>
      </c>
      <c r="M2611" s="27">
        <f>IF(OR(J2611="Yes",I2611=0),"",H2611/I2611)</f>
        <v/>
      </c>
      <c r="N2611" s="21">
        <f>IF(J2611="Yes","",IF(H2611&gt;=I2611,1,0))</f>
        <v/>
      </c>
      <c r="O2611" s="21">
        <f>IF(I2611&lt;=5000000,"Under $5M",IF(I2611&lt;=20000000,"$5M-20M",IF(I2611&lt;=50000000,"$20M-50M",IF(I2611&lt;=100000000,"$50M-100M","$100M+"))))</f>
        <v/>
      </c>
      <c r="P2611" s="21">
        <f>IF(E2611&lt;=90,"90 or less",IF(E2611&lt;=105,"91-105",IF(E2611&lt;=120,"106-120",IF(E2611&lt;=140,"121-140","Over 140"))))</f>
        <v/>
      </c>
      <c r="Q2611" s="28">
        <f>INT(C2611/10)*10</f>
        <v/>
      </c>
    </row>
    <row r="2612">
      <c r="A2612" s="21" t="n">
        <v>2665</v>
      </c>
      <c r="B2612" s="21" t="inlineStr">
        <is>
          <t>Scoop</t>
        </is>
      </c>
      <c r="C2612" s="21" t="n">
        <v>2006</v>
      </c>
      <c r="D2612" s="21" t="inlineStr">
        <is>
          <t>UK</t>
        </is>
      </c>
      <c r="E2612" s="21" t="n">
        <v>96</v>
      </c>
      <c r="F2612" s="21" t="inlineStr">
        <is>
          <t>English</t>
        </is>
      </c>
      <c r="G2612" s="21" t="inlineStr">
        <is>
          <t>PG-13</t>
        </is>
      </c>
      <c r="H2612" s="22" t="n">
        <v>10515579</v>
      </c>
      <c r="I2612" s="22" t="n">
        <v>4000000</v>
      </c>
      <c r="J2612" s="21">
        <f>IF(OR(H2612="",H2612=25529689.5),"Yes","No")</f>
        <v/>
      </c>
      <c r="K2612" s="21">
        <f>IF(AND(D2612="USA",C2612&gt;=1980,J2612="No"),"Yes","No")</f>
        <v/>
      </c>
      <c r="L2612" s="26">
        <f>IF(J2612="Yes","",H2612-I2612)</f>
        <v/>
      </c>
      <c r="M2612" s="27">
        <f>IF(OR(J2612="Yes",I2612=0),"",H2612/I2612)</f>
        <v/>
      </c>
      <c r="N2612" s="21">
        <f>IF(J2612="Yes","",IF(H2612&gt;=I2612,1,0))</f>
        <v/>
      </c>
      <c r="O2612" s="21">
        <f>IF(I2612&lt;=5000000,"Under $5M",IF(I2612&lt;=20000000,"$5M-20M",IF(I2612&lt;=50000000,"$20M-50M",IF(I2612&lt;=100000000,"$50M-100M","$100M+"))))</f>
        <v/>
      </c>
      <c r="P2612" s="21">
        <f>IF(E2612&lt;=90,"90 or less",IF(E2612&lt;=105,"91-105",IF(E2612&lt;=120,"106-120",IF(E2612&lt;=140,"121-140","Over 140"))))</f>
        <v/>
      </c>
      <c r="Q2612" s="28">
        <f>INT(C2612/10)*10</f>
        <v/>
      </c>
    </row>
    <row r="2613">
      <c r="A2613" s="21" t="n">
        <v>2666</v>
      </c>
      <c r="B2613" s="21" t="inlineStr">
        <is>
          <t>Scott Walker: 30 Century Man</t>
        </is>
      </c>
      <c r="C2613" s="21" t="n">
        <v>2006</v>
      </c>
      <c r="D2613" s="21" t="inlineStr">
        <is>
          <t>UK</t>
        </is>
      </c>
      <c r="E2613" s="21" t="n">
        <v>95</v>
      </c>
      <c r="F2613" s="21" t="inlineStr">
        <is>
          <t>English</t>
        </is>
      </c>
      <c r="G2613" s="21" t="n"/>
      <c r="H2613" s="22" t="n">
        <v>25529689.5</v>
      </c>
      <c r="I2613" s="22" t="n">
        <v>500000</v>
      </c>
      <c r="J2613" s="21">
        <f>IF(OR(H2613="",H2613=25529689.5),"Yes","No")</f>
        <v/>
      </c>
      <c r="K2613" s="21">
        <f>IF(AND(D2613="USA",C2613&gt;=1980,J2613="No"),"Yes","No")</f>
        <v/>
      </c>
      <c r="L2613" s="26">
        <f>IF(J2613="Yes","",H2613-I2613)</f>
        <v/>
      </c>
      <c r="M2613" s="27">
        <f>IF(OR(J2613="Yes",I2613=0),"",H2613/I2613)</f>
        <v/>
      </c>
      <c r="N2613" s="21">
        <f>IF(J2613="Yes","",IF(H2613&gt;=I2613,1,0))</f>
        <v/>
      </c>
      <c r="O2613" s="21">
        <f>IF(I2613&lt;=5000000,"Under $5M",IF(I2613&lt;=20000000,"$5M-20M",IF(I2613&lt;=50000000,"$20M-50M",IF(I2613&lt;=100000000,"$50M-100M","$100M+"))))</f>
        <v/>
      </c>
      <c r="P2613" s="21">
        <f>IF(E2613&lt;=90,"90 or less",IF(E2613&lt;=105,"91-105",IF(E2613&lt;=120,"106-120",IF(E2613&lt;=140,"121-140","Over 140"))))</f>
        <v/>
      </c>
      <c r="Q2613" s="28">
        <f>INT(C2613/10)*10</f>
        <v/>
      </c>
    </row>
    <row r="2614">
      <c r="A2614" s="21" t="n">
        <v>2667</v>
      </c>
      <c r="B2614" s="21" t="inlineStr">
        <is>
          <t>Severance</t>
        </is>
      </c>
      <c r="C2614" s="21" t="n">
        <v>2006</v>
      </c>
      <c r="D2614" s="21" t="inlineStr">
        <is>
          <t>UK</t>
        </is>
      </c>
      <c r="E2614" s="21" t="n">
        <v>90</v>
      </c>
      <c r="F2614" s="21" t="inlineStr">
        <is>
          <t>English</t>
        </is>
      </c>
      <c r="G2614" s="21" t="inlineStr">
        <is>
          <t>R</t>
        </is>
      </c>
      <c r="H2614" s="22" t="n">
        <v>136432</v>
      </c>
      <c r="I2614" s="22" t="n">
        <v>5000000</v>
      </c>
      <c r="J2614" s="21">
        <f>IF(OR(H2614="",H2614=25529689.5),"Yes","No")</f>
        <v/>
      </c>
      <c r="K2614" s="21">
        <f>IF(AND(D2614="USA",C2614&gt;=1980,J2614="No"),"Yes","No")</f>
        <v/>
      </c>
      <c r="L2614" s="26">
        <f>IF(J2614="Yes","",H2614-I2614)</f>
        <v/>
      </c>
      <c r="M2614" s="27">
        <f>IF(OR(J2614="Yes",I2614=0),"",H2614/I2614)</f>
        <v/>
      </c>
      <c r="N2614" s="21">
        <f>IF(J2614="Yes","",IF(H2614&gt;=I2614,1,0))</f>
        <v/>
      </c>
      <c r="O2614" s="21">
        <f>IF(I2614&lt;=5000000,"Under $5M",IF(I2614&lt;=20000000,"$5M-20M",IF(I2614&lt;=50000000,"$20M-50M",IF(I2614&lt;=100000000,"$50M-100M","$100M+"))))</f>
        <v/>
      </c>
      <c r="P2614" s="21">
        <f>IF(E2614&lt;=90,"90 or less",IF(E2614&lt;=105,"91-105",IF(E2614&lt;=120,"106-120",IF(E2614&lt;=140,"121-140","Over 140"))))</f>
        <v/>
      </c>
      <c r="Q2614" s="28">
        <f>INT(C2614/10)*10</f>
        <v/>
      </c>
    </row>
    <row r="2615">
      <c r="A2615" s="21" t="n">
        <v>2668</v>
      </c>
      <c r="B2615" s="21" t="inlineStr">
        <is>
          <t>She's the Man</t>
        </is>
      </c>
      <c r="C2615" s="21" t="n">
        <v>2006</v>
      </c>
      <c r="D2615" s="21" t="inlineStr">
        <is>
          <t>USA</t>
        </is>
      </c>
      <c r="E2615" s="21" t="n">
        <v>105</v>
      </c>
      <c r="F2615" s="21" t="inlineStr">
        <is>
          <t>English</t>
        </is>
      </c>
      <c r="G2615" s="21" t="inlineStr">
        <is>
          <t>PG-13</t>
        </is>
      </c>
      <c r="H2615" s="22" t="n">
        <v>33687630</v>
      </c>
      <c r="I2615" s="22" t="n">
        <v>20000000</v>
      </c>
      <c r="J2615" s="21">
        <f>IF(OR(H2615="",H2615=25529689.5),"Yes","No")</f>
        <v/>
      </c>
      <c r="K2615" s="21">
        <f>IF(AND(D2615="USA",C2615&gt;=1980,J2615="No"),"Yes","No")</f>
        <v/>
      </c>
      <c r="L2615" s="26">
        <f>IF(J2615="Yes","",H2615-I2615)</f>
        <v/>
      </c>
      <c r="M2615" s="27">
        <f>IF(OR(J2615="Yes",I2615=0),"",H2615/I2615)</f>
        <v/>
      </c>
      <c r="N2615" s="21">
        <f>IF(J2615="Yes","",IF(H2615&gt;=I2615,1,0))</f>
        <v/>
      </c>
      <c r="O2615" s="21">
        <f>IF(I2615&lt;=5000000,"Under $5M",IF(I2615&lt;=20000000,"$5M-20M",IF(I2615&lt;=50000000,"$20M-50M",IF(I2615&lt;=100000000,"$50M-100M","$100M+"))))</f>
        <v/>
      </c>
      <c r="P2615" s="21">
        <f>IF(E2615&lt;=90,"90 or less",IF(E2615&lt;=105,"91-105",IF(E2615&lt;=120,"106-120",IF(E2615&lt;=140,"121-140","Over 140"))))</f>
        <v/>
      </c>
      <c r="Q2615" s="28">
        <f>INT(C2615/10)*10</f>
        <v/>
      </c>
    </row>
    <row r="2616">
      <c r="A2616" s="21" t="n">
        <v>2669</v>
      </c>
      <c r="B2616" s="21" t="inlineStr">
        <is>
          <t>Sherrybaby</t>
        </is>
      </c>
      <c r="C2616" s="21" t="n">
        <v>2006</v>
      </c>
      <c r="D2616" s="21" t="inlineStr">
        <is>
          <t>USA</t>
        </is>
      </c>
      <c r="E2616" s="21" t="n">
        <v>96</v>
      </c>
      <c r="F2616" s="21" t="inlineStr">
        <is>
          <t>English</t>
        </is>
      </c>
      <c r="G2616" s="21" t="inlineStr">
        <is>
          <t>R</t>
        </is>
      </c>
      <c r="H2616" s="22" t="n">
        <v>198407</v>
      </c>
      <c r="I2616" s="22" t="n">
        <v>2000000</v>
      </c>
      <c r="J2616" s="21">
        <f>IF(OR(H2616="",H2616=25529689.5),"Yes","No")</f>
        <v/>
      </c>
      <c r="K2616" s="21">
        <f>IF(AND(D2616="USA",C2616&gt;=1980,J2616="No"),"Yes","No")</f>
        <v/>
      </c>
      <c r="L2616" s="26">
        <f>IF(J2616="Yes","",H2616-I2616)</f>
        <v/>
      </c>
      <c r="M2616" s="27">
        <f>IF(OR(J2616="Yes",I2616=0),"",H2616/I2616)</f>
        <v/>
      </c>
      <c r="N2616" s="21">
        <f>IF(J2616="Yes","",IF(H2616&gt;=I2616,1,0))</f>
        <v/>
      </c>
      <c r="O2616" s="21">
        <f>IF(I2616&lt;=5000000,"Under $5M",IF(I2616&lt;=20000000,"$5M-20M",IF(I2616&lt;=50000000,"$20M-50M",IF(I2616&lt;=100000000,"$50M-100M","$100M+"))))</f>
        <v/>
      </c>
      <c r="P2616" s="21">
        <f>IF(E2616&lt;=90,"90 or less",IF(E2616&lt;=105,"91-105",IF(E2616&lt;=120,"106-120",IF(E2616&lt;=140,"121-140","Over 140"))))</f>
        <v/>
      </c>
      <c r="Q2616" s="28">
        <f>INT(C2616/10)*10</f>
        <v/>
      </c>
    </row>
    <row r="2617">
      <c r="A2617" s="21" t="n">
        <v>2670</v>
      </c>
      <c r="B2617" s="21" t="inlineStr">
        <is>
          <t>Shortbus</t>
        </is>
      </c>
      <c r="C2617" s="21" t="n">
        <v>2006</v>
      </c>
      <c r="D2617" s="21" t="inlineStr">
        <is>
          <t>USA</t>
        </is>
      </c>
      <c r="E2617" s="21" t="n">
        <v>101</v>
      </c>
      <c r="F2617" s="21" t="inlineStr">
        <is>
          <t>English</t>
        </is>
      </c>
      <c r="G2617" s="21" t="inlineStr">
        <is>
          <t>Unrated</t>
        </is>
      </c>
      <c r="H2617" s="22" t="n">
        <v>1984378</v>
      </c>
      <c r="I2617" s="22" t="n">
        <v>2000000</v>
      </c>
      <c r="J2617" s="21">
        <f>IF(OR(H2617="",H2617=25529689.5),"Yes","No")</f>
        <v/>
      </c>
      <c r="K2617" s="21">
        <f>IF(AND(D2617="USA",C2617&gt;=1980,J2617="No"),"Yes","No")</f>
        <v/>
      </c>
      <c r="L2617" s="26">
        <f>IF(J2617="Yes","",H2617-I2617)</f>
        <v/>
      </c>
      <c r="M2617" s="27">
        <f>IF(OR(J2617="Yes",I2617=0),"",H2617/I2617)</f>
        <v/>
      </c>
      <c r="N2617" s="21">
        <f>IF(J2617="Yes","",IF(H2617&gt;=I2617,1,0))</f>
        <v/>
      </c>
      <c r="O2617" s="21">
        <f>IF(I2617&lt;=5000000,"Under $5M",IF(I2617&lt;=20000000,"$5M-20M",IF(I2617&lt;=50000000,"$20M-50M",IF(I2617&lt;=100000000,"$50M-100M","$100M+"))))</f>
        <v/>
      </c>
      <c r="P2617" s="21">
        <f>IF(E2617&lt;=90,"90 or less",IF(E2617&lt;=105,"91-105",IF(E2617&lt;=120,"106-120",IF(E2617&lt;=140,"121-140","Over 140"))))</f>
        <v/>
      </c>
      <c r="Q2617" s="28">
        <f>INT(C2617/10)*10</f>
        <v/>
      </c>
    </row>
    <row r="2618">
      <c r="A2618" s="21" t="n">
        <v>2671</v>
      </c>
      <c r="B2618" s="21" t="inlineStr">
        <is>
          <t>Silent Hill</t>
        </is>
      </c>
      <c r="C2618" s="21" t="n">
        <v>2006</v>
      </c>
      <c r="D2618" s="21" t="inlineStr">
        <is>
          <t>Canada</t>
        </is>
      </c>
      <c r="E2618" s="21" t="n">
        <v>132</v>
      </c>
      <c r="F2618" s="21" t="inlineStr">
        <is>
          <t>English</t>
        </is>
      </c>
      <c r="G2618" s="21" t="inlineStr">
        <is>
          <t>R</t>
        </is>
      </c>
      <c r="H2618" s="22" t="n">
        <v>46982632</v>
      </c>
      <c r="I2618" s="22" t="n">
        <v>50000000</v>
      </c>
      <c r="J2618" s="21">
        <f>IF(OR(H2618="",H2618=25529689.5),"Yes","No")</f>
        <v/>
      </c>
      <c r="K2618" s="21">
        <f>IF(AND(D2618="USA",C2618&gt;=1980,J2618="No"),"Yes","No")</f>
        <v/>
      </c>
      <c r="L2618" s="26">
        <f>IF(J2618="Yes","",H2618-I2618)</f>
        <v/>
      </c>
      <c r="M2618" s="27">
        <f>IF(OR(J2618="Yes",I2618=0),"",H2618/I2618)</f>
        <v/>
      </c>
      <c r="N2618" s="21">
        <f>IF(J2618="Yes","",IF(H2618&gt;=I2618,1,0))</f>
        <v/>
      </c>
      <c r="O2618" s="21">
        <f>IF(I2618&lt;=5000000,"Under $5M",IF(I2618&lt;=20000000,"$5M-20M",IF(I2618&lt;=50000000,"$20M-50M",IF(I2618&lt;=100000000,"$50M-100M","$100M+"))))</f>
        <v/>
      </c>
      <c r="P2618" s="21">
        <f>IF(E2618&lt;=90,"90 or less",IF(E2618&lt;=105,"91-105",IF(E2618&lt;=120,"106-120",IF(E2618&lt;=140,"121-140","Over 140"))))</f>
        <v/>
      </c>
      <c r="Q2618" s="28">
        <f>INT(C2618/10)*10</f>
        <v/>
      </c>
    </row>
    <row r="2619">
      <c r="A2619" s="21" t="n">
        <v>2672</v>
      </c>
      <c r="B2619" s="21" t="inlineStr">
        <is>
          <t>Slither</t>
        </is>
      </c>
      <c r="C2619" s="21" t="n">
        <v>2006</v>
      </c>
      <c r="D2619" s="21" t="inlineStr">
        <is>
          <t>Canada</t>
        </is>
      </c>
      <c r="E2619" s="21" t="n">
        <v>95</v>
      </c>
      <c r="F2619" s="21" t="inlineStr">
        <is>
          <t>English</t>
        </is>
      </c>
      <c r="G2619" s="21" t="inlineStr">
        <is>
          <t>R</t>
        </is>
      </c>
      <c r="H2619" s="22" t="n">
        <v>7774730</v>
      </c>
      <c r="I2619" s="22" t="n">
        <v>15500000</v>
      </c>
      <c r="J2619" s="21">
        <f>IF(OR(H2619="",H2619=25529689.5),"Yes","No")</f>
        <v/>
      </c>
      <c r="K2619" s="21">
        <f>IF(AND(D2619="USA",C2619&gt;=1980,J2619="No"),"Yes","No")</f>
        <v/>
      </c>
      <c r="L2619" s="26">
        <f>IF(J2619="Yes","",H2619-I2619)</f>
        <v/>
      </c>
      <c r="M2619" s="27">
        <f>IF(OR(J2619="Yes",I2619=0),"",H2619/I2619)</f>
        <v/>
      </c>
      <c r="N2619" s="21">
        <f>IF(J2619="Yes","",IF(H2619&gt;=I2619,1,0))</f>
        <v/>
      </c>
      <c r="O2619" s="21">
        <f>IF(I2619&lt;=5000000,"Under $5M",IF(I2619&lt;=20000000,"$5M-20M",IF(I2619&lt;=50000000,"$20M-50M",IF(I2619&lt;=100000000,"$50M-100M","$100M+"))))</f>
        <v/>
      </c>
      <c r="P2619" s="21">
        <f>IF(E2619&lt;=90,"90 or less",IF(E2619&lt;=105,"91-105",IF(E2619&lt;=120,"106-120",IF(E2619&lt;=140,"121-140","Over 140"))))</f>
        <v/>
      </c>
      <c r="Q2619" s="28">
        <f>INT(C2619/10)*10</f>
        <v/>
      </c>
    </row>
    <row r="2620">
      <c r="A2620" s="21" t="n">
        <v>2673</v>
      </c>
      <c r="B2620" s="21" t="inlineStr">
        <is>
          <t>Smokin' Aces</t>
        </is>
      </c>
      <c r="C2620" s="21" t="n">
        <v>2006</v>
      </c>
      <c r="D2620" s="21" t="inlineStr">
        <is>
          <t>UK</t>
        </is>
      </c>
      <c r="E2620" s="21" t="n">
        <v>109</v>
      </c>
      <c r="F2620" s="21" t="inlineStr">
        <is>
          <t>English</t>
        </is>
      </c>
      <c r="G2620" s="21" t="inlineStr">
        <is>
          <t>R</t>
        </is>
      </c>
      <c r="H2620" s="22" t="n">
        <v>35635046</v>
      </c>
      <c r="I2620" s="22" t="n">
        <v>17000000</v>
      </c>
      <c r="J2620" s="21">
        <f>IF(OR(H2620="",H2620=25529689.5),"Yes","No")</f>
        <v/>
      </c>
      <c r="K2620" s="21">
        <f>IF(AND(D2620="USA",C2620&gt;=1980,J2620="No"),"Yes","No")</f>
        <v/>
      </c>
      <c r="L2620" s="26">
        <f>IF(J2620="Yes","",H2620-I2620)</f>
        <v/>
      </c>
      <c r="M2620" s="27">
        <f>IF(OR(J2620="Yes",I2620=0),"",H2620/I2620)</f>
        <v/>
      </c>
      <c r="N2620" s="21">
        <f>IF(J2620="Yes","",IF(H2620&gt;=I2620,1,0))</f>
        <v/>
      </c>
      <c r="O2620" s="21">
        <f>IF(I2620&lt;=5000000,"Under $5M",IF(I2620&lt;=20000000,"$5M-20M",IF(I2620&lt;=50000000,"$20M-50M",IF(I2620&lt;=100000000,"$50M-100M","$100M+"))))</f>
        <v/>
      </c>
      <c r="P2620" s="21">
        <f>IF(E2620&lt;=90,"90 or less",IF(E2620&lt;=105,"91-105",IF(E2620&lt;=120,"106-120",IF(E2620&lt;=140,"121-140","Over 140"))))</f>
        <v/>
      </c>
      <c r="Q2620" s="28">
        <f>INT(C2620/10)*10</f>
        <v/>
      </c>
    </row>
    <row r="2621">
      <c r="A2621" s="21" t="n">
        <v>2674</v>
      </c>
      <c r="B2621" s="21" t="inlineStr">
        <is>
          <t>Snakes on a Plane</t>
        </is>
      </c>
      <c r="C2621" s="21" t="n">
        <v>2006</v>
      </c>
      <c r="D2621" s="21" t="inlineStr">
        <is>
          <t>Germany</t>
        </is>
      </c>
      <c r="E2621" s="21" t="n">
        <v>105</v>
      </c>
      <c r="F2621" s="21" t="inlineStr">
        <is>
          <t>English</t>
        </is>
      </c>
      <c r="G2621" s="21" t="inlineStr">
        <is>
          <t>R</t>
        </is>
      </c>
      <c r="H2621" s="22" t="n">
        <v>34014398</v>
      </c>
      <c r="I2621" s="22" t="n">
        <v>33000000</v>
      </c>
      <c r="J2621" s="21">
        <f>IF(OR(H2621="",H2621=25529689.5),"Yes","No")</f>
        <v/>
      </c>
      <c r="K2621" s="21">
        <f>IF(AND(D2621="USA",C2621&gt;=1980,J2621="No"),"Yes","No")</f>
        <v/>
      </c>
      <c r="L2621" s="26">
        <f>IF(J2621="Yes","",H2621-I2621)</f>
        <v/>
      </c>
      <c r="M2621" s="27">
        <f>IF(OR(J2621="Yes",I2621=0),"",H2621/I2621)</f>
        <v/>
      </c>
      <c r="N2621" s="21">
        <f>IF(J2621="Yes","",IF(H2621&gt;=I2621,1,0))</f>
        <v/>
      </c>
      <c r="O2621" s="21">
        <f>IF(I2621&lt;=5000000,"Under $5M",IF(I2621&lt;=20000000,"$5M-20M",IF(I2621&lt;=50000000,"$20M-50M",IF(I2621&lt;=100000000,"$50M-100M","$100M+"))))</f>
        <v/>
      </c>
      <c r="P2621" s="21">
        <f>IF(E2621&lt;=90,"90 or less",IF(E2621&lt;=105,"91-105",IF(E2621&lt;=120,"106-120",IF(E2621&lt;=140,"121-140","Over 140"))))</f>
        <v/>
      </c>
      <c r="Q2621" s="28">
        <f>INT(C2621/10)*10</f>
        <v/>
      </c>
    </row>
    <row r="2622">
      <c r="A2622" s="21" t="n">
        <v>2676</v>
      </c>
      <c r="B2622" s="21" t="inlineStr">
        <is>
          <t>Southland Tales</t>
        </is>
      </c>
      <c r="C2622" s="21" t="n">
        <v>2006</v>
      </c>
      <c r="D2622" s="21" t="inlineStr">
        <is>
          <t>France</t>
        </is>
      </c>
      <c r="E2622" s="21" t="n">
        <v>160</v>
      </c>
      <c r="F2622" s="21" t="inlineStr">
        <is>
          <t>English</t>
        </is>
      </c>
      <c r="G2622" s="21" t="inlineStr">
        <is>
          <t>R</t>
        </is>
      </c>
      <c r="H2622" s="22" t="n">
        <v>273420</v>
      </c>
      <c r="I2622" s="22" t="n">
        <v>17000000</v>
      </c>
      <c r="J2622" s="21">
        <f>IF(OR(H2622="",H2622=25529689.5),"Yes","No")</f>
        <v/>
      </c>
      <c r="K2622" s="21">
        <f>IF(AND(D2622="USA",C2622&gt;=1980,J2622="No"),"Yes","No")</f>
        <v/>
      </c>
      <c r="L2622" s="26">
        <f>IF(J2622="Yes","",H2622-I2622)</f>
        <v/>
      </c>
      <c r="M2622" s="27">
        <f>IF(OR(J2622="Yes",I2622=0),"",H2622/I2622)</f>
        <v/>
      </c>
      <c r="N2622" s="21">
        <f>IF(J2622="Yes","",IF(H2622&gt;=I2622,1,0))</f>
        <v/>
      </c>
      <c r="O2622" s="21">
        <f>IF(I2622&lt;=5000000,"Under $5M",IF(I2622&lt;=20000000,"$5M-20M",IF(I2622&lt;=50000000,"$20M-50M",IF(I2622&lt;=100000000,"$50M-100M","$100M+"))))</f>
        <v/>
      </c>
      <c r="P2622" s="21">
        <f>IF(E2622&lt;=90,"90 or less",IF(E2622&lt;=105,"91-105",IF(E2622&lt;=120,"106-120",IF(E2622&lt;=140,"121-140","Over 140"))))</f>
        <v/>
      </c>
      <c r="Q2622" s="28">
        <f>INT(C2622/10)*10</f>
        <v/>
      </c>
    </row>
    <row r="2623">
      <c r="A2623" s="21" t="n">
        <v>2677</v>
      </c>
      <c r="B2623" s="21" t="inlineStr">
        <is>
          <t>Special</t>
        </is>
      </c>
      <c r="C2623" s="21" t="n">
        <v>2006</v>
      </c>
      <c r="D2623" s="21" t="inlineStr">
        <is>
          <t>USA</t>
        </is>
      </c>
      <c r="E2623" s="21" t="n">
        <v>81</v>
      </c>
      <c r="F2623" s="21" t="inlineStr">
        <is>
          <t>English</t>
        </is>
      </c>
      <c r="G2623" s="21" t="inlineStr">
        <is>
          <t>R</t>
        </is>
      </c>
      <c r="H2623" s="22" t="n">
        <v>6387</v>
      </c>
      <c r="I2623" s="22" t="n">
        <v>1000000</v>
      </c>
      <c r="J2623" s="21">
        <f>IF(OR(H2623="",H2623=25529689.5),"Yes","No")</f>
        <v/>
      </c>
      <c r="K2623" s="21">
        <f>IF(AND(D2623="USA",C2623&gt;=1980,J2623="No"),"Yes","No")</f>
        <v/>
      </c>
      <c r="L2623" s="26">
        <f>IF(J2623="Yes","",H2623-I2623)</f>
        <v/>
      </c>
      <c r="M2623" s="27">
        <f>IF(OR(J2623="Yes",I2623=0),"",H2623/I2623)</f>
        <v/>
      </c>
      <c r="N2623" s="21">
        <f>IF(J2623="Yes","",IF(H2623&gt;=I2623,1,0))</f>
        <v/>
      </c>
      <c r="O2623" s="21">
        <f>IF(I2623&lt;=5000000,"Under $5M",IF(I2623&lt;=20000000,"$5M-20M",IF(I2623&lt;=50000000,"$20M-50M",IF(I2623&lt;=100000000,"$50M-100M","$100M+"))))</f>
        <v/>
      </c>
      <c r="P2623" s="21">
        <f>IF(E2623&lt;=90,"90 or less",IF(E2623&lt;=105,"91-105",IF(E2623&lt;=120,"106-120",IF(E2623&lt;=140,"121-140","Over 140"))))</f>
        <v/>
      </c>
      <c r="Q2623" s="28">
        <f>INT(C2623/10)*10</f>
        <v/>
      </c>
    </row>
    <row r="2624">
      <c r="A2624" s="21" t="n">
        <v>2678</v>
      </c>
      <c r="B2624" s="21" t="inlineStr">
        <is>
          <t>Stay Alive</t>
        </is>
      </c>
      <c r="C2624" s="21" t="n">
        <v>2006</v>
      </c>
      <c r="D2624" s="21" t="inlineStr">
        <is>
          <t>USA</t>
        </is>
      </c>
      <c r="E2624" s="21" t="n">
        <v>75</v>
      </c>
      <c r="F2624" s="21" t="inlineStr">
        <is>
          <t>English</t>
        </is>
      </c>
      <c r="G2624" s="21" t="inlineStr">
        <is>
          <t>PG-13</t>
        </is>
      </c>
      <c r="H2624" s="22" t="n">
        <v>23078294</v>
      </c>
      <c r="I2624" s="22" t="n">
        <v>9000000</v>
      </c>
      <c r="J2624" s="21">
        <f>IF(OR(H2624="",H2624=25529689.5),"Yes","No")</f>
        <v/>
      </c>
      <c r="K2624" s="21">
        <f>IF(AND(D2624="USA",C2624&gt;=1980,J2624="No"),"Yes","No")</f>
        <v/>
      </c>
      <c r="L2624" s="26">
        <f>IF(J2624="Yes","",H2624-I2624)</f>
        <v/>
      </c>
      <c r="M2624" s="27">
        <f>IF(OR(J2624="Yes",I2624=0),"",H2624/I2624)</f>
        <v/>
      </c>
      <c r="N2624" s="21">
        <f>IF(J2624="Yes","",IF(H2624&gt;=I2624,1,0))</f>
        <v/>
      </c>
      <c r="O2624" s="21">
        <f>IF(I2624&lt;=5000000,"Under $5M",IF(I2624&lt;=20000000,"$5M-20M",IF(I2624&lt;=50000000,"$20M-50M",IF(I2624&lt;=100000000,"$50M-100M","$100M+"))))</f>
        <v/>
      </c>
      <c r="P2624" s="21">
        <f>IF(E2624&lt;=90,"90 or less",IF(E2624&lt;=105,"91-105",IF(E2624&lt;=120,"106-120",IF(E2624&lt;=140,"121-140","Over 140"))))</f>
        <v/>
      </c>
      <c r="Q2624" s="28">
        <f>INT(C2624/10)*10</f>
        <v/>
      </c>
    </row>
    <row r="2625">
      <c r="A2625" s="21" t="n">
        <v>2679</v>
      </c>
      <c r="B2625" s="21" t="inlineStr">
        <is>
          <t>Step Up</t>
        </is>
      </c>
      <c r="C2625" s="21" t="n">
        <v>2006</v>
      </c>
      <c r="D2625" s="21" t="inlineStr">
        <is>
          <t>USA</t>
        </is>
      </c>
      <c r="E2625" s="21" t="n">
        <v>104</v>
      </c>
      <c r="F2625" s="21" t="inlineStr">
        <is>
          <t>English</t>
        </is>
      </c>
      <c r="G2625" s="21" t="inlineStr">
        <is>
          <t>PG-13</t>
        </is>
      </c>
      <c r="H2625" s="22" t="n">
        <v>65269010</v>
      </c>
      <c r="I2625" s="22" t="n">
        <v>12000000</v>
      </c>
      <c r="J2625" s="21">
        <f>IF(OR(H2625="",H2625=25529689.5),"Yes","No")</f>
        <v/>
      </c>
      <c r="K2625" s="21">
        <f>IF(AND(D2625="USA",C2625&gt;=1980,J2625="No"),"Yes","No")</f>
        <v/>
      </c>
      <c r="L2625" s="26">
        <f>IF(J2625="Yes","",H2625-I2625)</f>
        <v/>
      </c>
      <c r="M2625" s="27">
        <f>IF(OR(J2625="Yes",I2625=0),"",H2625/I2625)</f>
        <v/>
      </c>
      <c r="N2625" s="21">
        <f>IF(J2625="Yes","",IF(H2625&gt;=I2625,1,0))</f>
        <v/>
      </c>
      <c r="O2625" s="21">
        <f>IF(I2625&lt;=5000000,"Under $5M",IF(I2625&lt;=20000000,"$5M-20M",IF(I2625&lt;=50000000,"$20M-50M",IF(I2625&lt;=100000000,"$50M-100M","$100M+"))))</f>
        <v/>
      </c>
      <c r="P2625" s="21">
        <f>IF(E2625&lt;=90,"90 or less",IF(E2625&lt;=105,"91-105",IF(E2625&lt;=120,"106-120",IF(E2625&lt;=140,"121-140","Over 140"))))</f>
        <v/>
      </c>
      <c r="Q2625" s="28">
        <f>INT(C2625/10)*10</f>
        <v/>
      </c>
    </row>
    <row r="2626">
      <c r="A2626" s="21" t="n">
        <v>2680</v>
      </c>
      <c r="B2626" s="21" t="inlineStr">
        <is>
          <t>Stick It</t>
        </is>
      </c>
      <c r="C2626" s="21" t="n">
        <v>2006</v>
      </c>
      <c r="D2626" s="21" t="inlineStr">
        <is>
          <t>Germany</t>
        </is>
      </c>
      <c r="E2626" s="21" t="n">
        <v>103</v>
      </c>
      <c r="F2626" s="21" t="inlineStr">
        <is>
          <t>English</t>
        </is>
      </c>
      <c r="G2626" s="21" t="inlineStr">
        <is>
          <t>PG-13</t>
        </is>
      </c>
      <c r="H2626" s="22" t="n">
        <v>26870825</v>
      </c>
      <c r="I2626" s="22" t="n">
        <v>20000000</v>
      </c>
      <c r="J2626" s="21">
        <f>IF(OR(H2626="",H2626=25529689.5),"Yes","No")</f>
        <v/>
      </c>
      <c r="K2626" s="21">
        <f>IF(AND(D2626="USA",C2626&gt;=1980,J2626="No"),"Yes","No")</f>
        <v/>
      </c>
      <c r="L2626" s="26">
        <f>IF(J2626="Yes","",H2626-I2626)</f>
        <v/>
      </c>
      <c r="M2626" s="27">
        <f>IF(OR(J2626="Yes",I2626=0),"",H2626/I2626)</f>
        <v/>
      </c>
      <c r="N2626" s="21">
        <f>IF(J2626="Yes","",IF(H2626&gt;=I2626,1,0))</f>
        <v/>
      </c>
      <c r="O2626" s="21">
        <f>IF(I2626&lt;=5000000,"Under $5M",IF(I2626&lt;=20000000,"$5M-20M",IF(I2626&lt;=50000000,"$20M-50M",IF(I2626&lt;=100000000,"$50M-100M","$100M+"))))</f>
        <v/>
      </c>
      <c r="P2626" s="21">
        <f>IF(E2626&lt;=90,"90 or less",IF(E2626&lt;=105,"91-105",IF(E2626&lt;=120,"106-120",IF(E2626&lt;=140,"121-140","Over 140"))))</f>
        <v/>
      </c>
      <c r="Q2626" s="28">
        <f>INT(C2626/10)*10</f>
        <v/>
      </c>
    </row>
    <row r="2627">
      <c r="A2627" s="21" t="n">
        <v>2681</v>
      </c>
      <c r="B2627" s="21" t="inlineStr">
        <is>
          <t>Stranger Than Fiction</t>
        </is>
      </c>
      <c r="C2627" s="21" t="n">
        <v>2006</v>
      </c>
      <c r="D2627" s="21" t="inlineStr">
        <is>
          <t>USA</t>
        </is>
      </c>
      <c r="E2627" s="21" t="n">
        <v>113</v>
      </c>
      <c r="F2627" s="21" t="inlineStr">
        <is>
          <t>English</t>
        </is>
      </c>
      <c r="G2627" s="21" t="inlineStr">
        <is>
          <t>PG-13</t>
        </is>
      </c>
      <c r="H2627" s="22" t="n">
        <v>40137776</v>
      </c>
      <c r="I2627" s="22" t="n">
        <v>38000000</v>
      </c>
      <c r="J2627" s="21">
        <f>IF(OR(H2627="",H2627=25529689.5),"Yes","No")</f>
        <v/>
      </c>
      <c r="K2627" s="21">
        <f>IF(AND(D2627="USA",C2627&gt;=1980,J2627="No"),"Yes","No")</f>
        <v/>
      </c>
      <c r="L2627" s="26">
        <f>IF(J2627="Yes","",H2627-I2627)</f>
        <v/>
      </c>
      <c r="M2627" s="27">
        <f>IF(OR(J2627="Yes",I2627=0),"",H2627/I2627)</f>
        <v/>
      </c>
      <c r="N2627" s="21">
        <f>IF(J2627="Yes","",IF(H2627&gt;=I2627,1,0))</f>
        <v/>
      </c>
      <c r="O2627" s="21">
        <f>IF(I2627&lt;=5000000,"Under $5M",IF(I2627&lt;=20000000,"$5M-20M",IF(I2627&lt;=50000000,"$20M-50M",IF(I2627&lt;=100000000,"$50M-100M","$100M+"))))</f>
        <v/>
      </c>
      <c r="P2627" s="21">
        <f>IF(E2627&lt;=90,"90 or less",IF(E2627&lt;=105,"91-105",IF(E2627&lt;=120,"106-120",IF(E2627&lt;=140,"121-140","Over 140"))))</f>
        <v/>
      </c>
      <c r="Q2627" s="28">
        <f>INT(C2627/10)*10</f>
        <v/>
      </c>
    </row>
    <row r="2628">
      <c r="A2628" s="21" t="n">
        <v>2682</v>
      </c>
      <c r="B2628" s="21" t="inlineStr">
        <is>
          <t>Superman Returns</t>
        </is>
      </c>
      <c r="C2628" s="21" t="n">
        <v>2006</v>
      </c>
      <c r="D2628" s="21" t="inlineStr">
        <is>
          <t>USA</t>
        </is>
      </c>
      <c r="E2628" s="21" t="n">
        <v>169</v>
      </c>
      <c r="F2628" s="21" t="inlineStr">
        <is>
          <t>English</t>
        </is>
      </c>
      <c r="G2628" s="21" t="inlineStr">
        <is>
          <t>PG-13</t>
        </is>
      </c>
      <c r="H2628" s="22" t="n">
        <v>200069408</v>
      </c>
      <c r="I2628" s="22" t="n">
        <v>209000000</v>
      </c>
      <c r="J2628" s="21">
        <f>IF(OR(H2628="",H2628=25529689.5),"Yes","No")</f>
        <v/>
      </c>
      <c r="K2628" s="21">
        <f>IF(AND(D2628="USA",C2628&gt;=1980,J2628="No"),"Yes","No")</f>
        <v/>
      </c>
      <c r="L2628" s="26">
        <f>IF(J2628="Yes","",H2628-I2628)</f>
        <v/>
      </c>
      <c r="M2628" s="27">
        <f>IF(OR(J2628="Yes",I2628=0),"",H2628/I2628)</f>
        <v/>
      </c>
      <c r="N2628" s="21">
        <f>IF(J2628="Yes","",IF(H2628&gt;=I2628,1,0))</f>
        <v/>
      </c>
      <c r="O2628" s="21">
        <f>IF(I2628&lt;=5000000,"Under $5M",IF(I2628&lt;=20000000,"$5M-20M",IF(I2628&lt;=50000000,"$20M-50M",IF(I2628&lt;=100000000,"$50M-100M","$100M+"))))</f>
        <v/>
      </c>
      <c r="P2628" s="21">
        <f>IF(E2628&lt;=90,"90 or less",IF(E2628&lt;=105,"91-105",IF(E2628&lt;=120,"106-120",IF(E2628&lt;=140,"121-140","Over 140"))))</f>
        <v/>
      </c>
      <c r="Q2628" s="28">
        <f>INT(C2628/10)*10</f>
        <v/>
      </c>
    </row>
    <row r="2629">
      <c r="A2629" s="21" t="n">
        <v>2683</v>
      </c>
      <c r="B2629" s="21" t="inlineStr">
        <is>
          <t>Take the Lead</t>
        </is>
      </c>
      <c r="C2629" s="21" t="n">
        <v>2006</v>
      </c>
      <c r="D2629" s="21" t="inlineStr">
        <is>
          <t>USA</t>
        </is>
      </c>
      <c r="E2629" s="21" t="n">
        <v>118</v>
      </c>
      <c r="F2629" s="21" t="inlineStr">
        <is>
          <t>English</t>
        </is>
      </c>
      <c r="G2629" s="21" t="inlineStr">
        <is>
          <t>PG-13</t>
        </is>
      </c>
      <c r="H2629" s="22" t="n">
        <v>34703228</v>
      </c>
      <c r="I2629" s="22" t="n">
        <v>30000000</v>
      </c>
      <c r="J2629" s="21">
        <f>IF(OR(H2629="",H2629=25529689.5),"Yes","No")</f>
        <v/>
      </c>
      <c r="K2629" s="21">
        <f>IF(AND(D2629="USA",C2629&gt;=1980,J2629="No"),"Yes","No")</f>
        <v/>
      </c>
      <c r="L2629" s="26">
        <f>IF(J2629="Yes","",H2629-I2629)</f>
        <v/>
      </c>
      <c r="M2629" s="27">
        <f>IF(OR(J2629="Yes",I2629=0),"",H2629/I2629)</f>
        <v/>
      </c>
      <c r="N2629" s="21">
        <f>IF(J2629="Yes","",IF(H2629&gt;=I2629,1,0))</f>
        <v/>
      </c>
      <c r="O2629" s="21">
        <f>IF(I2629&lt;=5000000,"Under $5M",IF(I2629&lt;=20000000,"$5M-20M",IF(I2629&lt;=50000000,"$20M-50M",IF(I2629&lt;=100000000,"$50M-100M","$100M+"))))</f>
        <v/>
      </c>
      <c r="P2629" s="21">
        <f>IF(E2629&lt;=90,"90 or less",IF(E2629&lt;=105,"91-105",IF(E2629&lt;=120,"106-120",IF(E2629&lt;=140,"121-140","Over 140"))))</f>
        <v/>
      </c>
      <c r="Q2629" s="28">
        <f>INT(C2629/10)*10</f>
        <v/>
      </c>
    </row>
    <row r="2630">
      <c r="A2630" s="21" t="n">
        <v>2684</v>
      </c>
      <c r="B2630" s="21" t="inlineStr">
        <is>
          <t>Talladega Nights: The Ballad of Ricky Bobby</t>
        </is>
      </c>
      <c r="C2630" s="21" t="n">
        <v>2006</v>
      </c>
      <c r="D2630" s="21" t="inlineStr">
        <is>
          <t>USA</t>
        </is>
      </c>
      <c r="E2630" s="21" t="n">
        <v>122</v>
      </c>
      <c r="F2630" s="21" t="inlineStr">
        <is>
          <t>English</t>
        </is>
      </c>
      <c r="G2630" s="21" t="inlineStr">
        <is>
          <t>PG-13</t>
        </is>
      </c>
      <c r="H2630" s="22" t="n">
        <v>148213377</v>
      </c>
      <c r="I2630" s="22" t="n">
        <v>73000000</v>
      </c>
      <c r="J2630" s="21">
        <f>IF(OR(H2630="",H2630=25529689.5),"Yes","No")</f>
        <v/>
      </c>
      <c r="K2630" s="21">
        <f>IF(AND(D2630="USA",C2630&gt;=1980,J2630="No"),"Yes","No")</f>
        <v/>
      </c>
      <c r="L2630" s="26">
        <f>IF(J2630="Yes","",H2630-I2630)</f>
        <v/>
      </c>
      <c r="M2630" s="27">
        <f>IF(OR(J2630="Yes",I2630=0),"",H2630/I2630)</f>
        <v/>
      </c>
      <c r="N2630" s="21">
        <f>IF(J2630="Yes","",IF(H2630&gt;=I2630,1,0))</f>
        <v/>
      </c>
      <c r="O2630" s="21">
        <f>IF(I2630&lt;=5000000,"Under $5M",IF(I2630&lt;=20000000,"$5M-20M",IF(I2630&lt;=50000000,"$20M-50M",IF(I2630&lt;=100000000,"$50M-100M","$100M+"))))</f>
        <v/>
      </c>
      <c r="P2630" s="21">
        <f>IF(E2630&lt;=90,"90 or less",IF(E2630&lt;=105,"91-105",IF(E2630&lt;=120,"106-120",IF(E2630&lt;=140,"121-140","Over 140"))))</f>
        <v/>
      </c>
      <c r="Q2630" s="28">
        <f>INT(C2630/10)*10</f>
        <v/>
      </c>
    </row>
    <row r="2631">
      <c r="A2631" s="21" t="n">
        <v>2685</v>
      </c>
      <c r="B2631" s="21" t="inlineStr">
        <is>
          <t>The Ant Bully</t>
        </is>
      </c>
      <c r="C2631" s="21" t="n">
        <v>2006</v>
      </c>
      <c r="D2631" s="21" t="inlineStr">
        <is>
          <t>USA</t>
        </is>
      </c>
      <c r="E2631" s="21" t="n">
        <v>88</v>
      </c>
      <c r="F2631" s="21" t="inlineStr">
        <is>
          <t>English</t>
        </is>
      </c>
      <c r="G2631" s="21" t="inlineStr">
        <is>
          <t>PG</t>
        </is>
      </c>
      <c r="H2631" s="22" t="n">
        <v>28133159</v>
      </c>
      <c r="I2631" s="22" t="n">
        <v>50000000</v>
      </c>
      <c r="J2631" s="21">
        <f>IF(OR(H2631="",H2631=25529689.5),"Yes","No")</f>
        <v/>
      </c>
      <c r="K2631" s="21">
        <f>IF(AND(D2631="USA",C2631&gt;=1980,J2631="No"),"Yes","No")</f>
        <v/>
      </c>
      <c r="L2631" s="26">
        <f>IF(J2631="Yes","",H2631-I2631)</f>
        <v/>
      </c>
      <c r="M2631" s="27">
        <f>IF(OR(J2631="Yes",I2631=0),"",H2631/I2631)</f>
        <v/>
      </c>
      <c r="N2631" s="21">
        <f>IF(J2631="Yes","",IF(H2631&gt;=I2631,1,0))</f>
        <v/>
      </c>
      <c r="O2631" s="21">
        <f>IF(I2631&lt;=5000000,"Under $5M",IF(I2631&lt;=20000000,"$5M-20M",IF(I2631&lt;=50000000,"$20M-50M",IF(I2631&lt;=100000000,"$50M-100M","$100M+"))))</f>
        <v/>
      </c>
      <c r="P2631" s="21">
        <f>IF(E2631&lt;=90,"90 or less",IF(E2631&lt;=105,"91-105",IF(E2631&lt;=120,"106-120",IF(E2631&lt;=140,"121-140","Over 140"))))</f>
        <v/>
      </c>
      <c r="Q2631" s="28">
        <f>INT(C2631/10)*10</f>
        <v/>
      </c>
    </row>
    <row r="2632">
      <c r="A2632" s="21" t="n">
        <v>2686</v>
      </c>
      <c r="B2632" s="21" t="inlineStr">
        <is>
          <t>The Astronaut Farmer</t>
        </is>
      </c>
      <c r="C2632" s="21" t="n">
        <v>2006</v>
      </c>
      <c r="D2632" s="21" t="inlineStr">
        <is>
          <t>USA</t>
        </is>
      </c>
      <c r="E2632" s="21" t="n">
        <v>104</v>
      </c>
      <c r="F2632" s="21" t="inlineStr">
        <is>
          <t>English</t>
        </is>
      </c>
      <c r="G2632" s="21" t="inlineStr">
        <is>
          <t>PG</t>
        </is>
      </c>
      <c r="H2632" s="22" t="n">
        <v>10996440</v>
      </c>
      <c r="I2632" s="22" t="n">
        <v>13000000</v>
      </c>
      <c r="J2632" s="21">
        <f>IF(OR(H2632="",H2632=25529689.5),"Yes","No")</f>
        <v/>
      </c>
      <c r="K2632" s="21">
        <f>IF(AND(D2632="USA",C2632&gt;=1980,J2632="No"),"Yes","No")</f>
        <v/>
      </c>
      <c r="L2632" s="26">
        <f>IF(J2632="Yes","",H2632-I2632)</f>
        <v/>
      </c>
      <c r="M2632" s="27">
        <f>IF(OR(J2632="Yes",I2632=0),"",H2632/I2632)</f>
        <v/>
      </c>
      <c r="N2632" s="21">
        <f>IF(J2632="Yes","",IF(H2632&gt;=I2632,1,0))</f>
        <v/>
      </c>
      <c r="O2632" s="21">
        <f>IF(I2632&lt;=5000000,"Under $5M",IF(I2632&lt;=20000000,"$5M-20M",IF(I2632&lt;=50000000,"$20M-50M",IF(I2632&lt;=100000000,"$50M-100M","$100M+"))))</f>
        <v/>
      </c>
      <c r="P2632" s="21">
        <f>IF(E2632&lt;=90,"90 or less",IF(E2632&lt;=105,"91-105",IF(E2632&lt;=120,"106-120",IF(E2632&lt;=140,"121-140","Over 140"))))</f>
        <v/>
      </c>
      <c r="Q2632" s="28">
        <f>INT(C2632/10)*10</f>
        <v/>
      </c>
    </row>
    <row r="2633">
      <c r="A2633" s="21" t="n">
        <v>2687</v>
      </c>
      <c r="B2633" s="21" t="inlineStr">
        <is>
          <t>The Benchwarmers</t>
        </is>
      </c>
      <c r="C2633" s="21" t="n">
        <v>2006</v>
      </c>
      <c r="D2633" s="21" t="inlineStr">
        <is>
          <t>USA</t>
        </is>
      </c>
      <c r="E2633" s="21" t="n">
        <v>75</v>
      </c>
      <c r="F2633" s="21" t="inlineStr">
        <is>
          <t>English</t>
        </is>
      </c>
      <c r="G2633" s="21" t="inlineStr">
        <is>
          <t>PG-13</t>
        </is>
      </c>
      <c r="H2633" s="22" t="n">
        <v>57651794</v>
      </c>
      <c r="I2633" s="22" t="n">
        <v>33000000</v>
      </c>
      <c r="J2633" s="21">
        <f>IF(OR(H2633="",H2633=25529689.5),"Yes","No")</f>
        <v/>
      </c>
      <c r="K2633" s="21">
        <f>IF(AND(D2633="USA",C2633&gt;=1980,J2633="No"),"Yes","No")</f>
        <v/>
      </c>
      <c r="L2633" s="26">
        <f>IF(J2633="Yes","",H2633-I2633)</f>
        <v/>
      </c>
      <c r="M2633" s="27">
        <f>IF(OR(J2633="Yes",I2633=0),"",H2633/I2633)</f>
        <v/>
      </c>
      <c r="N2633" s="21">
        <f>IF(J2633="Yes","",IF(H2633&gt;=I2633,1,0))</f>
        <v/>
      </c>
      <c r="O2633" s="21">
        <f>IF(I2633&lt;=5000000,"Under $5M",IF(I2633&lt;=20000000,"$5M-20M",IF(I2633&lt;=50000000,"$20M-50M",IF(I2633&lt;=100000000,"$50M-100M","$100M+"))))</f>
        <v/>
      </c>
      <c r="P2633" s="21">
        <f>IF(E2633&lt;=90,"90 or less",IF(E2633&lt;=105,"91-105",IF(E2633&lt;=120,"106-120",IF(E2633&lt;=140,"121-140","Over 140"))))</f>
        <v/>
      </c>
      <c r="Q2633" s="28">
        <f>INT(C2633/10)*10</f>
        <v/>
      </c>
    </row>
    <row r="2634">
      <c r="A2634" s="21" t="n">
        <v>2688</v>
      </c>
      <c r="B2634" s="21" t="inlineStr">
        <is>
          <t>The Black Dahlia</t>
        </is>
      </c>
      <c r="C2634" s="21" t="n">
        <v>2006</v>
      </c>
      <c r="D2634" s="21" t="inlineStr">
        <is>
          <t>Germany</t>
        </is>
      </c>
      <c r="E2634" s="21" t="n">
        <v>121</v>
      </c>
      <c r="F2634" s="21" t="inlineStr">
        <is>
          <t>English</t>
        </is>
      </c>
      <c r="G2634" s="21" t="inlineStr">
        <is>
          <t>R</t>
        </is>
      </c>
      <c r="H2634" s="22" t="n">
        <v>22518325</v>
      </c>
      <c r="I2634" s="22" t="n">
        <v>50000000</v>
      </c>
      <c r="J2634" s="21">
        <f>IF(OR(H2634="",H2634=25529689.5),"Yes","No")</f>
        <v/>
      </c>
      <c r="K2634" s="21">
        <f>IF(AND(D2634="USA",C2634&gt;=1980,J2634="No"),"Yes","No")</f>
        <v/>
      </c>
      <c r="L2634" s="26">
        <f>IF(J2634="Yes","",H2634-I2634)</f>
        <v/>
      </c>
      <c r="M2634" s="27">
        <f>IF(OR(J2634="Yes",I2634=0),"",H2634/I2634)</f>
        <v/>
      </c>
      <c r="N2634" s="21">
        <f>IF(J2634="Yes","",IF(H2634&gt;=I2634,1,0))</f>
        <v/>
      </c>
      <c r="O2634" s="21">
        <f>IF(I2634&lt;=5000000,"Under $5M",IF(I2634&lt;=20000000,"$5M-20M",IF(I2634&lt;=50000000,"$20M-50M",IF(I2634&lt;=100000000,"$50M-100M","$100M+"))))</f>
        <v/>
      </c>
      <c r="P2634" s="21">
        <f>IF(E2634&lt;=90,"90 or less",IF(E2634&lt;=105,"91-105",IF(E2634&lt;=120,"106-120",IF(E2634&lt;=140,"121-140","Over 140"))))</f>
        <v/>
      </c>
      <c r="Q2634" s="28">
        <f>INT(C2634/10)*10</f>
        <v/>
      </c>
    </row>
    <row r="2635">
      <c r="A2635" s="21" t="n">
        <v>2689</v>
      </c>
      <c r="B2635" s="21" t="inlineStr">
        <is>
          <t>The Break-Up</t>
        </is>
      </c>
      <c r="C2635" s="21" t="n">
        <v>2006</v>
      </c>
      <c r="D2635" s="21" t="inlineStr">
        <is>
          <t>USA</t>
        </is>
      </c>
      <c r="E2635" s="21" t="n">
        <v>106</v>
      </c>
      <c r="F2635" s="21" t="inlineStr">
        <is>
          <t>English</t>
        </is>
      </c>
      <c r="G2635" s="21" t="inlineStr">
        <is>
          <t>PG-13</t>
        </is>
      </c>
      <c r="H2635" s="22" t="n">
        <v>118683135</v>
      </c>
      <c r="I2635" s="22" t="n">
        <v>52000000</v>
      </c>
      <c r="J2635" s="21">
        <f>IF(OR(H2635="",H2635=25529689.5),"Yes","No")</f>
        <v/>
      </c>
      <c r="K2635" s="21">
        <f>IF(AND(D2635="USA",C2635&gt;=1980,J2635="No"),"Yes","No")</f>
        <v/>
      </c>
      <c r="L2635" s="26">
        <f>IF(J2635="Yes","",H2635-I2635)</f>
        <v/>
      </c>
      <c r="M2635" s="27">
        <f>IF(OR(J2635="Yes",I2635=0),"",H2635/I2635)</f>
        <v/>
      </c>
      <c r="N2635" s="21">
        <f>IF(J2635="Yes","",IF(H2635&gt;=I2635,1,0))</f>
        <v/>
      </c>
      <c r="O2635" s="21">
        <f>IF(I2635&lt;=5000000,"Under $5M",IF(I2635&lt;=20000000,"$5M-20M",IF(I2635&lt;=50000000,"$20M-50M",IF(I2635&lt;=100000000,"$50M-100M","$100M+"))))</f>
        <v/>
      </c>
      <c r="P2635" s="21">
        <f>IF(E2635&lt;=90,"90 or less",IF(E2635&lt;=105,"91-105",IF(E2635&lt;=120,"106-120",IF(E2635&lt;=140,"121-140","Over 140"))))</f>
        <v/>
      </c>
      <c r="Q2635" s="28">
        <f>INT(C2635/10)*10</f>
        <v/>
      </c>
    </row>
    <row r="2636">
      <c r="A2636" s="21" t="n">
        <v>2690</v>
      </c>
      <c r="B2636" s="21" t="inlineStr">
        <is>
          <t>The Bubble</t>
        </is>
      </c>
      <c r="C2636" s="21" t="n">
        <v>2006</v>
      </c>
      <c r="D2636" s="21" t="inlineStr">
        <is>
          <t>Israel</t>
        </is>
      </c>
      <c r="E2636" s="21" t="n">
        <v>90</v>
      </c>
      <c r="F2636" s="21" t="inlineStr">
        <is>
          <t>Hebrew</t>
        </is>
      </c>
      <c r="G2636" s="21" t="inlineStr">
        <is>
          <t>Unrated</t>
        </is>
      </c>
      <c r="H2636" s="22" t="n">
        <v>155972</v>
      </c>
      <c r="I2636" s="22" t="n">
        <v>1500000</v>
      </c>
      <c r="J2636" s="21">
        <f>IF(OR(H2636="",H2636=25529689.5),"Yes","No")</f>
        <v/>
      </c>
      <c r="K2636" s="21">
        <f>IF(AND(D2636="USA",C2636&gt;=1980,J2636="No"),"Yes","No")</f>
        <v/>
      </c>
      <c r="L2636" s="26">
        <f>IF(J2636="Yes","",H2636-I2636)</f>
        <v/>
      </c>
      <c r="M2636" s="27">
        <f>IF(OR(J2636="Yes",I2636=0),"",H2636/I2636)</f>
        <v/>
      </c>
      <c r="N2636" s="21">
        <f>IF(J2636="Yes","",IF(H2636&gt;=I2636,1,0))</f>
        <v/>
      </c>
      <c r="O2636" s="21">
        <f>IF(I2636&lt;=5000000,"Under $5M",IF(I2636&lt;=20000000,"$5M-20M",IF(I2636&lt;=50000000,"$20M-50M",IF(I2636&lt;=100000000,"$50M-100M","$100M+"))))</f>
        <v/>
      </c>
      <c r="P2636" s="21">
        <f>IF(E2636&lt;=90,"90 or less",IF(E2636&lt;=105,"91-105",IF(E2636&lt;=120,"106-120",IF(E2636&lt;=140,"121-140","Over 140"))))</f>
        <v/>
      </c>
      <c r="Q2636" s="28">
        <f>INT(C2636/10)*10</f>
        <v/>
      </c>
    </row>
    <row r="2637">
      <c r="A2637" s="21" t="n">
        <v>2691</v>
      </c>
      <c r="B2637" s="21" t="inlineStr">
        <is>
          <t>The Covenant</t>
        </is>
      </c>
      <c r="C2637" s="21" t="n">
        <v>2006</v>
      </c>
      <c r="D2637" s="21" t="inlineStr">
        <is>
          <t>USA</t>
        </is>
      </c>
      <c r="E2637" s="21" t="n">
        <v>97</v>
      </c>
      <c r="F2637" s="21" t="inlineStr">
        <is>
          <t>English</t>
        </is>
      </c>
      <c r="G2637" s="21" t="inlineStr">
        <is>
          <t>PG-13</t>
        </is>
      </c>
      <c r="H2637" s="22" t="n">
        <v>23292105</v>
      </c>
      <c r="I2637" s="22" t="n">
        <v>20000000</v>
      </c>
      <c r="J2637" s="21">
        <f>IF(OR(H2637="",H2637=25529689.5),"Yes","No")</f>
        <v/>
      </c>
      <c r="K2637" s="21">
        <f>IF(AND(D2637="USA",C2637&gt;=1980,J2637="No"),"Yes","No")</f>
        <v/>
      </c>
      <c r="L2637" s="26">
        <f>IF(J2637="Yes","",H2637-I2637)</f>
        <v/>
      </c>
      <c r="M2637" s="27">
        <f>IF(OR(J2637="Yes",I2637=0),"",H2637/I2637)</f>
        <v/>
      </c>
      <c r="N2637" s="21">
        <f>IF(J2637="Yes","",IF(H2637&gt;=I2637,1,0))</f>
        <v/>
      </c>
      <c r="O2637" s="21">
        <f>IF(I2637&lt;=5000000,"Under $5M",IF(I2637&lt;=20000000,"$5M-20M",IF(I2637&lt;=50000000,"$20M-50M",IF(I2637&lt;=100000000,"$50M-100M","$100M+"))))</f>
        <v/>
      </c>
      <c r="P2637" s="21">
        <f>IF(E2637&lt;=90,"90 or less",IF(E2637&lt;=105,"91-105",IF(E2637&lt;=120,"106-120",IF(E2637&lt;=140,"121-140","Over 140"))))</f>
        <v/>
      </c>
      <c r="Q2637" s="28">
        <f>INT(C2637/10)*10</f>
        <v/>
      </c>
    </row>
    <row r="2638">
      <c r="A2638" s="21" t="n">
        <v>2692</v>
      </c>
      <c r="B2638" s="21" t="inlineStr">
        <is>
          <t>The Da Vinci Code</t>
        </is>
      </c>
      <c r="C2638" s="21" t="n">
        <v>2006</v>
      </c>
      <c r="D2638" s="21" t="inlineStr">
        <is>
          <t>USA</t>
        </is>
      </c>
      <c r="E2638" s="21" t="n">
        <v>174</v>
      </c>
      <c r="F2638" s="21" t="inlineStr">
        <is>
          <t>English</t>
        </is>
      </c>
      <c r="G2638" s="21" t="inlineStr">
        <is>
          <t>PG-13</t>
        </is>
      </c>
      <c r="H2638" s="22" t="n">
        <v>217536138</v>
      </c>
      <c r="I2638" s="22" t="n">
        <v>125000000</v>
      </c>
      <c r="J2638" s="21">
        <f>IF(OR(H2638="",H2638=25529689.5),"Yes","No")</f>
        <v/>
      </c>
      <c r="K2638" s="21">
        <f>IF(AND(D2638="USA",C2638&gt;=1980,J2638="No"),"Yes","No")</f>
        <v/>
      </c>
      <c r="L2638" s="26">
        <f>IF(J2638="Yes","",H2638-I2638)</f>
        <v/>
      </c>
      <c r="M2638" s="27">
        <f>IF(OR(J2638="Yes",I2638=0),"",H2638/I2638)</f>
        <v/>
      </c>
      <c r="N2638" s="21">
        <f>IF(J2638="Yes","",IF(H2638&gt;=I2638,1,0))</f>
        <v/>
      </c>
      <c r="O2638" s="21">
        <f>IF(I2638&lt;=5000000,"Under $5M",IF(I2638&lt;=20000000,"$5M-20M",IF(I2638&lt;=50000000,"$20M-50M",IF(I2638&lt;=100000000,"$50M-100M","$100M+"))))</f>
        <v/>
      </c>
      <c r="P2638" s="21">
        <f>IF(E2638&lt;=90,"90 or less",IF(E2638&lt;=105,"91-105",IF(E2638&lt;=120,"106-120",IF(E2638&lt;=140,"121-140","Over 140"))))</f>
        <v/>
      </c>
      <c r="Q2638" s="28">
        <f>INT(C2638/10)*10</f>
        <v/>
      </c>
    </row>
    <row r="2639">
      <c r="A2639" s="21" t="n">
        <v>2693</v>
      </c>
      <c r="B2639" s="21" t="inlineStr">
        <is>
          <t>The Dead Girl</t>
        </is>
      </c>
      <c r="C2639" s="21" t="n">
        <v>2006</v>
      </c>
      <c r="D2639" s="21" t="inlineStr">
        <is>
          <t>USA</t>
        </is>
      </c>
      <c r="E2639" s="21" t="n">
        <v>93</v>
      </c>
      <c r="F2639" s="21" t="inlineStr">
        <is>
          <t>English</t>
        </is>
      </c>
      <c r="G2639" s="21" t="inlineStr">
        <is>
          <t>R</t>
        </is>
      </c>
      <c r="H2639" s="22" t="n">
        <v>17311</v>
      </c>
      <c r="I2639" s="22" t="n">
        <v>20000000</v>
      </c>
      <c r="J2639" s="21">
        <f>IF(OR(H2639="",H2639=25529689.5),"Yes","No")</f>
        <v/>
      </c>
      <c r="K2639" s="21">
        <f>IF(AND(D2639="USA",C2639&gt;=1980,J2639="No"),"Yes","No")</f>
        <v/>
      </c>
      <c r="L2639" s="26">
        <f>IF(J2639="Yes","",H2639-I2639)</f>
        <v/>
      </c>
      <c r="M2639" s="27">
        <f>IF(OR(J2639="Yes",I2639=0),"",H2639/I2639)</f>
        <v/>
      </c>
      <c r="N2639" s="21">
        <f>IF(J2639="Yes","",IF(H2639&gt;=I2639,1,0))</f>
        <v/>
      </c>
      <c r="O2639" s="21">
        <f>IF(I2639&lt;=5000000,"Under $5M",IF(I2639&lt;=20000000,"$5M-20M",IF(I2639&lt;=50000000,"$20M-50M",IF(I2639&lt;=100000000,"$50M-100M","$100M+"))))</f>
        <v/>
      </c>
      <c r="P2639" s="21">
        <f>IF(E2639&lt;=90,"90 or less",IF(E2639&lt;=105,"91-105",IF(E2639&lt;=120,"106-120",IF(E2639&lt;=140,"121-140","Over 140"))))</f>
        <v/>
      </c>
      <c r="Q2639" s="28">
        <f>INT(C2639/10)*10</f>
        <v/>
      </c>
    </row>
    <row r="2640">
      <c r="A2640" s="21" t="n">
        <v>2694</v>
      </c>
      <c r="B2640" s="21" t="inlineStr">
        <is>
          <t>The Departed</t>
        </is>
      </c>
      <c r="C2640" s="21" t="n">
        <v>2006</v>
      </c>
      <c r="D2640" s="21" t="inlineStr">
        <is>
          <t>USA</t>
        </is>
      </c>
      <c r="E2640" s="21" t="n">
        <v>151</v>
      </c>
      <c r="F2640" s="21" t="inlineStr">
        <is>
          <t>English</t>
        </is>
      </c>
      <c r="G2640" s="21" t="inlineStr">
        <is>
          <t>R</t>
        </is>
      </c>
      <c r="H2640" s="22" t="n">
        <v>132373442</v>
      </c>
      <c r="I2640" s="22" t="n">
        <v>90000000</v>
      </c>
      <c r="J2640" s="21">
        <f>IF(OR(H2640="",H2640=25529689.5),"Yes","No")</f>
        <v/>
      </c>
      <c r="K2640" s="21">
        <f>IF(AND(D2640="USA",C2640&gt;=1980,J2640="No"),"Yes","No")</f>
        <v/>
      </c>
      <c r="L2640" s="26">
        <f>IF(J2640="Yes","",H2640-I2640)</f>
        <v/>
      </c>
      <c r="M2640" s="27">
        <f>IF(OR(J2640="Yes",I2640=0),"",H2640/I2640)</f>
        <v/>
      </c>
      <c r="N2640" s="21">
        <f>IF(J2640="Yes","",IF(H2640&gt;=I2640,1,0))</f>
        <v/>
      </c>
      <c r="O2640" s="21">
        <f>IF(I2640&lt;=5000000,"Under $5M",IF(I2640&lt;=20000000,"$5M-20M",IF(I2640&lt;=50000000,"$20M-50M",IF(I2640&lt;=100000000,"$50M-100M","$100M+"))))</f>
        <v/>
      </c>
      <c r="P2640" s="21">
        <f>IF(E2640&lt;=90,"90 or less",IF(E2640&lt;=105,"91-105",IF(E2640&lt;=120,"106-120",IF(E2640&lt;=140,"121-140","Over 140"))))</f>
        <v/>
      </c>
      <c r="Q2640" s="28">
        <f>INT(C2640/10)*10</f>
        <v/>
      </c>
    </row>
    <row r="2641">
      <c r="A2641" s="21" t="n">
        <v>2695</v>
      </c>
      <c r="B2641" s="21" t="inlineStr">
        <is>
          <t>The Devil Wears Prada</t>
        </is>
      </c>
      <c r="C2641" s="21" t="n">
        <v>2006</v>
      </c>
      <c r="D2641" s="21" t="inlineStr">
        <is>
          <t>USA</t>
        </is>
      </c>
      <c r="E2641" s="21" t="n">
        <v>109</v>
      </c>
      <c r="F2641" s="21" t="inlineStr">
        <is>
          <t>English</t>
        </is>
      </c>
      <c r="G2641" s="21" t="inlineStr">
        <is>
          <t>PG-13</t>
        </is>
      </c>
      <c r="H2641" s="22" t="n">
        <v>124732962</v>
      </c>
      <c r="I2641" s="22" t="n">
        <v>35000000</v>
      </c>
      <c r="J2641" s="21">
        <f>IF(OR(H2641="",H2641=25529689.5),"Yes","No")</f>
        <v/>
      </c>
      <c r="K2641" s="21">
        <f>IF(AND(D2641="USA",C2641&gt;=1980,J2641="No"),"Yes","No")</f>
        <v/>
      </c>
      <c r="L2641" s="26">
        <f>IF(J2641="Yes","",H2641-I2641)</f>
        <v/>
      </c>
      <c r="M2641" s="27">
        <f>IF(OR(J2641="Yes",I2641=0),"",H2641/I2641)</f>
        <v/>
      </c>
      <c r="N2641" s="21">
        <f>IF(J2641="Yes","",IF(H2641&gt;=I2641,1,0))</f>
        <v/>
      </c>
      <c r="O2641" s="21">
        <f>IF(I2641&lt;=5000000,"Under $5M",IF(I2641&lt;=20000000,"$5M-20M",IF(I2641&lt;=50000000,"$20M-50M",IF(I2641&lt;=100000000,"$50M-100M","$100M+"))))</f>
        <v/>
      </c>
      <c r="P2641" s="21">
        <f>IF(E2641&lt;=90,"90 or less",IF(E2641&lt;=105,"91-105",IF(E2641&lt;=120,"106-120",IF(E2641&lt;=140,"121-140","Over 140"))))</f>
        <v/>
      </c>
      <c r="Q2641" s="28">
        <f>INT(C2641/10)*10</f>
        <v/>
      </c>
    </row>
    <row r="2642">
      <c r="A2642" s="21" t="n">
        <v>2696</v>
      </c>
      <c r="B2642" s="21" t="inlineStr">
        <is>
          <t>The Fast and the Furious: Tokyo Drift</t>
        </is>
      </c>
      <c r="C2642" s="21" t="n">
        <v>2006</v>
      </c>
      <c r="D2642" s="21" t="inlineStr">
        <is>
          <t>USA</t>
        </is>
      </c>
      <c r="E2642" s="21" t="n">
        <v>104</v>
      </c>
      <c r="F2642" s="21" t="inlineStr">
        <is>
          <t>English</t>
        </is>
      </c>
      <c r="G2642" s="21" t="inlineStr">
        <is>
          <t>PG-13</t>
        </is>
      </c>
      <c r="H2642" s="22" t="n">
        <v>62494975</v>
      </c>
      <c r="I2642" s="22" t="n">
        <v>85000000</v>
      </c>
      <c r="J2642" s="21">
        <f>IF(OR(H2642="",H2642=25529689.5),"Yes","No")</f>
        <v/>
      </c>
      <c r="K2642" s="21">
        <f>IF(AND(D2642="USA",C2642&gt;=1980,J2642="No"),"Yes","No")</f>
        <v/>
      </c>
      <c r="L2642" s="26">
        <f>IF(J2642="Yes","",H2642-I2642)</f>
        <v/>
      </c>
      <c r="M2642" s="27">
        <f>IF(OR(J2642="Yes",I2642=0),"",H2642/I2642)</f>
        <v/>
      </c>
      <c r="N2642" s="21">
        <f>IF(J2642="Yes","",IF(H2642&gt;=I2642,1,0))</f>
        <v/>
      </c>
      <c r="O2642" s="21">
        <f>IF(I2642&lt;=5000000,"Under $5M",IF(I2642&lt;=20000000,"$5M-20M",IF(I2642&lt;=50000000,"$20M-50M",IF(I2642&lt;=100000000,"$50M-100M","$100M+"))))</f>
        <v/>
      </c>
      <c r="P2642" s="21">
        <f>IF(E2642&lt;=90,"90 or less",IF(E2642&lt;=105,"91-105",IF(E2642&lt;=120,"106-120",IF(E2642&lt;=140,"121-140","Over 140"))))</f>
        <v/>
      </c>
      <c r="Q2642" s="28">
        <f>INT(C2642/10)*10</f>
        <v/>
      </c>
    </row>
    <row r="2643">
      <c r="A2643" s="21" t="n">
        <v>2697</v>
      </c>
      <c r="B2643" s="21" t="inlineStr">
        <is>
          <t>The Fountain</t>
        </is>
      </c>
      <c r="C2643" s="21" t="n">
        <v>2006</v>
      </c>
      <c r="D2643" s="21" t="inlineStr">
        <is>
          <t>USA</t>
        </is>
      </c>
      <c r="E2643" s="21" t="n">
        <v>96</v>
      </c>
      <c r="F2643" s="21" t="inlineStr">
        <is>
          <t>English</t>
        </is>
      </c>
      <c r="G2643" s="21" t="inlineStr">
        <is>
          <t>PG-13</t>
        </is>
      </c>
      <c r="H2643" s="22" t="n">
        <v>10139254</v>
      </c>
      <c r="I2643" s="22" t="n">
        <v>35000000</v>
      </c>
      <c r="J2643" s="21">
        <f>IF(OR(H2643="",H2643=25529689.5),"Yes","No")</f>
        <v/>
      </c>
      <c r="K2643" s="21">
        <f>IF(AND(D2643="USA",C2643&gt;=1980,J2643="No"),"Yes","No")</f>
        <v/>
      </c>
      <c r="L2643" s="26">
        <f>IF(J2643="Yes","",H2643-I2643)</f>
        <v/>
      </c>
      <c r="M2643" s="27">
        <f>IF(OR(J2643="Yes",I2643=0),"",H2643/I2643)</f>
        <v/>
      </c>
      <c r="N2643" s="21">
        <f>IF(J2643="Yes","",IF(H2643&gt;=I2643,1,0))</f>
        <v/>
      </c>
      <c r="O2643" s="21">
        <f>IF(I2643&lt;=5000000,"Under $5M",IF(I2643&lt;=20000000,"$5M-20M",IF(I2643&lt;=50000000,"$20M-50M",IF(I2643&lt;=100000000,"$50M-100M","$100M+"))))</f>
        <v/>
      </c>
      <c r="P2643" s="21">
        <f>IF(E2643&lt;=90,"90 or less",IF(E2643&lt;=105,"91-105",IF(E2643&lt;=120,"106-120",IF(E2643&lt;=140,"121-140","Over 140"))))</f>
        <v/>
      </c>
      <c r="Q2643" s="28">
        <f>INT(C2643/10)*10</f>
        <v/>
      </c>
    </row>
    <row r="2644">
      <c r="A2644" s="21" t="n">
        <v>2698</v>
      </c>
      <c r="B2644" s="21" t="inlineStr">
        <is>
          <t>The Good German</t>
        </is>
      </c>
      <c r="C2644" s="21" t="n">
        <v>2006</v>
      </c>
      <c r="D2644" s="21" t="inlineStr">
        <is>
          <t>USA</t>
        </is>
      </c>
      <c r="E2644" s="21" t="n">
        <v>105</v>
      </c>
      <c r="F2644" s="21" t="inlineStr">
        <is>
          <t>English</t>
        </is>
      </c>
      <c r="G2644" s="21" t="inlineStr">
        <is>
          <t>R</t>
        </is>
      </c>
      <c r="H2644" s="22" t="n">
        <v>1304837</v>
      </c>
      <c r="I2644" s="22" t="n">
        <v>32000000</v>
      </c>
      <c r="J2644" s="21">
        <f>IF(OR(H2644="",H2644=25529689.5),"Yes","No")</f>
        <v/>
      </c>
      <c r="K2644" s="21">
        <f>IF(AND(D2644="USA",C2644&gt;=1980,J2644="No"),"Yes","No")</f>
        <v/>
      </c>
      <c r="L2644" s="26">
        <f>IF(J2644="Yes","",H2644-I2644)</f>
        <v/>
      </c>
      <c r="M2644" s="27">
        <f>IF(OR(J2644="Yes",I2644=0),"",H2644/I2644)</f>
        <v/>
      </c>
      <c r="N2644" s="21">
        <f>IF(J2644="Yes","",IF(H2644&gt;=I2644,1,0))</f>
        <v/>
      </c>
      <c r="O2644" s="21">
        <f>IF(I2644&lt;=5000000,"Under $5M",IF(I2644&lt;=20000000,"$5M-20M",IF(I2644&lt;=50000000,"$20M-50M",IF(I2644&lt;=100000000,"$50M-100M","$100M+"))))</f>
        <v/>
      </c>
      <c r="P2644" s="21">
        <f>IF(E2644&lt;=90,"90 or less",IF(E2644&lt;=105,"91-105",IF(E2644&lt;=120,"106-120",IF(E2644&lt;=140,"121-140","Over 140"))))</f>
        <v/>
      </c>
      <c r="Q2644" s="28">
        <f>INT(C2644/10)*10</f>
        <v/>
      </c>
    </row>
    <row r="2645">
      <c r="A2645" s="21" t="n">
        <v>2699</v>
      </c>
      <c r="B2645" s="21" t="inlineStr">
        <is>
          <t>The Grudge 2</t>
        </is>
      </c>
      <c r="C2645" s="21" t="n">
        <v>2006</v>
      </c>
      <c r="D2645" s="21" t="inlineStr">
        <is>
          <t>USA</t>
        </is>
      </c>
      <c r="E2645" s="21" t="n">
        <v>137</v>
      </c>
      <c r="F2645" s="21" t="inlineStr">
        <is>
          <t>English</t>
        </is>
      </c>
      <c r="G2645" s="21" t="inlineStr">
        <is>
          <t>PG-13</t>
        </is>
      </c>
      <c r="H2645" s="22" t="n">
        <v>39143839</v>
      </c>
      <c r="I2645" s="22" t="n">
        <v>20000000</v>
      </c>
      <c r="J2645" s="21">
        <f>IF(OR(H2645="",H2645=25529689.5),"Yes","No")</f>
        <v/>
      </c>
      <c r="K2645" s="21">
        <f>IF(AND(D2645="USA",C2645&gt;=1980,J2645="No"),"Yes","No")</f>
        <v/>
      </c>
      <c r="L2645" s="26">
        <f>IF(J2645="Yes","",H2645-I2645)</f>
        <v/>
      </c>
      <c r="M2645" s="27">
        <f>IF(OR(J2645="Yes",I2645=0),"",H2645/I2645)</f>
        <v/>
      </c>
      <c r="N2645" s="21">
        <f>IF(J2645="Yes","",IF(H2645&gt;=I2645,1,0))</f>
        <v/>
      </c>
      <c r="O2645" s="21">
        <f>IF(I2645&lt;=5000000,"Under $5M",IF(I2645&lt;=20000000,"$5M-20M",IF(I2645&lt;=50000000,"$20M-50M",IF(I2645&lt;=100000000,"$50M-100M","$100M+"))))</f>
        <v/>
      </c>
      <c r="P2645" s="21">
        <f>IF(E2645&lt;=90,"90 or less",IF(E2645&lt;=105,"91-105",IF(E2645&lt;=120,"106-120",IF(E2645&lt;=140,"121-140","Over 140"))))</f>
        <v/>
      </c>
      <c r="Q2645" s="28">
        <f>INT(C2645/10)*10</f>
        <v/>
      </c>
    </row>
    <row r="2646">
      <c r="A2646" s="21" t="n">
        <v>2700</v>
      </c>
      <c r="B2646" s="21" t="inlineStr">
        <is>
          <t>The Hills Have Eyes</t>
        </is>
      </c>
      <c r="C2646" s="21" t="n">
        <v>2006</v>
      </c>
      <c r="D2646" s="21" t="inlineStr">
        <is>
          <t>USA</t>
        </is>
      </c>
      <c r="E2646" s="21" t="n">
        <v>108</v>
      </c>
      <c r="F2646" s="21" t="inlineStr">
        <is>
          <t>English</t>
        </is>
      </c>
      <c r="G2646" s="21" t="inlineStr">
        <is>
          <t>R</t>
        </is>
      </c>
      <c r="H2646" s="22" t="n">
        <v>41777564</v>
      </c>
      <c r="I2646" s="22" t="n">
        <v>15000000</v>
      </c>
      <c r="J2646" s="21">
        <f>IF(OR(H2646="",H2646=25529689.5),"Yes","No")</f>
        <v/>
      </c>
      <c r="K2646" s="21">
        <f>IF(AND(D2646="USA",C2646&gt;=1980,J2646="No"),"Yes","No")</f>
        <v/>
      </c>
      <c r="L2646" s="26">
        <f>IF(J2646="Yes","",H2646-I2646)</f>
        <v/>
      </c>
      <c r="M2646" s="27">
        <f>IF(OR(J2646="Yes",I2646=0),"",H2646/I2646)</f>
        <v/>
      </c>
      <c r="N2646" s="21">
        <f>IF(J2646="Yes","",IF(H2646&gt;=I2646,1,0))</f>
        <v/>
      </c>
      <c r="O2646" s="21">
        <f>IF(I2646&lt;=5000000,"Under $5M",IF(I2646&lt;=20000000,"$5M-20M",IF(I2646&lt;=50000000,"$20M-50M",IF(I2646&lt;=100000000,"$50M-100M","$100M+"))))</f>
        <v/>
      </c>
      <c r="P2646" s="21">
        <f>IF(E2646&lt;=90,"90 or less",IF(E2646&lt;=105,"91-105",IF(E2646&lt;=120,"106-120",IF(E2646&lt;=140,"121-140","Over 140"))))</f>
        <v/>
      </c>
      <c r="Q2646" s="28">
        <f>INT(C2646/10)*10</f>
        <v/>
      </c>
    </row>
    <row r="2647">
      <c r="A2647" s="21" t="n">
        <v>2701</v>
      </c>
      <c r="B2647" s="21" t="inlineStr">
        <is>
          <t>The History Boys</t>
        </is>
      </c>
      <c r="C2647" s="21" t="n">
        <v>2006</v>
      </c>
      <c r="D2647" s="21" t="inlineStr">
        <is>
          <t>UK</t>
        </is>
      </c>
      <c r="E2647" s="21" t="n">
        <v>109</v>
      </c>
      <c r="F2647" s="21" t="inlineStr">
        <is>
          <t>English</t>
        </is>
      </c>
      <c r="G2647" s="21" t="inlineStr">
        <is>
          <t>R</t>
        </is>
      </c>
      <c r="H2647" s="22" t="n">
        <v>2706659</v>
      </c>
      <c r="I2647" s="22" t="n">
        <v>2000000</v>
      </c>
      <c r="J2647" s="21">
        <f>IF(OR(H2647="",H2647=25529689.5),"Yes","No")</f>
        <v/>
      </c>
      <c r="K2647" s="21">
        <f>IF(AND(D2647="USA",C2647&gt;=1980,J2647="No"),"Yes","No")</f>
        <v/>
      </c>
      <c r="L2647" s="26">
        <f>IF(J2647="Yes","",H2647-I2647)</f>
        <v/>
      </c>
      <c r="M2647" s="27">
        <f>IF(OR(J2647="Yes",I2647=0),"",H2647/I2647)</f>
        <v/>
      </c>
      <c r="N2647" s="21">
        <f>IF(J2647="Yes","",IF(H2647&gt;=I2647,1,0))</f>
        <v/>
      </c>
      <c r="O2647" s="21">
        <f>IF(I2647&lt;=5000000,"Under $5M",IF(I2647&lt;=20000000,"$5M-20M",IF(I2647&lt;=50000000,"$20M-50M",IF(I2647&lt;=100000000,"$50M-100M","$100M+"))))</f>
        <v/>
      </c>
      <c r="P2647" s="21">
        <f>IF(E2647&lt;=90,"90 or less",IF(E2647&lt;=105,"91-105",IF(E2647&lt;=120,"106-120",IF(E2647&lt;=140,"121-140","Over 140"))))</f>
        <v/>
      </c>
      <c r="Q2647" s="28">
        <f>INT(C2647/10)*10</f>
        <v/>
      </c>
    </row>
    <row r="2648">
      <c r="A2648" s="21" t="n">
        <v>2702</v>
      </c>
      <c r="B2648" s="21" t="inlineStr">
        <is>
          <t>The Hoax</t>
        </is>
      </c>
      <c r="C2648" s="21" t="n">
        <v>2006</v>
      </c>
      <c r="D2648" s="21" t="inlineStr">
        <is>
          <t>USA</t>
        </is>
      </c>
      <c r="E2648" s="21" t="n">
        <v>116</v>
      </c>
      <c r="F2648" s="21" t="inlineStr">
        <is>
          <t>English</t>
        </is>
      </c>
      <c r="G2648" s="21" t="inlineStr">
        <is>
          <t>R</t>
        </is>
      </c>
      <c r="H2648" s="22" t="n">
        <v>7156933</v>
      </c>
      <c r="I2648" s="22" t="n">
        <v>25000000</v>
      </c>
      <c r="J2648" s="21">
        <f>IF(OR(H2648="",H2648=25529689.5),"Yes","No")</f>
        <v/>
      </c>
      <c r="K2648" s="21">
        <f>IF(AND(D2648="USA",C2648&gt;=1980,J2648="No"),"Yes","No")</f>
        <v/>
      </c>
      <c r="L2648" s="26">
        <f>IF(J2648="Yes","",H2648-I2648)</f>
        <v/>
      </c>
      <c r="M2648" s="27">
        <f>IF(OR(J2648="Yes",I2648=0),"",H2648/I2648)</f>
        <v/>
      </c>
      <c r="N2648" s="21">
        <f>IF(J2648="Yes","",IF(H2648&gt;=I2648,1,0))</f>
        <v/>
      </c>
      <c r="O2648" s="21">
        <f>IF(I2648&lt;=5000000,"Under $5M",IF(I2648&lt;=20000000,"$5M-20M",IF(I2648&lt;=50000000,"$20M-50M",IF(I2648&lt;=100000000,"$50M-100M","$100M+"))))</f>
        <v/>
      </c>
      <c r="P2648" s="21">
        <f>IF(E2648&lt;=90,"90 or less",IF(E2648&lt;=105,"91-105",IF(E2648&lt;=120,"106-120",IF(E2648&lt;=140,"121-140","Over 140"))))</f>
        <v/>
      </c>
      <c r="Q2648" s="28">
        <f>INT(C2648/10)*10</f>
        <v/>
      </c>
    </row>
    <row r="2649">
      <c r="A2649" s="21" t="n">
        <v>2703</v>
      </c>
      <c r="B2649" s="21" t="inlineStr">
        <is>
          <t>The Holiday</t>
        </is>
      </c>
      <c r="C2649" s="21" t="n">
        <v>2006</v>
      </c>
      <c r="D2649" s="21" t="inlineStr">
        <is>
          <t>USA</t>
        </is>
      </c>
      <c r="E2649" s="21" t="n">
        <v>138</v>
      </c>
      <c r="F2649" s="21" t="inlineStr">
        <is>
          <t>English</t>
        </is>
      </c>
      <c r="G2649" s="21" t="inlineStr">
        <is>
          <t>PG-13</t>
        </is>
      </c>
      <c r="H2649" s="22" t="n">
        <v>63224849</v>
      </c>
      <c r="I2649" s="22" t="n">
        <v>85000000</v>
      </c>
      <c r="J2649" s="21">
        <f>IF(OR(H2649="",H2649=25529689.5),"Yes","No")</f>
        <v/>
      </c>
      <c r="K2649" s="21">
        <f>IF(AND(D2649="USA",C2649&gt;=1980,J2649="No"),"Yes","No")</f>
        <v/>
      </c>
      <c r="L2649" s="26">
        <f>IF(J2649="Yes","",H2649-I2649)</f>
        <v/>
      </c>
      <c r="M2649" s="27">
        <f>IF(OR(J2649="Yes",I2649=0),"",H2649/I2649)</f>
        <v/>
      </c>
      <c r="N2649" s="21">
        <f>IF(J2649="Yes","",IF(H2649&gt;=I2649,1,0))</f>
        <v/>
      </c>
      <c r="O2649" s="21">
        <f>IF(I2649&lt;=5000000,"Under $5M",IF(I2649&lt;=20000000,"$5M-20M",IF(I2649&lt;=50000000,"$20M-50M",IF(I2649&lt;=100000000,"$50M-100M","$100M+"))))</f>
        <v/>
      </c>
      <c r="P2649" s="21">
        <f>IF(E2649&lt;=90,"90 or less",IF(E2649&lt;=105,"91-105",IF(E2649&lt;=120,"106-120",IF(E2649&lt;=140,"121-140","Over 140"))))</f>
        <v/>
      </c>
      <c r="Q2649" s="28">
        <f>INT(C2649/10)*10</f>
        <v/>
      </c>
    </row>
    <row r="2650">
      <c r="A2650" s="21" t="n">
        <v>2704</v>
      </c>
      <c r="B2650" s="21" t="inlineStr">
        <is>
          <t>The Host</t>
        </is>
      </c>
      <c r="C2650" s="21" t="n">
        <v>2006</v>
      </c>
      <c r="D2650" s="21" t="inlineStr">
        <is>
          <t>South Korea</t>
        </is>
      </c>
      <c r="E2650" s="21" t="n">
        <v>110</v>
      </c>
      <c r="F2650" s="21" t="inlineStr">
        <is>
          <t>Korean</t>
        </is>
      </c>
      <c r="G2650" s="21" t="inlineStr">
        <is>
          <t>R</t>
        </is>
      </c>
      <c r="H2650" s="22" t="n">
        <v>2201412</v>
      </c>
      <c r="I2650" s="22" t="n">
        <v>12215500000</v>
      </c>
      <c r="J2650" s="21">
        <f>IF(OR(H2650="",H2650=25529689.5),"Yes","No")</f>
        <v/>
      </c>
      <c r="K2650" s="21">
        <f>IF(AND(D2650="USA",C2650&gt;=1980,J2650="No"),"Yes","No")</f>
        <v/>
      </c>
      <c r="L2650" s="26">
        <f>IF(J2650="Yes","",H2650-I2650)</f>
        <v/>
      </c>
      <c r="M2650" s="27">
        <f>IF(OR(J2650="Yes",I2650=0),"",H2650/I2650)</f>
        <v/>
      </c>
      <c r="N2650" s="21">
        <f>IF(J2650="Yes","",IF(H2650&gt;=I2650,1,0))</f>
        <v/>
      </c>
      <c r="O2650" s="21">
        <f>IF(I2650&lt;=5000000,"Under $5M",IF(I2650&lt;=20000000,"$5M-20M",IF(I2650&lt;=50000000,"$20M-50M",IF(I2650&lt;=100000000,"$50M-100M","$100M+"))))</f>
        <v/>
      </c>
      <c r="P2650" s="21">
        <f>IF(E2650&lt;=90,"90 or less",IF(E2650&lt;=105,"91-105",IF(E2650&lt;=120,"106-120",IF(E2650&lt;=140,"121-140","Over 140"))))</f>
        <v/>
      </c>
      <c r="Q2650" s="28">
        <f>INT(C2650/10)*10</f>
        <v/>
      </c>
    </row>
    <row r="2651">
      <c r="A2651" s="21" t="n">
        <v>2705</v>
      </c>
      <c r="B2651" s="21" t="inlineStr">
        <is>
          <t>The Illusionist</t>
        </is>
      </c>
      <c r="C2651" s="21" t="n">
        <v>2006</v>
      </c>
      <c r="D2651" s="21" t="inlineStr">
        <is>
          <t>USA</t>
        </is>
      </c>
      <c r="E2651" s="21" t="n">
        <v>110</v>
      </c>
      <c r="F2651" s="21" t="inlineStr">
        <is>
          <t>English</t>
        </is>
      </c>
      <c r="G2651" s="21" t="inlineStr">
        <is>
          <t>PG-13</t>
        </is>
      </c>
      <c r="H2651" s="22" t="n">
        <v>39825798</v>
      </c>
      <c r="I2651" s="22" t="n">
        <v>16000000</v>
      </c>
      <c r="J2651" s="21">
        <f>IF(OR(H2651="",H2651=25529689.5),"Yes","No")</f>
        <v/>
      </c>
      <c r="K2651" s="21">
        <f>IF(AND(D2651="USA",C2651&gt;=1980,J2651="No"),"Yes","No")</f>
        <v/>
      </c>
      <c r="L2651" s="26">
        <f>IF(J2651="Yes","",H2651-I2651)</f>
        <v/>
      </c>
      <c r="M2651" s="27">
        <f>IF(OR(J2651="Yes",I2651=0),"",H2651/I2651)</f>
        <v/>
      </c>
      <c r="N2651" s="21">
        <f>IF(J2651="Yes","",IF(H2651&gt;=I2651,1,0))</f>
        <v/>
      </c>
      <c r="O2651" s="21">
        <f>IF(I2651&lt;=5000000,"Under $5M",IF(I2651&lt;=20000000,"$5M-20M",IF(I2651&lt;=50000000,"$20M-50M",IF(I2651&lt;=100000000,"$50M-100M","$100M+"))))</f>
        <v/>
      </c>
      <c r="P2651" s="21">
        <f>IF(E2651&lt;=90,"90 or less",IF(E2651&lt;=105,"91-105",IF(E2651&lt;=120,"106-120",IF(E2651&lt;=140,"121-140","Over 140"))))</f>
        <v/>
      </c>
      <c r="Q2651" s="28">
        <f>INT(C2651/10)*10</f>
        <v/>
      </c>
    </row>
    <row r="2652">
      <c r="A2652" s="21" t="n">
        <v>2707</v>
      </c>
      <c r="B2652" s="21" t="inlineStr">
        <is>
          <t>The Lake House</t>
        </is>
      </c>
      <c r="C2652" s="21" t="n">
        <v>2006</v>
      </c>
      <c r="D2652" s="21" t="inlineStr">
        <is>
          <t>USA</t>
        </is>
      </c>
      <c r="E2652" s="21" t="n">
        <v>99</v>
      </c>
      <c r="F2652" s="21" t="inlineStr">
        <is>
          <t>English</t>
        </is>
      </c>
      <c r="G2652" s="21" t="inlineStr">
        <is>
          <t>PG</t>
        </is>
      </c>
      <c r="H2652" s="22" t="n">
        <v>52320979</v>
      </c>
      <c r="I2652" s="22" t="n">
        <v>40000000</v>
      </c>
      <c r="J2652" s="21">
        <f>IF(OR(H2652="",H2652=25529689.5),"Yes","No")</f>
        <v/>
      </c>
      <c r="K2652" s="21">
        <f>IF(AND(D2652="USA",C2652&gt;=1980,J2652="No"),"Yes","No")</f>
        <v/>
      </c>
      <c r="L2652" s="26">
        <f>IF(J2652="Yes","",H2652-I2652)</f>
        <v/>
      </c>
      <c r="M2652" s="27">
        <f>IF(OR(J2652="Yes",I2652=0),"",H2652/I2652)</f>
        <v/>
      </c>
      <c r="N2652" s="21">
        <f>IF(J2652="Yes","",IF(H2652&gt;=I2652,1,0))</f>
        <v/>
      </c>
      <c r="O2652" s="21">
        <f>IF(I2652&lt;=5000000,"Under $5M",IF(I2652&lt;=20000000,"$5M-20M",IF(I2652&lt;=50000000,"$20M-50M",IF(I2652&lt;=100000000,"$50M-100M","$100M+"))))</f>
        <v/>
      </c>
      <c r="P2652" s="21">
        <f>IF(E2652&lt;=90,"90 or less",IF(E2652&lt;=105,"91-105",IF(E2652&lt;=120,"106-120",IF(E2652&lt;=140,"121-140","Over 140"))))</f>
        <v/>
      </c>
      <c r="Q2652" s="28">
        <f>INT(C2652/10)*10</f>
        <v/>
      </c>
    </row>
    <row r="2653">
      <c r="A2653" s="21" t="n">
        <v>2708</v>
      </c>
      <c r="B2653" s="21" t="inlineStr">
        <is>
          <t>The Last King of Scotland</t>
        </is>
      </c>
      <c r="C2653" s="21" t="n">
        <v>2006</v>
      </c>
      <c r="D2653" s="21" t="inlineStr">
        <is>
          <t>UK</t>
        </is>
      </c>
      <c r="E2653" s="21" t="n">
        <v>121</v>
      </c>
      <c r="F2653" s="21" t="inlineStr">
        <is>
          <t>English</t>
        </is>
      </c>
      <c r="G2653" s="21" t="inlineStr">
        <is>
          <t>R</t>
        </is>
      </c>
      <c r="H2653" s="22" t="n">
        <v>17605861</v>
      </c>
      <c r="I2653" s="22" t="n">
        <v>6000000</v>
      </c>
      <c r="J2653" s="21">
        <f>IF(OR(H2653="",H2653=25529689.5),"Yes","No")</f>
        <v/>
      </c>
      <c r="K2653" s="21">
        <f>IF(AND(D2653="USA",C2653&gt;=1980,J2653="No"),"Yes","No")</f>
        <v/>
      </c>
      <c r="L2653" s="26">
        <f>IF(J2653="Yes","",H2653-I2653)</f>
        <v/>
      </c>
      <c r="M2653" s="27">
        <f>IF(OR(J2653="Yes",I2653=0),"",H2653/I2653)</f>
        <v/>
      </c>
      <c r="N2653" s="21">
        <f>IF(J2653="Yes","",IF(H2653&gt;=I2653,1,0))</f>
        <v/>
      </c>
      <c r="O2653" s="21">
        <f>IF(I2653&lt;=5000000,"Under $5M",IF(I2653&lt;=20000000,"$5M-20M",IF(I2653&lt;=50000000,"$20M-50M",IF(I2653&lt;=100000000,"$50M-100M","$100M+"))))</f>
        <v/>
      </c>
      <c r="P2653" s="21">
        <f>IF(E2653&lt;=90,"90 or less",IF(E2653&lt;=105,"91-105",IF(E2653&lt;=120,"106-120",IF(E2653&lt;=140,"121-140","Over 140"))))</f>
        <v/>
      </c>
      <c r="Q2653" s="28">
        <f>INT(C2653/10)*10</f>
        <v/>
      </c>
    </row>
    <row r="2654">
      <c r="A2654" s="21" t="n">
        <v>2709</v>
      </c>
      <c r="B2654" s="21" t="inlineStr">
        <is>
          <t>The Lives of Others</t>
        </is>
      </c>
      <c r="C2654" s="21" t="n">
        <v>2006</v>
      </c>
      <c r="D2654" s="21" t="inlineStr">
        <is>
          <t>Germany</t>
        </is>
      </c>
      <c r="E2654" s="21" t="n">
        <v>137</v>
      </c>
      <c r="F2654" s="21" t="inlineStr">
        <is>
          <t>German</t>
        </is>
      </c>
      <c r="G2654" s="21" t="inlineStr">
        <is>
          <t>R</t>
        </is>
      </c>
      <c r="H2654" s="22" t="n">
        <v>11284657</v>
      </c>
      <c r="I2654" s="22" t="n">
        <v>2000000</v>
      </c>
      <c r="J2654" s="21">
        <f>IF(OR(H2654="",H2654=25529689.5),"Yes","No")</f>
        <v/>
      </c>
      <c r="K2654" s="21">
        <f>IF(AND(D2654="USA",C2654&gt;=1980,J2654="No"),"Yes","No")</f>
        <v/>
      </c>
      <c r="L2654" s="26">
        <f>IF(J2654="Yes","",H2654-I2654)</f>
        <v/>
      </c>
      <c r="M2654" s="27">
        <f>IF(OR(J2654="Yes",I2654=0),"",H2654/I2654)</f>
        <v/>
      </c>
      <c r="N2654" s="21">
        <f>IF(J2654="Yes","",IF(H2654&gt;=I2654,1,0))</f>
        <v/>
      </c>
      <c r="O2654" s="21">
        <f>IF(I2654&lt;=5000000,"Under $5M",IF(I2654&lt;=20000000,"$5M-20M",IF(I2654&lt;=50000000,"$20M-50M",IF(I2654&lt;=100000000,"$50M-100M","$100M+"))))</f>
        <v/>
      </c>
      <c r="P2654" s="21">
        <f>IF(E2654&lt;=90,"90 or less",IF(E2654&lt;=105,"91-105",IF(E2654&lt;=120,"106-120",IF(E2654&lt;=140,"121-140","Over 140"))))</f>
        <v/>
      </c>
      <c r="Q2654" s="28">
        <f>INT(C2654/10)*10</f>
        <v/>
      </c>
    </row>
    <row r="2655">
      <c r="A2655" s="21" t="n">
        <v>2710</v>
      </c>
      <c r="B2655" s="21" t="inlineStr">
        <is>
          <t>The Magic Flute</t>
        </is>
      </c>
      <c r="C2655" s="21" t="n">
        <v>2006</v>
      </c>
      <c r="D2655" s="21" t="inlineStr">
        <is>
          <t>France</t>
        </is>
      </c>
      <c r="E2655" s="21" t="n">
        <v>135</v>
      </c>
      <c r="F2655" s="21" t="inlineStr">
        <is>
          <t>English</t>
        </is>
      </c>
      <c r="G2655" s="21" t="n"/>
      <c r="H2655" s="22" t="n">
        <v>25529689.5</v>
      </c>
      <c r="I2655" s="22" t="n">
        <v>27000000</v>
      </c>
      <c r="J2655" s="21">
        <f>IF(OR(H2655="",H2655=25529689.5),"Yes","No")</f>
        <v/>
      </c>
      <c r="K2655" s="21">
        <f>IF(AND(D2655="USA",C2655&gt;=1980,J2655="No"),"Yes","No")</f>
        <v/>
      </c>
      <c r="L2655" s="26">
        <f>IF(J2655="Yes","",H2655-I2655)</f>
        <v/>
      </c>
      <c r="M2655" s="27">
        <f>IF(OR(J2655="Yes",I2655=0),"",H2655/I2655)</f>
        <v/>
      </c>
      <c r="N2655" s="21">
        <f>IF(J2655="Yes","",IF(H2655&gt;=I2655,1,0))</f>
        <v/>
      </c>
      <c r="O2655" s="21">
        <f>IF(I2655&lt;=5000000,"Under $5M",IF(I2655&lt;=20000000,"$5M-20M",IF(I2655&lt;=50000000,"$20M-50M",IF(I2655&lt;=100000000,"$50M-100M","$100M+"))))</f>
        <v/>
      </c>
      <c r="P2655" s="21">
        <f>IF(E2655&lt;=90,"90 or less",IF(E2655&lt;=105,"91-105",IF(E2655&lt;=120,"106-120",IF(E2655&lt;=140,"121-140","Over 140"))))</f>
        <v/>
      </c>
      <c r="Q2655" s="28">
        <f>INT(C2655/10)*10</f>
        <v/>
      </c>
    </row>
    <row r="2656">
      <c r="A2656" s="21" t="n">
        <v>2711</v>
      </c>
      <c r="B2656" s="21" t="inlineStr">
        <is>
          <t>The Marine</t>
        </is>
      </c>
      <c r="C2656" s="21" t="n">
        <v>2006</v>
      </c>
      <c r="D2656" s="21" t="inlineStr">
        <is>
          <t>USA</t>
        </is>
      </c>
      <c r="E2656" s="21" t="n">
        <v>92</v>
      </c>
      <c r="F2656" s="21" t="inlineStr">
        <is>
          <t>English</t>
        </is>
      </c>
      <c r="G2656" s="21" t="inlineStr">
        <is>
          <t>PG-13</t>
        </is>
      </c>
      <c r="H2656" s="22" t="n">
        <v>18843314</v>
      </c>
      <c r="I2656" s="22" t="n">
        <v>20000000</v>
      </c>
      <c r="J2656" s="21">
        <f>IF(OR(H2656="",H2656=25529689.5),"Yes","No")</f>
        <v/>
      </c>
      <c r="K2656" s="21">
        <f>IF(AND(D2656="USA",C2656&gt;=1980,J2656="No"),"Yes","No")</f>
        <v/>
      </c>
      <c r="L2656" s="26">
        <f>IF(J2656="Yes","",H2656-I2656)</f>
        <v/>
      </c>
      <c r="M2656" s="27">
        <f>IF(OR(J2656="Yes",I2656=0),"",H2656/I2656)</f>
        <v/>
      </c>
      <c r="N2656" s="21">
        <f>IF(J2656="Yes","",IF(H2656&gt;=I2656,1,0))</f>
        <v/>
      </c>
      <c r="O2656" s="21">
        <f>IF(I2656&lt;=5000000,"Under $5M",IF(I2656&lt;=20000000,"$5M-20M",IF(I2656&lt;=50000000,"$20M-50M",IF(I2656&lt;=100000000,"$50M-100M","$100M+"))))</f>
        <v/>
      </c>
      <c r="P2656" s="21">
        <f>IF(E2656&lt;=90,"90 or less",IF(E2656&lt;=105,"91-105",IF(E2656&lt;=120,"106-120",IF(E2656&lt;=140,"121-140","Over 140"))))</f>
        <v/>
      </c>
      <c r="Q2656" s="28">
        <f>INT(C2656/10)*10</f>
        <v/>
      </c>
    </row>
    <row r="2657">
      <c r="A2657" s="21" t="n">
        <v>2712</v>
      </c>
      <c r="B2657" s="21" t="inlineStr">
        <is>
          <t>The Naked Ape</t>
        </is>
      </c>
      <c r="C2657" s="21" t="n">
        <v>2006</v>
      </c>
      <c r="D2657" s="21" t="inlineStr">
        <is>
          <t>USA</t>
        </is>
      </c>
      <c r="E2657" s="21" t="n">
        <v>104</v>
      </c>
      <c r="F2657" s="21" t="inlineStr">
        <is>
          <t>English</t>
        </is>
      </c>
      <c r="G2657" s="21" t="n"/>
      <c r="H2657" s="22" t="n">
        <v>25529689.5</v>
      </c>
      <c r="I2657" s="22" t="n">
        <v>20000000</v>
      </c>
      <c r="J2657" s="21">
        <f>IF(OR(H2657="",H2657=25529689.5),"Yes","No")</f>
        <v/>
      </c>
      <c r="K2657" s="21">
        <f>IF(AND(D2657="USA",C2657&gt;=1980,J2657="No"),"Yes","No")</f>
        <v/>
      </c>
      <c r="L2657" s="26">
        <f>IF(J2657="Yes","",H2657-I2657)</f>
        <v/>
      </c>
      <c r="M2657" s="27">
        <f>IF(OR(J2657="Yes",I2657=0),"",H2657/I2657)</f>
        <v/>
      </c>
      <c r="N2657" s="21">
        <f>IF(J2657="Yes","",IF(H2657&gt;=I2657,1,0))</f>
        <v/>
      </c>
      <c r="O2657" s="21">
        <f>IF(I2657&lt;=5000000,"Under $5M",IF(I2657&lt;=20000000,"$5M-20M",IF(I2657&lt;=50000000,"$20M-50M",IF(I2657&lt;=100000000,"$50M-100M","$100M+"))))</f>
        <v/>
      </c>
      <c r="P2657" s="21">
        <f>IF(E2657&lt;=90,"90 or less",IF(E2657&lt;=105,"91-105",IF(E2657&lt;=120,"106-120",IF(E2657&lt;=140,"121-140","Over 140"))))</f>
        <v/>
      </c>
      <c r="Q2657" s="28">
        <f>INT(C2657/10)*10</f>
        <v/>
      </c>
    </row>
    <row r="2658">
      <c r="A2658" s="21" t="n">
        <v>2713</v>
      </c>
      <c r="B2658" s="21" t="inlineStr">
        <is>
          <t>The Namesake</t>
        </is>
      </c>
      <c r="C2658" s="21" t="n">
        <v>2006</v>
      </c>
      <c r="D2658" s="21" t="inlineStr">
        <is>
          <t>USA</t>
        </is>
      </c>
      <c r="E2658" s="21" t="n">
        <v>122</v>
      </c>
      <c r="F2658" s="21" t="inlineStr">
        <is>
          <t>English</t>
        </is>
      </c>
      <c r="G2658" s="21" t="inlineStr">
        <is>
          <t>PG-13</t>
        </is>
      </c>
      <c r="H2658" s="22" t="n">
        <v>13569248</v>
      </c>
      <c r="I2658" s="22" t="n">
        <v>20000000</v>
      </c>
      <c r="J2658" s="21">
        <f>IF(OR(H2658="",H2658=25529689.5),"Yes","No")</f>
        <v/>
      </c>
      <c r="K2658" s="21">
        <f>IF(AND(D2658="USA",C2658&gt;=1980,J2658="No"),"Yes","No")</f>
        <v/>
      </c>
      <c r="L2658" s="26">
        <f>IF(J2658="Yes","",H2658-I2658)</f>
        <v/>
      </c>
      <c r="M2658" s="27">
        <f>IF(OR(J2658="Yes",I2658=0),"",H2658/I2658)</f>
        <v/>
      </c>
      <c r="N2658" s="21">
        <f>IF(J2658="Yes","",IF(H2658&gt;=I2658,1,0))</f>
        <v/>
      </c>
      <c r="O2658" s="21">
        <f>IF(I2658&lt;=5000000,"Under $5M",IF(I2658&lt;=20000000,"$5M-20M",IF(I2658&lt;=50000000,"$20M-50M",IF(I2658&lt;=100000000,"$50M-100M","$100M+"))))</f>
        <v/>
      </c>
      <c r="P2658" s="21">
        <f>IF(E2658&lt;=90,"90 or less",IF(E2658&lt;=105,"91-105",IF(E2658&lt;=120,"106-120",IF(E2658&lt;=140,"121-140","Over 140"))))</f>
        <v/>
      </c>
      <c r="Q2658" s="28">
        <f>INT(C2658/10)*10</f>
        <v/>
      </c>
    </row>
    <row r="2659">
      <c r="A2659" s="21" t="n">
        <v>2714</v>
      </c>
      <c r="B2659" s="21" t="inlineStr">
        <is>
          <t>The Nativity Story</t>
        </is>
      </c>
      <c r="C2659" s="21" t="n">
        <v>2006</v>
      </c>
      <c r="D2659" s="21" t="inlineStr">
        <is>
          <t>USA</t>
        </is>
      </c>
      <c r="E2659" s="21" t="n">
        <v>101</v>
      </c>
      <c r="F2659" s="21" t="inlineStr">
        <is>
          <t>English</t>
        </is>
      </c>
      <c r="G2659" s="21" t="inlineStr">
        <is>
          <t>PG</t>
        </is>
      </c>
      <c r="H2659" s="22" t="n">
        <v>37617947</v>
      </c>
      <c r="I2659" s="22" t="n">
        <v>30000000</v>
      </c>
      <c r="J2659" s="21">
        <f>IF(OR(H2659="",H2659=25529689.5),"Yes","No")</f>
        <v/>
      </c>
      <c r="K2659" s="21">
        <f>IF(AND(D2659="USA",C2659&gt;=1980,J2659="No"),"Yes","No")</f>
        <v/>
      </c>
      <c r="L2659" s="26">
        <f>IF(J2659="Yes","",H2659-I2659)</f>
        <v/>
      </c>
      <c r="M2659" s="27">
        <f>IF(OR(J2659="Yes",I2659=0),"",H2659/I2659)</f>
        <v/>
      </c>
      <c r="N2659" s="21">
        <f>IF(J2659="Yes","",IF(H2659&gt;=I2659,1,0))</f>
        <v/>
      </c>
      <c r="O2659" s="21">
        <f>IF(I2659&lt;=5000000,"Under $5M",IF(I2659&lt;=20000000,"$5M-20M",IF(I2659&lt;=50000000,"$20M-50M",IF(I2659&lt;=100000000,"$50M-100M","$100M+"))))</f>
        <v/>
      </c>
      <c r="P2659" s="21">
        <f>IF(E2659&lt;=90,"90 or less",IF(E2659&lt;=105,"91-105",IF(E2659&lt;=120,"106-120",IF(E2659&lt;=140,"121-140","Over 140"))))</f>
        <v/>
      </c>
      <c r="Q2659" s="28">
        <f>INT(C2659/10)*10</f>
        <v/>
      </c>
    </row>
    <row r="2660">
      <c r="A2660" s="21" t="n">
        <v>2715</v>
      </c>
      <c r="B2660" s="21" t="inlineStr">
        <is>
          <t>The Night Listener</t>
        </is>
      </c>
      <c r="C2660" s="21" t="n">
        <v>2006</v>
      </c>
      <c r="D2660" s="21" t="inlineStr">
        <is>
          <t>USA</t>
        </is>
      </c>
      <c r="E2660" s="21" t="n">
        <v>81</v>
      </c>
      <c r="F2660" s="21" t="inlineStr">
        <is>
          <t>English</t>
        </is>
      </c>
      <c r="G2660" s="21" t="inlineStr">
        <is>
          <t>R</t>
        </is>
      </c>
      <c r="H2660" s="22" t="n">
        <v>7825820</v>
      </c>
      <c r="I2660" s="22" t="n">
        <v>4000000</v>
      </c>
      <c r="J2660" s="21">
        <f>IF(OR(H2660="",H2660=25529689.5),"Yes","No")</f>
        <v/>
      </c>
      <c r="K2660" s="21">
        <f>IF(AND(D2660="USA",C2660&gt;=1980,J2660="No"),"Yes","No")</f>
        <v/>
      </c>
      <c r="L2660" s="26">
        <f>IF(J2660="Yes","",H2660-I2660)</f>
        <v/>
      </c>
      <c r="M2660" s="27">
        <f>IF(OR(J2660="Yes",I2660=0),"",H2660/I2660)</f>
        <v/>
      </c>
      <c r="N2660" s="21">
        <f>IF(J2660="Yes","",IF(H2660&gt;=I2660,1,0))</f>
        <v/>
      </c>
      <c r="O2660" s="21">
        <f>IF(I2660&lt;=5000000,"Under $5M",IF(I2660&lt;=20000000,"$5M-20M",IF(I2660&lt;=50000000,"$20M-50M",IF(I2660&lt;=100000000,"$50M-100M","$100M+"))))</f>
        <v/>
      </c>
      <c r="P2660" s="21">
        <f>IF(E2660&lt;=90,"90 or less",IF(E2660&lt;=105,"91-105",IF(E2660&lt;=120,"106-120",IF(E2660&lt;=140,"121-140","Over 140"))))</f>
        <v/>
      </c>
      <c r="Q2660" s="28">
        <f>INT(C2660/10)*10</f>
        <v/>
      </c>
    </row>
    <row r="2661">
      <c r="A2661" s="21" t="n">
        <v>2716</v>
      </c>
      <c r="B2661" s="21" t="inlineStr">
        <is>
          <t>The Oh in Ohio</t>
        </is>
      </c>
      <c r="C2661" s="21" t="n">
        <v>2006</v>
      </c>
      <c r="D2661" s="21" t="inlineStr">
        <is>
          <t>USA</t>
        </is>
      </c>
      <c r="E2661" s="21" t="n">
        <v>88</v>
      </c>
      <c r="F2661" s="21" t="inlineStr">
        <is>
          <t>English</t>
        </is>
      </c>
      <c r="G2661" s="21" t="inlineStr">
        <is>
          <t>R</t>
        </is>
      </c>
      <c r="H2661" s="22" t="n">
        <v>25529689.5</v>
      </c>
      <c r="I2661" s="22" t="n">
        <v>5000000</v>
      </c>
      <c r="J2661" s="21">
        <f>IF(OR(H2661="",H2661=25529689.5),"Yes","No")</f>
        <v/>
      </c>
      <c r="K2661" s="21">
        <f>IF(AND(D2661="USA",C2661&gt;=1980,J2661="No"),"Yes","No")</f>
        <v/>
      </c>
      <c r="L2661" s="26">
        <f>IF(J2661="Yes","",H2661-I2661)</f>
        <v/>
      </c>
      <c r="M2661" s="27">
        <f>IF(OR(J2661="Yes",I2661=0),"",H2661/I2661)</f>
        <v/>
      </c>
      <c r="N2661" s="21">
        <f>IF(J2661="Yes","",IF(H2661&gt;=I2661,1,0))</f>
        <v/>
      </c>
      <c r="O2661" s="21">
        <f>IF(I2661&lt;=5000000,"Under $5M",IF(I2661&lt;=20000000,"$5M-20M",IF(I2661&lt;=50000000,"$20M-50M",IF(I2661&lt;=100000000,"$50M-100M","$100M+"))))</f>
        <v/>
      </c>
      <c r="P2661" s="21">
        <f>IF(E2661&lt;=90,"90 or less",IF(E2661&lt;=105,"91-105",IF(E2661&lt;=120,"106-120",IF(E2661&lt;=140,"121-140","Over 140"))))</f>
        <v/>
      </c>
      <c r="Q2661" s="28">
        <f>INT(C2661/10)*10</f>
        <v/>
      </c>
    </row>
    <row r="2662">
      <c r="A2662" s="21" t="n">
        <v>2717</v>
      </c>
      <c r="B2662" s="21" t="inlineStr">
        <is>
          <t>The Painted Veil</t>
        </is>
      </c>
      <c r="C2662" s="21" t="n">
        <v>2006</v>
      </c>
      <c r="D2662" s="21" t="inlineStr">
        <is>
          <t>China</t>
        </is>
      </c>
      <c r="E2662" s="21" t="n">
        <v>125</v>
      </c>
      <c r="F2662" s="21" t="inlineStr">
        <is>
          <t>Mandarin</t>
        </is>
      </c>
      <c r="G2662" s="21" t="inlineStr">
        <is>
          <t>PG-13</t>
        </is>
      </c>
      <c r="H2662" s="22" t="n">
        <v>8047690</v>
      </c>
      <c r="I2662" s="22" t="n">
        <v>19400000</v>
      </c>
      <c r="J2662" s="21">
        <f>IF(OR(H2662="",H2662=25529689.5),"Yes","No")</f>
        <v/>
      </c>
      <c r="K2662" s="21">
        <f>IF(AND(D2662="USA",C2662&gt;=1980,J2662="No"),"Yes","No")</f>
        <v/>
      </c>
      <c r="L2662" s="26">
        <f>IF(J2662="Yes","",H2662-I2662)</f>
        <v/>
      </c>
      <c r="M2662" s="27">
        <f>IF(OR(J2662="Yes",I2662=0),"",H2662/I2662)</f>
        <v/>
      </c>
      <c r="N2662" s="21">
        <f>IF(J2662="Yes","",IF(H2662&gt;=I2662,1,0))</f>
        <v/>
      </c>
      <c r="O2662" s="21">
        <f>IF(I2662&lt;=5000000,"Under $5M",IF(I2662&lt;=20000000,"$5M-20M",IF(I2662&lt;=50000000,"$20M-50M",IF(I2662&lt;=100000000,"$50M-100M","$100M+"))))</f>
        <v/>
      </c>
      <c r="P2662" s="21">
        <f>IF(E2662&lt;=90,"90 or less",IF(E2662&lt;=105,"91-105",IF(E2662&lt;=120,"106-120",IF(E2662&lt;=140,"121-140","Over 140"))))</f>
        <v/>
      </c>
      <c r="Q2662" s="28">
        <f>INT(C2662/10)*10</f>
        <v/>
      </c>
    </row>
    <row r="2663">
      <c r="A2663" s="21" t="n">
        <v>2718</v>
      </c>
      <c r="B2663" s="21" t="inlineStr">
        <is>
          <t>The Pet</t>
        </is>
      </c>
      <c r="C2663" s="21" t="n">
        <v>2006</v>
      </c>
      <c r="D2663" s="21" t="inlineStr">
        <is>
          <t>USA</t>
        </is>
      </c>
      <c r="E2663" s="21" t="n">
        <v>94</v>
      </c>
      <c r="F2663" s="21" t="inlineStr">
        <is>
          <t>English</t>
        </is>
      </c>
      <c r="G2663" s="21" t="n"/>
      <c r="H2663" s="22" t="n">
        <v>25529689.5</v>
      </c>
      <c r="I2663" s="22" t="n">
        <v>1000000</v>
      </c>
      <c r="J2663" s="21">
        <f>IF(OR(H2663="",H2663=25529689.5),"Yes","No")</f>
        <v/>
      </c>
      <c r="K2663" s="21">
        <f>IF(AND(D2663="USA",C2663&gt;=1980,J2663="No"),"Yes","No")</f>
        <v/>
      </c>
      <c r="L2663" s="26">
        <f>IF(J2663="Yes","",H2663-I2663)</f>
        <v/>
      </c>
      <c r="M2663" s="27">
        <f>IF(OR(J2663="Yes",I2663=0),"",H2663/I2663)</f>
        <v/>
      </c>
      <c r="N2663" s="21">
        <f>IF(J2663="Yes","",IF(H2663&gt;=I2663,1,0))</f>
        <v/>
      </c>
      <c r="O2663" s="21">
        <f>IF(I2663&lt;=5000000,"Under $5M",IF(I2663&lt;=20000000,"$5M-20M",IF(I2663&lt;=50000000,"$20M-50M",IF(I2663&lt;=100000000,"$50M-100M","$100M+"))))</f>
        <v/>
      </c>
      <c r="P2663" s="21">
        <f>IF(E2663&lt;=90,"90 or less",IF(E2663&lt;=105,"91-105",IF(E2663&lt;=120,"106-120",IF(E2663&lt;=140,"121-140","Over 140"))))</f>
        <v/>
      </c>
      <c r="Q2663" s="28">
        <f>INT(C2663/10)*10</f>
        <v/>
      </c>
    </row>
    <row r="2664">
      <c r="A2664" s="21" t="n">
        <v>2719</v>
      </c>
      <c r="B2664" s="21" t="inlineStr">
        <is>
          <t>The Pink Panther</t>
        </is>
      </c>
      <c r="C2664" s="21" t="n">
        <v>2006</v>
      </c>
      <c r="D2664" s="21" t="inlineStr">
        <is>
          <t>USA</t>
        </is>
      </c>
      <c r="E2664" s="21" t="n">
        <v>93</v>
      </c>
      <c r="F2664" s="21" t="inlineStr">
        <is>
          <t>English</t>
        </is>
      </c>
      <c r="G2664" s="21" t="inlineStr">
        <is>
          <t>PG</t>
        </is>
      </c>
      <c r="H2664" s="22" t="n">
        <v>82226474</v>
      </c>
      <c r="I2664" s="22" t="n">
        <v>65000000</v>
      </c>
      <c r="J2664" s="21">
        <f>IF(OR(H2664="",H2664=25529689.5),"Yes","No")</f>
        <v/>
      </c>
      <c r="K2664" s="21">
        <f>IF(AND(D2664="USA",C2664&gt;=1980,J2664="No"),"Yes","No")</f>
        <v/>
      </c>
      <c r="L2664" s="26">
        <f>IF(J2664="Yes","",H2664-I2664)</f>
        <v/>
      </c>
      <c r="M2664" s="27">
        <f>IF(OR(J2664="Yes",I2664=0),"",H2664/I2664)</f>
        <v/>
      </c>
      <c r="N2664" s="21">
        <f>IF(J2664="Yes","",IF(H2664&gt;=I2664,1,0))</f>
        <v/>
      </c>
      <c r="O2664" s="21">
        <f>IF(I2664&lt;=5000000,"Under $5M",IF(I2664&lt;=20000000,"$5M-20M",IF(I2664&lt;=50000000,"$20M-50M",IF(I2664&lt;=100000000,"$50M-100M","$100M+"))))</f>
        <v/>
      </c>
      <c r="P2664" s="21">
        <f>IF(E2664&lt;=90,"90 or less",IF(E2664&lt;=105,"91-105",IF(E2664&lt;=120,"106-120",IF(E2664&lt;=140,"121-140","Over 140"))))</f>
        <v/>
      </c>
      <c r="Q2664" s="28">
        <f>INT(C2664/10)*10</f>
        <v/>
      </c>
    </row>
    <row r="2665">
      <c r="A2665" s="21" t="n">
        <v>2720</v>
      </c>
      <c r="B2665" s="21" t="inlineStr">
        <is>
          <t>The Prestige</t>
        </is>
      </c>
      <c r="C2665" s="21" t="n">
        <v>2006</v>
      </c>
      <c r="D2665" s="21" t="inlineStr">
        <is>
          <t>USA</t>
        </is>
      </c>
      <c r="E2665" s="21" t="n">
        <v>130</v>
      </c>
      <c r="F2665" s="21" t="inlineStr">
        <is>
          <t>English</t>
        </is>
      </c>
      <c r="G2665" s="21" t="inlineStr">
        <is>
          <t>PG-13</t>
        </is>
      </c>
      <c r="H2665" s="22" t="n">
        <v>53082743</v>
      </c>
      <c r="I2665" s="22" t="n">
        <v>40000000</v>
      </c>
      <c r="J2665" s="21">
        <f>IF(OR(H2665="",H2665=25529689.5),"Yes","No")</f>
        <v/>
      </c>
      <c r="K2665" s="21">
        <f>IF(AND(D2665="USA",C2665&gt;=1980,J2665="No"),"Yes","No")</f>
        <v/>
      </c>
      <c r="L2665" s="26">
        <f>IF(J2665="Yes","",H2665-I2665)</f>
        <v/>
      </c>
      <c r="M2665" s="27">
        <f>IF(OR(J2665="Yes",I2665=0),"",H2665/I2665)</f>
        <v/>
      </c>
      <c r="N2665" s="21">
        <f>IF(J2665="Yes","",IF(H2665&gt;=I2665,1,0))</f>
        <v/>
      </c>
      <c r="O2665" s="21">
        <f>IF(I2665&lt;=5000000,"Under $5M",IF(I2665&lt;=20000000,"$5M-20M",IF(I2665&lt;=50000000,"$20M-50M",IF(I2665&lt;=100000000,"$50M-100M","$100M+"))))</f>
        <v/>
      </c>
      <c r="P2665" s="21">
        <f>IF(E2665&lt;=90,"90 or less",IF(E2665&lt;=105,"91-105",IF(E2665&lt;=120,"106-120",IF(E2665&lt;=140,"121-140","Over 140"))))</f>
        <v/>
      </c>
      <c r="Q2665" s="28">
        <f>INT(C2665/10)*10</f>
        <v/>
      </c>
    </row>
    <row r="2666">
      <c r="A2666" s="21" t="n">
        <v>2721</v>
      </c>
      <c r="B2666" s="21" t="inlineStr">
        <is>
          <t>The Pursuit of Happyness</t>
        </is>
      </c>
      <c r="C2666" s="21" t="n">
        <v>2006</v>
      </c>
      <c r="D2666" s="21" t="inlineStr">
        <is>
          <t>USA</t>
        </is>
      </c>
      <c r="E2666" s="21" t="n">
        <v>117</v>
      </c>
      <c r="F2666" s="21" t="inlineStr">
        <is>
          <t>English</t>
        </is>
      </c>
      <c r="G2666" s="21" t="inlineStr">
        <is>
          <t>PG-13</t>
        </is>
      </c>
      <c r="H2666" s="22" t="n">
        <v>162586036</v>
      </c>
      <c r="I2666" s="22" t="n">
        <v>55000000</v>
      </c>
      <c r="J2666" s="21">
        <f>IF(OR(H2666="",H2666=25529689.5),"Yes","No")</f>
        <v/>
      </c>
      <c r="K2666" s="21">
        <f>IF(AND(D2666="USA",C2666&gt;=1980,J2666="No"),"Yes","No")</f>
        <v/>
      </c>
      <c r="L2666" s="26">
        <f>IF(J2666="Yes","",H2666-I2666)</f>
        <v/>
      </c>
      <c r="M2666" s="27">
        <f>IF(OR(J2666="Yes",I2666=0),"",H2666/I2666)</f>
        <v/>
      </c>
      <c r="N2666" s="21">
        <f>IF(J2666="Yes","",IF(H2666&gt;=I2666,1,0))</f>
        <v/>
      </c>
      <c r="O2666" s="21">
        <f>IF(I2666&lt;=5000000,"Under $5M",IF(I2666&lt;=20000000,"$5M-20M",IF(I2666&lt;=50000000,"$20M-50M",IF(I2666&lt;=100000000,"$50M-100M","$100M+"))))</f>
        <v/>
      </c>
      <c r="P2666" s="21">
        <f>IF(E2666&lt;=90,"90 or less",IF(E2666&lt;=105,"91-105",IF(E2666&lt;=120,"106-120",IF(E2666&lt;=140,"121-140","Over 140"))))</f>
        <v/>
      </c>
      <c r="Q2666" s="28">
        <f>INT(C2666/10)*10</f>
        <v/>
      </c>
    </row>
    <row r="2667">
      <c r="A2667" s="21" t="n">
        <v>2722</v>
      </c>
      <c r="B2667" s="21" t="inlineStr">
        <is>
          <t>The Queen</t>
        </is>
      </c>
      <c r="C2667" s="21" t="n">
        <v>2006</v>
      </c>
      <c r="D2667" s="21" t="inlineStr">
        <is>
          <t>UK</t>
        </is>
      </c>
      <c r="E2667" s="21" t="n">
        <v>94</v>
      </c>
      <c r="F2667" s="21" t="inlineStr">
        <is>
          <t>English</t>
        </is>
      </c>
      <c r="G2667" s="21" t="inlineStr">
        <is>
          <t>PG-13</t>
        </is>
      </c>
      <c r="H2667" s="22" t="n">
        <v>56437947</v>
      </c>
      <c r="I2667" s="22" t="n">
        <v>9800000</v>
      </c>
      <c r="J2667" s="21">
        <f>IF(OR(H2667="",H2667=25529689.5),"Yes","No")</f>
        <v/>
      </c>
      <c r="K2667" s="21">
        <f>IF(AND(D2667="USA",C2667&gt;=1980,J2667="No"),"Yes","No")</f>
        <v/>
      </c>
      <c r="L2667" s="26">
        <f>IF(J2667="Yes","",H2667-I2667)</f>
        <v/>
      </c>
      <c r="M2667" s="27">
        <f>IF(OR(J2667="Yes",I2667=0),"",H2667/I2667)</f>
        <v/>
      </c>
      <c r="N2667" s="21">
        <f>IF(J2667="Yes","",IF(H2667&gt;=I2667,1,0))</f>
        <v/>
      </c>
      <c r="O2667" s="21">
        <f>IF(I2667&lt;=5000000,"Under $5M",IF(I2667&lt;=20000000,"$5M-20M",IF(I2667&lt;=50000000,"$20M-50M",IF(I2667&lt;=100000000,"$50M-100M","$100M+"))))</f>
        <v/>
      </c>
      <c r="P2667" s="21">
        <f>IF(E2667&lt;=90,"90 or less",IF(E2667&lt;=105,"91-105",IF(E2667&lt;=120,"106-120",IF(E2667&lt;=140,"121-140","Over 140"))))</f>
        <v/>
      </c>
      <c r="Q2667" s="28">
        <f>INT(C2667/10)*10</f>
        <v/>
      </c>
    </row>
    <row r="2668">
      <c r="A2668" s="21" t="n">
        <v>2723</v>
      </c>
      <c r="B2668" s="21" t="inlineStr">
        <is>
          <t>The Sentinel</t>
        </is>
      </c>
      <c r="C2668" s="21" t="n">
        <v>2006</v>
      </c>
      <c r="D2668" s="21" t="inlineStr">
        <is>
          <t>USA</t>
        </is>
      </c>
      <c r="E2668" s="21" t="n">
        <v>107</v>
      </c>
      <c r="F2668" s="21" t="inlineStr">
        <is>
          <t>English</t>
        </is>
      </c>
      <c r="G2668" s="21" t="inlineStr">
        <is>
          <t>PG-13</t>
        </is>
      </c>
      <c r="H2668" s="22" t="n">
        <v>36279230</v>
      </c>
      <c r="I2668" s="22" t="n">
        <v>60000000</v>
      </c>
      <c r="J2668" s="21">
        <f>IF(OR(H2668="",H2668=25529689.5),"Yes","No")</f>
        <v/>
      </c>
      <c r="K2668" s="21">
        <f>IF(AND(D2668="USA",C2668&gt;=1980,J2668="No"),"Yes","No")</f>
        <v/>
      </c>
      <c r="L2668" s="26">
        <f>IF(J2668="Yes","",H2668-I2668)</f>
        <v/>
      </c>
      <c r="M2668" s="27">
        <f>IF(OR(J2668="Yes",I2668=0),"",H2668/I2668)</f>
        <v/>
      </c>
      <c r="N2668" s="21">
        <f>IF(J2668="Yes","",IF(H2668&gt;=I2668,1,0))</f>
        <v/>
      </c>
      <c r="O2668" s="21">
        <f>IF(I2668&lt;=5000000,"Under $5M",IF(I2668&lt;=20000000,"$5M-20M",IF(I2668&lt;=50000000,"$20M-50M",IF(I2668&lt;=100000000,"$50M-100M","$100M+"))))</f>
        <v/>
      </c>
      <c r="P2668" s="21">
        <f>IF(E2668&lt;=90,"90 or less",IF(E2668&lt;=105,"91-105",IF(E2668&lt;=120,"106-120",IF(E2668&lt;=140,"121-140","Over 140"))))</f>
        <v/>
      </c>
      <c r="Q2668" s="28">
        <f>INT(C2668/10)*10</f>
        <v/>
      </c>
    </row>
    <row r="2669">
      <c r="A2669" s="21" t="n">
        <v>2724</v>
      </c>
      <c r="B2669" s="21" t="inlineStr">
        <is>
          <t>The Shaggy Dog</t>
        </is>
      </c>
      <c r="C2669" s="21" t="n">
        <v>2006</v>
      </c>
      <c r="D2669" s="21" t="inlineStr">
        <is>
          <t>USA</t>
        </is>
      </c>
      <c r="E2669" s="21" t="n">
        <v>98</v>
      </c>
      <c r="F2669" s="21" t="inlineStr">
        <is>
          <t>English</t>
        </is>
      </c>
      <c r="G2669" s="21" t="inlineStr">
        <is>
          <t>PG</t>
        </is>
      </c>
      <c r="H2669" s="22" t="n">
        <v>61112916</v>
      </c>
      <c r="I2669" s="22" t="n">
        <v>50000000</v>
      </c>
      <c r="J2669" s="21">
        <f>IF(OR(H2669="",H2669=25529689.5),"Yes","No")</f>
        <v/>
      </c>
      <c r="K2669" s="21">
        <f>IF(AND(D2669="USA",C2669&gt;=1980,J2669="No"),"Yes","No")</f>
        <v/>
      </c>
      <c r="L2669" s="26">
        <f>IF(J2669="Yes","",H2669-I2669)</f>
        <v/>
      </c>
      <c r="M2669" s="27">
        <f>IF(OR(J2669="Yes",I2669=0),"",H2669/I2669)</f>
        <v/>
      </c>
      <c r="N2669" s="21">
        <f>IF(J2669="Yes","",IF(H2669&gt;=I2669,1,0))</f>
        <v/>
      </c>
      <c r="O2669" s="21">
        <f>IF(I2669&lt;=5000000,"Under $5M",IF(I2669&lt;=20000000,"$5M-20M",IF(I2669&lt;=50000000,"$20M-50M",IF(I2669&lt;=100000000,"$50M-100M","$100M+"))))</f>
        <v/>
      </c>
      <c r="P2669" s="21">
        <f>IF(E2669&lt;=90,"90 or less",IF(E2669&lt;=105,"91-105",IF(E2669&lt;=120,"106-120",IF(E2669&lt;=140,"121-140","Over 140"))))</f>
        <v/>
      </c>
      <c r="Q2669" s="28">
        <f>INT(C2669/10)*10</f>
        <v/>
      </c>
    </row>
    <row r="2670">
      <c r="A2670" s="21" t="n">
        <v>2725</v>
      </c>
      <c r="B2670" s="21" t="inlineStr">
        <is>
          <t>The Texas Chainsaw Massacre: The Beginning</t>
        </is>
      </c>
      <c r="C2670" s="21" t="n">
        <v>2006</v>
      </c>
      <c r="D2670" s="21" t="inlineStr">
        <is>
          <t>USA</t>
        </is>
      </c>
      <c r="E2670" s="21" t="n">
        <v>83</v>
      </c>
      <c r="F2670" s="21" t="inlineStr">
        <is>
          <t>English</t>
        </is>
      </c>
      <c r="G2670" s="21" t="inlineStr">
        <is>
          <t>R</t>
        </is>
      </c>
      <c r="H2670" s="22" t="n">
        <v>39511038</v>
      </c>
      <c r="I2670" s="22" t="n">
        <v>16000000</v>
      </c>
      <c r="J2670" s="21">
        <f>IF(OR(H2670="",H2670=25529689.5),"Yes","No")</f>
        <v/>
      </c>
      <c r="K2670" s="21">
        <f>IF(AND(D2670="USA",C2670&gt;=1980,J2670="No"),"Yes","No")</f>
        <v/>
      </c>
      <c r="L2670" s="26">
        <f>IF(J2670="Yes","",H2670-I2670)</f>
        <v/>
      </c>
      <c r="M2670" s="27">
        <f>IF(OR(J2670="Yes",I2670=0),"",H2670/I2670)</f>
        <v/>
      </c>
      <c r="N2670" s="21">
        <f>IF(J2670="Yes","",IF(H2670&gt;=I2670,1,0))</f>
        <v/>
      </c>
      <c r="O2670" s="21">
        <f>IF(I2670&lt;=5000000,"Under $5M",IF(I2670&lt;=20000000,"$5M-20M",IF(I2670&lt;=50000000,"$20M-50M",IF(I2670&lt;=100000000,"$50M-100M","$100M+"))))</f>
        <v/>
      </c>
      <c r="P2670" s="21">
        <f>IF(E2670&lt;=90,"90 or less",IF(E2670&lt;=105,"91-105",IF(E2670&lt;=120,"106-120",IF(E2670&lt;=140,"121-140","Over 140"))))</f>
        <v/>
      </c>
      <c r="Q2670" s="28">
        <f>INT(C2670/10)*10</f>
        <v/>
      </c>
    </row>
    <row r="2671">
      <c r="A2671" s="21" t="n">
        <v>2726</v>
      </c>
      <c r="B2671" s="21" t="inlineStr">
        <is>
          <t>The Tooth Fairy</t>
        </is>
      </c>
      <c r="C2671" s="21" t="n">
        <v>2006</v>
      </c>
      <c r="D2671" s="21" t="inlineStr">
        <is>
          <t>USA</t>
        </is>
      </c>
      <c r="E2671" s="21" t="n">
        <v>89</v>
      </c>
      <c r="F2671" s="21" t="inlineStr">
        <is>
          <t>English</t>
        </is>
      </c>
      <c r="G2671" s="21" t="n"/>
      <c r="H2671" s="22" t="n">
        <v>25529689.5</v>
      </c>
      <c r="I2671" s="22" t="n">
        <v>1500000</v>
      </c>
      <c r="J2671" s="21">
        <f>IF(OR(H2671="",H2671=25529689.5),"Yes","No")</f>
        <v/>
      </c>
      <c r="K2671" s="21">
        <f>IF(AND(D2671="USA",C2671&gt;=1980,J2671="No"),"Yes","No")</f>
        <v/>
      </c>
      <c r="L2671" s="26">
        <f>IF(J2671="Yes","",H2671-I2671)</f>
        <v/>
      </c>
      <c r="M2671" s="27">
        <f>IF(OR(J2671="Yes",I2671=0),"",H2671/I2671)</f>
        <v/>
      </c>
      <c r="N2671" s="21">
        <f>IF(J2671="Yes","",IF(H2671&gt;=I2671,1,0))</f>
        <v/>
      </c>
      <c r="O2671" s="21">
        <f>IF(I2671&lt;=5000000,"Under $5M",IF(I2671&lt;=20000000,"$5M-20M",IF(I2671&lt;=50000000,"$20M-50M",IF(I2671&lt;=100000000,"$50M-100M","$100M+"))))</f>
        <v/>
      </c>
      <c r="P2671" s="21">
        <f>IF(E2671&lt;=90,"90 or less",IF(E2671&lt;=105,"91-105",IF(E2671&lt;=120,"106-120",IF(E2671&lt;=140,"121-140","Over 140"))))</f>
        <v/>
      </c>
      <c r="Q2671" s="28">
        <f>INT(C2671/10)*10</f>
        <v/>
      </c>
    </row>
    <row r="2672">
      <c r="A2672" s="21" t="n">
        <v>2727</v>
      </c>
      <c r="B2672" s="21" t="inlineStr">
        <is>
          <t>The Trials of Darryl Hunt</t>
        </is>
      </c>
      <c r="C2672" s="21" t="n">
        <v>2006</v>
      </c>
      <c r="D2672" s="21" t="inlineStr">
        <is>
          <t>USA</t>
        </is>
      </c>
      <c r="E2672" s="21" t="n">
        <v>106</v>
      </c>
      <c r="F2672" s="21" t="inlineStr">
        <is>
          <t>English</t>
        </is>
      </c>
      <c r="G2672" s="21" t="inlineStr">
        <is>
          <t>PG-13</t>
        </is>
      </c>
      <c r="H2672" s="22" t="n">
        <v>1111</v>
      </c>
      <c r="I2672" s="22" t="n">
        <v>200000</v>
      </c>
      <c r="J2672" s="21">
        <f>IF(OR(H2672="",H2672=25529689.5),"Yes","No")</f>
        <v/>
      </c>
      <c r="K2672" s="21">
        <f>IF(AND(D2672="USA",C2672&gt;=1980,J2672="No"),"Yes","No")</f>
        <v/>
      </c>
      <c r="L2672" s="26">
        <f>IF(J2672="Yes","",H2672-I2672)</f>
        <v/>
      </c>
      <c r="M2672" s="27">
        <f>IF(OR(J2672="Yes",I2672=0),"",H2672/I2672)</f>
        <v/>
      </c>
      <c r="N2672" s="21">
        <f>IF(J2672="Yes","",IF(H2672&gt;=I2672,1,0))</f>
        <v/>
      </c>
      <c r="O2672" s="21">
        <f>IF(I2672&lt;=5000000,"Under $5M",IF(I2672&lt;=20000000,"$5M-20M",IF(I2672&lt;=50000000,"$20M-50M",IF(I2672&lt;=100000000,"$50M-100M","$100M+"))))</f>
        <v/>
      </c>
      <c r="P2672" s="21">
        <f>IF(E2672&lt;=90,"90 or less",IF(E2672&lt;=105,"91-105",IF(E2672&lt;=120,"106-120",IF(E2672&lt;=140,"121-140","Over 140"))))</f>
        <v/>
      </c>
      <c r="Q2672" s="28">
        <f>INT(C2672/10)*10</f>
        <v/>
      </c>
    </row>
    <row r="2673">
      <c r="A2673" s="21" t="n">
        <v>2728</v>
      </c>
      <c r="B2673" s="21" t="inlineStr">
        <is>
          <t>The Ultimate Gift</t>
        </is>
      </c>
      <c r="C2673" s="21" t="n">
        <v>2006</v>
      </c>
      <c r="D2673" s="21" t="inlineStr">
        <is>
          <t>USA</t>
        </is>
      </c>
      <c r="E2673" s="21" t="n">
        <v>114</v>
      </c>
      <c r="F2673" s="21" t="inlineStr">
        <is>
          <t>English</t>
        </is>
      </c>
      <c r="G2673" s="21" t="inlineStr">
        <is>
          <t>PG</t>
        </is>
      </c>
      <c r="H2673" s="22" t="n">
        <v>3420871</v>
      </c>
      <c r="I2673" s="22" t="n">
        <v>20000000</v>
      </c>
      <c r="J2673" s="21">
        <f>IF(OR(H2673="",H2673=25529689.5),"Yes","No")</f>
        <v/>
      </c>
      <c r="K2673" s="21">
        <f>IF(AND(D2673="USA",C2673&gt;=1980,J2673="No"),"Yes","No")</f>
        <v/>
      </c>
      <c r="L2673" s="26">
        <f>IF(J2673="Yes","",H2673-I2673)</f>
        <v/>
      </c>
      <c r="M2673" s="27">
        <f>IF(OR(J2673="Yes",I2673=0),"",H2673/I2673)</f>
        <v/>
      </c>
      <c r="N2673" s="21">
        <f>IF(J2673="Yes","",IF(H2673&gt;=I2673,1,0))</f>
        <v/>
      </c>
      <c r="O2673" s="21">
        <f>IF(I2673&lt;=5000000,"Under $5M",IF(I2673&lt;=20000000,"$5M-20M",IF(I2673&lt;=50000000,"$20M-50M",IF(I2673&lt;=100000000,"$50M-100M","$100M+"))))</f>
        <v/>
      </c>
      <c r="P2673" s="21">
        <f>IF(E2673&lt;=90,"90 or less",IF(E2673&lt;=105,"91-105",IF(E2673&lt;=120,"106-120",IF(E2673&lt;=140,"121-140","Over 140"))))</f>
        <v/>
      </c>
      <c r="Q2673" s="28">
        <f>INT(C2673/10)*10</f>
        <v/>
      </c>
    </row>
    <row r="2674">
      <c r="A2674" s="21" t="n">
        <v>2729</v>
      </c>
      <c r="B2674" s="21" t="inlineStr">
        <is>
          <t>The Wind That Shakes the Barley</t>
        </is>
      </c>
      <c r="C2674" s="21" t="n">
        <v>2006</v>
      </c>
      <c r="D2674" s="21" t="inlineStr">
        <is>
          <t>Ireland</t>
        </is>
      </c>
      <c r="E2674" s="21" t="n">
        <v>127</v>
      </c>
      <c r="F2674" s="21" t="inlineStr">
        <is>
          <t>English</t>
        </is>
      </c>
      <c r="G2674" s="21" t="inlineStr">
        <is>
          <t>Not Rated</t>
        </is>
      </c>
      <c r="H2674" s="22" t="n">
        <v>1829142</v>
      </c>
      <c r="I2674" s="22" t="n">
        <v>20000000</v>
      </c>
      <c r="J2674" s="21">
        <f>IF(OR(H2674="",H2674=25529689.5),"Yes","No")</f>
        <v/>
      </c>
      <c r="K2674" s="21">
        <f>IF(AND(D2674="USA",C2674&gt;=1980,J2674="No"),"Yes","No")</f>
        <v/>
      </c>
      <c r="L2674" s="26">
        <f>IF(J2674="Yes","",H2674-I2674)</f>
        <v/>
      </c>
      <c r="M2674" s="27">
        <f>IF(OR(J2674="Yes",I2674=0),"",H2674/I2674)</f>
        <v/>
      </c>
      <c r="N2674" s="21">
        <f>IF(J2674="Yes","",IF(H2674&gt;=I2674,1,0))</f>
        <v/>
      </c>
      <c r="O2674" s="21">
        <f>IF(I2674&lt;=5000000,"Under $5M",IF(I2674&lt;=20000000,"$5M-20M",IF(I2674&lt;=50000000,"$20M-50M",IF(I2674&lt;=100000000,"$50M-100M","$100M+"))))</f>
        <v/>
      </c>
      <c r="P2674" s="21">
        <f>IF(E2674&lt;=90,"90 or less",IF(E2674&lt;=105,"91-105",IF(E2674&lt;=120,"106-120",IF(E2674&lt;=140,"121-140","Over 140"))))</f>
        <v/>
      </c>
      <c r="Q2674" s="28">
        <f>INT(C2674/10)*10</f>
        <v/>
      </c>
    </row>
    <row r="2675">
      <c r="A2675" s="21" t="n">
        <v>2730</v>
      </c>
      <c r="B2675" s="21" t="inlineStr">
        <is>
          <t>This Is England</t>
        </is>
      </c>
      <c r="C2675" s="21" t="n">
        <v>2006</v>
      </c>
      <c r="D2675" s="21" t="inlineStr">
        <is>
          <t>UK</t>
        </is>
      </c>
      <c r="E2675" s="21" t="n">
        <v>101</v>
      </c>
      <c r="F2675" s="21" t="inlineStr">
        <is>
          <t>English</t>
        </is>
      </c>
      <c r="G2675" s="21" t="inlineStr">
        <is>
          <t>Unrated</t>
        </is>
      </c>
      <c r="H2675" s="22" t="n">
        <v>327919</v>
      </c>
      <c r="I2675" s="22" t="n">
        <v>1500000</v>
      </c>
      <c r="J2675" s="21">
        <f>IF(OR(H2675="",H2675=25529689.5),"Yes","No")</f>
        <v/>
      </c>
      <c r="K2675" s="21">
        <f>IF(AND(D2675="USA",C2675&gt;=1980,J2675="No"),"Yes","No")</f>
        <v/>
      </c>
      <c r="L2675" s="26">
        <f>IF(J2675="Yes","",H2675-I2675)</f>
        <v/>
      </c>
      <c r="M2675" s="27">
        <f>IF(OR(J2675="Yes",I2675=0),"",H2675/I2675)</f>
        <v/>
      </c>
      <c r="N2675" s="21">
        <f>IF(J2675="Yes","",IF(H2675&gt;=I2675,1,0))</f>
        <v/>
      </c>
      <c r="O2675" s="21">
        <f>IF(I2675&lt;=5000000,"Under $5M",IF(I2675&lt;=20000000,"$5M-20M",IF(I2675&lt;=50000000,"$20M-50M",IF(I2675&lt;=100000000,"$50M-100M","$100M+"))))</f>
        <v/>
      </c>
      <c r="P2675" s="21">
        <f>IF(E2675&lt;=90,"90 or less",IF(E2675&lt;=105,"91-105",IF(E2675&lt;=120,"106-120",IF(E2675&lt;=140,"121-140","Over 140"))))</f>
        <v/>
      </c>
      <c r="Q2675" s="28">
        <f>INT(C2675/10)*10</f>
        <v/>
      </c>
    </row>
    <row r="2676">
      <c r="A2676" s="21" t="n">
        <v>2731</v>
      </c>
      <c r="B2676" s="21" t="inlineStr">
        <is>
          <t>Thr3e</t>
        </is>
      </c>
      <c r="C2676" s="21" t="n">
        <v>2006</v>
      </c>
      <c r="D2676" s="21" t="inlineStr">
        <is>
          <t>Poland</t>
        </is>
      </c>
      <c r="E2676" s="21" t="n">
        <v>101</v>
      </c>
      <c r="F2676" s="21" t="inlineStr">
        <is>
          <t>English</t>
        </is>
      </c>
      <c r="G2676" s="21" t="inlineStr">
        <is>
          <t>PG-13</t>
        </is>
      </c>
      <c r="H2676" s="22" t="n">
        <v>978908</v>
      </c>
      <c r="I2676" s="22" t="n">
        <v>2400000</v>
      </c>
      <c r="J2676" s="21">
        <f>IF(OR(H2676="",H2676=25529689.5),"Yes","No")</f>
        <v/>
      </c>
      <c r="K2676" s="21">
        <f>IF(AND(D2676="USA",C2676&gt;=1980,J2676="No"),"Yes","No")</f>
        <v/>
      </c>
      <c r="L2676" s="26">
        <f>IF(J2676="Yes","",H2676-I2676)</f>
        <v/>
      </c>
      <c r="M2676" s="27">
        <f>IF(OR(J2676="Yes",I2676=0),"",H2676/I2676)</f>
        <v/>
      </c>
      <c r="N2676" s="21">
        <f>IF(J2676="Yes","",IF(H2676&gt;=I2676,1,0))</f>
        <v/>
      </c>
      <c r="O2676" s="21">
        <f>IF(I2676&lt;=5000000,"Under $5M",IF(I2676&lt;=20000000,"$5M-20M",IF(I2676&lt;=50000000,"$20M-50M",IF(I2676&lt;=100000000,"$50M-100M","$100M+"))))</f>
        <v/>
      </c>
      <c r="P2676" s="21">
        <f>IF(E2676&lt;=90,"90 or less",IF(E2676&lt;=105,"91-105",IF(E2676&lt;=120,"106-120",IF(E2676&lt;=140,"121-140","Over 140"))))</f>
        <v/>
      </c>
      <c r="Q2676" s="28">
        <f>INT(C2676/10)*10</f>
        <v/>
      </c>
    </row>
    <row r="2677">
      <c r="A2677" s="21" t="n">
        <v>2732</v>
      </c>
      <c r="B2677" s="21" t="inlineStr">
        <is>
          <t>Ultraviolet</t>
        </is>
      </c>
      <c r="C2677" s="21" t="n">
        <v>2006</v>
      </c>
      <c r="D2677" s="21" t="inlineStr">
        <is>
          <t>USA</t>
        </is>
      </c>
      <c r="E2677" s="21" t="n">
        <v>94</v>
      </c>
      <c r="F2677" s="21" t="inlineStr">
        <is>
          <t>English</t>
        </is>
      </c>
      <c r="G2677" s="21" t="inlineStr">
        <is>
          <t>PG-13</t>
        </is>
      </c>
      <c r="H2677" s="22" t="n">
        <v>18500966</v>
      </c>
      <c r="I2677" s="22" t="n">
        <v>30000000</v>
      </c>
      <c r="J2677" s="21">
        <f>IF(OR(H2677="",H2677=25529689.5),"Yes","No")</f>
        <v/>
      </c>
      <c r="K2677" s="21">
        <f>IF(AND(D2677="USA",C2677&gt;=1980,J2677="No"),"Yes","No")</f>
        <v/>
      </c>
      <c r="L2677" s="26">
        <f>IF(J2677="Yes","",H2677-I2677)</f>
        <v/>
      </c>
      <c r="M2677" s="27">
        <f>IF(OR(J2677="Yes",I2677=0),"",H2677/I2677)</f>
        <v/>
      </c>
      <c r="N2677" s="21">
        <f>IF(J2677="Yes","",IF(H2677&gt;=I2677,1,0))</f>
        <v/>
      </c>
      <c r="O2677" s="21">
        <f>IF(I2677&lt;=5000000,"Under $5M",IF(I2677&lt;=20000000,"$5M-20M",IF(I2677&lt;=50000000,"$20M-50M",IF(I2677&lt;=100000000,"$50M-100M","$100M+"))))</f>
        <v/>
      </c>
      <c r="P2677" s="21">
        <f>IF(E2677&lt;=90,"90 or less",IF(E2677&lt;=105,"91-105",IF(E2677&lt;=120,"106-120",IF(E2677&lt;=140,"121-140","Over 140"))))</f>
        <v/>
      </c>
      <c r="Q2677" s="28">
        <f>INT(C2677/10)*10</f>
        <v/>
      </c>
    </row>
    <row r="2678">
      <c r="A2678" s="21" t="n">
        <v>2733</v>
      </c>
      <c r="B2678" s="21" t="inlineStr">
        <is>
          <t>Unaccompanied Minors</t>
        </is>
      </c>
      <c r="C2678" s="21" t="n">
        <v>2006</v>
      </c>
      <c r="D2678" s="21" t="inlineStr">
        <is>
          <t>USA</t>
        </is>
      </c>
      <c r="E2678" s="21" t="n">
        <v>90</v>
      </c>
      <c r="F2678" s="21" t="inlineStr">
        <is>
          <t>English</t>
        </is>
      </c>
      <c r="G2678" s="21" t="inlineStr">
        <is>
          <t>PG</t>
        </is>
      </c>
      <c r="H2678" s="22" t="n">
        <v>16647384</v>
      </c>
      <c r="I2678" s="22" t="n">
        <v>26000000</v>
      </c>
      <c r="J2678" s="21">
        <f>IF(OR(H2678="",H2678=25529689.5),"Yes","No")</f>
        <v/>
      </c>
      <c r="K2678" s="21">
        <f>IF(AND(D2678="USA",C2678&gt;=1980,J2678="No"),"Yes","No")</f>
        <v/>
      </c>
      <c r="L2678" s="26">
        <f>IF(J2678="Yes","",H2678-I2678)</f>
        <v/>
      </c>
      <c r="M2678" s="27">
        <f>IF(OR(J2678="Yes",I2678=0),"",H2678/I2678)</f>
        <v/>
      </c>
      <c r="N2678" s="21">
        <f>IF(J2678="Yes","",IF(H2678&gt;=I2678,1,0))</f>
        <v/>
      </c>
      <c r="O2678" s="21">
        <f>IF(I2678&lt;=5000000,"Under $5M",IF(I2678&lt;=20000000,"$5M-20M",IF(I2678&lt;=50000000,"$20M-50M",IF(I2678&lt;=100000000,"$50M-100M","$100M+"))))</f>
        <v/>
      </c>
      <c r="P2678" s="21">
        <f>IF(E2678&lt;=90,"90 or less",IF(E2678&lt;=105,"91-105",IF(E2678&lt;=120,"106-120",IF(E2678&lt;=140,"121-140","Over 140"))))</f>
        <v/>
      </c>
      <c r="Q2678" s="28">
        <f>INT(C2678/10)*10</f>
        <v/>
      </c>
    </row>
    <row r="2679">
      <c r="A2679" s="21" t="n">
        <v>2734</v>
      </c>
      <c r="B2679" s="21" t="inlineStr">
        <is>
          <t>Underworld: Evolution</t>
        </is>
      </c>
      <c r="C2679" s="21" t="n">
        <v>2006</v>
      </c>
      <c r="D2679" s="21" t="inlineStr">
        <is>
          <t>USA</t>
        </is>
      </c>
      <c r="E2679" s="21" t="n">
        <v>102</v>
      </c>
      <c r="F2679" s="21" t="inlineStr">
        <is>
          <t>English</t>
        </is>
      </c>
      <c r="G2679" s="21" t="inlineStr">
        <is>
          <t>R</t>
        </is>
      </c>
      <c r="H2679" s="22" t="n">
        <v>62318875</v>
      </c>
      <c r="I2679" s="22" t="n">
        <v>50000000</v>
      </c>
      <c r="J2679" s="21">
        <f>IF(OR(H2679="",H2679=25529689.5),"Yes","No")</f>
        <v/>
      </c>
      <c r="K2679" s="21">
        <f>IF(AND(D2679="USA",C2679&gt;=1980,J2679="No"),"Yes","No")</f>
        <v/>
      </c>
      <c r="L2679" s="26">
        <f>IF(J2679="Yes","",H2679-I2679)</f>
        <v/>
      </c>
      <c r="M2679" s="27">
        <f>IF(OR(J2679="Yes",I2679=0),"",H2679/I2679)</f>
        <v/>
      </c>
      <c r="N2679" s="21">
        <f>IF(J2679="Yes","",IF(H2679&gt;=I2679,1,0))</f>
        <v/>
      </c>
      <c r="O2679" s="21">
        <f>IF(I2679&lt;=5000000,"Under $5M",IF(I2679&lt;=20000000,"$5M-20M",IF(I2679&lt;=50000000,"$20M-50M",IF(I2679&lt;=100000000,"$50M-100M","$100M+"))))</f>
        <v/>
      </c>
      <c r="P2679" s="21">
        <f>IF(E2679&lt;=90,"90 or less",IF(E2679&lt;=105,"91-105",IF(E2679&lt;=120,"106-120",IF(E2679&lt;=140,"121-140","Over 140"))))</f>
        <v/>
      </c>
      <c r="Q2679" s="28">
        <f>INT(C2679/10)*10</f>
        <v/>
      </c>
    </row>
    <row r="2680">
      <c r="A2680" s="21" t="n">
        <v>2735</v>
      </c>
      <c r="B2680" s="21" t="inlineStr">
        <is>
          <t>United 93</t>
        </is>
      </c>
      <c r="C2680" s="21" t="n">
        <v>2006</v>
      </c>
      <c r="D2680" s="21" t="inlineStr">
        <is>
          <t>USA</t>
        </is>
      </c>
      <c r="E2680" s="21" t="n">
        <v>111</v>
      </c>
      <c r="F2680" s="21" t="inlineStr">
        <is>
          <t>English</t>
        </is>
      </c>
      <c r="G2680" s="21" t="inlineStr">
        <is>
          <t>R</t>
        </is>
      </c>
      <c r="H2680" s="22" t="n">
        <v>31471430</v>
      </c>
      <c r="I2680" s="22" t="n">
        <v>15000000</v>
      </c>
      <c r="J2680" s="21">
        <f>IF(OR(H2680="",H2680=25529689.5),"Yes","No")</f>
        <v/>
      </c>
      <c r="K2680" s="21">
        <f>IF(AND(D2680="USA",C2680&gt;=1980,J2680="No"),"Yes","No")</f>
        <v/>
      </c>
      <c r="L2680" s="26">
        <f>IF(J2680="Yes","",H2680-I2680)</f>
        <v/>
      </c>
      <c r="M2680" s="27">
        <f>IF(OR(J2680="Yes",I2680=0),"",H2680/I2680)</f>
        <v/>
      </c>
      <c r="N2680" s="21">
        <f>IF(J2680="Yes","",IF(H2680&gt;=I2680,1,0))</f>
        <v/>
      </c>
      <c r="O2680" s="21">
        <f>IF(I2680&lt;=5000000,"Under $5M",IF(I2680&lt;=20000000,"$5M-20M",IF(I2680&lt;=50000000,"$20M-50M",IF(I2680&lt;=100000000,"$50M-100M","$100M+"))))</f>
        <v/>
      </c>
      <c r="P2680" s="21">
        <f>IF(E2680&lt;=90,"90 or less",IF(E2680&lt;=105,"91-105",IF(E2680&lt;=120,"106-120",IF(E2680&lt;=140,"121-140","Over 140"))))</f>
        <v/>
      </c>
      <c r="Q2680" s="28">
        <f>INT(C2680/10)*10</f>
        <v/>
      </c>
    </row>
    <row r="2681">
      <c r="A2681" s="21" t="n">
        <v>2736</v>
      </c>
      <c r="B2681" s="21" t="inlineStr">
        <is>
          <t>Valley of the Heart's Delight</t>
        </is>
      </c>
      <c r="C2681" s="21" t="n">
        <v>2006</v>
      </c>
      <c r="D2681" s="21" t="inlineStr">
        <is>
          <t>USA</t>
        </is>
      </c>
      <c r="E2681" s="21" t="n">
        <v>100</v>
      </c>
      <c r="F2681" s="21" t="inlineStr">
        <is>
          <t>English</t>
        </is>
      </c>
      <c r="G2681" s="21" t="n"/>
      <c r="H2681" s="22" t="n">
        <v>118666</v>
      </c>
      <c r="I2681" s="22" t="n">
        <v>2500000</v>
      </c>
      <c r="J2681" s="21">
        <f>IF(OR(H2681="",H2681=25529689.5),"Yes","No")</f>
        <v/>
      </c>
      <c r="K2681" s="21">
        <f>IF(AND(D2681="USA",C2681&gt;=1980,J2681="No"),"Yes","No")</f>
        <v/>
      </c>
      <c r="L2681" s="26">
        <f>IF(J2681="Yes","",H2681-I2681)</f>
        <v/>
      </c>
      <c r="M2681" s="27">
        <f>IF(OR(J2681="Yes",I2681=0),"",H2681/I2681)</f>
        <v/>
      </c>
      <c r="N2681" s="21">
        <f>IF(J2681="Yes","",IF(H2681&gt;=I2681,1,0))</f>
        <v/>
      </c>
      <c r="O2681" s="21">
        <f>IF(I2681&lt;=5000000,"Under $5M",IF(I2681&lt;=20000000,"$5M-20M",IF(I2681&lt;=50000000,"$20M-50M",IF(I2681&lt;=100000000,"$50M-100M","$100M+"))))</f>
        <v/>
      </c>
      <c r="P2681" s="21">
        <f>IF(E2681&lt;=90,"90 or less",IF(E2681&lt;=105,"91-105",IF(E2681&lt;=120,"106-120",IF(E2681&lt;=140,"121-140","Over 140"))))</f>
        <v/>
      </c>
      <c r="Q2681" s="28">
        <f>INT(C2681/10)*10</f>
        <v/>
      </c>
    </row>
    <row r="2682">
      <c r="A2682" s="21" t="n">
        <v>2737</v>
      </c>
      <c r="B2682" s="21" t="inlineStr">
        <is>
          <t>Valley of the Wolves: Iraq</t>
        </is>
      </c>
      <c r="C2682" s="21" t="n">
        <v>2006</v>
      </c>
      <c r="D2682" s="21" t="inlineStr">
        <is>
          <t>Turkey</t>
        </is>
      </c>
      <c r="E2682" s="21" t="n">
        <v>122</v>
      </c>
      <c r="F2682" s="21" t="inlineStr">
        <is>
          <t>Arabic</t>
        </is>
      </c>
      <c r="G2682" s="21" t="n"/>
      <c r="H2682" s="22" t="n">
        <v>25529689.5</v>
      </c>
      <c r="I2682" s="22" t="n">
        <v>8300000</v>
      </c>
      <c r="J2682" s="21">
        <f>IF(OR(H2682="",H2682=25529689.5),"Yes","No")</f>
        <v/>
      </c>
      <c r="K2682" s="21">
        <f>IF(AND(D2682="USA",C2682&gt;=1980,J2682="No"),"Yes","No")</f>
        <v/>
      </c>
      <c r="L2682" s="26">
        <f>IF(J2682="Yes","",H2682-I2682)</f>
        <v/>
      </c>
      <c r="M2682" s="27">
        <f>IF(OR(J2682="Yes",I2682=0),"",H2682/I2682)</f>
        <v/>
      </c>
      <c r="N2682" s="21">
        <f>IF(J2682="Yes","",IF(H2682&gt;=I2682,1,0))</f>
        <v/>
      </c>
      <c r="O2682" s="21">
        <f>IF(I2682&lt;=5000000,"Under $5M",IF(I2682&lt;=20000000,"$5M-20M",IF(I2682&lt;=50000000,"$20M-50M",IF(I2682&lt;=100000000,"$50M-100M","$100M+"))))</f>
        <v/>
      </c>
      <c r="P2682" s="21">
        <f>IF(E2682&lt;=90,"90 or less",IF(E2682&lt;=105,"91-105",IF(E2682&lt;=120,"106-120",IF(E2682&lt;=140,"121-140","Over 140"))))</f>
        <v/>
      </c>
      <c r="Q2682" s="28">
        <f>INT(C2682/10)*10</f>
        <v/>
      </c>
    </row>
    <row r="2683">
      <c r="A2683" s="21" t="n">
        <v>2738</v>
      </c>
      <c r="B2683" s="21" t="inlineStr">
        <is>
          <t>Volver</t>
        </is>
      </c>
      <c r="C2683" s="21" t="n">
        <v>2006</v>
      </c>
      <c r="D2683" s="21" t="inlineStr">
        <is>
          <t>Spain</t>
        </is>
      </c>
      <c r="E2683" s="21" t="n">
        <v>121</v>
      </c>
      <c r="F2683" s="21" t="inlineStr">
        <is>
          <t>Spanish</t>
        </is>
      </c>
      <c r="G2683" s="21" t="inlineStr">
        <is>
          <t>R</t>
        </is>
      </c>
      <c r="H2683" s="22" t="n">
        <v>12899702</v>
      </c>
      <c r="I2683" s="22" t="n">
        <v>20000000</v>
      </c>
      <c r="J2683" s="21">
        <f>IF(OR(H2683="",H2683=25529689.5),"Yes","No")</f>
        <v/>
      </c>
      <c r="K2683" s="21">
        <f>IF(AND(D2683="USA",C2683&gt;=1980,J2683="No"),"Yes","No")</f>
        <v/>
      </c>
      <c r="L2683" s="26">
        <f>IF(J2683="Yes","",H2683-I2683)</f>
        <v/>
      </c>
      <c r="M2683" s="27">
        <f>IF(OR(J2683="Yes",I2683=0),"",H2683/I2683)</f>
        <v/>
      </c>
      <c r="N2683" s="21">
        <f>IF(J2683="Yes","",IF(H2683&gt;=I2683,1,0))</f>
        <v/>
      </c>
      <c r="O2683" s="21">
        <f>IF(I2683&lt;=5000000,"Under $5M",IF(I2683&lt;=20000000,"$5M-20M",IF(I2683&lt;=50000000,"$20M-50M",IF(I2683&lt;=100000000,"$50M-100M","$100M+"))))</f>
        <v/>
      </c>
      <c r="P2683" s="21">
        <f>IF(E2683&lt;=90,"90 or less",IF(E2683&lt;=105,"91-105",IF(E2683&lt;=120,"106-120",IF(E2683&lt;=140,"121-140","Over 140"))))</f>
        <v/>
      </c>
      <c r="Q2683" s="28">
        <f>INT(C2683/10)*10</f>
        <v/>
      </c>
    </row>
    <row r="2684">
      <c r="A2684" s="21" t="n">
        <v>2739</v>
      </c>
      <c r="B2684" s="21" t="inlineStr">
        <is>
          <t>We Are Marshall</t>
        </is>
      </c>
      <c r="C2684" s="21" t="n">
        <v>2006</v>
      </c>
      <c r="D2684" s="21" t="inlineStr">
        <is>
          <t>USA</t>
        </is>
      </c>
      <c r="E2684" s="21" t="n">
        <v>131</v>
      </c>
      <c r="F2684" s="21" t="inlineStr">
        <is>
          <t>English</t>
        </is>
      </c>
      <c r="G2684" s="21" t="inlineStr">
        <is>
          <t>PG</t>
        </is>
      </c>
      <c r="H2684" s="22" t="n">
        <v>43532294</v>
      </c>
      <c r="I2684" s="22" t="n">
        <v>65000000</v>
      </c>
      <c r="J2684" s="21">
        <f>IF(OR(H2684="",H2684=25529689.5),"Yes","No")</f>
        <v/>
      </c>
      <c r="K2684" s="21">
        <f>IF(AND(D2684="USA",C2684&gt;=1980,J2684="No"),"Yes","No")</f>
        <v/>
      </c>
      <c r="L2684" s="26">
        <f>IF(J2684="Yes","",H2684-I2684)</f>
        <v/>
      </c>
      <c r="M2684" s="27">
        <f>IF(OR(J2684="Yes",I2684=0),"",H2684/I2684)</f>
        <v/>
      </c>
      <c r="N2684" s="21">
        <f>IF(J2684="Yes","",IF(H2684&gt;=I2684,1,0))</f>
        <v/>
      </c>
      <c r="O2684" s="21">
        <f>IF(I2684&lt;=5000000,"Under $5M",IF(I2684&lt;=20000000,"$5M-20M",IF(I2684&lt;=50000000,"$20M-50M",IF(I2684&lt;=100000000,"$50M-100M","$100M+"))))</f>
        <v/>
      </c>
      <c r="P2684" s="21">
        <f>IF(E2684&lt;=90,"90 or less",IF(E2684&lt;=105,"91-105",IF(E2684&lt;=120,"106-120",IF(E2684&lt;=140,"121-140","Over 140"))))</f>
        <v/>
      </c>
      <c r="Q2684" s="28">
        <f>INT(C2684/10)*10</f>
        <v/>
      </c>
    </row>
    <row r="2685">
      <c r="A2685" s="21" t="n">
        <v>2740</v>
      </c>
      <c r="B2685" s="21" t="inlineStr">
        <is>
          <t>When a Stranger Calls</t>
        </is>
      </c>
      <c r="C2685" s="21" t="n">
        <v>2006</v>
      </c>
      <c r="D2685" s="21" t="inlineStr">
        <is>
          <t>USA</t>
        </is>
      </c>
      <c r="E2685" s="21" t="n">
        <v>87</v>
      </c>
      <c r="F2685" s="21" t="inlineStr">
        <is>
          <t>English</t>
        </is>
      </c>
      <c r="G2685" s="21" t="inlineStr">
        <is>
          <t>PG-13</t>
        </is>
      </c>
      <c r="H2685" s="22" t="n">
        <v>47860214</v>
      </c>
      <c r="I2685" s="22" t="n">
        <v>15000000</v>
      </c>
      <c r="J2685" s="21">
        <f>IF(OR(H2685="",H2685=25529689.5),"Yes","No")</f>
        <v/>
      </c>
      <c r="K2685" s="21">
        <f>IF(AND(D2685="USA",C2685&gt;=1980,J2685="No"),"Yes","No")</f>
        <v/>
      </c>
      <c r="L2685" s="26">
        <f>IF(J2685="Yes","",H2685-I2685)</f>
        <v/>
      </c>
      <c r="M2685" s="27">
        <f>IF(OR(J2685="Yes",I2685=0),"",H2685/I2685)</f>
        <v/>
      </c>
      <c r="N2685" s="21">
        <f>IF(J2685="Yes","",IF(H2685&gt;=I2685,1,0))</f>
        <v/>
      </c>
      <c r="O2685" s="21">
        <f>IF(I2685&lt;=5000000,"Under $5M",IF(I2685&lt;=20000000,"$5M-20M",IF(I2685&lt;=50000000,"$20M-50M",IF(I2685&lt;=100000000,"$50M-100M","$100M+"))))</f>
        <v/>
      </c>
      <c r="P2685" s="21">
        <f>IF(E2685&lt;=90,"90 or less",IF(E2685&lt;=105,"91-105",IF(E2685&lt;=120,"106-120",IF(E2685&lt;=140,"121-140","Over 140"))))</f>
        <v/>
      </c>
      <c r="Q2685" s="28">
        <f>INT(C2685/10)*10</f>
        <v/>
      </c>
    </row>
    <row r="2686">
      <c r="A2686" s="21" t="n">
        <v>2741</v>
      </c>
      <c r="B2686" s="21" t="inlineStr">
        <is>
          <t>Who Killed the Electric Car?</t>
        </is>
      </c>
      <c r="C2686" s="21" t="n">
        <v>2006</v>
      </c>
      <c r="D2686" s="21" t="inlineStr">
        <is>
          <t>USA</t>
        </is>
      </c>
      <c r="E2686" s="21" t="n">
        <v>92</v>
      </c>
      <c r="F2686" s="21" t="inlineStr">
        <is>
          <t>English</t>
        </is>
      </c>
      <c r="G2686" s="21" t="inlineStr">
        <is>
          <t>PG</t>
        </is>
      </c>
      <c r="H2686" s="22" t="n">
        <v>1677838</v>
      </c>
      <c r="I2686" s="22" t="n">
        <v>1000000</v>
      </c>
      <c r="J2686" s="21">
        <f>IF(OR(H2686="",H2686=25529689.5),"Yes","No")</f>
        <v/>
      </c>
      <c r="K2686" s="21">
        <f>IF(AND(D2686="USA",C2686&gt;=1980,J2686="No"),"Yes","No")</f>
        <v/>
      </c>
      <c r="L2686" s="26">
        <f>IF(J2686="Yes","",H2686-I2686)</f>
        <v/>
      </c>
      <c r="M2686" s="27">
        <f>IF(OR(J2686="Yes",I2686=0),"",H2686/I2686)</f>
        <v/>
      </c>
      <c r="N2686" s="21">
        <f>IF(J2686="Yes","",IF(H2686&gt;=I2686,1,0))</f>
        <v/>
      </c>
      <c r="O2686" s="21">
        <f>IF(I2686&lt;=5000000,"Under $5M",IF(I2686&lt;=20000000,"$5M-20M",IF(I2686&lt;=50000000,"$20M-50M",IF(I2686&lt;=100000000,"$50M-100M","$100M+"))))</f>
        <v/>
      </c>
      <c r="P2686" s="21">
        <f>IF(E2686&lt;=90,"90 or less",IF(E2686&lt;=105,"91-105",IF(E2686&lt;=120,"106-120",IF(E2686&lt;=140,"121-140","Over 140"))))</f>
        <v/>
      </c>
      <c r="Q2686" s="28">
        <f>INT(C2686/10)*10</f>
        <v/>
      </c>
    </row>
    <row r="2687">
      <c r="A2687" s="21" t="n">
        <v>2742</v>
      </c>
      <c r="B2687" s="21" t="inlineStr">
        <is>
          <t>Wordplay</t>
        </is>
      </c>
      <c r="C2687" s="21" t="n">
        <v>2006</v>
      </c>
      <c r="D2687" s="21" t="inlineStr">
        <is>
          <t>USA</t>
        </is>
      </c>
      <c r="E2687" s="21" t="n">
        <v>94</v>
      </c>
      <c r="F2687" s="21" t="inlineStr">
        <is>
          <t>English</t>
        </is>
      </c>
      <c r="G2687" s="21" t="inlineStr">
        <is>
          <t>PG</t>
        </is>
      </c>
      <c r="H2687" s="22" t="n">
        <v>3117666</v>
      </c>
      <c r="I2687" s="22" t="n">
        <v>20000000</v>
      </c>
      <c r="J2687" s="21">
        <f>IF(OR(H2687="",H2687=25529689.5),"Yes","No")</f>
        <v/>
      </c>
      <c r="K2687" s="21">
        <f>IF(AND(D2687="USA",C2687&gt;=1980,J2687="No"),"Yes","No")</f>
        <v/>
      </c>
      <c r="L2687" s="26">
        <f>IF(J2687="Yes","",H2687-I2687)</f>
        <v/>
      </c>
      <c r="M2687" s="27">
        <f>IF(OR(J2687="Yes",I2687=0),"",H2687/I2687)</f>
        <v/>
      </c>
      <c r="N2687" s="21">
        <f>IF(J2687="Yes","",IF(H2687&gt;=I2687,1,0))</f>
        <v/>
      </c>
      <c r="O2687" s="21">
        <f>IF(I2687&lt;=5000000,"Under $5M",IF(I2687&lt;=20000000,"$5M-20M",IF(I2687&lt;=50000000,"$20M-50M",IF(I2687&lt;=100000000,"$50M-100M","$100M+"))))</f>
        <v/>
      </c>
      <c r="P2687" s="21">
        <f>IF(E2687&lt;=90,"90 or less",IF(E2687&lt;=105,"91-105",IF(E2687&lt;=120,"106-120",IF(E2687&lt;=140,"121-140","Over 140"))))</f>
        <v/>
      </c>
      <c r="Q2687" s="28">
        <f>INT(C2687/10)*10</f>
        <v/>
      </c>
    </row>
    <row r="2688">
      <c r="A2688" s="21" t="n">
        <v>2743</v>
      </c>
      <c r="B2688" s="21" t="inlineStr">
        <is>
          <t>World Trade Center</t>
        </is>
      </c>
      <c r="C2688" s="21" t="n">
        <v>2006</v>
      </c>
      <c r="D2688" s="21" t="inlineStr">
        <is>
          <t>USA</t>
        </is>
      </c>
      <c r="E2688" s="21" t="n">
        <v>129</v>
      </c>
      <c r="F2688" s="21" t="inlineStr">
        <is>
          <t>English</t>
        </is>
      </c>
      <c r="G2688" s="21" t="inlineStr">
        <is>
          <t>PG-13</t>
        </is>
      </c>
      <c r="H2688" s="22" t="n">
        <v>70236496</v>
      </c>
      <c r="I2688" s="22" t="n">
        <v>63000000</v>
      </c>
      <c r="J2688" s="21">
        <f>IF(OR(H2688="",H2688=25529689.5),"Yes","No")</f>
        <v/>
      </c>
      <c r="K2688" s="21">
        <f>IF(AND(D2688="USA",C2688&gt;=1980,J2688="No"),"Yes","No")</f>
        <v/>
      </c>
      <c r="L2688" s="26">
        <f>IF(J2688="Yes","",H2688-I2688)</f>
        <v/>
      </c>
      <c r="M2688" s="27">
        <f>IF(OR(J2688="Yes",I2688=0),"",H2688/I2688)</f>
        <v/>
      </c>
      <c r="N2688" s="21">
        <f>IF(J2688="Yes","",IF(H2688&gt;=I2688,1,0))</f>
        <v/>
      </c>
      <c r="O2688" s="21">
        <f>IF(I2688&lt;=5000000,"Under $5M",IF(I2688&lt;=20000000,"$5M-20M",IF(I2688&lt;=50000000,"$20M-50M",IF(I2688&lt;=100000000,"$50M-100M","$100M+"))))</f>
        <v/>
      </c>
      <c r="P2688" s="21">
        <f>IF(E2688&lt;=90,"90 or less",IF(E2688&lt;=105,"91-105",IF(E2688&lt;=120,"106-120",IF(E2688&lt;=140,"121-140","Over 140"))))</f>
        <v/>
      </c>
      <c r="Q2688" s="28">
        <f>INT(C2688/10)*10</f>
        <v/>
      </c>
    </row>
    <row r="2689">
      <c r="A2689" s="21" t="n">
        <v>2744</v>
      </c>
      <c r="B2689" s="21" t="inlineStr">
        <is>
          <t>Wristcutters: A Love Story</t>
        </is>
      </c>
      <c r="C2689" s="21" t="n">
        <v>2006</v>
      </c>
      <c r="D2689" s="21" t="inlineStr">
        <is>
          <t>USA</t>
        </is>
      </c>
      <c r="E2689" s="21" t="n">
        <v>88</v>
      </c>
      <c r="F2689" s="21" t="inlineStr">
        <is>
          <t>English</t>
        </is>
      </c>
      <c r="G2689" s="21" t="inlineStr">
        <is>
          <t>R</t>
        </is>
      </c>
      <c r="H2689" s="22" t="n">
        <v>104077</v>
      </c>
      <c r="I2689" s="22" t="n">
        <v>1000000</v>
      </c>
      <c r="J2689" s="21">
        <f>IF(OR(H2689="",H2689=25529689.5),"Yes","No")</f>
        <v/>
      </c>
      <c r="K2689" s="21">
        <f>IF(AND(D2689="USA",C2689&gt;=1980,J2689="No"),"Yes","No")</f>
        <v/>
      </c>
      <c r="L2689" s="26">
        <f>IF(J2689="Yes","",H2689-I2689)</f>
        <v/>
      </c>
      <c r="M2689" s="27">
        <f>IF(OR(J2689="Yes",I2689=0),"",H2689/I2689)</f>
        <v/>
      </c>
      <c r="N2689" s="21">
        <f>IF(J2689="Yes","",IF(H2689&gt;=I2689,1,0))</f>
        <v/>
      </c>
      <c r="O2689" s="21">
        <f>IF(I2689&lt;=5000000,"Under $5M",IF(I2689&lt;=20000000,"$5M-20M",IF(I2689&lt;=50000000,"$20M-50M",IF(I2689&lt;=100000000,"$50M-100M","$100M+"))))</f>
        <v/>
      </c>
      <c r="P2689" s="21">
        <f>IF(E2689&lt;=90,"90 or less",IF(E2689&lt;=105,"91-105",IF(E2689&lt;=120,"106-120",IF(E2689&lt;=140,"121-140","Over 140"))))</f>
        <v/>
      </c>
      <c r="Q2689" s="28">
        <f>INT(C2689/10)*10</f>
        <v/>
      </c>
    </row>
    <row r="2690">
      <c r="A2690" s="21" t="n">
        <v>2745</v>
      </c>
      <c r="B2690" s="21" t="inlineStr">
        <is>
          <t>X-Men: The Last Stand</t>
        </is>
      </c>
      <c r="C2690" s="21" t="n">
        <v>2006</v>
      </c>
      <c r="D2690" s="21" t="inlineStr">
        <is>
          <t>Canada</t>
        </is>
      </c>
      <c r="E2690" s="21" t="n">
        <v>104</v>
      </c>
      <c r="F2690" s="21" t="inlineStr">
        <is>
          <t>English</t>
        </is>
      </c>
      <c r="G2690" s="21" t="inlineStr">
        <is>
          <t>PG-13</t>
        </is>
      </c>
      <c r="H2690" s="22" t="n">
        <v>234360014</v>
      </c>
      <c r="I2690" s="22" t="n">
        <v>210000000</v>
      </c>
      <c r="J2690" s="21">
        <f>IF(OR(H2690="",H2690=25529689.5),"Yes","No")</f>
        <v/>
      </c>
      <c r="K2690" s="21">
        <f>IF(AND(D2690="USA",C2690&gt;=1980,J2690="No"),"Yes","No")</f>
        <v/>
      </c>
      <c r="L2690" s="26">
        <f>IF(J2690="Yes","",H2690-I2690)</f>
        <v/>
      </c>
      <c r="M2690" s="27">
        <f>IF(OR(J2690="Yes",I2690=0),"",H2690/I2690)</f>
        <v/>
      </c>
      <c r="N2690" s="21">
        <f>IF(J2690="Yes","",IF(H2690&gt;=I2690,1,0))</f>
        <v/>
      </c>
      <c r="O2690" s="21">
        <f>IF(I2690&lt;=5000000,"Under $5M",IF(I2690&lt;=20000000,"$5M-20M",IF(I2690&lt;=50000000,"$20M-50M",IF(I2690&lt;=100000000,"$50M-100M","$100M+"))))</f>
        <v/>
      </c>
      <c r="P2690" s="21">
        <f>IF(E2690&lt;=90,"90 or less",IF(E2690&lt;=105,"91-105",IF(E2690&lt;=120,"106-120",IF(E2690&lt;=140,"121-140","Over 140"))))</f>
        <v/>
      </c>
      <c r="Q2690" s="28">
        <f>INT(C2690/10)*10</f>
        <v/>
      </c>
    </row>
    <row r="2691">
      <c r="A2691" s="21" t="n">
        <v>2746</v>
      </c>
      <c r="B2691" s="21" t="inlineStr">
        <is>
          <t>You, Me and Dupree</t>
        </is>
      </c>
      <c r="C2691" s="21" t="n">
        <v>2006</v>
      </c>
      <c r="D2691" s="21" t="inlineStr">
        <is>
          <t>USA</t>
        </is>
      </c>
      <c r="E2691" s="21" t="n">
        <v>110</v>
      </c>
      <c r="F2691" s="21" t="inlineStr">
        <is>
          <t>English</t>
        </is>
      </c>
      <c r="G2691" s="21" t="inlineStr">
        <is>
          <t>PG-13</t>
        </is>
      </c>
      <c r="H2691" s="22" t="n">
        <v>75604320</v>
      </c>
      <c r="I2691" s="22" t="n">
        <v>54000000</v>
      </c>
      <c r="J2691" s="21">
        <f>IF(OR(H2691="",H2691=25529689.5),"Yes","No")</f>
        <v/>
      </c>
      <c r="K2691" s="21">
        <f>IF(AND(D2691="USA",C2691&gt;=1980,J2691="No"),"Yes","No")</f>
        <v/>
      </c>
      <c r="L2691" s="26">
        <f>IF(J2691="Yes","",H2691-I2691)</f>
        <v/>
      </c>
      <c r="M2691" s="27">
        <f>IF(OR(J2691="Yes",I2691=0),"",H2691/I2691)</f>
        <v/>
      </c>
      <c r="N2691" s="21">
        <f>IF(J2691="Yes","",IF(H2691&gt;=I2691,1,0))</f>
        <v/>
      </c>
      <c r="O2691" s="21">
        <f>IF(I2691&lt;=5000000,"Under $5M",IF(I2691&lt;=20000000,"$5M-20M",IF(I2691&lt;=50000000,"$20M-50M",IF(I2691&lt;=100000000,"$50M-100M","$100M+"))))</f>
        <v/>
      </c>
      <c r="P2691" s="21">
        <f>IF(E2691&lt;=90,"90 or less",IF(E2691&lt;=105,"91-105",IF(E2691&lt;=120,"106-120",IF(E2691&lt;=140,"121-140","Over 140"))))</f>
        <v/>
      </c>
      <c r="Q2691" s="28">
        <f>INT(C2691/10)*10</f>
        <v/>
      </c>
    </row>
    <row r="2692">
      <c r="A2692" s="21" t="n">
        <v>2747</v>
      </c>
      <c r="B2692" s="21" t="inlineStr">
        <is>
          <t>Zoom</t>
        </is>
      </c>
      <c r="C2692" s="21" t="n">
        <v>2006</v>
      </c>
      <c r="D2692" s="21" t="inlineStr">
        <is>
          <t>USA</t>
        </is>
      </c>
      <c r="E2692" s="21" t="n">
        <v>83</v>
      </c>
      <c r="F2692" s="21" t="inlineStr">
        <is>
          <t>English</t>
        </is>
      </c>
      <c r="G2692" s="21" t="inlineStr">
        <is>
          <t>PG</t>
        </is>
      </c>
      <c r="H2692" s="22" t="n">
        <v>11631245</v>
      </c>
      <c r="I2692" s="22" t="n">
        <v>35000000</v>
      </c>
      <c r="J2692" s="21">
        <f>IF(OR(H2692="",H2692=25529689.5),"Yes","No")</f>
        <v/>
      </c>
      <c r="K2692" s="21">
        <f>IF(AND(D2692="USA",C2692&gt;=1980,J2692="No"),"Yes","No")</f>
        <v/>
      </c>
      <c r="L2692" s="26">
        <f>IF(J2692="Yes","",H2692-I2692)</f>
        <v/>
      </c>
      <c r="M2692" s="27">
        <f>IF(OR(J2692="Yes",I2692=0),"",H2692/I2692)</f>
        <v/>
      </c>
      <c r="N2692" s="21">
        <f>IF(J2692="Yes","",IF(H2692&gt;=I2692,1,0))</f>
        <v/>
      </c>
      <c r="O2692" s="21">
        <f>IF(I2692&lt;=5000000,"Under $5M",IF(I2692&lt;=20000000,"$5M-20M",IF(I2692&lt;=50000000,"$20M-50M",IF(I2692&lt;=100000000,"$50M-100M","$100M+"))))</f>
        <v/>
      </c>
      <c r="P2692" s="21">
        <f>IF(E2692&lt;=90,"90 or less",IF(E2692&lt;=105,"91-105",IF(E2692&lt;=120,"106-120",IF(E2692&lt;=140,"121-140","Over 140"))))</f>
        <v/>
      </c>
      <c r="Q2692" s="28">
        <f>INT(C2692/10)*10</f>
        <v/>
      </c>
    </row>
    <row r="2693">
      <c r="A2693" s="21" t="n">
        <v>2748</v>
      </c>
      <c r="B2693" s="21" t="inlineStr">
        <is>
          <t>[Rec]</t>
        </is>
      </c>
      <c r="C2693" s="21" t="n">
        <v>2007</v>
      </c>
      <c r="D2693" s="21" t="inlineStr">
        <is>
          <t>Spain</t>
        </is>
      </c>
      <c r="E2693" s="21" t="n">
        <v>78</v>
      </c>
      <c r="F2693" s="21" t="inlineStr">
        <is>
          <t>Spanish</t>
        </is>
      </c>
      <c r="G2693" s="21" t="inlineStr">
        <is>
          <t>R</t>
        </is>
      </c>
      <c r="H2693" s="22" t="n">
        <v>25529689.5</v>
      </c>
      <c r="I2693" s="22" t="n">
        <v>1500000</v>
      </c>
      <c r="J2693" s="21">
        <f>IF(OR(H2693="",H2693=25529689.5),"Yes","No")</f>
        <v/>
      </c>
      <c r="K2693" s="21">
        <f>IF(AND(D2693="USA",C2693&gt;=1980,J2693="No"),"Yes","No")</f>
        <v/>
      </c>
      <c r="L2693" s="26">
        <f>IF(J2693="Yes","",H2693-I2693)</f>
        <v/>
      </c>
      <c r="M2693" s="27">
        <f>IF(OR(J2693="Yes",I2693=0),"",H2693/I2693)</f>
        <v/>
      </c>
      <c r="N2693" s="21">
        <f>IF(J2693="Yes","",IF(H2693&gt;=I2693,1,0))</f>
        <v/>
      </c>
      <c r="O2693" s="21">
        <f>IF(I2693&lt;=5000000,"Under $5M",IF(I2693&lt;=20000000,"$5M-20M",IF(I2693&lt;=50000000,"$20M-50M",IF(I2693&lt;=100000000,"$50M-100M","$100M+"))))</f>
        <v/>
      </c>
      <c r="P2693" s="21">
        <f>IF(E2693&lt;=90,"90 or less",IF(E2693&lt;=105,"91-105",IF(E2693&lt;=120,"106-120",IF(E2693&lt;=140,"121-140","Over 140"))))</f>
        <v/>
      </c>
      <c r="Q2693" s="28">
        <f>INT(C2693/10)*10</f>
        <v/>
      </c>
    </row>
    <row r="2694">
      <c r="A2694" s="21" t="n">
        <v>2749</v>
      </c>
      <c r="B2694" s="21" t="inlineStr">
        <is>
          <t>1408</t>
        </is>
      </c>
      <c r="C2694" s="21" t="n">
        <v>2007</v>
      </c>
      <c r="D2694" s="21" t="inlineStr">
        <is>
          <t>USA</t>
        </is>
      </c>
      <c r="E2694" s="21" t="n">
        <v>114</v>
      </c>
      <c r="F2694" s="21" t="inlineStr">
        <is>
          <t>English</t>
        </is>
      </c>
      <c r="G2694" s="21" t="inlineStr">
        <is>
          <t>PG-13</t>
        </is>
      </c>
      <c r="H2694" s="22" t="n">
        <v>71975611</v>
      </c>
      <c r="I2694" s="22" t="n">
        <v>25000000</v>
      </c>
      <c r="J2694" s="21">
        <f>IF(OR(H2694="",H2694=25529689.5),"Yes","No")</f>
        <v/>
      </c>
      <c r="K2694" s="21">
        <f>IF(AND(D2694="USA",C2694&gt;=1980,J2694="No"),"Yes","No")</f>
        <v/>
      </c>
      <c r="L2694" s="26">
        <f>IF(J2694="Yes","",H2694-I2694)</f>
        <v/>
      </c>
      <c r="M2694" s="27">
        <f>IF(OR(J2694="Yes",I2694=0),"",H2694/I2694)</f>
        <v/>
      </c>
      <c r="N2694" s="21">
        <f>IF(J2694="Yes","",IF(H2694&gt;=I2694,1,0))</f>
        <v/>
      </c>
      <c r="O2694" s="21">
        <f>IF(I2694&lt;=5000000,"Under $5M",IF(I2694&lt;=20000000,"$5M-20M",IF(I2694&lt;=50000000,"$20M-50M",IF(I2694&lt;=100000000,"$50M-100M","$100M+"))))</f>
        <v/>
      </c>
      <c r="P2694" s="21">
        <f>IF(E2694&lt;=90,"90 or less",IF(E2694&lt;=105,"91-105",IF(E2694&lt;=120,"106-120",IF(E2694&lt;=140,"121-140","Over 140"))))</f>
        <v/>
      </c>
      <c r="Q2694" s="28">
        <f>INT(C2694/10)*10</f>
        <v/>
      </c>
    </row>
    <row r="2695">
      <c r="A2695" s="21" t="n">
        <v>2750</v>
      </c>
      <c r="B2695" s="21" t="inlineStr">
        <is>
          <t>28 Weeks Later</t>
        </is>
      </c>
      <c r="C2695" s="21" t="n">
        <v>2007</v>
      </c>
      <c r="D2695" s="21" t="inlineStr">
        <is>
          <t>UK</t>
        </is>
      </c>
      <c r="E2695" s="21" t="n">
        <v>100</v>
      </c>
      <c r="F2695" s="21" t="inlineStr">
        <is>
          <t>English</t>
        </is>
      </c>
      <c r="G2695" s="21" t="inlineStr">
        <is>
          <t>R</t>
        </is>
      </c>
      <c r="H2695" s="22" t="n">
        <v>28637507</v>
      </c>
      <c r="I2695" s="22" t="n">
        <v>15000000</v>
      </c>
      <c r="J2695" s="21">
        <f>IF(OR(H2695="",H2695=25529689.5),"Yes","No")</f>
        <v/>
      </c>
      <c r="K2695" s="21">
        <f>IF(AND(D2695="USA",C2695&gt;=1980,J2695="No"),"Yes","No")</f>
        <v/>
      </c>
      <c r="L2695" s="26">
        <f>IF(J2695="Yes","",H2695-I2695)</f>
        <v/>
      </c>
      <c r="M2695" s="27">
        <f>IF(OR(J2695="Yes",I2695=0),"",H2695/I2695)</f>
        <v/>
      </c>
      <c r="N2695" s="21">
        <f>IF(J2695="Yes","",IF(H2695&gt;=I2695,1,0))</f>
        <v/>
      </c>
      <c r="O2695" s="21">
        <f>IF(I2695&lt;=5000000,"Under $5M",IF(I2695&lt;=20000000,"$5M-20M",IF(I2695&lt;=50000000,"$20M-50M",IF(I2695&lt;=100000000,"$50M-100M","$100M+"))))</f>
        <v/>
      </c>
      <c r="P2695" s="21">
        <f>IF(E2695&lt;=90,"90 or less",IF(E2695&lt;=105,"91-105",IF(E2695&lt;=120,"106-120",IF(E2695&lt;=140,"121-140","Over 140"))))</f>
        <v/>
      </c>
      <c r="Q2695" s="28">
        <f>INT(C2695/10)*10</f>
        <v/>
      </c>
    </row>
    <row r="2696">
      <c r="A2696" s="21" t="n">
        <v>2751</v>
      </c>
      <c r="B2696" s="21" t="inlineStr">
        <is>
          <t>3:10 to Yuma</t>
        </is>
      </c>
      <c r="C2696" s="21" t="n">
        <v>2007</v>
      </c>
      <c r="D2696" s="21" t="inlineStr">
        <is>
          <t>USA</t>
        </is>
      </c>
      <c r="E2696" s="21" t="n">
        <v>122</v>
      </c>
      <c r="F2696" s="21" t="inlineStr">
        <is>
          <t>English</t>
        </is>
      </c>
      <c r="G2696" s="21" t="inlineStr">
        <is>
          <t>R</t>
        </is>
      </c>
      <c r="H2696" s="22" t="n">
        <v>53574088</v>
      </c>
      <c r="I2696" s="22" t="n">
        <v>55000000</v>
      </c>
      <c r="J2696" s="21">
        <f>IF(OR(H2696="",H2696=25529689.5),"Yes","No")</f>
        <v/>
      </c>
      <c r="K2696" s="21">
        <f>IF(AND(D2696="USA",C2696&gt;=1980,J2696="No"),"Yes","No")</f>
        <v/>
      </c>
      <c r="L2696" s="26">
        <f>IF(J2696="Yes","",H2696-I2696)</f>
        <v/>
      </c>
      <c r="M2696" s="27">
        <f>IF(OR(J2696="Yes",I2696=0),"",H2696/I2696)</f>
        <v/>
      </c>
      <c r="N2696" s="21">
        <f>IF(J2696="Yes","",IF(H2696&gt;=I2696,1,0))</f>
        <v/>
      </c>
      <c r="O2696" s="21">
        <f>IF(I2696&lt;=5000000,"Under $5M",IF(I2696&lt;=20000000,"$5M-20M",IF(I2696&lt;=50000000,"$20M-50M",IF(I2696&lt;=100000000,"$50M-100M","$100M+"))))</f>
        <v/>
      </c>
      <c r="P2696" s="21">
        <f>IF(E2696&lt;=90,"90 or less",IF(E2696&lt;=105,"91-105",IF(E2696&lt;=120,"106-120",IF(E2696&lt;=140,"121-140","Over 140"))))</f>
        <v/>
      </c>
      <c r="Q2696" s="28">
        <f>INT(C2696/10)*10</f>
        <v/>
      </c>
    </row>
    <row r="2697">
      <c r="A2697" s="21" t="n">
        <v>2752</v>
      </c>
      <c r="B2697" s="21" t="inlineStr">
        <is>
          <t>30 Days of Night</t>
        </is>
      </c>
      <c r="C2697" s="21" t="n">
        <v>2007</v>
      </c>
      <c r="D2697" s="21" t="inlineStr">
        <is>
          <t>USA</t>
        </is>
      </c>
      <c r="E2697" s="21" t="n">
        <v>113</v>
      </c>
      <c r="F2697" s="21" t="inlineStr">
        <is>
          <t>English</t>
        </is>
      </c>
      <c r="G2697" s="21" t="inlineStr">
        <is>
          <t>R</t>
        </is>
      </c>
      <c r="H2697" s="22" t="n">
        <v>39568996</v>
      </c>
      <c r="I2697" s="22" t="n">
        <v>32000000</v>
      </c>
      <c r="J2697" s="21">
        <f>IF(OR(H2697="",H2697=25529689.5),"Yes","No")</f>
        <v/>
      </c>
      <c r="K2697" s="21">
        <f>IF(AND(D2697="USA",C2697&gt;=1980,J2697="No"),"Yes","No")</f>
        <v/>
      </c>
      <c r="L2697" s="26">
        <f>IF(J2697="Yes","",H2697-I2697)</f>
        <v/>
      </c>
      <c r="M2697" s="27">
        <f>IF(OR(J2697="Yes",I2697=0),"",H2697/I2697)</f>
        <v/>
      </c>
      <c r="N2697" s="21">
        <f>IF(J2697="Yes","",IF(H2697&gt;=I2697,1,0))</f>
        <v/>
      </c>
      <c r="O2697" s="21">
        <f>IF(I2697&lt;=5000000,"Under $5M",IF(I2697&lt;=20000000,"$5M-20M",IF(I2697&lt;=50000000,"$20M-50M",IF(I2697&lt;=100000000,"$50M-100M","$100M+"))))</f>
        <v/>
      </c>
      <c r="P2697" s="21">
        <f>IF(E2697&lt;=90,"90 or less",IF(E2697&lt;=105,"91-105",IF(E2697&lt;=120,"106-120",IF(E2697&lt;=140,"121-140","Over 140"))))</f>
        <v/>
      </c>
      <c r="Q2697" s="28">
        <f>INT(C2697/10)*10</f>
        <v/>
      </c>
    </row>
    <row r="2698">
      <c r="A2698" s="21" t="n">
        <v>2753</v>
      </c>
      <c r="B2698" s="21" t="inlineStr">
        <is>
          <t>4 Months, 3 Weeks and 2 Days</t>
        </is>
      </c>
      <c r="C2698" s="21" t="n">
        <v>2007</v>
      </c>
      <c r="D2698" s="21" t="inlineStr">
        <is>
          <t>Romania</t>
        </is>
      </c>
      <c r="E2698" s="21" t="n">
        <v>113</v>
      </c>
      <c r="F2698" s="21" t="inlineStr">
        <is>
          <t>Romanian</t>
        </is>
      </c>
      <c r="G2698" s="21" t="inlineStr">
        <is>
          <t>Not Rated</t>
        </is>
      </c>
      <c r="H2698" s="22" t="n">
        <v>1185783</v>
      </c>
      <c r="I2698" s="22" t="n">
        <v>590000</v>
      </c>
      <c r="J2698" s="21">
        <f>IF(OR(H2698="",H2698=25529689.5),"Yes","No")</f>
        <v/>
      </c>
      <c r="K2698" s="21">
        <f>IF(AND(D2698="USA",C2698&gt;=1980,J2698="No"),"Yes","No")</f>
        <v/>
      </c>
      <c r="L2698" s="26">
        <f>IF(J2698="Yes","",H2698-I2698)</f>
        <v/>
      </c>
      <c r="M2698" s="27">
        <f>IF(OR(J2698="Yes",I2698=0),"",H2698/I2698)</f>
        <v/>
      </c>
      <c r="N2698" s="21">
        <f>IF(J2698="Yes","",IF(H2698&gt;=I2698,1,0))</f>
        <v/>
      </c>
      <c r="O2698" s="21">
        <f>IF(I2698&lt;=5000000,"Under $5M",IF(I2698&lt;=20000000,"$5M-20M",IF(I2698&lt;=50000000,"$20M-50M",IF(I2698&lt;=100000000,"$50M-100M","$100M+"))))</f>
        <v/>
      </c>
      <c r="P2698" s="21">
        <f>IF(E2698&lt;=90,"90 or less",IF(E2698&lt;=105,"91-105",IF(E2698&lt;=120,"106-120",IF(E2698&lt;=140,"121-140","Over 140"))))</f>
        <v/>
      </c>
      <c r="Q2698" s="28">
        <f>INT(C2698/10)*10</f>
        <v/>
      </c>
    </row>
    <row r="2699">
      <c r="A2699" s="21" t="n">
        <v>2754</v>
      </c>
      <c r="B2699" s="21" t="inlineStr">
        <is>
          <t>88 Minutes</t>
        </is>
      </c>
      <c r="C2699" s="21" t="n">
        <v>2007</v>
      </c>
      <c r="D2699" s="21" t="inlineStr">
        <is>
          <t>USA</t>
        </is>
      </c>
      <c r="E2699" s="21" t="n">
        <v>108</v>
      </c>
      <c r="F2699" s="21" t="inlineStr">
        <is>
          <t>English</t>
        </is>
      </c>
      <c r="G2699" s="21" t="inlineStr">
        <is>
          <t>R</t>
        </is>
      </c>
      <c r="H2699" s="22" t="n">
        <v>16930884</v>
      </c>
      <c r="I2699" s="22" t="n">
        <v>30000000</v>
      </c>
      <c r="J2699" s="21">
        <f>IF(OR(H2699="",H2699=25529689.5),"Yes","No")</f>
        <v/>
      </c>
      <c r="K2699" s="21">
        <f>IF(AND(D2699="USA",C2699&gt;=1980,J2699="No"),"Yes","No")</f>
        <v/>
      </c>
      <c r="L2699" s="26">
        <f>IF(J2699="Yes","",H2699-I2699)</f>
        <v/>
      </c>
      <c r="M2699" s="27">
        <f>IF(OR(J2699="Yes",I2699=0),"",H2699/I2699)</f>
        <v/>
      </c>
      <c r="N2699" s="21">
        <f>IF(J2699="Yes","",IF(H2699&gt;=I2699,1,0))</f>
        <v/>
      </c>
      <c r="O2699" s="21">
        <f>IF(I2699&lt;=5000000,"Under $5M",IF(I2699&lt;=20000000,"$5M-20M",IF(I2699&lt;=50000000,"$20M-50M",IF(I2699&lt;=100000000,"$50M-100M","$100M+"))))</f>
        <v/>
      </c>
      <c r="P2699" s="21">
        <f>IF(E2699&lt;=90,"90 or less",IF(E2699&lt;=105,"91-105",IF(E2699&lt;=120,"106-120",IF(E2699&lt;=140,"121-140","Over 140"))))</f>
        <v/>
      </c>
      <c r="Q2699" s="28">
        <f>INT(C2699/10)*10</f>
        <v/>
      </c>
    </row>
    <row r="2700">
      <c r="A2700" s="21" t="n">
        <v>2755</v>
      </c>
      <c r="B2700" s="21" t="inlineStr">
        <is>
          <t>A Dog's Breakfast</t>
        </is>
      </c>
      <c r="C2700" s="21" t="n">
        <v>2007</v>
      </c>
      <c r="D2700" s="21" t="inlineStr">
        <is>
          <t>Canada</t>
        </is>
      </c>
      <c r="E2700" s="21" t="n">
        <v>88</v>
      </c>
      <c r="F2700" s="21" t="inlineStr">
        <is>
          <t>English</t>
        </is>
      </c>
      <c r="G2700" s="21" t="n"/>
      <c r="H2700" s="22" t="n">
        <v>25529689.5</v>
      </c>
      <c r="I2700" s="22" t="n">
        <v>120000</v>
      </c>
      <c r="J2700" s="21">
        <f>IF(OR(H2700="",H2700=25529689.5),"Yes","No")</f>
        <v/>
      </c>
      <c r="K2700" s="21">
        <f>IF(AND(D2700="USA",C2700&gt;=1980,J2700="No"),"Yes","No")</f>
        <v/>
      </c>
      <c r="L2700" s="26">
        <f>IF(J2700="Yes","",H2700-I2700)</f>
        <v/>
      </c>
      <c r="M2700" s="27">
        <f>IF(OR(J2700="Yes",I2700=0),"",H2700/I2700)</f>
        <v/>
      </c>
      <c r="N2700" s="21">
        <f>IF(J2700="Yes","",IF(H2700&gt;=I2700,1,0))</f>
        <v/>
      </c>
      <c r="O2700" s="21">
        <f>IF(I2700&lt;=5000000,"Under $5M",IF(I2700&lt;=20000000,"$5M-20M",IF(I2700&lt;=50000000,"$20M-50M",IF(I2700&lt;=100000000,"$50M-100M","$100M+"))))</f>
        <v/>
      </c>
      <c r="P2700" s="21">
        <f>IF(E2700&lt;=90,"90 or less",IF(E2700&lt;=105,"91-105",IF(E2700&lt;=120,"106-120",IF(E2700&lt;=140,"121-140","Over 140"))))</f>
        <v/>
      </c>
      <c r="Q2700" s="28">
        <f>INT(C2700/10)*10</f>
        <v/>
      </c>
    </row>
    <row r="2701">
      <c r="A2701" s="21" t="n">
        <v>2757</v>
      </c>
      <c r="B2701" s="21" t="inlineStr">
        <is>
          <t>A Mighty Heart</t>
        </is>
      </c>
      <c r="C2701" s="21" t="n">
        <v>2007</v>
      </c>
      <c r="D2701" s="21" t="inlineStr">
        <is>
          <t>USA</t>
        </is>
      </c>
      <c r="E2701" s="21" t="n">
        <v>108</v>
      </c>
      <c r="F2701" s="21" t="inlineStr">
        <is>
          <t>English</t>
        </is>
      </c>
      <c r="G2701" s="21" t="inlineStr">
        <is>
          <t>R</t>
        </is>
      </c>
      <c r="H2701" s="22" t="n">
        <v>9172810</v>
      </c>
      <c r="I2701" s="22" t="n">
        <v>16000000</v>
      </c>
      <c r="J2701" s="21">
        <f>IF(OR(H2701="",H2701=25529689.5),"Yes","No")</f>
        <v/>
      </c>
      <c r="K2701" s="21">
        <f>IF(AND(D2701="USA",C2701&gt;=1980,J2701="No"),"Yes","No")</f>
        <v/>
      </c>
      <c r="L2701" s="26">
        <f>IF(J2701="Yes","",H2701-I2701)</f>
        <v/>
      </c>
      <c r="M2701" s="27">
        <f>IF(OR(J2701="Yes",I2701=0),"",H2701/I2701)</f>
        <v/>
      </c>
      <c r="N2701" s="21">
        <f>IF(J2701="Yes","",IF(H2701&gt;=I2701,1,0))</f>
        <v/>
      </c>
      <c r="O2701" s="21">
        <f>IF(I2701&lt;=5000000,"Under $5M",IF(I2701&lt;=20000000,"$5M-20M",IF(I2701&lt;=50000000,"$20M-50M",IF(I2701&lt;=100000000,"$50M-100M","$100M+"))))</f>
        <v/>
      </c>
      <c r="P2701" s="21">
        <f>IF(E2701&lt;=90,"90 or less",IF(E2701&lt;=105,"91-105",IF(E2701&lt;=120,"106-120",IF(E2701&lt;=140,"121-140","Over 140"))))</f>
        <v/>
      </c>
      <c r="Q2701" s="28">
        <f>INT(C2701/10)*10</f>
        <v/>
      </c>
    </row>
    <row r="2702">
      <c r="A2702" s="21" t="n">
        <v>2758</v>
      </c>
      <c r="B2702" s="21" t="inlineStr">
        <is>
          <t>Across the Universe</t>
        </is>
      </c>
      <c r="C2702" s="21" t="n">
        <v>2007</v>
      </c>
      <c r="D2702" s="21" t="inlineStr">
        <is>
          <t>USA</t>
        </is>
      </c>
      <c r="E2702" s="21" t="n">
        <v>133</v>
      </c>
      <c r="F2702" s="21" t="inlineStr">
        <is>
          <t>English</t>
        </is>
      </c>
      <c r="G2702" s="21" t="inlineStr">
        <is>
          <t>PG-13</t>
        </is>
      </c>
      <c r="H2702" s="22" t="n">
        <v>24343673</v>
      </c>
      <c r="I2702" s="22" t="n">
        <v>45000000</v>
      </c>
      <c r="J2702" s="21">
        <f>IF(OR(H2702="",H2702=25529689.5),"Yes","No")</f>
        <v/>
      </c>
      <c r="K2702" s="21">
        <f>IF(AND(D2702="USA",C2702&gt;=1980,J2702="No"),"Yes","No")</f>
        <v/>
      </c>
      <c r="L2702" s="26">
        <f>IF(J2702="Yes","",H2702-I2702)</f>
        <v/>
      </c>
      <c r="M2702" s="27">
        <f>IF(OR(J2702="Yes",I2702=0),"",H2702/I2702)</f>
        <v/>
      </c>
      <c r="N2702" s="21">
        <f>IF(J2702="Yes","",IF(H2702&gt;=I2702,1,0))</f>
        <v/>
      </c>
      <c r="O2702" s="21">
        <f>IF(I2702&lt;=5000000,"Under $5M",IF(I2702&lt;=20000000,"$5M-20M",IF(I2702&lt;=50000000,"$20M-50M",IF(I2702&lt;=100000000,"$50M-100M","$100M+"))))</f>
        <v/>
      </c>
      <c r="P2702" s="21">
        <f>IF(E2702&lt;=90,"90 or less",IF(E2702&lt;=105,"91-105",IF(E2702&lt;=120,"106-120",IF(E2702&lt;=140,"121-140","Over 140"))))</f>
        <v/>
      </c>
      <c r="Q2702" s="28">
        <f>INT(C2702/10)*10</f>
        <v/>
      </c>
    </row>
    <row r="2703">
      <c r="A2703" s="21" t="n">
        <v>2760</v>
      </c>
      <c r="B2703" s="21" t="inlineStr">
        <is>
          <t>Aliens vs. Predator: Requiem</t>
        </is>
      </c>
      <c r="C2703" s="21" t="n">
        <v>2007</v>
      </c>
      <c r="D2703" s="21" t="inlineStr">
        <is>
          <t>USA</t>
        </is>
      </c>
      <c r="E2703" s="21" t="n">
        <v>102</v>
      </c>
      <c r="F2703" s="21" t="inlineStr">
        <is>
          <t>English</t>
        </is>
      </c>
      <c r="G2703" s="21" t="inlineStr">
        <is>
          <t>R</t>
        </is>
      </c>
      <c r="H2703" s="22" t="n">
        <v>41797066</v>
      </c>
      <c r="I2703" s="22" t="n">
        <v>40000000</v>
      </c>
      <c r="J2703" s="21">
        <f>IF(OR(H2703="",H2703=25529689.5),"Yes","No")</f>
        <v/>
      </c>
      <c r="K2703" s="21">
        <f>IF(AND(D2703="USA",C2703&gt;=1980,J2703="No"),"Yes","No")</f>
        <v/>
      </c>
      <c r="L2703" s="26">
        <f>IF(J2703="Yes","",H2703-I2703)</f>
        <v/>
      </c>
      <c r="M2703" s="27">
        <f>IF(OR(J2703="Yes",I2703=0),"",H2703/I2703)</f>
        <v/>
      </c>
      <c r="N2703" s="21">
        <f>IF(J2703="Yes","",IF(H2703&gt;=I2703,1,0))</f>
        <v/>
      </c>
      <c r="O2703" s="21">
        <f>IF(I2703&lt;=5000000,"Under $5M",IF(I2703&lt;=20000000,"$5M-20M",IF(I2703&lt;=50000000,"$20M-50M",IF(I2703&lt;=100000000,"$50M-100M","$100M+"))))</f>
        <v/>
      </c>
      <c r="P2703" s="21">
        <f>IF(E2703&lt;=90,"90 or less",IF(E2703&lt;=105,"91-105",IF(E2703&lt;=120,"106-120",IF(E2703&lt;=140,"121-140","Over 140"))))</f>
        <v/>
      </c>
      <c r="Q2703" s="28">
        <f>INT(C2703/10)*10</f>
        <v/>
      </c>
    </row>
    <row r="2704">
      <c r="A2704" s="21" t="n">
        <v>2761</v>
      </c>
      <c r="B2704" s="21" t="inlineStr">
        <is>
          <t>All Hat</t>
        </is>
      </c>
      <c r="C2704" s="21" t="n">
        <v>2007</v>
      </c>
      <c r="D2704" s="21" t="inlineStr">
        <is>
          <t>Canada</t>
        </is>
      </c>
      <c r="E2704" s="21" t="n">
        <v>89</v>
      </c>
      <c r="F2704" s="21" t="inlineStr">
        <is>
          <t>English</t>
        </is>
      </c>
      <c r="G2704" s="21" t="inlineStr">
        <is>
          <t>R</t>
        </is>
      </c>
      <c r="H2704" s="22" t="n">
        <v>25529689.5</v>
      </c>
      <c r="I2704" s="22" t="n">
        <v>5000000</v>
      </c>
      <c r="J2704" s="21">
        <f>IF(OR(H2704="",H2704=25529689.5),"Yes","No")</f>
        <v/>
      </c>
      <c r="K2704" s="21">
        <f>IF(AND(D2704="USA",C2704&gt;=1980,J2704="No"),"Yes","No")</f>
        <v/>
      </c>
      <c r="L2704" s="26">
        <f>IF(J2704="Yes","",H2704-I2704)</f>
        <v/>
      </c>
      <c r="M2704" s="27">
        <f>IF(OR(J2704="Yes",I2704=0),"",H2704/I2704)</f>
        <v/>
      </c>
      <c r="N2704" s="21">
        <f>IF(J2704="Yes","",IF(H2704&gt;=I2704,1,0))</f>
        <v/>
      </c>
      <c r="O2704" s="21">
        <f>IF(I2704&lt;=5000000,"Under $5M",IF(I2704&lt;=20000000,"$5M-20M",IF(I2704&lt;=50000000,"$20M-50M",IF(I2704&lt;=100000000,"$50M-100M","$100M+"))))</f>
        <v/>
      </c>
      <c r="P2704" s="21">
        <f>IF(E2704&lt;=90,"90 or less",IF(E2704&lt;=105,"91-105",IF(E2704&lt;=120,"106-120",IF(E2704&lt;=140,"121-140","Over 140"))))</f>
        <v/>
      </c>
      <c r="Q2704" s="28">
        <f>INT(C2704/10)*10</f>
        <v/>
      </c>
    </row>
    <row r="2705">
      <c r="A2705" s="21" t="n">
        <v>2762</v>
      </c>
      <c r="B2705" s="21" t="inlineStr">
        <is>
          <t>Alvin and the Chipmunks</t>
        </is>
      </c>
      <c r="C2705" s="21" t="n">
        <v>2007</v>
      </c>
      <c r="D2705" s="21" t="inlineStr">
        <is>
          <t>USA</t>
        </is>
      </c>
      <c r="E2705" s="21" t="n">
        <v>92</v>
      </c>
      <c r="F2705" s="21" t="inlineStr">
        <is>
          <t>English</t>
        </is>
      </c>
      <c r="G2705" s="21" t="inlineStr">
        <is>
          <t>PG</t>
        </is>
      </c>
      <c r="H2705" s="22" t="n">
        <v>217326336</v>
      </c>
      <c r="I2705" s="22" t="n">
        <v>60000000</v>
      </c>
      <c r="J2705" s="21">
        <f>IF(OR(H2705="",H2705=25529689.5),"Yes","No")</f>
        <v/>
      </c>
      <c r="K2705" s="21">
        <f>IF(AND(D2705="USA",C2705&gt;=1980,J2705="No"),"Yes","No")</f>
        <v/>
      </c>
      <c r="L2705" s="26">
        <f>IF(J2705="Yes","",H2705-I2705)</f>
        <v/>
      </c>
      <c r="M2705" s="27">
        <f>IF(OR(J2705="Yes",I2705=0),"",H2705/I2705)</f>
        <v/>
      </c>
      <c r="N2705" s="21">
        <f>IF(J2705="Yes","",IF(H2705&gt;=I2705,1,0))</f>
        <v/>
      </c>
      <c r="O2705" s="21">
        <f>IF(I2705&lt;=5000000,"Under $5M",IF(I2705&lt;=20000000,"$5M-20M",IF(I2705&lt;=50000000,"$20M-50M",IF(I2705&lt;=100000000,"$50M-100M","$100M+"))))</f>
        <v/>
      </c>
      <c r="P2705" s="21">
        <f>IF(E2705&lt;=90,"90 or less",IF(E2705&lt;=105,"91-105",IF(E2705&lt;=120,"106-120",IF(E2705&lt;=140,"121-140","Over 140"))))</f>
        <v/>
      </c>
      <c r="Q2705" s="28">
        <f>INT(C2705/10)*10</f>
        <v/>
      </c>
    </row>
    <row r="2706">
      <c r="A2706" s="21" t="n">
        <v>2763</v>
      </c>
      <c r="B2706" s="21" t="inlineStr">
        <is>
          <t>American Gangster</t>
        </is>
      </c>
      <c r="C2706" s="21" t="n">
        <v>2007</v>
      </c>
      <c r="D2706" s="21" t="inlineStr">
        <is>
          <t>USA</t>
        </is>
      </c>
      <c r="E2706" s="21" t="n">
        <v>176</v>
      </c>
      <c r="F2706" s="21" t="inlineStr">
        <is>
          <t>English</t>
        </is>
      </c>
      <c r="G2706" s="21" t="inlineStr">
        <is>
          <t>R</t>
        </is>
      </c>
      <c r="H2706" s="22" t="n">
        <v>130127620</v>
      </c>
      <c r="I2706" s="22" t="n">
        <v>100000000</v>
      </c>
      <c r="J2706" s="21">
        <f>IF(OR(H2706="",H2706=25529689.5),"Yes","No")</f>
        <v/>
      </c>
      <c r="K2706" s="21">
        <f>IF(AND(D2706="USA",C2706&gt;=1980,J2706="No"),"Yes","No")</f>
        <v/>
      </c>
      <c r="L2706" s="26">
        <f>IF(J2706="Yes","",H2706-I2706)</f>
        <v/>
      </c>
      <c r="M2706" s="27">
        <f>IF(OR(J2706="Yes",I2706=0),"",H2706/I2706)</f>
        <v/>
      </c>
      <c r="N2706" s="21">
        <f>IF(J2706="Yes","",IF(H2706&gt;=I2706,1,0))</f>
        <v/>
      </c>
      <c r="O2706" s="21">
        <f>IF(I2706&lt;=5000000,"Under $5M",IF(I2706&lt;=20000000,"$5M-20M",IF(I2706&lt;=50000000,"$20M-50M",IF(I2706&lt;=100000000,"$50M-100M","$100M+"))))</f>
        <v/>
      </c>
      <c r="P2706" s="21">
        <f>IF(E2706&lt;=90,"90 or less",IF(E2706&lt;=105,"91-105",IF(E2706&lt;=120,"106-120",IF(E2706&lt;=140,"121-140","Over 140"))))</f>
        <v/>
      </c>
      <c r="Q2706" s="28">
        <f>INT(C2706/10)*10</f>
        <v/>
      </c>
    </row>
    <row r="2707">
      <c r="A2707" s="21" t="n">
        <v>2764</v>
      </c>
      <c r="B2707" s="21" t="inlineStr">
        <is>
          <t>And Then Came Love</t>
        </is>
      </c>
      <c r="C2707" s="21" t="n">
        <v>2007</v>
      </c>
      <c r="D2707" s="21" t="inlineStr">
        <is>
          <t>USA</t>
        </is>
      </c>
      <c r="E2707" s="21" t="n">
        <v>90</v>
      </c>
      <c r="F2707" s="21" t="inlineStr">
        <is>
          <t>English</t>
        </is>
      </c>
      <c r="G2707" s="21" t="n"/>
      <c r="H2707" s="22" t="n">
        <v>25529689.5</v>
      </c>
      <c r="I2707" s="22" t="n">
        <v>989000</v>
      </c>
      <c r="J2707" s="21">
        <f>IF(OR(H2707="",H2707=25529689.5),"Yes","No")</f>
        <v/>
      </c>
      <c r="K2707" s="21">
        <f>IF(AND(D2707="USA",C2707&gt;=1980,J2707="No"),"Yes","No")</f>
        <v/>
      </c>
      <c r="L2707" s="26">
        <f>IF(J2707="Yes","",H2707-I2707)</f>
        <v/>
      </c>
      <c r="M2707" s="27">
        <f>IF(OR(J2707="Yes",I2707=0),"",H2707/I2707)</f>
        <v/>
      </c>
      <c r="N2707" s="21">
        <f>IF(J2707="Yes","",IF(H2707&gt;=I2707,1,0))</f>
        <v/>
      </c>
      <c r="O2707" s="21">
        <f>IF(I2707&lt;=5000000,"Under $5M",IF(I2707&lt;=20000000,"$5M-20M",IF(I2707&lt;=50000000,"$20M-50M",IF(I2707&lt;=100000000,"$50M-100M","$100M+"))))</f>
        <v/>
      </c>
      <c r="P2707" s="21">
        <f>IF(E2707&lt;=90,"90 or less",IF(E2707&lt;=105,"91-105",IF(E2707&lt;=120,"106-120",IF(E2707&lt;=140,"121-140","Over 140"))))</f>
        <v/>
      </c>
      <c r="Q2707" s="28">
        <f>INT(C2707/10)*10</f>
        <v/>
      </c>
    </row>
    <row r="2708">
      <c r="A2708" s="21" t="n">
        <v>2765</v>
      </c>
      <c r="B2708" s="21" t="inlineStr">
        <is>
          <t>Aqua Teen Hunger Force Colon Movie Film for Theaters</t>
        </is>
      </c>
      <c r="C2708" s="21" t="n">
        <v>2007</v>
      </c>
      <c r="D2708" s="21" t="inlineStr">
        <is>
          <t>USA</t>
        </is>
      </c>
      <c r="E2708" s="21" t="n">
        <v>86</v>
      </c>
      <c r="F2708" s="21" t="inlineStr">
        <is>
          <t>English</t>
        </is>
      </c>
      <c r="G2708" s="21" t="inlineStr">
        <is>
          <t>R</t>
        </is>
      </c>
      <c r="H2708" s="22" t="n">
        <v>5518918</v>
      </c>
      <c r="I2708" s="22" t="n">
        <v>750000</v>
      </c>
      <c r="J2708" s="21">
        <f>IF(OR(H2708="",H2708=25529689.5),"Yes","No")</f>
        <v/>
      </c>
      <c r="K2708" s="21">
        <f>IF(AND(D2708="USA",C2708&gt;=1980,J2708="No"),"Yes","No")</f>
        <v/>
      </c>
      <c r="L2708" s="26">
        <f>IF(J2708="Yes","",H2708-I2708)</f>
        <v/>
      </c>
      <c r="M2708" s="27">
        <f>IF(OR(J2708="Yes",I2708=0),"",H2708/I2708)</f>
        <v/>
      </c>
      <c r="N2708" s="21">
        <f>IF(J2708="Yes","",IF(H2708&gt;=I2708,1,0))</f>
        <v/>
      </c>
      <c r="O2708" s="21">
        <f>IF(I2708&lt;=5000000,"Under $5M",IF(I2708&lt;=20000000,"$5M-20M",IF(I2708&lt;=50000000,"$20M-50M",IF(I2708&lt;=100000000,"$50M-100M","$100M+"))))</f>
        <v/>
      </c>
      <c r="P2708" s="21">
        <f>IF(E2708&lt;=90,"90 or less",IF(E2708&lt;=105,"91-105",IF(E2708&lt;=120,"106-120",IF(E2708&lt;=140,"121-140","Over 140"))))</f>
        <v/>
      </c>
      <c r="Q2708" s="28">
        <f>INT(C2708/10)*10</f>
        <v/>
      </c>
    </row>
    <row r="2709">
      <c r="A2709" s="21" t="n">
        <v>2766</v>
      </c>
      <c r="B2709" s="21" t="inlineStr">
        <is>
          <t>Arn: The Knight Templar</t>
        </is>
      </c>
      <c r="C2709" s="21" t="n">
        <v>2007</v>
      </c>
      <c r="D2709" s="21" t="inlineStr">
        <is>
          <t>Sweden</t>
        </is>
      </c>
      <c r="E2709" s="21" t="n">
        <v>270</v>
      </c>
      <c r="F2709" s="21" t="inlineStr">
        <is>
          <t>Swedish</t>
        </is>
      </c>
      <c r="G2709" s="21" t="n"/>
      <c r="H2709" s="22" t="n">
        <v>25529689.5</v>
      </c>
      <c r="I2709" s="22" t="n">
        <v>25000000</v>
      </c>
      <c r="J2709" s="21">
        <f>IF(OR(H2709="",H2709=25529689.5),"Yes","No")</f>
        <v/>
      </c>
      <c r="K2709" s="21">
        <f>IF(AND(D2709="USA",C2709&gt;=1980,J2709="No"),"Yes","No")</f>
        <v/>
      </c>
      <c r="L2709" s="26">
        <f>IF(J2709="Yes","",H2709-I2709)</f>
        <v/>
      </c>
      <c r="M2709" s="27">
        <f>IF(OR(J2709="Yes",I2709=0),"",H2709/I2709)</f>
        <v/>
      </c>
      <c r="N2709" s="21">
        <f>IF(J2709="Yes","",IF(H2709&gt;=I2709,1,0))</f>
        <v/>
      </c>
      <c r="O2709" s="21">
        <f>IF(I2709&lt;=5000000,"Under $5M",IF(I2709&lt;=20000000,"$5M-20M",IF(I2709&lt;=50000000,"$20M-50M",IF(I2709&lt;=100000000,"$50M-100M","$100M+"))))</f>
        <v/>
      </c>
      <c r="P2709" s="21">
        <f>IF(E2709&lt;=90,"90 or less",IF(E2709&lt;=105,"91-105",IF(E2709&lt;=120,"106-120",IF(E2709&lt;=140,"121-140","Over 140"))))</f>
        <v/>
      </c>
      <c r="Q2709" s="28">
        <f>INT(C2709/10)*10</f>
        <v/>
      </c>
    </row>
    <row r="2710">
      <c r="A2710" s="21" t="n">
        <v>2767</v>
      </c>
      <c r="B2710" s="21" t="inlineStr">
        <is>
          <t>Arnolds Park</t>
        </is>
      </c>
      <c r="C2710" s="21" t="n">
        <v>2007</v>
      </c>
      <c r="D2710" s="21" t="inlineStr">
        <is>
          <t>USA</t>
        </is>
      </c>
      <c r="E2710" s="21" t="n">
        <v>103</v>
      </c>
      <c r="F2710" s="21" t="inlineStr">
        <is>
          <t>English</t>
        </is>
      </c>
      <c r="G2710" s="21" t="inlineStr">
        <is>
          <t>PG-13</t>
        </is>
      </c>
      <c r="H2710" s="22" t="n">
        <v>23616</v>
      </c>
      <c r="I2710" s="22" t="n">
        <v>600000</v>
      </c>
      <c r="J2710" s="21">
        <f>IF(OR(H2710="",H2710=25529689.5),"Yes","No")</f>
        <v/>
      </c>
      <c r="K2710" s="21">
        <f>IF(AND(D2710="USA",C2710&gt;=1980,J2710="No"),"Yes","No")</f>
        <v/>
      </c>
      <c r="L2710" s="26">
        <f>IF(J2710="Yes","",H2710-I2710)</f>
        <v/>
      </c>
      <c r="M2710" s="27">
        <f>IF(OR(J2710="Yes",I2710=0),"",H2710/I2710)</f>
        <v/>
      </c>
      <c r="N2710" s="21">
        <f>IF(J2710="Yes","",IF(H2710&gt;=I2710,1,0))</f>
        <v/>
      </c>
      <c r="O2710" s="21">
        <f>IF(I2710&lt;=5000000,"Under $5M",IF(I2710&lt;=20000000,"$5M-20M",IF(I2710&lt;=50000000,"$20M-50M",IF(I2710&lt;=100000000,"$50M-100M","$100M+"))))</f>
        <v/>
      </c>
      <c r="P2710" s="21">
        <f>IF(E2710&lt;=90,"90 or less",IF(E2710&lt;=105,"91-105",IF(E2710&lt;=120,"106-120",IF(E2710&lt;=140,"121-140","Over 140"))))</f>
        <v/>
      </c>
      <c r="Q2710" s="28">
        <f>INT(C2710/10)*10</f>
        <v/>
      </c>
    </row>
    <row r="2711">
      <c r="A2711" s="21" t="n">
        <v>2768</v>
      </c>
      <c r="B2711" s="21" t="inlineStr">
        <is>
          <t>Atonement</t>
        </is>
      </c>
      <c r="C2711" s="21" t="n">
        <v>2007</v>
      </c>
      <c r="D2711" s="21" t="inlineStr">
        <is>
          <t>UK</t>
        </is>
      </c>
      <c r="E2711" s="21" t="n">
        <v>123</v>
      </c>
      <c r="F2711" s="21" t="inlineStr">
        <is>
          <t>English</t>
        </is>
      </c>
      <c r="G2711" s="21" t="inlineStr">
        <is>
          <t>R</t>
        </is>
      </c>
      <c r="H2711" s="22" t="n">
        <v>50921738</v>
      </c>
      <c r="I2711" s="22" t="n">
        <v>30000000</v>
      </c>
      <c r="J2711" s="21">
        <f>IF(OR(H2711="",H2711=25529689.5),"Yes","No")</f>
        <v/>
      </c>
      <c r="K2711" s="21">
        <f>IF(AND(D2711="USA",C2711&gt;=1980,J2711="No"),"Yes","No")</f>
        <v/>
      </c>
      <c r="L2711" s="26">
        <f>IF(J2711="Yes","",H2711-I2711)</f>
        <v/>
      </c>
      <c r="M2711" s="27">
        <f>IF(OR(J2711="Yes",I2711=0),"",H2711/I2711)</f>
        <v/>
      </c>
      <c r="N2711" s="21">
        <f>IF(J2711="Yes","",IF(H2711&gt;=I2711,1,0))</f>
        <v/>
      </c>
      <c r="O2711" s="21">
        <f>IF(I2711&lt;=5000000,"Under $5M",IF(I2711&lt;=20000000,"$5M-20M",IF(I2711&lt;=50000000,"$20M-50M",IF(I2711&lt;=100000000,"$50M-100M","$100M+"))))</f>
        <v/>
      </c>
      <c r="P2711" s="21">
        <f>IF(E2711&lt;=90,"90 or less",IF(E2711&lt;=105,"91-105",IF(E2711&lt;=120,"106-120",IF(E2711&lt;=140,"121-140","Over 140"))))</f>
        <v/>
      </c>
      <c r="Q2711" s="28">
        <f>INT(C2711/10)*10</f>
        <v/>
      </c>
    </row>
    <row r="2712">
      <c r="A2712" s="21" t="n">
        <v>2769</v>
      </c>
      <c r="B2712" s="21" t="inlineStr">
        <is>
          <t>August Rush</t>
        </is>
      </c>
      <c r="C2712" s="21" t="n">
        <v>2007</v>
      </c>
      <c r="D2712" s="21" t="inlineStr">
        <is>
          <t>USA</t>
        </is>
      </c>
      <c r="E2712" s="21" t="n">
        <v>114</v>
      </c>
      <c r="F2712" s="21" t="inlineStr">
        <is>
          <t>English</t>
        </is>
      </c>
      <c r="G2712" s="21" t="inlineStr">
        <is>
          <t>PG</t>
        </is>
      </c>
      <c r="H2712" s="22" t="n">
        <v>31655091</v>
      </c>
      <c r="I2712" s="22" t="n">
        <v>30000000</v>
      </c>
      <c r="J2712" s="21">
        <f>IF(OR(H2712="",H2712=25529689.5),"Yes","No")</f>
        <v/>
      </c>
      <c r="K2712" s="21">
        <f>IF(AND(D2712="USA",C2712&gt;=1980,J2712="No"),"Yes","No")</f>
        <v/>
      </c>
      <c r="L2712" s="26">
        <f>IF(J2712="Yes","",H2712-I2712)</f>
        <v/>
      </c>
      <c r="M2712" s="27">
        <f>IF(OR(J2712="Yes",I2712=0),"",H2712/I2712)</f>
        <v/>
      </c>
      <c r="N2712" s="21">
        <f>IF(J2712="Yes","",IF(H2712&gt;=I2712,1,0))</f>
        <v/>
      </c>
      <c r="O2712" s="21">
        <f>IF(I2712&lt;=5000000,"Under $5M",IF(I2712&lt;=20000000,"$5M-20M",IF(I2712&lt;=50000000,"$20M-50M",IF(I2712&lt;=100000000,"$50M-100M","$100M+"))))</f>
        <v/>
      </c>
      <c r="P2712" s="21">
        <f>IF(E2712&lt;=90,"90 or less",IF(E2712&lt;=105,"91-105",IF(E2712&lt;=120,"106-120",IF(E2712&lt;=140,"121-140","Over 140"))))</f>
        <v/>
      </c>
      <c r="Q2712" s="28">
        <f>INT(C2712/10)*10</f>
        <v/>
      </c>
    </row>
    <row r="2713">
      <c r="A2713" s="21" t="n">
        <v>2770</v>
      </c>
      <c r="B2713" s="21" t="inlineStr">
        <is>
          <t>Awake</t>
        </is>
      </c>
      <c r="C2713" s="21" t="n">
        <v>2007</v>
      </c>
      <c r="D2713" s="21" t="inlineStr">
        <is>
          <t>USA</t>
        </is>
      </c>
      <c r="E2713" s="21" t="n">
        <v>84</v>
      </c>
      <c r="F2713" s="21" t="inlineStr">
        <is>
          <t>English</t>
        </is>
      </c>
      <c r="G2713" s="21" t="inlineStr">
        <is>
          <t>R</t>
        </is>
      </c>
      <c r="H2713" s="22" t="n">
        <v>14373825</v>
      </c>
      <c r="I2713" s="22" t="n">
        <v>8600000</v>
      </c>
      <c r="J2713" s="21">
        <f>IF(OR(H2713="",H2713=25529689.5),"Yes","No")</f>
        <v/>
      </c>
      <c r="K2713" s="21">
        <f>IF(AND(D2713="USA",C2713&gt;=1980,J2713="No"),"Yes","No")</f>
        <v/>
      </c>
      <c r="L2713" s="26">
        <f>IF(J2713="Yes","",H2713-I2713)</f>
        <v/>
      </c>
      <c r="M2713" s="27">
        <f>IF(OR(J2713="Yes",I2713=0),"",H2713/I2713)</f>
        <v/>
      </c>
      <c r="N2713" s="21">
        <f>IF(J2713="Yes","",IF(H2713&gt;=I2713,1,0))</f>
        <v/>
      </c>
      <c r="O2713" s="21">
        <f>IF(I2713&lt;=5000000,"Under $5M",IF(I2713&lt;=20000000,"$5M-20M",IF(I2713&lt;=50000000,"$20M-50M",IF(I2713&lt;=100000000,"$50M-100M","$100M+"))))</f>
        <v/>
      </c>
      <c r="P2713" s="21">
        <f>IF(E2713&lt;=90,"90 or less",IF(E2713&lt;=105,"91-105",IF(E2713&lt;=120,"106-120",IF(E2713&lt;=140,"121-140","Over 140"))))</f>
        <v/>
      </c>
      <c r="Q2713" s="28">
        <f>INT(C2713/10)*10</f>
        <v/>
      </c>
    </row>
    <row r="2714">
      <c r="A2714" s="21" t="n">
        <v>2771</v>
      </c>
      <c r="B2714" s="21" t="inlineStr">
        <is>
          <t>Because I Said So</t>
        </is>
      </c>
      <c r="C2714" s="21" t="n">
        <v>2007</v>
      </c>
      <c r="D2714" s="21" t="inlineStr">
        <is>
          <t>USA</t>
        </is>
      </c>
      <c r="E2714" s="21" t="n">
        <v>102</v>
      </c>
      <c r="F2714" s="21" t="inlineStr">
        <is>
          <t>English</t>
        </is>
      </c>
      <c r="G2714" s="21" t="inlineStr">
        <is>
          <t>PG-13</t>
        </is>
      </c>
      <c r="H2714" s="22" t="n">
        <v>42640890</v>
      </c>
      <c r="I2714" s="22" t="n">
        <v>20000000</v>
      </c>
      <c r="J2714" s="21">
        <f>IF(OR(H2714="",H2714=25529689.5),"Yes","No")</f>
        <v/>
      </c>
      <c r="K2714" s="21">
        <f>IF(AND(D2714="USA",C2714&gt;=1980,J2714="No"),"Yes","No")</f>
        <v/>
      </c>
      <c r="L2714" s="26">
        <f>IF(J2714="Yes","",H2714-I2714)</f>
        <v/>
      </c>
      <c r="M2714" s="27">
        <f>IF(OR(J2714="Yes",I2714=0),"",H2714/I2714)</f>
        <v/>
      </c>
      <c r="N2714" s="21">
        <f>IF(J2714="Yes","",IF(H2714&gt;=I2714,1,0))</f>
        <v/>
      </c>
      <c r="O2714" s="21">
        <f>IF(I2714&lt;=5000000,"Under $5M",IF(I2714&lt;=20000000,"$5M-20M",IF(I2714&lt;=50000000,"$20M-50M",IF(I2714&lt;=100000000,"$50M-100M","$100M+"))))</f>
        <v/>
      </c>
      <c r="P2714" s="21">
        <f>IF(E2714&lt;=90,"90 or less",IF(E2714&lt;=105,"91-105",IF(E2714&lt;=120,"106-120",IF(E2714&lt;=140,"121-140","Over 140"))))</f>
        <v/>
      </c>
      <c r="Q2714" s="28">
        <f>INT(C2714/10)*10</f>
        <v/>
      </c>
    </row>
    <row r="2715">
      <c r="A2715" s="21" t="n">
        <v>2772</v>
      </c>
      <c r="B2715" s="21" t="inlineStr">
        <is>
          <t>Becoming Jane</t>
        </is>
      </c>
      <c r="C2715" s="21" t="n">
        <v>2007</v>
      </c>
      <c r="D2715" s="21" t="inlineStr">
        <is>
          <t>UK</t>
        </is>
      </c>
      <c r="E2715" s="21" t="n">
        <v>120</v>
      </c>
      <c r="F2715" s="21" t="inlineStr">
        <is>
          <t>English</t>
        </is>
      </c>
      <c r="G2715" s="21" t="inlineStr">
        <is>
          <t>PG</t>
        </is>
      </c>
      <c r="H2715" s="22" t="n">
        <v>18663911</v>
      </c>
      <c r="I2715" s="22" t="n">
        <v>16500000</v>
      </c>
      <c r="J2715" s="21">
        <f>IF(OR(H2715="",H2715=25529689.5),"Yes","No")</f>
        <v/>
      </c>
      <c r="K2715" s="21">
        <f>IF(AND(D2715="USA",C2715&gt;=1980,J2715="No"),"Yes","No")</f>
        <v/>
      </c>
      <c r="L2715" s="26">
        <f>IF(J2715="Yes","",H2715-I2715)</f>
        <v/>
      </c>
      <c r="M2715" s="27">
        <f>IF(OR(J2715="Yes",I2715=0),"",H2715/I2715)</f>
        <v/>
      </c>
      <c r="N2715" s="21">
        <f>IF(J2715="Yes","",IF(H2715&gt;=I2715,1,0))</f>
        <v/>
      </c>
      <c r="O2715" s="21">
        <f>IF(I2715&lt;=5000000,"Under $5M",IF(I2715&lt;=20000000,"$5M-20M",IF(I2715&lt;=50000000,"$20M-50M",IF(I2715&lt;=100000000,"$50M-100M","$100M+"))))</f>
        <v/>
      </c>
      <c r="P2715" s="21">
        <f>IF(E2715&lt;=90,"90 or less",IF(E2715&lt;=105,"91-105",IF(E2715&lt;=120,"106-120",IF(E2715&lt;=140,"121-140","Over 140"))))</f>
        <v/>
      </c>
      <c r="Q2715" s="28">
        <f>INT(C2715/10)*10</f>
        <v/>
      </c>
    </row>
    <row r="2716">
      <c r="A2716" s="21" t="n">
        <v>2773</v>
      </c>
      <c r="B2716" s="21" t="inlineStr">
        <is>
          <t>Bee Movie</t>
        </is>
      </c>
      <c r="C2716" s="21" t="n">
        <v>2007</v>
      </c>
      <c r="D2716" s="21" t="inlineStr">
        <is>
          <t>USA</t>
        </is>
      </c>
      <c r="E2716" s="21" t="n">
        <v>91</v>
      </c>
      <c r="F2716" s="21" t="inlineStr">
        <is>
          <t>English</t>
        </is>
      </c>
      <c r="G2716" s="21" t="inlineStr">
        <is>
          <t>PG</t>
        </is>
      </c>
      <c r="H2716" s="22" t="n">
        <v>126597121</v>
      </c>
      <c r="I2716" s="22" t="n">
        <v>150000000</v>
      </c>
      <c r="J2716" s="21">
        <f>IF(OR(H2716="",H2716=25529689.5),"Yes","No")</f>
        <v/>
      </c>
      <c r="K2716" s="21">
        <f>IF(AND(D2716="USA",C2716&gt;=1980,J2716="No"),"Yes","No")</f>
        <v/>
      </c>
      <c r="L2716" s="26">
        <f>IF(J2716="Yes","",H2716-I2716)</f>
        <v/>
      </c>
      <c r="M2716" s="27">
        <f>IF(OR(J2716="Yes",I2716=0),"",H2716/I2716)</f>
        <v/>
      </c>
      <c r="N2716" s="21">
        <f>IF(J2716="Yes","",IF(H2716&gt;=I2716,1,0))</f>
        <v/>
      </c>
      <c r="O2716" s="21">
        <f>IF(I2716&lt;=5000000,"Under $5M",IF(I2716&lt;=20000000,"$5M-20M",IF(I2716&lt;=50000000,"$20M-50M",IF(I2716&lt;=100000000,"$50M-100M","$100M+"))))</f>
        <v/>
      </c>
      <c r="P2716" s="21">
        <f>IF(E2716&lt;=90,"90 or less",IF(E2716&lt;=105,"91-105",IF(E2716&lt;=120,"106-120",IF(E2716&lt;=140,"121-140","Over 140"))))</f>
        <v/>
      </c>
      <c r="Q2716" s="28">
        <f>INT(C2716/10)*10</f>
        <v/>
      </c>
    </row>
    <row r="2717">
      <c r="A2717" s="21" t="n">
        <v>2774</v>
      </c>
      <c r="B2717" s="21" t="inlineStr">
        <is>
          <t>Beowulf</t>
        </is>
      </c>
      <c r="C2717" s="21" t="n">
        <v>2007</v>
      </c>
      <c r="D2717" s="21" t="inlineStr">
        <is>
          <t>USA</t>
        </is>
      </c>
      <c r="E2717" s="21" t="n">
        <v>115</v>
      </c>
      <c r="F2717" s="21" t="inlineStr">
        <is>
          <t>English</t>
        </is>
      </c>
      <c r="G2717" s="21" t="inlineStr">
        <is>
          <t>PG-13</t>
        </is>
      </c>
      <c r="H2717" s="22" t="n">
        <v>82161969</v>
      </c>
      <c r="I2717" s="22" t="n">
        <v>150000000</v>
      </c>
      <c r="J2717" s="21">
        <f>IF(OR(H2717="",H2717=25529689.5),"Yes","No")</f>
        <v/>
      </c>
      <c r="K2717" s="21">
        <f>IF(AND(D2717="USA",C2717&gt;=1980,J2717="No"),"Yes","No")</f>
        <v/>
      </c>
      <c r="L2717" s="26">
        <f>IF(J2717="Yes","",H2717-I2717)</f>
        <v/>
      </c>
      <c r="M2717" s="27">
        <f>IF(OR(J2717="Yes",I2717=0),"",H2717/I2717)</f>
        <v/>
      </c>
      <c r="N2717" s="21">
        <f>IF(J2717="Yes","",IF(H2717&gt;=I2717,1,0))</f>
        <v/>
      </c>
      <c r="O2717" s="21">
        <f>IF(I2717&lt;=5000000,"Under $5M",IF(I2717&lt;=20000000,"$5M-20M",IF(I2717&lt;=50000000,"$20M-50M",IF(I2717&lt;=100000000,"$50M-100M","$100M+"))))</f>
        <v/>
      </c>
      <c r="P2717" s="21">
        <f>IF(E2717&lt;=90,"90 or less",IF(E2717&lt;=105,"91-105",IF(E2717&lt;=120,"106-120",IF(E2717&lt;=140,"121-140","Over 140"))))</f>
        <v/>
      </c>
      <c r="Q2717" s="28">
        <f>INT(C2717/10)*10</f>
        <v/>
      </c>
    </row>
    <row r="2718">
      <c r="A2718" s="21" t="n">
        <v>2775</v>
      </c>
      <c r="B2718" s="21" t="inlineStr">
        <is>
          <t>Blades of Glory</t>
        </is>
      </c>
      <c r="C2718" s="21" t="n">
        <v>2007</v>
      </c>
      <c r="D2718" s="21" t="inlineStr">
        <is>
          <t>USA</t>
        </is>
      </c>
      <c r="E2718" s="21" t="n">
        <v>93</v>
      </c>
      <c r="F2718" s="21" t="inlineStr">
        <is>
          <t>English</t>
        </is>
      </c>
      <c r="G2718" s="21" t="inlineStr">
        <is>
          <t>PG-13</t>
        </is>
      </c>
      <c r="H2718" s="22" t="n">
        <v>118153533</v>
      </c>
      <c r="I2718" s="22" t="n">
        <v>61000000</v>
      </c>
      <c r="J2718" s="21">
        <f>IF(OR(H2718="",H2718=25529689.5),"Yes","No")</f>
        <v/>
      </c>
      <c r="K2718" s="21">
        <f>IF(AND(D2718="USA",C2718&gt;=1980,J2718="No"),"Yes","No")</f>
        <v/>
      </c>
      <c r="L2718" s="26">
        <f>IF(J2718="Yes","",H2718-I2718)</f>
        <v/>
      </c>
      <c r="M2718" s="27">
        <f>IF(OR(J2718="Yes",I2718=0),"",H2718/I2718)</f>
        <v/>
      </c>
      <c r="N2718" s="21">
        <f>IF(J2718="Yes","",IF(H2718&gt;=I2718,1,0))</f>
        <v/>
      </c>
      <c r="O2718" s="21">
        <f>IF(I2718&lt;=5000000,"Under $5M",IF(I2718&lt;=20000000,"$5M-20M",IF(I2718&lt;=50000000,"$20M-50M",IF(I2718&lt;=100000000,"$50M-100M","$100M+"))))</f>
        <v/>
      </c>
      <c r="P2718" s="21">
        <f>IF(E2718&lt;=90,"90 or less",IF(E2718&lt;=105,"91-105",IF(E2718&lt;=120,"106-120",IF(E2718&lt;=140,"121-140","Over 140"))))</f>
        <v/>
      </c>
      <c r="Q2718" s="28">
        <f>INT(C2718/10)*10</f>
        <v/>
      </c>
    </row>
    <row r="2719">
      <c r="A2719" s="21" t="n">
        <v>2776</v>
      </c>
      <c r="B2719" s="21" t="inlineStr">
        <is>
          <t>Blonde Ambition</t>
        </is>
      </c>
      <c r="C2719" s="21" t="n">
        <v>2007</v>
      </c>
      <c r="D2719" s="21" t="inlineStr">
        <is>
          <t>USA</t>
        </is>
      </c>
      <c r="E2719" s="21" t="n">
        <v>93</v>
      </c>
      <c r="F2719" s="21" t="inlineStr">
        <is>
          <t>English</t>
        </is>
      </c>
      <c r="G2719" s="21" t="inlineStr">
        <is>
          <t>PG-13</t>
        </is>
      </c>
      <c r="H2719" s="22" t="n">
        <v>5561</v>
      </c>
      <c r="I2719" s="22" t="n">
        <v>10000000</v>
      </c>
      <c r="J2719" s="21">
        <f>IF(OR(H2719="",H2719=25529689.5),"Yes","No")</f>
        <v/>
      </c>
      <c r="K2719" s="21">
        <f>IF(AND(D2719="USA",C2719&gt;=1980,J2719="No"),"Yes","No")</f>
        <v/>
      </c>
      <c r="L2719" s="26">
        <f>IF(J2719="Yes","",H2719-I2719)</f>
        <v/>
      </c>
      <c r="M2719" s="27">
        <f>IF(OR(J2719="Yes",I2719=0),"",H2719/I2719)</f>
        <v/>
      </c>
      <c r="N2719" s="21">
        <f>IF(J2719="Yes","",IF(H2719&gt;=I2719,1,0))</f>
        <v/>
      </c>
      <c r="O2719" s="21">
        <f>IF(I2719&lt;=5000000,"Under $5M",IF(I2719&lt;=20000000,"$5M-20M",IF(I2719&lt;=50000000,"$20M-50M",IF(I2719&lt;=100000000,"$50M-100M","$100M+"))))</f>
        <v/>
      </c>
      <c r="P2719" s="21">
        <f>IF(E2719&lt;=90,"90 or less",IF(E2719&lt;=105,"91-105",IF(E2719&lt;=120,"106-120",IF(E2719&lt;=140,"121-140","Over 140"))))</f>
        <v/>
      </c>
      <c r="Q2719" s="28">
        <f>INT(C2719/10)*10</f>
        <v/>
      </c>
    </row>
    <row r="2720">
      <c r="A2720" s="21" t="n">
        <v>2777</v>
      </c>
      <c r="B2720" s="21" t="inlineStr">
        <is>
          <t>Blood and Chocolate</t>
        </is>
      </c>
      <c r="C2720" s="21" t="n">
        <v>2007</v>
      </c>
      <c r="D2720" s="21" t="inlineStr">
        <is>
          <t>USA</t>
        </is>
      </c>
      <c r="E2720" s="21" t="n">
        <v>98</v>
      </c>
      <c r="F2720" s="21" t="inlineStr">
        <is>
          <t>English</t>
        </is>
      </c>
      <c r="G2720" s="21" t="inlineStr">
        <is>
          <t>PG-13</t>
        </is>
      </c>
      <c r="H2720" s="22" t="n">
        <v>3525161</v>
      </c>
      <c r="I2720" s="22" t="n">
        <v>20000000</v>
      </c>
      <c r="J2720" s="21">
        <f>IF(OR(H2720="",H2720=25529689.5),"Yes","No")</f>
        <v/>
      </c>
      <c r="K2720" s="21">
        <f>IF(AND(D2720="USA",C2720&gt;=1980,J2720="No"),"Yes","No")</f>
        <v/>
      </c>
      <c r="L2720" s="26">
        <f>IF(J2720="Yes","",H2720-I2720)</f>
        <v/>
      </c>
      <c r="M2720" s="27">
        <f>IF(OR(J2720="Yes",I2720=0),"",H2720/I2720)</f>
        <v/>
      </c>
      <c r="N2720" s="21">
        <f>IF(J2720="Yes","",IF(H2720&gt;=I2720,1,0))</f>
        <v/>
      </c>
      <c r="O2720" s="21">
        <f>IF(I2720&lt;=5000000,"Under $5M",IF(I2720&lt;=20000000,"$5M-20M",IF(I2720&lt;=50000000,"$20M-50M",IF(I2720&lt;=100000000,"$50M-100M","$100M+"))))</f>
        <v/>
      </c>
      <c r="P2720" s="21">
        <f>IF(E2720&lt;=90,"90 or less",IF(E2720&lt;=105,"91-105",IF(E2720&lt;=120,"106-120",IF(E2720&lt;=140,"121-140","Over 140"))))</f>
        <v/>
      </c>
      <c r="Q2720" s="28">
        <f>INT(C2720/10)*10</f>
        <v/>
      </c>
    </row>
    <row r="2721">
      <c r="A2721" s="21" t="n">
        <v>2778</v>
      </c>
      <c r="B2721" s="21" t="inlineStr">
        <is>
          <t>Brick Lane</t>
        </is>
      </c>
      <c r="C2721" s="21" t="n">
        <v>2007</v>
      </c>
      <c r="D2721" s="21" t="inlineStr">
        <is>
          <t>UK</t>
        </is>
      </c>
      <c r="E2721" s="21" t="n">
        <v>101</v>
      </c>
      <c r="F2721" s="21" t="inlineStr">
        <is>
          <t>English</t>
        </is>
      </c>
      <c r="G2721" s="21" t="inlineStr">
        <is>
          <t>PG-13</t>
        </is>
      </c>
      <c r="H2721" s="22" t="n">
        <v>1094998</v>
      </c>
      <c r="I2721" s="22" t="n">
        <v>20000000</v>
      </c>
      <c r="J2721" s="21">
        <f>IF(OR(H2721="",H2721=25529689.5),"Yes","No")</f>
        <v/>
      </c>
      <c r="K2721" s="21">
        <f>IF(AND(D2721="USA",C2721&gt;=1980,J2721="No"),"Yes","No")</f>
        <v/>
      </c>
      <c r="L2721" s="26">
        <f>IF(J2721="Yes","",H2721-I2721)</f>
        <v/>
      </c>
      <c r="M2721" s="27">
        <f>IF(OR(J2721="Yes",I2721=0),"",H2721/I2721)</f>
        <v/>
      </c>
      <c r="N2721" s="21">
        <f>IF(J2721="Yes","",IF(H2721&gt;=I2721,1,0))</f>
        <v/>
      </c>
      <c r="O2721" s="21">
        <f>IF(I2721&lt;=5000000,"Under $5M",IF(I2721&lt;=20000000,"$5M-20M",IF(I2721&lt;=50000000,"$20M-50M",IF(I2721&lt;=100000000,"$50M-100M","$100M+"))))</f>
        <v/>
      </c>
      <c r="P2721" s="21">
        <f>IF(E2721&lt;=90,"90 or less",IF(E2721&lt;=105,"91-105",IF(E2721&lt;=120,"106-120",IF(E2721&lt;=140,"121-140","Over 140"))))</f>
        <v/>
      </c>
      <c r="Q2721" s="28">
        <f>INT(C2721/10)*10</f>
        <v/>
      </c>
    </row>
    <row r="2722">
      <c r="A2722" s="21" t="n">
        <v>2779</v>
      </c>
      <c r="B2722" s="21" t="inlineStr">
        <is>
          <t>Bridge to Terabithia</t>
        </is>
      </c>
      <c r="C2722" s="21" t="n">
        <v>2007</v>
      </c>
      <c r="D2722" s="21" t="inlineStr">
        <is>
          <t>USA</t>
        </is>
      </c>
      <c r="E2722" s="21" t="n">
        <v>96</v>
      </c>
      <c r="F2722" s="21" t="inlineStr">
        <is>
          <t>English</t>
        </is>
      </c>
      <c r="G2722" s="21" t="inlineStr">
        <is>
          <t>PG</t>
        </is>
      </c>
      <c r="H2722" s="22" t="n">
        <v>82234139</v>
      </c>
      <c r="I2722" s="22" t="n">
        <v>17000000</v>
      </c>
      <c r="J2722" s="21">
        <f>IF(OR(H2722="",H2722=25529689.5),"Yes","No")</f>
        <v/>
      </c>
      <c r="K2722" s="21">
        <f>IF(AND(D2722="USA",C2722&gt;=1980,J2722="No"),"Yes","No")</f>
        <v/>
      </c>
      <c r="L2722" s="26">
        <f>IF(J2722="Yes","",H2722-I2722)</f>
        <v/>
      </c>
      <c r="M2722" s="27">
        <f>IF(OR(J2722="Yes",I2722=0),"",H2722/I2722)</f>
        <v/>
      </c>
      <c r="N2722" s="21">
        <f>IF(J2722="Yes","",IF(H2722&gt;=I2722,1,0))</f>
        <v/>
      </c>
      <c r="O2722" s="21">
        <f>IF(I2722&lt;=5000000,"Under $5M",IF(I2722&lt;=20000000,"$5M-20M",IF(I2722&lt;=50000000,"$20M-50M",IF(I2722&lt;=100000000,"$50M-100M","$100M+"))))</f>
        <v/>
      </c>
      <c r="P2722" s="21">
        <f>IF(E2722&lt;=90,"90 or less",IF(E2722&lt;=105,"91-105",IF(E2722&lt;=120,"106-120",IF(E2722&lt;=140,"121-140","Over 140"))))</f>
        <v/>
      </c>
      <c r="Q2722" s="28">
        <f>INT(C2722/10)*10</f>
        <v/>
      </c>
    </row>
    <row r="2723">
      <c r="A2723" s="21" t="n">
        <v>2780</v>
      </c>
      <c r="B2723" s="21" t="inlineStr">
        <is>
          <t>Brooklyn Rules</t>
        </is>
      </c>
      <c r="C2723" s="21" t="n">
        <v>2007</v>
      </c>
      <c r="D2723" s="21" t="inlineStr">
        <is>
          <t>USA</t>
        </is>
      </c>
      <c r="E2723" s="21" t="n">
        <v>99</v>
      </c>
      <c r="F2723" s="21" t="inlineStr">
        <is>
          <t>English</t>
        </is>
      </c>
      <c r="G2723" s="21" t="inlineStr">
        <is>
          <t>R</t>
        </is>
      </c>
      <c r="H2723" s="22" t="n">
        <v>398420</v>
      </c>
      <c r="I2723" s="22" t="n">
        <v>8000000</v>
      </c>
      <c r="J2723" s="21">
        <f>IF(OR(H2723="",H2723=25529689.5),"Yes","No")</f>
        <v/>
      </c>
      <c r="K2723" s="21">
        <f>IF(AND(D2723="USA",C2723&gt;=1980,J2723="No"),"Yes","No")</f>
        <v/>
      </c>
      <c r="L2723" s="26">
        <f>IF(J2723="Yes","",H2723-I2723)</f>
        <v/>
      </c>
      <c r="M2723" s="27">
        <f>IF(OR(J2723="Yes",I2723=0),"",H2723/I2723)</f>
        <v/>
      </c>
      <c r="N2723" s="21">
        <f>IF(J2723="Yes","",IF(H2723&gt;=I2723,1,0))</f>
        <v/>
      </c>
      <c r="O2723" s="21">
        <f>IF(I2723&lt;=5000000,"Under $5M",IF(I2723&lt;=20000000,"$5M-20M",IF(I2723&lt;=50000000,"$20M-50M",IF(I2723&lt;=100000000,"$50M-100M","$100M+"))))</f>
        <v/>
      </c>
      <c r="P2723" s="21">
        <f>IF(E2723&lt;=90,"90 or less",IF(E2723&lt;=105,"91-105",IF(E2723&lt;=120,"106-120",IF(E2723&lt;=140,"121-140","Over 140"))))</f>
        <v/>
      </c>
      <c r="Q2723" s="28">
        <f>INT(C2723/10)*10</f>
        <v/>
      </c>
    </row>
    <row r="2724">
      <c r="A2724" s="21" t="n">
        <v>2781</v>
      </c>
      <c r="B2724" s="21" t="inlineStr">
        <is>
          <t>Caramel</t>
        </is>
      </c>
      <c r="C2724" s="21" t="n">
        <v>2007</v>
      </c>
      <c r="D2724" s="21" t="inlineStr">
        <is>
          <t>France</t>
        </is>
      </c>
      <c r="E2724" s="21" t="n">
        <v>95</v>
      </c>
      <c r="F2724" s="21" t="inlineStr">
        <is>
          <t>Arabic</t>
        </is>
      </c>
      <c r="G2724" s="21" t="inlineStr">
        <is>
          <t>PG</t>
        </is>
      </c>
      <c r="H2724" s="22" t="n">
        <v>1060591</v>
      </c>
      <c r="I2724" s="22" t="n">
        <v>1300000</v>
      </c>
      <c r="J2724" s="21">
        <f>IF(OR(H2724="",H2724=25529689.5),"Yes","No")</f>
        <v/>
      </c>
      <c r="K2724" s="21">
        <f>IF(AND(D2724="USA",C2724&gt;=1980,J2724="No"),"Yes","No")</f>
        <v/>
      </c>
      <c r="L2724" s="26">
        <f>IF(J2724="Yes","",H2724-I2724)</f>
        <v/>
      </c>
      <c r="M2724" s="27">
        <f>IF(OR(J2724="Yes",I2724=0),"",H2724/I2724)</f>
        <v/>
      </c>
      <c r="N2724" s="21">
        <f>IF(J2724="Yes","",IF(H2724&gt;=I2724,1,0))</f>
        <v/>
      </c>
      <c r="O2724" s="21">
        <f>IF(I2724&lt;=5000000,"Under $5M",IF(I2724&lt;=20000000,"$5M-20M",IF(I2724&lt;=50000000,"$20M-50M",IF(I2724&lt;=100000000,"$50M-100M","$100M+"))))</f>
        <v/>
      </c>
      <c r="P2724" s="21">
        <f>IF(E2724&lt;=90,"90 or less",IF(E2724&lt;=105,"91-105",IF(E2724&lt;=120,"106-120",IF(E2724&lt;=140,"121-140","Over 140"))))</f>
        <v/>
      </c>
      <c r="Q2724" s="28">
        <f>INT(C2724/10)*10</f>
        <v/>
      </c>
    </row>
    <row r="2725">
      <c r="A2725" s="21" t="n">
        <v>2782</v>
      </c>
      <c r="B2725" s="21" t="inlineStr">
        <is>
          <t>Certifiably Jonathan</t>
        </is>
      </c>
      <c r="C2725" s="21" t="n">
        <v>2007</v>
      </c>
      <c r="D2725" s="21" t="inlineStr">
        <is>
          <t>USA</t>
        </is>
      </c>
      <c r="E2725" s="21" t="n">
        <v>85</v>
      </c>
      <c r="F2725" s="21" t="inlineStr">
        <is>
          <t>English</t>
        </is>
      </c>
      <c r="G2725" s="21" t="n"/>
      <c r="H2725" s="22" t="n">
        <v>7826</v>
      </c>
      <c r="I2725" s="22" t="n">
        <v>1200000</v>
      </c>
      <c r="J2725" s="21">
        <f>IF(OR(H2725="",H2725=25529689.5),"Yes","No")</f>
        <v/>
      </c>
      <c r="K2725" s="21">
        <f>IF(AND(D2725="USA",C2725&gt;=1980,J2725="No"),"Yes","No")</f>
        <v/>
      </c>
      <c r="L2725" s="26">
        <f>IF(J2725="Yes","",H2725-I2725)</f>
        <v/>
      </c>
      <c r="M2725" s="27">
        <f>IF(OR(J2725="Yes",I2725=0),"",H2725/I2725)</f>
        <v/>
      </c>
      <c r="N2725" s="21">
        <f>IF(J2725="Yes","",IF(H2725&gt;=I2725,1,0))</f>
        <v/>
      </c>
      <c r="O2725" s="21">
        <f>IF(I2725&lt;=5000000,"Under $5M",IF(I2725&lt;=20000000,"$5M-20M",IF(I2725&lt;=50000000,"$20M-50M",IF(I2725&lt;=100000000,"$50M-100M","$100M+"))))</f>
        <v/>
      </c>
      <c r="P2725" s="21">
        <f>IF(E2725&lt;=90,"90 or less",IF(E2725&lt;=105,"91-105",IF(E2725&lt;=120,"106-120",IF(E2725&lt;=140,"121-140","Over 140"))))</f>
        <v/>
      </c>
      <c r="Q2725" s="28">
        <f>INT(C2725/10)*10</f>
        <v/>
      </c>
    </row>
    <row r="2726">
      <c r="A2726" s="21" t="n">
        <v>2783</v>
      </c>
      <c r="B2726" s="21" t="inlineStr">
        <is>
          <t>Charlie Bartlett</t>
        </is>
      </c>
      <c r="C2726" s="21" t="n">
        <v>2007</v>
      </c>
      <c r="D2726" s="21" t="inlineStr">
        <is>
          <t>USA</t>
        </is>
      </c>
      <c r="E2726" s="21" t="n">
        <v>97</v>
      </c>
      <c r="F2726" s="21" t="inlineStr">
        <is>
          <t>English</t>
        </is>
      </c>
      <c r="G2726" s="21" t="inlineStr">
        <is>
          <t>R</t>
        </is>
      </c>
      <c r="H2726" s="22" t="n">
        <v>3950294</v>
      </c>
      <c r="I2726" s="22" t="n">
        <v>12000000</v>
      </c>
      <c r="J2726" s="21">
        <f>IF(OR(H2726="",H2726=25529689.5),"Yes","No")</f>
        <v/>
      </c>
      <c r="K2726" s="21">
        <f>IF(AND(D2726="USA",C2726&gt;=1980,J2726="No"),"Yes","No")</f>
        <v/>
      </c>
      <c r="L2726" s="26">
        <f>IF(J2726="Yes","",H2726-I2726)</f>
        <v/>
      </c>
      <c r="M2726" s="27">
        <f>IF(OR(J2726="Yes",I2726=0),"",H2726/I2726)</f>
        <v/>
      </c>
      <c r="N2726" s="21">
        <f>IF(J2726="Yes","",IF(H2726&gt;=I2726,1,0))</f>
        <v/>
      </c>
      <c r="O2726" s="21">
        <f>IF(I2726&lt;=5000000,"Under $5M",IF(I2726&lt;=20000000,"$5M-20M",IF(I2726&lt;=50000000,"$20M-50M",IF(I2726&lt;=100000000,"$50M-100M","$100M+"))))</f>
        <v/>
      </c>
      <c r="P2726" s="21">
        <f>IF(E2726&lt;=90,"90 or less",IF(E2726&lt;=105,"91-105",IF(E2726&lt;=120,"106-120",IF(E2726&lt;=140,"121-140","Over 140"))))</f>
        <v/>
      </c>
      <c r="Q2726" s="28">
        <f>INT(C2726/10)*10</f>
        <v/>
      </c>
    </row>
    <row r="2727">
      <c r="A2727" s="21" t="n">
        <v>2784</v>
      </c>
      <c r="B2727" s="21" t="inlineStr">
        <is>
          <t>Charlie Wilson's War</t>
        </is>
      </c>
      <c r="C2727" s="21" t="n">
        <v>2007</v>
      </c>
      <c r="D2727" s="21" t="inlineStr">
        <is>
          <t>USA</t>
        </is>
      </c>
      <c r="E2727" s="21" t="n">
        <v>102</v>
      </c>
      <c r="F2727" s="21" t="inlineStr">
        <is>
          <t>English</t>
        </is>
      </c>
      <c r="G2727" s="21" t="inlineStr">
        <is>
          <t>R</t>
        </is>
      </c>
      <c r="H2727" s="22" t="n">
        <v>66636385</v>
      </c>
      <c r="I2727" s="22" t="n">
        <v>75000000</v>
      </c>
      <c r="J2727" s="21">
        <f>IF(OR(H2727="",H2727=25529689.5),"Yes","No")</f>
        <v/>
      </c>
      <c r="K2727" s="21">
        <f>IF(AND(D2727="USA",C2727&gt;=1980,J2727="No"),"Yes","No")</f>
        <v/>
      </c>
      <c r="L2727" s="26">
        <f>IF(J2727="Yes","",H2727-I2727)</f>
        <v/>
      </c>
      <c r="M2727" s="27">
        <f>IF(OR(J2727="Yes",I2727=0),"",H2727/I2727)</f>
        <v/>
      </c>
      <c r="N2727" s="21">
        <f>IF(J2727="Yes","",IF(H2727&gt;=I2727,1,0))</f>
        <v/>
      </c>
      <c r="O2727" s="21">
        <f>IF(I2727&lt;=5000000,"Under $5M",IF(I2727&lt;=20000000,"$5M-20M",IF(I2727&lt;=50000000,"$20M-50M",IF(I2727&lt;=100000000,"$50M-100M","$100M+"))))</f>
        <v/>
      </c>
      <c r="P2727" s="21">
        <f>IF(E2727&lt;=90,"90 or less",IF(E2727&lt;=105,"91-105",IF(E2727&lt;=120,"106-120",IF(E2727&lt;=140,"121-140","Over 140"))))</f>
        <v/>
      </c>
      <c r="Q2727" s="28">
        <f>INT(C2727/10)*10</f>
        <v/>
      </c>
    </row>
    <row r="2728">
      <c r="A2728" s="21" t="n">
        <v>2785</v>
      </c>
      <c r="B2728" s="21" t="inlineStr">
        <is>
          <t>Closure</t>
        </is>
      </c>
      <c r="C2728" s="21" t="n">
        <v>2007</v>
      </c>
      <c r="D2728" s="21" t="inlineStr">
        <is>
          <t>UK</t>
        </is>
      </c>
      <c r="E2728" s="21" t="n">
        <v>80</v>
      </c>
      <c r="F2728" s="21" t="inlineStr">
        <is>
          <t>English</t>
        </is>
      </c>
      <c r="G2728" s="21" t="inlineStr">
        <is>
          <t>R</t>
        </is>
      </c>
      <c r="H2728" s="22" t="n">
        <v>25529689.5</v>
      </c>
      <c r="I2728" s="22" t="n">
        <v>1800000</v>
      </c>
      <c r="J2728" s="21">
        <f>IF(OR(H2728="",H2728=25529689.5),"Yes","No")</f>
        <v/>
      </c>
      <c r="K2728" s="21">
        <f>IF(AND(D2728="USA",C2728&gt;=1980,J2728="No"),"Yes","No")</f>
        <v/>
      </c>
      <c r="L2728" s="26">
        <f>IF(J2728="Yes","",H2728-I2728)</f>
        <v/>
      </c>
      <c r="M2728" s="27">
        <f>IF(OR(J2728="Yes",I2728=0),"",H2728/I2728)</f>
        <v/>
      </c>
      <c r="N2728" s="21">
        <f>IF(J2728="Yes","",IF(H2728&gt;=I2728,1,0))</f>
        <v/>
      </c>
      <c r="O2728" s="21">
        <f>IF(I2728&lt;=5000000,"Under $5M",IF(I2728&lt;=20000000,"$5M-20M",IF(I2728&lt;=50000000,"$20M-50M",IF(I2728&lt;=100000000,"$50M-100M","$100M+"))))</f>
        <v/>
      </c>
      <c r="P2728" s="21">
        <f>IF(E2728&lt;=90,"90 or less",IF(E2728&lt;=105,"91-105",IF(E2728&lt;=120,"106-120",IF(E2728&lt;=140,"121-140","Over 140"))))</f>
        <v/>
      </c>
      <c r="Q2728" s="28">
        <f>INT(C2728/10)*10</f>
        <v/>
      </c>
    </row>
    <row r="2729">
      <c r="A2729" s="21" t="n">
        <v>2786</v>
      </c>
      <c r="B2729" s="21" t="inlineStr">
        <is>
          <t>Code Name: The Cleaner</t>
        </is>
      </c>
      <c r="C2729" s="21" t="n">
        <v>2007</v>
      </c>
      <c r="D2729" s="21" t="inlineStr">
        <is>
          <t>USA</t>
        </is>
      </c>
      <c r="E2729" s="21" t="n">
        <v>91</v>
      </c>
      <c r="F2729" s="21" t="inlineStr">
        <is>
          <t>English</t>
        </is>
      </c>
      <c r="G2729" s="21" t="inlineStr">
        <is>
          <t>PG-13</t>
        </is>
      </c>
      <c r="H2729" s="22" t="n">
        <v>8104069</v>
      </c>
      <c r="I2729" s="22" t="n">
        <v>20000000</v>
      </c>
      <c r="J2729" s="21">
        <f>IF(OR(H2729="",H2729=25529689.5),"Yes","No")</f>
        <v/>
      </c>
      <c r="K2729" s="21">
        <f>IF(AND(D2729="USA",C2729&gt;=1980,J2729="No"),"Yes","No")</f>
        <v/>
      </c>
      <c r="L2729" s="26">
        <f>IF(J2729="Yes","",H2729-I2729)</f>
        <v/>
      </c>
      <c r="M2729" s="27">
        <f>IF(OR(J2729="Yes",I2729=0),"",H2729/I2729)</f>
        <v/>
      </c>
      <c r="N2729" s="21">
        <f>IF(J2729="Yes","",IF(H2729&gt;=I2729,1,0))</f>
        <v/>
      </c>
      <c r="O2729" s="21">
        <f>IF(I2729&lt;=5000000,"Under $5M",IF(I2729&lt;=20000000,"$5M-20M",IF(I2729&lt;=50000000,"$20M-50M",IF(I2729&lt;=100000000,"$50M-100M","$100M+"))))</f>
        <v/>
      </c>
      <c r="P2729" s="21">
        <f>IF(E2729&lt;=90,"90 or less",IF(E2729&lt;=105,"91-105",IF(E2729&lt;=120,"106-120",IF(E2729&lt;=140,"121-140","Over 140"))))</f>
        <v/>
      </c>
      <c r="Q2729" s="28">
        <f>INT(C2729/10)*10</f>
        <v/>
      </c>
    </row>
    <row r="2730">
      <c r="A2730" s="21" t="n">
        <v>2787</v>
      </c>
      <c r="B2730" s="21" t="inlineStr">
        <is>
          <t>Control</t>
        </is>
      </c>
      <c r="C2730" s="21" t="n">
        <v>2007</v>
      </c>
      <c r="D2730" s="21" t="inlineStr">
        <is>
          <t>UK</t>
        </is>
      </c>
      <c r="E2730" s="21" t="n">
        <v>122</v>
      </c>
      <c r="F2730" s="21" t="inlineStr">
        <is>
          <t>English</t>
        </is>
      </c>
      <c r="G2730" s="21" t="inlineStr">
        <is>
          <t>R</t>
        </is>
      </c>
      <c r="H2730" s="22" t="n">
        <v>871577</v>
      </c>
      <c r="I2730" s="22" t="n">
        <v>4500000</v>
      </c>
      <c r="J2730" s="21">
        <f>IF(OR(H2730="",H2730=25529689.5),"Yes","No")</f>
        <v/>
      </c>
      <c r="K2730" s="21">
        <f>IF(AND(D2730="USA",C2730&gt;=1980,J2730="No"),"Yes","No")</f>
        <v/>
      </c>
      <c r="L2730" s="26">
        <f>IF(J2730="Yes","",H2730-I2730)</f>
        <v/>
      </c>
      <c r="M2730" s="27">
        <f>IF(OR(J2730="Yes",I2730=0),"",H2730/I2730)</f>
        <v/>
      </c>
      <c r="N2730" s="21">
        <f>IF(J2730="Yes","",IF(H2730&gt;=I2730,1,0))</f>
        <v/>
      </c>
      <c r="O2730" s="21">
        <f>IF(I2730&lt;=5000000,"Under $5M",IF(I2730&lt;=20000000,"$5M-20M",IF(I2730&lt;=50000000,"$20M-50M",IF(I2730&lt;=100000000,"$50M-100M","$100M+"))))</f>
        <v/>
      </c>
      <c r="P2730" s="21">
        <f>IF(E2730&lt;=90,"90 or less",IF(E2730&lt;=105,"91-105",IF(E2730&lt;=120,"106-120",IF(E2730&lt;=140,"121-140","Over 140"))))</f>
        <v/>
      </c>
      <c r="Q2730" s="28">
        <f>INT(C2730/10)*10</f>
        <v/>
      </c>
    </row>
    <row r="2731">
      <c r="A2731" s="21" t="n">
        <v>2788</v>
      </c>
      <c r="B2731" s="21" t="inlineStr">
        <is>
          <t>Daddy Day Camp</t>
        </is>
      </c>
      <c r="C2731" s="21" t="n">
        <v>2007</v>
      </c>
      <c r="D2731" s="21" t="inlineStr">
        <is>
          <t>USA</t>
        </is>
      </c>
      <c r="E2731" s="21" t="n">
        <v>89</v>
      </c>
      <c r="F2731" s="21" t="inlineStr">
        <is>
          <t>English</t>
        </is>
      </c>
      <c r="G2731" s="21" t="inlineStr">
        <is>
          <t>PG</t>
        </is>
      </c>
      <c r="H2731" s="22" t="n">
        <v>13235267</v>
      </c>
      <c r="I2731" s="22" t="n">
        <v>6000000</v>
      </c>
      <c r="J2731" s="21">
        <f>IF(OR(H2731="",H2731=25529689.5),"Yes","No")</f>
        <v/>
      </c>
      <c r="K2731" s="21">
        <f>IF(AND(D2731="USA",C2731&gt;=1980,J2731="No"),"Yes","No")</f>
        <v/>
      </c>
      <c r="L2731" s="26">
        <f>IF(J2731="Yes","",H2731-I2731)</f>
        <v/>
      </c>
      <c r="M2731" s="27">
        <f>IF(OR(J2731="Yes",I2731=0),"",H2731/I2731)</f>
        <v/>
      </c>
      <c r="N2731" s="21">
        <f>IF(J2731="Yes","",IF(H2731&gt;=I2731,1,0))</f>
        <v/>
      </c>
      <c r="O2731" s="21">
        <f>IF(I2731&lt;=5000000,"Under $5M",IF(I2731&lt;=20000000,"$5M-20M",IF(I2731&lt;=50000000,"$20M-50M",IF(I2731&lt;=100000000,"$50M-100M","$100M+"))))</f>
        <v/>
      </c>
      <c r="P2731" s="21">
        <f>IF(E2731&lt;=90,"90 or less",IF(E2731&lt;=105,"91-105",IF(E2731&lt;=120,"106-120",IF(E2731&lt;=140,"121-140","Over 140"))))</f>
        <v/>
      </c>
      <c r="Q2731" s="28">
        <f>INT(C2731/10)*10</f>
        <v/>
      </c>
    </row>
    <row r="2732">
      <c r="A2732" s="21" t="n">
        <v>2789</v>
      </c>
      <c r="B2732" s="21" t="inlineStr">
        <is>
          <t>Death at a Funeral</t>
        </is>
      </c>
      <c r="C2732" s="21" t="n">
        <v>2007</v>
      </c>
      <c r="D2732" s="21" t="inlineStr">
        <is>
          <t>USA</t>
        </is>
      </c>
      <c r="E2732" s="21" t="n">
        <v>87</v>
      </c>
      <c r="F2732" s="21" t="inlineStr">
        <is>
          <t>English</t>
        </is>
      </c>
      <c r="G2732" s="21" t="inlineStr">
        <is>
          <t>R</t>
        </is>
      </c>
      <c r="H2732" s="22" t="n">
        <v>8579684</v>
      </c>
      <c r="I2732" s="22" t="n">
        <v>9000000</v>
      </c>
      <c r="J2732" s="21">
        <f>IF(OR(H2732="",H2732=25529689.5),"Yes","No")</f>
        <v/>
      </c>
      <c r="K2732" s="21">
        <f>IF(AND(D2732="USA",C2732&gt;=1980,J2732="No"),"Yes","No")</f>
        <v/>
      </c>
      <c r="L2732" s="26">
        <f>IF(J2732="Yes","",H2732-I2732)</f>
        <v/>
      </c>
      <c r="M2732" s="27">
        <f>IF(OR(J2732="Yes",I2732=0),"",H2732/I2732)</f>
        <v/>
      </c>
      <c r="N2732" s="21">
        <f>IF(J2732="Yes","",IF(H2732&gt;=I2732,1,0))</f>
        <v/>
      </c>
      <c r="O2732" s="21">
        <f>IF(I2732&lt;=5000000,"Under $5M",IF(I2732&lt;=20000000,"$5M-20M",IF(I2732&lt;=50000000,"$20M-50M",IF(I2732&lt;=100000000,"$50M-100M","$100M+"))))</f>
        <v/>
      </c>
      <c r="P2732" s="21">
        <f>IF(E2732&lt;=90,"90 or less",IF(E2732&lt;=105,"91-105",IF(E2732&lt;=120,"106-120",IF(E2732&lt;=140,"121-140","Over 140"))))</f>
        <v/>
      </c>
      <c r="Q2732" s="28">
        <f>INT(C2732/10)*10</f>
        <v/>
      </c>
    </row>
    <row r="2733">
      <c r="A2733" s="21" t="n">
        <v>2791</v>
      </c>
      <c r="B2733" s="21" t="inlineStr">
        <is>
          <t>Death Sentence</t>
        </is>
      </c>
      <c r="C2733" s="21" t="n">
        <v>2007</v>
      </c>
      <c r="D2733" s="21" t="inlineStr">
        <is>
          <t>USA</t>
        </is>
      </c>
      <c r="E2733" s="21" t="n">
        <v>111</v>
      </c>
      <c r="F2733" s="21" t="inlineStr">
        <is>
          <t>English</t>
        </is>
      </c>
      <c r="G2733" s="21" t="inlineStr">
        <is>
          <t>R</t>
        </is>
      </c>
      <c r="H2733" s="22" t="n">
        <v>9525276</v>
      </c>
      <c r="I2733" s="22" t="n">
        <v>20000000</v>
      </c>
      <c r="J2733" s="21">
        <f>IF(OR(H2733="",H2733=25529689.5),"Yes","No")</f>
        <v/>
      </c>
      <c r="K2733" s="21">
        <f>IF(AND(D2733="USA",C2733&gt;=1980,J2733="No"),"Yes","No")</f>
        <v/>
      </c>
      <c r="L2733" s="26">
        <f>IF(J2733="Yes","",H2733-I2733)</f>
        <v/>
      </c>
      <c r="M2733" s="27">
        <f>IF(OR(J2733="Yes",I2733=0),"",H2733/I2733)</f>
        <v/>
      </c>
      <c r="N2733" s="21">
        <f>IF(J2733="Yes","",IF(H2733&gt;=I2733,1,0))</f>
        <v/>
      </c>
      <c r="O2733" s="21">
        <f>IF(I2733&lt;=5000000,"Under $5M",IF(I2733&lt;=20000000,"$5M-20M",IF(I2733&lt;=50000000,"$20M-50M",IF(I2733&lt;=100000000,"$50M-100M","$100M+"))))</f>
        <v/>
      </c>
      <c r="P2733" s="21">
        <f>IF(E2733&lt;=90,"90 or less",IF(E2733&lt;=105,"91-105",IF(E2733&lt;=120,"106-120",IF(E2733&lt;=140,"121-140","Over 140"))))</f>
        <v/>
      </c>
      <c r="Q2733" s="28">
        <f>INT(C2733/10)*10</f>
        <v/>
      </c>
    </row>
    <row r="2734">
      <c r="A2734" s="21" t="n">
        <v>2792</v>
      </c>
      <c r="B2734" s="21" t="inlineStr">
        <is>
          <t>Diary of the Dead</t>
        </is>
      </c>
      <c r="C2734" s="21" t="n">
        <v>2007</v>
      </c>
      <c r="D2734" s="21" t="inlineStr">
        <is>
          <t>USA</t>
        </is>
      </c>
      <c r="E2734" s="21" t="n">
        <v>95</v>
      </c>
      <c r="F2734" s="21" t="inlineStr">
        <is>
          <t>English</t>
        </is>
      </c>
      <c r="G2734" s="21" t="inlineStr">
        <is>
          <t>R</t>
        </is>
      </c>
      <c r="H2734" s="22" t="n">
        <v>952620</v>
      </c>
      <c r="I2734" s="22" t="n">
        <v>2000000</v>
      </c>
      <c r="J2734" s="21">
        <f>IF(OR(H2734="",H2734=25529689.5),"Yes","No")</f>
        <v/>
      </c>
      <c r="K2734" s="21">
        <f>IF(AND(D2734="USA",C2734&gt;=1980,J2734="No"),"Yes","No")</f>
        <v/>
      </c>
      <c r="L2734" s="26">
        <f>IF(J2734="Yes","",H2734-I2734)</f>
        <v/>
      </c>
      <c r="M2734" s="27">
        <f>IF(OR(J2734="Yes",I2734=0),"",H2734/I2734)</f>
        <v/>
      </c>
      <c r="N2734" s="21">
        <f>IF(J2734="Yes","",IF(H2734&gt;=I2734,1,0))</f>
        <v/>
      </c>
      <c r="O2734" s="21">
        <f>IF(I2734&lt;=5000000,"Under $5M",IF(I2734&lt;=20000000,"$5M-20M",IF(I2734&lt;=50000000,"$20M-50M",IF(I2734&lt;=100000000,"$50M-100M","$100M+"))))</f>
        <v/>
      </c>
      <c r="P2734" s="21">
        <f>IF(E2734&lt;=90,"90 or less",IF(E2734&lt;=105,"91-105",IF(E2734&lt;=120,"106-120",IF(E2734&lt;=140,"121-140","Over 140"))))</f>
        <v/>
      </c>
      <c r="Q2734" s="28">
        <f>INT(C2734/10)*10</f>
        <v/>
      </c>
    </row>
    <row r="2735">
      <c r="A2735" s="21" t="n">
        <v>2793</v>
      </c>
      <c r="B2735" s="21" t="inlineStr">
        <is>
          <t>Disturbia</t>
        </is>
      </c>
      <c r="C2735" s="21" t="n">
        <v>2007</v>
      </c>
      <c r="D2735" s="21" t="inlineStr">
        <is>
          <t>USA</t>
        </is>
      </c>
      <c r="E2735" s="21" t="n">
        <v>105</v>
      </c>
      <c r="F2735" s="21" t="inlineStr">
        <is>
          <t>English</t>
        </is>
      </c>
      <c r="G2735" s="21" t="inlineStr">
        <is>
          <t>PG-13</t>
        </is>
      </c>
      <c r="H2735" s="22" t="n">
        <v>80050171</v>
      </c>
      <c r="I2735" s="22" t="n">
        <v>20000000</v>
      </c>
      <c r="J2735" s="21">
        <f>IF(OR(H2735="",H2735=25529689.5),"Yes","No")</f>
        <v/>
      </c>
      <c r="K2735" s="21">
        <f>IF(AND(D2735="USA",C2735&gt;=1980,J2735="No"),"Yes","No")</f>
        <v/>
      </c>
      <c r="L2735" s="26">
        <f>IF(J2735="Yes","",H2735-I2735)</f>
        <v/>
      </c>
      <c r="M2735" s="27">
        <f>IF(OR(J2735="Yes",I2735=0),"",H2735/I2735)</f>
        <v/>
      </c>
      <c r="N2735" s="21">
        <f>IF(J2735="Yes","",IF(H2735&gt;=I2735,1,0))</f>
        <v/>
      </c>
      <c r="O2735" s="21">
        <f>IF(I2735&lt;=5000000,"Under $5M",IF(I2735&lt;=20000000,"$5M-20M",IF(I2735&lt;=50000000,"$20M-50M",IF(I2735&lt;=100000000,"$50M-100M","$100M+"))))</f>
        <v/>
      </c>
      <c r="P2735" s="21">
        <f>IF(E2735&lt;=90,"90 or less",IF(E2735&lt;=105,"91-105",IF(E2735&lt;=120,"106-120",IF(E2735&lt;=140,"121-140","Over 140"))))</f>
        <v/>
      </c>
      <c r="Q2735" s="28">
        <f>INT(C2735/10)*10</f>
        <v/>
      </c>
    </row>
    <row r="2736">
      <c r="A2736" s="21" t="n">
        <v>2795</v>
      </c>
      <c r="B2736" s="21" t="inlineStr">
        <is>
          <t>Dragon Wars: D-War</t>
        </is>
      </c>
      <c r="C2736" s="21" t="n">
        <v>2007</v>
      </c>
      <c r="D2736" s="21" t="inlineStr">
        <is>
          <t>South Korea</t>
        </is>
      </c>
      <c r="E2736" s="21" t="n">
        <v>107</v>
      </c>
      <c r="F2736" s="21" t="inlineStr">
        <is>
          <t>English</t>
        </is>
      </c>
      <c r="G2736" s="21" t="inlineStr">
        <is>
          <t>PG-13</t>
        </is>
      </c>
      <c r="H2736" s="22" t="n">
        <v>10956379</v>
      </c>
      <c r="I2736" s="22" t="n">
        <v>35000000</v>
      </c>
      <c r="J2736" s="21">
        <f>IF(OR(H2736="",H2736=25529689.5),"Yes","No")</f>
        <v/>
      </c>
      <c r="K2736" s="21">
        <f>IF(AND(D2736="USA",C2736&gt;=1980,J2736="No"),"Yes","No")</f>
        <v/>
      </c>
      <c r="L2736" s="26">
        <f>IF(J2736="Yes","",H2736-I2736)</f>
        <v/>
      </c>
      <c r="M2736" s="27">
        <f>IF(OR(J2736="Yes",I2736=0),"",H2736/I2736)</f>
        <v/>
      </c>
      <c r="N2736" s="21">
        <f>IF(J2736="Yes","",IF(H2736&gt;=I2736,1,0))</f>
        <v/>
      </c>
      <c r="O2736" s="21">
        <f>IF(I2736&lt;=5000000,"Under $5M",IF(I2736&lt;=20000000,"$5M-20M",IF(I2736&lt;=50000000,"$20M-50M",IF(I2736&lt;=100000000,"$50M-100M","$100M+"))))</f>
        <v/>
      </c>
      <c r="P2736" s="21">
        <f>IF(E2736&lt;=90,"90 or less",IF(E2736&lt;=105,"91-105",IF(E2736&lt;=120,"106-120",IF(E2736&lt;=140,"121-140","Over 140"))))</f>
        <v/>
      </c>
      <c r="Q2736" s="28">
        <f>INT(C2736/10)*10</f>
        <v/>
      </c>
    </row>
    <row r="2737">
      <c r="A2737" s="21" t="n">
        <v>2796</v>
      </c>
      <c r="B2737" s="21" t="inlineStr">
        <is>
          <t>Eastern Promises</t>
        </is>
      </c>
      <c r="C2737" s="21" t="n">
        <v>2007</v>
      </c>
      <c r="D2737" s="21" t="inlineStr">
        <is>
          <t>USA</t>
        </is>
      </c>
      <c r="E2737" s="21" t="n">
        <v>96</v>
      </c>
      <c r="F2737" s="21" t="inlineStr">
        <is>
          <t>English</t>
        </is>
      </c>
      <c r="G2737" s="21" t="inlineStr">
        <is>
          <t>R</t>
        </is>
      </c>
      <c r="H2737" s="22" t="n">
        <v>17114882</v>
      </c>
      <c r="I2737" s="22" t="n">
        <v>25000000</v>
      </c>
      <c r="J2737" s="21">
        <f>IF(OR(H2737="",H2737=25529689.5),"Yes","No")</f>
        <v/>
      </c>
      <c r="K2737" s="21">
        <f>IF(AND(D2737="USA",C2737&gt;=1980,J2737="No"),"Yes","No")</f>
        <v/>
      </c>
      <c r="L2737" s="26">
        <f>IF(J2737="Yes","",H2737-I2737)</f>
        <v/>
      </c>
      <c r="M2737" s="27">
        <f>IF(OR(J2737="Yes",I2737=0),"",H2737/I2737)</f>
        <v/>
      </c>
      <c r="N2737" s="21">
        <f>IF(J2737="Yes","",IF(H2737&gt;=I2737,1,0))</f>
        <v/>
      </c>
      <c r="O2737" s="21">
        <f>IF(I2737&lt;=5000000,"Under $5M",IF(I2737&lt;=20000000,"$5M-20M",IF(I2737&lt;=50000000,"$20M-50M",IF(I2737&lt;=100000000,"$50M-100M","$100M+"))))</f>
        <v/>
      </c>
      <c r="P2737" s="21">
        <f>IF(E2737&lt;=90,"90 or less",IF(E2737&lt;=105,"91-105",IF(E2737&lt;=120,"106-120",IF(E2737&lt;=140,"121-140","Over 140"))))</f>
        <v/>
      </c>
      <c r="Q2737" s="28">
        <f>INT(C2737/10)*10</f>
        <v/>
      </c>
    </row>
    <row r="2738">
      <c r="A2738" s="21" t="n">
        <v>2797</v>
      </c>
      <c r="B2738" s="21" t="inlineStr">
        <is>
          <t>Elite Squad</t>
        </is>
      </c>
      <c r="C2738" s="21" t="n">
        <v>2007</v>
      </c>
      <c r="D2738" s="21" t="inlineStr">
        <is>
          <t>Brazil</t>
        </is>
      </c>
      <c r="E2738" s="21" t="n">
        <v>115</v>
      </c>
      <c r="F2738" s="21" t="inlineStr">
        <is>
          <t>Portuguese</t>
        </is>
      </c>
      <c r="G2738" s="21" t="inlineStr">
        <is>
          <t>R</t>
        </is>
      </c>
      <c r="H2738" s="22" t="n">
        <v>8060</v>
      </c>
      <c r="I2738" s="22" t="n">
        <v>4000000</v>
      </c>
      <c r="J2738" s="21">
        <f>IF(OR(H2738="",H2738=25529689.5),"Yes","No")</f>
        <v/>
      </c>
      <c r="K2738" s="21">
        <f>IF(AND(D2738="USA",C2738&gt;=1980,J2738="No"),"Yes","No")</f>
        <v/>
      </c>
      <c r="L2738" s="26">
        <f>IF(J2738="Yes","",H2738-I2738)</f>
        <v/>
      </c>
      <c r="M2738" s="27">
        <f>IF(OR(J2738="Yes",I2738=0),"",H2738/I2738)</f>
        <v/>
      </c>
      <c r="N2738" s="21">
        <f>IF(J2738="Yes","",IF(H2738&gt;=I2738,1,0))</f>
        <v/>
      </c>
      <c r="O2738" s="21">
        <f>IF(I2738&lt;=5000000,"Under $5M",IF(I2738&lt;=20000000,"$5M-20M",IF(I2738&lt;=50000000,"$20M-50M",IF(I2738&lt;=100000000,"$50M-100M","$100M+"))))</f>
        <v/>
      </c>
      <c r="P2738" s="21">
        <f>IF(E2738&lt;=90,"90 or less",IF(E2738&lt;=105,"91-105",IF(E2738&lt;=120,"106-120",IF(E2738&lt;=140,"121-140","Over 140"))))</f>
        <v/>
      </c>
      <c r="Q2738" s="28">
        <f>INT(C2738/10)*10</f>
        <v/>
      </c>
    </row>
    <row r="2739">
      <c r="A2739" s="21" t="n">
        <v>2798</v>
      </c>
      <c r="B2739" s="21" t="inlineStr">
        <is>
          <t>Elizabeth: The Golden Age</t>
        </is>
      </c>
      <c r="C2739" s="21" t="n">
        <v>2007</v>
      </c>
      <c r="D2739" s="21" t="inlineStr">
        <is>
          <t>UK</t>
        </is>
      </c>
      <c r="E2739" s="21" t="n">
        <v>114</v>
      </c>
      <c r="F2739" s="21" t="inlineStr">
        <is>
          <t>English</t>
        </is>
      </c>
      <c r="G2739" s="21" t="inlineStr">
        <is>
          <t>PG-13</t>
        </is>
      </c>
      <c r="H2739" s="22" t="n">
        <v>16264475</v>
      </c>
      <c r="I2739" s="22" t="n">
        <v>55000000</v>
      </c>
      <c r="J2739" s="21">
        <f>IF(OR(H2739="",H2739=25529689.5),"Yes","No")</f>
        <v/>
      </c>
      <c r="K2739" s="21">
        <f>IF(AND(D2739="USA",C2739&gt;=1980,J2739="No"),"Yes","No")</f>
        <v/>
      </c>
      <c r="L2739" s="26">
        <f>IF(J2739="Yes","",H2739-I2739)</f>
        <v/>
      </c>
      <c r="M2739" s="27">
        <f>IF(OR(J2739="Yes",I2739=0),"",H2739/I2739)</f>
        <v/>
      </c>
      <c r="N2739" s="21">
        <f>IF(J2739="Yes","",IF(H2739&gt;=I2739,1,0))</f>
        <v/>
      </c>
      <c r="O2739" s="21">
        <f>IF(I2739&lt;=5000000,"Under $5M",IF(I2739&lt;=20000000,"$5M-20M",IF(I2739&lt;=50000000,"$20M-50M",IF(I2739&lt;=100000000,"$50M-100M","$100M+"))))</f>
        <v/>
      </c>
      <c r="P2739" s="21">
        <f>IF(E2739&lt;=90,"90 or less",IF(E2739&lt;=105,"91-105",IF(E2739&lt;=120,"106-120",IF(E2739&lt;=140,"121-140","Over 140"))))</f>
        <v/>
      </c>
      <c r="Q2739" s="28">
        <f>INT(C2739/10)*10</f>
        <v/>
      </c>
    </row>
    <row r="2740">
      <c r="A2740" s="21" t="n">
        <v>2799</v>
      </c>
      <c r="B2740" s="21" t="inlineStr">
        <is>
          <t>Enchanted</t>
        </is>
      </c>
      <c r="C2740" s="21" t="n">
        <v>2007</v>
      </c>
      <c r="D2740" s="21" t="inlineStr">
        <is>
          <t>USA</t>
        </is>
      </c>
      <c r="E2740" s="21" t="n">
        <v>107</v>
      </c>
      <c r="F2740" s="21" t="inlineStr">
        <is>
          <t>English</t>
        </is>
      </c>
      <c r="G2740" s="21" t="inlineStr">
        <is>
          <t>PG</t>
        </is>
      </c>
      <c r="H2740" s="22" t="n">
        <v>127706877</v>
      </c>
      <c r="I2740" s="22" t="n">
        <v>85000000</v>
      </c>
      <c r="J2740" s="21">
        <f>IF(OR(H2740="",H2740=25529689.5),"Yes","No")</f>
        <v/>
      </c>
      <c r="K2740" s="21">
        <f>IF(AND(D2740="USA",C2740&gt;=1980,J2740="No"),"Yes","No")</f>
        <v/>
      </c>
      <c r="L2740" s="26">
        <f>IF(J2740="Yes","",H2740-I2740)</f>
        <v/>
      </c>
      <c r="M2740" s="27">
        <f>IF(OR(J2740="Yes",I2740=0),"",H2740/I2740)</f>
        <v/>
      </c>
      <c r="N2740" s="21">
        <f>IF(J2740="Yes","",IF(H2740&gt;=I2740,1,0))</f>
        <v/>
      </c>
      <c r="O2740" s="21">
        <f>IF(I2740&lt;=5000000,"Under $5M",IF(I2740&lt;=20000000,"$5M-20M",IF(I2740&lt;=50000000,"$20M-50M",IF(I2740&lt;=100000000,"$50M-100M","$100M+"))))</f>
        <v/>
      </c>
      <c r="P2740" s="21">
        <f>IF(E2740&lt;=90,"90 or less",IF(E2740&lt;=105,"91-105",IF(E2740&lt;=120,"106-120",IF(E2740&lt;=140,"121-140","Over 140"))))</f>
        <v/>
      </c>
      <c r="Q2740" s="28">
        <f>INT(C2740/10)*10</f>
        <v/>
      </c>
    </row>
    <row r="2741">
      <c r="A2741" s="21" t="n">
        <v>2800</v>
      </c>
      <c r="B2741" s="21" t="inlineStr">
        <is>
          <t>Epic Movie</t>
        </is>
      </c>
      <c r="C2741" s="21" t="n">
        <v>2007</v>
      </c>
      <c r="D2741" s="21" t="inlineStr">
        <is>
          <t>USA</t>
        </is>
      </c>
      <c r="E2741" s="21" t="n">
        <v>93</v>
      </c>
      <c r="F2741" s="21" t="inlineStr">
        <is>
          <t>English</t>
        </is>
      </c>
      <c r="G2741" s="21" t="inlineStr">
        <is>
          <t>PG-13</t>
        </is>
      </c>
      <c r="H2741" s="22" t="n">
        <v>39737645</v>
      </c>
      <c r="I2741" s="22" t="n">
        <v>20000000</v>
      </c>
      <c r="J2741" s="21">
        <f>IF(OR(H2741="",H2741=25529689.5),"Yes","No")</f>
        <v/>
      </c>
      <c r="K2741" s="21">
        <f>IF(AND(D2741="USA",C2741&gt;=1980,J2741="No"),"Yes","No")</f>
        <v/>
      </c>
      <c r="L2741" s="26">
        <f>IF(J2741="Yes","",H2741-I2741)</f>
        <v/>
      </c>
      <c r="M2741" s="27">
        <f>IF(OR(J2741="Yes",I2741=0),"",H2741/I2741)</f>
        <v/>
      </c>
      <c r="N2741" s="21">
        <f>IF(J2741="Yes","",IF(H2741&gt;=I2741,1,0))</f>
        <v/>
      </c>
      <c r="O2741" s="21">
        <f>IF(I2741&lt;=5000000,"Under $5M",IF(I2741&lt;=20000000,"$5M-20M",IF(I2741&lt;=50000000,"$20M-50M",IF(I2741&lt;=100000000,"$50M-100M","$100M+"))))</f>
        <v/>
      </c>
      <c r="P2741" s="21">
        <f>IF(E2741&lt;=90,"90 or less",IF(E2741&lt;=105,"91-105",IF(E2741&lt;=120,"106-120",IF(E2741&lt;=140,"121-140","Over 140"))))</f>
        <v/>
      </c>
      <c r="Q2741" s="28">
        <f>INT(C2741/10)*10</f>
        <v/>
      </c>
    </row>
    <row r="2742">
      <c r="A2742" s="21" t="n">
        <v>2801</v>
      </c>
      <c r="B2742" s="21" t="inlineStr">
        <is>
          <t>Evan Almighty</t>
        </is>
      </c>
      <c r="C2742" s="21" t="n">
        <v>2007</v>
      </c>
      <c r="D2742" s="21" t="inlineStr">
        <is>
          <t>USA</t>
        </is>
      </c>
      <c r="E2742" s="21" t="n">
        <v>96</v>
      </c>
      <c r="F2742" s="21" t="inlineStr">
        <is>
          <t>English</t>
        </is>
      </c>
      <c r="G2742" s="21" t="inlineStr">
        <is>
          <t>PG</t>
        </is>
      </c>
      <c r="H2742" s="22" t="n">
        <v>100289690</v>
      </c>
      <c r="I2742" s="22" t="n">
        <v>175000000</v>
      </c>
      <c r="J2742" s="21">
        <f>IF(OR(H2742="",H2742=25529689.5),"Yes","No")</f>
        <v/>
      </c>
      <c r="K2742" s="21">
        <f>IF(AND(D2742="USA",C2742&gt;=1980,J2742="No"),"Yes","No")</f>
        <v/>
      </c>
      <c r="L2742" s="26">
        <f>IF(J2742="Yes","",H2742-I2742)</f>
        <v/>
      </c>
      <c r="M2742" s="27">
        <f>IF(OR(J2742="Yes",I2742=0),"",H2742/I2742)</f>
        <v/>
      </c>
      <c r="N2742" s="21">
        <f>IF(J2742="Yes","",IF(H2742&gt;=I2742,1,0))</f>
        <v/>
      </c>
      <c r="O2742" s="21">
        <f>IF(I2742&lt;=5000000,"Under $5M",IF(I2742&lt;=20000000,"$5M-20M",IF(I2742&lt;=50000000,"$20M-50M",IF(I2742&lt;=100000000,"$50M-100M","$100M+"))))</f>
        <v/>
      </c>
      <c r="P2742" s="21">
        <f>IF(E2742&lt;=90,"90 or less",IF(E2742&lt;=105,"91-105",IF(E2742&lt;=120,"106-120",IF(E2742&lt;=140,"121-140","Over 140"))))</f>
        <v/>
      </c>
      <c r="Q2742" s="28">
        <f>INT(C2742/10)*10</f>
        <v/>
      </c>
    </row>
    <row r="2743">
      <c r="A2743" s="21" t="n">
        <v>2802</v>
      </c>
      <c r="B2743" s="21" t="inlineStr">
        <is>
          <t>Fantastic 4: Rise of the Silver Surfer</t>
        </is>
      </c>
      <c r="C2743" s="21" t="n">
        <v>2007</v>
      </c>
      <c r="D2743" s="21" t="inlineStr">
        <is>
          <t>USA</t>
        </is>
      </c>
      <c r="E2743" s="21" t="n">
        <v>92</v>
      </c>
      <c r="F2743" s="21" t="inlineStr">
        <is>
          <t>English</t>
        </is>
      </c>
      <c r="G2743" s="21" t="inlineStr">
        <is>
          <t>PG</t>
        </is>
      </c>
      <c r="H2743" s="22" t="n">
        <v>131920333</v>
      </c>
      <c r="I2743" s="22" t="n">
        <v>130000000</v>
      </c>
      <c r="J2743" s="21">
        <f>IF(OR(H2743="",H2743=25529689.5),"Yes","No")</f>
        <v/>
      </c>
      <c r="K2743" s="21">
        <f>IF(AND(D2743="USA",C2743&gt;=1980,J2743="No"),"Yes","No")</f>
        <v/>
      </c>
      <c r="L2743" s="26">
        <f>IF(J2743="Yes","",H2743-I2743)</f>
        <v/>
      </c>
      <c r="M2743" s="27">
        <f>IF(OR(J2743="Yes",I2743=0),"",H2743/I2743)</f>
        <v/>
      </c>
      <c r="N2743" s="21">
        <f>IF(J2743="Yes","",IF(H2743&gt;=I2743,1,0))</f>
        <v/>
      </c>
      <c r="O2743" s="21">
        <f>IF(I2743&lt;=5000000,"Under $5M",IF(I2743&lt;=20000000,"$5M-20M",IF(I2743&lt;=50000000,"$20M-50M",IF(I2743&lt;=100000000,"$50M-100M","$100M+"))))</f>
        <v/>
      </c>
      <c r="P2743" s="21">
        <f>IF(E2743&lt;=90,"90 or less",IF(E2743&lt;=105,"91-105",IF(E2743&lt;=120,"106-120",IF(E2743&lt;=140,"121-140","Over 140"))))</f>
        <v/>
      </c>
      <c r="Q2743" s="28">
        <f>INT(C2743/10)*10</f>
        <v/>
      </c>
    </row>
    <row r="2744">
      <c r="A2744" s="21" t="n">
        <v>2803</v>
      </c>
      <c r="B2744" s="21" t="inlineStr">
        <is>
          <t>Finishing the Game: The Search for a New Bruce Lee</t>
        </is>
      </c>
      <c r="C2744" s="21" t="n">
        <v>2007</v>
      </c>
      <c r="D2744" s="21" t="inlineStr">
        <is>
          <t>USA</t>
        </is>
      </c>
      <c r="E2744" s="21" t="n">
        <v>84</v>
      </c>
      <c r="F2744" s="21" t="inlineStr">
        <is>
          <t>English</t>
        </is>
      </c>
      <c r="G2744" s="21" t="inlineStr">
        <is>
          <t>Not Rated</t>
        </is>
      </c>
      <c r="H2744" s="22" t="n">
        <v>52850</v>
      </c>
      <c r="I2744" s="22" t="n">
        <v>500000</v>
      </c>
      <c r="J2744" s="21">
        <f>IF(OR(H2744="",H2744=25529689.5),"Yes","No")</f>
        <v/>
      </c>
      <c r="K2744" s="21">
        <f>IF(AND(D2744="USA",C2744&gt;=1980,J2744="No"),"Yes","No")</f>
        <v/>
      </c>
      <c r="L2744" s="26">
        <f>IF(J2744="Yes","",H2744-I2744)</f>
        <v/>
      </c>
      <c r="M2744" s="27">
        <f>IF(OR(J2744="Yes",I2744=0),"",H2744/I2744)</f>
        <v/>
      </c>
      <c r="N2744" s="21">
        <f>IF(J2744="Yes","",IF(H2744&gt;=I2744,1,0))</f>
        <v/>
      </c>
      <c r="O2744" s="21">
        <f>IF(I2744&lt;=5000000,"Under $5M",IF(I2744&lt;=20000000,"$5M-20M",IF(I2744&lt;=50000000,"$20M-50M",IF(I2744&lt;=100000000,"$50M-100M","$100M+"))))</f>
        <v/>
      </c>
      <c r="P2744" s="21">
        <f>IF(E2744&lt;=90,"90 or less",IF(E2744&lt;=105,"91-105",IF(E2744&lt;=120,"106-120",IF(E2744&lt;=140,"121-140","Over 140"))))</f>
        <v/>
      </c>
      <c r="Q2744" s="28">
        <f>INT(C2744/10)*10</f>
        <v/>
      </c>
    </row>
    <row r="2745">
      <c r="A2745" s="21" t="n">
        <v>2804</v>
      </c>
      <c r="B2745" s="21" t="inlineStr">
        <is>
          <t>Freedom Writers</t>
        </is>
      </c>
      <c r="C2745" s="21" t="n">
        <v>2007</v>
      </c>
      <c r="D2745" s="21" t="inlineStr">
        <is>
          <t>Germany</t>
        </is>
      </c>
      <c r="E2745" s="21" t="n">
        <v>123</v>
      </c>
      <c r="F2745" s="21" t="inlineStr">
        <is>
          <t>English</t>
        </is>
      </c>
      <c r="G2745" s="21" t="inlineStr">
        <is>
          <t>PG-13</t>
        </is>
      </c>
      <c r="H2745" s="22" t="n">
        <v>36581633</v>
      </c>
      <c r="I2745" s="22" t="n">
        <v>21000000</v>
      </c>
      <c r="J2745" s="21">
        <f>IF(OR(H2745="",H2745=25529689.5),"Yes","No")</f>
        <v/>
      </c>
      <c r="K2745" s="21">
        <f>IF(AND(D2745="USA",C2745&gt;=1980,J2745="No"),"Yes","No")</f>
        <v/>
      </c>
      <c r="L2745" s="26">
        <f>IF(J2745="Yes","",H2745-I2745)</f>
        <v/>
      </c>
      <c r="M2745" s="27">
        <f>IF(OR(J2745="Yes",I2745=0),"",H2745/I2745)</f>
        <v/>
      </c>
      <c r="N2745" s="21">
        <f>IF(J2745="Yes","",IF(H2745&gt;=I2745,1,0))</f>
        <v/>
      </c>
      <c r="O2745" s="21">
        <f>IF(I2745&lt;=5000000,"Under $5M",IF(I2745&lt;=20000000,"$5M-20M",IF(I2745&lt;=50000000,"$20M-50M",IF(I2745&lt;=100000000,"$50M-100M","$100M+"))))</f>
        <v/>
      </c>
      <c r="P2745" s="21">
        <f>IF(E2745&lt;=90,"90 or less",IF(E2745&lt;=105,"91-105",IF(E2745&lt;=120,"106-120",IF(E2745&lt;=140,"121-140","Over 140"))))</f>
        <v/>
      </c>
      <c r="Q2745" s="28">
        <f>INT(C2745/10)*10</f>
        <v/>
      </c>
    </row>
    <row r="2746">
      <c r="A2746" s="21" t="n">
        <v>2805</v>
      </c>
      <c r="B2746" s="21" t="inlineStr">
        <is>
          <t>Funny Games</t>
        </is>
      </c>
      <c r="C2746" s="21" t="n">
        <v>2007</v>
      </c>
      <c r="D2746" s="21" t="inlineStr">
        <is>
          <t>USA</t>
        </is>
      </c>
      <c r="E2746" s="21" t="n">
        <v>111</v>
      </c>
      <c r="F2746" s="21" t="inlineStr">
        <is>
          <t>English</t>
        </is>
      </c>
      <c r="G2746" s="21" t="inlineStr">
        <is>
          <t>R</t>
        </is>
      </c>
      <c r="H2746" s="22" t="n">
        <v>1294640</v>
      </c>
      <c r="I2746" s="22" t="n">
        <v>15000000</v>
      </c>
      <c r="J2746" s="21">
        <f>IF(OR(H2746="",H2746=25529689.5),"Yes","No")</f>
        <v/>
      </c>
      <c r="K2746" s="21">
        <f>IF(AND(D2746="USA",C2746&gt;=1980,J2746="No"),"Yes","No")</f>
        <v/>
      </c>
      <c r="L2746" s="26">
        <f>IF(J2746="Yes","",H2746-I2746)</f>
        <v/>
      </c>
      <c r="M2746" s="27">
        <f>IF(OR(J2746="Yes",I2746=0),"",H2746/I2746)</f>
        <v/>
      </c>
      <c r="N2746" s="21">
        <f>IF(J2746="Yes","",IF(H2746&gt;=I2746,1,0))</f>
        <v/>
      </c>
      <c r="O2746" s="21">
        <f>IF(I2746&lt;=5000000,"Under $5M",IF(I2746&lt;=20000000,"$5M-20M",IF(I2746&lt;=50000000,"$20M-50M",IF(I2746&lt;=100000000,"$50M-100M","$100M+"))))</f>
        <v/>
      </c>
      <c r="P2746" s="21">
        <f>IF(E2746&lt;=90,"90 or less",IF(E2746&lt;=105,"91-105",IF(E2746&lt;=120,"106-120",IF(E2746&lt;=140,"121-140","Over 140"))))</f>
        <v/>
      </c>
      <c r="Q2746" s="28">
        <f>INT(C2746/10)*10</f>
        <v/>
      </c>
    </row>
    <row r="2747">
      <c r="A2747" s="21" t="n">
        <v>2806</v>
      </c>
      <c r="B2747" s="21" t="inlineStr">
        <is>
          <t>Gandhi, My Father</t>
        </is>
      </c>
      <c r="C2747" s="21" t="n">
        <v>2007</v>
      </c>
      <c r="D2747" s="21" t="inlineStr">
        <is>
          <t>India</t>
        </is>
      </c>
      <c r="E2747" s="21" t="n">
        <v>136</v>
      </c>
      <c r="F2747" s="21" t="inlineStr">
        <is>
          <t>Hindi</t>
        </is>
      </c>
      <c r="G2747" s="21" t="n"/>
      <c r="H2747" s="22" t="n">
        <v>240425</v>
      </c>
      <c r="I2747" s="22" t="n">
        <v>20000000</v>
      </c>
      <c r="J2747" s="21">
        <f>IF(OR(H2747="",H2747=25529689.5),"Yes","No")</f>
        <v/>
      </c>
      <c r="K2747" s="21">
        <f>IF(AND(D2747="USA",C2747&gt;=1980,J2747="No"),"Yes","No")</f>
        <v/>
      </c>
      <c r="L2747" s="26">
        <f>IF(J2747="Yes","",H2747-I2747)</f>
        <v/>
      </c>
      <c r="M2747" s="27">
        <f>IF(OR(J2747="Yes",I2747=0),"",H2747/I2747)</f>
        <v/>
      </c>
      <c r="N2747" s="21">
        <f>IF(J2747="Yes","",IF(H2747&gt;=I2747,1,0))</f>
        <v/>
      </c>
      <c r="O2747" s="21">
        <f>IF(I2747&lt;=5000000,"Under $5M",IF(I2747&lt;=20000000,"$5M-20M",IF(I2747&lt;=50000000,"$20M-50M",IF(I2747&lt;=100000000,"$50M-100M","$100M+"))))</f>
        <v/>
      </c>
      <c r="P2747" s="21">
        <f>IF(E2747&lt;=90,"90 or less",IF(E2747&lt;=105,"91-105",IF(E2747&lt;=120,"106-120",IF(E2747&lt;=140,"121-140","Over 140"))))</f>
        <v/>
      </c>
      <c r="Q2747" s="28">
        <f>INT(C2747/10)*10</f>
        <v/>
      </c>
    </row>
    <row r="2748">
      <c r="A2748" s="21" t="n">
        <v>2807</v>
      </c>
      <c r="B2748" s="21" t="inlineStr">
        <is>
          <t>Georgia Rule</t>
        </is>
      </c>
      <c r="C2748" s="21" t="n">
        <v>2007</v>
      </c>
      <c r="D2748" s="21" t="inlineStr">
        <is>
          <t>USA</t>
        </is>
      </c>
      <c r="E2748" s="21" t="n">
        <v>113</v>
      </c>
      <c r="F2748" s="21" t="inlineStr">
        <is>
          <t>English</t>
        </is>
      </c>
      <c r="G2748" s="21" t="inlineStr">
        <is>
          <t>R</t>
        </is>
      </c>
      <c r="H2748" s="22" t="n">
        <v>18882880</v>
      </c>
      <c r="I2748" s="22" t="n">
        <v>20000000</v>
      </c>
      <c r="J2748" s="21">
        <f>IF(OR(H2748="",H2748=25529689.5),"Yes","No")</f>
        <v/>
      </c>
      <c r="K2748" s="21">
        <f>IF(AND(D2748="USA",C2748&gt;=1980,J2748="No"),"Yes","No")</f>
        <v/>
      </c>
      <c r="L2748" s="26">
        <f>IF(J2748="Yes","",H2748-I2748)</f>
        <v/>
      </c>
      <c r="M2748" s="27">
        <f>IF(OR(J2748="Yes",I2748=0),"",H2748/I2748)</f>
        <v/>
      </c>
      <c r="N2748" s="21">
        <f>IF(J2748="Yes","",IF(H2748&gt;=I2748,1,0))</f>
        <v/>
      </c>
      <c r="O2748" s="21">
        <f>IF(I2748&lt;=5000000,"Under $5M",IF(I2748&lt;=20000000,"$5M-20M",IF(I2748&lt;=50000000,"$20M-50M",IF(I2748&lt;=100000000,"$50M-100M","$100M+"))))</f>
        <v/>
      </c>
      <c r="P2748" s="21">
        <f>IF(E2748&lt;=90,"90 or less",IF(E2748&lt;=105,"91-105",IF(E2748&lt;=120,"106-120",IF(E2748&lt;=140,"121-140","Over 140"))))</f>
        <v/>
      </c>
      <c r="Q2748" s="28">
        <f>INT(C2748/10)*10</f>
        <v/>
      </c>
    </row>
    <row r="2749">
      <c r="A2749" s="21" t="n">
        <v>2808</v>
      </c>
      <c r="B2749" s="21" t="inlineStr">
        <is>
          <t>Ghost Rider</t>
        </is>
      </c>
      <c r="C2749" s="21" t="n">
        <v>2007</v>
      </c>
      <c r="D2749" s="21" t="inlineStr">
        <is>
          <t>USA</t>
        </is>
      </c>
      <c r="E2749" s="21" t="n">
        <v>123</v>
      </c>
      <c r="F2749" s="21" t="inlineStr">
        <is>
          <t>English</t>
        </is>
      </c>
      <c r="G2749" s="21" t="inlineStr">
        <is>
          <t>PG-13</t>
        </is>
      </c>
      <c r="H2749" s="22" t="n">
        <v>115802596</v>
      </c>
      <c r="I2749" s="22" t="n">
        <v>110000000</v>
      </c>
      <c r="J2749" s="21">
        <f>IF(OR(H2749="",H2749=25529689.5),"Yes","No")</f>
        <v/>
      </c>
      <c r="K2749" s="21">
        <f>IF(AND(D2749="USA",C2749&gt;=1980,J2749="No"),"Yes","No")</f>
        <v/>
      </c>
      <c r="L2749" s="26">
        <f>IF(J2749="Yes","",H2749-I2749)</f>
        <v/>
      </c>
      <c r="M2749" s="27">
        <f>IF(OR(J2749="Yes",I2749=0),"",H2749/I2749)</f>
        <v/>
      </c>
      <c r="N2749" s="21">
        <f>IF(J2749="Yes","",IF(H2749&gt;=I2749,1,0))</f>
        <v/>
      </c>
      <c r="O2749" s="21">
        <f>IF(I2749&lt;=5000000,"Under $5M",IF(I2749&lt;=20000000,"$5M-20M",IF(I2749&lt;=50000000,"$20M-50M",IF(I2749&lt;=100000000,"$50M-100M","$100M+"))))</f>
        <v/>
      </c>
      <c r="P2749" s="21">
        <f>IF(E2749&lt;=90,"90 or less",IF(E2749&lt;=105,"91-105",IF(E2749&lt;=120,"106-120",IF(E2749&lt;=140,"121-140","Over 140"))))</f>
        <v/>
      </c>
      <c r="Q2749" s="28">
        <f>INT(C2749/10)*10</f>
        <v/>
      </c>
    </row>
    <row r="2750">
      <c r="A2750" s="21" t="n">
        <v>2809</v>
      </c>
      <c r="B2750" s="21" t="inlineStr">
        <is>
          <t>Good Luck Chuck</t>
        </is>
      </c>
      <c r="C2750" s="21" t="n">
        <v>2007</v>
      </c>
      <c r="D2750" s="21" t="inlineStr">
        <is>
          <t>USA</t>
        </is>
      </c>
      <c r="E2750" s="21" t="n">
        <v>101</v>
      </c>
      <c r="F2750" s="21" t="inlineStr">
        <is>
          <t>English</t>
        </is>
      </c>
      <c r="G2750" s="21" t="inlineStr">
        <is>
          <t>R</t>
        </is>
      </c>
      <c r="H2750" s="22" t="n">
        <v>35000629</v>
      </c>
      <c r="I2750" s="22" t="n">
        <v>25000000</v>
      </c>
      <c r="J2750" s="21">
        <f>IF(OR(H2750="",H2750=25529689.5),"Yes","No")</f>
        <v/>
      </c>
      <c r="K2750" s="21">
        <f>IF(AND(D2750="USA",C2750&gt;=1980,J2750="No"),"Yes","No")</f>
        <v/>
      </c>
      <c r="L2750" s="26">
        <f>IF(J2750="Yes","",H2750-I2750)</f>
        <v/>
      </c>
      <c r="M2750" s="27">
        <f>IF(OR(J2750="Yes",I2750=0),"",H2750/I2750)</f>
        <v/>
      </c>
      <c r="N2750" s="21">
        <f>IF(J2750="Yes","",IF(H2750&gt;=I2750,1,0))</f>
        <v/>
      </c>
      <c r="O2750" s="21">
        <f>IF(I2750&lt;=5000000,"Under $5M",IF(I2750&lt;=20000000,"$5M-20M",IF(I2750&lt;=50000000,"$20M-50M",IF(I2750&lt;=100000000,"$50M-100M","$100M+"))))</f>
        <v/>
      </c>
      <c r="P2750" s="21">
        <f>IF(E2750&lt;=90,"90 or less",IF(E2750&lt;=105,"91-105",IF(E2750&lt;=120,"106-120",IF(E2750&lt;=140,"121-140","Over 140"))))</f>
        <v/>
      </c>
      <c r="Q2750" s="28">
        <f>INT(C2750/10)*10</f>
        <v/>
      </c>
    </row>
    <row r="2751">
      <c r="A2751" s="21" t="n">
        <v>2810</v>
      </c>
      <c r="B2751" s="21" t="inlineStr">
        <is>
          <t>Gracie</t>
        </is>
      </c>
      <c r="C2751" s="21" t="n">
        <v>2007</v>
      </c>
      <c r="D2751" s="21" t="inlineStr">
        <is>
          <t>USA</t>
        </is>
      </c>
      <c r="E2751" s="21" t="n">
        <v>95</v>
      </c>
      <c r="F2751" s="21" t="inlineStr">
        <is>
          <t>English</t>
        </is>
      </c>
      <c r="G2751" s="21" t="inlineStr">
        <is>
          <t>PG-13</t>
        </is>
      </c>
      <c r="H2751" s="22" t="n">
        <v>2955039</v>
      </c>
      <c r="I2751" s="22" t="n">
        <v>9000000</v>
      </c>
      <c r="J2751" s="21">
        <f>IF(OR(H2751="",H2751=25529689.5),"Yes","No")</f>
        <v/>
      </c>
      <c r="K2751" s="21">
        <f>IF(AND(D2751="USA",C2751&gt;=1980,J2751="No"),"Yes","No")</f>
        <v/>
      </c>
      <c r="L2751" s="26">
        <f>IF(J2751="Yes","",H2751-I2751)</f>
        <v/>
      </c>
      <c r="M2751" s="27">
        <f>IF(OR(J2751="Yes",I2751=0),"",H2751/I2751)</f>
        <v/>
      </c>
      <c r="N2751" s="21">
        <f>IF(J2751="Yes","",IF(H2751&gt;=I2751,1,0))</f>
        <v/>
      </c>
      <c r="O2751" s="21">
        <f>IF(I2751&lt;=5000000,"Under $5M",IF(I2751&lt;=20000000,"$5M-20M",IF(I2751&lt;=50000000,"$20M-50M",IF(I2751&lt;=100000000,"$50M-100M","$100M+"))))</f>
        <v/>
      </c>
      <c r="P2751" s="21">
        <f>IF(E2751&lt;=90,"90 or less",IF(E2751&lt;=105,"91-105",IF(E2751&lt;=120,"106-120",IF(E2751&lt;=140,"121-140","Over 140"))))</f>
        <v/>
      </c>
      <c r="Q2751" s="28">
        <f>INT(C2751/10)*10</f>
        <v/>
      </c>
    </row>
    <row r="2752">
      <c r="A2752" s="21" t="n">
        <v>2811</v>
      </c>
      <c r="B2752" s="21" t="inlineStr">
        <is>
          <t>Grindhouse</t>
        </is>
      </c>
      <c r="C2752" s="21" t="n">
        <v>2007</v>
      </c>
      <c r="D2752" s="21" t="inlineStr">
        <is>
          <t>USA</t>
        </is>
      </c>
      <c r="E2752" s="21" t="n">
        <v>189</v>
      </c>
      <c r="F2752" s="21" t="inlineStr">
        <is>
          <t>English</t>
        </is>
      </c>
      <c r="G2752" s="21" t="inlineStr">
        <is>
          <t>R</t>
        </is>
      </c>
      <c r="H2752" s="22" t="n">
        <v>25031037</v>
      </c>
      <c r="I2752" s="22" t="n">
        <v>53000000</v>
      </c>
      <c r="J2752" s="21">
        <f>IF(OR(H2752="",H2752=25529689.5),"Yes","No")</f>
        <v/>
      </c>
      <c r="K2752" s="21">
        <f>IF(AND(D2752="USA",C2752&gt;=1980,J2752="No"),"Yes","No")</f>
        <v/>
      </c>
      <c r="L2752" s="26">
        <f>IF(J2752="Yes","",H2752-I2752)</f>
        <v/>
      </c>
      <c r="M2752" s="27">
        <f>IF(OR(J2752="Yes",I2752=0),"",H2752/I2752)</f>
        <v/>
      </c>
      <c r="N2752" s="21">
        <f>IF(J2752="Yes","",IF(H2752&gt;=I2752,1,0))</f>
        <v/>
      </c>
      <c r="O2752" s="21">
        <f>IF(I2752&lt;=5000000,"Under $5M",IF(I2752&lt;=20000000,"$5M-20M",IF(I2752&lt;=50000000,"$20M-50M",IF(I2752&lt;=100000000,"$50M-100M","$100M+"))))</f>
        <v/>
      </c>
      <c r="P2752" s="21">
        <f>IF(E2752&lt;=90,"90 or less",IF(E2752&lt;=105,"91-105",IF(E2752&lt;=120,"106-120",IF(E2752&lt;=140,"121-140","Over 140"))))</f>
        <v/>
      </c>
      <c r="Q2752" s="28">
        <f>INT(C2752/10)*10</f>
        <v/>
      </c>
    </row>
    <row r="2753">
      <c r="A2753" s="21" t="n">
        <v>2812</v>
      </c>
      <c r="B2753" s="21" t="inlineStr">
        <is>
          <t>Hairspray</t>
        </is>
      </c>
      <c r="C2753" s="21" t="n">
        <v>2007</v>
      </c>
      <c r="D2753" s="21" t="inlineStr">
        <is>
          <t>USA</t>
        </is>
      </c>
      <c r="E2753" s="21" t="n">
        <v>117</v>
      </c>
      <c r="F2753" s="21" t="inlineStr">
        <is>
          <t>English</t>
        </is>
      </c>
      <c r="G2753" s="21" t="inlineStr">
        <is>
          <t>PG</t>
        </is>
      </c>
      <c r="H2753" s="22" t="n">
        <v>118823091</v>
      </c>
      <c r="I2753" s="22" t="n">
        <v>75000000</v>
      </c>
      <c r="J2753" s="21">
        <f>IF(OR(H2753="",H2753=25529689.5),"Yes","No")</f>
        <v/>
      </c>
      <c r="K2753" s="21">
        <f>IF(AND(D2753="USA",C2753&gt;=1980,J2753="No"),"Yes","No")</f>
        <v/>
      </c>
      <c r="L2753" s="26">
        <f>IF(J2753="Yes","",H2753-I2753)</f>
        <v/>
      </c>
      <c r="M2753" s="27">
        <f>IF(OR(J2753="Yes",I2753=0),"",H2753/I2753)</f>
        <v/>
      </c>
      <c r="N2753" s="21">
        <f>IF(J2753="Yes","",IF(H2753&gt;=I2753,1,0))</f>
        <v/>
      </c>
      <c r="O2753" s="21">
        <f>IF(I2753&lt;=5000000,"Under $5M",IF(I2753&lt;=20000000,"$5M-20M",IF(I2753&lt;=50000000,"$20M-50M",IF(I2753&lt;=100000000,"$50M-100M","$100M+"))))</f>
        <v/>
      </c>
      <c r="P2753" s="21">
        <f>IF(E2753&lt;=90,"90 or less",IF(E2753&lt;=105,"91-105",IF(E2753&lt;=120,"106-120",IF(E2753&lt;=140,"121-140","Over 140"))))</f>
        <v/>
      </c>
      <c r="Q2753" s="28">
        <f>INT(C2753/10)*10</f>
        <v/>
      </c>
    </row>
    <row r="2754">
      <c r="A2754" s="21" t="n">
        <v>2813</v>
      </c>
      <c r="B2754" s="21" t="inlineStr">
        <is>
          <t>Hannibal Rising</t>
        </is>
      </c>
      <c r="C2754" s="21" t="n">
        <v>2007</v>
      </c>
      <c r="D2754" s="21" t="inlineStr">
        <is>
          <t>UK</t>
        </is>
      </c>
      <c r="E2754" s="21" t="n">
        <v>131</v>
      </c>
      <c r="F2754" s="21" t="inlineStr">
        <is>
          <t>English</t>
        </is>
      </c>
      <c r="G2754" s="21" t="inlineStr">
        <is>
          <t>R</t>
        </is>
      </c>
      <c r="H2754" s="22" t="n">
        <v>27667947</v>
      </c>
      <c r="I2754" s="22" t="n">
        <v>50000000</v>
      </c>
      <c r="J2754" s="21">
        <f>IF(OR(H2754="",H2754=25529689.5),"Yes","No")</f>
        <v/>
      </c>
      <c r="K2754" s="21">
        <f>IF(AND(D2754="USA",C2754&gt;=1980,J2754="No"),"Yes","No")</f>
        <v/>
      </c>
      <c r="L2754" s="26">
        <f>IF(J2754="Yes","",H2754-I2754)</f>
        <v/>
      </c>
      <c r="M2754" s="27">
        <f>IF(OR(J2754="Yes",I2754=0),"",H2754/I2754)</f>
        <v/>
      </c>
      <c r="N2754" s="21">
        <f>IF(J2754="Yes","",IF(H2754&gt;=I2754,1,0))</f>
        <v/>
      </c>
      <c r="O2754" s="21">
        <f>IF(I2754&lt;=5000000,"Under $5M",IF(I2754&lt;=20000000,"$5M-20M",IF(I2754&lt;=50000000,"$20M-50M",IF(I2754&lt;=100000000,"$50M-100M","$100M+"))))</f>
        <v/>
      </c>
      <c r="P2754" s="21">
        <f>IF(E2754&lt;=90,"90 or less",IF(E2754&lt;=105,"91-105",IF(E2754&lt;=120,"106-120",IF(E2754&lt;=140,"121-140","Over 140"))))</f>
        <v/>
      </c>
      <c r="Q2754" s="28">
        <f>INT(C2754/10)*10</f>
        <v/>
      </c>
    </row>
    <row r="2755">
      <c r="A2755" s="21" t="n">
        <v>2814</v>
      </c>
      <c r="B2755" s="21" t="inlineStr">
        <is>
          <t>Harry Potter and the Order of the Phoenix</t>
        </is>
      </c>
      <c r="C2755" s="21" t="n">
        <v>2007</v>
      </c>
      <c r="D2755" s="21" t="inlineStr">
        <is>
          <t>UK</t>
        </is>
      </c>
      <c r="E2755" s="21" t="n">
        <v>138</v>
      </c>
      <c r="F2755" s="21" t="inlineStr">
        <is>
          <t>English</t>
        </is>
      </c>
      <c r="G2755" s="21" t="inlineStr">
        <is>
          <t>PG-13</t>
        </is>
      </c>
      <c r="H2755" s="22" t="n">
        <v>292000866</v>
      </c>
      <c r="I2755" s="22" t="n">
        <v>150000000</v>
      </c>
      <c r="J2755" s="21">
        <f>IF(OR(H2755="",H2755=25529689.5),"Yes","No")</f>
        <v/>
      </c>
      <c r="K2755" s="21">
        <f>IF(AND(D2755="USA",C2755&gt;=1980,J2755="No"),"Yes","No")</f>
        <v/>
      </c>
      <c r="L2755" s="26">
        <f>IF(J2755="Yes","",H2755-I2755)</f>
        <v/>
      </c>
      <c r="M2755" s="27">
        <f>IF(OR(J2755="Yes",I2755=0),"",H2755/I2755)</f>
        <v/>
      </c>
      <c r="N2755" s="21">
        <f>IF(J2755="Yes","",IF(H2755&gt;=I2755,1,0))</f>
        <v/>
      </c>
      <c r="O2755" s="21">
        <f>IF(I2755&lt;=5000000,"Under $5M",IF(I2755&lt;=20000000,"$5M-20M",IF(I2755&lt;=50000000,"$20M-50M",IF(I2755&lt;=100000000,"$50M-100M","$100M+"))))</f>
        <v/>
      </c>
      <c r="P2755" s="21">
        <f>IF(E2755&lt;=90,"90 or less",IF(E2755&lt;=105,"91-105",IF(E2755&lt;=120,"106-120",IF(E2755&lt;=140,"121-140","Over 140"))))</f>
        <v/>
      </c>
      <c r="Q2755" s="28">
        <f>INT(C2755/10)*10</f>
        <v/>
      </c>
    </row>
    <row r="2756">
      <c r="A2756" s="21" t="n">
        <v>2815</v>
      </c>
      <c r="B2756" s="21" t="inlineStr">
        <is>
          <t>Hitman</t>
        </is>
      </c>
      <c r="C2756" s="21" t="n">
        <v>2007</v>
      </c>
      <c r="D2756" s="21" t="inlineStr">
        <is>
          <t>France</t>
        </is>
      </c>
      <c r="E2756" s="21" t="n">
        <v>94</v>
      </c>
      <c r="F2756" s="21" t="inlineStr">
        <is>
          <t>English</t>
        </is>
      </c>
      <c r="G2756" s="21" t="inlineStr">
        <is>
          <t>R</t>
        </is>
      </c>
      <c r="H2756" s="22" t="n">
        <v>39687528</v>
      </c>
      <c r="I2756" s="22" t="n">
        <v>24000000</v>
      </c>
      <c r="J2756" s="21">
        <f>IF(OR(H2756="",H2756=25529689.5),"Yes","No")</f>
        <v/>
      </c>
      <c r="K2756" s="21">
        <f>IF(AND(D2756="USA",C2756&gt;=1980,J2756="No"),"Yes","No")</f>
        <v/>
      </c>
      <c r="L2756" s="26">
        <f>IF(J2756="Yes","",H2756-I2756)</f>
        <v/>
      </c>
      <c r="M2756" s="27">
        <f>IF(OR(J2756="Yes",I2756=0),"",H2756/I2756)</f>
        <v/>
      </c>
      <c r="N2756" s="21">
        <f>IF(J2756="Yes","",IF(H2756&gt;=I2756,1,0))</f>
        <v/>
      </c>
      <c r="O2756" s="21">
        <f>IF(I2756&lt;=5000000,"Under $5M",IF(I2756&lt;=20000000,"$5M-20M",IF(I2756&lt;=50000000,"$20M-50M",IF(I2756&lt;=100000000,"$50M-100M","$100M+"))))</f>
        <v/>
      </c>
      <c r="P2756" s="21">
        <f>IF(E2756&lt;=90,"90 or less",IF(E2756&lt;=105,"91-105",IF(E2756&lt;=120,"106-120",IF(E2756&lt;=140,"121-140","Over 140"))))</f>
        <v/>
      </c>
      <c r="Q2756" s="28">
        <f>INT(C2756/10)*10</f>
        <v/>
      </c>
    </row>
    <row r="2757">
      <c r="A2757" s="21" t="n">
        <v>2816</v>
      </c>
      <c r="B2757" s="21" t="inlineStr">
        <is>
          <t>Hostel: Part II</t>
        </is>
      </c>
      <c r="C2757" s="21" t="n">
        <v>2007</v>
      </c>
      <c r="D2757" s="21" t="inlineStr">
        <is>
          <t>USA</t>
        </is>
      </c>
      <c r="E2757" s="21" t="n">
        <v>94</v>
      </c>
      <c r="F2757" s="21" t="inlineStr">
        <is>
          <t>English</t>
        </is>
      </c>
      <c r="G2757" s="21" t="inlineStr">
        <is>
          <t>R</t>
        </is>
      </c>
      <c r="H2757" s="22" t="n">
        <v>17544812</v>
      </c>
      <c r="I2757" s="22" t="n">
        <v>10000000</v>
      </c>
      <c r="J2757" s="21">
        <f>IF(OR(H2757="",H2757=25529689.5),"Yes","No")</f>
        <v/>
      </c>
      <c r="K2757" s="21">
        <f>IF(AND(D2757="USA",C2757&gt;=1980,J2757="No"),"Yes","No")</f>
        <v/>
      </c>
      <c r="L2757" s="26">
        <f>IF(J2757="Yes","",H2757-I2757)</f>
        <v/>
      </c>
      <c r="M2757" s="27">
        <f>IF(OR(J2757="Yes",I2757=0),"",H2757/I2757)</f>
        <v/>
      </c>
      <c r="N2757" s="21">
        <f>IF(J2757="Yes","",IF(H2757&gt;=I2757,1,0))</f>
        <v/>
      </c>
      <c r="O2757" s="21">
        <f>IF(I2757&lt;=5000000,"Under $5M",IF(I2757&lt;=20000000,"$5M-20M",IF(I2757&lt;=50000000,"$20M-50M",IF(I2757&lt;=100000000,"$50M-100M","$100M+"))))</f>
        <v/>
      </c>
      <c r="P2757" s="21">
        <f>IF(E2757&lt;=90,"90 or less",IF(E2757&lt;=105,"91-105",IF(E2757&lt;=120,"106-120",IF(E2757&lt;=140,"121-140","Over 140"))))</f>
        <v/>
      </c>
      <c r="Q2757" s="28">
        <f>INT(C2757/10)*10</f>
        <v/>
      </c>
    </row>
    <row r="2758">
      <c r="A2758" s="21" t="n">
        <v>2817</v>
      </c>
      <c r="B2758" s="21" t="inlineStr">
        <is>
          <t>Hot Fuzz</t>
        </is>
      </c>
      <c r="C2758" s="21" t="n">
        <v>2007</v>
      </c>
      <c r="D2758" s="21" t="inlineStr">
        <is>
          <t>UK</t>
        </is>
      </c>
      <c r="E2758" s="21" t="n">
        <v>121</v>
      </c>
      <c r="F2758" s="21" t="inlineStr">
        <is>
          <t>English</t>
        </is>
      </c>
      <c r="G2758" s="21" t="inlineStr">
        <is>
          <t>R</t>
        </is>
      </c>
      <c r="H2758" s="22" t="n">
        <v>23618786</v>
      </c>
      <c r="I2758" s="22" t="n">
        <v>8000000</v>
      </c>
      <c r="J2758" s="21">
        <f>IF(OR(H2758="",H2758=25529689.5),"Yes","No")</f>
        <v/>
      </c>
      <c r="K2758" s="21">
        <f>IF(AND(D2758="USA",C2758&gt;=1980,J2758="No"),"Yes","No")</f>
        <v/>
      </c>
      <c r="L2758" s="26">
        <f>IF(J2758="Yes","",H2758-I2758)</f>
        <v/>
      </c>
      <c r="M2758" s="27">
        <f>IF(OR(J2758="Yes",I2758=0),"",H2758/I2758)</f>
        <v/>
      </c>
      <c r="N2758" s="21">
        <f>IF(J2758="Yes","",IF(H2758&gt;=I2758,1,0))</f>
        <v/>
      </c>
      <c r="O2758" s="21">
        <f>IF(I2758&lt;=5000000,"Under $5M",IF(I2758&lt;=20000000,"$5M-20M",IF(I2758&lt;=50000000,"$20M-50M",IF(I2758&lt;=100000000,"$50M-100M","$100M+"))))</f>
        <v/>
      </c>
      <c r="P2758" s="21">
        <f>IF(E2758&lt;=90,"90 or less",IF(E2758&lt;=105,"91-105",IF(E2758&lt;=120,"106-120",IF(E2758&lt;=140,"121-140","Over 140"))))</f>
        <v/>
      </c>
      <c r="Q2758" s="28">
        <f>INT(C2758/10)*10</f>
        <v/>
      </c>
    </row>
    <row r="2759">
      <c r="A2759" s="21" t="n">
        <v>2818</v>
      </c>
      <c r="B2759" s="21" t="inlineStr">
        <is>
          <t>Hot Rod</t>
        </is>
      </c>
      <c r="C2759" s="21" t="n">
        <v>2007</v>
      </c>
      <c r="D2759" s="21" t="inlineStr">
        <is>
          <t>USA</t>
        </is>
      </c>
      <c r="E2759" s="21" t="n">
        <v>88</v>
      </c>
      <c r="F2759" s="21" t="inlineStr">
        <is>
          <t>English</t>
        </is>
      </c>
      <c r="G2759" s="21" t="inlineStr">
        <is>
          <t>PG-13</t>
        </is>
      </c>
      <c r="H2759" s="22" t="n">
        <v>13920741</v>
      </c>
      <c r="I2759" s="22" t="n">
        <v>20000000</v>
      </c>
      <c r="J2759" s="21">
        <f>IF(OR(H2759="",H2759=25529689.5),"Yes","No")</f>
        <v/>
      </c>
      <c r="K2759" s="21">
        <f>IF(AND(D2759="USA",C2759&gt;=1980,J2759="No"),"Yes","No")</f>
        <v/>
      </c>
      <c r="L2759" s="26">
        <f>IF(J2759="Yes","",H2759-I2759)</f>
        <v/>
      </c>
      <c r="M2759" s="27">
        <f>IF(OR(J2759="Yes",I2759=0),"",H2759/I2759)</f>
        <v/>
      </c>
      <c r="N2759" s="21">
        <f>IF(J2759="Yes","",IF(H2759&gt;=I2759,1,0))</f>
        <v/>
      </c>
      <c r="O2759" s="21">
        <f>IF(I2759&lt;=5000000,"Under $5M",IF(I2759&lt;=20000000,"$5M-20M",IF(I2759&lt;=50000000,"$20M-50M",IF(I2759&lt;=100000000,"$50M-100M","$100M+"))))</f>
        <v/>
      </c>
      <c r="P2759" s="21">
        <f>IF(E2759&lt;=90,"90 or less",IF(E2759&lt;=105,"91-105",IF(E2759&lt;=120,"106-120",IF(E2759&lt;=140,"121-140","Over 140"))))</f>
        <v/>
      </c>
      <c r="Q2759" s="28">
        <f>INT(C2759/10)*10</f>
        <v/>
      </c>
    </row>
    <row r="2760">
      <c r="A2760" s="21" t="n">
        <v>2819</v>
      </c>
      <c r="B2760" s="21" t="inlineStr">
        <is>
          <t>How She Move</t>
        </is>
      </c>
      <c r="C2760" s="21" t="n">
        <v>2007</v>
      </c>
      <c r="D2760" s="21" t="inlineStr">
        <is>
          <t>Canada</t>
        </is>
      </c>
      <c r="E2760" s="21" t="n">
        <v>94</v>
      </c>
      <c r="F2760" s="21" t="inlineStr">
        <is>
          <t>English</t>
        </is>
      </c>
      <c r="G2760" s="21" t="inlineStr">
        <is>
          <t>PG-13</t>
        </is>
      </c>
      <c r="H2760" s="22" t="n">
        <v>7070459</v>
      </c>
      <c r="I2760" s="22" t="n">
        <v>20000000</v>
      </c>
      <c r="J2760" s="21">
        <f>IF(OR(H2760="",H2760=25529689.5),"Yes","No")</f>
        <v/>
      </c>
      <c r="K2760" s="21">
        <f>IF(AND(D2760="USA",C2760&gt;=1980,J2760="No"),"Yes","No")</f>
        <v/>
      </c>
      <c r="L2760" s="26">
        <f>IF(J2760="Yes","",H2760-I2760)</f>
        <v/>
      </c>
      <c r="M2760" s="27">
        <f>IF(OR(J2760="Yes",I2760=0),"",H2760/I2760)</f>
        <v/>
      </c>
      <c r="N2760" s="21">
        <f>IF(J2760="Yes","",IF(H2760&gt;=I2760,1,0))</f>
        <v/>
      </c>
      <c r="O2760" s="21">
        <f>IF(I2760&lt;=5000000,"Under $5M",IF(I2760&lt;=20000000,"$5M-20M",IF(I2760&lt;=50000000,"$20M-50M",IF(I2760&lt;=100000000,"$50M-100M","$100M+"))))</f>
        <v/>
      </c>
      <c r="P2760" s="21">
        <f>IF(E2760&lt;=90,"90 or less",IF(E2760&lt;=105,"91-105",IF(E2760&lt;=120,"106-120",IF(E2760&lt;=140,"121-140","Over 140"))))</f>
        <v/>
      </c>
      <c r="Q2760" s="28">
        <f>INT(C2760/10)*10</f>
        <v/>
      </c>
    </row>
    <row r="2761">
      <c r="A2761" s="21" t="n">
        <v>2820</v>
      </c>
      <c r="B2761" s="21" t="inlineStr">
        <is>
          <t>I Am Legend</t>
        </is>
      </c>
      <c r="C2761" s="21" t="n">
        <v>2007</v>
      </c>
      <c r="D2761" s="21" t="inlineStr">
        <is>
          <t>USA</t>
        </is>
      </c>
      <c r="E2761" s="21" t="n">
        <v>104</v>
      </c>
      <c r="F2761" s="21" t="inlineStr">
        <is>
          <t>English</t>
        </is>
      </c>
      <c r="G2761" s="21" t="inlineStr">
        <is>
          <t>PG-13</t>
        </is>
      </c>
      <c r="H2761" s="22" t="n">
        <v>256386216</v>
      </c>
      <c r="I2761" s="22" t="n">
        <v>150000000</v>
      </c>
      <c r="J2761" s="21">
        <f>IF(OR(H2761="",H2761=25529689.5),"Yes","No")</f>
        <v/>
      </c>
      <c r="K2761" s="21">
        <f>IF(AND(D2761="USA",C2761&gt;=1980,J2761="No"),"Yes","No")</f>
        <v/>
      </c>
      <c r="L2761" s="26">
        <f>IF(J2761="Yes","",H2761-I2761)</f>
        <v/>
      </c>
      <c r="M2761" s="27">
        <f>IF(OR(J2761="Yes",I2761=0),"",H2761/I2761)</f>
        <v/>
      </c>
      <c r="N2761" s="21">
        <f>IF(J2761="Yes","",IF(H2761&gt;=I2761,1,0))</f>
        <v/>
      </c>
      <c r="O2761" s="21">
        <f>IF(I2761&lt;=5000000,"Under $5M",IF(I2761&lt;=20000000,"$5M-20M",IF(I2761&lt;=50000000,"$20M-50M",IF(I2761&lt;=100000000,"$50M-100M","$100M+"))))</f>
        <v/>
      </c>
      <c r="P2761" s="21">
        <f>IF(E2761&lt;=90,"90 or less",IF(E2761&lt;=105,"91-105",IF(E2761&lt;=120,"106-120",IF(E2761&lt;=140,"121-140","Over 140"))))</f>
        <v/>
      </c>
      <c r="Q2761" s="28">
        <f>INT(C2761/10)*10</f>
        <v/>
      </c>
    </row>
    <row r="2762">
      <c r="A2762" s="21" t="n">
        <v>2821</v>
      </c>
      <c r="B2762" s="21" t="inlineStr">
        <is>
          <t>I Think I Love My Wife</t>
        </is>
      </c>
      <c r="C2762" s="21" t="n">
        <v>2007</v>
      </c>
      <c r="D2762" s="21" t="inlineStr">
        <is>
          <t>USA</t>
        </is>
      </c>
      <c r="E2762" s="21" t="n">
        <v>94</v>
      </c>
      <c r="F2762" s="21" t="inlineStr">
        <is>
          <t>English</t>
        </is>
      </c>
      <c r="G2762" s="21" t="inlineStr">
        <is>
          <t>R</t>
        </is>
      </c>
      <c r="H2762" s="22" t="n">
        <v>12550242</v>
      </c>
      <c r="I2762" s="22" t="n">
        <v>20000000</v>
      </c>
      <c r="J2762" s="21">
        <f>IF(OR(H2762="",H2762=25529689.5),"Yes","No")</f>
        <v/>
      </c>
      <c r="K2762" s="21">
        <f>IF(AND(D2762="USA",C2762&gt;=1980,J2762="No"),"Yes","No")</f>
        <v/>
      </c>
      <c r="L2762" s="26">
        <f>IF(J2762="Yes","",H2762-I2762)</f>
        <v/>
      </c>
      <c r="M2762" s="27">
        <f>IF(OR(J2762="Yes",I2762=0),"",H2762/I2762)</f>
        <v/>
      </c>
      <c r="N2762" s="21">
        <f>IF(J2762="Yes","",IF(H2762&gt;=I2762,1,0))</f>
        <v/>
      </c>
      <c r="O2762" s="21">
        <f>IF(I2762&lt;=5000000,"Under $5M",IF(I2762&lt;=20000000,"$5M-20M",IF(I2762&lt;=50000000,"$20M-50M",IF(I2762&lt;=100000000,"$50M-100M","$100M+"))))</f>
        <v/>
      </c>
      <c r="P2762" s="21">
        <f>IF(E2762&lt;=90,"90 or less",IF(E2762&lt;=105,"91-105",IF(E2762&lt;=120,"106-120",IF(E2762&lt;=140,"121-140","Over 140"))))</f>
        <v/>
      </c>
      <c r="Q2762" s="28">
        <f>INT(C2762/10)*10</f>
        <v/>
      </c>
    </row>
    <row r="2763">
      <c r="A2763" s="21" t="n">
        <v>2822</v>
      </c>
      <c r="B2763" s="21" t="inlineStr">
        <is>
          <t>I'm Not There.</t>
        </is>
      </c>
      <c r="C2763" s="21" t="n">
        <v>2007</v>
      </c>
      <c r="D2763" s="21" t="inlineStr">
        <is>
          <t>USA</t>
        </is>
      </c>
      <c r="E2763" s="21" t="n">
        <v>135</v>
      </c>
      <c r="F2763" s="21" t="inlineStr">
        <is>
          <t>English</t>
        </is>
      </c>
      <c r="G2763" s="21" t="inlineStr">
        <is>
          <t>R</t>
        </is>
      </c>
      <c r="H2763" s="22" t="n">
        <v>4001121</v>
      </c>
      <c r="I2763" s="22" t="n">
        <v>20000000</v>
      </c>
      <c r="J2763" s="21">
        <f>IF(OR(H2763="",H2763=25529689.5),"Yes","No")</f>
        <v/>
      </c>
      <c r="K2763" s="21">
        <f>IF(AND(D2763="USA",C2763&gt;=1980,J2763="No"),"Yes","No")</f>
        <v/>
      </c>
      <c r="L2763" s="26">
        <f>IF(J2763="Yes","",H2763-I2763)</f>
        <v/>
      </c>
      <c r="M2763" s="27">
        <f>IF(OR(J2763="Yes",I2763=0),"",H2763/I2763)</f>
        <v/>
      </c>
      <c r="N2763" s="21">
        <f>IF(J2763="Yes","",IF(H2763&gt;=I2763,1,0))</f>
        <v/>
      </c>
      <c r="O2763" s="21">
        <f>IF(I2763&lt;=5000000,"Under $5M",IF(I2763&lt;=20000000,"$5M-20M",IF(I2763&lt;=50000000,"$20M-50M",IF(I2763&lt;=100000000,"$50M-100M","$100M+"))))</f>
        <v/>
      </c>
      <c r="P2763" s="21">
        <f>IF(E2763&lt;=90,"90 or less",IF(E2763&lt;=105,"91-105",IF(E2763&lt;=120,"106-120",IF(E2763&lt;=140,"121-140","Over 140"))))</f>
        <v/>
      </c>
      <c r="Q2763" s="28">
        <f>INT(C2763/10)*10</f>
        <v/>
      </c>
    </row>
    <row r="2764">
      <c r="A2764" s="21" t="n">
        <v>2823</v>
      </c>
      <c r="B2764" s="21" t="inlineStr">
        <is>
          <t>In the Land of Women</t>
        </is>
      </c>
      <c r="C2764" s="21" t="n">
        <v>2007</v>
      </c>
      <c r="D2764" s="21" t="inlineStr">
        <is>
          <t>USA</t>
        </is>
      </c>
      <c r="E2764" s="21" t="n">
        <v>97</v>
      </c>
      <c r="F2764" s="21" t="inlineStr">
        <is>
          <t>English</t>
        </is>
      </c>
      <c r="G2764" s="21" t="inlineStr">
        <is>
          <t>PG-13</t>
        </is>
      </c>
      <c r="H2764" s="22" t="n">
        <v>11043445</v>
      </c>
      <c r="I2764" s="22" t="n">
        <v>10000000</v>
      </c>
      <c r="J2764" s="21">
        <f>IF(OR(H2764="",H2764=25529689.5),"Yes","No")</f>
        <v/>
      </c>
      <c r="K2764" s="21">
        <f>IF(AND(D2764="USA",C2764&gt;=1980,J2764="No"),"Yes","No")</f>
        <v/>
      </c>
      <c r="L2764" s="26">
        <f>IF(J2764="Yes","",H2764-I2764)</f>
        <v/>
      </c>
      <c r="M2764" s="27">
        <f>IF(OR(J2764="Yes",I2764=0),"",H2764/I2764)</f>
        <v/>
      </c>
      <c r="N2764" s="21">
        <f>IF(J2764="Yes","",IF(H2764&gt;=I2764,1,0))</f>
        <v/>
      </c>
      <c r="O2764" s="21">
        <f>IF(I2764&lt;=5000000,"Under $5M",IF(I2764&lt;=20000000,"$5M-20M",IF(I2764&lt;=50000000,"$20M-50M",IF(I2764&lt;=100000000,"$50M-100M","$100M+"))))</f>
        <v/>
      </c>
      <c r="P2764" s="21">
        <f>IF(E2764&lt;=90,"90 or less",IF(E2764&lt;=105,"91-105",IF(E2764&lt;=120,"106-120",IF(E2764&lt;=140,"121-140","Over 140"))))</f>
        <v/>
      </c>
      <c r="Q2764" s="28">
        <f>INT(C2764/10)*10</f>
        <v/>
      </c>
    </row>
    <row r="2765">
      <c r="A2765" s="21" t="n">
        <v>2824</v>
      </c>
      <c r="B2765" s="21" t="inlineStr">
        <is>
          <t>In the Name of the King: A Dungeon Siege Tale</t>
        </is>
      </c>
      <c r="C2765" s="21" t="n">
        <v>2007</v>
      </c>
      <c r="D2765" s="21" t="inlineStr">
        <is>
          <t>Germany</t>
        </is>
      </c>
      <c r="E2765" s="21" t="n">
        <v>156</v>
      </c>
      <c r="F2765" s="21" t="inlineStr">
        <is>
          <t>English</t>
        </is>
      </c>
      <c r="G2765" s="21" t="inlineStr">
        <is>
          <t>PG-13</t>
        </is>
      </c>
      <c r="H2765" s="22" t="n">
        <v>4535117</v>
      </c>
      <c r="I2765" s="22" t="n">
        <v>60000000</v>
      </c>
      <c r="J2765" s="21">
        <f>IF(OR(H2765="",H2765=25529689.5),"Yes","No")</f>
        <v/>
      </c>
      <c r="K2765" s="21">
        <f>IF(AND(D2765="USA",C2765&gt;=1980,J2765="No"),"Yes","No")</f>
        <v/>
      </c>
      <c r="L2765" s="26">
        <f>IF(J2765="Yes","",H2765-I2765)</f>
        <v/>
      </c>
      <c r="M2765" s="27">
        <f>IF(OR(J2765="Yes",I2765=0),"",H2765/I2765)</f>
        <v/>
      </c>
      <c r="N2765" s="21">
        <f>IF(J2765="Yes","",IF(H2765&gt;=I2765,1,0))</f>
        <v/>
      </c>
      <c r="O2765" s="21">
        <f>IF(I2765&lt;=5000000,"Under $5M",IF(I2765&lt;=20000000,"$5M-20M",IF(I2765&lt;=50000000,"$20M-50M",IF(I2765&lt;=100000000,"$50M-100M","$100M+"))))</f>
        <v/>
      </c>
      <c r="P2765" s="21">
        <f>IF(E2765&lt;=90,"90 or less",IF(E2765&lt;=105,"91-105",IF(E2765&lt;=120,"106-120",IF(E2765&lt;=140,"121-140","Over 140"))))</f>
        <v/>
      </c>
      <c r="Q2765" s="28">
        <f>INT(C2765/10)*10</f>
        <v/>
      </c>
    </row>
    <row r="2766">
      <c r="A2766" s="21" t="n">
        <v>2825</v>
      </c>
      <c r="B2766" s="21" t="inlineStr">
        <is>
          <t>In the Shadow of the Moon</t>
        </is>
      </c>
      <c r="C2766" s="21" t="n">
        <v>2007</v>
      </c>
      <c r="D2766" s="21" t="inlineStr">
        <is>
          <t>UK</t>
        </is>
      </c>
      <c r="E2766" s="21" t="n">
        <v>100</v>
      </c>
      <c r="F2766" s="21" t="inlineStr">
        <is>
          <t>English</t>
        </is>
      </c>
      <c r="G2766" s="21" t="inlineStr">
        <is>
          <t>PG</t>
        </is>
      </c>
      <c r="H2766" s="22" t="n">
        <v>1134049</v>
      </c>
      <c r="I2766" s="22" t="n">
        <v>2000000</v>
      </c>
      <c r="J2766" s="21">
        <f>IF(OR(H2766="",H2766=25529689.5),"Yes","No")</f>
        <v/>
      </c>
      <c r="K2766" s="21">
        <f>IF(AND(D2766="USA",C2766&gt;=1980,J2766="No"),"Yes","No")</f>
        <v/>
      </c>
      <c r="L2766" s="26">
        <f>IF(J2766="Yes","",H2766-I2766)</f>
        <v/>
      </c>
      <c r="M2766" s="27">
        <f>IF(OR(J2766="Yes",I2766=0),"",H2766/I2766)</f>
        <v/>
      </c>
      <c r="N2766" s="21">
        <f>IF(J2766="Yes","",IF(H2766&gt;=I2766,1,0))</f>
        <v/>
      </c>
      <c r="O2766" s="21">
        <f>IF(I2766&lt;=5000000,"Under $5M",IF(I2766&lt;=20000000,"$5M-20M",IF(I2766&lt;=50000000,"$20M-50M",IF(I2766&lt;=100000000,"$50M-100M","$100M+"))))</f>
        <v/>
      </c>
      <c r="P2766" s="21">
        <f>IF(E2766&lt;=90,"90 or less",IF(E2766&lt;=105,"91-105",IF(E2766&lt;=120,"106-120",IF(E2766&lt;=140,"121-140","Over 140"))))</f>
        <v/>
      </c>
      <c r="Q2766" s="28">
        <f>INT(C2766/10)*10</f>
        <v/>
      </c>
    </row>
    <row r="2767">
      <c r="A2767" s="21" t="n">
        <v>2826</v>
      </c>
      <c r="B2767" s="21" t="inlineStr">
        <is>
          <t>In the Valley of Elah</t>
        </is>
      </c>
      <c r="C2767" s="21" t="n">
        <v>2007</v>
      </c>
      <c r="D2767" s="21" t="inlineStr">
        <is>
          <t>USA</t>
        </is>
      </c>
      <c r="E2767" s="21" t="n">
        <v>121</v>
      </c>
      <c r="F2767" s="21" t="inlineStr">
        <is>
          <t>English</t>
        </is>
      </c>
      <c r="G2767" s="21" t="inlineStr">
        <is>
          <t>R</t>
        </is>
      </c>
      <c r="H2767" s="22" t="n">
        <v>6777589</v>
      </c>
      <c r="I2767" s="22" t="n">
        <v>20000000</v>
      </c>
      <c r="J2767" s="21">
        <f>IF(OR(H2767="",H2767=25529689.5),"Yes","No")</f>
        <v/>
      </c>
      <c r="K2767" s="21">
        <f>IF(AND(D2767="USA",C2767&gt;=1980,J2767="No"),"Yes","No")</f>
        <v/>
      </c>
      <c r="L2767" s="26">
        <f>IF(J2767="Yes","",H2767-I2767)</f>
        <v/>
      </c>
      <c r="M2767" s="27">
        <f>IF(OR(J2767="Yes",I2767=0),"",H2767/I2767)</f>
        <v/>
      </c>
      <c r="N2767" s="21">
        <f>IF(J2767="Yes","",IF(H2767&gt;=I2767,1,0))</f>
        <v/>
      </c>
      <c r="O2767" s="21">
        <f>IF(I2767&lt;=5000000,"Under $5M",IF(I2767&lt;=20000000,"$5M-20M",IF(I2767&lt;=50000000,"$20M-50M",IF(I2767&lt;=100000000,"$50M-100M","$100M+"))))</f>
        <v/>
      </c>
      <c r="P2767" s="21">
        <f>IF(E2767&lt;=90,"90 or less",IF(E2767&lt;=105,"91-105",IF(E2767&lt;=120,"106-120",IF(E2767&lt;=140,"121-140","Over 140"))))</f>
        <v/>
      </c>
      <c r="Q2767" s="28">
        <f>INT(C2767/10)*10</f>
        <v/>
      </c>
    </row>
    <row r="2768">
      <c r="A2768" s="21" t="n">
        <v>2827</v>
      </c>
      <c r="B2768" s="21" t="inlineStr">
        <is>
          <t>Into the Wild</t>
        </is>
      </c>
      <c r="C2768" s="21" t="n">
        <v>2007</v>
      </c>
      <c r="D2768" s="21" t="inlineStr">
        <is>
          <t>USA</t>
        </is>
      </c>
      <c r="E2768" s="21" t="n">
        <v>148</v>
      </c>
      <c r="F2768" s="21" t="inlineStr">
        <is>
          <t>English</t>
        </is>
      </c>
      <c r="G2768" s="21" t="inlineStr">
        <is>
          <t>R</t>
        </is>
      </c>
      <c r="H2768" s="22" t="n">
        <v>18352454</v>
      </c>
      <c r="I2768" s="22" t="n">
        <v>15000000</v>
      </c>
      <c r="J2768" s="21">
        <f>IF(OR(H2768="",H2768=25529689.5),"Yes","No")</f>
        <v/>
      </c>
      <c r="K2768" s="21">
        <f>IF(AND(D2768="USA",C2768&gt;=1980,J2768="No"),"Yes","No")</f>
        <v/>
      </c>
      <c r="L2768" s="26">
        <f>IF(J2768="Yes","",H2768-I2768)</f>
        <v/>
      </c>
      <c r="M2768" s="27">
        <f>IF(OR(J2768="Yes",I2768=0),"",H2768/I2768)</f>
        <v/>
      </c>
      <c r="N2768" s="21">
        <f>IF(J2768="Yes","",IF(H2768&gt;=I2768,1,0))</f>
        <v/>
      </c>
      <c r="O2768" s="21">
        <f>IF(I2768&lt;=5000000,"Under $5M",IF(I2768&lt;=20000000,"$5M-20M",IF(I2768&lt;=50000000,"$20M-50M",IF(I2768&lt;=100000000,"$50M-100M","$100M+"))))</f>
        <v/>
      </c>
      <c r="P2768" s="21">
        <f>IF(E2768&lt;=90,"90 or less",IF(E2768&lt;=105,"91-105",IF(E2768&lt;=120,"106-120",IF(E2768&lt;=140,"121-140","Over 140"))))</f>
        <v/>
      </c>
      <c r="Q2768" s="28">
        <f>INT(C2768/10)*10</f>
        <v/>
      </c>
    </row>
    <row r="2769">
      <c r="A2769" s="21" t="n">
        <v>2828</v>
      </c>
      <c r="B2769" s="21" t="inlineStr">
        <is>
          <t>Jack Brooks: Monster Slayer</t>
        </is>
      </c>
      <c r="C2769" s="21" t="n">
        <v>2007</v>
      </c>
      <c r="D2769" s="21" t="inlineStr">
        <is>
          <t>Canada</t>
        </is>
      </c>
      <c r="E2769" s="21" t="n">
        <v>90</v>
      </c>
      <c r="F2769" s="21" t="inlineStr">
        <is>
          <t>English</t>
        </is>
      </c>
      <c r="G2769" s="21" t="inlineStr">
        <is>
          <t>R</t>
        </is>
      </c>
      <c r="H2769" s="22" t="n">
        <v>25529689.5</v>
      </c>
      <c r="I2769" s="22" t="n">
        <v>2500000</v>
      </c>
      <c r="J2769" s="21">
        <f>IF(OR(H2769="",H2769=25529689.5),"Yes","No")</f>
        <v/>
      </c>
      <c r="K2769" s="21">
        <f>IF(AND(D2769="USA",C2769&gt;=1980,J2769="No"),"Yes","No")</f>
        <v/>
      </c>
      <c r="L2769" s="26">
        <f>IF(J2769="Yes","",H2769-I2769)</f>
        <v/>
      </c>
      <c r="M2769" s="27">
        <f>IF(OR(J2769="Yes",I2769=0),"",H2769/I2769)</f>
        <v/>
      </c>
      <c r="N2769" s="21">
        <f>IF(J2769="Yes","",IF(H2769&gt;=I2769,1,0))</f>
        <v/>
      </c>
      <c r="O2769" s="21">
        <f>IF(I2769&lt;=5000000,"Under $5M",IF(I2769&lt;=20000000,"$5M-20M",IF(I2769&lt;=50000000,"$20M-50M",IF(I2769&lt;=100000000,"$50M-100M","$100M+"))))</f>
        <v/>
      </c>
      <c r="P2769" s="21">
        <f>IF(E2769&lt;=90,"90 or less",IF(E2769&lt;=105,"91-105",IF(E2769&lt;=120,"106-120",IF(E2769&lt;=140,"121-140","Over 140"))))</f>
        <v/>
      </c>
      <c r="Q2769" s="28">
        <f>INT(C2769/10)*10</f>
        <v/>
      </c>
    </row>
    <row r="2770">
      <c r="A2770" s="21" t="n">
        <v>2829</v>
      </c>
      <c r="B2770" s="21" t="inlineStr">
        <is>
          <t>Jesus People</t>
        </is>
      </c>
      <c r="C2770" s="21" t="n">
        <v>2007</v>
      </c>
      <c r="D2770" s="21" t="inlineStr">
        <is>
          <t>USA</t>
        </is>
      </c>
      <c r="E2770" s="21" t="n">
        <v>35</v>
      </c>
      <c r="F2770" s="21" t="inlineStr">
        <is>
          <t>English</t>
        </is>
      </c>
      <c r="G2770" s="21" t="n"/>
      <c r="H2770" s="22" t="n">
        <v>25529689.5</v>
      </c>
      <c r="I2770" s="22" t="n">
        <v>20000000</v>
      </c>
      <c r="J2770" s="21">
        <f>IF(OR(H2770="",H2770=25529689.5),"Yes","No")</f>
        <v/>
      </c>
      <c r="K2770" s="21">
        <f>IF(AND(D2770="USA",C2770&gt;=1980,J2770="No"),"Yes","No")</f>
        <v/>
      </c>
      <c r="L2770" s="26">
        <f>IF(J2770="Yes","",H2770-I2770)</f>
        <v/>
      </c>
      <c r="M2770" s="27">
        <f>IF(OR(J2770="Yes",I2770=0),"",H2770/I2770)</f>
        <v/>
      </c>
      <c r="N2770" s="21">
        <f>IF(J2770="Yes","",IF(H2770&gt;=I2770,1,0))</f>
        <v/>
      </c>
      <c r="O2770" s="21">
        <f>IF(I2770&lt;=5000000,"Under $5M",IF(I2770&lt;=20000000,"$5M-20M",IF(I2770&lt;=50000000,"$20M-50M",IF(I2770&lt;=100000000,"$50M-100M","$100M+"))))</f>
        <v/>
      </c>
      <c r="P2770" s="21">
        <f>IF(E2770&lt;=90,"90 or less",IF(E2770&lt;=105,"91-105",IF(E2770&lt;=120,"106-120",IF(E2770&lt;=140,"121-140","Over 140"))))</f>
        <v/>
      </c>
      <c r="Q2770" s="28">
        <f>INT(C2770/10)*10</f>
        <v/>
      </c>
    </row>
    <row r="2771">
      <c r="A2771" s="21" t="n">
        <v>2830</v>
      </c>
      <c r="B2771" s="21" t="inlineStr">
        <is>
          <t>Juno</t>
        </is>
      </c>
      <c r="C2771" s="21" t="n">
        <v>2007</v>
      </c>
      <c r="D2771" s="21" t="inlineStr">
        <is>
          <t>USA</t>
        </is>
      </c>
      <c r="E2771" s="21" t="n">
        <v>96</v>
      </c>
      <c r="F2771" s="21" t="inlineStr">
        <is>
          <t>English</t>
        </is>
      </c>
      <c r="G2771" s="21" t="inlineStr">
        <is>
          <t>PG-13</t>
        </is>
      </c>
      <c r="H2771" s="22" t="n">
        <v>143492840</v>
      </c>
      <c r="I2771" s="22" t="n">
        <v>7500000</v>
      </c>
      <c r="J2771" s="21">
        <f>IF(OR(H2771="",H2771=25529689.5),"Yes","No")</f>
        <v/>
      </c>
      <c r="K2771" s="21">
        <f>IF(AND(D2771="USA",C2771&gt;=1980,J2771="No"),"Yes","No")</f>
        <v/>
      </c>
      <c r="L2771" s="26">
        <f>IF(J2771="Yes","",H2771-I2771)</f>
        <v/>
      </c>
      <c r="M2771" s="27">
        <f>IF(OR(J2771="Yes",I2771=0),"",H2771/I2771)</f>
        <v/>
      </c>
      <c r="N2771" s="21">
        <f>IF(J2771="Yes","",IF(H2771&gt;=I2771,1,0))</f>
        <v/>
      </c>
      <c r="O2771" s="21">
        <f>IF(I2771&lt;=5000000,"Under $5M",IF(I2771&lt;=20000000,"$5M-20M",IF(I2771&lt;=50000000,"$20M-50M",IF(I2771&lt;=100000000,"$50M-100M","$100M+"))))</f>
        <v/>
      </c>
      <c r="P2771" s="21">
        <f>IF(E2771&lt;=90,"90 or less",IF(E2771&lt;=105,"91-105",IF(E2771&lt;=120,"106-120",IF(E2771&lt;=140,"121-140","Over 140"))))</f>
        <v/>
      </c>
      <c r="Q2771" s="28">
        <f>INT(C2771/10)*10</f>
        <v/>
      </c>
    </row>
    <row r="2772">
      <c r="A2772" s="21" t="n">
        <v>2832</v>
      </c>
      <c r="B2772" s="21" t="inlineStr">
        <is>
          <t>Kiss the Bride</t>
        </is>
      </c>
      <c r="C2772" s="21" t="n">
        <v>2007</v>
      </c>
      <c r="D2772" s="21" t="inlineStr">
        <is>
          <t>USA</t>
        </is>
      </c>
      <c r="E2772" s="21" t="n">
        <v>100</v>
      </c>
      <c r="F2772" s="21" t="inlineStr">
        <is>
          <t>English</t>
        </is>
      </c>
      <c r="G2772" s="21" t="inlineStr">
        <is>
          <t>R</t>
        </is>
      </c>
      <c r="H2772" s="22" t="n">
        <v>31937</v>
      </c>
      <c r="I2772" s="22" t="n">
        <v>500000</v>
      </c>
      <c r="J2772" s="21">
        <f>IF(OR(H2772="",H2772=25529689.5),"Yes","No")</f>
        <v/>
      </c>
      <c r="K2772" s="21">
        <f>IF(AND(D2772="USA",C2772&gt;=1980,J2772="No"),"Yes","No")</f>
        <v/>
      </c>
      <c r="L2772" s="26">
        <f>IF(J2772="Yes","",H2772-I2772)</f>
        <v/>
      </c>
      <c r="M2772" s="27">
        <f>IF(OR(J2772="Yes",I2772=0),"",H2772/I2772)</f>
        <v/>
      </c>
      <c r="N2772" s="21">
        <f>IF(J2772="Yes","",IF(H2772&gt;=I2772,1,0))</f>
        <v/>
      </c>
      <c r="O2772" s="21">
        <f>IF(I2772&lt;=5000000,"Under $5M",IF(I2772&lt;=20000000,"$5M-20M",IF(I2772&lt;=50000000,"$20M-50M",IF(I2772&lt;=100000000,"$50M-100M","$100M+"))))</f>
        <v/>
      </c>
      <c r="P2772" s="21">
        <f>IF(E2772&lt;=90,"90 or less",IF(E2772&lt;=105,"91-105",IF(E2772&lt;=120,"106-120",IF(E2772&lt;=140,"121-140","Over 140"))))</f>
        <v/>
      </c>
      <c r="Q2772" s="28">
        <f>INT(C2772/10)*10</f>
        <v/>
      </c>
    </row>
    <row r="2773">
      <c r="A2773" s="21" t="n">
        <v>2833</v>
      </c>
      <c r="B2773" s="21" t="inlineStr">
        <is>
          <t>Knocked Up</t>
        </is>
      </c>
      <c r="C2773" s="21" t="n">
        <v>2007</v>
      </c>
      <c r="D2773" s="21" t="inlineStr">
        <is>
          <t>USA</t>
        </is>
      </c>
      <c r="E2773" s="21" t="n">
        <v>133</v>
      </c>
      <c r="F2773" s="21" t="inlineStr">
        <is>
          <t>English</t>
        </is>
      </c>
      <c r="G2773" s="21" t="inlineStr">
        <is>
          <t>R</t>
        </is>
      </c>
      <c r="H2773" s="22" t="n">
        <v>148734225</v>
      </c>
      <c r="I2773" s="22" t="n">
        <v>30000000</v>
      </c>
      <c r="J2773" s="21">
        <f>IF(OR(H2773="",H2773=25529689.5),"Yes","No")</f>
        <v/>
      </c>
      <c r="K2773" s="21">
        <f>IF(AND(D2773="USA",C2773&gt;=1980,J2773="No"),"Yes","No")</f>
        <v/>
      </c>
      <c r="L2773" s="26">
        <f>IF(J2773="Yes","",H2773-I2773)</f>
        <v/>
      </c>
      <c r="M2773" s="27">
        <f>IF(OR(J2773="Yes",I2773=0),"",H2773/I2773)</f>
        <v/>
      </c>
      <c r="N2773" s="21">
        <f>IF(J2773="Yes","",IF(H2773&gt;=I2773,1,0))</f>
        <v/>
      </c>
      <c r="O2773" s="21">
        <f>IF(I2773&lt;=5000000,"Under $5M",IF(I2773&lt;=20000000,"$5M-20M",IF(I2773&lt;=50000000,"$20M-50M",IF(I2773&lt;=100000000,"$50M-100M","$100M+"))))</f>
        <v/>
      </c>
      <c r="P2773" s="21">
        <f>IF(E2773&lt;=90,"90 or less",IF(E2773&lt;=105,"91-105",IF(E2773&lt;=120,"106-120",IF(E2773&lt;=140,"121-140","Over 140"))))</f>
        <v/>
      </c>
      <c r="Q2773" s="28">
        <f>INT(C2773/10)*10</f>
        <v/>
      </c>
    </row>
    <row r="2774">
      <c r="A2774" s="21" t="n">
        <v>2834</v>
      </c>
      <c r="B2774" s="21" t="inlineStr">
        <is>
          <t>Lars and the Real Girl</t>
        </is>
      </c>
      <c r="C2774" s="21" t="n">
        <v>2007</v>
      </c>
      <c r="D2774" s="21" t="inlineStr">
        <is>
          <t>USA</t>
        </is>
      </c>
      <c r="E2774" s="21" t="n">
        <v>106</v>
      </c>
      <c r="F2774" s="21" t="inlineStr">
        <is>
          <t>English</t>
        </is>
      </c>
      <c r="G2774" s="21" t="inlineStr">
        <is>
          <t>PG-13</t>
        </is>
      </c>
      <c r="H2774" s="22" t="n">
        <v>5949693</v>
      </c>
      <c r="I2774" s="22" t="n">
        <v>12000000</v>
      </c>
      <c r="J2774" s="21">
        <f>IF(OR(H2774="",H2774=25529689.5),"Yes","No")</f>
        <v/>
      </c>
      <c r="K2774" s="21">
        <f>IF(AND(D2774="USA",C2774&gt;=1980,J2774="No"),"Yes","No")</f>
        <v/>
      </c>
      <c r="L2774" s="26">
        <f>IF(J2774="Yes","",H2774-I2774)</f>
        <v/>
      </c>
      <c r="M2774" s="27">
        <f>IF(OR(J2774="Yes",I2774=0),"",H2774/I2774)</f>
        <v/>
      </c>
      <c r="N2774" s="21">
        <f>IF(J2774="Yes","",IF(H2774&gt;=I2774,1,0))</f>
        <v/>
      </c>
      <c r="O2774" s="21">
        <f>IF(I2774&lt;=5000000,"Under $5M",IF(I2774&lt;=20000000,"$5M-20M",IF(I2774&lt;=50000000,"$20M-50M",IF(I2774&lt;=100000000,"$50M-100M","$100M+"))))</f>
        <v/>
      </c>
      <c r="P2774" s="21">
        <f>IF(E2774&lt;=90,"90 or less",IF(E2774&lt;=105,"91-105",IF(E2774&lt;=120,"106-120",IF(E2774&lt;=140,"121-140","Over 140"))))</f>
        <v/>
      </c>
      <c r="Q2774" s="28">
        <f>INT(C2774/10)*10</f>
        <v/>
      </c>
    </row>
    <row r="2775">
      <c r="A2775" s="21" t="n">
        <v>2835</v>
      </c>
      <c r="B2775" s="21" t="inlineStr">
        <is>
          <t>License to Wed</t>
        </is>
      </c>
      <c r="C2775" s="21" t="n">
        <v>2007</v>
      </c>
      <c r="D2775" s="21" t="inlineStr">
        <is>
          <t>USA</t>
        </is>
      </c>
      <c r="E2775" s="21" t="n">
        <v>91</v>
      </c>
      <c r="F2775" s="21" t="inlineStr">
        <is>
          <t>English</t>
        </is>
      </c>
      <c r="G2775" s="21" t="inlineStr">
        <is>
          <t>PG-13</t>
        </is>
      </c>
      <c r="H2775" s="22" t="n">
        <v>43792641</v>
      </c>
      <c r="I2775" s="22" t="n">
        <v>35000000</v>
      </c>
      <c r="J2775" s="21">
        <f>IF(OR(H2775="",H2775=25529689.5),"Yes","No")</f>
        <v/>
      </c>
      <c r="K2775" s="21">
        <f>IF(AND(D2775="USA",C2775&gt;=1980,J2775="No"),"Yes","No")</f>
        <v/>
      </c>
      <c r="L2775" s="26">
        <f>IF(J2775="Yes","",H2775-I2775)</f>
        <v/>
      </c>
      <c r="M2775" s="27">
        <f>IF(OR(J2775="Yes",I2775=0),"",H2775/I2775)</f>
        <v/>
      </c>
      <c r="N2775" s="21">
        <f>IF(J2775="Yes","",IF(H2775&gt;=I2775,1,0))</f>
        <v/>
      </c>
      <c r="O2775" s="21">
        <f>IF(I2775&lt;=5000000,"Under $5M",IF(I2775&lt;=20000000,"$5M-20M",IF(I2775&lt;=50000000,"$20M-50M",IF(I2775&lt;=100000000,"$50M-100M","$100M+"))))</f>
        <v/>
      </c>
      <c r="P2775" s="21">
        <f>IF(E2775&lt;=90,"90 or less",IF(E2775&lt;=105,"91-105",IF(E2775&lt;=120,"106-120",IF(E2775&lt;=140,"121-140","Over 140"))))</f>
        <v/>
      </c>
      <c r="Q2775" s="28">
        <f>INT(C2775/10)*10</f>
        <v/>
      </c>
    </row>
    <row r="2776">
      <c r="A2776" s="21" t="n">
        <v>2836</v>
      </c>
      <c r="B2776" s="21" t="inlineStr">
        <is>
          <t>Lions for Lambs</t>
        </is>
      </c>
      <c r="C2776" s="21" t="n">
        <v>2007</v>
      </c>
      <c r="D2776" s="21" t="inlineStr">
        <is>
          <t>USA</t>
        </is>
      </c>
      <c r="E2776" s="21" t="n">
        <v>92</v>
      </c>
      <c r="F2776" s="21" t="inlineStr">
        <is>
          <t>English</t>
        </is>
      </c>
      <c r="G2776" s="21" t="inlineStr">
        <is>
          <t>R</t>
        </is>
      </c>
      <c r="H2776" s="22" t="n">
        <v>14998070</v>
      </c>
      <c r="I2776" s="22" t="n">
        <v>35000000</v>
      </c>
      <c r="J2776" s="21">
        <f>IF(OR(H2776="",H2776=25529689.5),"Yes","No")</f>
        <v/>
      </c>
      <c r="K2776" s="21">
        <f>IF(AND(D2776="USA",C2776&gt;=1980,J2776="No"),"Yes","No")</f>
        <v/>
      </c>
      <c r="L2776" s="26">
        <f>IF(J2776="Yes","",H2776-I2776)</f>
        <v/>
      </c>
      <c r="M2776" s="27">
        <f>IF(OR(J2776="Yes",I2776=0),"",H2776/I2776)</f>
        <v/>
      </c>
      <c r="N2776" s="21">
        <f>IF(J2776="Yes","",IF(H2776&gt;=I2776,1,0))</f>
        <v/>
      </c>
      <c r="O2776" s="21">
        <f>IF(I2776&lt;=5000000,"Under $5M",IF(I2776&lt;=20000000,"$5M-20M",IF(I2776&lt;=50000000,"$20M-50M",IF(I2776&lt;=100000000,"$50M-100M","$100M+"))))</f>
        <v/>
      </c>
      <c r="P2776" s="21">
        <f>IF(E2776&lt;=90,"90 or less",IF(E2776&lt;=105,"91-105",IF(E2776&lt;=120,"106-120",IF(E2776&lt;=140,"121-140","Over 140"))))</f>
        <v/>
      </c>
      <c r="Q2776" s="28">
        <f>INT(C2776/10)*10</f>
        <v/>
      </c>
    </row>
    <row r="2777">
      <c r="A2777" s="21" t="n">
        <v>2837</v>
      </c>
      <c r="B2777" s="21" t="inlineStr">
        <is>
          <t>Live Free or Die Hard</t>
        </is>
      </c>
      <c r="C2777" s="21" t="n">
        <v>2007</v>
      </c>
      <c r="D2777" s="21" t="inlineStr">
        <is>
          <t>USA</t>
        </is>
      </c>
      <c r="E2777" s="21" t="n">
        <v>129</v>
      </c>
      <c r="F2777" s="21" t="inlineStr">
        <is>
          <t>English</t>
        </is>
      </c>
      <c r="G2777" s="21" t="inlineStr">
        <is>
          <t>PG-13</t>
        </is>
      </c>
      <c r="H2777" s="22" t="n">
        <v>134520804</v>
      </c>
      <c r="I2777" s="22" t="n">
        <v>110000000</v>
      </c>
      <c r="J2777" s="21">
        <f>IF(OR(H2777="",H2777=25529689.5),"Yes","No")</f>
        <v/>
      </c>
      <c r="K2777" s="21">
        <f>IF(AND(D2777="USA",C2777&gt;=1980,J2777="No"),"Yes","No")</f>
        <v/>
      </c>
      <c r="L2777" s="26">
        <f>IF(J2777="Yes","",H2777-I2777)</f>
        <v/>
      </c>
      <c r="M2777" s="27">
        <f>IF(OR(J2777="Yes",I2777=0),"",H2777/I2777)</f>
        <v/>
      </c>
      <c r="N2777" s="21">
        <f>IF(J2777="Yes","",IF(H2777&gt;=I2777,1,0))</f>
        <v/>
      </c>
      <c r="O2777" s="21">
        <f>IF(I2777&lt;=5000000,"Under $5M",IF(I2777&lt;=20000000,"$5M-20M",IF(I2777&lt;=50000000,"$20M-50M",IF(I2777&lt;=100000000,"$50M-100M","$100M+"))))</f>
        <v/>
      </c>
      <c r="P2777" s="21">
        <f>IF(E2777&lt;=90,"90 or less",IF(E2777&lt;=105,"91-105",IF(E2777&lt;=120,"106-120",IF(E2777&lt;=140,"121-140","Over 140"))))</f>
        <v/>
      </c>
      <c r="Q2777" s="28">
        <f>INT(C2777/10)*10</f>
        <v/>
      </c>
    </row>
    <row r="2778">
      <c r="A2778" s="21" t="n">
        <v>2838</v>
      </c>
      <c r="B2778" s="21" t="inlineStr">
        <is>
          <t>Love in the Time of Cholera</t>
        </is>
      </c>
      <c r="C2778" s="21" t="n">
        <v>2007</v>
      </c>
      <c r="D2778" s="21" t="inlineStr">
        <is>
          <t>USA</t>
        </is>
      </c>
      <c r="E2778" s="21" t="n">
        <v>139</v>
      </c>
      <c r="F2778" s="21" t="inlineStr">
        <is>
          <t>English</t>
        </is>
      </c>
      <c r="G2778" s="21" t="inlineStr">
        <is>
          <t>R</t>
        </is>
      </c>
      <c r="H2778" s="22" t="n">
        <v>4584886</v>
      </c>
      <c r="I2778" s="22" t="n">
        <v>45000000</v>
      </c>
      <c r="J2778" s="21">
        <f>IF(OR(H2778="",H2778=25529689.5),"Yes","No")</f>
        <v/>
      </c>
      <c r="K2778" s="21">
        <f>IF(AND(D2778="USA",C2778&gt;=1980,J2778="No"),"Yes","No")</f>
        <v/>
      </c>
      <c r="L2778" s="26">
        <f>IF(J2778="Yes","",H2778-I2778)</f>
        <v/>
      </c>
      <c r="M2778" s="27">
        <f>IF(OR(J2778="Yes",I2778=0),"",H2778/I2778)</f>
        <v/>
      </c>
      <c r="N2778" s="21">
        <f>IF(J2778="Yes","",IF(H2778&gt;=I2778,1,0))</f>
        <v/>
      </c>
      <c r="O2778" s="21">
        <f>IF(I2778&lt;=5000000,"Under $5M",IF(I2778&lt;=20000000,"$5M-20M",IF(I2778&lt;=50000000,"$20M-50M",IF(I2778&lt;=100000000,"$50M-100M","$100M+"))))</f>
        <v/>
      </c>
      <c r="P2778" s="21">
        <f>IF(E2778&lt;=90,"90 or less",IF(E2778&lt;=105,"91-105",IF(E2778&lt;=120,"106-120",IF(E2778&lt;=140,"121-140","Over 140"))))</f>
        <v/>
      </c>
      <c r="Q2778" s="28">
        <f>INT(C2778/10)*10</f>
        <v/>
      </c>
    </row>
    <row r="2779">
      <c r="A2779" s="21" t="n">
        <v>2839</v>
      </c>
      <c r="B2779" s="21" t="inlineStr">
        <is>
          <t>Lucky You</t>
        </is>
      </c>
      <c r="C2779" s="21" t="n">
        <v>2007</v>
      </c>
      <c r="D2779" s="21" t="inlineStr">
        <is>
          <t>USA</t>
        </is>
      </c>
      <c r="E2779" s="21" t="n">
        <v>124</v>
      </c>
      <c r="F2779" s="21" t="inlineStr">
        <is>
          <t>English</t>
        </is>
      </c>
      <c r="G2779" s="21" t="inlineStr">
        <is>
          <t>PG-13</t>
        </is>
      </c>
      <c r="H2779" s="22" t="n">
        <v>5755286</v>
      </c>
      <c r="I2779" s="22" t="n">
        <v>55000000</v>
      </c>
      <c r="J2779" s="21">
        <f>IF(OR(H2779="",H2779=25529689.5),"Yes","No")</f>
        <v/>
      </c>
      <c r="K2779" s="21">
        <f>IF(AND(D2779="USA",C2779&gt;=1980,J2779="No"),"Yes","No")</f>
        <v/>
      </c>
      <c r="L2779" s="26">
        <f>IF(J2779="Yes","",H2779-I2779)</f>
        <v/>
      </c>
      <c r="M2779" s="27">
        <f>IF(OR(J2779="Yes",I2779=0),"",H2779/I2779)</f>
        <v/>
      </c>
      <c r="N2779" s="21">
        <f>IF(J2779="Yes","",IF(H2779&gt;=I2779,1,0))</f>
        <v/>
      </c>
      <c r="O2779" s="21">
        <f>IF(I2779&lt;=5000000,"Under $5M",IF(I2779&lt;=20000000,"$5M-20M",IF(I2779&lt;=50000000,"$20M-50M",IF(I2779&lt;=100000000,"$50M-100M","$100M+"))))</f>
        <v/>
      </c>
      <c r="P2779" s="21">
        <f>IF(E2779&lt;=90,"90 or less",IF(E2779&lt;=105,"91-105",IF(E2779&lt;=120,"106-120",IF(E2779&lt;=140,"121-140","Over 140"))))</f>
        <v/>
      </c>
      <c r="Q2779" s="28">
        <f>INT(C2779/10)*10</f>
        <v/>
      </c>
    </row>
    <row r="2780">
      <c r="A2780" s="21" t="n">
        <v>2840</v>
      </c>
      <c r="B2780" s="21" t="inlineStr">
        <is>
          <t>Married Life</t>
        </is>
      </c>
      <c r="C2780" s="21" t="n">
        <v>2007</v>
      </c>
      <c r="D2780" s="21" t="inlineStr">
        <is>
          <t>USA</t>
        </is>
      </c>
      <c r="E2780" s="21" t="n">
        <v>91</v>
      </c>
      <c r="F2780" s="21" t="inlineStr">
        <is>
          <t>English</t>
        </is>
      </c>
      <c r="G2780" s="21" t="inlineStr">
        <is>
          <t>PG-13</t>
        </is>
      </c>
      <c r="H2780" s="22" t="n">
        <v>1506998</v>
      </c>
      <c r="I2780" s="22" t="n">
        <v>12000000</v>
      </c>
      <c r="J2780" s="21">
        <f>IF(OR(H2780="",H2780=25529689.5),"Yes","No")</f>
        <v/>
      </c>
      <c r="K2780" s="21">
        <f>IF(AND(D2780="USA",C2780&gt;=1980,J2780="No"),"Yes","No")</f>
        <v/>
      </c>
      <c r="L2780" s="26">
        <f>IF(J2780="Yes","",H2780-I2780)</f>
        <v/>
      </c>
      <c r="M2780" s="27">
        <f>IF(OR(J2780="Yes",I2780=0),"",H2780/I2780)</f>
        <v/>
      </c>
      <c r="N2780" s="21">
        <f>IF(J2780="Yes","",IF(H2780&gt;=I2780,1,0))</f>
        <v/>
      </c>
      <c r="O2780" s="21">
        <f>IF(I2780&lt;=5000000,"Under $5M",IF(I2780&lt;=20000000,"$5M-20M",IF(I2780&lt;=50000000,"$20M-50M",IF(I2780&lt;=100000000,"$50M-100M","$100M+"))))</f>
        <v/>
      </c>
      <c r="P2780" s="21">
        <f>IF(E2780&lt;=90,"90 or less",IF(E2780&lt;=105,"91-105",IF(E2780&lt;=120,"106-120",IF(E2780&lt;=140,"121-140","Over 140"))))</f>
        <v/>
      </c>
      <c r="Q2780" s="28">
        <f>INT(C2780/10)*10</f>
        <v/>
      </c>
    </row>
    <row r="2781">
      <c r="A2781" s="21" t="n">
        <v>2841</v>
      </c>
      <c r="B2781" s="21" t="inlineStr">
        <is>
          <t>Martian Child</t>
        </is>
      </c>
      <c r="C2781" s="21" t="n">
        <v>2007</v>
      </c>
      <c r="D2781" s="21" t="inlineStr">
        <is>
          <t>USA</t>
        </is>
      </c>
      <c r="E2781" s="21" t="n">
        <v>106</v>
      </c>
      <c r="F2781" s="21" t="inlineStr">
        <is>
          <t>English</t>
        </is>
      </c>
      <c r="G2781" s="21" t="inlineStr">
        <is>
          <t>PG</t>
        </is>
      </c>
      <c r="H2781" s="22" t="n">
        <v>7486906</v>
      </c>
      <c r="I2781" s="22" t="n">
        <v>27000000</v>
      </c>
      <c r="J2781" s="21">
        <f>IF(OR(H2781="",H2781=25529689.5),"Yes","No")</f>
        <v/>
      </c>
      <c r="K2781" s="21">
        <f>IF(AND(D2781="USA",C2781&gt;=1980,J2781="No"),"Yes","No")</f>
        <v/>
      </c>
      <c r="L2781" s="26">
        <f>IF(J2781="Yes","",H2781-I2781)</f>
        <v/>
      </c>
      <c r="M2781" s="27">
        <f>IF(OR(J2781="Yes",I2781=0),"",H2781/I2781)</f>
        <v/>
      </c>
      <c r="N2781" s="21">
        <f>IF(J2781="Yes","",IF(H2781&gt;=I2781,1,0))</f>
        <v/>
      </c>
      <c r="O2781" s="21">
        <f>IF(I2781&lt;=5000000,"Under $5M",IF(I2781&lt;=20000000,"$5M-20M",IF(I2781&lt;=50000000,"$20M-50M",IF(I2781&lt;=100000000,"$50M-100M","$100M+"))))</f>
        <v/>
      </c>
      <c r="P2781" s="21">
        <f>IF(E2781&lt;=90,"90 or less",IF(E2781&lt;=105,"91-105",IF(E2781&lt;=120,"106-120",IF(E2781&lt;=140,"121-140","Over 140"))))</f>
        <v/>
      </c>
      <c r="Q2781" s="28">
        <f>INT(C2781/10)*10</f>
        <v/>
      </c>
    </row>
    <row r="2782">
      <c r="A2782" s="21" t="n">
        <v>2842</v>
      </c>
      <c r="B2782" s="21" t="inlineStr">
        <is>
          <t>Michael Clayton</t>
        </is>
      </c>
      <c r="C2782" s="21" t="n">
        <v>2007</v>
      </c>
      <c r="D2782" s="21" t="inlineStr">
        <is>
          <t>USA</t>
        </is>
      </c>
      <c r="E2782" s="21" t="n">
        <v>119</v>
      </c>
      <c r="F2782" s="21" t="inlineStr">
        <is>
          <t>English</t>
        </is>
      </c>
      <c r="G2782" s="21" t="inlineStr">
        <is>
          <t>R</t>
        </is>
      </c>
      <c r="H2782" s="22" t="n">
        <v>49024969</v>
      </c>
      <c r="I2782" s="22" t="n">
        <v>25000000</v>
      </c>
      <c r="J2782" s="21">
        <f>IF(OR(H2782="",H2782=25529689.5),"Yes","No")</f>
        <v/>
      </c>
      <c r="K2782" s="21">
        <f>IF(AND(D2782="USA",C2782&gt;=1980,J2782="No"),"Yes","No")</f>
        <v/>
      </c>
      <c r="L2782" s="26">
        <f>IF(J2782="Yes","",H2782-I2782)</f>
        <v/>
      </c>
      <c r="M2782" s="27">
        <f>IF(OR(J2782="Yes",I2782=0),"",H2782/I2782)</f>
        <v/>
      </c>
      <c r="N2782" s="21">
        <f>IF(J2782="Yes","",IF(H2782&gt;=I2782,1,0))</f>
        <v/>
      </c>
      <c r="O2782" s="21">
        <f>IF(I2782&lt;=5000000,"Under $5M",IF(I2782&lt;=20000000,"$5M-20M",IF(I2782&lt;=50000000,"$20M-50M",IF(I2782&lt;=100000000,"$50M-100M","$100M+"))))</f>
        <v/>
      </c>
      <c r="P2782" s="21">
        <f>IF(E2782&lt;=90,"90 or less",IF(E2782&lt;=105,"91-105",IF(E2782&lt;=120,"106-120",IF(E2782&lt;=140,"121-140","Over 140"))))</f>
        <v/>
      </c>
      <c r="Q2782" s="28">
        <f>INT(C2782/10)*10</f>
        <v/>
      </c>
    </row>
    <row r="2783">
      <c r="A2783" s="21" t="n">
        <v>2843</v>
      </c>
      <c r="B2783" s="21" t="inlineStr">
        <is>
          <t>MoliÃ¨re</t>
        </is>
      </c>
      <c r="C2783" s="21" t="n">
        <v>2007</v>
      </c>
      <c r="D2783" s="21" t="inlineStr">
        <is>
          <t>France</t>
        </is>
      </c>
      <c r="E2783" s="21" t="n">
        <v>120</v>
      </c>
      <c r="F2783" s="21" t="inlineStr">
        <is>
          <t>French</t>
        </is>
      </c>
      <c r="G2783" s="21" t="inlineStr">
        <is>
          <t>PG-13</t>
        </is>
      </c>
      <c r="H2783" s="22" t="n">
        <v>634277</v>
      </c>
      <c r="I2783" s="22" t="n">
        <v>16000000</v>
      </c>
      <c r="J2783" s="21">
        <f>IF(OR(H2783="",H2783=25529689.5),"Yes","No")</f>
        <v/>
      </c>
      <c r="K2783" s="21">
        <f>IF(AND(D2783="USA",C2783&gt;=1980,J2783="No"),"Yes","No")</f>
        <v/>
      </c>
      <c r="L2783" s="26">
        <f>IF(J2783="Yes","",H2783-I2783)</f>
        <v/>
      </c>
      <c r="M2783" s="27">
        <f>IF(OR(J2783="Yes",I2783=0),"",H2783/I2783)</f>
        <v/>
      </c>
      <c r="N2783" s="21">
        <f>IF(J2783="Yes","",IF(H2783&gt;=I2783,1,0))</f>
        <v/>
      </c>
      <c r="O2783" s="21">
        <f>IF(I2783&lt;=5000000,"Under $5M",IF(I2783&lt;=20000000,"$5M-20M",IF(I2783&lt;=50000000,"$20M-50M",IF(I2783&lt;=100000000,"$50M-100M","$100M+"))))</f>
        <v/>
      </c>
      <c r="P2783" s="21">
        <f>IF(E2783&lt;=90,"90 or less",IF(E2783&lt;=105,"91-105",IF(E2783&lt;=120,"106-120",IF(E2783&lt;=140,"121-140","Over 140"))))</f>
        <v/>
      </c>
      <c r="Q2783" s="28">
        <f>INT(C2783/10)*10</f>
        <v/>
      </c>
    </row>
    <row r="2784">
      <c r="A2784" s="21" t="n">
        <v>2844</v>
      </c>
      <c r="B2784" s="21" t="inlineStr">
        <is>
          <t>Mongol: The Rise of Genghis Khan</t>
        </is>
      </c>
      <c r="C2784" s="21" t="n">
        <v>2007</v>
      </c>
      <c r="D2784" s="21" t="inlineStr">
        <is>
          <t>Russia</t>
        </is>
      </c>
      <c r="E2784" s="21" t="n">
        <v>126</v>
      </c>
      <c r="F2784" s="21" t="inlineStr">
        <is>
          <t>Mongolian</t>
        </is>
      </c>
      <c r="G2784" s="21" t="inlineStr">
        <is>
          <t>R</t>
        </is>
      </c>
      <c r="H2784" s="22" t="n">
        <v>5701643</v>
      </c>
      <c r="I2784" s="22" t="n">
        <v>20000000</v>
      </c>
      <c r="J2784" s="21">
        <f>IF(OR(H2784="",H2784=25529689.5),"Yes","No")</f>
        <v/>
      </c>
      <c r="K2784" s="21">
        <f>IF(AND(D2784="USA",C2784&gt;=1980,J2784="No"),"Yes","No")</f>
        <v/>
      </c>
      <c r="L2784" s="26">
        <f>IF(J2784="Yes","",H2784-I2784)</f>
        <v/>
      </c>
      <c r="M2784" s="27">
        <f>IF(OR(J2784="Yes",I2784=0),"",H2784/I2784)</f>
        <v/>
      </c>
      <c r="N2784" s="21">
        <f>IF(J2784="Yes","",IF(H2784&gt;=I2784,1,0))</f>
        <v/>
      </c>
      <c r="O2784" s="21">
        <f>IF(I2784&lt;=5000000,"Under $5M",IF(I2784&lt;=20000000,"$5M-20M",IF(I2784&lt;=50000000,"$20M-50M",IF(I2784&lt;=100000000,"$50M-100M","$100M+"))))</f>
        <v/>
      </c>
      <c r="P2784" s="21">
        <f>IF(E2784&lt;=90,"90 or less",IF(E2784&lt;=105,"91-105",IF(E2784&lt;=120,"106-120",IF(E2784&lt;=140,"121-140","Over 140"))))</f>
        <v/>
      </c>
      <c r="Q2784" s="28">
        <f>INT(C2784/10)*10</f>
        <v/>
      </c>
    </row>
    <row r="2785">
      <c r="A2785" s="21" t="n">
        <v>2845</v>
      </c>
      <c r="B2785" s="21" t="inlineStr">
        <is>
          <t>Mr. Bean's Holiday</t>
        </is>
      </c>
      <c r="C2785" s="21" t="n">
        <v>2007</v>
      </c>
      <c r="D2785" s="21" t="inlineStr">
        <is>
          <t>UK</t>
        </is>
      </c>
      <c r="E2785" s="21" t="n">
        <v>90</v>
      </c>
      <c r="F2785" s="21" t="inlineStr">
        <is>
          <t>English</t>
        </is>
      </c>
      <c r="G2785" s="21" t="inlineStr">
        <is>
          <t>PG</t>
        </is>
      </c>
      <c r="H2785" s="22" t="n">
        <v>32553210</v>
      </c>
      <c r="I2785" s="22" t="n">
        <v>25000000</v>
      </c>
      <c r="J2785" s="21">
        <f>IF(OR(H2785="",H2785=25529689.5),"Yes","No")</f>
        <v/>
      </c>
      <c r="K2785" s="21">
        <f>IF(AND(D2785="USA",C2785&gt;=1980,J2785="No"),"Yes","No")</f>
        <v/>
      </c>
      <c r="L2785" s="26">
        <f>IF(J2785="Yes","",H2785-I2785)</f>
        <v/>
      </c>
      <c r="M2785" s="27">
        <f>IF(OR(J2785="Yes",I2785=0),"",H2785/I2785)</f>
        <v/>
      </c>
      <c r="N2785" s="21">
        <f>IF(J2785="Yes","",IF(H2785&gt;=I2785,1,0))</f>
        <v/>
      </c>
      <c r="O2785" s="21">
        <f>IF(I2785&lt;=5000000,"Under $5M",IF(I2785&lt;=20000000,"$5M-20M",IF(I2785&lt;=50000000,"$20M-50M",IF(I2785&lt;=100000000,"$50M-100M","$100M+"))))</f>
        <v/>
      </c>
      <c r="P2785" s="21">
        <f>IF(E2785&lt;=90,"90 or less",IF(E2785&lt;=105,"91-105",IF(E2785&lt;=120,"106-120",IF(E2785&lt;=140,"121-140","Over 140"))))</f>
        <v/>
      </c>
      <c r="Q2785" s="28">
        <f>INT(C2785/10)*10</f>
        <v/>
      </c>
    </row>
    <row r="2786">
      <c r="A2786" s="21" t="n">
        <v>2846</v>
      </c>
      <c r="B2786" s="21" t="inlineStr">
        <is>
          <t>Music and Lyrics</t>
        </is>
      </c>
      <c r="C2786" s="21" t="n">
        <v>2007</v>
      </c>
      <c r="D2786" s="21" t="inlineStr">
        <is>
          <t>USA</t>
        </is>
      </c>
      <c r="E2786" s="21" t="n">
        <v>95</v>
      </c>
      <c r="F2786" s="21" t="inlineStr">
        <is>
          <t>English</t>
        </is>
      </c>
      <c r="G2786" s="21" t="inlineStr">
        <is>
          <t>PG-13</t>
        </is>
      </c>
      <c r="H2786" s="22" t="n">
        <v>50562555</v>
      </c>
      <c r="I2786" s="22" t="n">
        <v>20000000</v>
      </c>
      <c r="J2786" s="21">
        <f>IF(OR(H2786="",H2786=25529689.5),"Yes","No")</f>
        <v/>
      </c>
      <c r="K2786" s="21">
        <f>IF(AND(D2786="USA",C2786&gt;=1980,J2786="No"),"Yes","No")</f>
        <v/>
      </c>
      <c r="L2786" s="26">
        <f>IF(J2786="Yes","",H2786-I2786)</f>
        <v/>
      </c>
      <c r="M2786" s="27">
        <f>IF(OR(J2786="Yes",I2786=0),"",H2786/I2786)</f>
        <v/>
      </c>
      <c r="N2786" s="21">
        <f>IF(J2786="Yes","",IF(H2786&gt;=I2786,1,0))</f>
        <v/>
      </c>
      <c r="O2786" s="21">
        <f>IF(I2786&lt;=5000000,"Under $5M",IF(I2786&lt;=20000000,"$5M-20M",IF(I2786&lt;=50000000,"$20M-50M",IF(I2786&lt;=100000000,"$50M-100M","$100M+"))))</f>
        <v/>
      </c>
      <c r="P2786" s="21">
        <f>IF(E2786&lt;=90,"90 or less",IF(E2786&lt;=105,"91-105",IF(E2786&lt;=120,"106-120",IF(E2786&lt;=140,"121-140","Over 140"))))</f>
        <v/>
      </c>
      <c r="Q2786" s="28">
        <f>INT(C2786/10)*10</f>
        <v/>
      </c>
    </row>
    <row r="2787">
      <c r="A2787" s="21" t="n">
        <v>2847</v>
      </c>
      <c r="B2787" s="21" t="inlineStr">
        <is>
          <t>My Blueberry Nights</t>
        </is>
      </c>
      <c r="C2787" s="21" t="n">
        <v>2007</v>
      </c>
      <c r="D2787" s="21" t="inlineStr">
        <is>
          <t>Hong Kong</t>
        </is>
      </c>
      <c r="E2787" s="21" t="n">
        <v>95</v>
      </c>
      <c r="F2787" s="21" t="inlineStr">
        <is>
          <t>English</t>
        </is>
      </c>
      <c r="G2787" s="21" t="inlineStr">
        <is>
          <t>PG-13</t>
        </is>
      </c>
      <c r="H2787" s="22" t="n">
        <v>866778</v>
      </c>
      <c r="I2787" s="22" t="n">
        <v>10000000</v>
      </c>
      <c r="J2787" s="21">
        <f>IF(OR(H2787="",H2787=25529689.5),"Yes","No")</f>
        <v/>
      </c>
      <c r="K2787" s="21">
        <f>IF(AND(D2787="USA",C2787&gt;=1980,J2787="No"),"Yes","No")</f>
        <v/>
      </c>
      <c r="L2787" s="26">
        <f>IF(J2787="Yes","",H2787-I2787)</f>
        <v/>
      </c>
      <c r="M2787" s="27">
        <f>IF(OR(J2787="Yes",I2787=0),"",H2787/I2787)</f>
        <v/>
      </c>
      <c r="N2787" s="21">
        <f>IF(J2787="Yes","",IF(H2787&gt;=I2787,1,0))</f>
        <v/>
      </c>
      <c r="O2787" s="21">
        <f>IF(I2787&lt;=5000000,"Under $5M",IF(I2787&lt;=20000000,"$5M-20M",IF(I2787&lt;=50000000,"$20M-50M",IF(I2787&lt;=100000000,"$50M-100M","$100M+"))))</f>
        <v/>
      </c>
      <c r="P2787" s="21">
        <f>IF(E2787&lt;=90,"90 or less",IF(E2787&lt;=105,"91-105",IF(E2787&lt;=120,"106-120",IF(E2787&lt;=140,"121-140","Over 140"))))</f>
        <v/>
      </c>
      <c r="Q2787" s="28">
        <f>INT(C2787/10)*10</f>
        <v/>
      </c>
    </row>
    <row r="2788">
      <c r="A2788" s="21" t="n">
        <v>2848</v>
      </c>
      <c r="B2788" s="21" t="inlineStr">
        <is>
          <t>My Name Is Bruce</t>
        </is>
      </c>
      <c r="C2788" s="21" t="n">
        <v>2007</v>
      </c>
      <c r="D2788" s="21" t="inlineStr">
        <is>
          <t>USA</t>
        </is>
      </c>
      <c r="E2788" s="21" t="n">
        <v>84</v>
      </c>
      <c r="F2788" s="21" t="inlineStr">
        <is>
          <t>English</t>
        </is>
      </c>
      <c r="G2788" s="21" t="inlineStr">
        <is>
          <t>R</t>
        </is>
      </c>
      <c r="H2788" s="22" t="n">
        <v>173066</v>
      </c>
      <c r="I2788" s="22" t="n">
        <v>1500000</v>
      </c>
      <c r="J2788" s="21">
        <f>IF(OR(H2788="",H2788=25529689.5),"Yes","No")</f>
        <v/>
      </c>
      <c r="K2788" s="21">
        <f>IF(AND(D2788="USA",C2788&gt;=1980,J2788="No"),"Yes","No")</f>
        <v/>
      </c>
      <c r="L2788" s="26">
        <f>IF(J2788="Yes","",H2788-I2788)</f>
        <v/>
      </c>
      <c r="M2788" s="27">
        <f>IF(OR(J2788="Yes",I2788=0),"",H2788/I2788)</f>
        <v/>
      </c>
      <c r="N2788" s="21">
        <f>IF(J2788="Yes","",IF(H2788&gt;=I2788,1,0))</f>
        <v/>
      </c>
      <c r="O2788" s="21">
        <f>IF(I2788&lt;=5000000,"Under $5M",IF(I2788&lt;=20000000,"$5M-20M",IF(I2788&lt;=50000000,"$20M-50M",IF(I2788&lt;=100000000,"$50M-100M","$100M+"))))</f>
        <v/>
      </c>
      <c r="P2788" s="21">
        <f>IF(E2788&lt;=90,"90 or less",IF(E2788&lt;=105,"91-105",IF(E2788&lt;=120,"106-120",IF(E2788&lt;=140,"121-140","Over 140"))))</f>
        <v/>
      </c>
      <c r="Q2788" s="28">
        <f>INT(C2788/10)*10</f>
        <v/>
      </c>
    </row>
    <row r="2789">
      <c r="A2789" s="21" t="n">
        <v>2849</v>
      </c>
      <c r="B2789" s="21" t="inlineStr">
        <is>
          <t>Namastey London</t>
        </is>
      </c>
      <c r="C2789" s="21" t="n">
        <v>2007</v>
      </c>
      <c r="D2789" s="21" t="inlineStr">
        <is>
          <t>India</t>
        </is>
      </c>
      <c r="E2789" s="21" t="n">
        <v>128</v>
      </c>
      <c r="F2789" s="21" t="inlineStr">
        <is>
          <t>Hindi</t>
        </is>
      </c>
      <c r="G2789" s="21" t="n"/>
      <c r="H2789" s="22" t="n">
        <v>1207007</v>
      </c>
      <c r="I2789" s="22" t="n">
        <v>20000000</v>
      </c>
      <c r="J2789" s="21">
        <f>IF(OR(H2789="",H2789=25529689.5),"Yes","No")</f>
        <v/>
      </c>
      <c r="K2789" s="21">
        <f>IF(AND(D2789="USA",C2789&gt;=1980,J2789="No"),"Yes","No")</f>
        <v/>
      </c>
      <c r="L2789" s="26">
        <f>IF(J2789="Yes","",H2789-I2789)</f>
        <v/>
      </c>
      <c r="M2789" s="27">
        <f>IF(OR(J2789="Yes",I2789=0),"",H2789/I2789)</f>
        <v/>
      </c>
      <c r="N2789" s="21">
        <f>IF(J2789="Yes","",IF(H2789&gt;=I2789,1,0))</f>
        <v/>
      </c>
      <c r="O2789" s="21">
        <f>IF(I2789&lt;=5000000,"Under $5M",IF(I2789&lt;=20000000,"$5M-20M",IF(I2789&lt;=50000000,"$20M-50M",IF(I2789&lt;=100000000,"$50M-100M","$100M+"))))</f>
        <v/>
      </c>
      <c r="P2789" s="21">
        <f>IF(E2789&lt;=90,"90 or less",IF(E2789&lt;=105,"91-105",IF(E2789&lt;=120,"106-120",IF(E2789&lt;=140,"121-140","Over 140"))))</f>
        <v/>
      </c>
      <c r="Q2789" s="28">
        <f>INT(C2789/10)*10</f>
        <v/>
      </c>
    </row>
    <row r="2790">
      <c r="A2790" s="21" t="n">
        <v>2850</v>
      </c>
      <c r="B2790" s="21" t="inlineStr">
        <is>
          <t>Nancy Drew</t>
        </is>
      </c>
      <c r="C2790" s="21" t="n">
        <v>2007</v>
      </c>
      <c r="D2790" s="21" t="inlineStr">
        <is>
          <t>USA</t>
        </is>
      </c>
      <c r="E2790" s="21" t="n">
        <v>99</v>
      </c>
      <c r="F2790" s="21" t="inlineStr">
        <is>
          <t>English</t>
        </is>
      </c>
      <c r="G2790" s="21" t="inlineStr">
        <is>
          <t>PG</t>
        </is>
      </c>
      <c r="H2790" s="22" t="n">
        <v>25584685</v>
      </c>
      <c r="I2790" s="22" t="n">
        <v>20000000</v>
      </c>
      <c r="J2790" s="21">
        <f>IF(OR(H2790="",H2790=25529689.5),"Yes","No")</f>
        <v/>
      </c>
      <c r="K2790" s="21">
        <f>IF(AND(D2790="USA",C2790&gt;=1980,J2790="No"),"Yes","No")</f>
        <v/>
      </c>
      <c r="L2790" s="26">
        <f>IF(J2790="Yes","",H2790-I2790)</f>
        <v/>
      </c>
      <c r="M2790" s="27">
        <f>IF(OR(J2790="Yes",I2790=0),"",H2790/I2790)</f>
        <v/>
      </c>
      <c r="N2790" s="21">
        <f>IF(J2790="Yes","",IF(H2790&gt;=I2790,1,0))</f>
        <v/>
      </c>
      <c r="O2790" s="21">
        <f>IF(I2790&lt;=5000000,"Under $5M",IF(I2790&lt;=20000000,"$5M-20M",IF(I2790&lt;=50000000,"$20M-50M",IF(I2790&lt;=100000000,"$50M-100M","$100M+"))))</f>
        <v/>
      </c>
      <c r="P2790" s="21">
        <f>IF(E2790&lt;=90,"90 or less",IF(E2790&lt;=105,"91-105",IF(E2790&lt;=120,"106-120",IF(E2790&lt;=140,"121-140","Over 140"))))</f>
        <v/>
      </c>
      <c r="Q2790" s="28">
        <f>INT(C2790/10)*10</f>
        <v/>
      </c>
    </row>
    <row r="2791">
      <c r="A2791" s="21" t="n">
        <v>2851</v>
      </c>
      <c r="B2791" s="21" t="inlineStr">
        <is>
          <t>No Country for Old Men</t>
        </is>
      </c>
      <c r="C2791" s="21" t="n">
        <v>2007</v>
      </c>
      <c r="D2791" s="21" t="inlineStr">
        <is>
          <t>USA</t>
        </is>
      </c>
      <c r="E2791" s="21" t="n">
        <v>122</v>
      </c>
      <c r="F2791" s="21" t="inlineStr">
        <is>
          <t>English</t>
        </is>
      </c>
      <c r="G2791" s="21" t="inlineStr">
        <is>
          <t>R</t>
        </is>
      </c>
      <c r="H2791" s="22" t="n">
        <v>74273505</v>
      </c>
      <c r="I2791" s="22" t="n">
        <v>25000000</v>
      </c>
      <c r="J2791" s="21">
        <f>IF(OR(H2791="",H2791=25529689.5),"Yes","No")</f>
        <v/>
      </c>
      <c r="K2791" s="21">
        <f>IF(AND(D2791="USA",C2791&gt;=1980,J2791="No"),"Yes","No")</f>
        <v/>
      </c>
      <c r="L2791" s="26">
        <f>IF(J2791="Yes","",H2791-I2791)</f>
        <v/>
      </c>
      <c r="M2791" s="27">
        <f>IF(OR(J2791="Yes",I2791=0),"",H2791/I2791)</f>
        <v/>
      </c>
      <c r="N2791" s="21">
        <f>IF(J2791="Yes","",IF(H2791&gt;=I2791,1,0))</f>
        <v/>
      </c>
      <c r="O2791" s="21">
        <f>IF(I2791&lt;=5000000,"Under $5M",IF(I2791&lt;=20000000,"$5M-20M",IF(I2791&lt;=50000000,"$20M-50M",IF(I2791&lt;=100000000,"$50M-100M","$100M+"))))</f>
        <v/>
      </c>
      <c r="P2791" s="21">
        <f>IF(E2791&lt;=90,"90 or less",IF(E2791&lt;=105,"91-105",IF(E2791&lt;=120,"106-120",IF(E2791&lt;=140,"121-140","Over 140"))))</f>
        <v/>
      </c>
      <c r="Q2791" s="28">
        <f>INT(C2791/10)*10</f>
        <v/>
      </c>
    </row>
    <row r="2792">
      <c r="A2792" s="21" t="n">
        <v>2852</v>
      </c>
      <c r="B2792" s="21" t="inlineStr">
        <is>
          <t>No End in Sight</t>
        </is>
      </c>
      <c r="C2792" s="21" t="n">
        <v>2007</v>
      </c>
      <c r="D2792" s="21" t="inlineStr">
        <is>
          <t>USA</t>
        </is>
      </c>
      <c r="E2792" s="21" t="n">
        <v>102</v>
      </c>
      <c r="F2792" s="21" t="inlineStr">
        <is>
          <t>English</t>
        </is>
      </c>
      <c r="G2792" s="21" t="n"/>
      <c r="H2792" s="22" t="n">
        <v>1430185</v>
      </c>
      <c r="I2792" s="22" t="n">
        <v>2000000</v>
      </c>
      <c r="J2792" s="21">
        <f>IF(OR(H2792="",H2792=25529689.5),"Yes","No")</f>
        <v/>
      </c>
      <c r="K2792" s="21">
        <f>IF(AND(D2792="USA",C2792&gt;=1980,J2792="No"),"Yes","No")</f>
        <v/>
      </c>
      <c r="L2792" s="26">
        <f>IF(J2792="Yes","",H2792-I2792)</f>
        <v/>
      </c>
      <c r="M2792" s="27">
        <f>IF(OR(J2792="Yes",I2792=0),"",H2792/I2792)</f>
        <v/>
      </c>
      <c r="N2792" s="21">
        <f>IF(J2792="Yes","",IF(H2792&gt;=I2792,1,0))</f>
        <v/>
      </c>
      <c r="O2792" s="21">
        <f>IF(I2792&lt;=5000000,"Under $5M",IF(I2792&lt;=20000000,"$5M-20M",IF(I2792&lt;=50000000,"$20M-50M",IF(I2792&lt;=100000000,"$50M-100M","$100M+"))))</f>
        <v/>
      </c>
      <c r="P2792" s="21">
        <f>IF(E2792&lt;=90,"90 or less",IF(E2792&lt;=105,"91-105",IF(E2792&lt;=120,"106-120",IF(E2792&lt;=140,"121-140","Over 140"))))</f>
        <v/>
      </c>
      <c r="Q2792" s="28">
        <f>INT(C2792/10)*10</f>
        <v/>
      </c>
    </row>
    <row r="2793">
      <c r="A2793" s="21" t="n">
        <v>2853</v>
      </c>
      <c r="B2793" s="21" t="inlineStr">
        <is>
          <t>No Reservations</t>
        </is>
      </c>
      <c r="C2793" s="21" t="n">
        <v>2007</v>
      </c>
      <c r="D2793" s="21" t="inlineStr">
        <is>
          <t>USA</t>
        </is>
      </c>
      <c r="E2793" s="21" t="n">
        <v>104</v>
      </c>
      <c r="F2793" s="21" t="inlineStr">
        <is>
          <t>English</t>
        </is>
      </c>
      <c r="G2793" s="21" t="inlineStr">
        <is>
          <t>PG</t>
        </is>
      </c>
      <c r="H2793" s="22" t="n">
        <v>43097652</v>
      </c>
      <c r="I2793" s="22" t="n">
        <v>28000000</v>
      </c>
      <c r="J2793" s="21">
        <f>IF(OR(H2793="",H2793=25529689.5),"Yes","No")</f>
        <v/>
      </c>
      <c r="K2793" s="21">
        <f>IF(AND(D2793="USA",C2793&gt;=1980,J2793="No"),"Yes","No")</f>
        <v/>
      </c>
      <c r="L2793" s="26">
        <f>IF(J2793="Yes","",H2793-I2793)</f>
        <v/>
      </c>
      <c r="M2793" s="27">
        <f>IF(OR(J2793="Yes",I2793=0),"",H2793/I2793)</f>
        <v/>
      </c>
      <c r="N2793" s="21">
        <f>IF(J2793="Yes","",IF(H2793&gt;=I2793,1,0))</f>
        <v/>
      </c>
      <c r="O2793" s="21">
        <f>IF(I2793&lt;=5000000,"Under $5M",IF(I2793&lt;=20000000,"$5M-20M",IF(I2793&lt;=50000000,"$20M-50M",IF(I2793&lt;=100000000,"$50M-100M","$100M+"))))</f>
        <v/>
      </c>
      <c r="P2793" s="21">
        <f>IF(E2793&lt;=90,"90 or less",IF(E2793&lt;=105,"91-105",IF(E2793&lt;=120,"106-120",IF(E2793&lt;=140,"121-140","Over 140"))))</f>
        <v/>
      </c>
      <c r="Q2793" s="28">
        <f>INT(C2793/10)*10</f>
        <v/>
      </c>
    </row>
    <row r="2794">
      <c r="A2794" s="21" t="n">
        <v>2854</v>
      </c>
      <c r="B2794" s="21" t="inlineStr">
        <is>
          <t>Ocean's Thirteen</t>
        </is>
      </c>
      <c r="C2794" s="21" t="n">
        <v>2007</v>
      </c>
      <c r="D2794" s="21" t="inlineStr">
        <is>
          <t>USA</t>
        </is>
      </c>
      <c r="E2794" s="21" t="n">
        <v>122</v>
      </c>
      <c r="F2794" s="21" t="inlineStr">
        <is>
          <t>English</t>
        </is>
      </c>
      <c r="G2794" s="21" t="inlineStr">
        <is>
          <t>PG-13</t>
        </is>
      </c>
      <c r="H2794" s="22" t="n">
        <v>117144465</v>
      </c>
      <c r="I2794" s="22" t="n">
        <v>85000000</v>
      </c>
      <c r="J2794" s="21">
        <f>IF(OR(H2794="",H2794=25529689.5),"Yes","No")</f>
        <v/>
      </c>
      <c r="K2794" s="21">
        <f>IF(AND(D2794="USA",C2794&gt;=1980,J2794="No"),"Yes","No")</f>
        <v/>
      </c>
      <c r="L2794" s="26">
        <f>IF(J2794="Yes","",H2794-I2794)</f>
        <v/>
      </c>
      <c r="M2794" s="27">
        <f>IF(OR(J2794="Yes",I2794=0),"",H2794/I2794)</f>
        <v/>
      </c>
      <c r="N2794" s="21">
        <f>IF(J2794="Yes","",IF(H2794&gt;=I2794,1,0))</f>
        <v/>
      </c>
      <c r="O2794" s="21">
        <f>IF(I2794&lt;=5000000,"Under $5M",IF(I2794&lt;=20000000,"$5M-20M",IF(I2794&lt;=50000000,"$20M-50M",IF(I2794&lt;=100000000,"$50M-100M","$100M+"))))</f>
        <v/>
      </c>
      <c r="P2794" s="21">
        <f>IF(E2794&lt;=90,"90 or less",IF(E2794&lt;=105,"91-105",IF(E2794&lt;=120,"106-120",IF(E2794&lt;=140,"121-140","Over 140"))))</f>
        <v/>
      </c>
      <c r="Q2794" s="28">
        <f>INT(C2794/10)*10</f>
        <v/>
      </c>
    </row>
    <row r="2795">
      <c r="A2795" s="21" t="n">
        <v>2855</v>
      </c>
      <c r="B2795" s="21" t="inlineStr">
        <is>
          <t>Once</t>
        </is>
      </c>
      <c r="C2795" s="21" t="n">
        <v>2007</v>
      </c>
      <c r="D2795" s="21" t="inlineStr">
        <is>
          <t>Ireland</t>
        </is>
      </c>
      <c r="E2795" s="21" t="n">
        <v>85</v>
      </c>
      <c r="F2795" s="21" t="inlineStr">
        <is>
          <t>English</t>
        </is>
      </c>
      <c r="G2795" s="21" t="inlineStr">
        <is>
          <t>R</t>
        </is>
      </c>
      <c r="H2795" s="22" t="n">
        <v>9437933</v>
      </c>
      <c r="I2795" s="22" t="n">
        <v>180000</v>
      </c>
      <c r="J2795" s="21">
        <f>IF(OR(H2795="",H2795=25529689.5),"Yes","No")</f>
        <v/>
      </c>
      <c r="K2795" s="21">
        <f>IF(AND(D2795="USA",C2795&gt;=1980,J2795="No"),"Yes","No")</f>
        <v/>
      </c>
      <c r="L2795" s="26">
        <f>IF(J2795="Yes","",H2795-I2795)</f>
        <v/>
      </c>
      <c r="M2795" s="27">
        <f>IF(OR(J2795="Yes",I2795=0),"",H2795/I2795)</f>
        <v/>
      </c>
      <c r="N2795" s="21">
        <f>IF(J2795="Yes","",IF(H2795&gt;=I2795,1,0))</f>
        <v/>
      </c>
      <c r="O2795" s="21">
        <f>IF(I2795&lt;=5000000,"Under $5M",IF(I2795&lt;=20000000,"$5M-20M",IF(I2795&lt;=50000000,"$20M-50M",IF(I2795&lt;=100000000,"$50M-100M","$100M+"))))</f>
        <v/>
      </c>
      <c r="P2795" s="21">
        <f>IF(E2795&lt;=90,"90 or less",IF(E2795&lt;=105,"91-105",IF(E2795&lt;=120,"106-120",IF(E2795&lt;=140,"121-140","Over 140"))))</f>
        <v/>
      </c>
      <c r="Q2795" s="28">
        <f>INT(C2795/10)*10</f>
        <v/>
      </c>
    </row>
    <row r="2796">
      <c r="A2796" s="21" t="n">
        <v>2856</v>
      </c>
      <c r="B2796" s="21" t="inlineStr">
        <is>
          <t>P.S. I Love You</t>
        </is>
      </c>
      <c r="C2796" s="21" t="n">
        <v>2007</v>
      </c>
      <c r="D2796" s="21" t="inlineStr">
        <is>
          <t>USA</t>
        </is>
      </c>
      <c r="E2796" s="21" t="n">
        <v>126</v>
      </c>
      <c r="F2796" s="21" t="inlineStr">
        <is>
          <t>English</t>
        </is>
      </c>
      <c r="G2796" s="21" t="inlineStr">
        <is>
          <t>PG-13</t>
        </is>
      </c>
      <c r="H2796" s="22" t="n">
        <v>53680848</v>
      </c>
      <c r="I2796" s="22" t="n">
        <v>30000000</v>
      </c>
      <c r="J2796" s="21">
        <f>IF(OR(H2796="",H2796=25529689.5),"Yes","No")</f>
        <v/>
      </c>
      <c r="K2796" s="21">
        <f>IF(AND(D2796="USA",C2796&gt;=1980,J2796="No"),"Yes","No")</f>
        <v/>
      </c>
      <c r="L2796" s="26">
        <f>IF(J2796="Yes","",H2796-I2796)</f>
        <v/>
      </c>
      <c r="M2796" s="27">
        <f>IF(OR(J2796="Yes",I2796=0),"",H2796/I2796)</f>
        <v/>
      </c>
      <c r="N2796" s="21">
        <f>IF(J2796="Yes","",IF(H2796&gt;=I2796,1,0))</f>
        <v/>
      </c>
      <c r="O2796" s="21">
        <f>IF(I2796&lt;=5000000,"Under $5M",IF(I2796&lt;=20000000,"$5M-20M",IF(I2796&lt;=50000000,"$20M-50M",IF(I2796&lt;=100000000,"$50M-100M","$100M+"))))</f>
        <v/>
      </c>
      <c r="P2796" s="21">
        <f>IF(E2796&lt;=90,"90 or less",IF(E2796&lt;=105,"91-105",IF(E2796&lt;=120,"106-120",IF(E2796&lt;=140,"121-140","Over 140"))))</f>
        <v/>
      </c>
      <c r="Q2796" s="28">
        <f>INT(C2796/10)*10</f>
        <v/>
      </c>
    </row>
    <row r="2797">
      <c r="A2797" s="21" t="n">
        <v>2857</v>
      </c>
      <c r="B2797" s="21" t="inlineStr">
        <is>
          <t>Paranormal Activity</t>
        </is>
      </c>
      <c r="C2797" s="21" t="n">
        <v>2007</v>
      </c>
      <c r="D2797" s="21" t="inlineStr">
        <is>
          <t>USA</t>
        </is>
      </c>
      <c r="E2797" s="21" t="n">
        <v>84</v>
      </c>
      <c r="F2797" s="21" t="inlineStr">
        <is>
          <t>English</t>
        </is>
      </c>
      <c r="G2797" s="21" t="inlineStr">
        <is>
          <t>R</t>
        </is>
      </c>
      <c r="H2797" s="22" t="n">
        <v>107917283</v>
      </c>
      <c r="I2797" s="22" t="n">
        <v>15000</v>
      </c>
      <c r="J2797" s="21">
        <f>IF(OR(H2797="",H2797=25529689.5),"Yes","No")</f>
        <v/>
      </c>
      <c r="K2797" s="21">
        <f>IF(AND(D2797="USA",C2797&gt;=1980,J2797="No"),"Yes","No")</f>
        <v/>
      </c>
      <c r="L2797" s="26">
        <f>IF(J2797="Yes","",H2797-I2797)</f>
        <v/>
      </c>
      <c r="M2797" s="27">
        <f>IF(OR(J2797="Yes",I2797=0),"",H2797/I2797)</f>
        <v/>
      </c>
      <c r="N2797" s="21">
        <f>IF(J2797="Yes","",IF(H2797&gt;=I2797,1,0))</f>
        <v/>
      </c>
      <c r="O2797" s="21">
        <f>IF(I2797&lt;=5000000,"Under $5M",IF(I2797&lt;=20000000,"$5M-20M",IF(I2797&lt;=50000000,"$20M-50M",IF(I2797&lt;=100000000,"$50M-100M","$100M+"))))</f>
        <v/>
      </c>
      <c r="P2797" s="21">
        <f>IF(E2797&lt;=90,"90 or less",IF(E2797&lt;=105,"91-105",IF(E2797&lt;=120,"106-120",IF(E2797&lt;=140,"121-140","Over 140"))))</f>
        <v/>
      </c>
      <c r="Q2797" s="28">
        <f>INT(C2797/10)*10</f>
        <v/>
      </c>
    </row>
    <row r="2798">
      <c r="A2798" s="21" t="n">
        <v>2858</v>
      </c>
      <c r="B2798" s="21" t="inlineStr">
        <is>
          <t>Partition</t>
        </is>
      </c>
      <c r="C2798" s="21" t="n">
        <v>2007</v>
      </c>
      <c r="D2798" s="21" t="inlineStr">
        <is>
          <t>Canada</t>
        </is>
      </c>
      <c r="E2798" s="21" t="n">
        <v>116</v>
      </c>
      <c r="F2798" s="21" t="inlineStr">
        <is>
          <t>English</t>
        </is>
      </c>
      <c r="G2798" s="21" t="inlineStr">
        <is>
          <t>R</t>
        </is>
      </c>
      <c r="H2798" s="22" t="n">
        <v>25529689.5</v>
      </c>
      <c r="I2798" s="22" t="n">
        <v>10000000</v>
      </c>
      <c r="J2798" s="21">
        <f>IF(OR(H2798="",H2798=25529689.5),"Yes","No")</f>
        <v/>
      </c>
      <c r="K2798" s="21">
        <f>IF(AND(D2798="USA",C2798&gt;=1980,J2798="No"),"Yes","No")</f>
        <v/>
      </c>
      <c r="L2798" s="26">
        <f>IF(J2798="Yes","",H2798-I2798)</f>
        <v/>
      </c>
      <c r="M2798" s="27">
        <f>IF(OR(J2798="Yes",I2798=0),"",H2798/I2798)</f>
        <v/>
      </c>
      <c r="N2798" s="21">
        <f>IF(J2798="Yes","",IF(H2798&gt;=I2798,1,0))</f>
        <v/>
      </c>
      <c r="O2798" s="21">
        <f>IF(I2798&lt;=5000000,"Under $5M",IF(I2798&lt;=20000000,"$5M-20M",IF(I2798&lt;=50000000,"$20M-50M",IF(I2798&lt;=100000000,"$50M-100M","$100M+"))))</f>
        <v/>
      </c>
      <c r="P2798" s="21">
        <f>IF(E2798&lt;=90,"90 or less",IF(E2798&lt;=105,"91-105",IF(E2798&lt;=120,"106-120",IF(E2798&lt;=140,"121-140","Over 140"))))</f>
        <v/>
      </c>
      <c r="Q2798" s="28">
        <f>INT(C2798/10)*10</f>
        <v/>
      </c>
    </row>
    <row r="2799">
      <c r="A2799" s="21" t="n">
        <v>2859</v>
      </c>
      <c r="B2799" s="21" t="inlineStr">
        <is>
          <t>Persepolis</t>
        </is>
      </c>
      <c r="C2799" s="21" t="n">
        <v>2007</v>
      </c>
      <c r="D2799" s="21" t="inlineStr">
        <is>
          <t>France</t>
        </is>
      </c>
      <c r="E2799" s="21" t="n">
        <v>89</v>
      </c>
      <c r="F2799" s="21" t="inlineStr">
        <is>
          <t>French</t>
        </is>
      </c>
      <c r="G2799" s="21" t="inlineStr">
        <is>
          <t>PG-13</t>
        </is>
      </c>
      <c r="H2799" s="22" t="n">
        <v>4443403</v>
      </c>
      <c r="I2799" s="22" t="n">
        <v>7300000</v>
      </c>
      <c r="J2799" s="21">
        <f>IF(OR(H2799="",H2799=25529689.5),"Yes","No")</f>
        <v/>
      </c>
      <c r="K2799" s="21">
        <f>IF(AND(D2799="USA",C2799&gt;=1980,J2799="No"),"Yes","No")</f>
        <v/>
      </c>
      <c r="L2799" s="26">
        <f>IF(J2799="Yes","",H2799-I2799)</f>
        <v/>
      </c>
      <c r="M2799" s="27">
        <f>IF(OR(J2799="Yes",I2799=0),"",H2799/I2799)</f>
        <v/>
      </c>
      <c r="N2799" s="21">
        <f>IF(J2799="Yes","",IF(H2799&gt;=I2799,1,0))</f>
        <v/>
      </c>
      <c r="O2799" s="21">
        <f>IF(I2799&lt;=5000000,"Under $5M",IF(I2799&lt;=20000000,"$5M-20M",IF(I2799&lt;=50000000,"$20M-50M",IF(I2799&lt;=100000000,"$50M-100M","$100M+"))))</f>
        <v/>
      </c>
      <c r="P2799" s="21">
        <f>IF(E2799&lt;=90,"90 or less",IF(E2799&lt;=105,"91-105",IF(E2799&lt;=120,"106-120",IF(E2799&lt;=140,"121-140","Over 140"))))</f>
        <v/>
      </c>
      <c r="Q2799" s="28">
        <f>INT(C2799/10)*10</f>
        <v/>
      </c>
    </row>
    <row r="2800">
      <c r="A2800" s="21" t="n">
        <v>2860</v>
      </c>
      <c r="B2800" s="21" t="inlineStr">
        <is>
          <t>Pirates of the Caribbean: At World's End</t>
        </is>
      </c>
      <c r="C2800" s="21" t="n">
        <v>2007</v>
      </c>
      <c r="D2800" s="21" t="inlineStr">
        <is>
          <t>USA</t>
        </is>
      </c>
      <c r="E2800" s="21" t="n">
        <v>169</v>
      </c>
      <c r="F2800" s="21" t="inlineStr">
        <is>
          <t>English</t>
        </is>
      </c>
      <c r="G2800" s="21" t="inlineStr">
        <is>
          <t>PG-13</t>
        </is>
      </c>
      <c r="H2800" s="22" t="n">
        <v>309404152</v>
      </c>
      <c r="I2800" s="22" t="n">
        <v>300000000</v>
      </c>
      <c r="J2800" s="21">
        <f>IF(OR(H2800="",H2800=25529689.5),"Yes","No")</f>
        <v/>
      </c>
      <c r="K2800" s="21">
        <f>IF(AND(D2800="USA",C2800&gt;=1980,J2800="No"),"Yes","No")</f>
        <v/>
      </c>
      <c r="L2800" s="26">
        <f>IF(J2800="Yes","",H2800-I2800)</f>
        <v/>
      </c>
      <c r="M2800" s="27">
        <f>IF(OR(J2800="Yes",I2800=0),"",H2800/I2800)</f>
        <v/>
      </c>
      <c r="N2800" s="21">
        <f>IF(J2800="Yes","",IF(H2800&gt;=I2800,1,0))</f>
        <v/>
      </c>
      <c r="O2800" s="21">
        <f>IF(I2800&lt;=5000000,"Under $5M",IF(I2800&lt;=20000000,"$5M-20M",IF(I2800&lt;=50000000,"$20M-50M",IF(I2800&lt;=100000000,"$50M-100M","$100M+"))))</f>
        <v/>
      </c>
      <c r="P2800" s="21">
        <f>IF(E2800&lt;=90,"90 or less",IF(E2800&lt;=105,"91-105",IF(E2800&lt;=120,"106-120",IF(E2800&lt;=140,"121-140","Over 140"))))</f>
        <v/>
      </c>
      <c r="Q2800" s="28">
        <f>INT(C2800/10)*10</f>
        <v/>
      </c>
    </row>
    <row r="2801">
      <c r="A2801" s="21" t="n">
        <v>2861</v>
      </c>
      <c r="B2801" s="21" t="inlineStr">
        <is>
          <t>Premonition</t>
        </is>
      </c>
      <c r="C2801" s="21" t="n">
        <v>2007</v>
      </c>
      <c r="D2801" s="21" t="inlineStr">
        <is>
          <t>USA</t>
        </is>
      </c>
      <c r="E2801" s="21" t="n">
        <v>96</v>
      </c>
      <c r="F2801" s="21" t="inlineStr">
        <is>
          <t>English</t>
        </is>
      </c>
      <c r="G2801" s="21" t="inlineStr">
        <is>
          <t>PG-13</t>
        </is>
      </c>
      <c r="H2801" s="22" t="n">
        <v>47852604</v>
      </c>
      <c r="I2801" s="22" t="n">
        <v>20000000</v>
      </c>
      <c r="J2801" s="21">
        <f>IF(OR(H2801="",H2801=25529689.5),"Yes","No")</f>
        <v/>
      </c>
      <c r="K2801" s="21">
        <f>IF(AND(D2801="USA",C2801&gt;=1980,J2801="No"),"Yes","No")</f>
        <v/>
      </c>
      <c r="L2801" s="26">
        <f>IF(J2801="Yes","",H2801-I2801)</f>
        <v/>
      </c>
      <c r="M2801" s="27">
        <f>IF(OR(J2801="Yes",I2801=0),"",H2801/I2801)</f>
        <v/>
      </c>
      <c r="N2801" s="21">
        <f>IF(J2801="Yes","",IF(H2801&gt;=I2801,1,0))</f>
        <v/>
      </c>
      <c r="O2801" s="21">
        <f>IF(I2801&lt;=5000000,"Under $5M",IF(I2801&lt;=20000000,"$5M-20M",IF(I2801&lt;=50000000,"$20M-50M",IF(I2801&lt;=100000000,"$50M-100M","$100M+"))))</f>
        <v/>
      </c>
      <c r="P2801" s="21">
        <f>IF(E2801&lt;=90,"90 or less",IF(E2801&lt;=105,"91-105",IF(E2801&lt;=120,"106-120",IF(E2801&lt;=140,"121-140","Over 140"))))</f>
        <v/>
      </c>
      <c r="Q2801" s="28">
        <f>INT(C2801/10)*10</f>
        <v/>
      </c>
    </row>
    <row r="2802">
      <c r="A2802" s="21" t="n">
        <v>2862</v>
      </c>
      <c r="B2802" s="21" t="inlineStr">
        <is>
          <t>Purple Violets</t>
        </is>
      </c>
      <c r="C2802" s="21" t="n">
        <v>2007</v>
      </c>
      <c r="D2802" s="21" t="inlineStr">
        <is>
          <t>USA</t>
        </is>
      </c>
      <c r="E2802" s="21" t="n">
        <v>103</v>
      </c>
      <c r="F2802" s="21" t="inlineStr">
        <is>
          <t>English</t>
        </is>
      </c>
      <c r="G2802" s="21" t="n"/>
      <c r="H2802" s="22" t="n">
        <v>25529689.5</v>
      </c>
      <c r="I2802" s="22" t="n">
        <v>4000000</v>
      </c>
      <c r="J2802" s="21">
        <f>IF(OR(H2802="",H2802=25529689.5),"Yes","No")</f>
        <v/>
      </c>
      <c r="K2802" s="21">
        <f>IF(AND(D2802="USA",C2802&gt;=1980,J2802="No"),"Yes","No")</f>
        <v/>
      </c>
      <c r="L2802" s="26">
        <f>IF(J2802="Yes","",H2802-I2802)</f>
        <v/>
      </c>
      <c r="M2802" s="27">
        <f>IF(OR(J2802="Yes",I2802=0),"",H2802/I2802)</f>
        <v/>
      </c>
      <c r="N2802" s="21">
        <f>IF(J2802="Yes","",IF(H2802&gt;=I2802,1,0))</f>
        <v/>
      </c>
      <c r="O2802" s="21">
        <f>IF(I2802&lt;=5000000,"Under $5M",IF(I2802&lt;=20000000,"$5M-20M",IF(I2802&lt;=50000000,"$20M-50M",IF(I2802&lt;=100000000,"$50M-100M","$100M+"))))</f>
        <v/>
      </c>
      <c r="P2802" s="21">
        <f>IF(E2802&lt;=90,"90 or less",IF(E2802&lt;=105,"91-105",IF(E2802&lt;=120,"106-120",IF(E2802&lt;=140,"121-140","Over 140"))))</f>
        <v/>
      </c>
      <c r="Q2802" s="28">
        <f>INT(C2802/10)*10</f>
        <v/>
      </c>
    </row>
    <row r="2803">
      <c r="A2803" s="21" t="n">
        <v>2863</v>
      </c>
      <c r="B2803" s="21" t="inlineStr">
        <is>
          <t>Ratatouille</t>
        </is>
      </c>
      <c r="C2803" s="21" t="n">
        <v>2007</v>
      </c>
      <c r="D2803" s="21" t="inlineStr">
        <is>
          <t>USA</t>
        </is>
      </c>
      <c r="E2803" s="21" t="n">
        <v>111</v>
      </c>
      <c r="F2803" s="21" t="inlineStr">
        <is>
          <t>English</t>
        </is>
      </c>
      <c r="G2803" s="21" t="inlineStr">
        <is>
          <t>G</t>
        </is>
      </c>
      <c r="H2803" s="22" t="n">
        <v>206435493</v>
      </c>
      <c r="I2803" s="22" t="n">
        <v>150000000</v>
      </c>
      <c r="J2803" s="21">
        <f>IF(OR(H2803="",H2803=25529689.5),"Yes","No")</f>
        <v/>
      </c>
      <c r="K2803" s="21">
        <f>IF(AND(D2803="USA",C2803&gt;=1980,J2803="No"),"Yes","No")</f>
        <v/>
      </c>
      <c r="L2803" s="26">
        <f>IF(J2803="Yes","",H2803-I2803)</f>
        <v/>
      </c>
      <c r="M2803" s="27">
        <f>IF(OR(J2803="Yes",I2803=0),"",H2803/I2803)</f>
        <v/>
      </c>
      <c r="N2803" s="21">
        <f>IF(J2803="Yes","",IF(H2803&gt;=I2803,1,0))</f>
        <v/>
      </c>
      <c r="O2803" s="21">
        <f>IF(I2803&lt;=5000000,"Under $5M",IF(I2803&lt;=20000000,"$5M-20M",IF(I2803&lt;=50000000,"$20M-50M",IF(I2803&lt;=100000000,"$50M-100M","$100M+"))))</f>
        <v/>
      </c>
      <c r="P2803" s="21">
        <f>IF(E2803&lt;=90,"90 or less",IF(E2803&lt;=105,"91-105",IF(E2803&lt;=120,"106-120",IF(E2803&lt;=140,"121-140","Over 140"))))</f>
        <v/>
      </c>
      <c r="Q2803" s="28">
        <f>INT(C2803/10)*10</f>
        <v/>
      </c>
    </row>
    <row r="2804">
      <c r="A2804" s="21" t="n">
        <v>2864</v>
      </c>
      <c r="B2804" s="21" t="inlineStr">
        <is>
          <t>Redacted</t>
        </is>
      </c>
      <c r="C2804" s="21" t="n">
        <v>2007</v>
      </c>
      <c r="D2804" s="21" t="inlineStr">
        <is>
          <t>USA</t>
        </is>
      </c>
      <c r="E2804" s="21" t="n">
        <v>90</v>
      </c>
      <c r="F2804" s="21" t="inlineStr">
        <is>
          <t>English</t>
        </is>
      </c>
      <c r="G2804" s="21" t="inlineStr">
        <is>
          <t>R</t>
        </is>
      </c>
      <c r="H2804" s="22" t="n">
        <v>65087</v>
      </c>
      <c r="I2804" s="22" t="n">
        <v>5000000</v>
      </c>
      <c r="J2804" s="21">
        <f>IF(OR(H2804="",H2804=25529689.5),"Yes","No")</f>
        <v/>
      </c>
      <c r="K2804" s="21">
        <f>IF(AND(D2804="USA",C2804&gt;=1980,J2804="No"),"Yes","No")</f>
        <v/>
      </c>
      <c r="L2804" s="26">
        <f>IF(J2804="Yes","",H2804-I2804)</f>
        <v/>
      </c>
      <c r="M2804" s="27">
        <f>IF(OR(J2804="Yes",I2804=0),"",H2804/I2804)</f>
        <v/>
      </c>
      <c r="N2804" s="21">
        <f>IF(J2804="Yes","",IF(H2804&gt;=I2804,1,0))</f>
        <v/>
      </c>
      <c r="O2804" s="21">
        <f>IF(I2804&lt;=5000000,"Under $5M",IF(I2804&lt;=20000000,"$5M-20M",IF(I2804&lt;=50000000,"$20M-50M",IF(I2804&lt;=100000000,"$50M-100M","$100M+"))))</f>
        <v/>
      </c>
      <c r="P2804" s="21">
        <f>IF(E2804&lt;=90,"90 or less",IF(E2804&lt;=105,"91-105",IF(E2804&lt;=120,"106-120",IF(E2804&lt;=140,"121-140","Over 140"))))</f>
        <v/>
      </c>
      <c r="Q2804" s="28">
        <f>INT(C2804/10)*10</f>
        <v/>
      </c>
    </row>
    <row r="2805">
      <c r="A2805" s="21" t="n">
        <v>2865</v>
      </c>
      <c r="B2805" s="21" t="inlineStr">
        <is>
          <t>Reign Over Me</t>
        </is>
      </c>
      <c r="C2805" s="21" t="n">
        <v>2007</v>
      </c>
      <c r="D2805" s="21" t="inlineStr">
        <is>
          <t>USA</t>
        </is>
      </c>
      <c r="E2805" s="21" t="n">
        <v>124</v>
      </c>
      <c r="F2805" s="21" t="inlineStr">
        <is>
          <t>English</t>
        </is>
      </c>
      <c r="G2805" s="21" t="inlineStr">
        <is>
          <t>R</t>
        </is>
      </c>
      <c r="H2805" s="22" t="n">
        <v>19661987</v>
      </c>
      <c r="I2805" s="22" t="n">
        <v>20000000</v>
      </c>
      <c r="J2805" s="21">
        <f>IF(OR(H2805="",H2805=25529689.5),"Yes","No")</f>
        <v/>
      </c>
      <c r="K2805" s="21">
        <f>IF(AND(D2805="USA",C2805&gt;=1980,J2805="No"),"Yes","No")</f>
        <v/>
      </c>
      <c r="L2805" s="26">
        <f>IF(J2805="Yes","",H2805-I2805)</f>
        <v/>
      </c>
      <c r="M2805" s="27">
        <f>IF(OR(J2805="Yes",I2805=0),"",H2805/I2805)</f>
        <v/>
      </c>
      <c r="N2805" s="21">
        <f>IF(J2805="Yes","",IF(H2805&gt;=I2805,1,0))</f>
        <v/>
      </c>
      <c r="O2805" s="21">
        <f>IF(I2805&lt;=5000000,"Under $5M",IF(I2805&lt;=20000000,"$5M-20M",IF(I2805&lt;=50000000,"$20M-50M",IF(I2805&lt;=100000000,"$50M-100M","$100M+"))))</f>
        <v/>
      </c>
      <c r="P2805" s="21">
        <f>IF(E2805&lt;=90,"90 or less",IF(E2805&lt;=105,"91-105",IF(E2805&lt;=120,"106-120",IF(E2805&lt;=140,"121-140","Over 140"))))</f>
        <v/>
      </c>
      <c r="Q2805" s="28">
        <f>INT(C2805/10)*10</f>
        <v/>
      </c>
    </row>
    <row r="2806">
      <c r="A2806" s="21" t="n">
        <v>2866</v>
      </c>
      <c r="B2806" s="21" t="inlineStr">
        <is>
          <t>Rendition</t>
        </is>
      </c>
      <c r="C2806" s="21" t="n">
        <v>2007</v>
      </c>
      <c r="D2806" s="21" t="inlineStr">
        <is>
          <t>USA</t>
        </is>
      </c>
      <c r="E2806" s="21" t="n">
        <v>122</v>
      </c>
      <c r="F2806" s="21" t="inlineStr">
        <is>
          <t>English</t>
        </is>
      </c>
      <c r="G2806" s="21" t="inlineStr">
        <is>
          <t>R</t>
        </is>
      </c>
      <c r="H2806" s="22" t="n">
        <v>9664316</v>
      </c>
      <c r="I2806" s="22" t="n">
        <v>27500000</v>
      </c>
      <c r="J2806" s="21">
        <f>IF(OR(H2806="",H2806=25529689.5),"Yes","No")</f>
        <v/>
      </c>
      <c r="K2806" s="21">
        <f>IF(AND(D2806="USA",C2806&gt;=1980,J2806="No"),"Yes","No")</f>
        <v/>
      </c>
      <c r="L2806" s="26">
        <f>IF(J2806="Yes","",H2806-I2806)</f>
        <v/>
      </c>
      <c r="M2806" s="27">
        <f>IF(OR(J2806="Yes",I2806=0),"",H2806/I2806)</f>
        <v/>
      </c>
      <c r="N2806" s="21">
        <f>IF(J2806="Yes","",IF(H2806&gt;=I2806,1,0))</f>
        <v/>
      </c>
      <c r="O2806" s="21">
        <f>IF(I2806&lt;=5000000,"Under $5M",IF(I2806&lt;=20000000,"$5M-20M",IF(I2806&lt;=50000000,"$20M-50M",IF(I2806&lt;=100000000,"$50M-100M","$100M+"))))</f>
        <v/>
      </c>
      <c r="P2806" s="21">
        <f>IF(E2806&lt;=90,"90 or less",IF(E2806&lt;=105,"91-105",IF(E2806&lt;=120,"106-120",IF(E2806&lt;=140,"121-140","Over 140"))))</f>
        <v/>
      </c>
      <c r="Q2806" s="28">
        <f>INT(C2806/10)*10</f>
        <v/>
      </c>
    </row>
    <row r="2807">
      <c r="A2807" s="21" t="n">
        <v>2867</v>
      </c>
      <c r="B2807" s="21" t="inlineStr">
        <is>
          <t>Reno 911!: Miami</t>
        </is>
      </c>
      <c r="C2807" s="21" t="n">
        <v>2007</v>
      </c>
      <c r="D2807" s="21" t="inlineStr">
        <is>
          <t>USA</t>
        </is>
      </c>
      <c r="E2807" s="21" t="n">
        <v>84</v>
      </c>
      <c r="F2807" s="21" t="inlineStr">
        <is>
          <t>English</t>
        </is>
      </c>
      <c r="G2807" s="21" t="inlineStr">
        <is>
          <t>R</t>
        </is>
      </c>
      <c r="H2807" s="22" t="n">
        <v>20339754</v>
      </c>
      <c r="I2807" s="22" t="n">
        <v>10000000</v>
      </c>
      <c r="J2807" s="21">
        <f>IF(OR(H2807="",H2807=25529689.5),"Yes","No")</f>
        <v/>
      </c>
      <c r="K2807" s="21">
        <f>IF(AND(D2807="USA",C2807&gt;=1980,J2807="No"),"Yes","No")</f>
        <v/>
      </c>
      <c r="L2807" s="26">
        <f>IF(J2807="Yes","",H2807-I2807)</f>
        <v/>
      </c>
      <c r="M2807" s="27">
        <f>IF(OR(J2807="Yes",I2807=0),"",H2807/I2807)</f>
        <v/>
      </c>
      <c r="N2807" s="21">
        <f>IF(J2807="Yes","",IF(H2807&gt;=I2807,1,0))</f>
        <v/>
      </c>
      <c r="O2807" s="21">
        <f>IF(I2807&lt;=5000000,"Under $5M",IF(I2807&lt;=20000000,"$5M-20M",IF(I2807&lt;=50000000,"$20M-50M",IF(I2807&lt;=100000000,"$50M-100M","$100M+"))))</f>
        <v/>
      </c>
      <c r="P2807" s="21">
        <f>IF(E2807&lt;=90,"90 or less",IF(E2807&lt;=105,"91-105",IF(E2807&lt;=120,"106-120",IF(E2807&lt;=140,"121-140","Over 140"))))</f>
        <v/>
      </c>
      <c r="Q2807" s="28">
        <f>INT(C2807/10)*10</f>
        <v/>
      </c>
    </row>
    <row r="2808">
      <c r="A2808" s="21" t="n">
        <v>2868</v>
      </c>
      <c r="B2808" s="21" t="inlineStr">
        <is>
          <t>Resident Evil: Extinction</t>
        </is>
      </c>
      <c r="C2808" s="21" t="n">
        <v>2007</v>
      </c>
      <c r="D2808" s="21" t="inlineStr">
        <is>
          <t>France</t>
        </is>
      </c>
      <c r="E2808" s="21" t="n">
        <v>94</v>
      </c>
      <c r="F2808" s="21" t="inlineStr">
        <is>
          <t>English</t>
        </is>
      </c>
      <c r="G2808" s="21" t="inlineStr">
        <is>
          <t>R</t>
        </is>
      </c>
      <c r="H2808" s="22" t="n">
        <v>50648679</v>
      </c>
      <c r="I2808" s="22" t="n">
        <v>45000000</v>
      </c>
      <c r="J2808" s="21">
        <f>IF(OR(H2808="",H2808=25529689.5),"Yes","No")</f>
        <v/>
      </c>
      <c r="K2808" s="21">
        <f>IF(AND(D2808="USA",C2808&gt;=1980,J2808="No"),"Yes","No")</f>
        <v/>
      </c>
      <c r="L2808" s="26">
        <f>IF(J2808="Yes","",H2808-I2808)</f>
        <v/>
      </c>
      <c r="M2808" s="27">
        <f>IF(OR(J2808="Yes",I2808=0),"",H2808/I2808)</f>
        <v/>
      </c>
      <c r="N2808" s="21">
        <f>IF(J2808="Yes","",IF(H2808&gt;=I2808,1,0))</f>
        <v/>
      </c>
      <c r="O2808" s="21">
        <f>IF(I2808&lt;=5000000,"Under $5M",IF(I2808&lt;=20000000,"$5M-20M",IF(I2808&lt;=50000000,"$20M-50M",IF(I2808&lt;=100000000,"$50M-100M","$100M+"))))</f>
        <v/>
      </c>
      <c r="P2808" s="21">
        <f>IF(E2808&lt;=90,"90 or less",IF(E2808&lt;=105,"91-105",IF(E2808&lt;=120,"106-120",IF(E2808&lt;=140,"121-140","Over 140"))))</f>
        <v/>
      </c>
      <c r="Q2808" s="28">
        <f>INT(C2808/10)*10</f>
        <v/>
      </c>
    </row>
    <row r="2809">
      <c r="A2809" s="21" t="n">
        <v>2869</v>
      </c>
      <c r="B2809" s="21" t="inlineStr">
        <is>
          <t>Resurrecting the Champ</t>
        </is>
      </c>
      <c r="C2809" s="21" t="n">
        <v>2007</v>
      </c>
      <c r="D2809" s="21" t="inlineStr">
        <is>
          <t>USA</t>
        </is>
      </c>
      <c r="E2809" s="21" t="n">
        <v>112</v>
      </c>
      <c r="F2809" s="21" t="inlineStr">
        <is>
          <t>English</t>
        </is>
      </c>
      <c r="G2809" s="21" t="inlineStr">
        <is>
          <t>PG-13</t>
        </is>
      </c>
      <c r="H2809" s="22" t="n">
        <v>3169424</v>
      </c>
      <c r="I2809" s="22" t="n">
        <v>13000000</v>
      </c>
      <c r="J2809" s="21">
        <f>IF(OR(H2809="",H2809=25529689.5),"Yes","No")</f>
        <v/>
      </c>
      <c r="K2809" s="21">
        <f>IF(AND(D2809="USA",C2809&gt;=1980,J2809="No"),"Yes","No")</f>
        <v/>
      </c>
      <c r="L2809" s="26">
        <f>IF(J2809="Yes","",H2809-I2809)</f>
        <v/>
      </c>
      <c r="M2809" s="27">
        <f>IF(OR(J2809="Yes",I2809=0),"",H2809/I2809)</f>
        <v/>
      </c>
      <c r="N2809" s="21">
        <f>IF(J2809="Yes","",IF(H2809&gt;=I2809,1,0))</f>
        <v/>
      </c>
      <c r="O2809" s="21">
        <f>IF(I2809&lt;=5000000,"Under $5M",IF(I2809&lt;=20000000,"$5M-20M",IF(I2809&lt;=50000000,"$20M-50M",IF(I2809&lt;=100000000,"$50M-100M","$100M+"))))</f>
        <v/>
      </c>
      <c r="P2809" s="21">
        <f>IF(E2809&lt;=90,"90 or less",IF(E2809&lt;=105,"91-105",IF(E2809&lt;=120,"106-120",IF(E2809&lt;=140,"121-140","Over 140"))))</f>
        <v/>
      </c>
      <c r="Q2809" s="28">
        <f>INT(C2809/10)*10</f>
        <v/>
      </c>
    </row>
    <row r="2810">
      <c r="A2810" s="21" t="n">
        <v>2870</v>
      </c>
      <c r="B2810" s="21" t="inlineStr">
        <is>
          <t>Rockaway</t>
        </is>
      </c>
      <c r="C2810" s="21" t="n">
        <v>2007</v>
      </c>
      <c r="D2810" s="21" t="inlineStr">
        <is>
          <t>USA</t>
        </is>
      </c>
      <c r="E2810" s="21" t="n">
        <v>90</v>
      </c>
      <c r="F2810" s="21" t="inlineStr">
        <is>
          <t>English</t>
        </is>
      </c>
      <c r="G2810" s="21" t="inlineStr">
        <is>
          <t>R</t>
        </is>
      </c>
      <c r="H2810" s="22" t="n">
        <v>25529689.5</v>
      </c>
      <c r="I2810" s="22" t="n">
        <v>2000000</v>
      </c>
      <c r="J2810" s="21">
        <f>IF(OR(H2810="",H2810=25529689.5),"Yes","No")</f>
        <v/>
      </c>
      <c r="K2810" s="21">
        <f>IF(AND(D2810="USA",C2810&gt;=1980,J2810="No"),"Yes","No")</f>
        <v/>
      </c>
      <c r="L2810" s="26">
        <f>IF(J2810="Yes","",H2810-I2810)</f>
        <v/>
      </c>
      <c r="M2810" s="27">
        <f>IF(OR(J2810="Yes",I2810=0),"",H2810/I2810)</f>
        <v/>
      </c>
      <c r="N2810" s="21">
        <f>IF(J2810="Yes","",IF(H2810&gt;=I2810,1,0))</f>
        <v/>
      </c>
      <c r="O2810" s="21">
        <f>IF(I2810&lt;=5000000,"Under $5M",IF(I2810&lt;=20000000,"$5M-20M",IF(I2810&lt;=50000000,"$20M-50M",IF(I2810&lt;=100000000,"$50M-100M","$100M+"))))</f>
        <v/>
      </c>
      <c r="P2810" s="21">
        <f>IF(E2810&lt;=90,"90 or less",IF(E2810&lt;=105,"91-105",IF(E2810&lt;=120,"106-120",IF(E2810&lt;=140,"121-140","Over 140"))))</f>
        <v/>
      </c>
      <c r="Q2810" s="28">
        <f>INT(C2810/10)*10</f>
        <v/>
      </c>
    </row>
    <row r="2811">
      <c r="A2811" s="21" t="n">
        <v>2871</v>
      </c>
      <c r="B2811" s="21" t="inlineStr">
        <is>
          <t>Run, Fatboy, Run</t>
        </is>
      </c>
      <c r="C2811" s="21" t="n">
        <v>2007</v>
      </c>
      <c r="D2811" s="21" t="inlineStr">
        <is>
          <t>UK</t>
        </is>
      </c>
      <c r="E2811" s="21" t="n">
        <v>100</v>
      </c>
      <c r="F2811" s="21" t="inlineStr">
        <is>
          <t>English</t>
        </is>
      </c>
      <c r="G2811" s="21" t="inlineStr">
        <is>
          <t>PG-13</t>
        </is>
      </c>
      <c r="H2811" s="22" t="n">
        <v>5998971</v>
      </c>
      <c r="I2811" s="22" t="n">
        <v>20000000</v>
      </c>
      <c r="J2811" s="21">
        <f>IF(OR(H2811="",H2811=25529689.5),"Yes","No")</f>
        <v/>
      </c>
      <c r="K2811" s="21">
        <f>IF(AND(D2811="USA",C2811&gt;=1980,J2811="No"),"Yes","No")</f>
        <v/>
      </c>
      <c r="L2811" s="26">
        <f>IF(J2811="Yes","",H2811-I2811)</f>
        <v/>
      </c>
      <c r="M2811" s="27">
        <f>IF(OR(J2811="Yes",I2811=0),"",H2811/I2811)</f>
        <v/>
      </c>
      <c r="N2811" s="21">
        <f>IF(J2811="Yes","",IF(H2811&gt;=I2811,1,0))</f>
        <v/>
      </c>
      <c r="O2811" s="21">
        <f>IF(I2811&lt;=5000000,"Under $5M",IF(I2811&lt;=20000000,"$5M-20M",IF(I2811&lt;=50000000,"$20M-50M",IF(I2811&lt;=100000000,"$50M-100M","$100M+"))))</f>
        <v/>
      </c>
      <c r="P2811" s="21">
        <f>IF(E2811&lt;=90,"90 or less",IF(E2811&lt;=105,"91-105",IF(E2811&lt;=120,"106-120",IF(E2811&lt;=140,"121-140","Over 140"))))</f>
        <v/>
      </c>
      <c r="Q2811" s="28">
        <f>INT(C2811/10)*10</f>
        <v/>
      </c>
    </row>
    <row r="2812">
      <c r="A2812" s="21" t="n">
        <v>2872</v>
      </c>
      <c r="B2812" s="21" t="inlineStr">
        <is>
          <t>Rush Hour 3</t>
        </is>
      </c>
      <c r="C2812" s="21" t="n">
        <v>2007</v>
      </c>
      <c r="D2812" s="21" t="inlineStr">
        <is>
          <t>USA</t>
        </is>
      </c>
      <c r="E2812" s="21" t="n">
        <v>91</v>
      </c>
      <c r="F2812" s="21" t="inlineStr">
        <is>
          <t>English</t>
        </is>
      </c>
      <c r="G2812" s="21" t="inlineStr">
        <is>
          <t>PG-13</t>
        </is>
      </c>
      <c r="H2812" s="22" t="n">
        <v>140080850</v>
      </c>
      <c r="I2812" s="22" t="n">
        <v>140000000</v>
      </c>
      <c r="J2812" s="21">
        <f>IF(OR(H2812="",H2812=25529689.5),"Yes","No")</f>
        <v/>
      </c>
      <c r="K2812" s="21">
        <f>IF(AND(D2812="USA",C2812&gt;=1980,J2812="No"),"Yes","No")</f>
        <v/>
      </c>
      <c r="L2812" s="26">
        <f>IF(J2812="Yes","",H2812-I2812)</f>
        <v/>
      </c>
      <c r="M2812" s="27">
        <f>IF(OR(J2812="Yes",I2812=0),"",H2812/I2812)</f>
        <v/>
      </c>
      <c r="N2812" s="21">
        <f>IF(J2812="Yes","",IF(H2812&gt;=I2812,1,0))</f>
        <v/>
      </c>
      <c r="O2812" s="21">
        <f>IF(I2812&lt;=5000000,"Under $5M",IF(I2812&lt;=20000000,"$5M-20M",IF(I2812&lt;=50000000,"$20M-50M",IF(I2812&lt;=100000000,"$50M-100M","$100M+"))))</f>
        <v/>
      </c>
      <c r="P2812" s="21">
        <f>IF(E2812&lt;=90,"90 or less",IF(E2812&lt;=105,"91-105",IF(E2812&lt;=120,"106-120",IF(E2812&lt;=140,"121-140","Over 140"))))</f>
        <v/>
      </c>
      <c r="Q2812" s="28">
        <f>INT(C2812/10)*10</f>
        <v/>
      </c>
    </row>
    <row r="2813">
      <c r="A2813" s="21" t="n">
        <v>2873</v>
      </c>
      <c r="B2813" s="21" t="inlineStr">
        <is>
          <t>Savage Grace</t>
        </is>
      </c>
      <c r="C2813" s="21" t="n">
        <v>2007</v>
      </c>
      <c r="D2813" s="21" t="inlineStr">
        <is>
          <t>Spain</t>
        </is>
      </c>
      <c r="E2813" s="21" t="n">
        <v>97</v>
      </c>
      <c r="F2813" s="21" t="inlineStr">
        <is>
          <t>English</t>
        </is>
      </c>
      <c r="G2813" s="21" t="inlineStr">
        <is>
          <t>Not Rated</t>
        </is>
      </c>
      <c r="H2813" s="22" t="n">
        <v>434417</v>
      </c>
      <c r="I2813" s="22" t="n">
        <v>4600000</v>
      </c>
      <c r="J2813" s="21">
        <f>IF(OR(H2813="",H2813=25529689.5),"Yes","No")</f>
        <v/>
      </c>
      <c r="K2813" s="21">
        <f>IF(AND(D2813="USA",C2813&gt;=1980,J2813="No"),"Yes","No")</f>
        <v/>
      </c>
      <c r="L2813" s="26">
        <f>IF(J2813="Yes","",H2813-I2813)</f>
        <v/>
      </c>
      <c r="M2813" s="27">
        <f>IF(OR(J2813="Yes",I2813=0),"",H2813/I2813)</f>
        <v/>
      </c>
      <c r="N2813" s="21">
        <f>IF(J2813="Yes","",IF(H2813&gt;=I2813,1,0))</f>
        <v/>
      </c>
      <c r="O2813" s="21">
        <f>IF(I2813&lt;=5000000,"Under $5M",IF(I2813&lt;=20000000,"$5M-20M",IF(I2813&lt;=50000000,"$20M-50M",IF(I2813&lt;=100000000,"$50M-100M","$100M+"))))</f>
        <v/>
      </c>
      <c r="P2813" s="21">
        <f>IF(E2813&lt;=90,"90 or less",IF(E2813&lt;=105,"91-105",IF(E2813&lt;=120,"106-120",IF(E2813&lt;=140,"121-140","Over 140"))))</f>
        <v/>
      </c>
      <c r="Q2813" s="28">
        <f>INT(C2813/10)*10</f>
        <v/>
      </c>
    </row>
    <row r="2814">
      <c r="A2814" s="21" t="n">
        <v>2874</v>
      </c>
      <c r="B2814" s="21" t="inlineStr">
        <is>
          <t>Saw IV</t>
        </is>
      </c>
      <c r="C2814" s="21" t="n">
        <v>2007</v>
      </c>
      <c r="D2814" s="21" t="inlineStr">
        <is>
          <t>USA</t>
        </is>
      </c>
      <c r="E2814" s="21" t="n">
        <v>96</v>
      </c>
      <c r="F2814" s="21" t="inlineStr">
        <is>
          <t>English</t>
        </is>
      </c>
      <c r="G2814" s="21" t="inlineStr">
        <is>
          <t>R</t>
        </is>
      </c>
      <c r="H2814" s="22" t="n">
        <v>63270259</v>
      </c>
      <c r="I2814" s="22" t="n">
        <v>10000000</v>
      </c>
      <c r="J2814" s="21">
        <f>IF(OR(H2814="",H2814=25529689.5),"Yes","No")</f>
        <v/>
      </c>
      <c r="K2814" s="21">
        <f>IF(AND(D2814="USA",C2814&gt;=1980,J2814="No"),"Yes","No")</f>
        <v/>
      </c>
      <c r="L2814" s="26">
        <f>IF(J2814="Yes","",H2814-I2814)</f>
        <v/>
      </c>
      <c r="M2814" s="27">
        <f>IF(OR(J2814="Yes",I2814=0),"",H2814/I2814)</f>
        <v/>
      </c>
      <c r="N2814" s="21">
        <f>IF(J2814="Yes","",IF(H2814&gt;=I2814,1,0))</f>
        <v/>
      </c>
      <c r="O2814" s="21">
        <f>IF(I2814&lt;=5000000,"Under $5M",IF(I2814&lt;=20000000,"$5M-20M",IF(I2814&lt;=50000000,"$20M-50M",IF(I2814&lt;=100000000,"$50M-100M","$100M+"))))</f>
        <v/>
      </c>
      <c r="P2814" s="21">
        <f>IF(E2814&lt;=90,"90 or less",IF(E2814&lt;=105,"91-105",IF(E2814&lt;=120,"106-120",IF(E2814&lt;=140,"121-140","Over 140"))))</f>
        <v/>
      </c>
      <c r="Q2814" s="28">
        <f>INT(C2814/10)*10</f>
        <v/>
      </c>
    </row>
    <row r="2815">
      <c r="A2815" s="21" t="n">
        <v>2875</v>
      </c>
      <c r="B2815" s="21" t="inlineStr">
        <is>
          <t>September Dawn</t>
        </is>
      </c>
      <c r="C2815" s="21" t="n">
        <v>2007</v>
      </c>
      <c r="D2815" s="21" t="inlineStr">
        <is>
          <t>USA</t>
        </is>
      </c>
      <c r="E2815" s="21" t="n">
        <v>111</v>
      </c>
      <c r="F2815" s="21" t="n"/>
      <c r="G2815" s="21" t="inlineStr">
        <is>
          <t>R</t>
        </is>
      </c>
      <c r="H2815" s="22" t="n">
        <v>1066555</v>
      </c>
      <c r="I2815" s="22" t="n">
        <v>11000000</v>
      </c>
      <c r="J2815" s="21">
        <f>IF(OR(H2815="",H2815=25529689.5),"Yes","No")</f>
        <v/>
      </c>
      <c r="K2815" s="21">
        <f>IF(AND(D2815="USA",C2815&gt;=1980,J2815="No"),"Yes","No")</f>
        <v/>
      </c>
      <c r="L2815" s="26">
        <f>IF(J2815="Yes","",H2815-I2815)</f>
        <v/>
      </c>
      <c r="M2815" s="27">
        <f>IF(OR(J2815="Yes",I2815=0),"",H2815/I2815)</f>
        <v/>
      </c>
      <c r="N2815" s="21">
        <f>IF(J2815="Yes","",IF(H2815&gt;=I2815,1,0))</f>
        <v/>
      </c>
      <c r="O2815" s="21">
        <f>IF(I2815&lt;=5000000,"Under $5M",IF(I2815&lt;=20000000,"$5M-20M",IF(I2815&lt;=50000000,"$20M-50M",IF(I2815&lt;=100000000,"$50M-100M","$100M+"))))</f>
        <v/>
      </c>
      <c r="P2815" s="21">
        <f>IF(E2815&lt;=90,"90 or less",IF(E2815&lt;=105,"91-105",IF(E2815&lt;=120,"106-120",IF(E2815&lt;=140,"121-140","Over 140"))))</f>
        <v/>
      </c>
      <c r="Q2815" s="28">
        <f>INT(C2815/10)*10</f>
        <v/>
      </c>
    </row>
    <row r="2816">
      <c r="A2816" s="21" t="n">
        <v>2876</v>
      </c>
      <c r="B2816" s="21" t="inlineStr">
        <is>
          <t>Shattered</t>
        </is>
      </c>
      <c r="C2816" s="21" t="n">
        <v>2007</v>
      </c>
      <c r="D2816" s="21" t="inlineStr">
        <is>
          <t>UK</t>
        </is>
      </c>
      <c r="E2816" s="21" t="n">
        <v>98</v>
      </c>
      <c r="F2816" s="21" t="inlineStr">
        <is>
          <t>English</t>
        </is>
      </c>
      <c r="G2816" s="21" t="inlineStr">
        <is>
          <t>R</t>
        </is>
      </c>
      <c r="H2816" s="22" t="n">
        <v>25529689.5</v>
      </c>
      <c r="I2816" s="22" t="n">
        <v>20000000</v>
      </c>
      <c r="J2816" s="21">
        <f>IF(OR(H2816="",H2816=25529689.5),"Yes","No")</f>
        <v/>
      </c>
      <c r="K2816" s="21">
        <f>IF(AND(D2816="USA",C2816&gt;=1980,J2816="No"),"Yes","No")</f>
        <v/>
      </c>
      <c r="L2816" s="26">
        <f>IF(J2816="Yes","",H2816-I2816)</f>
        <v/>
      </c>
      <c r="M2816" s="27">
        <f>IF(OR(J2816="Yes",I2816=0),"",H2816/I2816)</f>
        <v/>
      </c>
      <c r="N2816" s="21">
        <f>IF(J2816="Yes","",IF(H2816&gt;=I2816,1,0))</f>
        <v/>
      </c>
      <c r="O2816" s="21">
        <f>IF(I2816&lt;=5000000,"Under $5M",IF(I2816&lt;=20000000,"$5M-20M",IF(I2816&lt;=50000000,"$20M-50M",IF(I2816&lt;=100000000,"$50M-100M","$100M+"))))</f>
        <v/>
      </c>
      <c r="P2816" s="21">
        <f>IF(E2816&lt;=90,"90 or less",IF(E2816&lt;=105,"91-105",IF(E2816&lt;=120,"106-120",IF(E2816&lt;=140,"121-140","Over 140"))))</f>
        <v/>
      </c>
      <c r="Q2816" s="28">
        <f>INT(C2816/10)*10</f>
        <v/>
      </c>
    </row>
    <row r="2817">
      <c r="A2817" s="21" t="n">
        <v>2877</v>
      </c>
      <c r="B2817" s="21" t="inlineStr">
        <is>
          <t>Shooter</t>
        </is>
      </c>
      <c r="C2817" s="21" t="n">
        <v>2007</v>
      </c>
      <c r="D2817" s="21" t="inlineStr">
        <is>
          <t>USA</t>
        </is>
      </c>
      <c r="E2817" s="21" t="n">
        <v>124</v>
      </c>
      <c r="F2817" s="21" t="inlineStr">
        <is>
          <t>English</t>
        </is>
      </c>
      <c r="G2817" s="21" t="inlineStr">
        <is>
          <t>R</t>
        </is>
      </c>
      <c r="H2817" s="22" t="n">
        <v>46975183</v>
      </c>
      <c r="I2817" s="22" t="n">
        <v>61000000</v>
      </c>
      <c r="J2817" s="21">
        <f>IF(OR(H2817="",H2817=25529689.5),"Yes","No")</f>
        <v/>
      </c>
      <c r="K2817" s="21">
        <f>IF(AND(D2817="USA",C2817&gt;=1980,J2817="No"),"Yes","No")</f>
        <v/>
      </c>
      <c r="L2817" s="26">
        <f>IF(J2817="Yes","",H2817-I2817)</f>
        <v/>
      </c>
      <c r="M2817" s="27">
        <f>IF(OR(J2817="Yes",I2817=0),"",H2817/I2817)</f>
        <v/>
      </c>
      <c r="N2817" s="21">
        <f>IF(J2817="Yes","",IF(H2817&gt;=I2817,1,0))</f>
        <v/>
      </c>
      <c r="O2817" s="21">
        <f>IF(I2817&lt;=5000000,"Under $5M",IF(I2817&lt;=20000000,"$5M-20M",IF(I2817&lt;=50000000,"$20M-50M",IF(I2817&lt;=100000000,"$50M-100M","$100M+"))))</f>
        <v/>
      </c>
      <c r="P2817" s="21">
        <f>IF(E2817&lt;=90,"90 or less",IF(E2817&lt;=105,"91-105",IF(E2817&lt;=120,"106-120",IF(E2817&lt;=140,"121-140","Over 140"))))</f>
        <v/>
      </c>
      <c r="Q2817" s="28">
        <f>INT(C2817/10)*10</f>
        <v/>
      </c>
    </row>
    <row r="2818">
      <c r="A2818" s="21" t="n">
        <v>2878</v>
      </c>
      <c r="B2818" s="21" t="inlineStr">
        <is>
          <t>Shotgun Stories</t>
        </is>
      </c>
      <c r="C2818" s="21" t="n">
        <v>2007</v>
      </c>
      <c r="D2818" s="21" t="inlineStr">
        <is>
          <t>USA</t>
        </is>
      </c>
      <c r="E2818" s="21" t="n">
        <v>92</v>
      </c>
      <c r="F2818" s="21" t="inlineStr">
        <is>
          <t>English</t>
        </is>
      </c>
      <c r="G2818" s="21" t="inlineStr">
        <is>
          <t>PG-13</t>
        </is>
      </c>
      <c r="H2818" s="22" t="n">
        <v>45661</v>
      </c>
      <c r="I2818" s="22" t="n">
        <v>20000000</v>
      </c>
      <c r="J2818" s="21">
        <f>IF(OR(H2818="",H2818=25529689.5),"Yes","No")</f>
        <v/>
      </c>
      <c r="K2818" s="21">
        <f>IF(AND(D2818="USA",C2818&gt;=1980,J2818="No"),"Yes","No")</f>
        <v/>
      </c>
      <c r="L2818" s="26">
        <f>IF(J2818="Yes","",H2818-I2818)</f>
        <v/>
      </c>
      <c r="M2818" s="27">
        <f>IF(OR(J2818="Yes",I2818=0),"",H2818/I2818)</f>
        <v/>
      </c>
      <c r="N2818" s="21">
        <f>IF(J2818="Yes","",IF(H2818&gt;=I2818,1,0))</f>
        <v/>
      </c>
      <c r="O2818" s="21">
        <f>IF(I2818&lt;=5000000,"Under $5M",IF(I2818&lt;=20000000,"$5M-20M",IF(I2818&lt;=50000000,"$20M-50M",IF(I2818&lt;=100000000,"$50M-100M","$100M+"))))</f>
        <v/>
      </c>
      <c r="P2818" s="21">
        <f>IF(E2818&lt;=90,"90 or less",IF(E2818&lt;=105,"91-105",IF(E2818&lt;=120,"106-120",IF(E2818&lt;=140,"121-140","Over 140"))))</f>
        <v/>
      </c>
      <c r="Q2818" s="28">
        <f>INT(C2818/10)*10</f>
        <v/>
      </c>
    </row>
    <row r="2819">
      <c r="A2819" s="21" t="n">
        <v>2879</v>
      </c>
      <c r="B2819" s="21" t="inlineStr">
        <is>
          <t>Shrek the Third</t>
        </is>
      </c>
      <c r="C2819" s="21" t="n">
        <v>2007</v>
      </c>
      <c r="D2819" s="21" t="inlineStr">
        <is>
          <t>USA</t>
        </is>
      </c>
      <c r="E2819" s="21" t="n">
        <v>93</v>
      </c>
      <c r="F2819" s="21" t="inlineStr">
        <is>
          <t>English</t>
        </is>
      </c>
      <c r="G2819" s="21" t="inlineStr">
        <is>
          <t>PG</t>
        </is>
      </c>
      <c r="H2819" s="22" t="n">
        <v>320706665</v>
      </c>
      <c r="I2819" s="22" t="n">
        <v>160000000</v>
      </c>
      <c r="J2819" s="21">
        <f>IF(OR(H2819="",H2819=25529689.5),"Yes","No")</f>
        <v/>
      </c>
      <c r="K2819" s="21">
        <f>IF(AND(D2819="USA",C2819&gt;=1980,J2819="No"),"Yes","No")</f>
        <v/>
      </c>
      <c r="L2819" s="26">
        <f>IF(J2819="Yes","",H2819-I2819)</f>
        <v/>
      </c>
      <c r="M2819" s="27">
        <f>IF(OR(J2819="Yes",I2819=0),"",H2819/I2819)</f>
        <v/>
      </c>
      <c r="N2819" s="21">
        <f>IF(J2819="Yes","",IF(H2819&gt;=I2819,1,0))</f>
        <v/>
      </c>
      <c r="O2819" s="21">
        <f>IF(I2819&lt;=5000000,"Under $5M",IF(I2819&lt;=20000000,"$5M-20M",IF(I2819&lt;=50000000,"$20M-50M",IF(I2819&lt;=100000000,"$50M-100M","$100M+"))))</f>
        <v/>
      </c>
      <c r="P2819" s="21">
        <f>IF(E2819&lt;=90,"90 or less",IF(E2819&lt;=105,"91-105",IF(E2819&lt;=120,"106-120",IF(E2819&lt;=140,"121-140","Over 140"))))</f>
        <v/>
      </c>
      <c r="Q2819" s="28">
        <f>INT(C2819/10)*10</f>
        <v/>
      </c>
    </row>
    <row r="2820">
      <c r="A2820" s="21" t="n">
        <v>2880</v>
      </c>
      <c r="B2820" s="21" t="inlineStr">
        <is>
          <t>Sicko</t>
        </is>
      </c>
      <c r="C2820" s="21" t="n">
        <v>2007</v>
      </c>
      <c r="D2820" s="21" t="inlineStr">
        <is>
          <t>USA</t>
        </is>
      </c>
      <c r="E2820" s="21" t="n">
        <v>123</v>
      </c>
      <c r="F2820" s="21" t="inlineStr">
        <is>
          <t>English</t>
        </is>
      </c>
      <c r="G2820" s="21" t="inlineStr">
        <is>
          <t>PG-13</t>
        </is>
      </c>
      <c r="H2820" s="22" t="n">
        <v>24530513</v>
      </c>
      <c r="I2820" s="22" t="n">
        <v>9000000</v>
      </c>
      <c r="J2820" s="21">
        <f>IF(OR(H2820="",H2820=25529689.5),"Yes","No")</f>
        <v/>
      </c>
      <c r="K2820" s="21">
        <f>IF(AND(D2820="USA",C2820&gt;=1980,J2820="No"),"Yes","No")</f>
        <v/>
      </c>
      <c r="L2820" s="26">
        <f>IF(J2820="Yes","",H2820-I2820)</f>
        <v/>
      </c>
      <c r="M2820" s="27">
        <f>IF(OR(J2820="Yes",I2820=0),"",H2820/I2820)</f>
        <v/>
      </c>
      <c r="N2820" s="21">
        <f>IF(J2820="Yes","",IF(H2820&gt;=I2820,1,0))</f>
        <v/>
      </c>
      <c r="O2820" s="21">
        <f>IF(I2820&lt;=5000000,"Under $5M",IF(I2820&lt;=20000000,"$5M-20M",IF(I2820&lt;=50000000,"$20M-50M",IF(I2820&lt;=100000000,"$50M-100M","$100M+"))))</f>
        <v/>
      </c>
      <c r="P2820" s="21">
        <f>IF(E2820&lt;=90,"90 or less",IF(E2820&lt;=105,"91-105",IF(E2820&lt;=120,"106-120",IF(E2820&lt;=140,"121-140","Over 140"))))</f>
        <v/>
      </c>
      <c r="Q2820" s="28">
        <f>INT(C2820/10)*10</f>
        <v/>
      </c>
    </row>
    <row r="2821">
      <c r="A2821" s="21" t="n">
        <v>2881</v>
      </c>
      <c r="B2821" s="21" t="inlineStr">
        <is>
          <t>Slacker Uprising</t>
        </is>
      </c>
      <c r="C2821" s="21" t="n">
        <v>2007</v>
      </c>
      <c r="D2821" s="21" t="inlineStr">
        <is>
          <t>USA</t>
        </is>
      </c>
      <c r="E2821" s="21" t="n">
        <v>102</v>
      </c>
      <c r="F2821" s="21" t="inlineStr">
        <is>
          <t>English</t>
        </is>
      </c>
      <c r="G2821" s="21" t="n"/>
      <c r="H2821" s="22" t="n">
        <v>25529689.5</v>
      </c>
      <c r="I2821" s="22" t="n">
        <v>2000000</v>
      </c>
      <c r="J2821" s="21">
        <f>IF(OR(H2821="",H2821=25529689.5),"Yes","No")</f>
        <v/>
      </c>
      <c r="K2821" s="21">
        <f>IF(AND(D2821="USA",C2821&gt;=1980,J2821="No"),"Yes","No")</f>
        <v/>
      </c>
      <c r="L2821" s="26">
        <f>IF(J2821="Yes","",H2821-I2821)</f>
        <v/>
      </c>
      <c r="M2821" s="27">
        <f>IF(OR(J2821="Yes",I2821=0),"",H2821/I2821)</f>
        <v/>
      </c>
      <c r="N2821" s="21">
        <f>IF(J2821="Yes","",IF(H2821&gt;=I2821,1,0))</f>
        <v/>
      </c>
      <c r="O2821" s="21">
        <f>IF(I2821&lt;=5000000,"Under $5M",IF(I2821&lt;=20000000,"$5M-20M",IF(I2821&lt;=50000000,"$20M-50M",IF(I2821&lt;=100000000,"$50M-100M","$100M+"))))</f>
        <v/>
      </c>
      <c r="P2821" s="21">
        <f>IF(E2821&lt;=90,"90 or less",IF(E2821&lt;=105,"91-105",IF(E2821&lt;=120,"106-120",IF(E2821&lt;=140,"121-140","Over 140"))))</f>
        <v/>
      </c>
      <c r="Q2821" s="28">
        <f>INT(C2821/10)*10</f>
        <v/>
      </c>
    </row>
    <row r="2822">
      <c r="A2822" s="21" t="n">
        <v>2882</v>
      </c>
      <c r="B2822" s="21" t="inlineStr">
        <is>
          <t>Snow Angels</t>
        </is>
      </c>
      <c r="C2822" s="21" t="n">
        <v>2007</v>
      </c>
      <c r="D2822" s="21" t="inlineStr">
        <is>
          <t>USA</t>
        </is>
      </c>
      <c r="E2822" s="21" t="n">
        <v>107</v>
      </c>
      <c r="F2822" s="21" t="inlineStr">
        <is>
          <t>English</t>
        </is>
      </c>
      <c r="G2822" s="21" t="inlineStr">
        <is>
          <t>R</t>
        </is>
      </c>
      <c r="H2822" s="22" t="n">
        <v>402820</v>
      </c>
      <c r="I2822" s="22" t="n">
        <v>20000000</v>
      </c>
      <c r="J2822" s="21">
        <f>IF(OR(H2822="",H2822=25529689.5),"Yes","No")</f>
        <v/>
      </c>
      <c r="K2822" s="21">
        <f>IF(AND(D2822="USA",C2822&gt;=1980,J2822="No"),"Yes","No")</f>
        <v/>
      </c>
      <c r="L2822" s="26">
        <f>IF(J2822="Yes","",H2822-I2822)</f>
        <v/>
      </c>
      <c r="M2822" s="27">
        <f>IF(OR(J2822="Yes",I2822=0),"",H2822/I2822)</f>
        <v/>
      </c>
      <c r="N2822" s="21">
        <f>IF(J2822="Yes","",IF(H2822&gt;=I2822,1,0))</f>
        <v/>
      </c>
      <c r="O2822" s="21">
        <f>IF(I2822&lt;=5000000,"Under $5M",IF(I2822&lt;=20000000,"$5M-20M",IF(I2822&lt;=50000000,"$20M-50M",IF(I2822&lt;=100000000,"$50M-100M","$100M+"))))</f>
        <v/>
      </c>
      <c r="P2822" s="21">
        <f>IF(E2822&lt;=90,"90 or less",IF(E2822&lt;=105,"91-105",IF(E2822&lt;=120,"106-120",IF(E2822&lt;=140,"121-140","Over 140"))))</f>
        <v/>
      </c>
      <c r="Q2822" s="28">
        <f>INT(C2822/10)*10</f>
        <v/>
      </c>
    </row>
    <row r="2823">
      <c r="A2823" s="21" t="n">
        <v>2883</v>
      </c>
      <c r="B2823" s="21" t="inlineStr">
        <is>
          <t>Spider-Man 3</t>
        </is>
      </c>
      <c r="C2823" s="21" t="n">
        <v>2007</v>
      </c>
      <c r="D2823" s="21" t="inlineStr">
        <is>
          <t>USA</t>
        </is>
      </c>
      <c r="E2823" s="21" t="n">
        <v>156</v>
      </c>
      <c r="F2823" s="21" t="inlineStr">
        <is>
          <t>English</t>
        </is>
      </c>
      <c r="G2823" s="21" t="inlineStr">
        <is>
          <t>PG-13</t>
        </is>
      </c>
      <c r="H2823" s="22" t="n">
        <v>336530303</v>
      </c>
      <c r="I2823" s="22" t="n">
        <v>258000000</v>
      </c>
      <c r="J2823" s="21">
        <f>IF(OR(H2823="",H2823=25529689.5),"Yes","No")</f>
        <v/>
      </c>
      <c r="K2823" s="21">
        <f>IF(AND(D2823="USA",C2823&gt;=1980,J2823="No"),"Yes","No")</f>
        <v/>
      </c>
      <c r="L2823" s="26">
        <f>IF(J2823="Yes","",H2823-I2823)</f>
        <v/>
      </c>
      <c r="M2823" s="27">
        <f>IF(OR(J2823="Yes",I2823=0),"",H2823/I2823)</f>
        <v/>
      </c>
      <c r="N2823" s="21">
        <f>IF(J2823="Yes","",IF(H2823&gt;=I2823,1,0))</f>
        <v/>
      </c>
      <c r="O2823" s="21">
        <f>IF(I2823&lt;=5000000,"Under $5M",IF(I2823&lt;=20000000,"$5M-20M",IF(I2823&lt;=50000000,"$20M-50M",IF(I2823&lt;=100000000,"$50M-100M","$100M+"))))</f>
        <v/>
      </c>
      <c r="P2823" s="21">
        <f>IF(E2823&lt;=90,"90 or less",IF(E2823&lt;=105,"91-105",IF(E2823&lt;=120,"106-120",IF(E2823&lt;=140,"121-140","Over 140"))))</f>
        <v/>
      </c>
      <c r="Q2823" s="28">
        <f>INT(C2823/10)*10</f>
        <v/>
      </c>
    </row>
    <row r="2824">
      <c r="A2824" s="21" t="n">
        <v>2885</v>
      </c>
      <c r="B2824" s="21" t="inlineStr">
        <is>
          <t>St. Trinian's</t>
        </is>
      </c>
      <c r="C2824" s="21" t="n">
        <v>2007</v>
      </c>
      <c r="D2824" s="21" t="inlineStr">
        <is>
          <t>UK</t>
        </is>
      </c>
      <c r="E2824" s="21" t="n">
        <v>100</v>
      </c>
      <c r="F2824" s="21" t="inlineStr">
        <is>
          <t>English</t>
        </is>
      </c>
      <c r="G2824" s="21" t="inlineStr">
        <is>
          <t>PG-13</t>
        </is>
      </c>
      <c r="H2824" s="22" t="n">
        <v>25529689.5</v>
      </c>
      <c r="I2824" s="22" t="n">
        <v>13500000</v>
      </c>
      <c r="J2824" s="21">
        <f>IF(OR(H2824="",H2824=25529689.5),"Yes","No")</f>
        <v/>
      </c>
      <c r="K2824" s="21">
        <f>IF(AND(D2824="USA",C2824&gt;=1980,J2824="No"),"Yes","No")</f>
        <v/>
      </c>
      <c r="L2824" s="26">
        <f>IF(J2824="Yes","",H2824-I2824)</f>
        <v/>
      </c>
      <c r="M2824" s="27">
        <f>IF(OR(J2824="Yes",I2824=0),"",H2824/I2824)</f>
        <v/>
      </c>
      <c r="N2824" s="21">
        <f>IF(J2824="Yes","",IF(H2824&gt;=I2824,1,0))</f>
        <v/>
      </c>
      <c r="O2824" s="21">
        <f>IF(I2824&lt;=5000000,"Under $5M",IF(I2824&lt;=20000000,"$5M-20M",IF(I2824&lt;=50000000,"$20M-50M",IF(I2824&lt;=100000000,"$50M-100M","$100M+"))))</f>
        <v/>
      </c>
      <c r="P2824" s="21">
        <f>IF(E2824&lt;=90,"90 or less",IF(E2824&lt;=105,"91-105",IF(E2824&lt;=120,"106-120",IF(E2824&lt;=140,"121-140","Over 140"))))</f>
        <v/>
      </c>
      <c r="Q2824" s="28">
        <f>INT(C2824/10)*10</f>
        <v/>
      </c>
    </row>
    <row r="2825">
      <c r="A2825" s="21" t="n">
        <v>2886</v>
      </c>
      <c r="B2825" s="21" t="inlineStr">
        <is>
          <t>Stardust</t>
        </is>
      </c>
      <c r="C2825" s="21" t="n">
        <v>2007</v>
      </c>
      <c r="D2825" s="21" t="inlineStr">
        <is>
          <t>UK</t>
        </is>
      </c>
      <c r="E2825" s="21" t="n">
        <v>127</v>
      </c>
      <c r="F2825" s="21" t="inlineStr">
        <is>
          <t>English</t>
        </is>
      </c>
      <c r="G2825" s="21" t="inlineStr">
        <is>
          <t>PG-13</t>
        </is>
      </c>
      <c r="H2825" s="22" t="n">
        <v>38345403</v>
      </c>
      <c r="I2825" s="22" t="n">
        <v>70000000</v>
      </c>
      <c r="J2825" s="21">
        <f>IF(OR(H2825="",H2825=25529689.5),"Yes","No")</f>
        <v/>
      </c>
      <c r="K2825" s="21">
        <f>IF(AND(D2825="USA",C2825&gt;=1980,J2825="No"),"Yes","No")</f>
        <v/>
      </c>
      <c r="L2825" s="26">
        <f>IF(J2825="Yes","",H2825-I2825)</f>
        <v/>
      </c>
      <c r="M2825" s="27">
        <f>IF(OR(J2825="Yes",I2825=0),"",H2825/I2825)</f>
        <v/>
      </c>
      <c r="N2825" s="21">
        <f>IF(J2825="Yes","",IF(H2825&gt;=I2825,1,0))</f>
        <v/>
      </c>
      <c r="O2825" s="21">
        <f>IF(I2825&lt;=5000000,"Under $5M",IF(I2825&lt;=20000000,"$5M-20M",IF(I2825&lt;=50000000,"$20M-50M",IF(I2825&lt;=100000000,"$50M-100M","$100M+"))))</f>
        <v/>
      </c>
      <c r="P2825" s="21">
        <f>IF(E2825&lt;=90,"90 or less",IF(E2825&lt;=105,"91-105",IF(E2825&lt;=120,"106-120",IF(E2825&lt;=140,"121-140","Over 140"))))</f>
        <v/>
      </c>
      <c r="Q2825" s="28">
        <f>INT(C2825/10)*10</f>
        <v/>
      </c>
    </row>
    <row r="2826">
      <c r="A2826" s="21" t="n">
        <v>2887</v>
      </c>
      <c r="B2826" s="21" t="inlineStr">
        <is>
          <t>Stomp the Yard</t>
        </is>
      </c>
      <c r="C2826" s="21" t="n">
        <v>2007</v>
      </c>
      <c r="D2826" s="21" t="inlineStr">
        <is>
          <t>USA</t>
        </is>
      </c>
      <c r="E2826" s="21" t="n">
        <v>109</v>
      </c>
      <c r="F2826" s="21" t="inlineStr">
        <is>
          <t>English</t>
        </is>
      </c>
      <c r="G2826" s="21" t="inlineStr">
        <is>
          <t>PG-13</t>
        </is>
      </c>
      <c r="H2826" s="22" t="n">
        <v>61356221</v>
      </c>
      <c r="I2826" s="22" t="n">
        <v>14000000</v>
      </c>
      <c r="J2826" s="21">
        <f>IF(OR(H2826="",H2826=25529689.5),"Yes","No")</f>
        <v/>
      </c>
      <c r="K2826" s="21">
        <f>IF(AND(D2826="USA",C2826&gt;=1980,J2826="No"),"Yes","No")</f>
        <v/>
      </c>
      <c r="L2826" s="26">
        <f>IF(J2826="Yes","",H2826-I2826)</f>
        <v/>
      </c>
      <c r="M2826" s="27">
        <f>IF(OR(J2826="Yes",I2826=0),"",H2826/I2826)</f>
        <v/>
      </c>
      <c r="N2826" s="21">
        <f>IF(J2826="Yes","",IF(H2826&gt;=I2826,1,0))</f>
        <v/>
      </c>
      <c r="O2826" s="21">
        <f>IF(I2826&lt;=5000000,"Under $5M",IF(I2826&lt;=20000000,"$5M-20M",IF(I2826&lt;=50000000,"$20M-50M",IF(I2826&lt;=100000000,"$50M-100M","$100M+"))))</f>
        <v/>
      </c>
      <c r="P2826" s="21">
        <f>IF(E2826&lt;=90,"90 or less",IF(E2826&lt;=105,"91-105",IF(E2826&lt;=120,"106-120",IF(E2826&lt;=140,"121-140","Over 140"))))</f>
        <v/>
      </c>
      <c r="Q2826" s="28">
        <f>INT(C2826/10)*10</f>
        <v/>
      </c>
    </row>
    <row r="2827">
      <c r="A2827" s="21" t="n">
        <v>2888</v>
      </c>
      <c r="B2827" s="21" t="inlineStr">
        <is>
          <t>Sublime</t>
        </is>
      </c>
      <c r="C2827" s="21" t="n">
        <v>2007</v>
      </c>
      <c r="D2827" s="21" t="inlineStr">
        <is>
          <t>USA</t>
        </is>
      </c>
      <c r="E2827" s="21" t="n">
        <v>113</v>
      </c>
      <c r="F2827" s="21" t="inlineStr">
        <is>
          <t>English</t>
        </is>
      </c>
      <c r="G2827" s="21" t="inlineStr">
        <is>
          <t>R</t>
        </is>
      </c>
      <c r="H2827" s="22" t="n">
        <v>25529689.5</v>
      </c>
      <c r="I2827" s="22" t="n">
        <v>1800000</v>
      </c>
      <c r="J2827" s="21">
        <f>IF(OR(H2827="",H2827=25529689.5),"Yes","No")</f>
        <v/>
      </c>
      <c r="K2827" s="21">
        <f>IF(AND(D2827="USA",C2827&gt;=1980,J2827="No"),"Yes","No")</f>
        <v/>
      </c>
      <c r="L2827" s="26">
        <f>IF(J2827="Yes","",H2827-I2827)</f>
        <v/>
      </c>
      <c r="M2827" s="27">
        <f>IF(OR(J2827="Yes",I2827=0),"",H2827/I2827)</f>
        <v/>
      </c>
      <c r="N2827" s="21">
        <f>IF(J2827="Yes","",IF(H2827&gt;=I2827,1,0))</f>
        <v/>
      </c>
      <c r="O2827" s="21">
        <f>IF(I2827&lt;=5000000,"Under $5M",IF(I2827&lt;=20000000,"$5M-20M",IF(I2827&lt;=50000000,"$20M-50M",IF(I2827&lt;=100000000,"$50M-100M","$100M+"))))</f>
        <v/>
      </c>
      <c r="P2827" s="21">
        <f>IF(E2827&lt;=90,"90 or less",IF(E2827&lt;=105,"91-105",IF(E2827&lt;=120,"106-120",IF(E2827&lt;=140,"121-140","Over 140"))))</f>
        <v/>
      </c>
      <c r="Q2827" s="28">
        <f>INT(C2827/10)*10</f>
        <v/>
      </c>
    </row>
    <row r="2828">
      <c r="A2828" s="21" t="n">
        <v>2889</v>
      </c>
      <c r="B2828" s="21" t="inlineStr">
        <is>
          <t>Sunshine</t>
        </is>
      </c>
      <c r="C2828" s="21" t="n">
        <v>2007</v>
      </c>
      <c r="D2828" s="21" t="inlineStr">
        <is>
          <t>UK</t>
        </is>
      </c>
      <c r="E2828" s="21" t="n">
        <v>107</v>
      </c>
      <c r="F2828" s="21" t="inlineStr">
        <is>
          <t>English</t>
        </is>
      </c>
      <c r="G2828" s="21" t="inlineStr">
        <is>
          <t>R</t>
        </is>
      </c>
      <c r="H2828" s="22" t="n">
        <v>3675072</v>
      </c>
      <c r="I2828" s="22" t="n">
        <v>26000000</v>
      </c>
      <c r="J2828" s="21">
        <f>IF(OR(H2828="",H2828=25529689.5),"Yes","No")</f>
        <v/>
      </c>
      <c r="K2828" s="21">
        <f>IF(AND(D2828="USA",C2828&gt;=1980,J2828="No"),"Yes","No")</f>
        <v/>
      </c>
      <c r="L2828" s="26">
        <f>IF(J2828="Yes","",H2828-I2828)</f>
        <v/>
      </c>
      <c r="M2828" s="27">
        <f>IF(OR(J2828="Yes",I2828=0),"",H2828/I2828)</f>
        <v/>
      </c>
      <c r="N2828" s="21">
        <f>IF(J2828="Yes","",IF(H2828&gt;=I2828,1,0))</f>
        <v/>
      </c>
      <c r="O2828" s="21">
        <f>IF(I2828&lt;=5000000,"Under $5M",IF(I2828&lt;=20000000,"$5M-20M",IF(I2828&lt;=50000000,"$20M-50M",IF(I2828&lt;=100000000,"$50M-100M","$100M+"))))</f>
        <v/>
      </c>
      <c r="P2828" s="21">
        <f>IF(E2828&lt;=90,"90 or less",IF(E2828&lt;=105,"91-105",IF(E2828&lt;=120,"106-120",IF(E2828&lt;=140,"121-140","Over 140"))))</f>
        <v/>
      </c>
      <c r="Q2828" s="28">
        <f>INT(C2828/10)*10</f>
        <v/>
      </c>
    </row>
    <row r="2829">
      <c r="A2829" s="21" t="n">
        <v>2890</v>
      </c>
      <c r="B2829" s="21" t="inlineStr">
        <is>
          <t>Superbad</t>
        </is>
      </c>
      <c r="C2829" s="21" t="n">
        <v>2007</v>
      </c>
      <c r="D2829" s="21" t="inlineStr">
        <is>
          <t>USA</t>
        </is>
      </c>
      <c r="E2829" s="21" t="n">
        <v>119</v>
      </c>
      <c r="F2829" s="21" t="inlineStr">
        <is>
          <t>English</t>
        </is>
      </c>
      <c r="G2829" s="21" t="inlineStr">
        <is>
          <t>R</t>
        </is>
      </c>
      <c r="H2829" s="22" t="n">
        <v>121463226</v>
      </c>
      <c r="I2829" s="22" t="n">
        <v>20000000</v>
      </c>
      <c r="J2829" s="21">
        <f>IF(OR(H2829="",H2829=25529689.5),"Yes","No")</f>
        <v/>
      </c>
      <c r="K2829" s="21">
        <f>IF(AND(D2829="USA",C2829&gt;=1980,J2829="No"),"Yes","No")</f>
        <v/>
      </c>
      <c r="L2829" s="26">
        <f>IF(J2829="Yes","",H2829-I2829)</f>
        <v/>
      </c>
      <c r="M2829" s="27">
        <f>IF(OR(J2829="Yes",I2829=0),"",H2829/I2829)</f>
        <v/>
      </c>
      <c r="N2829" s="21">
        <f>IF(J2829="Yes","",IF(H2829&gt;=I2829,1,0))</f>
        <v/>
      </c>
      <c r="O2829" s="21">
        <f>IF(I2829&lt;=5000000,"Under $5M",IF(I2829&lt;=20000000,"$5M-20M",IF(I2829&lt;=50000000,"$20M-50M",IF(I2829&lt;=100000000,"$50M-100M","$100M+"))))</f>
        <v/>
      </c>
      <c r="P2829" s="21">
        <f>IF(E2829&lt;=90,"90 or less",IF(E2829&lt;=105,"91-105",IF(E2829&lt;=120,"106-120",IF(E2829&lt;=140,"121-140","Over 140"))))</f>
        <v/>
      </c>
      <c r="Q2829" s="28">
        <f>INT(C2829/10)*10</f>
        <v/>
      </c>
    </row>
    <row r="2830">
      <c r="A2830" s="21" t="n">
        <v>2891</v>
      </c>
      <c r="B2830" s="21" t="inlineStr">
        <is>
          <t>Surf's Up</t>
        </is>
      </c>
      <c r="C2830" s="21" t="n">
        <v>2007</v>
      </c>
      <c r="D2830" s="21" t="inlineStr">
        <is>
          <t>USA</t>
        </is>
      </c>
      <c r="E2830" s="21" t="n">
        <v>85</v>
      </c>
      <c r="F2830" s="21" t="inlineStr">
        <is>
          <t>English</t>
        </is>
      </c>
      <c r="G2830" s="21" t="inlineStr">
        <is>
          <t>PG</t>
        </is>
      </c>
      <c r="H2830" s="22" t="n">
        <v>58867694</v>
      </c>
      <c r="I2830" s="22" t="n">
        <v>100000000</v>
      </c>
      <c r="J2830" s="21">
        <f>IF(OR(H2830="",H2830=25529689.5),"Yes","No")</f>
        <v/>
      </c>
      <c r="K2830" s="21">
        <f>IF(AND(D2830="USA",C2830&gt;=1980,J2830="No"),"Yes","No")</f>
        <v/>
      </c>
      <c r="L2830" s="26">
        <f>IF(J2830="Yes","",H2830-I2830)</f>
        <v/>
      </c>
      <c r="M2830" s="27">
        <f>IF(OR(J2830="Yes",I2830=0),"",H2830/I2830)</f>
        <v/>
      </c>
      <c r="N2830" s="21">
        <f>IF(J2830="Yes","",IF(H2830&gt;=I2830,1,0))</f>
        <v/>
      </c>
      <c r="O2830" s="21">
        <f>IF(I2830&lt;=5000000,"Under $5M",IF(I2830&lt;=20000000,"$5M-20M",IF(I2830&lt;=50000000,"$20M-50M",IF(I2830&lt;=100000000,"$50M-100M","$100M+"))))</f>
        <v/>
      </c>
      <c r="P2830" s="21">
        <f>IF(E2830&lt;=90,"90 or less",IF(E2830&lt;=105,"91-105",IF(E2830&lt;=120,"106-120",IF(E2830&lt;=140,"121-140","Over 140"))))</f>
        <v/>
      </c>
      <c r="Q2830" s="28">
        <f>INT(C2830/10)*10</f>
        <v/>
      </c>
    </row>
    <row r="2831">
      <c r="A2831" s="21" t="n">
        <v>2892</v>
      </c>
      <c r="B2831" s="21" t="inlineStr">
        <is>
          <t>Sydney White</t>
        </is>
      </c>
      <c r="C2831" s="21" t="n">
        <v>2007</v>
      </c>
      <c r="D2831" s="21" t="inlineStr">
        <is>
          <t>USA</t>
        </is>
      </c>
      <c r="E2831" s="21" t="n">
        <v>108</v>
      </c>
      <c r="F2831" s="21" t="inlineStr">
        <is>
          <t>English</t>
        </is>
      </c>
      <c r="G2831" s="21" t="inlineStr">
        <is>
          <t>PG-13</t>
        </is>
      </c>
      <c r="H2831" s="22" t="n">
        <v>11702090</v>
      </c>
      <c r="I2831" s="22" t="n">
        <v>16500000</v>
      </c>
      <c r="J2831" s="21">
        <f>IF(OR(H2831="",H2831=25529689.5),"Yes","No")</f>
        <v/>
      </c>
      <c r="K2831" s="21">
        <f>IF(AND(D2831="USA",C2831&gt;=1980,J2831="No"),"Yes","No")</f>
        <v/>
      </c>
      <c r="L2831" s="26">
        <f>IF(J2831="Yes","",H2831-I2831)</f>
        <v/>
      </c>
      <c r="M2831" s="27">
        <f>IF(OR(J2831="Yes",I2831=0),"",H2831/I2831)</f>
        <v/>
      </c>
      <c r="N2831" s="21">
        <f>IF(J2831="Yes","",IF(H2831&gt;=I2831,1,0))</f>
        <v/>
      </c>
      <c r="O2831" s="21">
        <f>IF(I2831&lt;=5000000,"Under $5M",IF(I2831&lt;=20000000,"$5M-20M",IF(I2831&lt;=50000000,"$20M-50M",IF(I2831&lt;=100000000,"$50M-100M","$100M+"))))</f>
        <v/>
      </c>
      <c r="P2831" s="21">
        <f>IF(E2831&lt;=90,"90 or less",IF(E2831&lt;=105,"91-105",IF(E2831&lt;=120,"106-120",IF(E2831&lt;=140,"121-140","Over 140"))))</f>
        <v/>
      </c>
      <c r="Q2831" s="28">
        <f>INT(C2831/10)*10</f>
        <v/>
      </c>
    </row>
    <row r="2832">
      <c r="A2832" s="21" t="n">
        <v>2893</v>
      </c>
      <c r="B2832" s="21" t="inlineStr">
        <is>
          <t>Ta Ra Rum Pum</t>
        </is>
      </c>
      <c r="C2832" s="21" t="n">
        <v>2007</v>
      </c>
      <c r="D2832" s="21" t="inlineStr">
        <is>
          <t>USA</t>
        </is>
      </c>
      <c r="E2832" s="21" t="n">
        <v>153</v>
      </c>
      <c r="F2832" s="21" t="inlineStr">
        <is>
          <t>Hindi</t>
        </is>
      </c>
      <c r="G2832" s="21" t="n"/>
      <c r="H2832" s="22" t="n">
        <v>872643</v>
      </c>
      <c r="I2832" s="22" t="n">
        <v>6000000</v>
      </c>
      <c r="J2832" s="21">
        <f>IF(OR(H2832="",H2832=25529689.5),"Yes","No")</f>
        <v/>
      </c>
      <c r="K2832" s="21">
        <f>IF(AND(D2832="USA",C2832&gt;=1980,J2832="No"),"Yes","No")</f>
        <v/>
      </c>
      <c r="L2832" s="26">
        <f>IF(J2832="Yes","",H2832-I2832)</f>
        <v/>
      </c>
      <c r="M2832" s="27">
        <f>IF(OR(J2832="Yes",I2832=0),"",H2832/I2832)</f>
        <v/>
      </c>
      <c r="N2832" s="21">
        <f>IF(J2832="Yes","",IF(H2832&gt;=I2832,1,0))</f>
        <v/>
      </c>
      <c r="O2832" s="21">
        <f>IF(I2832&lt;=5000000,"Under $5M",IF(I2832&lt;=20000000,"$5M-20M",IF(I2832&lt;=50000000,"$20M-50M",IF(I2832&lt;=100000000,"$50M-100M","$100M+"))))</f>
        <v/>
      </c>
      <c r="P2832" s="21">
        <f>IF(E2832&lt;=90,"90 or less",IF(E2832&lt;=105,"91-105",IF(E2832&lt;=120,"106-120",IF(E2832&lt;=140,"121-140","Over 140"))))</f>
        <v/>
      </c>
      <c r="Q2832" s="28">
        <f>INT(C2832/10)*10</f>
        <v/>
      </c>
    </row>
    <row r="2833">
      <c r="A2833" s="21" t="n">
        <v>2894</v>
      </c>
      <c r="B2833" s="21" t="inlineStr">
        <is>
          <t>Taxi to the Dark Side</t>
        </is>
      </c>
      <c r="C2833" s="21" t="n">
        <v>2007</v>
      </c>
      <c r="D2833" s="21" t="inlineStr">
        <is>
          <t>USA</t>
        </is>
      </c>
      <c r="E2833" s="21" t="n">
        <v>53</v>
      </c>
      <c r="F2833" s="21" t="inlineStr">
        <is>
          <t>English</t>
        </is>
      </c>
      <c r="G2833" s="21" t="inlineStr">
        <is>
          <t>R</t>
        </is>
      </c>
      <c r="H2833" s="22" t="n">
        <v>274661</v>
      </c>
      <c r="I2833" s="22" t="n">
        <v>1000000</v>
      </c>
      <c r="J2833" s="21">
        <f>IF(OR(H2833="",H2833=25529689.5),"Yes","No")</f>
        <v/>
      </c>
      <c r="K2833" s="21">
        <f>IF(AND(D2833="USA",C2833&gt;=1980,J2833="No"),"Yes","No")</f>
        <v/>
      </c>
      <c r="L2833" s="26">
        <f>IF(J2833="Yes","",H2833-I2833)</f>
        <v/>
      </c>
      <c r="M2833" s="27">
        <f>IF(OR(J2833="Yes",I2833=0),"",H2833/I2833)</f>
        <v/>
      </c>
      <c r="N2833" s="21">
        <f>IF(J2833="Yes","",IF(H2833&gt;=I2833,1,0))</f>
        <v/>
      </c>
      <c r="O2833" s="21">
        <f>IF(I2833&lt;=5000000,"Under $5M",IF(I2833&lt;=20000000,"$5M-20M",IF(I2833&lt;=50000000,"$20M-50M",IF(I2833&lt;=100000000,"$50M-100M","$100M+"))))</f>
        <v/>
      </c>
      <c r="P2833" s="21">
        <f>IF(E2833&lt;=90,"90 or less",IF(E2833&lt;=105,"91-105",IF(E2833&lt;=120,"106-120",IF(E2833&lt;=140,"121-140","Over 140"))))</f>
        <v/>
      </c>
      <c r="Q2833" s="28">
        <f>INT(C2833/10)*10</f>
        <v/>
      </c>
    </row>
    <row r="2834">
      <c r="A2834" s="21" t="n">
        <v>2895</v>
      </c>
      <c r="B2834" s="21" t="inlineStr">
        <is>
          <t>Teeth</t>
        </is>
      </c>
      <c r="C2834" s="21" t="n">
        <v>2007</v>
      </c>
      <c r="D2834" s="21" t="inlineStr">
        <is>
          <t>USA</t>
        </is>
      </c>
      <c r="E2834" s="21" t="n">
        <v>94</v>
      </c>
      <c r="F2834" s="21" t="inlineStr">
        <is>
          <t>English</t>
        </is>
      </c>
      <c r="G2834" s="21" t="inlineStr">
        <is>
          <t>R</t>
        </is>
      </c>
      <c r="H2834" s="22" t="n">
        <v>347578</v>
      </c>
      <c r="I2834" s="22" t="n">
        <v>20000000</v>
      </c>
      <c r="J2834" s="21">
        <f>IF(OR(H2834="",H2834=25529689.5),"Yes","No")</f>
        <v/>
      </c>
      <c r="K2834" s="21">
        <f>IF(AND(D2834="USA",C2834&gt;=1980,J2834="No"),"Yes","No")</f>
        <v/>
      </c>
      <c r="L2834" s="26">
        <f>IF(J2834="Yes","",H2834-I2834)</f>
        <v/>
      </c>
      <c r="M2834" s="27">
        <f>IF(OR(J2834="Yes",I2834=0),"",H2834/I2834)</f>
        <v/>
      </c>
      <c r="N2834" s="21">
        <f>IF(J2834="Yes","",IF(H2834&gt;=I2834,1,0))</f>
        <v/>
      </c>
      <c r="O2834" s="21">
        <f>IF(I2834&lt;=5000000,"Under $5M",IF(I2834&lt;=20000000,"$5M-20M",IF(I2834&lt;=50000000,"$20M-50M",IF(I2834&lt;=100000000,"$50M-100M","$100M+"))))</f>
        <v/>
      </c>
      <c r="P2834" s="21">
        <f>IF(E2834&lt;=90,"90 or less",IF(E2834&lt;=105,"91-105",IF(E2834&lt;=120,"106-120",IF(E2834&lt;=140,"121-140","Over 140"))))</f>
        <v/>
      </c>
      <c r="Q2834" s="28">
        <f>INT(C2834/10)*10</f>
        <v/>
      </c>
    </row>
    <row r="2835">
      <c r="A2835" s="21" t="n">
        <v>2896</v>
      </c>
      <c r="B2835" s="21" t="inlineStr">
        <is>
          <t>The Assassination of Jesse James by the Coward Robert Ford</t>
        </is>
      </c>
      <c r="C2835" s="21" t="n">
        <v>2007</v>
      </c>
      <c r="D2835" s="21" t="inlineStr">
        <is>
          <t>USA</t>
        </is>
      </c>
      <c r="E2835" s="21" t="n">
        <v>160</v>
      </c>
      <c r="F2835" s="21" t="inlineStr">
        <is>
          <t>English</t>
        </is>
      </c>
      <c r="G2835" s="21" t="inlineStr">
        <is>
          <t>R</t>
        </is>
      </c>
      <c r="H2835" s="22" t="n">
        <v>3904982</v>
      </c>
      <c r="I2835" s="22" t="n">
        <v>30000000</v>
      </c>
      <c r="J2835" s="21">
        <f>IF(OR(H2835="",H2835=25529689.5),"Yes","No")</f>
        <v/>
      </c>
      <c r="K2835" s="21">
        <f>IF(AND(D2835="USA",C2835&gt;=1980,J2835="No"),"Yes","No")</f>
        <v/>
      </c>
      <c r="L2835" s="26">
        <f>IF(J2835="Yes","",H2835-I2835)</f>
        <v/>
      </c>
      <c r="M2835" s="27">
        <f>IF(OR(J2835="Yes",I2835=0),"",H2835/I2835)</f>
        <v/>
      </c>
      <c r="N2835" s="21">
        <f>IF(J2835="Yes","",IF(H2835&gt;=I2835,1,0))</f>
        <v/>
      </c>
      <c r="O2835" s="21">
        <f>IF(I2835&lt;=5000000,"Under $5M",IF(I2835&lt;=20000000,"$5M-20M",IF(I2835&lt;=50000000,"$20M-50M",IF(I2835&lt;=100000000,"$50M-100M","$100M+"))))</f>
        <v/>
      </c>
      <c r="P2835" s="21">
        <f>IF(E2835&lt;=90,"90 or less",IF(E2835&lt;=105,"91-105",IF(E2835&lt;=120,"106-120",IF(E2835&lt;=140,"121-140","Over 140"))))</f>
        <v/>
      </c>
      <c r="Q2835" s="28">
        <f>INT(C2835/10)*10</f>
        <v/>
      </c>
    </row>
    <row r="2836">
      <c r="A2836" s="21" t="n">
        <v>2897</v>
      </c>
      <c r="B2836" s="21" t="inlineStr">
        <is>
          <t>The Bourne Ultimatum</t>
        </is>
      </c>
      <c r="C2836" s="21" t="n">
        <v>2007</v>
      </c>
      <c r="D2836" s="21" t="inlineStr">
        <is>
          <t>USA</t>
        </is>
      </c>
      <c r="E2836" s="21" t="n">
        <v>115</v>
      </c>
      <c r="F2836" s="21" t="inlineStr">
        <is>
          <t>English</t>
        </is>
      </c>
      <c r="G2836" s="21" t="inlineStr">
        <is>
          <t>PG-13</t>
        </is>
      </c>
      <c r="H2836" s="22" t="n">
        <v>227137090</v>
      </c>
      <c r="I2836" s="22" t="n">
        <v>110000000</v>
      </c>
      <c r="J2836" s="21">
        <f>IF(OR(H2836="",H2836=25529689.5),"Yes","No")</f>
        <v/>
      </c>
      <c r="K2836" s="21">
        <f>IF(AND(D2836="USA",C2836&gt;=1980,J2836="No"),"Yes","No")</f>
        <v/>
      </c>
      <c r="L2836" s="26">
        <f>IF(J2836="Yes","",H2836-I2836)</f>
        <v/>
      </c>
      <c r="M2836" s="27">
        <f>IF(OR(J2836="Yes",I2836=0),"",H2836/I2836)</f>
        <v/>
      </c>
      <c r="N2836" s="21">
        <f>IF(J2836="Yes","",IF(H2836&gt;=I2836,1,0))</f>
        <v/>
      </c>
      <c r="O2836" s="21">
        <f>IF(I2836&lt;=5000000,"Under $5M",IF(I2836&lt;=20000000,"$5M-20M",IF(I2836&lt;=50000000,"$20M-50M",IF(I2836&lt;=100000000,"$50M-100M","$100M+"))))</f>
        <v/>
      </c>
      <c r="P2836" s="21">
        <f>IF(E2836&lt;=90,"90 or less",IF(E2836&lt;=105,"91-105",IF(E2836&lt;=120,"106-120",IF(E2836&lt;=140,"121-140","Over 140"))))</f>
        <v/>
      </c>
      <c r="Q2836" s="28">
        <f>INT(C2836/10)*10</f>
        <v/>
      </c>
    </row>
    <row r="2837">
      <c r="A2837" s="21" t="n">
        <v>2898</v>
      </c>
      <c r="B2837" s="21" t="inlineStr">
        <is>
          <t>The Brothers Solomon</t>
        </is>
      </c>
      <c r="C2837" s="21" t="n">
        <v>2007</v>
      </c>
      <c r="D2837" s="21" t="inlineStr">
        <is>
          <t>USA</t>
        </is>
      </c>
      <c r="E2837" s="21" t="n">
        <v>93</v>
      </c>
      <c r="F2837" s="21" t="inlineStr">
        <is>
          <t>English</t>
        </is>
      </c>
      <c r="G2837" s="21" t="inlineStr">
        <is>
          <t>R</t>
        </is>
      </c>
      <c r="H2837" s="22" t="n">
        <v>900926</v>
      </c>
      <c r="I2837" s="22" t="n">
        <v>10000000</v>
      </c>
      <c r="J2837" s="21">
        <f>IF(OR(H2837="",H2837=25529689.5),"Yes","No")</f>
        <v/>
      </c>
      <c r="K2837" s="21">
        <f>IF(AND(D2837="USA",C2837&gt;=1980,J2837="No"),"Yes","No")</f>
        <v/>
      </c>
      <c r="L2837" s="26">
        <f>IF(J2837="Yes","",H2837-I2837)</f>
        <v/>
      </c>
      <c r="M2837" s="27">
        <f>IF(OR(J2837="Yes",I2837=0),"",H2837/I2837)</f>
        <v/>
      </c>
      <c r="N2837" s="21">
        <f>IF(J2837="Yes","",IF(H2837&gt;=I2837,1,0))</f>
        <v/>
      </c>
      <c r="O2837" s="21">
        <f>IF(I2837&lt;=5000000,"Under $5M",IF(I2837&lt;=20000000,"$5M-20M",IF(I2837&lt;=50000000,"$20M-50M",IF(I2837&lt;=100000000,"$50M-100M","$100M+"))))</f>
        <v/>
      </c>
      <c r="P2837" s="21">
        <f>IF(E2837&lt;=90,"90 or less",IF(E2837&lt;=105,"91-105",IF(E2837&lt;=120,"106-120",IF(E2837&lt;=140,"121-140","Over 140"))))</f>
        <v/>
      </c>
      <c r="Q2837" s="28">
        <f>INT(C2837/10)*10</f>
        <v/>
      </c>
    </row>
    <row r="2838">
      <c r="A2838" s="21" t="n">
        <v>2899</v>
      </c>
      <c r="B2838" s="21" t="inlineStr">
        <is>
          <t>The Bucket List</t>
        </is>
      </c>
      <c r="C2838" s="21" t="n">
        <v>2007</v>
      </c>
      <c r="D2838" s="21" t="inlineStr">
        <is>
          <t>USA</t>
        </is>
      </c>
      <c r="E2838" s="21" t="n">
        <v>97</v>
      </c>
      <c r="F2838" s="21" t="inlineStr">
        <is>
          <t>English</t>
        </is>
      </c>
      <c r="G2838" s="21" t="inlineStr">
        <is>
          <t>PG-13</t>
        </is>
      </c>
      <c r="H2838" s="22" t="n">
        <v>93452056</v>
      </c>
      <c r="I2838" s="22" t="n">
        <v>45000000</v>
      </c>
      <c r="J2838" s="21">
        <f>IF(OR(H2838="",H2838=25529689.5),"Yes","No")</f>
        <v/>
      </c>
      <c r="K2838" s="21">
        <f>IF(AND(D2838="USA",C2838&gt;=1980,J2838="No"),"Yes","No")</f>
        <v/>
      </c>
      <c r="L2838" s="26">
        <f>IF(J2838="Yes","",H2838-I2838)</f>
        <v/>
      </c>
      <c r="M2838" s="27">
        <f>IF(OR(J2838="Yes",I2838=0),"",H2838/I2838)</f>
        <v/>
      </c>
      <c r="N2838" s="21">
        <f>IF(J2838="Yes","",IF(H2838&gt;=I2838,1,0))</f>
        <v/>
      </c>
      <c r="O2838" s="21">
        <f>IF(I2838&lt;=5000000,"Under $5M",IF(I2838&lt;=20000000,"$5M-20M",IF(I2838&lt;=50000000,"$20M-50M",IF(I2838&lt;=100000000,"$50M-100M","$100M+"))))</f>
        <v/>
      </c>
      <c r="P2838" s="21">
        <f>IF(E2838&lt;=90,"90 or less",IF(E2838&lt;=105,"91-105",IF(E2838&lt;=120,"106-120",IF(E2838&lt;=140,"121-140","Over 140"))))</f>
        <v/>
      </c>
      <c r="Q2838" s="28">
        <f>INT(C2838/10)*10</f>
        <v/>
      </c>
    </row>
    <row r="2839">
      <c r="A2839" s="21" t="n">
        <v>2900</v>
      </c>
      <c r="B2839" s="21" t="inlineStr">
        <is>
          <t>The Color of Freedom</t>
        </is>
      </c>
      <c r="C2839" s="21" t="n">
        <v>2007</v>
      </c>
      <c r="D2839" s="21" t="inlineStr">
        <is>
          <t>Germany</t>
        </is>
      </c>
      <c r="E2839" s="21" t="n">
        <v>118</v>
      </c>
      <c r="F2839" s="21" t="inlineStr">
        <is>
          <t>English</t>
        </is>
      </c>
      <c r="G2839" s="21" t="inlineStr">
        <is>
          <t>R</t>
        </is>
      </c>
      <c r="H2839" s="22" t="n">
        <v>25529689.5</v>
      </c>
      <c r="I2839" s="22" t="n">
        <v>30000000</v>
      </c>
      <c r="J2839" s="21">
        <f>IF(OR(H2839="",H2839=25529689.5),"Yes","No")</f>
        <v/>
      </c>
      <c r="K2839" s="21">
        <f>IF(AND(D2839="USA",C2839&gt;=1980,J2839="No"),"Yes","No")</f>
        <v/>
      </c>
      <c r="L2839" s="26">
        <f>IF(J2839="Yes","",H2839-I2839)</f>
        <v/>
      </c>
      <c r="M2839" s="27">
        <f>IF(OR(J2839="Yes",I2839=0),"",H2839/I2839)</f>
        <v/>
      </c>
      <c r="N2839" s="21">
        <f>IF(J2839="Yes","",IF(H2839&gt;=I2839,1,0))</f>
        <v/>
      </c>
      <c r="O2839" s="21">
        <f>IF(I2839&lt;=5000000,"Under $5M",IF(I2839&lt;=20000000,"$5M-20M",IF(I2839&lt;=50000000,"$20M-50M",IF(I2839&lt;=100000000,"$50M-100M","$100M+"))))</f>
        <v/>
      </c>
      <c r="P2839" s="21">
        <f>IF(E2839&lt;=90,"90 or less",IF(E2839&lt;=105,"91-105",IF(E2839&lt;=120,"106-120",IF(E2839&lt;=140,"121-140","Over 140"))))</f>
        <v/>
      </c>
      <c r="Q2839" s="28">
        <f>INT(C2839/10)*10</f>
        <v/>
      </c>
    </row>
    <row r="2840">
      <c r="A2840" s="21" t="n">
        <v>2901</v>
      </c>
      <c r="B2840" s="21" t="inlineStr">
        <is>
          <t>The Death and Life of Bobby Z</t>
        </is>
      </c>
      <c r="C2840" s="21" t="n">
        <v>2007</v>
      </c>
      <c r="D2840" s="21" t="inlineStr">
        <is>
          <t>USA</t>
        </is>
      </c>
      <c r="E2840" s="21" t="n">
        <v>97</v>
      </c>
      <c r="F2840" s="21" t="inlineStr">
        <is>
          <t>English</t>
        </is>
      </c>
      <c r="G2840" s="21" t="inlineStr">
        <is>
          <t>R</t>
        </is>
      </c>
      <c r="H2840" s="22" t="n">
        <v>25529689.5</v>
      </c>
      <c r="I2840" s="22" t="n">
        <v>22000000</v>
      </c>
      <c r="J2840" s="21">
        <f>IF(OR(H2840="",H2840=25529689.5),"Yes","No")</f>
        <v/>
      </c>
      <c r="K2840" s="21">
        <f>IF(AND(D2840="USA",C2840&gt;=1980,J2840="No"),"Yes","No")</f>
        <v/>
      </c>
      <c r="L2840" s="26">
        <f>IF(J2840="Yes","",H2840-I2840)</f>
        <v/>
      </c>
      <c r="M2840" s="27">
        <f>IF(OR(J2840="Yes",I2840=0),"",H2840/I2840)</f>
        <v/>
      </c>
      <c r="N2840" s="21">
        <f>IF(J2840="Yes","",IF(H2840&gt;=I2840,1,0))</f>
        <v/>
      </c>
      <c r="O2840" s="21">
        <f>IF(I2840&lt;=5000000,"Under $5M",IF(I2840&lt;=20000000,"$5M-20M",IF(I2840&lt;=50000000,"$20M-50M",IF(I2840&lt;=100000000,"$50M-100M","$100M+"))))</f>
        <v/>
      </c>
      <c r="P2840" s="21">
        <f>IF(E2840&lt;=90,"90 or less",IF(E2840&lt;=105,"91-105",IF(E2840&lt;=120,"106-120",IF(E2840&lt;=140,"121-140","Over 140"))))</f>
        <v/>
      </c>
      <c r="Q2840" s="28">
        <f>INT(C2840/10)*10</f>
        <v/>
      </c>
    </row>
    <row r="2841">
      <c r="A2841" s="21" t="n">
        <v>2902</v>
      </c>
      <c r="B2841" s="21" t="inlineStr">
        <is>
          <t>The Diving Bell and the Butterfly</t>
        </is>
      </c>
      <c r="C2841" s="21" t="n">
        <v>2007</v>
      </c>
      <c r="D2841" s="21" t="inlineStr">
        <is>
          <t>France</t>
        </is>
      </c>
      <c r="E2841" s="21" t="n">
        <v>112</v>
      </c>
      <c r="F2841" s="21" t="inlineStr">
        <is>
          <t>French</t>
        </is>
      </c>
      <c r="G2841" s="21" t="inlineStr">
        <is>
          <t>PG-13</t>
        </is>
      </c>
      <c r="H2841" s="22" t="n">
        <v>5990075</v>
      </c>
      <c r="I2841" s="22" t="n">
        <v>20000000</v>
      </c>
      <c r="J2841" s="21">
        <f>IF(OR(H2841="",H2841=25529689.5),"Yes","No")</f>
        <v/>
      </c>
      <c r="K2841" s="21">
        <f>IF(AND(D2841="USA",C2841&gt;=1980,J2841="No"),"Yes","No")</f>
        <v/>
      </c>
      <c r="L2841" s="26">
        <f>IF(J2841="Yes","",H2841-I2841)</f>
        <v/>
      </c>
      <c r="M2841" s="27">
        <f>IF(OR(J2841="Yes",I2841=0),"",H2841/I2841)</f>
        <v/>
      </c>
      <c r="N2841" s="21">
        <f>IF(J2841="Yes","",IF(H2841&gt;=I2841,1,0))</f>
        <v/>
      </c>
      <c r="O2841" s="21">
        <f>IF(I2841&lt;=5000000,"Under $5M",IF(I2841&lt;=20000000,"$5M-20M",IF(I2841&lt;=50000000,"$20M-50M",IF(I2841&lt;=100000000,"$50M-100M","$100M+"))))</f>
        <v/>
      </c>
      <c r="P2841" s="21">
        <f>IF(E2841&lt;=90,"90 or less",IF(E2841&lt;=105,"91-105",IF(E2841&lt;=120,"106-120",IF(E2841&lt;=140,"121-140","Over 140"))))</f>
        <v/>
      </c>
      <c r="Q2841" s="28">
        <f>INT(C2841/10)*10</f>
        <v/>
      </c>
    </row>
    <row r="2842">
      <c r="A2842" s="21" t="n">
        <v>2903</v>
      </c>
      <c r="B2842" s="21" t="inlineStr">
        <is>
          <t>The Game Plan</t>
        </is>
      </c>
      <c r="C2842" s="21" t="n">
        <v>2007</v>
      </c>
      <c r="D2842" s="21" t="inlineStr">
        <is>
          <t>USA</t>
        </is>
      </c>
      <c r="E2842" s="21" t="n">
        <v>110</v>
      </c>
      <c r="F2842" s="21" t="inlineStr">
        <is>
          <t>English</t>
        </is>
      </c>
      <c r="G2842" s="21" t="inlineStr">
        <is>
          <t>PG</t>
        </is>
      </c>
      <c r="H2842" s="22" t="n">
        <v>90636983</v>
      </c>
      <c r="I2842" s="22" t="n">
        <v>22000000</v>
      </c>
      <c r="J2842" s="21">
        <f>IF(OR(H2842="",H2842=25529689.5),"Yes","No")</f>
        <v/>
      </c>
      <c r="K2842" s="21">
        <f>IF(AND(D2842="USA",C2842&gt;=1980,J2842="No"),"Yes","No")</f>
        <v/>
      </c>
      <c r="L2842" s="26">
        <f>IF(J2842="Yes","",H2842-I2842)</f>
        <v/>
      </c>
      <c r="M2842" s="27">
        <f>IF(OR(J2842="Yes",I2842=0),"",H2842/I2842)</f>
        <v/>
      </c>
      <c r="N2842" s="21">
        <f>IF(J2842="Yes","",IF(H2842&gt;=I2842,1,0))</f>
        <v/>
      </c>
      <c r="O2842" s="21">
        <f>IF(I2842&lt;=5000000,"Under $5M",IF(I2842&lt;=20000000,"$5M-20M",IF(I2842&lt;=50000000,"$20M-50M",IF(I2842&lt;=100000000,"$50M-100M","$100M+"))))</f>
        <v/>
      </c>
      <c r="P2842" s="21">
        <f>IF(E2842&lt;=90,"90 or less",IF(E2842&lt;=105,"91-105",IF(E2842&lt;=120,"106-120",IF(E2842&lt;=140,"121-140","Over 140"))))</f>
        <v/>
      </c>
      <c r="Q2842" s="28">
        <f>INT(C2842/10)*10</f>
        <v/>
      </c>
    </row>
    <row r="2843">
      <c r="A2843" s="21" t="n">
        <v>2904</v>
      </c>
      <c r="B2843" s="21" t="inlineStr">
        <is>
          <t>The Golden Compass</t>
        </is>
      </c>
      <c r="C2843" s="21" t="n">
        <v>2007</v>
      </c>
      <c r="D2843" s="21" t="inlineStr">
        <is>
          <t>USA</t>
        </is>
      </c>
      <c r="E2843" s="21" t="n">
        <v>113</v>
      </c>
      <c r="F2843" s="21" t="inlineStr">
        <is>
          <t>English</t>
        </is>
      </c>
      <c r="G2843" s="21" t="inlineStr">
        <is>
          <t>PG-13</t>
        </is>
      </c>
      <c r="H2843" s="22" t="n">
        <v>70083519</v>
      </c>
      <c r="I2843" s="22" t="n">
        <v>180000000</v>
      </c>
      <c r="J2843" s="21">
        <f>IF(OR(H2843="",H2843=25529689.5),"Yes","No")</f>
        <v/>
      </c>
      <c r="K2843" s="21">
        <f>IF(AND(D2843="USA",C2843&gt;=1980,J2843="No"),"Yes","No")</f>
        <v/>
      </c>
      <c r="L2843" s="26">
        <f>IF(J2843="Yes","",H2843-I2843)</f>
        <v/>
      </c>
      <c r="M2843" s="27">
        <f>IF(OR(J2843="Yes",I2843=0),"",H2843/I2843)</f>
        <v/>
      </c>
      <c r="N2843" s="21">
        <f>IF(J2843="Yes","",IF(H2843&gt;=I2843,1,0))</f>
        <v/>
      </c>
      <c r="O2843" s="21">
        <f>IF(I2843&lt;=5000000,"Under $5M",IF(I2843&lt;=20000000,"$5M-20M",IF(I2843&lt;=50000000,"$20M-50M",IF(I2843&lt;=100000000,"$50M-100M","$100M+"))))</f>
        <v/>
      </c>
      <c r="P2843" s="21">
        <f>IF(E2843&lt;=90,"90 or less",IF(E2843&lt;=105,"91-105",IF(E2843&lt;=120,"106-120",IF(E2843&lt;=140,"121-140","Over 140"))))</f>
        <v/>
      </c>
      <c r="Q2843" s="28">
        <f>INT(C2843/10)*10</f>
        <v/>
      </c>
    </row>
    <row r="2844">
      <c r="A2844" s="21" t="n">
        <v>2905</v>
      </c>
      <c r="B2844" s="21" t="inlineStr">
        <is>
          <t>The Good Night</t>
        </is>
      </c>
      <c r="C2844" s="21" t="n">
        <v>2007</v>
      </c>
      <c r="D2844" s="21" t="inlineStr">
        <is>
          <t>USA</t>
        </is>
      </c>
      <c r="E2844" s="21" t="n">
        <v>93</v>
      </c>
      <c r="F2844" s="21" t="inlineStr">
        <is>
          <t>English</t>
        </is>
      </c>
      <c r="G2844" s="21" t="inlineStr">
        <is>
          <t>R</t>
        </is>
      </c>
      <c r="H2844" s="22" t="n">
        <v>20380</v>
      </c>
      <c r="I2844" s="22" t="n">
        <v>15000000</v>
      </c>
      <c r="J2844" s="21">
        <f>IF(OR(H2844="",H2844=25529689.5),"Yes","No")</f>
        <v/>
      </c>
      <c r="K2844" s="21">
        <f>IF(AND(D2844="USA",C2844&gt;=1980,J2844="No"),"Yes","No")</f>
        <v/>
      </c>
      <c r="L2844" s="26">
        <f>IF(J2844="Yes","",H2844-I2844)</f>
        <v/>
      </c>
      <c r="M2844" s="27">
        <f>IF(OR(J2844="Yes",I2844=0),"",H2844/I2844)</f>
        <v/>
      </c>
      <c r="N2844" s="21">
        <f>IF(J2844="Yes","",IF(H2844&gt;=I2844,1,0))</f>
        <v/>
      </c>
      <c r="O2844" s="21">
        <f>IF(I2844&lt;=5000000,"Under $5M",IF(I2844&lt;=20000000,"$5M-20M",IF(I2844&lt;=50000000,"$20M-50M",IF(I2844&lt;=100000000,"$50M-100M","$100M+"))))</f>
        <v/>
      </c>
      <c r="P2844" s="21">
        <f>IF(E2844&lt;=90,"90 or less",IF(E2844&lt;=105,"91-105",IF(E2844&lt;=120,"106-120",IF(E2844&lt;=140,"121-140","Over 140"))))</f>
        <v/>
      </c>
      <c r="Q2844" s="28">
        <f>INT(C2844/10)*10</f>
        <v/>
      </c>
    </row>
    <row r="2845">
      <c r="A2845" s="21" t="n">
        <v>2906</v>
      </c>
      <c r="B2845" s="21" t="inlineStr">
        <is>
          <t>The Great Debaters</t>
        </is>
      </c>
      <c r="C2845" s="21" t="n">
        <v>2007</v>
      </c>
      <c r="D2845" s="21" t="inlineStr">
        <is>
          <t>USA</t>
        </is>
      </c>
      <c r="E2845" s="21" t="n">
        <v>126</v>
      </c>
      <c r="F2845" s="21" t="inlineStr">
        <is>
          <t>English</t>
        </is>
      </c>
      <c r="G2845" s="21" t="inlineStr">
        <is>
          <t>PG-13</t>
        </is>
      </c>
      <c r="H2845" s="22" t="n">
        <v>30226144</v>
      </c>
      <c r="I2845" s="22" t="n">
        <v>15000000</v>
      </c>
      <c r="J2845" s="21">
        <f>IF(OR(H2845="",H2845=25529689.5),"Yes","No")</f>
        <v/>
      </c>
      <c r="K2845" s="21">
        <f>IF(AND(D2845="USA",C2845&gt;=1980,J2845="No"),"Yes","No")</f>
        <v/>
      </c>
      <c r="L2845" s="26">
        <f>IF(J2845="Yes","",H2845-I2845)</f>
        <v/>
      </c>
      <c r="M2845" s="27">
        <f>IF(OR(J2845="Yes",I2845=0),"",H2845/I2845)</f>
        <v/>
      </c>
      <c r="N2845" s="21">
        <f>IF(J2845="Yes","",IF(H2845&gt;=I2845,1,0))</f>
        <v/>
      </c>
      <c r="O2845" s="21">
        <f>IF(I2845&lt;=5000000,"Under $5M",IF(I2845&lt;=20000000,"$5M-20M",IF(I2845&lt;=50000000,"$20M-50M",IF(I2845&lt;=100000000,"$50M-100M","$100M+"))))</f>
        <v/>
      </c>
      <c r="P2845" s="21">
        <f>IF(E2845&lt;=90,"90 or less",IF(E2845&lt;=105,"91-105",IF(E2845&lt;=120,"106-120",IF(E2845&lt;=140,"121-140","Over 140"))))</f>
        <v/>
      </c>
      <c r="Q2845" s="28">
        <f>INT(C2845/10)*10</f>
        <v/>
      </c>
    </row>
    <row r="2846">
      <c r="A2846" s="21" t="n">
        <v>2907</v>
      </c>
      <c r="B2846" s="21" t="inlineStr">
        <is>
          <t>The Hammer</t>
        </is>
      </c>
      <c r="C2846" s="21" t="n">
        <v>2007</v>
      </c>
      <c r="D2846" s="21" t="inlineStr">
        <is>
          <t>USA</t>
        </is>
      </c>
      <c r="E2846" s="21" t="n">
        <v>88</v>
      </c>
      <c r="F2846" s="21" t="inlineStr">
        <is>
          <t>English</t>
        </is>
      </c>
      <c r="G2846" s="21" t="inlineStr">
        <is>
          <t>R</t>
        </is>
      </c>
      <c r="H2846" s="22" t="n">
        <v>442638</v>
      </c>
      <c r="I2846" s="22" t="n">
        <v>850000</v>
      </c>
      <c r="J2846" s="21">
        <f>IF(OR(H2846="",H2846=25529689.5),"Yes","No")</f>
        <v/>
      </c>
      <c r="K2846" s="21">
        <f>IF(AND(D2846="USA",C2846&gt;=1980,J2846="No"),"Yes","No")</f>
        <v/>
      </c>
      <c r="L2846" s="26">
        <f>IF(J2846="Yes","",H2846-I2846)</f>
        <v/>
      </c>
      <c r="M2846" s="27">
        <f>IF(OR(J2846="Yes",I2846=0),"",H2846/I2846)</f>
        <v/>
      </c>
      <c r="N2846" s="21">
        <f>IF(J2846="Yes","",IF(H2846&gt;=I2846,1,0))</f>
        <v/>
      </c>
      <c r="O2846" s="21">
        <f>IF(I2846&lt;=5000000,"Under $5M",IF(I2846&lt;=20000000,"$5M-20M",IF(I2846&lt;=50000000,"$20M-50M",IF(I2846&lt;=100000000,"$50M-100M","$100M+"))))</f>
        <v/>
      </c>
      <c r="P2846" s="21">
        <f>IF(E2846&lt;=90,"90 or less",IF(E2846&lt;=105,"91-105",IF(E2846&lt;=120,"106-120",IF(E2846&lt;=140,"121-140","Over 140"))))</f>
        <v/>
      </c>
      <c r="Q2846" s="28">
        <f>INT(C2846/10)*10</f>
        <v/>
      </c>
    </row>
    <row r="2847">
      <c r="A2847" s="21" t="n">
        <v>2908</v>
      </c>
      <c r="B2847" s="21" t="inlineStr">
        <is>
          <t>The Hills Have Eyes II</t>
        </is>
      </c>
      <c r="C2847" s="21" t="n">
        <v>2007</v>
      </c>
      <c r="D2847" s="21" t="inlineStr">
        <is>
          <t>USA</t>
        </is>
      </c>
      <c r="E2847" s="21" t="n">
        <v>89</v>
      </c>
      <c r="F2847" s="21" t="inlineStr">
        <is>
          <t>English</t>
        </is>
      </c>
      <c r="G2847" s="21" t="inlineStr">
        <is>
          <t>R</t>
        </is>
      </c>
      <c r="H2847" s="22" t="n">
        <v>20801344</v>
      </c>
      <c r="I2847" s="22" t="n">
        <v>15000000</v>
      </c>
      <c r="J2847" s="21">
        <f>IF(OR(H2847="",H2847=25529689.5),"Yes","No")</f>
        <v/>
      </c>
      <c r="K2847" s="21">
        <f>IF(AND(D2847="USA",C2847&gt;=1980,J2847="No"),"Yes","No")</f>
        <v/>
      </c>
      <c r="L2847" s="26">
        <f>IF(J2847="Yes","",H2847-I2847)</f>
        <v/>
      </c>
      <c r="M2847" s="27">
        <f>IF(OR(J2847="Yes",I2847=0),"",H2847/I2847)</f>
        <v/>
      </c>
      <c r="N2847" s="21">
        <f>IF(J2847="Yes","",IF(H2847&gt;=I2847,1,0))</f>
        <v/>
      </c>
      <c r="O2847" s="21">
        <f>IF(I2847&lt;=5000000,"Under $5M",IF(I2847&lt;=20000000,"$5M-20M",IF(I2847&lt;=50000000,"$20M-50M",IF(I2847&lt;=100000000,"$50M-100M","$100M+"))))</f>
        <v/>
      </c>
      <c r="P2847" s="21">
        <f>IF(E2847&lt;=90,"90 or less",IF(E2847&lt;=105,"91-105",IF(E2847&lt;=120,"106-120",IF(E2847&lt;=140,"121-140","Over 140"))))</f>
        <v/>
      </c>
      <c r="Q2847" s="28">
        <f>INT(C2847/10)*10</f>
        <v/>
      </c>
    </row>
    <row r="2848">
      <c r="A2848" s="21" t="n">
        <v>2909</v>
      </c>
      <c r="B2848" s="21" t="inlineStr">
        <is>
          <t>The Hunting Party</t>
        </is>
      </c>
      <c r="C2848" s="21" t="n">
        <v>2007</v>
      </c>
      <c r="D2848" s="21" t="inlineStr">
        <is>
          <t>USA</t>
        </is>
      </c>
      <c r="E2848" s="21" t="n">
        <v>101</v>
      </c>
      <c r="F2848" s="21" t="inlineStr">
        <is>
          <t>English</t>
        </is>
      </c>
      <c r="G2848" s="21" t="inlineStr">
        <is>
          <t>R</t>
        </is>
      </c>
      <c r="H2848" s="22" t="n">
        <v>876671</v>
      </c>
      <c r="I2848" s="22" t="n">
        <v>25000000</v>
      </c>
      <c r="J2848" s="21">
        <f>IF(OR(H2848="",H2848=25529689.5),"Yes","No")</f>
        <v/>
      </c>
      <c r="K2848" s="21">
        <f>IF(AND(D2848="USA",C2848&gt;=1980,J2848="No"),"Yes","No")</f>
        <v/>
      </c>
      <c r="L2848" s="26">
        <f>IF(J2848="Yes","",H2848-I2848)</f>
        <v/>
      </c>
      <c r="M2848" s="27">
        <f>IF(OR(J2848="Yes",I2848=0),"",H2848/I2848)</f>
        <v/>
      </c>
      <c r="N2848" s="21">
        <f>IF(J2848="Yes","",IF(H2848&gt;=I2848,1,0))</f>
        <v/>
      </c>
      <c r="O2848" s="21">
        <f>IF(I2848&lt;=5000000,"Under $5M",IF(I2848&lt;=20000000,"$5M-20M",IF(I2848&lt;=50000000,"$20M-50M",IF(I2848&lt;=100000000,"$50M-100M","$100M+"))))</f>
        <v/>
      </c>
      <c r="P2848" s="21">
        <f>IF(E2848&lt;=90,"90 or less",IF(E2848&lt;=105,"91-105",IF(E2848&lt;=120,"106-120",IF(E2848&lt;=140,"121-140","Over 140"))))</f>
        <v/>
      </c>
      <c r="Q2848" s="28">
        <f>INT(C2848/10)*10</f>
        <v/>
      </c>
    </row>
    <row r="2849">
      <c r="A2849" s="21" t="n">
        <v>2910</v>
      </c>
      <c r="B2849" s="21" t="inlineStr">
        <is>
          <t>The Invasion</t>
        </is>
      </c>
      <c r="C2849" s="21" t="n">
        <v>2007</v>
      </c>
      <c r="D2849" s="21" t="inlineStr">
        <is>
          <t>USA</t>
        </is>
      </c>
      <c r="E2849" s="21" t="n">
        <v>99</v>
      </c>
      <c r="F2849" s="21" t="inlineStr">
        <is>
          <t>English</t>
        </is>
      </c>
      <c r="G2849" s="21" t="inlineStr">
        <is>
          <t>PG-13</t>
        </is>
      </c>
      <c r="H2849" s="22" t="n">
        <v>15071514</v>
      </c>
      <c r="I2849" s="22" t="n">
        <v>80000000</v>
      </c>
      <c r="J2849" s="21">
        <f>IF(OR(H2849="",H2849=25529689.5),"Yes","No")</f>
        <v/>
      </c>
      <c r="K2849" s="21">
        <f>IF(AND(D2849="USA",C2849&gt;=1980,J2849="No"),"Yes","No")</f>
        <v/>
      </c>
      <c r="L2849" s="26">
        <f>IF(J2849="Yes","",H2849-I2849)</f>
        <v/>
      </c>
      <c r="M2849" s="27">
        <f>IF(OR(J2849="Yes",I2849=0),"",H2849/I2849)</f>
        <v/>
      </c>
      <c r="N2849" s="21">
        <f>IF(J2849="Yes","",IF(H2849&gt;=I2849,1,0))</f>
        <v/>
      </c>
      <c r="O2849" s="21">
        <f>IF(I2849&lt;=5000000,"Under $5M",IF(I2849&lt;=20000000,"$5M-20M",IF(I2849&lt;=50000000,"$20M-50M",IF(I2849&lt;=100000000,"$50M-100M","$100M+"))))</f>
        <v/>
      </c>
      <c r="P2849" s="21">
        <f>IF(E2849&lt;=90,"90 or less",IF(E2849&lt;=105,"91-105",IF(E2849&lt;=120,"106-120",IF(E2849&lt;=140,"121-140","Over 140"))))</f>
        <v/>
      </c>
      <c r="Q2849" s="28">
        <f>INT(C2849/10)*10</f>
        <v/>
      </c>
    </row>
    <row r="2850">
      <c r="A2850" s="21" t="n">
        <v>2911</v>
      </c>
      <c r="B2850" s="21" t="inlineStr">
        <is>
          <t>The Kingdom</t>
        </is>
      </c>
      <c r="C2850" s="21" t="n">
        <v>2007</v>
      </c>
      <c r="D2850" s="21" t="inlineStr">
        <is>
          <t>USA</t>
        </is>
      </c>
      <c r="E2850" s="21" t="n">
        <v>110</v>
      </c>
      <c r="F2850" s="21" t="inlineStr">
        <is>
          <t>English</t>
        </is>
      </c>
      <c r="G2850" s="21" t="inlineStr">
        <is>
          <t>R</t>
        </is>
      </c>
      <c r="H2850" s="22" t="n">
        <v>47456450</v>
      </c>
      <c r="I2850" s="22" t="n">
        <v>70000000</v>
      </c>
      <c r="J2850" s="21">
        <f>IF(OR(H2850="",H2850=25529689.5),"Yes","No")</f>
        <v/>
      </c>
      <c r="K2850" s="21">
        <f>IF(AND(D2850="USA",C2850&gt;=1980,J2850="No"),"Yes","No")</f>
        <v/>
      </c>
      <c r="L2850" s="26">
        <f>IF(J2850="Yes","",H2850-I2850)</f>
        <v/>
      </c>
      <c r="M2850" s="27">
        <f>IF(OR(J2850="Yes",I2850=0),"",H2850/I2850)</f>
        <v/>
      </c>
      <c r="N2850" s="21">
        <f>IF(J2850="Yes","",IF(H2850&gt;=I2850,1,0))</f>
        <v/>
      </c>
      <c r="O2850" s="21">
        <f>IF(I2850&lt;=5000000,"Under $5M",IF(I2850&lt;=20000000,"$5M-20M",IF(I2850&lt;=50000000,"$20M-50M",IF(I2850&lt;=100000000,"$50M-100M","$100M+"))))</f>
        <v/>
      </c>
      <c r="P2850" s="21">
        <f>IF(E2850&lt;=90,"90 or less",IF(E2850&lt;=105,"91-105",IF(E2850&lt;=120,"106-120",IF(E2850&lt;=140,"121-140","Over 140"))))</f>
        <v/>
      </c>
      <c r="Q2850" s="28">
        <f>INT(C2850/10)*10</f>
        <v/>
      </c>
    </row>
    <row r="2851">
      <c r="A2851" s="21" t="n">
        <v>2912</v>
      </c>
      <c r="B2851" s="21" t="inlineStr">
        <is>
          <t>The Kite Runner</t>
        </is>
      </c>
      <c r="C2851" s="21" t="n">
        <v>2007</v>
      </c>
      <c r="D2851" s="21" t="inlineStr">
        <is>
          <t>USA</t>
        </is>
      </c>
      <c r="E2851" s="21" t="n">
        <v>128</v>
      </c>
      <c r="F2851" s="21" t="inlineStr">
        <is>
          <t>Dari</t>
        </is>
      </c>
      <c r="G2851" s="21" t="inlineStr">
        <is>
          <t>PG-13</t>
        </is>
      </c>
      <c r="H2851" s="22" t="n">
        <v>15797907</v>
      </c>
      <c r="I2851" s="22" t="n">
        <v>20000000</v>
      </c>
      <c r="J2851" s="21">
        <f>IF(OR(H2851="",H2851=25529689.5),"Yes","No")</f>
        <v/>
      </c>
      <c r="K2851" s="21">
        <f>IF(AND(D2851="USA",C2851&gt;=1980,J2851="No"),"Yes","No")</f>
        <v/>
      </c>
      <c r="L2851" s="26">
        <f>IF(J2851="Yes","",H2851-I2851)</f>
        <v/>
      </c>
      <c r="M2851" s="27">
        <f>IF(OR(J2851="Yes",I2851=0),"",H2851/I2851)</f>
        <v/>
      </c>
      <c r="N2851" s="21">
        <f>IF(J2851="Yes","",IF(H2851&gt;=I2851,1,0))</f>
        <v/>
      </c>
      <c r="O2851" s="21">
        <f>IF(I2851&lt;=5000000,"Under $5M",IF(I2851&lt;=20000000,"$5M-20M",IF(I2851&lt;=50000000,"$20M-50M",IF(I2851&lt;=100000000,"$50M-100M","$100M+"))))</f>
        <v/>
      </c>
      <c r="P2851" s="21">
        <f>IF(E2851&lt;=90,"90 or less",IF(E2851&lt;=105,"91-105",IF(E2851&lt;=120,"106-120",IF(E2851&lt;=140,"121-140","Over 140"))))</f>
        <v/>
      </c>
      <c r="Q2851" s="28">
        <f>INT(C2851/10)*10</f>
        <v/>
      </c>
    </row>
    <row r="2852">
      <c r="A2852" s="21" t="n">
        <v>2913</v>
      </c>
      <c r="B2852" s="21" t="inlineStr">
        <is>
          <t>The Last Legion</t>
        </is>
      </c>
      <c r="C2852" s="21" t="n">
        <v>2007</v>
      </c>
      <c r="D2852" s="21" t="inlineStr">
        <is>
          <t>UK</t>
        </is>
      </c>
      <c r="E2852" s="21" t="n">
        <v>102</v>
      </c>
      <c r="F2852" s="21" t="inlineStr">
        <is>
          <t>English</t>
        </is>
      </c>
      <c r="G2852" s="21" t="inlineStr">
        <is>
          <t>PG-13</t>
        </is>
      </c>
      <c r="H2852" s="22" t="n">
        <v>5932060</v>
      </c>
      <c r="I2852" s="22" t="n">
        <v>35000000</v>
      </c>
      <c r="J2852" s="21">
        <f>IF(OR(H2852="",H2852=25529689.5),"Yes","No")</f>
        <v/>
      </c>
      <c r="K2852" s="21">
        <f>IF(AND(D2852="USA",C2852&gt;=1980,J2852="No"),"Yes","No")</f>
        <v/>
      </c>
      <c r="L2852" s="26">
        <f>IF(J2852="Yes","",H2852-I2852)</f>
        <v/>
      </c>
      <c r="M2852" s="27">
        <f>IF(OR(J2852="Yes",I2852=0),"",H2852/I2852)</f>
        <v/>
      </c>
      <c r="N2852" s="21">
        <f>IF(J2852="Yes","",IF(H2852&gt;=I2852,1,0))</f>
        <v/>
      </c>
      <c r="O2852" s="21">
        <f>IF(I2852&lt;=5000000,"Under $5M",IF(I2852&lt;=20000000,"$5M-20M",IF(I2852&lt;=50000000,"$20M-50M",IF(I2852&lt;=100000000,"$50M-100M","$100M+"))))</f>
        <v/>
      </c>
      <c r="P2852" s="21">
        <f>IF(E2852&lt;=90,"90 or less",IF(E2852&lt;=105,"91-105",IF(E2852&lt;=120,"106-120",IF(E2852&lt;=140,"121-140","Over 140"))))</f>
        <v/>
      </c>
      <c r="Q2852" s="28">
        <f>INT(C2852/10)*10</f>
        <v/>
      </c>
    </row>
    <row r="2853">
      <c r="A2853" s="21" t="n">
        <v>2914</v>
      </c>
      <c r="B2853" s="21" t="inlineStr">
        <is>
          <t>The Last Sin Eater</t>
        </is>
      </c>
      <c r="C2853" s="21" t="n">
        <v>2007</v>
      </c>
      <c r="D2853" s="21" t="inlineStr">
        <is>
          <t>USA</t>
        </is>
      </c>
      <c r="E2853" s="21" t="n">
        <v>117</v>
      </c>
      <c r="F2853" s="21" t="inlineStr">
        <is>
          <t>English</t>
        </is>
      </c>
      <c r="G2853" s="21" t="inlineStr">
        <is>
          <t>PG-13</t>
        </is>
      </c>
      <c r="H2853" s="22" t="n">
        <v>379643</v>
      </c>
      <c r="I2853" s="22" t="n">
        <v>2200000</v>
      </c>
      <c r="J2853" s="21">
        <f>IF(OR(H2853="",H2853=25529689.5),"Yes","No")</f>
        <v/>
      </c>
      <c r="K2853" s="21">
        <f>IF(AND(D2853="USA",C2853&gt;=1980,J2853="No"),"Yes","No")</f>
        <v/>
      </c>
      <c r="L2853" s="26">
        <f>IF(J2853="Yes","",H2853-I2853)</f>
        <v/>
      </c>
      <c r="M2853" s="27">
        <f>IF(OR(J2853="Yes",I2853=0),"",H2853/I2853)</f>
        <v/>
      </c>
      <c r="N2853" s="21">
        <f>IF(J2853="Yes","",IF(H2853&gt;=I2853,1,0))</f>
        <v/>
      </c>
      <c r="O2853" s="21">
        <f>IF(I2853&lt;=5000000,"Under $5M",IF(I2853&lt;=20000000,"$5M-20M",IF(I2853&lt;=50000000,"$20M-50M",IF(I2853&lt;=100000000,"$50M-100M","$100M+"))))</f>
        <v/>
      </c>
      <c r="P2853" s="21">
        <f>IF(E2853&lt;=90,"90 or less",IF(E2853&lt;=105,"91-105",IF(E2853&lt;=120,"106-120",IF(E2853&lt;=140,"121-140","Over 140"))))</f>
        <v/>
      </c>
      <c r="Q2853" s="28">
        <f>INT(C2853/10)*10</f>
        <v/>
      </c>
    </row>
    <row r="2854">
      <c r="A2854" s="21" t="n">
        <v>2915</v>
      </c>
      <c r="B2854" s="21" t="inlineStr">
        <is>
          <t>The Legend of God's Gun</t>
        </is>
      </c>
      <c r="C2854" s="21" t="n">
        <v>2007</v>
      </c>
      <c r="D2854" s="21" t="inlineStr">
        <is>
          <t>USA</t>
        </is>
      </c>
      <c r="E2854" s="21" t="n">
        <v>78</v>
      </c>
      <c r="F2854" s="21" t="inlineStr">
        <is>
          <t>English</t>
        </is>
      </c>
      <c r="G2854" s="21" t="inlineStr">
        <is>
          <t>R</t>
        </is>
      </c>
      <c r="H2854" s="22" t="n">
        <v>243768</v>
      </c>
      <c r="I2854" s="22" t="n">
        <v>30000</v>
      </c>
      <c r="J2854" s="21">
        <f>IF(OR(H2854="",H2854=25529689.5),"Yes","No")</f>
        <v/>
      </c>
      <c r="K2854" s="21">
        <f>IF(AND(D2854="USA",C2854&gt;=1980,J2854="No"),"Yes","No")</f>
        <v/>
      </c>
      <c r="L2854" s="26">
        <f>IF(J2854="Yes","",H2854-I2854)</f>
        <v/>
      </c>
      <c r="M2854" s="27">
        <f>IF(OR(J2854="Yes",I2854=0),"",H2854/I2854)</f>
        <v/>
      </c>
      <c r="N2854" s="21">
        <f>IF(J2854="Yes","",IF(H2854&gt;=I2854,1,0))</f>
        <v/>
      </c>
      <c r="O2854" s="21">
        <f>IF(I2854&lt;=5000000,"Under $5M",IF(I2854&lt;=20000000,"$5M-20M",IF(I2854&lt;=50000000,"$20M-50M",IF(I2854&lt;=100000000,"$50M-100M","$100M+"))))</f>
        <v/>
      </c>
      <c r="P2854" s="21">
        <f>IF(E2854&lt;=90,"90 or less",IF(E2854&lt;=105,"91-105",IF(E2854&lt;=120,"106-120",IF(E2854&lt;=140,"121-140","Over 140"))))</f>
        <v/>
      </c>
      <c r="Q2854" s="28">
        <f>INT(C2854/10)*10</f>
        <v/>
      </c>
    </row>
    <row r="2855">
      <c r="A2855" s="21" t="n">
        <v>2916</v>
      </c>
      <c r="B2855" s="21" t="inlineStr">
        <is>
          <t>The Life Before Her Eyes</t>
        </is>
      </c>
      <c r="C2855" s="21" t="n">
        <v>2007</v>
      </c>
      <c r="D2855" s="21" t="inlineStr">
        <is>
          <t>USA</t>
        </is>
      </c>
      <c r="E2855" s="21" t="n">
        <v>90</v>
      </c>
      <c r="F2855" s="21" t="inlineStr">
        <is>
          <t>English</t>
        </is>
      </c>
      <c r="G2855" s="21" t="inlineStr">
        <is>
          <t>R</t>
        </is>
      </c>
      <c r="H2855" s="22" t="n">
        <v>303439</v>
      </c>
      <c r="I2855" s="22" t="n">
        <v>8000000</v>
      </c>
      <c r="J2855" s="21">
        <f>IF(OR(H2855="",H2855=25529689.5),"Yes","No")</f>
        <v/>
      </c>
      <c r="K2855" s="21">
        <f>IF(AND(D2855="USA",C2855&gt;=1980,J2855="No"),"Yes","No")</f>
        <v/>
      </c>
      <c r="L2855" s="26">
        <f>IF(J2855="Yes","",H2855-I2855)</f>
        <v/>
      </c>
      <c r="M2855" s="27">
        <f>IF(OR(J2855="Yes",I2855=0),"",H2855/I2855)</f>
        <v/>
      </c>
      <c r="N2855" s="21">
        <f>IF(J2855="Yes","",IF(H2855&gt;=I2855,1,0))</f>
        <v/>
      </c>
      <c r="O2855" s="21">
        <f>IF(I2855&lt;=5000000,"Under $5M",IF(I2855&lt;=20000000,"$5M-20M",IF(I2855&lt;=50000000,"$20M-50M",IF(I2855&lt;=100000000,"$50M-100M","$100M+"))))</f>
        <v/>
      </c>
      <c r="P2855" s="21">
        <f>IF(E2855&lt;=90,"90 or less",IF(E2855&lt;=105,"91-105",IF(E2855&lt;=120,"106-120",IF(E2855&lt;=140,"121-140","Over 140"))))</f>
        <v/>
      </c>
      <c r="Q2855" s="28">
        <f>INT(C2855/10)*10</f>
        <v/>
      </c>
    </row>
    <row r="2856">
      <c r="A2856" s="21" t="n">
        <v>2917</v>
      </c>
      <c r="B2856" s="21" t="inlineStr">
        <is>
          <t>The Living Wake</t>
        </is>
      </c>
      <c r="C2856" s="21" t="n">
        <v>2007</v>
      </c>
      <c r="D2856" s="21" t="inlineStr">
        <is>
          <t>USA</t>
        </is>
      </c>
      <c r="E2856" s="21" t="n">
        <v>91</v>
      </c>
      <c r="F2856" s="21" t="inlineStr">
        <is>
          <t>English</t>
        </is>
      </c>
      <c r="G2856" s="21" t="inlineStr">
        <is>
          <t>PG-13</t>
        </is>
      </c>
      <c r="H2856" s="22" t="n">
        <v>12055</v>
      </c>
      <c r="I2856" s="22" t="n">
        <v>500000</v>
      </c>
      <c r="J2856" s="21">
        <f>IF(OR(H2856="",H2856=25529689.5),"Yes","No")</f>
        <v/>
      </c>
      <c r="K2856" s="21">
        <f>IF(AND(D2856="USA",C2856&gt;=1980,J2856="No"),"Yes","No")</f>
        <v/>
      </c>
      <c r="L2856" s="26">
        <f>IF(J2856="Yes","",H2856-I2856)</f>
        <v/>
      </c>
      <c r="M2856" s="27">
        <f>IF(OR(J2856="Yes",I2856=0),"",H2856/I2856)</f>
        <v/>
      </c>
      <c r="N2856" s="21">
        <f>IF(J2856="Yes","",IF(H2856&gt;=I2856,1,0))</f>
        <v/>
      </c>
      <c r="O2856" s="21">
        <f>IF(I2856&lt;=5000000,"Under $5M",IF(I2856&lt;=20000000,"$5M-20M",IF(I2856&lt;=50000000,"$20M-50M",IF(I2856&lt;=100000000,"$50M-100M","$100M+"))))</f>
        <v/>
      </c>
      <c r="P2856" s="21">
        <f>IF(E2856&lt;=90,"90 or less",IF(E2856&lt;=105,"91-105",IF(E2856&lt;=120,"106-120",IF(E2856&lt;=140,"121-140","Over 140"))))</f>
        <v/>
      </c>
      <c r="Q2856" s="28">
        <f>INT(C2856/10)*10</f>
        <v/>
      </c>
    </row>
    <row r="2857">
      <c r="A2857" s="21" t="n">
        <v>2918</v>
      </c>
      <c r="B2857" s="21" t="inlineStr">
        <is>
          <t>The Man from Earth</t>
        </is>
      </c>
      <c r="C2857" s="21" t="n">
        <v>2007</v>
      </c>
      <c r="D2857" s="21" t="inlineStr">
        <is>
          <t>USA</t>
        </is>
      </c>
      <c r="E2857" s="21" t="n">
        <v>87</v>
      </c>
      <c r="F2857" s="21" t="inlineStr">
        <is>
          <t>English</t>
        </is>
      </c>
      <c r="G2857" s="21" t="inlineStr">
        <is>
          <t>Not Rated</t>
        </is>
      </c>
      <c r="H2857" s="22" t="n">
        <v>25529689.5</v>
      </c>
      <c r="I2857" s="22" t="n">
        <v>200000</v>
      </c>
      <c r="J2857" s="21">
        <f>IF(OR(H2857="",H2857=25529689.5),"Yes","No")</f>
        <v/>
      </c>
      <c r="K2857" s="21">
        <f>IF(AND(D2857="USA",C2857&gt;=1980,J2857="No"),"Yes","No")</f>
        <v/>
      </c>
      <c r="L2857" s="26">
        <f>IF(J2857="Yes","",H2857-I2857)</f>
        <v/>
      </c>
      <c r="M2857" s="27">
        <f>IF(OR(J2857="Yes",I2857=0),"",H2857/I2857)</f>
        <v/>
      </c>
      <c r="N2857" s="21">
        <f>IF(J2857="Yes","",IF(H2857&gt;=I2857,1,0))</f>
        <v/>
      </c>
      <c r="O2857" s="21">
        <f>IF(I2857&lt;=5000000,"Under $5M",IF(I2857&lt;=20000000,"$5M-20M",IF(I2857&lt;=50000000,"$20M-50M",IF(I2857&lt;=100000000,"$50M-100M","$100M+"))))</f>
        <v/>
      </c>
      <c r="P2857" s="21">
        <f>IF(E2857&lt;=90,"90 or less",IF(E2857&lt;=105,"91-105",IF(E2857&lt;=120,"106-120",IF(E2857&lt;=140,"121-140","Over 140"))))</f>
        <v/>
      </c>
      <c r="Q2857" s="28">
        <f>INT(C2857/10)*10</f>
        <v/>
      </c>
    </row>
    <row r="2858">
      <c r="A2858" s="21" t="n">
        <v>2919</v>
      </c>
      <c r="B2858" s="21" t="inlineStr">
        <is>
          <t>The Mist</t>
        </is>
      </c>
      <c r="C2858" s="21" t="n">
        <v>2007</v>
      </c>
      <c r="D2858" s="21" t="inlineStr">
        <is>
          <t>USA</t>
        </is>
      </c>
      <c r="E2858" s="21" t="n">
        <v>126</v>
      </c>
      <c r="F2858" s="21" t="inlineStr">
        <is>
          <t>English</t>
        </is>
      </c>
      <c r="G2858" s="21" t="inlineStr">
        <is>
          <t>R</t>
        </is>
      </c>
      <c r="H2858" s="22" t="n">
        <v>25592632</v>
      </c>
      <c r="I2858" s="22" t="n">
        <v>18000000</v>
      </c>
      <c r="J2858" s="21">
        <f>IF(OR(H2858="",H2858=25529689.5),"Yes","No")</f>
        <v/>
      </c>
      <c r="K2858" s="21">
        <f>IF(AND(D2858="USA",C2858&gt;=1980,J2858="No"),"Yes","No")</f>
        <v/>
      </c>
      <c r="L2858" s="26">
        <f>IF(J2858="Yes","",H2858-I2858)</f>
        <v/>
      </c>
      <c r="M2858" s="27">
        <f>IF(OR(J2858="Yes",I2858=0),"",H2858/I2858)</f>
        <v/>
      </c>
      <c r="N2858" s="21">
        <f>IF(J2858="Yes","",IF(H2858&gt;=I2858,1,0))</f>
        <v/>
      </c>
      <c r="O2858" s="21">
        <f>IF(I2858&lt;=5000000,"Under $5M",IF(I2858&lt;=20000000,"$5M-20M",IF(I2858&lt;=50000000,"$20M-50M",IF(I2858&lt;=100000000,"$50M-100M","$100M+"))))</f>
        <v/>
      </c>
      <c r="P2858" s="21">
        <f>IF(E2858&lt;=90,"90 or less",IF(E2858&lt;=105,"91-105",IF(E2858&lt;=120,"106-120",IF(E2858&lt;=140,"121-140","Over 140"))))</f>
        <v/>
      </c>
      <c r="Q2858" s="28">
        <f>INT(C2858/10)*10</f>
        <v/>
      </c>
    </row>
    <row r="2859">
      <c r="A2859" s="21" t="n">
        <v>2920</v>
      </c>
      <c r="B2859" s="21" t="inlineStr">
        <is>
          <t>The Number 23</t>
        </is>
      </c>
      <c r="C2859" s="21" t="n">
        <v>2007</v>
      </c>
      <c r="D2859" s="21" t="inlineStr">
        <is>
          <t>USA</t>
        </is>
      </c>
      <c r="E2859" s="21" t="n">
        <v>98</v>
      </c>
      <c r="F2859" s="21" t="inlineStr">
        <is>
          <t>English</t>
        </is>
      </c>
      <c r="G2859" s="21" t="inlineStr">
        <is>
          <t>R</t>
        </is>
      </c>
      <c r="H2859" s="22" t="n">
        <v>35063732</v>
      </c>
      <c r="I2859" s="22" t="n">
        <v>32000000</v>
      </c>
      <c r="J2859" s="21">
        <f>IF(OR(H2859="",H2859=25529689.5),"Yes","No")</f>
        <v/>
      </c>
      <c r="K2859" s="21">
        <f>IF(AND(D2859="USA",C2859&gt;=1980,J2859="No"),"Yes","No")</f>
        <v/>
      </c>
      <c r="L2859" s="26">
        <f>IF(J2859="Yes","",H2859-I2859)</f>
        <v/>
      </c>
      <c r="M2859" s="27">
        <f>IF(OR(J2859="Yes",I2859=0),"",H2859/I2859)</f>
        <v/>
      </c>
      <c r="N2859" s="21">
        <f>IF(J2859="Yes","",IF(H2859&gt;=I2859,1,0))</f>
        <v/>
      </c>
      <c r="O2859" s="21">
        <f>IF(I2859&lt;=5000000,"Under $5M",IF(I2859&lt;=20000000,"$5M-20M",IF(I2859&lt;=50000000,"$20M-50M",IF(I2859&lt;=100000000,"$50M-100M","$100M+"))))</f>
        <v/>
      </c>
      <c r="P2859" s="21">
        <f>IF(E2859&lt;=90,"90 or less",IF(E2859&lt;=105,"91-105",IF(E2859&lt;=120,"106-120",IF(E2859&lt;=140,"121-140","Over 140"))))</f>
        <v/>
      </c>
      <c r="Q2859" s="28">
        <f>INT(C2859/10)*10</f>
        <v/>
      </c>
    </row>
    <row r="2860">
      <c r="A2860" s="21" t="n">
        <v>2921</v>
      </c>
      <c r="B2860" s="21" t="inlineStr">
        <is>
          <t>The Orphanage</t>
        </is>
      </c>
      <c r="C2860" s="21" t="n">
        <v>2007</v>
      </c>
      <c r="D2860" s="21" t="inlineStr">
        <is>
          <t>Spain</t>
        </is>
      </c>
      <c r="E2860" s="21" t="n">
        <v>105</v>
      </c>
      <c r="F2860" s="21" t="inlineStr">
        <is>
          <t>Spanish</t>
        </is>
      </c>
      <c r="G2860" s="21" t="inlineStr">
        <is>
          <t>R</t>
        </is>
      </c>
      <c r="H2860" s="22" t="n">
        <v>7159147</v>
      </c>
      <c r="I2860" s="22" t="n">
        <v>3400000</v>
      </c>
      <c r="J2860" s="21">
        <f>IF(OR(H2860="",H2860=25529689.5),"Yes","No")</f>
        <v/>
      </c>
      <c r="K2860" s="21">
        <f>IF(AND(D2860="USA",C2860&gt;=1980,J2860="No"),"Yes","No")</f>
        <v/>
      </c>
      <c r="L2860" s="26">
        <f>IF(J2860="Yes","",H2860-I2860)</f>
        <v/>
      </c>
      <c r="M2860" s="27">
        <f>IF(OR(J2860="Yes",I2860=0),"",H2860/I2860)</f>
        <v/>
      </c>
      <c r="N2860" s="21">
        <f>IF(J2860="Yes","",IF(H2860&gt;=I2860,1,0))</f>
        <v/>
      </c>
      <c r="O2860" s="21">
        <f>IF(I2860&lt;=5000000,"Under $5M",IF(I2860&lt;=20000000,"$5M-20M",IF(I2860&lt;=50000000,"$20M-50M",IF(I2860&lt;=100000000,"$50M-100M","$100M+"))))</f>
        <v/>
      </c>
      <c r="P2860" s="21">
        <f>IF(E2860&lt;=90,"90 or less",IF(E2860&lt;=105,"91-105",IF(E2860&lt;=120,"106-120",IF(E2860&lt;=140,"121-140","Over 140"))))</f>
        <v/>
      </c>
      <c r="Q2860" s="28">
        <f>INT(C2860/10)*10</f>
        <v/>
      </c>
    </row>
    <row r="2861">
      <c r="A2861" s="21" t="n">
        <v>2922</v>
      </c>
      <c r="B2861" s="21" t="inlineStr">
        <is>
          <t>The Reaping</t>
        </is>
      </c>
      <c r="C2861" s="21" t="n">
        <v>2007</v>
      </c>
      <c r="D2861" s="21" t="inlineStr">
        <is>
          <t>USA</t>
        </is>
      </c>
      <c r="E2861" s="21" t="n">
        <v>99</v>
      </c>
      <c r="F2861" s="21" t="inlineStr">
        <is>
          <t>English</t>
        </is>
      </c>
      <c r="G2861" s="21" t="inlineStr">
        <is>
          <t>R</t>
        </is>
      </c>
      <c r="H2861" s="22" t="n">
        <v>25117498</v>
      </c>
      <c r="I2861" s="22" t="n">
        <v>40000000</v>
      </c>
      <c r="J2861" s="21">
        <f>IF(OR(H2861="",H2861=25529689.5),"Yes","No")</f>
        <v/>
      </c>
      <c r="K2861" s="21">
        <f>IF(AND(D2861="USA",C2861&gt;=1980,J2861="No"),"Yes","No")</f>
        <v/>
      </c>
      <c r="L2861" s="26">
        <f>IF(J2861="Yes","",H2861-I2861)</f>
        <v/>
      </c>
      <c r="M2861" s="27">
        <f>IF(OR(J2861="Yes",I2861=0),"",H2861/I2861)</f>
        <v/>
      </c>
      <c r="N2861" s="21">
        <f>IF(J2861="Yes","",IF(H2861&gt;=I2861,1,0))</f>
        <v/>
      </c>
      <c r="O2861" s="21">
        <f>IF(I2861&lt;=5000000,"Under $5M",IF(I2861&lt;=20000000,"$5M-20M",IF(I2861&lt;=50000000,"$20M-50M",IF(I2861&lt;=100000000,"$50M-100M","$100M+"))))</f>
        <v/>
      </c>
      <c r="P2861" s="21">
        <f>IF(E2861&lt;=90,"90 or less",IF(E2861&lt;=105,"91-105",IF(E2861&lt;=120,"106-120",IF(E2861&lt;=140,"121-140","Over 140"))))</f>
        <v/>
      </c>
      <c r="Q2861" s="28">
        <f>INT(C2861/10)*10</f>
        <v/>
      </c>
    </row>
    <row r="2862">
      <c r="A2862" s="21" t="n">
        <v>2923</v>
      </c>
      <c r="B2862" s="21" t="inlineStr">
        <is>
          <t>The Savages</t>
        </is>
      </c>
      <c r="C2862" s="21" t="n">
        <v>2007</v>
      </c>
      <c r="D2862" s="21" t="inlineStr">
        <is>
          <t>USA</t>
        </is>
      </c>
      <c r="E2862" s="21" t="n">
        <v>114</v>
      </c>
      <c r="F2862" s="21" t="inlineStr">
        <is>
          <t>English</t>
        </is>
      </c>
      <c r="G2862" s="21" t="inlineStr">
        <is>
          <t>R</t>
        </is>
      </c>
      <c r="H2862" s="22" t="n">
        <v>6610326</v>
      </c>
      <c r="I2862" s="22" t="n">
        <v>20000000</v>
      </c>
      <c r="J2862" s="21">
        <f>IF(OR(H2862="",H2862=25529689.5),"Yes","No")</f>
        <v/>
      </c>
      <c r="K2862" s="21">
        <f>IF(AND(D2862="USA",C2862&gt;=1980,J2862="No"),"Yes","No")</f>
        <v/>
      </c>
      <c r="L2862" s="26">
        <f>IF(J2862="Yes","",H2862-I2862)</f>
        <v/>
      </c>
      <c r="M2862" s="27">
        <f>IF(OR(J2862="Yes",I2862=0),"",H2862/I2862)</f>
        <v/>
      </c>
      <c r="N2862" s="21">
        <f>IF(J2862="Yes","",IF(H2862&gt;=I2862,1,0))</f>
        <v/>
      </c>
      <c r="O2862" s="21">
        <f>IF(I2862&lt;=5000000,"Under $5M",IF(I2862&lt;=20000000,"$5M-20M",IF(I2862&lt;=50000000,"$20M-50M",IF(I2862&lt;=100000000,"$50M-100M","$100M+"))))</f>
        <v/>
      </c>
      <c r="P2862" s="21">
        <f>IF(E2862&lt;=90,"90 or less",IF(E2862&lt;=105,"91-105",IF(E2862&lt;=120,"106-120",IF(E2862&lt;=140,"121-140","Over 140"))))</f>
        <v/>
      </c>
      <c r="Q2862" s="28">
        <f>INT(C2862/10)*10</f>
        <v/>
      </c>
    </row>
    <row r="2863">
      <c r="A2863" s="21" t="n">
        <v>2924</v>
      </c>
      <c r="B2863" s="21" t="inlineStr">
        <is>
          <t>The Simpsons Movie</t>
        </is>
      </c>
      <c r="C2863" s="21" t="n">
        <v>2007</v>
      </c>
      <c r="D2863" s="21" t="inlineStr">
        <is>
          <t>USA</t>
        </is>
      </c>
      <c r="E2863" s="21" t="n">
        <v>87</v>
      </c>
      <c r="F2863" s="21" t="inlineStr">
        <is>
          <t>English</t>
        </is>
      </c>
      <c r="G2863" s="21" t="inlineStr">
        <is>
          <t>PG-13</t>
        </is>
      </c>
      <c r="H2863" s="22" t="n">
        <v>183132370</v>
      </c>
      <c r="I2863" s="22" t="n">
        <v>75000000</v>
      </c>
      <c r="J2863" s="21">
        <f>IF(OR(H2863="",H2863=25529689.5),"Yes","No")</f>
        <v/>
      </c>
      <c r="K2863" s="21">
        <f>IF(AND(D2863="USA",C2863&gt;=1980,J2863="No"),"Yes","No")</f>
        <v/>
      </c>
      <c r="L2863" s="26">
        <f>IF(J2863="Yes","",H2863-I2863)</f>
        <v/>
      </c>
      <c r="M2863" s="27">
        <f>IF(OR(J2863="Yes",I2863=0),"",H2863/I2863)</f>
        <v/>
      </c>
      <c r="N2863" s="21">
        <f>IF(J2863="Yes","",IF(H2863&gt;=I2863,1,0))</f>
        <v/>
      </c>
      <c r="O2863" s="21">
        <f>IF(I2863&lt;=5000000,"Under $5M",IF(I2863&lt;=20000000,"$5M-20M",IF(I2863&lt;=50000000,"$20M-50M",IF(I2863&lt;=100000000,"$50M-100M","$100M+"))))</f>
        <v/>
      </c>
      <c r="P2863" s="21">
        <f>IF(E2863&lt;=90,"90 or less",IF(E2863&lt;=105,"91-105",IF(E2863&lt;=120,"106-120",IF(E2863&lt;=140,"121-140","Over 140"))))</f>
        <v/>
      </c>
      <c r="Q2863" s="28">
        <f>INT(C2863/10)*10</f>
        <v/>
      </c>
    </row>
    <row r="2864">
      <c r="A2864" s="21" t="n">
        <v>2925</v>
      </c>
      <c r="B2864" s="21" t="inlineStr">
        <is>
          <t>The Ten</t>
        </is>
      </c>
      <c r="C2864" s="21" t="n">
        <v>2007</v>
      </c>
      <c r="D2864" s="21" t="inlineStr">
        <is>
          <t>USA</t>
        </is>
      </c>
      <c r="E2864" s="21" t="n">
        <v>96</v>
      </c>
      <c r="F2864" s="21" t="inlineStr">
        <is>
          <t>English</t>
        </is>
      </c>
      <c r="G2864" s="21" t="inlineStr">
        <is>
          <t>R</t>
        </is>
      </c>
      <c r="H2864" s="22" t="n">
        <v>766487</v>
      </c>
      <c r="I2864" s="22" t="n">
        <v>5250000</v>
      </c>
      <c r="J2864" s="21">
        <f>IF(OR(H2864="",H2864=25529689.5),"Yes","No")</f>
        <v/>
      </c>
      <c r="K2864" s="21">
        <f>IF(AND(D2864="USA",C2864&gt;=1980,J2864="No"),"Yes","No")</f>
        <v/>
      </c>
      <c r="L2864" s="26">
        <f>IF(J2864="Yes","",H2864-I2864)</f>
        <v/>
      </c>
      <c r="M2864" s="27">
        <f>IF(OR(J2864="Yes",I2864=0),"",H2864/I2864)</f>
        <v/>
      </c>
      <c r="N2864" s="21">
        <f>IF(J2864="Yes","",IF(H2864&gt;=I2864,1,0))</f>
        <v/>
      </c>
      <c r="O2864" s="21">
        <f>IF(I2864&lt;=5000000,"Under $5M",IF(I2864&lt;=20000000,"$5M-20M",IF(I2864&lt;=50000000,"$20M-50M",IF(I2864&lt;=100000000,"$50M-100M","$100M+"))))</f>
        <v/>
      </c>
      <c r="P2864" s="21">
        <f>IF(E2864&lt;=90,"90 or less",IF(E2864&lt;=105,"91-105",IF(E2864&lt;=120,"106-120",IF(E2864&lt;=140,"121-140","Over 140"))))</f>
        <v/>
      </c>
      <c r="Q2864" s="28">
        <f>INT(C2864/10)*10</f>
        <v/>
      </c>
    </row>
    <row r="2865">
      <c r="A2865" s="21" t="n">
        <v>2926</v>
      </c>
      <c r="B2865" s="21" t="inlineStr">
        <is>
          <t>The Touch</t>
        </is>
      </c>
      <c r="C2865" s="21" t="n">
        <v>2007</v>
      </c>
      <c r="D2865" s="21" t="inlineStr">
        <is>
          <t>USA</t>
        </is>
      </c>
      <c r="E2865" s="21" t="n">
        <v>7</v>
      </c>
      <c r="F2865" s="21" t="inlineStr">
        <is>
          <t>English</t>
        </is>
      </c>
      <c r="G2865" s="21" t="n"/>
      <c r="H2865" s="22" t="n">
        <v>25529689.5</v>
      </c>
      <c r="I2865" s="22" t="n">
        <v>13000</v>
      </c>
      <c r="J2865" s="21">
        <f>IF(OR(H2865="",H2865=25529689.5),"Yes","No")</f>
        <v/>
      </c>
      <c r="K2865" s="21">
        <f>IF(AND(D2865="USA",C2865&gt;=1980,J2865="No"),"Yes","No")</f>
        <v/>
      </c>
      <c r="L2865" s="26">
        <f>IF(J2865="Yes","",H2865-I2865)</f>
        <v/>
      </c>
      <c r="M2865" s="27">
        <f>IF(OR(J2865="Yes",I2865=0),"",H2865/I2865)</f>
        <v/>
      </c>
      <c r="N2865" s="21">
        <f>IF(J2865="Yes","",IF(H2865&gt;=I2865,1,0))</f>
        <v/>
      </c>
      <c r="O2865" s="21">
        <f>IF(I2865&lt;=5000000,"Under $5M",IF(I2865&lt;=20000000,"$5M-20M",IF(I2865&lt;=50000000,"$20M-50M",IF(I2865&lt;=100000000,"$50M-100M","$100M+"))))</f>
        <v/>
      </c>
      <c r="P2865" s="21">
        <f>IF(E2865&lt;=90,"90 or less",IF(E2865&lt;=105,"91-105",IF(E2865&lt;=120,"106-120",IF(E2865&lt;=140,"121-140","Over 140"))))</f>
        <v/>
      </c>
      <c r="Q2865" s="28">
        <f>INT(C2865/10)*10</f>
        <v/>
      </c>
    </row>
    <row r="2866">
      <c r="A2866" s="21" t="n">
        <v>2927</v>
      </c>
      <c r="B2866" s="21" t="inlineStr">
        <is>
          <t>The Warlords</t>
        </is>
      </c>
      <c r="C2866" s="21" t="n">
        <v>2007</v>
      </c>
      <c r="D2866" s="21" t="inlineStr">
        <is>
          <t>Hong Kong</t>
        </is>
      </c>
      <c r="E2866" s="21" t="n">
        <v>113</v>
      </c>
      <c r="F2866" s="21" t="inlineStr">
        <is>
          <t>Mandarin</t>
        </is>
      </c>
      <c r="G2866" s="21" t="inlineStr">
        <is>
          <t>R</t>
        </is>
      </c>
      <c r="H2866" s="22" t="n">
        <v>128978</v>
      </c>
      <c r="I2866" s="22" t="n">
        <v>40000000</v>
      </c>
      <c r="J2866" s="21">
        <f>IF(OR(H2866="",H2866=25529689.5),"Yes","No")</f>
        <v/>
      </c>
      <c r="K2866" s="21">
        <f>IF(AND(D2866="USA",C2866&gt;=1980,J2866="No"),"Yes","No")</f>
        <v/>
      </c>
      <c r="L2866" s="26">
        <f>IF(J2866="Yes","",H2866-I2866)</f>
        <v/>
      </c>
      <c r="M2866" s="27">
        <f>IF(OR(J2866="Yes",I2866=0),"",H2866/I2866)</f>
        <v/>
      </c>
      <c r="N2866" s="21">
        <f>IF(J2866="Yes","",IF(H2866&gt;=I2866,1,0))</f>
        <v/>
      </c>
      <c r="O2866" s="21">
        <f>IF(I2866&lt;=5000000,"Under $5M",IF(I2866&lt;=20000000,"$5M-20M",IF(I2866&lt;=50000000,"$20M-50M",IF(I2866&lt;=100000000,"$50M-100M","$100M+"))))</f>
        <v/>
      </c>
      <c r="P2866" s="21">
        <f>IF(E2866&lt;=90,"90 or less",IF(E2866&lt;=105,"91-105",IF(E2866&lt;=120,"106-120",IF(E2866&lt;=140,"121-140","Over 140"))))</f>
        <v/>
      </c>
      <c r="Q2866" s="28">
        <f>INT(C2866/10)*10</f>
        <v/>
      </c>
    </row>
    <row r="2867">
      <c r="A2867" s="21" t="n">
        <v>2928</v>
      </c>
      <c r="B2867" s="21" t="inlineStr">
        <is>
          <t>There Will Be Blood</t>
        </is>
      </c>
      <c r="C2867" s="21" t="n">
        <v>2007</v>
      </c>
      <c r="D2867" s="21" t="inlineStr">
        <is>
          <t>USA</t>
        </is>
      </c>
      <c r="E2867" s="21" t="n">
        <v>158</v>
      </c>
      <c r="F2867" s="21" t="inlineStr">
        <is>
          <t>English</t>
        </is>
      </c>
      <c r="G2867" s="21" t="inlineStr">
        <is>
          <t>R</t>
        </is>
      </c>
      <c r="H2867" s="22" t="n">
        <v>40218903</v>
      </c>
      <c r="I2867" s="22" t="n">
        <v>25000000</v>
      </c>
      <c r="J2867" s="21">
        <f>IF(OR(H2867="",H2867=25529689.5),"Yes","No")</f>
        <v/>
      </c>
      <c r="K2867" s="21">
        <f>IF(AND(D2867="USA",C2867&gt;=1980,J2867="No"),"Yes","No")</f>
        <v/>
      </c>
      <c r="L2867" s="26">
        <f>IF(J2867="Yes","",H2867-I2867)</f>
        <v/>
      </c>
      <c r="M2867" s="27">
        <f>IF(OR(J2867="Yes",I2867=0),"",H2867/I2867)</f>
        <v/>
      </c>
      <c r="N2867" s="21">
        <f>IF(J2867="Yes","",IF(H2867&gt;=I2867,1,0))</f>
        <v/>
      </c>
      <c r="O2867" s="21">
        <f>IF(I2867&lt;=5000000,"Under $5M",IF(I2867&lt;=20000000,"$5M-20M",IF(I2867&lt;=50000000,"$20M-50M",IF(I2867&lt;=100000000,"$50M-100M","$100M+"))))</f>
        <v/>
      </c>
      <c r="P2867" s="21">
        <f>IF(E2867&lt;=90,"90 or less",IF(E2867&lt;=105,"91-105",IF(E2867&lt;=120,"106-120",IF(E2867&lt;=140,"121-140","Over 140"))))</f>
        <v/>
      </c>
      <c r="Q2867" s="28">
        <f>INT(C2867/10)*10</f>
        <v/>
      </c>
    </row>
    <row r="2868">
      <c r="A2868" s="21" t="n">
        <v>2929</v>
      </c>
      <c r="B2868" s="21" t="inlineStr">
        <is>
          <t>Things We Lost in the Fire</t>
        </is>
      </c>
      <c r="C2868" s="21" t="n">
        <v>2007</v>
      </c>
      <c r="D2868" s="21" t="inlineStr">
        <is>
          <t>USA</t>
        </is>
      </c>
      <c r="E2868" s="21" t="n">
        <v>118</v>
      </c>
      <c r="F2868" s="21" t="inlineStr">
        <is>
          <t>English</t>
        </is>
      </c>
      <c r="G2868" s="21" t="inlineStr">
        <is>
          <t>R</t>
        </is>
      </c>
      <c r="H2868" s="22" t="n">
        <v>2849142</v>
      </c>
      <c r="I2868" s="22" t="n">
        <v>16000000</v>
      </c>
      <c r="J2868" s="21">
        <f>IF(OR(H2868="",H2868=25529689.5),"Yes","No")</f>
        <v/>
      </c>
      <c r="K2868" s="21">
        <f>IF(AND(D2868="USA",C2868&gt;=1980,J2868="No"),"Yes","No")</f>
        <v/>
      </c>
      <c r="L2868" s="26">
        <f>IF(J2868="Yes","",H2868-I2868)</f>
        <v/>
      </c>
      <c r="M2868" s="27">
        <f>IF(OR(J2868="Yes",I2868=0),"",H2868/I2868)</f>
        <v/>
      </c>
      <c r="N2868" s="21">
        <f>IF(J2868="Yes","",IF(H2868&gt;=I2868,1,0))</f>
        <v/>
      </c>
      <c r="O2868" s="21">
        <f>IF(I2868&lt;=5000000,"Under $5M",IF(I2868&lt;=20000000,"$5M-20M",IF(I2868&lt;=50000000,"$20M-50M",IF(I2868&lt;=100000000,"$50M-100M","$100M+"))))</f>
        <v/>
      </c>
      <c r="P2868" s="21">
        <f>IF(E2868&lt;=90,"90 or less",IF(E2868&lt;=105,"91-105",IF(E2868&lt;=120,"106-120",IF(E2868&lt;=140,"121-140","Over 140"))))</f>
        <v/>
      </c>
      <c r="Q2868" s="28">
        <f>INT(C2868/10)*10</f>
        <v/>
      </c>
    </row>
    <row r="2869">
      <c r="A2869" s="21" t="n">
        <v>2930</v>
      </c>
      <c r="B2869" s="21" t="inlineStr">
        <is>
          <t>This Christmas</t>
        </is>
      </c>
      <c r="C2869" s="21" t="n">
        <v>2007</v>
      </c>
      <c r="D2869" s="21" t="inlineStr">
        <is>
          <t>USA</t>
        </is>
      </c>
      <c r="E2869" s="21" t="n">
        <v>117</v>
      </c>
      <c r="F2869" s="21" t="inlineStr">
        <is>
          <t>English</t>
        </is>
      </c>
      <c r="G2869" s="21" t="inlineStr">
        <is>
          <t>PG-13</t>
        </is>
      </c>
      <c r="H2869" s="22" t="n">
        <v>49121934</v>
      </c>
      <c r="I2869" s="22" t="n">
        <v>13000000</v>
      </c>
      <c r="J2869" s="21">
        <f>IF(OR(H2869="",H2869=25529689.5),"Yes","No")</f>
        <v/>
      </c>
      <c r="K2869" s="21">
        <f>IF(AND(D2869="USA",C2869&gt;=1980,J2869="No"),"Yes","No")</f>
        <v/>
      </c>
      <c r="L2869" s="26">
        <f>IF(J2869="Yes","",H2869-I2869)</f>
        <v/>
      </c>
      <c r="M2869" s="27">
        <f>IF(OR(J2869="Yes",I2869=0),"",H2869/I2869)</f>
        <v/>
      </c>
      <c r="N2869" s="21">
        <f>IF(J2869="Yes","",IF(H2869&gt;=I2869,1,0))</f>
        <v/>
      </c>
      <c r="O2869" s="21">
        <f>IF(I2869&lt;=5000000,"Under $5M",IF(I2869&lt;=20000000,"$5M-20M",IF(I2869&lt;=50000000,"$20M-50M",IF(I2869&lt;=100000000,"$50M-100M","$100M+"))))</f>
        <v/>
      </c>
      <c r="P2869" s="21">
        <f>IF(E2869&lt;=90,"90 or less",IF(E2869&lt;=105,"91-105",IF(E2869&lt;=120,"106-120",IF(E2869&lt;=140,"121-140","Over 140"))))</f>
        <v/>
      </c>
      <c r="Q2869" s="28">
        <f>INT(C2869/10)*10</f>
        <v/>
      </c>
    </row>
    <row r="2870">
      <c r="A2870" s="21" t="n">
        <v>2931</v>
      </c>
      <c r="B2870" s="21" t="inlineStr">
        <is>
          <t>Timber Falls</t>
        </is>
      </c>
      <c r="C2870" s="21" t="n">
        <v>2007</v>
      </c>
      <c r="D2870" s="21" t="inlineStr">
        <is>
          <t>USA</t>
        </is>
      </c>
      <c r="E2870" s="21" t="n">
        <v>100</v>
      </c>
      <c r="F2870" s="21" t="inlineStr">
        <is>
          <t>English</t>
        </is>
      </c>
      <c r="G2870" s="21" t="inlineStr">
        <is>
          <t>R</t>
        </is>
      </c>
      <c r="H2870" s="22" t="n">
        <v>25529689.5</v>
      </c>
      <c r="I2870" s="22" t="n">
        <v>2600000</v>
      </c>
      <c r="J2870" s="21">
        <f>IF(OR(H2870="",H2870=25529689.5),"Yes","No")</f>
        <v/>
      </c>
      <c r="K2870" s="21">
        <f>IF(AND(D2870="USA",C2870&gt;=1980,J2870="No"),"Yes","No")</f>
        <v/>
      </c>
      <c r="L2870" s="26">
        <f>IF(J2870="Yes","",H2870-I2870)</f>
        <v/>
      </c>
      <c r="M2870" s="27">
        <f>IF(OR(J2870="Yes",I2870=0),"",H2870/I2870)</f>
        <v/>
      </c>
      <c r="N2870" s="21">
        <f>IF(J2870="Yes","",IF(H2870&gt;=I2870,1,0))</f>
        <v/>
      </c>
      <c r="O2870" s="21">
        <f>IF(I2870&lt;=5000000,"Under $5M",IF(I2870&lt;=20000000,"$5M-20M",IF(I2870&lt;=50000000,"$20M-50M",IF(I2870&lt;=100000000,"$50M-100M","$100M+"))))</f>
        <v/>
      </c>
      <c r="P2870" s="21">
        <f>IF(E2870&lt;=90,"90 or less",IF(E2870&lt;=105,"91-105",IF(E2870&lt;=120,"106-120",IF(E2870&lt;=140,"121-140","Over 140"))))</f>
        <v/>
      </c>
      <c r="Q2870" s="28">
        <f>INT(C2870/10)*10</f>
        <v/>
      </c>
    </row>
    <row r="2871">
      <c r="A2871" s="21" t="n">
        <v>2932</v>
      </c>
      <c r="B2871" s="21" t="inlineStr">
        <is>
          <t>Timecrimes</t>
        </is>
      </c>
      <c r="C2871" s="21" t="n">
        <v>2007</v>
      </c>
      <c r="D2871" s="21" t="inlineStr">
        <is>
          <t>Spain</t>
        </is>
      </c>
      <c r="E2871" s="21" t="n">
        <v>66</v>
      </c>
      <c r="F2871" s="21" t="inlineStr">
        <is>
          <t>Spanish</t>
        </is>
      </c>
      <c r="G2871" s="21" t="inlineStr">
        <is>
          <t>R</t>
        </is>
      </c>
      <c r="H2871" s="22" t="n">
        <v>38108</v>
      </c>
      <c r="I2871" s="22" t="n">
        <v>2600000</v>
      </c>
      <c r="J2871" s="21">
        <f>IF(OR(H2871="",H2871=25529689.5),"Yes","No")</f>
        <v/>
      </c>
      <c r="K2871" s="21">
        <f>IF(AND(D2871="USA",C2871&gt;=1980,J2871="No"),"Yes","No")</f>
        <v/>
      </c>
      <c r="L2871" s="26">
        <f>IF(J2871="Yes","",H2871-I2871)</f>
        <v/>
      </c>
      <c r="M2871" s="27">
        <f>IF(OR(J2871="Yes",I2871=0),"",H2871/I2871)</f>
        <v/>
      </c>
      <c r="N2871" s="21">
        <f>IF(J2871="Yes","",IF(H2871&gt;=I2871,1,0))</f>
        <v/>
      </c>
      <c r="O2871" s="21">
        <f>IF(I2871&lt;=5000000,"Under $5M",IF(I2871&lt;=20000000,"$5M-20M",IF(I2871&lt;=50000000,"$20M-50M",IF(I2871&lt;=100000000,"$50M-100M","$100M+"))))</f>
        <v/>
      </c>
      <c r="P2871" s="21">
        <f>IF(E2871&lt;=90,"90 or less",IF(E2871&lt;=105,"91-105",IF(E2871&lt;=120,"106-120",IF(E2871&lt;=140,"121-140","Over 140"))))</f>
        <v/>
      </c>
      <c r="Q2871" s="28">
        <f>INT(C2871/10)*10</f>
        <v/>
      </c>
    </row>
    <row r="2872">
      <c r="A2872" s="21" t="n">
        <v>2933</v>
      </c>
      <c r="B2872" s="21" t="inlineStr">
        <is>
          <t>Tin Can Man</t>
        </is>
      </c>
      <c r="C2872" s="21" t="n">
        <v>2007</v>
      </c>
      <c r="D2872" s="21" t="inlineStr">
        <is>
          <t>Ireland</t>
        </is>
      </c>
      <c r="E2872" s="21" t="n">
        <v>83</v>
      </c>
      <c r="F2872" s="21" t="inlineStr">
        <is>
          <t>English</t>
        </is>
      </c>
      <c r="G2872" s="21" t="n"/>
      <c r="H2872" s="22" t="n">
        <v>25529689.5</v>
      </c>
      <c r="I2872" s="22" t="n">
        <v>10000</v>
      </c>
      <c r="J2872" s="21">
        <f>IF(OR(H2872="",H2872=25529689.5),"Yes","No")</f>
        <v/>
      </c>
      <c r="K2872" s="21">
        <f>IF(AND(D2872="USA",C2872&gt;=1980,J2872="No"),"Yes","No")</f>
        <v/>
      </c>
      <c r="L2872" s="26">
        <f>IF(J2872="Yes","",H2872-I2872)</f>
        <v/>
      </c>
      <c r="M2872" s="27">
        <f>IF(OR(J2872="Yes",I2872=0),"",H2872/I2872)</f>
        <v/>
      </c>
      <c r="N2872" s="21">
        <f>IF(J2872="Yes","",IF(H2872&gt;=I2872,1,0))</f>
        <v/>
      </c>
      <c r="O2872" s="21">
        <f>IF(I2872&lt;=5000000,"Under $5M",IF(I2872&lt;=20000000,"$5M-20M",IF(I2872&lt;=50000000,"$20M-50M",IF(I2872&lt;=100000000,"$50M-100M","$100M+"))))</f>
        <v/>
      </c>
      <c r="P2872" s="21">
        <f>IF(E2872&lt;=90,"90 or less",IF(E2872&lt;=105,"91-105",IF(E2872&lt;=120,"106-120",IF(E2872&lt;=140,"121-140","Over 140"))))</f>
        <v/>
      </c>
      <c r="Q2872" s="28">
        <f>INT(C2872/10)*10</f>
        <v/>
      </c>
    </row>
    <row r="2873">
      <c r="A2873" s="21" t="n">
        <v>2934</v>
      </c>
      <c r="B2873" s="21" t="inlineStr">
        <is>
          <t>TMNT</t>
        </is>
      </c>
      <c r="C2873" s="21" t="n">
        <v>2007</v>
      </c>
      <c r="D2873" s="21" t="inlineStr">
        <is>
          <t>Hong Kong</t>
        </is>
      </c>
      <c r="E2873" s="21" t="n">
        <v>87</v>
      </c>
      <c r="F2873" s="21" t="inlineStr">
        <is>
          <t>English</t>
        </is>
      </c>
      <c r="G2873" s="21" t="inlineStr">
        <is>
          <t>PG</t>
        </is>
      </c>
      <c r="H2873" s="22" t="n">
        <v>54132596</v>
      </c>
      <c r="I2873" s="22" t="n">
        <v>34000000</v>
      </c>
      <c r="J2873" s="21">
        <f>IF(OR(H2873="",H2873=25529689.5),"Yes","No")</f>
        <v/>
      </c>
      <c r="K2873" s="21">
        <f>IF(AND(D2873="USA",C2873&gt;=1980,J2873="No"),"Yes","No")</f>
        <v/>
      </c>
      <c r="L2873" s="26">
        <f>IF(J2873="Yes","",H2873-I2873)</f>
        <v/>
      </c>
      <c r="M2873" s="27">
        <f>IF(OR(J2873="Yes",I2873=0),"",H2873/I2873)</f>
        <v/>
      </c>
      <c r="N2873" s="21">
        <f>IF(J2873="Yes","",IF(H2873&gt;=I2873,1,0))</f>
        <v/>
      </c>
      <c r="O2873" s="21">
        <f>IF(I2873&lt;=5000000,"Under $5M",IF(I2873&lt;=20000000,"$5M-20M",IF(I2873&lt;=50000000,"$20M-50M",IF(I2873&lt;=100000000,"$50M-100M","$100M+"))))</f>
        <v/>
      </c>
      <c r="P2873" s="21">
        <f>IF(E2873&lt;=90,"90 or less",IF(E2873&lt;=105,"91-105",IF(E2873&lt;=120,"106-120",IF(E2873&lt;=140,"121-140","Over 140"))))</f>
        <v/>
      </c>
      <c r="Q2873" s="28">
        <f>INT(C2873/10)*10</f>
        <v/>
      </c>
    </row>
    <row r="2874">
      <c r="A2874" s="21" t="n">
        <v>2935</v>
      </c>
      <c r="B2874" s="21" t="inlineStr">
        <is>
          <t>Trade</t>
        </is>
      </c>
      <c r="C2874" s="21" t="n">
        <v>2007</v>
      </c>
      <c r="D2874" s="21" t="inlineStr">
        <is>
          <t>Germany</t>
        </is>
      </c>
      <c r="E2874" s="21" t="n">
        <v>120</v>
      </c>
      <c r="F2874" s="21" t="inlineStr">
        <is>
          <t>English</t>
        </is>
      </c>
      <c r="G2874" s="21" t="inlineStr">
        <is>
          <t>R</t>
        </is>
      </c>
      <c r="H2874" s="22" t="n">
        <v>214202</v>
      </c>
      <c r="I2874" s="22" t="n">
        <v>12000000</v>
      </c>
      <c r="J2874" s="21">
        <f>IF(OR(H2874="",H2874=25529689.5),"Yes","No")</f>
        <v/>
      </c>
      <c r="K2874" s="21">
        <f>IF(AND(D2874="USA",C2874&gt;=1980,J2874="No"),"Yes","No")</f>
        <v/>
      </c>
      <c r="L2874" s="26">
        <f>IF(J2874="Yes","",H2874-I2874)</f>
        <v/>
      </c>
      <c r="M2874" s="27">
        <f>IF(OR(J2874="Yes",I2874=0),"",H2874/I2874)</f>
        <v/>
      </c>
      <c r="N2874" s="21">
        <f>IF(J2874="Yes","",IF(H2874&gt;=I2874,1,0))</f>
        <v/>
      </c>
      <c r="O2874" s="21">
        <f>IF(I2874&lt;=5000000,"Under $5M",IF(I2874&lt;=20000000,"$5M-20M",IF(I2874&lt;=50000000,"$20M-50M",IF(I2874&lt;=100000000,"$50M-100M","$100M+"))))</f>
        <v/>
      </c>
      <c r="P2874" s="21">
        <f>IF(E2874&lt;=90,"90 or less",IF(E2874&lt;=105,"91-105",IF(E2874&lt;=120,"106-120",IF(E2874&lt;=140,"121-140","Over 140"))))</f>
        <v/>
      </c>
      <c r="Q2874" s="28">
        <f>INT(C2874/10)*10</f>
        <v/>
      </c>
    </row>
    <row r="2875">
      <c r="A2875" s="21" t="n">
        <v>2936</v>
      </c>
      <c r="B2875" s="21" t="inlineStr">
        <is>
          <t>Transformers</t>
        </is>
      </c>
      <c r="C2875" s="21" t="n">
        <v>2007</v>
      </c>
      <c r="D2875" s="21" t="inlineStr">
        <is>
          <t>USA</t>
        </is>
      </c>
      <c r="E2875" s="21" t="n">
        <v>144</v>
      </c>
      <c r="F2875" s="21" t="inlineStr">
        <is>
          <t>English</t>
        </is>
      </c>
      <c r="G2875" s="21" t="inlineStr">
        <is>
          <t>PG-13</t>
        </is>
      </c>
      <c r="H2875" s="22" t="n">
        <v>318759914</v>
      </c>
      <c r="I2875" s="22" t="n">
        <v>150000000</v>
      </c>
      <c r="J2875" s="21">
        <f>IF(OR(H2875="",H2875=25529689.5),"Yes","No")</f>
        <v/>
      </c>
      <c r="K2875" s="21">
        <f>IF(AND(D2875="USA",C2875&gt;=1980,J2875="No"),"Yes","No")</f>
        <v/>
      </c>
      <c r="L2875" s="26">
        <f>IF(J2875="Yes","",H2875-I2875)</f>
        <v/>
      </c>
      <c r="M2875" s="27">
        <f>IF(OR(J2875="Yes",I2875=0),"",H2875/I2875)</f>
        <v/>
      </c>
      <c r="N2875" s="21">
        <f>IF(J2875="Yes","",IF(H2875&gt;=I2875,1,0))</f>
        <v/>
      </c>
      <c r="O2875" s="21">
        <f>IF(I2875&lt;=5000000,"Under $5M",IF(I2875&lt;=20000000,"$5M-20M",IF(I2875&lt;=50000000,"$20M-50M",IF(I2875&lt;=100000000,"$50M-100M","$100M+"))))</f>
        <v/>
      </c>
      <c r="P2875" s="21">
        <f>IF(E2875&lt;=90,"90 or less",IF(E2875&lt;=105,"91-105",IF(E2875&lt;=120,"106-120",IF(E2875&lt;=140,"121-140","Over 140"))))</f>
        <v/>
      </c>
      <c r="Q2875" s="28">
        <f>INT(C2875/10)*10</f>
        <v/>
      </c>
    </row>
    <row r="2876">
      <c r="A2876" s="21" t="n">
        <v>2937</v>
      </c>
      <c r="B2876" s="21" t="inlineStr">
        <is>
          <t>U2 3D</t>
        </is>
      </c>
      <c r="C2876" s="21" t="n">
        <v>2007</v>
      </c>
      <c r="D2876" s="21" t="inlineStr">
        <is>
          <t>USA</t>
        </is>
      </c>
      <c r="E2876" s="21" t="n">
        <v>85</v>
      </c>
      <c r="F2876" s="21" t="inlineStr">
        <is>
          <t>English</t>
        </is>
      </c>
      <c r="G2876" s="21" t="inlineStr">
        <is>
          <t>G</t>
        </is>
      </c>
      <c r="H2876" s="22" t="n">
        <v>10353690</v>
      </c>
      <c r="I2876" s="22" t="n">
        <v>20000000</v>
      </c>
      <c r="J2876" s="21">
        <f>IF(OR(H2876="",H2876=25529689.5),"Yes","No")</f>
        <v/>
      </c>
      <c r="K2876" s="21">
        <f>IF(AND(D2876="USA",C2876&gt;=1980,J2876="No"),"Yes","No")</f>
        <v/>
      </c>
      <c r="L2876" s="26">
        <f>IF(J2876="Yes","",H2876-I2876)</f>
        <v/>
      </c>
      <c r="M2876" s="27">
        <f>IF(OR(J2876="Yes",I2876=0),"",H2876/I2876)</f>
        <v/>
      </c>
      <c r="N2876" s="21">
        <f>IF(J2876="Yes","",IF(H2876&gt;=I2876,1,0))</f>
        <v/>
      </c>
      <c r="O2876" s="21">
        <f>IF(I2876&lt;=5000000,"Under $5M",IF(I2876&lt;=20000000,"$5M-20M",IF(I2876&lt;=50000000,"$20M-50M",IF(I2876&lt;=100000000,"$50M-100M","$100M+"))))</f>
        <v/>
      </c>
      <c r="P2876" s="21">
        <f>IF(E2876&lt;=90,"90 or less",IF(E2876&lt;=105,"91-105",IF(E2876&lt;=120,"106-120",IF(E2876&lt;=140,"121-140","Over 140"))))</f>
        <v/>
      </c>
      <c r="Q2876" s="28">
        <f>INT(C2876/10)*10</f>
        <v/>
      </c>
    </row>
    <row r="2877">
      <c r="A2877" s="21" t="n">
        <v>2938</v>
      </c>
      <c r="B2877" s="21" t="inlineStr">
        <is>
          <t>Under the Same Moon</t>
        </is>
      </c>
      <c r="C2877" s="21" t="n">
        <v>2007</v>
      </c>
      <c r="D2877" s="21" t="inlineStr">
        <is>
          <t>Mexico</t>
        </is>
      </c>
      <c r="E2877" s="21" t="n">
        <v>106</v>
      </c>
      <c r="F2877" s="21" t="inlineStr">
        <is>
          <t>Spanish</t>
        </is>
      </c>
      <c r="G2877" s="21" t="inlineStr">
        <is>
          <t>PG-13</t>
        </is>
      </c>
      <c r="H2877" s="22" t="n">
        <v>12589108</v>
      </c>
      <c r="I2877" s="22" t="n">
        <v>20000000</v>
      </c>
      <c r="J2877" s="21">
        <f>IF(OR(H2877="",H2877=25529689.5),"Yes","No")</f>
        <v/>
      </c>
      <c r="K2877" s="21">
        <f>IF(AND(D2877="USA",C2877&gt;=1980,J2877="No"),"Yes","No")</f>
        <v/>
      </c>
      <c r="L2877" s="26">
        <f>IF(J2877="Yes","",H2877-I2877)</f>
        <v/>
      </c>
      <c r="M2877" s="27">
        <f>IF(OR(J2877="Yes",I2877=0),"",H2877/I2877)</f>
        <v/>
      </c>
      <c r="N2877" s="21">
        <f>IF(J2877="Yes","",IF(H2877&gt;=I2877,1,0))</f>
        <v/>
      </c>
      <c r="O2877" s="21">
        <f>IF(I2877&lt;=5000000,"Under $5M",IF(I2877&lt;=20000000,"$5M-20M",IF(I2877&lt;=50000000,"$20M-50M",IF(I2877&lt;=100000000,"$50M-100M","$100M+"))))</f>
        <v/>
      </c>
      <c r="P2877" s="21">
        <f>IF(E2877&lt;=90,"90 or less",IF(E2877&lt;=105,"91-105",IF(E2877&lt;=120,"106-120",IF(E2877&lt;=140,"121-140","Over 140"))))</f>
        <v/>
      </c>
      <c r="Q2877" s="28">
        <f>INT(C2877/10)*10</f>
        <v/>
      </c>
    </row>
    <row r="2878">
      <c r="A2878" s="21" t="n">
        <v>2939</v>
      </c>
      <c r="B2878" s="21" t="inlineStr">
        <is>
          <t>Virgin Territory</t>
        </is>
      </c>
      <c r="C2878" s="21" t="n">
        <v>2007</v>
      </c>
      <c r="D2878" s="21" t="inlineStr">
        <is>
          <t>Italy</t>
        </is>
      </c>
      <c r="E2878" s="21" t="n">
        <v>97</v>
      </c>
      <c r="F2878" s="21" t="inlineStr">
        <is>
          <t>English</t>
        </is>
      </c>
      <c r="G2878" s="21" t="inlineStr">
        <is>
          <t>R</t>
        </is>
      </c>
      <c r="H2878" s="22" t="n">
        <v>25529689.5</v>
      </c>
      <c r="I2878" s="22" t="n">
        <v>38000000</v>
      </c>
      <c r="J2878" s="21">
        <f>IF(OR(H2878="",H2878=25529689.5),"Yes","No")</f>
        <v/>
      </c>
      <c r="K2878" s="21">
        <f>IF(AND(D2878="USA",C2878&gt;=1980,J2878="No"),"Yes","No")</f>
        <v/>
      </c>
      <c r="L2878" s="26">
        <f>IF(J2878="Yes","",H2878-I2878)</f>
        <v/>
      </c>
      <c r="M2878" s="27">
        <f>IF(OR(J2878="Yes",I2878=0),"",H2878/I2878)</f>
        <v/>
      </c>
      <c r="N2878" s="21">
        <f>IF(J2878="Yes","",IF(H2878&gt;=I2878,1,0))</f>
        <v/>
      </c>
      <c r="O2878" s="21">
        <f>IF(I2878&lt;=5000000,"Under $5M",IF(I2878&lt;=20000000,"$5M-20M",IF(I2878&lt;=50000000,"$20M-50M",IF(I2878&lt;=100000000,"$50M-100M","$100M+"))))</f>
        <v/>
      </c>
      <c r="P2878" s="21">
        <f>IF(E2878&lt;=90,"90 or less",IF(E2878&lt;=105,"91-105",IF(E2878&lt;=120,"106-120",IF(E2878&lt;=140,"121-140","Over 140"))))</f>
        <v/>
      </c>
      <c r="Q2878" s="28">
        <f>INT(C2878/10)*10</f>
        <v/>
      </c>
    </row>
    <row r="2879">
      <c r="A2879" s="21" t="n">
        <v>2940</v>
      </c>
      <c r="B2879" s="21" t="inlineStr">
        <is>
          <t>Waitress</t>
        </is>
      </c>
      <c r="C2879" s="21" t="n">
        <v>2007</v>
      </c>
      <c r="D2879" s="21" t="inlineStr">
        <is>
          <t>USA</t>
        </is>
      </c>
      <c r="E2879" s="21" t="n">
        <v>108</v>
      </c>
      <c r="F2879" s="21" t="inlineStr">
        <is>
          <t>English</t>
        </is>
      </c>
      <c r="G2879" s="21" t="inlineStr">
        <is>
          <t>PG-13</t>
        </is>
      </c>
      <c r="H2879" s="22" t="n">
        <v>19067631</v>
      </c>
      <c r="I2879" s="22" t="n">
        <v>2000000</v>
      </c>
      <c r="J2879" s="21">
        <f>IF(OR(H2879="",H2879=25529689.5),"Yes","No")</f>
        <v/>
      </c>
      <c r="K2879" s="21">
        <f>IF(AND(D2879="USA",C2879&gt;=1980,J2879="No"),"Yes","No")</f>
        <v/>
      </c>
      <c r="L2879" s="26">
        <f>IF(J2879="Yes","",H2879-I2879)</f>
        <v/>
      </c>
      <c r="M2879" s="27">
        <f>IF(OR(J2879="Yes",I2879=0),"",H2879/I2879)</f>
        <v/>
      </c>
      <c r="N2879" s="21">
        <f>IF(J2879="Yes","",IF(H2879&gt;=I2879,1,0))</f>
        <v/>
      </c>
      <c r="O2879" s="21">
        <f>IF(I2879&lt;=5000000,"Under $5M",IF(I2879&lt;=20000000,"$5M-20M",IF(I2879&lt;=50000000,"$20M-50M",IF(I2879&lt;=100000000,"$50M-100M","$100M+"))))</f>
        <v/>
      </c>
      <c r="P2879" s="21">
        <f>IF(E2879&lt;=90,"90 or less",IF(E2879&lt;=105,"91-105",IF(E2879&lt;=120,"106-120",IF(E2879&lt;=140,"121-140","Over 140"))))</f>
        <v/>
      </c>
      <c r="Q2879" s="28">
        <f>INT(C2879/10)*10</f>
        <v/>
      </c>
    </row>
    <row r="2880">
      <c r="A2880" s="21" t="n">
        <v>2941</v>
      </c>
      <c r="B2880" s="21" t="inlineStr">
        <is>
          <t>Walk Hard: The Dewey Cox Story</t>
        </is>
      </c>
      <c r="C2880" s="21" t="n">
        <v>2007</v>
      </c>
      <c r="D2880" s="21" t="inlineStr">
        <is>
          <t>USA</t>
        </is>
      </c>
      <c r="E2880" s="21" t="n">
        <v>120</v>
      </c>
      <c r="F2880" s="21" t="inlineStr">
        <is>
          <t>English</t>
        </is>
      </c>
      <c r="G2880" s="21" t="inlineStr">
        <is>
          <t>R</t>
        </is>
      </c>
      <c r="H2880" s="22" t="n">
        <v>18317151</v>
      </c>
      <c r="I2880" s="22" t="n">
        <v>35000000</v>
      </c>
      <c r="J2880" s="21">
        <f>IF(OR(H2880="",H2880=25529689.5),"Yes","No")</f>
        <v/>
      </c>
      <c r="K2880" s="21">
        <f>IF(AND(D2880="USA",C2880&gt;=1980,J2880="No"),"Yes","No")</f>
        <v/>
      </c>
      <c r="L2880" s="26">
        <f>IF(J2880="Yes","",H2880-I2880)</f>
        <v/>
      </c>
      <c r="M2880" s="27">
        <f>IF(OR(J2880="Yes",I2880=0),"",H2880/I2880)</f>
        <v/>
      </c>
      <c r="N2880" s="21">
        <f>IF(J2880="Yes","",IF(H2880&gt;=I2880,1,0))</f>
        <v/>
      </c>
      <c r="O2880" s="21">
        <f>IF(I2880&lt;=5000000,"Under $5M",IF(I2880&lt;=20000000,"$5M-20M",IF(I2880&lt;=50000000,"$20M-50M",IF(I2880&lt;=100000000,"$50M-100M","$100M+"))))</f>
        <v/>
      </c>
      <c r="P2880" s="21">
        <f>IF(E2880&lt;=90,"90 or less",IF(E2880&lt;=105,"91-105",IF(E2880&lt;=120,"106-120",IF(E2880&lt;=140,"121-140","Over 140"))))</f>
        <v/>
      </c>
      <c r="Q2880" s="28">
        <f>INT(C2880/10)*10</f>
        <v/>
      </c>
    </row>
    <row r="2881">
      <c r="A2881" s="21" t="n">
        <v>2942</v>
      </c>
      <c r="B2881" s="21" t="inlineStr">
        <is>
          <t>War</t>
        </is>
      </c>
      <c r="C2881" s="21" t="n">
        <v>2007</v>
      </c>
      <c r="D2881" s="21" t="inlineStr">
        <is>
          <t>USA</t>
        </is>
      </c>
      <c r="E2881" s="21" t="n">
        <v>103</v>
      </c>
      <c r="F2881" s="21" t="inlineStr">
        <is>
          <t>English</t>
        </is>
      </c>
      <c r="G2881" s="21" t="inlineStr">
        <is>
          <t>R</t>
        </is>
      </c>
      <c r="H2881" s="22" t="n">
        <v>22466994</v>
      </c>
      <c r="I2881" s="22" t="n">
        <v>25000000</v>
      </c>
      <c r="J2881" s="21">
        <f>IF(OR(H2881="",H2881=25529689.5),"Yes","No")</f>
        <v/>
      </c>
      <c r="K2881" s="21">
        <f>IF(AND(D2881="USA",C2881&gt;=1980,J2881="No"),"Yes","No")</f>
        <v/>
      </c>
      <c r="L2881" s="26">
        <f>IF(J2881="Yes","",H2881-I2881)</f>
        <v/>
      </c>
      <c r="M2881" s="27">
        <f>IF(OR(J2881="Yes",I2881=0),"",H2881/I2881)</f>
        <v/>
      </c>
      <c r="N2881" s="21">
        <f>IF(J2881="Yes","",IF(H2881&gt;=I2881,1,0))</f>
        <v/>
      </c>
      <c r="O2881" s="21">
        <f>IF(I2881&lt;=5000000,"Under $5M",IF(I2881&lt;=20000000,"$5M-20M",IF(I2881&lt;=50000000,"$20M-50M",IF(I2881&lt;=100000000,"$50M-100M","$100M+"))))</f>
        <v/>
      </c>
      <c r="P2881" s="21">
        <f>IF(E2881&lt;=90,"90 or less",IF(E2881&lt;=105,"91-105",IF(E2881&lt;=120,"106-120",IF(E2881&lt;=140,"121-140","Over 140"))))</f>
        <v/>
      </c>
      <c r="Q2881" s="28">
        <f>INT(C2881/10)*10</f>
        <v/>
      </c>
    </row>
    <row r="2882">
      <c r="A2882" s="21" t="n">
        <v>2943</v>
      </c>
      <c r="B2882" s="21" t="inlineStr">
        <is>
          <t>We Own the Night</t>
        </is>
      </c>
      <c r="C2882" s="21" t="n">
        <v>2007</v>
      </c>
      <c r="D2882" s="21" t="inlineStr">
        <is>
          <t>USA</t>
        </is>
      </c>
      <c r="E2882" s="21" t="n">
        <v>117</v>
      </c>
      <c r="F2882" s="21" t="inlineStr">
        <is>
          <t>English</t>
        </is>
      </c>
      <c r="G2882" s="21" t="inlineStr">
        <is>
          <t>R</t>
        </is>
      </c>
      <c r="H2882" s="22" t="n">
        <v>28563179</v>
      </c>
      <c r="I2882" s="22" t="n">
        <v>21000000</v>
      </c>
      <c r="J2882" s="21">
        <f>IF(OR(H2882="",H2882=25529689.5),"Yes","No")</f>
        <v/>
      </c>
      <c r="K2882" s="21">
        <f>IF(AND(D2882="USA",C2882&gt;=1980,J2882="No"),"Yes","No")</f>
        <v/>
      </c>
      <c r="L2882" s="26">
        <f>IF(J2882="Yes","",H2882-I2882)</f>
        <v/>
      </c>
      <c r="M2882" s="27">
        <f>IF(OR(J2882="Yes",I2882=0),"",H2882/I2882)</f>
        <v/>
      </c>
      <c r="N2882" s="21">
        <f>IF(J2882="Yes","",IF(H2882&gt;=I2882,1,0))</f>
        <v/>
      </c>
      <c r="O2882" s="21">
        <f>IF(I2882&lt;=5000000,"Under $5M",IF(I2882&lt;=20000000,"$5M-20M",IF(I2882&lt;=50000000,"$20M-50M",IF(I2882&lt;=100000000,"$50M-100M","$100M+"))))</f>
        <v/>
      </c>
      <c r="P2882" s="21">
        <f>IF(E2882&lt;=90,"90 or less",IF(E2882&lt;=105,"91-105",IF(E2882&lt;=120,"106-120",IF(E2882&lt;=140,"121-140","Over 140"))))</f>
        <v/>
      </c>
      <c r="Q2882" s="28">
        <f>INT(C2882/10)*10</f>
        <v/>
      </c>
    </row>
    <row r="2883">
      <c r="A2883" s="21" t="n">
        <v>2944</v>
      </c>
      <c r="B2883" s="21" t="inlineStr">
        <is>
          <t>When Did You Last See Your Father?</t>
        </is>
      </c>
      <c r="C2883" s="21" t="n">
        <v>2007</v>
      </c>
      <c r="D2883" s="21" t="inlineStr">
        <is>
          <t>UK</t>
        </is>
      </c>
      <c r="E2883" s="21" t="n">
        <v>92</v>
      </c>
      <c r="F2883" s="21" t="inlineStr">
        <is>
          <t>English</t>
        </is>
      </c>
      <c r="G2883" s="21" t="inlineStr">
        <is>
          <t>PG-13</t>
        </is>
      </c>
      <c r="H2883" s="22" t="n">
        <v>1071240</v>
      </c>
      <c r="I2883" s="22" t="n">
        <v>8000000</v>
      </c>
      <c r="J2883" s="21">
        <f>IF(OR(H2883="",H2883=25529689.5),"Yes","No")</f>
        <v/>
      </c>
      <c r="K2883" s="21">
        <f>IF(AND(D2883="USA",C2883&gt;=1980,J2883="No"),"Yes","No")</f>
        <v/>
      </c>
      <c r="L2883" s="26">
        <f>IF(J2883="Yes","",H2883-I2883)</f>
        <v/>
      </c>
      <c r="M2883" s="27">
        <f>IF(OR(J2883="Yes",I2883=0),"",H2883/I2883)</f>
        <v/>
      </c>
      <c r="N2883" s="21">
        <f>IF(J2883="Yes","",IF(H2883&gt;=I2883,1,0))</f>
        <v/>
      </c>
      <c r="O2883" s="21">
        <f>IF(I2883&lt;=5000000,"Under $5M",IF(I2883&lt;=20000000,"$5M-20M",IF(I2883&lt;=50000000,"$20M-50M",IF(I2883&lt;=100000000,"$50M-100M","$100M+"))))</f>
        <v/>
      </c>
      <c r="P2883" s="21">
        <f>IF(E2883&lt;=90,"90 or less",IF(E2883&lt;=105,"91-105",IF(E2883&lt;=120,"106-120",IF(E2883&lt;=140,"121-140","Over 140"))))</f>
        <v/>
      </c>
      <c r="Q2883" s="28">
        <f>INT(C2883/10)*10</f>
        <v/>
      </c>
    </row>
    <row r="2884">
      <c r="A2884" s="21" t="n">
        <v>2945</v>
      </c>
      <c r="B2884" s="21" t="inlineStr">
        <is>
          <t>White Noise 2: The Light</t>
        </is>
      </c>
      <c r="C2884" s="21" t="n">
        <v>2007</v>
      </c>
      <c r="D2884" s="21" t="inlineStr">
        <is>
          <t>USA</t>
        </is>
      </c>
      <c r="E2884" s="21" t="n">
        <v>99</v>
      </c>
      <c r="F2884" s="21" t="inlineStr">
        <is>
          <t>English</t>
        </is>
      </c>
      <c r="G2884" s="21" t="inlineStr">
        <is>
          <t>PG-13</t>
        </is>
      </c>
      <c r="H2884" s="22" t="n">
        <v>25529689.5</v>
      </c>
      <c r="I2884" s="22" t="n">
        <v>10000000</v>
      </c>
      <c r="J2884" s="21">
        <f>IF(OR(H2884="",H2884=25529689.5),"Yes","No")</f>
        <v/>
      </c>
      <c r="K2884" s="21">
        <f>IF(AND(D2884="USA",C2884&gt;=1980,J2884="No"),"Yes","No")</f>
        <v/>
      </c>
      <c r="L2884" s="26">
        <f>IF(J2884="Yes","",H2884-I2884)</f>
        <v/>
      </c>
      <c r="M2884" s="27">
        <f>IF(OR(J2884="Yes",I2884=0),"",H2884/I2884)</f>
        <v/>
      </c>
      <c r="N2884" s="21">
        <f>IF(J2884="Yes","",IF(H2884&gt;=I2884,1,0))</f>
        <v/>
      </c>
      <c r="O2884" s="21">
        <f>IF(I2884&lt;=5000000,"Under $5M",IF(I2884&lt;=20000000,"$5M-20M",IF(I2884&lt;=50000000,"$20M-50M",IF(I2884&lt;=100000000,"$50M-100M","$100M+"))))</f>
        <v/>
      </c>
      <c r="P2884" s="21">
        <f>IF(E2884&lt;=90,"90 or less",IF(E2884&lt;=105,"91-105",IF(E2884&lt;=120,"106-120",IF(E2884&lt;=140,"121-140","Over 140"))))</f>
        <v/>
      </c>
      <c r="Q2884" s="28">
        <f>INT(C2884/10)*10</f>
        <v/>
      </c>
    </row>
    <row r="2885">
      <c r="A2885" s="21" t="n">
        <v>2946</v>
      </c>
      <c r="B2885" s="21" t="inlineStr">
        <is>
          <t>Who's Your Caddy?</t>
        </is>
      </c>
      <c r="C2885" s="21" t="n">
        <v>2007</v>
      </c>
      <c r="D2885" s="21" t="inlineStr">
        <is>
          <t>USA</t>
        </is>
      </c>
      <c r="E2885" s="21" t="n">
        <v>93</v>
      </c>
      <c r="F2885" s="21" t="inlineStr">
        <is>
          <t>English</t>
        </is>
      </c>
      <c r="G2885" s="21" t="inlineStr">
        <is>
          <t>PG-13</t>
        </is>
      </c>
      <c r="H2885" s="22" t="n">
        <v>5694308</v>
      </c>
      <c r="I2885" s="22" t="n">
        <v>7000000</v>
      </c>
      <c r="J2885" s="21">
        <f>IF(OR(H2885="",H2885=25529689.5),"Yes","No")</f>
        <v/>
      </c>
      <c r="K2885" s="21">
        <f>IF(AND(D2885="USA",C2885&gt;=1980,J2885="No"),"Yes","No")</f>
        <v/>
      </c>
      <c r="L2885" s="26">
        <f>IF(J2885="Yes","",H2885-I2885)</f>
        <v/>
      </c>
      <c r="M2885" s="27">
        <f>IF(OR(J2885="Yes",I2885=0),"",H2885/I2885)</f>
        <v/>
      </c>
      <c r="N2885" s="21">
        <f>IF(J2885="Yes","",IF(H2885&gt;=I2885,1,0))</f>
        <v/>
      </c>
      <c r="O2885" s="21">
        <f>IF(I2885&lt;=5000000,"Under $5M",IF(I2885&lt;=20000000,"$5M-20M",IF(I2885&lt;=50000000,"$20M-50M",IF(I2885&lt;=100000000,"$50M-100M","$100M+"))))</f>
        <v/>
      </c>
      <c r="P2885" s="21">
        <f>IF(E2885&lt;=90,"90 or less",IF(E2885&lt;=105,"91-105",IF(E2885&lt;=120,"106-120",IF(E2885&lt;=140,"121-140","Over 140"))))</f>
        <v/>
      </c>
      <c r="Q2885" s="28">
        <f>INT(C2885/10)*10</f>
        <v/>
      </c>
    </row>
    <row r="2886">
      <c r="A2886" s="21" t="n">
        <v>2947</v>
      </c>
      <c r="B2886" s="21" t="inlineStr">
        <is>
          <t>Why Did I Get Married?</t>
        </is>
      </c>
      <c r="C2886" s="21" t="n">
        <v>2007</v>
      </c>
      <c r="D2886" s="21" t="inlineStr">
        <is>
          <t>USA</t>
        </is>
      </c>
      <c r="E2886" s="21" t="n">
        <v>113</v>
      </c>
      <c r="F2886" s="21" t="inlineStr">
        <is>
          <t>English</t>
        </is>
      </c>
      <c r="G2886" s="21" t="inlineStr">
        <is>
          <t>PG-13</t>
        </is>
      </c>
      <c r="H2886" s="22" t="n">
        <v>55184721</v>
      </c>
      <c r="I2886" s="22" t="n">
        <v>15000000</v>
      </c>
      <c r="J2886" s="21">
        <f>IF(OR(H2886="",H2886=25529689.5),"Yes","No")</f>
        <v/>
      </c>
      <c r="K2886" s="21">
        <f>IF(AND(D2886="USA",C2886&gt;=1980,J2886="No"),"Yes","No")</f>
        <v/>
      </c>
      <c r="L2886" s="26">
        <f>IF(J2886="Yes","",H2886-I2886)</f>
        <v/>
      </c>
      <c r="M2886" s="27">
        <f>IF(OR(J2886="Yes",I2886=0),"",H2886/I2886)</f>
        <v/>
      </c>
      <c r="N2886" s="21">
        <f>IF(J2886="Yes","",IF(H2886&gt;=I2886,1,0))</f>
        <v/>
      </c>
      <c r="O2886" s="21">
        <f>IF(I2886&lt;=5000000,"Under $5M",IF(I2886&lt;=20000000,"$5M-20M",IF(I2886&lt;=50000000,"$20M-50M",IF(I2886&lt;=100000000,"$50M-100M","$100M+"))))</f>
        <v/>
      </c>
      <c r="P2886" s="21">
        <f>IF(E2886&lt;=90,"90 or less",IF(E2886&lt;=105,"91-105",IF(E2886&lt;=120,"106-120",IF(E2886&lt;=140,"121-140","Over 140"))))</f>
        <v/>
      </c>
      <c r="Q2886" s="28">
        <f>INT(C2886/10)*10</f>
        <v/>
      </c>
    </row>
    <row r="2887">
      <c r="A2887" s="21" t="n">
        <v>2948</v>
      </c>
      <c r="B2887" s="21" t="inlineStr">
        <is>
          <t>Wild Hogs</t>
        </is>
      </c>
      <c r="C2887" s="21" t="n">
        <v>2007</v>
      </c>
      <c r="D2887" s="21" t="inlineStr">
        <is>
          <t>USA</t>
        </is>
      </c>
      <c r="E2887" s="21" t="n">
        <v>100</v>
      </c>
      <c r="F2887" s="21" t="inlineStr">
        <is>
          <t>English</t>
        </is>
      </c>
      <c r="G2887" s="21" t="inlineStr">
        <is>
          <t>PG-13</t>
        </is>
      </c>
      <c r="H2887" s="22" t="n">
        <v>168213584</v>
      </c>
      <c r="I2887" s="22" t="n">
        <v>20000000</v>
      </c>
      <c r="J2887" s="21">
        <f>IF(OR(H2887="",H2887=25529689.5),"Yes","No")</f>
        <v/>
      </c>
      <c r="K2887" s="21">
        <f>IF(AND(D2887="USA",C2887&gt;=1980,J2887="No"),"Yes","No")</f>
        <v/>
      </c>
      <c r="L2887" s="26">
        <f>IF(J2887="Yes","",H2887-I2887)</f>
        <v/>
      </c>
      <c r="M2887" s="27">
        <f>IF(OR(J2887="Yes",I2887=0),"",H2887/I2887)</f>
        <v/>
      </c>
      <c r="N2887" s="21">
        <f>IF(J2887="Yes","",IF(H2887&gt;=I2887,1,0))</f>
        <v/>
      </c>
      <c r="O2887" s="21">
        <f>IF(I2887&lt;=5000000,"Under $5M",IF(I2887&lt;=20000000,"$5M-20M",IF(I2887&lt;=50000000,"$20M-50M",IF(I2887&lt;=100000000,"$50M-100M","$100M+"))))</f>
        <v/>
      </c>
      <c r="P2887" s="21">
        <f>IF(E2887&lt;=90,"90 or less",IF(E2887&lt;=105,"91-105",IF(E2887&lt;=120,"106-120",IF(E2887&lt;=140,"121-140","Over 140"))))</f>
        <v/>
      </c>
      <c r="Q2887" s="28">
        <f>INT(C2887/10)*10</f>
        <v/>
      </c>
    </row>
    <row r="2888">
      <c r="A2888" s="21" t="n">
        <v>2949</v>
      </c>
      <c r="B2888" s="21" t="inlineStr">
        <is>
          <t>You Kill Me</t>
        </is>
      </c>
      <c r="C2888" s="21" t="n">
        <v>2007</v>
      </c>
      <c r="D2888" s="21" t="inlineStr">
        <is>
          <t>USA</t>
        </is>
      </c>
      <c r="E2888" s="21" t="n">
        <v>93</v>
      </c>
      <c r="F2888" s="21" t="inlineStr">
        <is>
          <t>English</t>
        </is>
      </c>
      <c r="G2888" s="21" t="inlineStr">
        <is>
          <t>R</t>
        </is>
      </c>
      <c r="H2888" s="22" t="n">
        <v>2426851</v>
      </c>
      <c r="I2888" s="22" t="n">
        <v>4000000</v>
      </c>
      <c r="J2888" s="21">
        <f>IF(OR(H2888="",H2888=25529689.5),"Yes","No")</f>
        <v/>
      </c>
      <c r="K2888" s="21">
        <f>IF(AND(D2888="USA",C2888&gt;=1980,J2888="No"),"Yes","No")</f>
        <v/>
      </c>
      <c r="L2888" s="26">
        <f>IF(J2888="Yes","",H2888-I2888)</f>
        <v/>
      </c>
      <c r="M2888" s="27">
        <f>IF(OR(J2888="Yes",I2888=0),"",H2888/I2888)</f>
        <v/>
      </c>
      <c r="N2888" s="21">
        <f>IF(J2888="Yes","",IF(H2888&gt;=I2888,1,0))</f>
        <v/>
      </c>
      <c r="O2888" s="21">
        <f>IF(I2888&lt;=5000000,"Under $5M",IF(I2888&lt;=20000000,"$5M-20M",IF(I2888&lt;=50000000,"$20M-50M",IF(I2888&lt;=100000000,"$50M-100M","$100M+"))))</f>
        <v/>
      </c>
      <c r="P2888" s="21">
        <f>IF(E2888&lt;=90,"90 or less",IF(E2888&lt;=105,"91-105",IF(E2888&lt;=120,"106-120",IF(E2888&lt;=140,"121-140","Over 140"))))</f>
        <v/>
      </c>
      <c r="Q2888" s="28">
        <f>INT(C2888/10)*10</f>
        <v/>
      </c>
    </row>
    <row r="2889">
      <c r="A2889" s="21" t="n">
        <v>2950</v>
      </c>
      <c r="B2889" s="21" t="inlineStr">
        <is>
          <t>Zodiac</t>
        </is>
      </c>
      <c r="C2889" s="21" t="n">
        <v>2007</v>
      </c>
      <c r="D2889" s="21" t="inlineStr">
        <is>
          <t>USA</t>
        </is>
      </c>
      <c r="E2889" s="21" t="n">
        <v>162</v>
      </c>
      <c r="F2889" s="21" t="inlineStr">
        <is>
          <t>English</t>
        </is>
      </c>
      <c r="G2889" s="21" t="inlineStr">
        <is>
          <t>R</t>
        </is>
      </c>
      <c r="H2889" s="22" t="n">
        <v>33048353</v>
      </c>
      <c r="I2889" s="22" t="n">
        <v>65000000</v>
      </c>
      <c r="J2889" s="21">
        <f>IF(OR(H2889="",H2889=25529689.5),"Yes","No")</f>
        <v/>
      </c>
      <c r="K2889" s="21">
        <f>IF(AND(D2889="USA",C2889&gt;=1980,J2889="No"),"Yes","No")</f>
        <v/>
      </c>
      <c r="L2889" s="26">
        <f>IF(J2889="Yes","",H2889-I2889)</f>
        <v/>
      </c>
      <c r="M2889" s="27">
        <f>IF(OR(J2889="Yes",I2889=0),"",H2889/I2889)</f>
        <v/>
      </c>
      <c r="N2889" s="21">
        <f>IF(J2889="Yes","",IF(H2889&gt;=I2889,1,0))</f>
        <v/>
      </c>
      <c r="O2889" s="21">
        <f>IF(I2889&lt;=5000000,"Under $5M",IF(I2889&lt;=20000000,"$5M-20M",IF(I2889&lt;=50000000,"$20M-50M",IF(I2889&lt;=100000000,"$50M-100M","$100M+"))))</f>
        <v/>
      </c>
      <c r="P2889" s="21">
        <f>IF(E2889&lt;=90,"90 or less",IF(E2889&lt;=105,"91-105",IF(E2889&lt;=120,"106-120",IF(E2889&lt;=140,"121-140","Over 140"))))</f>
        <v/>
      </c>
      <c r="Q2889" s="28">
        <f>INT(C2889/10)*10</f>
        <v/>
      </c>
    </row>
    <row r="2890">
      <c r="A2890" s="21" t="n">
        <v>2951</v>
      </c>
      <c r="B2890" s="21" t="inlineStr">
        <is>
          <t>21</t>
        </is>
      </c>
      <c r="C2890" s="21" t="n">
        <v>2008</v>
      </c>
      <c r="D2890" s="21" t="inlineStr">
        <is>
          <t>USA</t>
        </is>
      </c>
      <c r="E2890" s="21" t="n">
        <v>123</v>
      </c>
      <c r="F2890" s="21" t="inlineStr">
        <is>
          <t>English</t>
        </is>
      </c>
      <c r="G2890" s="21" t="inlineStr">
        <is>
          <t>PG-13</t>
        </is>
      </c>
      <c r="H2890" s="22" t="n">
        <v>81159365</v>
      </c>
      <c r="I2890" s="22" t="n">
        <v>35000000</v>
      </c>
      <c r="J2890" s="21">
        <f>IF(OR(H2890="",H2890=25529689.5),"Yes","No")</f>
        <v/>
      </c>
      <c r="K2890" s="21">
        <f>IF(AND(D2890="USA",C2890&gt;=1980,J2890="No"),"Yes","No")</f>
        <v/>
      </c>
      <c r="L2890" s="26">
        <f>IF(J2890="Yes","",H2890-I2890)</f>
        <v/>
      </c>
      <c r="M2890" s="27">
        <f>IF(OR(J2890="Yes",I2890=0),"",H2890/I2890)</f>
        <v/>
      </c>
      <c r="N2890" s="21">
        <f>IF(J2890="Yes","",IF(H2890&gt;=I2890,1,0))</f>
        <v/>
      </c>
      <c r="O2890" s="21">
        <f>IF(I2890&lt;=5000000,"Under $5M",IF(I2890&lt;=20000000,"$5M-20M",IF(I2890&lt;=50000000,"$20M-50M",IF(I2890&lt;=100000000,"$50M-100M","$100M+"))))</f>
        <v/>
      </c>
      <c r="P2890" s="21">
        <f>IF(E2890&lt;=90,"90 or less",IF(E2890&lt;=105,"91-105",IF(E2890&lt;=120,"106-120",IF(E2890&lt;=140,"121-140","Over 140"))))</f>
        <v/>
      </c>
      <c r="Q2890" s="28">
        <f>INT(C2890/10)*10</f>
        <v/>
      </c>
    </row>
    <row r="2891">
      <c r="A2891" s="21" t="n">
        <v>2952</v>
      </c>
      <c r="B2891" s="21" t="inlineStr">
        <is>
          <t>27 Dresses</t>
        </is>
      </c>
      <c r="C2891" s="21" t="n">
        <v>2008</v>
      </c>
      <c r="D2891" s="21" t="inlineStr">
        <is>
          <t>USA</t>
        </is>
      </c>
      <c r="E2891" s="21" t="n">
        <v>111</v>
      </c>
      <c r="F2891" s="21" t="inlineStr">
        <is>
          <t>English</t>
        </is>
      </c>
      <c r="G2891" s="21" t="inlineStr">
        <is>
          <t>PG-13</t>
        </is>
      </c>
      <c r="H2891" s="22" t="n">
        <v>76806312</v>
      </c>
      <c r="I2891" s="22" t="n">
        <v>30000000</v>
      </c>
      <c r="J2891" s="21">
        <f>IF(OR(H2891="",H2891=25529689.5),"Yes","No")</f>
        <v/>
      </c>
      <c r="K2891" s="21">
        <f>IF(AND(D2891="USA",C2891&gt;=1980,J2891="No"),"Yes","No")</f>
        <v/>
      </c>
      <c r="L2891" s="26">
        <f>IF(J2891="Yes","",H2891-I2891)</f>
        <v/>
      </c>
      <c r="M2891" s="27">
        <f>IF(OR(J2891="Yes",I2891=0),"",H2891/I2891)</f>
        <v/>
      </c>
      <c r="N2891" s="21">
        <f>IF(J2891="Yes","",IF(H2891&gt;=I2891,1,0))</f>
        <v/>
      </c>
      <c r="O2891" s="21">
        <f>IF(I2891&lt;=5000000,"Under $5M",IF(I2891&lt;=20000000,"$5M-20M",IF(I2891&lt;=50000000,"$20M-50M",IF(I2891&lt;=100000000,"$50M-100M","$100M+"))))</f>
        <v/>
      </c>
      <c r="P2891" s="21">
        <f>IF(E2891&lt;=90,"90 or less",IF(E2891&lt;=105,"91-105",IF(E2891&lt;=120,"106-120",IF(E2891&lt;=140,"121-140","Over 140"))))</f>
        <v/>
      </c>
      <c r="Q2891" s="28">
        <f>INT(C2891/10)*10</f>
        <v/>
      </c>
    </row>
    <row r="2892">
      <c r="A2892" s="21" t="n">
        <v>2953</v>
      </c>
      <c r="B2892" s="21" t="inlineStr">
        <is>
          <t>Adam Resurrected</t>
        </is>
      </c>
      <c r="C2892" s="21" t="n">
        <v>2008</v>
      </c>
      <c r="D2892" s="21" t="inlineStr">
        <is>
          <t>Germany</t>
        </is>
      </c>
      <c r="E2892" s="21" t="n">
        <v>106</v>
      </c>
      <c r="F2892" s="21" t="inlineStr">
        <is>
          <t>English</t>
        </is>
      </c>
      <c r="G2892" s="21" t="inlineStr">
        <is>
          <t>R</t>
        </is>
      </c>
      <c r="H2892" s="22" t="n">
        <v>25529689.5</v>
      </c>
      <c r="I2892" s="22" t="n">
        <v>10000000</v>
      </c>
      <c r="J2892" s="21">
        <f>IF(OR(H2892="",H2892=25529689.5),"Yes","No")</f>
        <v/>
      </c>
      <c r="K2892" s="21">
        <f>IF(AND(D2892="USA",C2892&gt;=1980,J2892="No"),"Yes","No")</f>
        <v/>
      </c>
      <c r="L2892" s="26">
        <f>IF(J2892="Yes","",H2892-I2892)</f>
        <v/>
      </c>
      <c r="M2892" s="27">
        <f>IF(OR(J2892="Yes",I2892=0),"",H2892/I2892)</f>
        <v/>
      </c>
      <c r="N2892" s="21">
        <f>IF(J2892="Yes","",IF(H2892&gt;=I2892,1,0))</f>
        <v/>
      </c>
      <c r="O2892" s="21">
        <f>IF(I2892&lt;=5000000,"Under $5M",IF(I2892&lt;=20000000,"$5M-20M",IF(I2892&lt;=50000000,"$20M-50M",IF(I2892&lt;=100000000,"$50M-100M","$100M+"))))</f>
        <v/>
      </c>
      <c r="P2892" s="21">
        <f>IF(E2892&lt;=90,"90 or less",IF(E2892&lt;=105,"91-105",IF(E2892&lt;=120,"106-120",IF(E2892&lt;=140,"121-140","Over 140"))))</f>
        <v/>
      </c>
      <c r="Q2892" s="28">
        <f>INT(C2892/10)*10</f>
        <v/>
      </c>
    </row>
    <row r="2893">
      <c r="A2893" s="21" t="n">
        <v>2954</v>
      </c>
      <c r="B2893" s="21" t="inlineStr">
        <is>
          <t>An American Carol</t>
        </is>
      </c>
      <c r="C2893" s="21" t="n">
        <v>2008</v>
      </c>
      <c r="D2893" s="21" t="inlineStr">
        <is>
          <t>USA</t>
        </is>
      </c>
      <c r="E2893" s="21" t="n">
        <v>83</v>
      </c>
      <c r="F2893" s="21" t="inlineStr">
        <is>
          <t>English</t>
        </is>
      </c>
      <c r="G2893" s="21" t="inlineStr">
        <is>
          <t>PG-13</t>
        </is>
      </c>
      <c r="H2893" s="22" t="n">
        <v>7001720</v>
      </c>
      <c r="I2893" s="22" t="n">
        <v>12000000</v>
      </c>
      <c r="J2893" s="21">
        <f>IF(OR(H2893="",H2893=25529689.5),"Yes","No")</f>
        <v/>
      </c>
      <c r="K2893" s="21">
        <f>IF(AND(D2893="USA",C2893&gt;=1980,J2893="No"),"Yes","No")</f>
        <v/>
      </c>
      <c r="L2893" s="26">
        <f>IF(J2893="Yes","",H2893-I2893)</f>
        <v/>
      </c>
      <c r="M2893" s="27">
        <f>IF(OR(J2893="Yes",I2893=0),"",H2893/I2893)</f>
        <v/>
      </c>
      <c r="N2893" s="21">
        <f>IF(J2893="Yes","",IF(H2893&gt;=I2893,1,0))</f>
        <v/>
      </c>
      <c r="O2893" s="21">
        <f>IF(I2893&lt;=5000000,"Under $5M",IF(I2893&lt;=20000000,"$5M-20M",IF(I2893&lt;=50000000,"$20M-50M",IF(I2893&lt;=100000000,"$50M-100M","$100M+"))))</f>
        <v/>
      </c>
      <c r="P2893" s="21">
        <f>IF(E2893&lt;=90,"90 or less",IF(E2893&lt;=105,"91-105",IF(E2893&lt;=120,"106-120",IF(E2893&lt;=140,"121-140","Over 140"))))</f>
        <v/>
      </c>
      <c r="Q2893" s="28">
        <f>INT(C2893/10)*10</f>
        <v/>
      </c>
    </row>
    <row r="2894">
      <c r="A2894" s="21" t="n">
        <v>2955</v>
      </c>
      <c r="B2894" s="21" t="inlineStr">
        <is>
          <t>Appaloosa</t>
        </is>
      </c>
      <c r="C2894" s="21" t="n">
        <v>2008</v>
      </c>
      <c r="D2894" s="21" t="inlineStr">
        <is>
          <t>USA</t>
        </is>
      </c>
      <c r="E2894" s="21" t="n">
        <v>115</v>
      </c>
      <c r="F2894" s="21" t="inlineStr">
        <is>
          <t>English</t>
        </is>
      </c>
      <c r="G2894" s="21" t="inlineStr">
        <is>
          <t>R</t>
        </is>
      </c>
      <c r="H2894" s="22" t="n">
        <v>20207003</v>
      </c>
      <c r="I2894" s="22" t="n">
        <v>20000000</v>
      </c>
      <c r="J2894" s="21">
        <f>IF(OR(H2894="",H2894=25529689.5),"Yes","No")</f>
        <v/>
      </c>
      <c r="K2894" s="21">
        <f>IF(AND(D2894="USA",C2894&gt;=1980,J2894="No"),"Yes","No")</f>
        <v/>
      </c>
      <c r="L2894" s="26">
        <f>IF(J2894="Yes","",H2894-I2894)</f>
        <v/>
      </c>
      <c r="M2894" s="27">
        <f>IF(OR(J2894="Yes",I2894=0),"",H2894/I2894)</f>
        <v/>
      </c>
      <c r="N2894" s="21">
        <f>IF(J2894="Yes","",IF(H2894&gt;=I2894,1,0))</f>
        <v/>
      </c>
      <c r="O2894" s="21">
        <f>IF(I2894&lt;=5000000,"Under $5M",IF(I2894&lt;=20000000,"$5M-20M",IF(I2894&lt;=50000000,"$20M-50M",IF(I2894&lt;=100000000,"$50M-100M","$100M+"))))</f>
        <v/>
      </c>
      <c r="P2894" s="21">
        <f>IF(E2894&lt;=90,"90 or less",IF(E2894&lt;=105,"91-105",IF(E2894&lt;=120,"106-120",IF(E2894&lt;=140,"121-140","Over 140"))))</f>
        <v/>
      </c>
      <c r="Q2894" s="28">
        <f>INT(C2894/10)*10</f>
        <v/>
      </c>
    </row>
    <row r="2895">
      <c r="A2895" s="21" t="n">
        <v>2956</v>
      </c>
      <c r="B2895" s="21" t="inlineStr">
        <is>
          <t>Asterix at the Olympic Games</t>
        </is>
      </c>
      <c r="C2895" s="21" t="n">
        <v>2008</v>
      </c>
      <c r="D2895" s="21" t="inlineStr">
        <is>
          <t>France</t>
        </is>
      </c>
      <c r="E2895" s="21" t="n">
        <v>116</v>
      </c>
      <c r="F2895" s="21" t="inlineStr">
        <is>
          <t>French</t>
        </is>
      </c>
      <c r="G2895" s="21" t="n"/>
      <c r="H2895" s="22" t="n">
        <v>25529689.5</v>
      </c>
      <c r="I2895" s="22" t="n">
        <v>78000000</v>
      </c>
      <c r="J2895" s="21">
        <f>IF(OR(H2895="",H2895=25529689.5),"Yes","No")</f>
        <v/>
      </c>
      <c r="K2895" s="21">
        <f>IF(AND(D2895="USA",C2895&gt;=1980,J2895="No"),"Yes","No")</f>
        <v/>
      </c>
      <c r="L2895" s="26">
        <f>IF(J2895="Yes","",H2895-I2895)</f>
        <v/>
      </c>
      <c r="M2895" s="27">
        <f>IF(OR(J2895="Yes",I2895=0),"",H2895/I2895)</f>
        <v/>
      </c>
      <c r="N2895" s="21">
        <f>IF(J2895="Yes","",IF(H2895&gt;=I2895,1,0))</f>
        <v/>
      </c>
      <c r="O2895" s="21">
        <f>IF(I2895&lt;=5000000,"Under $5M",IF(I2895&lt;=20000000,"$5M-20M",IF(I2895&lt;=50000000,"$20M-50M",IF(I2895&lt;=100000000,"$50M-100M","$100M+"))))</f>
        <v/>
      </c>
      <c r="P2895" s="21">
        <f>IF(E2895&lt;=90,"90 or less",IF(E2895&lt;=105,"91-105",IF(E2895&lt;=120,"106-120",IF(E2895&lt;=140,"121-140","Over 140"))))</f>
        <v/>
      </c>
      <c r="Q2895" s="28">
        <f>INT(C2895/10)*10</f>
        <v/>
      </c>
    </row>
    <row r="2896">
      <c r="A2896" s="21" t="n">
        <v>2957</v>
      </c>
      <c r="B2896" s="21" t="inlineStr">
        <is>
          <t>Australia</t>
        </is>
      </c>
      <c r="C2896" s="21" t="n">
        <v>2008</v>
      </c>
      <c r="D2896" s="21" t="inlineStr">
        <is>
          <t>Australia</t>
        </is>
      </c>
      <c r="E2896" s="21" t="n">
        <v>165</v>
      </c>
      <c r="F2896" s="21" t="inlineStr">
        <is>
          <t>English</t>
        </is>
      </c>
      <c r="G2896" s="21" t="inlineStr">
        <is>
          <t>PG-13</t>
        </is>
      </c>
      <c r="H2896" s="22" t="n">
        <v>49551662</v>
      </c>
      <c r="I2896" s="22" t="n">
        <v>130000000</v>
      </c>
      <c r="J2896" s="21">
        <f>IF(OR(H2896="",H2896=25529689.5),"Yes","No")</f>
        <v/>
      </c>
      <c r="K2896" s="21">
        <f>IF(AND(D2896="USA",C2896&gt;=1980,J2896="No"),"Yes","No")</f>
        <v/>
      </c>
      <c r="L2896" s="26">
        <f>IF(J2896="Yes","",H2896-I2896)</f>
        <v/>
      </c>
      <c r="M2896" s="27">
        <f>IF(OR(J2896="Yes",I2896=0),"",H2896/I2896)</f>
        <v/>
      </c>
      <c r="N2896" s="21">
        <f>IF(J2896="Yes","",IF(H2896&gt;=I2896,1,0))</f>
        <v/>
      </c>
      <c r="O2896" s="21">
        <f>IF(I2896&lt;=5000000,"Under $5M",IF(I2896&lt;=20000000,"$5M-20M",IF(I2896&lt;=50000000,"$20M-50M",IF(I2896&lt;=100000000,"$50M-100M","$100M+"))))</f>
        <v/>
      </c>
      <c r="P2896" s="21">
        <f>IF(E2896&lt;=90,"90 or less",IF(E2896&lt;=105,"91-105",IF(E2896&lt;=120,"106-120",IF(E2896&lt;=140,"121-140","Over 140"))))</f>
        <v/>
      </c>
      <c r="Q2896" s="28">
        <f>INT(C2896/10)*10</f>
        <v/>
      </c>
    </row>
    <row r="2897">
      <c r="A2897" s="21" t="n">
        <v>2958</v>
      </c>
      <c r="B2897" s="21" t="inlineStr">
        <is>
          <t>Baby Mama</t>
        </is>
      </c>
      <c r="C2897" s="21" t="n">
        <v>2008</v>
      </c>
      <c r="D2897" s="21" t="inlineStr">
        <is>
          <t>USA</t>
        </is>
      </c>
      <c r="E2897" s="21" t="n">
        <v>99</v>
      </c>
      <c r="F2897" s="21" t="inlineStr">
        <is>
          <t>English</t>
        </is>
      </c>
      <c r="G2897" s="21" t="inlineStr">
        <is>
          <t>PG-13</t>
        </is>
      </c>
      <c r="H2897" s="22" t="n">
        <v>60269340</v>
      </c>
      <c r="I2897" s="22" t="n">
        <v>30000000</v>
      </c>
      <c r="J2897" s="21">
        <f>IF(OR(H2897="",H2897=25529689.5),"Yes","No")</f>
        <v/>
      </c>
      <c r="K2897" s="21">
        <f>IF(AND(D2897="USA",C2897&gt;=1980,J2897="No"),"Yes","No")</f>
        <v/>
      </c>
      <c r="L2897" s="26">
        <f>IF(J2897="Yes","",H2897-I2897)</f>
        <v/>
      </c>
      <c r="M2897" s="27">
        <f>IF(OR(J2897="Yes",I2897=0),"",H2897/I2897)</f>
        <v/>
      </c>
      <c r="N2897" s="21">
        <f>IF(J2897="Yes","",IF(H2897&gt;=I2897,1,0))</f>
        <v/>
      </c>
      <c r="O2897" s="21">
        <f>IF(I2897&lt;=5000000,"Under $5M",IF(I2897&lt;=20000000,"$5M-20M",IF(I2897&lt;=50000000,"$20M-50M",IF(I2897&lt;=100000000,"$50M-100M","$100M+"))))</f>
        <v/>
      </c>
      <c r="P2897" s="21">
        <f>IF(E2897&lt;=90,"90 or less",IF(E2897&lt;=105,"91-105",IF(E2897&lt;=120,"106-120",IF(E2897&lt;=140,"121-140","Over 140"))))</f>
        <v/>
      </c>
      <c r="Q2897" s="28">
        <f>INT(C2897/10)*10</f>
        <v/>
      </c>
    </row>
    <row r="2898">
      <c r="A2898" s="21" t="n">
        <v>2959</v>
      </c>
      <c r="B2898" s="21" t="inlineStr">
        <is>
          <t>Babylon A.D.</t>
        </is>
      </c>
      <c r="C2898" s="21" t="n">
        <v>2008</v>
      </c>
      <c r="D2898" s="21" t="inlineStr">
        <is>
          <t>France</t>
        </is>
      </c>
      <c r="E2898" s="21" t="n">
        <v>101</v>
      </c>
      <c r="F2898" s="21" t="inlineStr">
        <is>
          <t>English</t>
        </is>
      </c>
      <c r="G2898" s="21" t="inlineStr">
        <is>
          <t>PG-13</t>
        </is>
      </c>
      <c r="H2898" s="22" t="n">
        <v>22531698</v>
      </c>
      <c r="I2898" s="22" t="n">
        <v>70000000</v>
      </c>
      <c r="J2898" s="21">
        <f>IF(OR(H2898="",H2898=25529689.5),"Yes","No")</f>
        <v/>
      </c>
      <c r="K2898" s="21">
        <f>IF(AND(D2898="USA",C2898&gt;=1980,J2898="No"),"Yes","No")</f>
        <v/>
      </c>
      <c r="L2898" s="26">
        <f>IF(J2898="Yes","",H2898-I2898)</f>
        <v/>
      </c>
      <c r="M2898" s="27">
        <f>IF(OR(J2898="Yes",I2898=0),"",H2898/I2898)</f>
        <v/>
      </c>
      <c r="N2898" s="21">
        <f>IF(J2898="Yes","",IF(H2898&gt;=I2898,1,0))</f>
        <v/>
      </c>
      <c r="O2898" s="21">
        <f>IF(I2898&lt;=5000000,"Under $5M",IF(I2898&lt;=20000000,"$5M-20M",IF(I2898&lt;=50000000,"$20M-50M",IF(I2898&lt;=100000000,"$50M-100M","$100M+"))))</f>
        <v/>
      </c>
      <c r="P2898" s="21">
        <f>IF(E2898&lt;=90,"90 or less",IF(E2898&lt;=105,"91-105",IF(E2898&lt;=120,"106-120",IF(E2898&lt;=140,"121-140","Over 140"))))</f>
        <v/>
      </c>
      <c r="Q2898" s="28">
        <f>INT(C2898/10)*10</f>
        <v/>
      </c>
    </row>
    <row r="2899">
      <c r="A2899" s="21" t="n">
        <v>2960</v>
      </c>
      <c r="B2899" s="21" t="inlineStr">
        <is>
          <t>Baghead</t>
        </is>
      </c>
      <c r="C2899" s="21" t="n">
        <v>2008</v>
      </c>
      <c r="D2899" s="21" t="inlineStr">
        <is>
          <t>USA</t>
        </is>
      </c>
      <c r="E2899" s="21" t="n">
        <v>84</v>
      </c>
      <c r="F2899" s="21" t="inlineStr">
        <is>
          <t>English</t>
        </is>
      </c>
      <c r="G2899" s="21" t="inlineStr">
        <is>
          <t>R</t>
        </is>
      </c>
      <c r="H2899" s="22" t="n">
        <v>140016</v>
      </c>
      <c r="I2899" s="22" t="n">
        <v>20000000</v>
      </c>
      <c r="J2899" s="21">
        <f>IF(OR(H2899="",H2899=25529689.5),"Yes","No")</f>
        <v/>
      </c>
      <c r="K2899" s="21">
        <f>IF(AND(D2899="USA",C2899&gt;=1980,J2899="No"),"Yes","No")</f>
        <v/>
      </c>
      <c r="L2899" s="26">
        <f>IF(J2899="Yes","",H2899-I2899)</f>
        <v/>
      </c>
      <c r="M2899" s="27">
        <f>IF(OR(J2899="Yes",I2899=0),"",H2899/I2899)</f>
        <v/>
      </c>
      <c r="N2899" s="21">
        <f>IF(J2899="Yes","",IF(H2899&gt;=I2899,1,0))</f>
        <v/>
      </c>
      <c r="O2899" s="21">
        <f>IF(I2899&lt;=5000000,"Under $5M",IF(I2899&lt;=20000000,"$5M-20M",IF(I2899&lt;=50000000,"$20M-50M",IF(I2899&lt;=100000000,"$50M-100M","$100M+"))))</f>
        <v/>
      </c>
      <c r="P2899" s="21">
        <f>IF(E2899&lt;=90,"90 or less",IF(E2899&lt;=105,"91-105",IF(E2899&lt;=120,"106-120",IF(E2899&lt;=140,"121-140","Over 140"))))</f>
        <v/>
      </c>
      <c r="Q2899" s="28">
        <f>INT(C2899/10)*10</f>
        <v/>
      </c>
    </row>
    <row r="2900">
      <c r="A2900" s="21" t="n">
        <v>2961</v>
      </c>
      <c r="B2900" s="21" t="inlineStr">
        <is>
          <t>Bangkok Dangerous</t>
        </is>
      </c>
      <c r="C2900" s="21" t="n">
        <v>2008</v>
      </c>
      <c r="D2900" s="21" t="inlineStr">
        <is>
          <t>USA</t>
        </is>
      </c>
      <c r="E2900" s="21" t="n">
        <v>99</v>
      </c>
      <c r="F2900" s="21" t="inlineStr">
        <is>
          <t>English</t>
        </is>
      </c>
      <c r="G2900" s="21" t="inlineStr">
        <is>
          <t>R</t>
        </is>
      </c>
      <c r="H2900" s="22" t="n">
        <v>15279680</v>
      </c>
      <c r="I2900" s="22" t="n">
        <v>40000000</v>
      </c>
      <c r="J2900" s="21">
        <f>IF(OR(H2900="",H2900=25529689.5),"Yes","No")</f>
        <v/>
      </c>
      <c r="K2900" s="21">
        <f>IF(AND(D2900="USA",C2900&gt;=1980,J2900="No"),"Yes","No")</f>
        <v/>
      </c>
      <c r="L2900" s="26">
        <f>IF(J2900="Yes","",H2900-I2900)</f>
        <v/>
      </c>
      <c r="M2900" s="27">
        <f>IF(OR(J2900="Yes",I2900=0),"",H2900/I2900)</f>
        <v/>
      </c>
      <c r="N2900" s="21">
        <f>IF(J2900="Yes","",IF(H2900&gt;=I2900,1,0))</f>
        <v/>
      </c>
      <c r="O2900" s="21">
        <f>IF(I2900&lt;=5000000,"Under $5M",IF(I2900&lt;=20000000,"$5M-20M",IF(I2900&lt;=50000000,"$20M-50M",IF(I2900&lt;=100000000,"$50M-100M","$100M+"))))</f>
        <v/>
      </c>
      <c r="P2900" s="21">
        <f>IF(E2900&lt;=90,"90 or less",IF(E2900&lt;=105,"91-105",IF(E2900&lt;=120,"106-120",IF(E2900&lt;=140,"121-140","Over 140"))))</f>
        <v/>
      </c>
      <c r="Q2900" s="28">
        <f>INT(C2900/10)*10</f>
        <v/>
      </c>
    </row>
    <row r="2901">
      <c r="A2901" s="21" t="n">
        <v>2962</v>
      </c>
      <c r="B2901" s="21" t="inlineStr">
        <is>
          <t>Bathory: Countess of Blood</t>
        </is>
      </c>
      <c r="C2901" s="21" t="n">
        <v>2008</v>
      </c>
      <c r="D2901" s="21" t="inlineStr">
        <is>
          <t>Slovakia</t>
        </is>
      </c>
      <c r="E2901" s="21" t="n">
        <v>141</v>
      </c>
      <c r="F2901" s="21" t="inlineStr">
        <is>
          <t>English</t>
        </is>
      </c>
      <c r="G2901" s="21" t="inlineStr">
        <is>
          <t>R</t>
        </is>
      </c>
      <c r="H2901" s="22" t="n">
        <v>25529689.5</v>
      </c>
      <c r="I2901" s="22" t="n">
        <v>20000000</v>
      </c>
      <c r="J2901" s="21">
        <f>IF(OR(H2901="",H2901=25529689.5),"Yes","No")</f>
        <v/>
      </c>
      <c r="K2901" s="21">
        <f>IF(AND(D2901="USA",C2901&gt;=1980,J2901="No"),"Yes","No")</f>
        <v/>
      </c>
      <c r="L2901" s="26">
        <f>IF(J2901="Yes","",H2901-I2901)</f>
        <v/>
      </c>
      <c r="M2901" s="27">
        <f>IF(OR(J2901="Yes",I2901=0),"",H2901/I2901)</f>
        <v/>
      </c>
      <c r="N2901" s="21">
        <f>IF(J2901="Yes","",IF(H2901&gt;=I2901,1,0))</f>
        <v/>
      </c>
      <c r="O2901" s="21">
        <f>IF(I2901&lt;=5000000,"Under $5M",IF(I2901&lt;=20000000,"$5M-20M",IF(I2901&lt;=50000000,"$20M-50M",IF(I2901&lt;=100000000,"$50M-100M","$100M+"))))</f>
        <v/>
      </c>
      <c r="P2901" s="21">
        <f>IF(E2901&lt;=90,"90 or less",IF(E2901&lt;=105,"91-105",IF(E2901&lt;=120,"106-120",IF(E2901&lt;=140,"121-140","Over 140"))))</f>
        <v/>
      </c>
      <c r="Q2901" s="28">
        <f>INT(C2901/10)*10</f>
        <v/>
      </c>
    </row>
    <row r="2902">
      <c r="A2902" s="21" t="n">
        <v>2963</v>
      </c>
      <c r="B2902" s="21" t="inlineStr">
        <is>
          <t>Be Kind Rewind</t>
        </is>
      </c>
      <c r="C2902" s="21" t="n">
        <v>2008</v>
      </c>
      <c r="D2902" s="21" t="inlineStr">
        <is>
          <t>UK</t>
        </is>
      </c>
      <c r="E2902" s="21" t="n">
        <v>102</v>
      </c>
      <c r="F2902" s="21" t="inlineStr">
        <is>
          <t>English</t>
        </is>
      </c>
      <c r="G2902" s="21" t="inlineStr">
        <is>
          <t>PG-13</t>
        </is>
      </c>
      <c r="H2902" s="22" t="n">
        <v>11169531</v>
      </c>
      <c r="I2902" s="22" t="n">
        <v>20000000</v>
      </c>
      <c r="J2902" s="21">
        <f>IF(OR(H2902="",H2902=25529689.5),"Yes","No")</f>
        <v/>
      </c>
      <c r="K2902" s="21">
        <f>IF(AND(D2902="USA",C2902&gt;=1980,J2902="No"),"Yes","No")</f>
        <v/>
      </c>
      <c r="L2902" s="26">
        <f>IF(J2902="Yes","",H2902-I2902)</f>
        <v/>
      </c>
      <c r="M2902" s="27">
        <f>IF(OR(J2902="Yes",I2902=0),"",H2902/I2902)</f>
        <v/>
      </c>
      <c r="N2902" s="21">
        <f>IF(J2902="Yes","",IF(H2902&gt;=I2902,1,0))</f>
        <v/>
      </c>
      <c r="O2902" s="21">
        <f>IF(I2902&lt;=5000000,"Under $5M",IF(I2902&lt;=20000000,"$5M-20M",IF(I2902&lt;=50000000,"$20M-50M",IF(I2902&lt;=100000000,"$50M-100M","$100M+"))))</f>
        <v/>
      </c>
      <c r="P2902" s="21">
        <f>IF(E2902&lt;=90,"90 or less",IF(E2902&lt;=105,"91-105",IF(E2902&lt;=120,"106-120",IF(E2902&lt;=140,"121-140","Over 140"))))</f>
        <v/>
      </c>
      <c r="Q2902" s="28">
        <f>INT(C2902/10)*10</f>
        <v/>
      </c>
    </row>
    <row r="2903">
      <c r="A2903" s="21" t="n">
        <v>2964</v>
      </c>
      <c r="B2903" s="21" t="inlineStr">
        <is>
          <t>Bedtime Stories</t>
        </is>
      </c>
      <c r="C2903" s="21" t="n">
        <v>2008</v>
      </c>
      <c r="D2903" s="21" t="inlineStr">
        <is>
          <t>USA</t>
        </is>
      </c>
      <c r="E2903" s="21" t="n">
        <v>99</v>
      </c>
      <c r="F2903" s="21" t="inlineStr">
        <is>
          <t>English</t>
        </is>
      </c>
      <c r="G2903" s="21" t="inlineStr">
        <is>
          <t>PG</t>
        </is>
      </c>
      <c r="H2903" s="22" t="n">
        <v>109993847</v>
      </c>
      <c r="I2903" s="22" t="n">
        <v>80000000</v>
      </c>
      <c r="J2903" s="21">
        <f>IF(OR(H2903="",H2903=25529689.5),"Yes","No")</f>
        <v/>
      </c>
      <c r="K2903" s="21">
        <f>IF(AND(D2903="USA",C2903&gt;=1980,J2903="No"),"Yes","No")</f>
        <v/>
      </c>
      <c r="L2903" s="26">
        <f>IF(J2903="Yes","",H2903-I2903)</f>
        <v/>
      </c>
      <c r="M2903" s="27">
        <f>IF(OR(J2903="Yes",I2903=0),"",H2903/I2903)</f>
        <v/>
      </c>
      <c r="N2903" s="21">
        <f>IF(J2903="Yes","",IF(H2903&gt;=I2903,1,0))</f>
        <v/>
      </c>
      <c r="O2903" s="21">
        <f>IF(I2903&lt;=5000000,"Under $5M",IF(I2903&lt;=20000000,"$5M-20M",IF(I2903&lt;=50000000,"$20M-50M",IF(I2903&lt;=100000000,"$50M-100M","$100M+"))))</f>
        <v/>
      </c>
      <c r="P2903" s="21">
        <f>IF(E2903&lt;=90,"90 or less",IF(E2903&lt;=105,"91-105",IF(E2903&lt;=120,"106-120",IF(E2903&lt;=140,"121-140","Over 140"))))</f>
        <v/>
      </c>
      <c r="Q2903" s="28">
        <f>INT(C2903/10)*10</f>
        <v/>
      </c>
    </row>
    <row r="2904">
      <c r="A2904" s="21" t="n">
        <v>2965</v>
      </c>
      <c r="B2904" s="21" t="inlineStr">
        <is>
          <t>Beverly Hills Chihuahua</t>
        </is>
      </c>
      <c r="C2904" s="21" t="n">
        <v>2008</v>
      </c>
      <c r="D2904" s="21" t="inlineStr">
        <is>
          <t>USA</t>
        </is>
      </c>
      <c r="E2904" s="21" t="n">
        <v>91</v>
      </c>
      <c r="F2904" s="21" t="inlineStr">
        <is>
          <t>English</t>
        </is>
      </c>
      <c r="G2904" s="21" t="inlineStr">
        <is>
          <t>PG</t>
        </is>
      </c>
      <c r="H2904" s="22" t="n">
        <v>94497271</v>
      </c>
      <c r="I2904" s="22" t="n">
        <v>20000000</v>
      </c>
      <c r="J2904" s="21">
        <f>IF(OR(H2904="",H2904=25529689.5),"Yes","No")</f>
        <v/>
      </c>
      <c r="K2904" s="21">
        <f>IF(AND(D2904="USA",C2904&gt;=1980,J2904="No"),"Yes","No")</f>
        <v/>
      </c>
      <c r="L2904" s="26">
        <f>IF(J2904="Yes","",H2904-I2904)</f>
        <v/>
      </c>
      <c r="M2904" s="27">
        <f>IF(OR(J2904="Yes",I2904=0),"",H2904/I2904)</f>
        <v/>
      </c>
      <c r="N2904" s="21">
        <f>IF(J2904="Yes","",IF(H2904&gt;=I2904,1,0))</f>
        <v/>
      </c>
      <c r="O2904" s="21">
        <f>IF(I2904&lt;=5000000,"Under $5M",IF(I2904&lt;=20000000,"$5M-20M",IF(I2904&lt;=50000000,"$20M-50M",IF(I2904&lt;=100000000,"$50M-100M","$100M+"))))</f>
        <v/>
      </c>
      <c r="P2904" s="21">
        <f>IF(E2904&lt;=90,"90 or less",IF(E2904&lt;=105,"91-105",IF(E2904&lt;=120,"106-120",IF(E2904&lt;=140,"121-140","Over 140"))))</f>
        <v/>
      </c>
      <c r="Q2904" s="28">
        <f>INT(C2904/10)*10</f>
        <v/>
      </c>
    </row>
    <row r="2905">
      <c r="A2905" s="21" t="n">
        <v>2966</v>
      </c>
      <c r="B2905" s="21" t="inlineStr">
        <is>
          <t>Blindness</t>
        </is>
      </c>
      <c r="C2905" s="21" t="n">
        <v>2008</v>
      </c>
      <c r="D2905" s="21" t="inlineStr">
        <is>
          <t>Canada</t>
        </is>
      </c>
      <c r="E2905" s="21" t="n">
        <v>121</v>
      </c>
      <c r="F2905" s="21" t="inlineStr">
        <is>
          <t>English</t>
        </is>
      </c>
      <c r="G2905" s="21" t="inlineStr">
        <is>
          <t>R</t>
        </is>
      </c>
      <c r="H2905" s="22" t="n">
        <v>3073392</v>
      </c>
      <c r="I2905" s="22" t="n">
        <v>25000000</v>
      </c>
      <c r="J2905" s="21">
        <f>IF(OR(H2905="",H2905=25529689.5),"Yes","No")</f>
        <v/>
      </c>
      <c r="K2905" s="21">
        <f>IF(AND(D2905="USA",C2905&gt;=1980,J2905="No"),"Yes","No")</f>
        <v/>
      </c>
      <c r="L2905" s="26">
        <f>IF(J2905="Yes","",H2905-I2905)</f>
        <v/>
      </c>
      <c r="M2905" s="27">
        <f>IF(OR(J2905="Yes",I2905=0),"",H2905/I2905)</f>
        <v/>
      </c>
      <c r="N2905" s="21">
        <f>IF(J2905="Yes","",IF(H2905&gt;=I2905,1,0))</f>
        <v/>
      </c>
      <c r="O2905" s="21">
        <f>IF(I2905&lt;=5000000,"Under $5M",IF(I2905&lt;=20000000,"$5M-20M",IF(I2905&lt;=50000000,"$20M-50M",IF(I2905&lt;=100000000,"$50M-100M","$100M+"))))</f>
        <v/>
      </c>
      <c r="P2905" s="21">
        <f>IF(E2905&lt;=90,"90 or less",IF(E2905&lt;=105,"91-105",IF(E2905&lt;=120,"106-120",IF(E2905&lt;=140,"121-140","Over 140"))))</f>
        <v/>
      </c>
      <c r="Q2905" s="28">
        <f>INT(C2905/10)*10</f>
        <v/>
      </c>
    </row>
    <row r="2906">
      <c r="A2906" s="21" t="n">
        <v>2967</v>
      </c>
      <c r="B2906" s="21" t="inlineStr">
        <is>
          <t>Body of Lies</t>
        </is>
      </c>
      <c r="C2906" s="21" t="n">
        <v>2008</v>
      </c>
      <c r="D2906" s="21" t="inlineStr">
        <is>
          <t>USA</t>
        </is>
      </c>
      <c r="E2906" s="21" t="n">
        <v>128</v>
      </c>
      <c r="F2906" s="21" t="inlineStr">
        <is>
          <t>English</t>
        </is>
      </c>
      <c r="G2906" s="21" t="inlineStr">
        <is>
          <t>R</t>
        </is>
      </c>
      <c r="H2906" s="22" t="n">
        <v>39380442</v>
      </c>
      <c r="I2906" s="22" t="n">
        <v>70000000</v>
      </c>
      <c r="J2906" s="21">
        <f>IF(OR(H2906="",H2906=25529689.5),"Yes","No")</f>
        <v/>
      </c>
      <c r="K2906" s="21">
        <f>IF(AND(D2906="USA",C2906&gt;=1980,J2906="No"),"Yes","No")</f>
        <v/>
      </c>
      <c r="L2906" s="26">
        <f>IF(J2906="Yes","",H2906-I2906)</f>
        <v/>
      </c>
      <c r="M2906" s="27">
        <f>IF(OR(J2906="Yes",I2906=0),"",H2906/I2906)</f>
        <v/>
      </c>
      <c r="N2906" s="21">
        <f>IF(J2906="Yes","",IF(H2906&gt;=I2906,1,0))</f>
        <v/>
      </c>
      <c r="O2906" s="21">
        <f>IF(I2906&lt;=5000000,"Under $5M",IF(I2906&lt;=20000000,"$5M-20M",IF(I2906&lt;=50000000,"$20M-50M",IF(I2906&lt;=100000000,"$50M-100M","$100M+"))))</f>
        <v/>
      </c>
      <c r="P2906" s="21">
        <f>IF(E2906&lt;=90,"90 or less",IF(E2906&lt;=105,"91-105",IF(E2906&lt;=120,"106-120",IF(E2906&lt;=140,"121-140","Over 140"))))</f>
        <v/>
      </c>
      <c r="Q2906" s="28">
        <f>INT(C2906/10)*10</f>
        <v/>
      </c>
    </row>
    <row r="2907">
      <c r="A2907" s="21" t="n">
        <v>2968</v>
      </c>
      <c r="B2907" s="21" t="inlineStr">
        <is>
          <t>Bolt</t>
        </is>
      </c>
      <c r="C2907" s="21" t="n">
        <v>2008</v>
      </c>
      <c r="D2907" s="21" t="inlineStr">
        <is>
          <t>USA</t>
        </is>
      </c>
      <c r="E2907" s="21" t="n">
        <v>96</v>
      </c>
      <c r="F2907" s="21" t="inlineStr">
        <is>
          <t>English</t>
        </is>
      </c>
      <c r="G2907" s="21" t="inlineStr">
        <is>
          <t>PG</t>
        </is>
      </c>
      <c r="H2907" s="22" t="n">
        <v>114053579</v>
      </c>
      <c r="I2907" s="22" t="n">
        <v>150000000</v>
      </c>
      <c r="J2907" s="21">
        <f>IF(OR(H2907="",H2907=25529689.5),"Yes","No")</f>
        <v/>
      </c>
      <c r="K2907" s="21">
        <f>IF(AND(D2907="USA",C2907&gt;=1980,J2907="No"),"Yes","No")</f>
        <v/>
      </c>
      <c r="L2907" s="26">
        <f>IF(J2907="Yes","",H2907-I2907)</f>
        <v/>
      </c>
      <c r="M2907" s="27">
        <f>IF(OR(J2907="Yes",I2907=0),"",H2907/I2907)</f>
        <v/>
      </c>
      <c r="N2907" s="21">
        <f>IF(J2907="Yes","",IF(H2907&gt;=I2907,1,0))</f>
        <v/>
      </c>
      <c r="O2907" s="21">
        <f>IF(I2907&lt;=5000000,"Under $5M",IF(I2907&lt;=20000000,"$5M-20M",IF(I2907&lt;=50000000,"$20M-50M",IF(I2907&lt;=100000000,"$50M-100M","$100M+"))))</f>
        <v/>
      </c>
      <c r="P2907" s="21">
        <f>IF(E2907&lt;=90,"90 or less",IF(E2907&lt;=105,"91-105",IF(E2907&lt;=120,"106-120",IF(E2907&lt;=140,"121-140","Over 140"))))</f>
        <v/>
      </c>
      <c r="Q2907" s="28">
        <f>INT(C2907/10)*10</f>
        <v/>
      </c>
    </row>
    <row r="2908">
      <c r="A2908" s="21" t="n">
        <v>2969</v>
      </c>
      <c r="B2908" s="21" t="inlineStr">
        <is>
          <t>Bottle Shock</t>
        </is>
      </c>
      <c r="C2908" s="21" t="n">
        <v>2008</v>
      </c>
      <c r="D2908" s="21" t="inlineStr">
        <is>
          <t>USA</t>
        </is>
      </c>
      <c r="E2908" s="21" t="n">
        <v>110</v>
      </c>
      <c r="F2908" s="21" t="inlineStr">
        <is>
          <t>English</t>
        </is>
      </c>
      <c r="G2908" s="21" t="inlineStr">
        <is>
          <t>PG-13</t>
        </is>
      </c>
      <c r="H2908" s="22" t="n">
        <v>4040588</v>
      </c>
      <c r="I2908" s="22" t="n">
        <v>5000000</v>
      </c>
      <c r="J2908" s="21">
        <f>IF(OR(H2908="",H2908=25529689.5),"Yes","No")</f>
        <v/>
      </c>
      <c r="K2908" s="21">
        <f>IF(AND(D2908="USA",C2908&gt;=1980,J2908="No"),"Yes","No")</f>
        <v/>
      </c>
      <c r="L2908" s="26">
        <f>IF(J2908="Yes","",H2908-I2908)</f>
        <v/>
      </c>
      <c r="M2908" s="27">
        <f>IF(OR(J2908="Yes",I2908=0),"",H2908/I2908)</f>
        <v/>
      </c>
      <c r="N2908" s="21">
        <f>IF(J2908="Yes","",IF(H2908&gt;=I2908,1,0))</f>
        <v/>
      </c>
      <c r="O2908" s="21">
        <f>IF(I2908&lt;=5000000,"Under $5M",IF(I2908&lt;=20000000,"$5M-20M",IF(I2908&lt;=50000000,"$20M-50M",IF(I2908&lt;=100000000,"$50M-100M","$100M+"))))</f>
        <v/>
      </c>
      <c r="P2908" s="21">
        <f>IF(E2908&lt;=90,"90 or less",IF(E2908&lt;=105,"91-105",IF(E2908&lt;=120,"106-120",IF(E2908&lt;=140,"121-140","Over 140"))))</f>
        <v/>
      </c>
      <c r="Q2908" s="28">
        <f>INT(C2908/10)*10</f>
        <v/>
      </c>
    </row>
    <row r="2909">
      <c r="A2909" s="21" t="n">
        <v>2970</v>
      </c>
      <c r="B2909" s="21" t="inlineStr">
        <is>
          <t>Bronson</t>
        </is>
      </c>
      <c r="C2909" s="21" t="n">
        <v>2008</v>
      </c>
      <c r="D2909" s="21" t="inlineStr">
        <is>
          <t>UK</t>
        </is>
      </c>
      <c r="E2909" s="21" t="n">
        <v>92</v>
      </c>
      <c r="F2909" s="21" t="inlineStr">
        <is>
          <t>English</t>
        </is>
      </c>
      <c r="G2909" s="21" t="inlineStr">
        <is>
          <t>R</t>
        </is>
      </c>
      <c r="H2909" s="22" t="n">
        <v>104792</v>
      </c>
      <c r="I2909" s="22" t="n">
        <v>20000000</v>
      </c>
      <c r="J2909" s="21">
        <f>IF(OR(H2909="",H2909=25529689.5),"Yes","No")</f>
        <v/>
      </c>
      <c r="K2909" s="21">
        <f>IF(AND(D2909="USA",C2909&gt;=1980,J2909="No"),"Yes","No")</f>
        <v/>
      </c>
      <c r="L2909" s="26">
        <f>IF(J2909="Yes","",H2909-I2909)</f>
        <v/>
      </c>
      <c r="M2909" s="27">
        <f>IF(OR(J2909="Yes",I2909=0),"",H2909/I2909)</f>
        <v/>
      </c>
      <c r="N2909" s="21">
        <f>IF(J2909="Yes","",IF(H2909&gt;=I2909,1,0))</f>
        <v/>
      </c>
      <c r="O2909" s="21">
        <f>IF(I2909&lt;=5000000,"Under $5M",IF(I2909&lt;=20000000,"$5M-20M",IF(I2909&lt;=50000000,"$20M-50M",IF(I2909&lt;=100000000,"$50M-100M","$100M+"))))</f>
        <v/>
      </c>
      <c r="P2909" s="21">
        <f>IF(E2909&lt;=90,"90 or less",IF(E2909&lt;=105,"91-105",IF(E2909&lt;=120,"106-120",IF(E2909&lt;=140,"121-140","Over 140"))))</f>
        <v/>
      </c>
      <c r="Q2909" s="28">
        <f>INT(C2909/10)*10</f>
        <v/>
      </c>
    </row>
    <row r="2910">
      <c r="A2910" s="21" t="n">
        <v>2971</v>
      </c>
      <c r="B2910" s="21" t="inlineStr">
        <is>
          <t>Burn After Reading</t>
        </is>
      </c>
      <c r="C2910" s="21" t="n">
        <v>2008</v>
      </c>
      <c r="D2910" s="21" t="inlineStr">
        <is>
          <t>USA</t>
        </is>
      </c>
      <c r="E2910" s="21" t="n">
        <v>96</v>
      </c>
      <c r="F2910" s="21" t="inlineStr">
        <is>
          <t>English</t>
        </is>
      </c>
      <c r="G2910" s="21" t="inlineStr">
        <is>
          <t>R</t>
        </is>
      </c>
      <c r="H2910" s="22" t="n">
        <v>60338891</v>
      </c>
      <c r="I2910" s="22" t="n">
        <v>37000000</v>
      </c>
      <c r="J2910" s="21">
        <f>IF(OR(H2910="",H2910=25529689.5),"Yes","No")</f>
        <v/>
      </c>
      <c r="K2910" s="21">
        <f>IF(AND(D2910="USA",C2910&gt;=1980,J2910="No"),"Yes","No")</f>
        <v/>
      </c>
      <c r="L2910" s="26">
        <f>IF(J2910="Yes","",H2910-I2910)</f>
        <v/>
      </c>
      <c r="M2910" s="27">
        <f>IF(OR(J2910="Yes",I2910=0),"",H2910/I2910)</f>
        <v/>
      </c>
      <c r="N2910" s="21">
        <f>IF(J2910="Yes","",IF(H2910&gt;=I2910,1,0))</f>
        <v/>
      </c>
      <c r="O2910" s="21">
        <f>IF(I2910&lt;=5000000,"Under $5M",IF(I2910&lt;=20000000,"$5M-20M",IF(I2910&lt;=50000000,"$20M-50M",IF(I2910&lt;=100000000,"$50M-100M","$100M+"))))</f>
        <v/>
      </c>
      <c r="P2910" s="21">
        <f>IF(E2910&lt;=90,"90 or less",IF(E2910&lt;=105,"91-105",IF(E2910&lt;=120,"106-120",IF(E2910&lt;=140,"121-140","Over 140"))))</f>
        <v/>
      </c>
      <c r="Q2910" s="28">
        <f>INT(C2910/10)*10</f>
        <v/>
      </c>
    </row>
    <row r="2911">
      <c r="A2911" s="21" t="n">
        <v>2972</v>
      </c>
      <c r="B2911" s="21" t="inlineStr">
        <is>
          <t>Cadillac Records</t>
        </is>
      </c>
      <c r="C2911" s="21" t="n">
        <v>2008</v>
      </c>
      <c r="D2911" s="21" t="inlineStr">
        <is>
          <t>USA</t>
        </is>
      </c>
      <c r="E2911" s="21" t="n">
        <v>109</v>
      </c>
      <c r="F2911" s="21" t="inlineStr">
        <is>
          <t>English</t>
        </is>
      </c>
      <c r="G2911" s="21" t="inlineStr">
        <is>
          <t>R</t>
        </is>
      </c>
      <c r="H2911" s="22" t="n">
        <v>8134217</v>
      </c>
      <c r="I2911" s="22" t="n">
        <v>12000000</v>
      </c>
      <c r="J2911" s="21">
        <f>IF(OR(H2911="",H2911=25529689.5),"Yes","No")</f>
        <v/>
      </c>
      <c r="K2911" s="21">
        <f>IF(AND(D2911="USA",C2911&gt;=1980,J2911="No"),"Yes","No")</f>
        <v/>
      </c>
      <c r="L2911" s="26">
        <f>IF(J2911="Yes","",H2911-I2911)</f>
        <v/>
      </c>
      <c r="M2911" s="27">
        <f>IF(OR(J2911="Yes",I2911=0),"",H2911/I2911)</f>
        <v/>
      </c>
      <c r="N2911" s="21">
        <f>IF(J2911="Yes","",IF(H2911&gt;=I2911,1,0))</f>
        <v/>
      </c>
      <c r="O2911" s="21">
        <f>IF(I2911&lt;=5000000,"Under $5M",IF(I2911&lt;=20000000,"$5M-20M",IF(I2911&lt;=50000000,"$20M-50M",IF(I2911&lt;=100000000,"$50M-100M","$100M+"))))</f>
        <v/>
      </c>
      <c r="P2911" s="21">
        <f>IF(E2911&lt;=90,"90 or less",IF(E2911&lt;=105,"91-105",IF(E2911&lt;=120,"106-120",IF(E2911&lt;=140,"121-140","Over 140"))))</f>
        <v/>
      </c>
      <c r="Q2911" s="28">
        <f>INT(C2911/10)*10</f>
        <v/>
      </c>
    </row>
    <row r="2912">
      <c r="A2912" s="21" t="n">
        <v>2973</v>
      </c>
      <c r="B2912" s="21" t="inlineStr">
        <is>
          <t>Call + Response</t>
        </is>
      </c>
      <c r="C2912" s="21" t="n">
        <v>2008</v>
      </c>
      <c r="D2912" s="21" t="inlineStr">
        <is>
          <t>USA</t>
        </is>
      </c>
      <c r="E2912" s="21" t="n">
        <v>86</v>
      </c>
      <c r="F2912" s="21" t="inlineStr">
        <is>
          <t>English</t>
        </is>
      </c>
      <c r="G2912" s="21" t="inlineStr">
        <is>
          <t>PG-13</t>
        </is>
      </c>
      <c r="H2912" s="22" t="n">
        <v>215185</v>
      </c>
      <c r="I2912" s="22" t="n">
        <v>200000</v>
      </c>
      <c r="J2912" s="21">
        <f>IF(OR(H2912="",H2912=25529689.5),"Yes","No")</f>
        <v/>
      </c>
      <c r="K2912" s="21">
        <f>IF(AND(D2912="USA",C2912&gt;=1980,J2912="No"),"Yes","No")</f>
        <v/>
      </c>
      <c r="L2912" s="26">
        <f>IF(J2912="Yes","",H2912-I2912)</f>
        <v/>
      </c>
      <c r="M2912" s="27">
        <f>IF(OR(J2912="Yes",I2912=0),"",H2912/I2912)</f>
        <v/>
      </c>
      <c r="N2912" s="21">
        <f>IF(J2912="Yes","",IF(H2912&gt;=I2912,1,0))</f>
        <v/>
      </c>
      <c r="O2912" s="21">
        <f>IF(I2912&lt;=5000000,"Under $5M",IF(I2912&lt;=20000000,"$5M-20M",IF(I2912&lt;=50000000,"$20M-50M",IF(I2912&lt;=100000000,"$50M-100M","$100M+"))))</f>
        <v/>
      </c>
      <c r="P2912" s="21">
        <f>IF(E2912&lt;=90,"90 or less",IF(E2912&lt;=105,"91-105",IF(E2912&lt;=120,"106-120",IF(E2912&lt;=140,"121-140","Over 140"))))</f>
        <v/>
      </c>
      <c r="Q2912" s="28">
        <f>INT(C2912/10)*10</f>
        <v/>
      </c>
    </row>
    <row r="2913">
      <c r="A2913" s="21" t="n">
        <v>2974</v>
      </c>
      <c r="B2913" s="21" t="inlineStr">
        <is>
          <t>Changeling</t>
        </is>
      </c>
      <c r="C2913" s="21" t="n">
        <v>2008</v>
      </c>
      <c r="D2913" s="21" t="inlineStr">
        <is>
          <t>USA</t>
        </is>
      </c>
      <c r="E2913" s="21" t="n">
        <v>141</v>
      </c>
      <c r="F2913" s="21" t="inlineStr">
        <is>
          <t>English</t>
        </is>
      </c>
      <c r="G2913" s="21" t="inlineStr">
        <is>
          <t>R</t>
        </is>
      </c>
      <c r="H2913" s="22" t="n">
        <v>35707327</v>
      </c>
      <c r="I2913" s="22" t="n">
        <v>55000000</v>
      </c>
      <c r="J2913" s="21">
        <f>IF(OR(H2913="",H2913=25529689.5),"Yes","No")</f>
        <v/>
      </c>
      <c r="K2913" s="21">
        <f>IF(AND(D2913="USA",C2913&gt;=1980,J2913="No"),"Yes","No")</f>
        <v/>
      </c>
      <c r="L2913" s="26">
        <f>IF(J2913="Yes","",H2913-I2913)</f>
        <v/>
      </c>
      <c r="M2913" s="27">
        <f>IF(OR(J2913="Yes",I2913=0),"",H2913/I2913)</f>
        <v/>
      </c>
      <c r="N2913" s="21">
        <f>IF(J2913="Yes","",IF(H2913&gt;=I2913,1,0))</f>
        <v/>
      </c>
      <c r="O2913" s="21">
        <f>IF(I2913&lt;=5000000,"Under $5M",IF(I2913&lt;=20000000,"$5M-20M",IF(I2913&lt;=50000000,"$20M-50M",IF(I2913&lt;=100000000,"$50M-100M","$100M+"))))</f>
        <v/>
      </c>
      <c r="P2913" s="21">
        <f>IF(E2913&lt;=90,"90 or less",IF(E2913&lt;=105,"91-105",IF(E2913&lt;=120,"106-120",IF(E2913&lt;=140,"121-140","Over 140"))))</f>
        <v/>
      </c>
      <c r="Q2913" s="28">
        <f>INT(C2913/10)*10</f>
        <v/>
      </c>
    </row>
    <row r="2914">
      <c r="A2914" s="21" t="n">
        <v>2975</v>
      </c>
      <c r="B2914" s="21" t="inlineStr">
        <is>
          <t>Childless</t>
        </is>
      </c>
      <c r="C2914" s="21" t="n">
        <v>2008</v>
      </c>
      <c r="D2914" s="21" t="inlineStr">
        <is>
          <t>USA</t>
        </is>
      </c>
      <c r="E2914" s="21" t="n">
        <v>90</v>
      </c>
      <c r="F2914" s="21" t="inlineStr">
        <is>
          <t>English</t>
        </is>
      </c>
      <c r="G2914" s="21" t="inlineStr">
        <is>
          <t>R</t>
        </is>
      </c>
      <c r="H2914" s="22" t="n">
        <v>25529689.5</v>
      </c>
      <c r="I2914" s="22" t="n">
        <v>1000000</v>
      </c>
      <c r="J2914" s="21">
        <f>IF(OR(H2914="",H2914=25529689.5),"Yes","No")</f>
        <v/>
      </c>
      <c r="K2914" s="21">
        <f>IF(AND(D2914="USA",C2914&gt;=1980,J2914="No"),"Yes","No")</f>
        <v/>
      </c>
      <c r="L2914" s="26">
        <f>IF(J2914="Yes","",H2914-I2914)</f>
        <v/>
      </c>
      <c r="M2914" s="27">
        <f>IF(OR(J2914="Yes",I2914=0),"",H2914/I2914)</f>
        <v/>
      </c>
      <c r="N2914" s="21">
        <f>IF(J2914="Yes","",IF(H2914&gt;=I2914,1,0))</f>
        <v/>
      </c>
      <c r="O2914" s="21">
        <f>IF(I2914&lt;=5000000,"Under $5M",IF(I2914&lt;=20000000,"$5M-20M",IF(I2914&lt;=50000000,"$20M-50M",IF(I2914&lt;=100000000,"$50M-100M","$100M+"))))</f>
        <v/>
      </c>
      <c r="P2914" s="21">
        <f>IF(E2914&lt;=90,"90 or less",IF(E2914&lt;=105,"91-105",IF(E2914&lt;=120,"106-120",IF(E2914&lt;=140,"121-140","Over 140"))))</f>
        <v/>
      </c>
      <c r="Q2914" s="28">
        <f>INT(C2914/10)*10</f>
        <v/>
      </c>
    </row>
    <row r="2915">
      <c r="A2915" s="21" t="n">
        <v>2976</v>
      </c>
      <c r="B2915" s="21" t="inlineStr">
        <is>
          <t>Choke</t>
        </is>
      </c>
      <c r="C2915" s="21" t="n">
        <v>2008</v>
      </c>
      <c r="D2915" s="21" t="inlineStr">
        <is>
          <t>USA</t>
        </is>
      </c>
      <c r="E2915" s="21" t="n">
        <v>92</v>
      </c>
      <c r="F2915" s="21" t="inlineStr">
        <is>
          <t>English</t>
        </is>
      </c>
      <c r="G2915" s="21" t="inlineStr">
        <is>
          <t>R</t>
        </is>
      </c>
      <c r="H2915" s="22" t="n">
        <v>2926565</v>
      </c>
      <c r="I2915" s="22" t="n">
        <v>3000000</v>
      </c>
      <c r="J2915" s="21">
        <f>IF(OR(H2915="",H2915=25529689.5),"Yes","No")</f>
        <v/>
      </c>
      <c r="K2915" s="21">
        <f>IF(AND(D2915="USA",C2915&gt;=1980,J2915="No"),"Yes","No")</f>
        <v/>
      </c>
      <c r="L2915" s="26">
        <f>IF(J2915="Yes","",H2915-I2915)</f>
        <v/>
      </c>
      <c r="M2915" s="27">
        <f>IF(OR(J2915="Yes",I2915=0),"",H2915/I2915)</f>
        <v/>
      </c>
      <c r="N2915" s="21">
        <f>IF(J2915="Yes","",IF(H2915&gt;=I2915,1,0))</f>
        <v/>
      </c>
      <c r="O2915" s="21">
        <f>IF(I2915&lt;=5000000,"Under $5M",IF(I2915&lt;=20000000,"$5M-20M",IF(I2915&lt;=50000000,"$20M-50M",IF(I2915&lt;=100000000,"$50M-100M","$100M+"))))</f>
        <v/>
      </c>
      <c r="P2915" s="21">
        <f>IF(E2915&lt;=90,"90 or less",IF(E2915&lt;=105,"91-105",IF(E2915&lt;=120,"106-120",IF(E2915&lt;=140,"121-140","Over 140"))))</f>
        <v/>
      </c>
      <c r="Q2915" s="28">
        <f>INT(C2915/10)*10</f>
        <v/>
      </c>
    </row>
    <row r="2916">
      <c r="A2916" s="21" t="n">
        <v>2977</v>
      </c>
      <c r="B2916" s="21" t="inlineStr">
        <is>
          <t>City of Ember</t>
        </is>
      </c>
      <c r="C2916" s="21" t="n">
        <v>2008</v>
      </c>
      <c r="D2916" s="21" t="inlineStr">
        <is>
          <t>USA</t>
        </is>
      </c>
      <c r="E2916" s="21" t="n">
        <v>90</v>
      </c>
      <c r="F2916" s="21" t="inlineStr">
        <is>
          <t>English</t>
        </is>
      </c>
      <c r="G2916" s="21" t="inlineStr">
        <is>
          <t>PG</t>
        </is>
      </c>
      <c r="H2916" s="22" t="n">
        <v>7871693</v>
      </c>
      <c r="I2916" s="22" t="n">
        <v>55000000</v>
      </c>
      <c r="J2916" s="21">
        <f>IF(OR(H2916="",H2916=25529689.5),"Yes","No")</f>
        <v/>
      </c>
      <c r="K2916" s="21">
        <f>IF(AND(D2916="USA",C2916&gt;=1980,J2916="No"),"Yes","No")</f>
        <v/>
      </c>
      <c r="L2916" s="26">
        <f>IF(J2916="Yes","",H2916-I2916)</f>
        <v/>
      </c>
      <c r="M2916" s="27">
        <f>IF(OR(J2916="Yes",I2916=0),"",H2916/I2916)</f>
        <v/>
      </c>
      <c r="N2916" s="21">
        <f>IF(J2916="Yes","",IF(H2916&gt;=I2916,1,0))</f>
        <v/>
      </c>
      <c r="O2916" s="21">
        <f>IF(I2916&lt;=5000000,"Under $5M",IF(I2916&lt;=20000000,"$5M-20M",IF(I2916&lt;=50000000,"$20M-50M",IF(I2916&lt;=100000000,"$50M-100M","$100M+"))))</f>
        <v/>
      </c>
      <c r="P2916" s="21">
        <f>IF(E2916&lt;=90,"90 or less",IF(E2916&lt;=105,"91-105",IF(E2916&lt;=120,"106-120",IF(E2916&lt;=140,"121-140","Over 140"))))</f>
        <v/>
      </c>
      <c r="Q2916" s="28">
        <f>INT(C2916/10)*10</f>
        <v/>
      </c>
    </row>
    <row r="2917">
      <c r="A2917" s="21" t="n">
        <v>2978</v>
      </c>
      <c r="B2917" s="21" t="inlineStr">
        <is>
          <t>CJ7</t>
        </is>
      </c>
      <c r="C2917" s="21" t="n">
        <v>2008</v>
      </c>
      <c r="D2917" s="21" t="inlineStr">
        <is>
          <t>Hong Kong</t>
        </is>
      </c>
      <c r="E2917" s="21" t="n">
        <v>86</v>
      </c>
      <c r="F2917" s="21" t="inlineStr">
        <is>
          <t>Cantonese</t>
        </is>
      </c>
      <c r="G2917" s="21" t="inlineStr">
        <is>
          <t>PG</t>
        </is>
      </c>
      <c r="H2917" s="22" t="n">
        <v>206678</v>
      </c>
      <c r="I2917" s="22" t="n">
        <v>20000000</v>
      </c>
      <c r="J2917" s="21">
        <f>IF(OR(H2917="",H2917=25529689.5),"Yes","No")</f>
        <v/>
      </c>
      <c r="K2917" s="21">
        <f>IF(AND(D2917="USA",C2917&gt;=1980,J2917="No"),"Yes","No")</f>
        <v/>
      </c>
      <c r="L2917" s="26">
        <f>IF(J2917="Yes","",H2917-I2917)</f>
        <v/>
      </c>
      <c r="M2917" s="27">
        <f>IF(OR(J2917="Yes",I2917=0),"",H2917/I2917)</f>
        <v/>
      </c>
      <c r="N2917" s="21">
        <f>IF(J2917="Yes","",IF(H2917&gt;=I2917,1,0))</f>
        <v/>
      </c>
      <c r="O2917" s="21">
        <f>IF(I2917&lt;=5000000,"Under $5M",IF(I2917&lt;=20000000,"$5M-20M",IF(I2917&lt;=50000000,"$20M-50M",IF(I2917&lt;=100000000,"$50M-100M","$100M+"))))</f>
        <v/>
      </c>
      <c r="P2917" s="21">
        <f>IF(E2917&lt;=90,"90 or less",IF(E2917&lt;=105,"91-105",IF(E2917&lt;=120,"106-120",IF(E2917&lt;=140,"121-140","Over 140"))))</f>
        <v/>
      </c>
      <c r="Q2917" s="28">
        <f>INT(C2917/10)*10</f>
        <v/>
      </c>
    </row>
    <row r="2918">
      <c r="A2918" s="21" t="n">
        <v>2979</v>
      </c>
      <c r="B2918" s="21" t="inlineStr">
        <is>
          <t>Cloverfield</t>
        </is>
      </c>
      <c r="C2918" s="21" t="n">
        <v>2008</v>
      </c>
      <c r="D2918" s="21" t="inlineStr">
        <is>
          <t>USA</t>
        </is>
      </c>
      <c r="E2918" s="21" t="n">
        <v>85</v>
      </c>
      <c r="F2918" s="21" t="inlineStr">
        <is>
          <t>English</t>
        </is>
      </c>
      <c r="G2918" s="21" t="inlineStr">
        <is>
          <t>PG-13</t>
        </is>
      </c>
      <c r="H2918" s="22" t="n">
        <v>80034302</v>
      </c>
      <c r="I2918" s="22" t="n">
        <v>25000000</v>
      </c>
      <c r="J2918" s="21">
        <f>IF(OR(H2918="",H2918=25529689.5),"Yes","No")</f>
        <v/>
      </c>
      <c r="K2918" s="21">
        <f>IF(AND(D2918="USA",C2918&gt;=1980,J2918="No"),"Yes","No")</f>
        <v/>
      </c>
      <c r="L2918" s="26">
        <f>IF(J2918="Yes","",H2918-I2918)</f>
        <v/>
      </c>
      <c r="M2918" s="27">
        <f>IF(OR(J2918="Yes",I2918=0),"",H2918/I2918)</f>
        <v/>
      </c>
      <c r="N2918" s="21">
        <f>IF(J2918="Yes","",IF(H2918&gt;=I2918,1,0))</f>
        <v/>
      </c>
      <c r="O2918" s="21">
        <f>IF(I2918&lt;=5000000,"Under $5M",IF(I2918&lt;=20000000,"$5M-20M",IF(I2918&lt;=50000000,"$20M-50M",IF(I2918&lt;=100000000,"$50M-100M","$100M+"))))</f>
        <v/>
      </c>
      <c r="P2918" s="21">
        <f>IF(E2918&lt;=90,"90 or less",IF(E2918&lt;=105,"91-105",IF(E2918&lt;=120,"106-120",IF(E2918&lt;=140,"121-140","Over 140"))))</f>
        <v/>
      </c>
      <c r="Q2918" s="28">
        <f>INT(C2918/10)*10</f>
        <v/>
      </c>
    </row>
    <row r="2919">
      <c r="A2919" s="21" t="n">
        <v>2980</v>
      </c>
      <c r="B2919" s="21" t="inlineStr">
        <is>
          <t>College</t>
        </is>
      </c>
      <c r="C2919" s="21" t="n">
        <v>2008</v>
      </c>
      <c r="D2919" s="21" t="inlineStr">
        <is>
          <t>USA</t>
        </is>
      </c>
      <c r="E2919" s="21" t="n">
        <v>94</v>
      </c>
      <c r="F2919" s="21" t="inlineStr">
        <is>
          <t>English</t>
        </is>
      </c>
      <c r="G2919" s="21" t="inlineStr">
        <is>
          <t>R</t>
        </is>
      </c>
      <c r="H2919" s="22" t="n">
        <v>4693919</v>
      </c>
      <c r="I2919" s="22" t="n">
        <v>6500000</v>
      </c>
      <c r="J2919" s="21">
        <f>IF(OR(H2919="",H2919=25529689.5),"Yes","No")</f>
        <v/>
      </c>
      <c r="K2919" s="21">
        <f>IF(AND(D2919="USA",C2919&gt;=1980,J2919="No"),"Yes","No")</f>
        <v/>
      </c>
      <c r="L2919" s="26">
        <f>IF(J2919="Yes","",H2919-I2919)</f>
        <v/>
      </c>
      <c r="M2919" s="27">
        <f>IF(OR(J2919="Yes",I2919=0),"",H2919/I2919)</f>
        <v/>
      </c>
      <c r="N2919" s="21">
        <f>IF(J2919="Yes","",IF(H2919&gt;=I2919,1,0))</f>
        <v/>
      </c>
      <c r="O2919" s="21">
        <f>IF(I2919&lt;=5000000,"Under $5M",IF(I2919&lt;=20000000,"$5M-20M",IF(I2919&lt;=50000000,"$20M-50M",IF(I2919&lt;=100000000,"$50M-100M","$100M+"))))</f>
        <v/>
      </c>
      <c r="P2919" s="21">
        <f>IF(E2919&lt;=90,"90 or less",IF(E2919&lt;=105,"91-105",IF(E2919&lt;=120,"106-120",IF(E2919&lt;=140,"121-140","Over 140"))))</f>
        <v/>
      </c>
      <c r="Q2919" s="28">
        <f>INT(C2919/10)*10</f>
        <v/>
      </c>
    </row>
    <row r="2920">
      <c r="A2920" s="21" t="n">
        <v>2981</v>
      </c>
      <c r="B2920" s="21" t="inlineStr">
        <is>
          <t>Death Race</t>
        </is>
      </c>
      <c r="C2920" s="21" t="n">
        <v>2008</v>
      </c>
      <c r="D2920" s="21" t="inlineStr">
        <is>
          <t>USA</t>
        </is>
      </c>
      <c r="E2920" s="21" t="n">
        <v>111</v>
      </c>
      <c r="F2920" s="21" t="inlineStr">
        <is>
          <t>English</t>
        </is>
      </c>
      <c r="G2920" s="21" t="inlineStr">
        <is>
          <t>R</t>
        </is>
      </c>
      <c r="H2920" s="22" t="n">
        <v>36064910</v>
      </c>
      <c r="I2920" s="22" t="n">
        <v>45000000</v>
      </c>
      <c r="J2920" s="21">
        <f>IF(OR(H2920="",H2920=25529689.5),"Yes","No")</f>
        <v/>
      </c>
      <c r="K2920" s="21">
        <f>IF(AND(D2920="USA",C2920&gt;=1980,J2920="No"),"Yes","No")</f>
        <v/>
      </c>
      <c r="L2920" s="26">
        <f>IF(J2920="Yes","",H2920-I2920)</f>
        <v/>
      </c>
      <c r="M2920" s="27">
        <f>IF(OR(J2920="Yes",I2920=0),"",H2920/I2920)</f>
        <v/>
      </c>
      <c r="N2920" s="21">
        <f>IF(J2920="Yes","",IF(H2920&gt;=I2920,1,0))</f>
        <v/>
      </c>
      <c r="O2920" s="21">
        <f>IF(I2920&lt;=5000000,"Under $5M",IF(I2920&lt;=20000000,"$5M-20M",IF(I2920&lt;=50000000,"$20M-50M",IF(I2920&lt;=100000000,"$50M-100M","$100M+"))))</f>
        <v/>
      </c>
      <c r="P2920" s="21">
        <f>IF(E2920&lt;=90,"90 or less",IF(E2920&lt;=105,"91-105",IF(E2920&lt;=120,"106-120",IF(E2920&lt;=140,"121-140","Over 140"))))</f>
        <v/>
      </c>
      <c r="Q2920" s="28">
        <f>INT(C2920/10)*10</f>
        <v/>
      </c>
    </row>
    <row r="2921">
      <c r="A2921" s="21" t="n">
        <v>2982</v>
      </c>
      <c r="B2921" s="21" t="inlineStr">
        <is>
          <t>Definitely, Maybe</t>
        </is>
      </c>
      <c r="C2921" s="21" t="n">
        <v>2008</v>
      </c>
      <c r="D2921" s="21" t="inlineStr">
        <is>
          <t>Germany</t>
        </is>
      </c>
      <c r="E2921" s="21" t="n">
        <v>112</v>
      </c>
      <c r="F2921" s="21" t="inlineStr">
        <is>
          <t>English</t>
        </is>
      </c>
      <c r="G2921" s="21" t="inlineStr">
        <is>
          <t>PG-13</t>
        </is>
      </c>
      <c r="H2921" s="22" t="n">
        <v>31973840</v>
      </c>
      <c r="I2921" s="22" t="n">
        <v>20000000</v>
      </c>
      <c r="J2921" s="21">
        <f>IF(OR(H2921="",H2921=25529689.5),"Yes","No")</f>
        <v/>
      </c>
      <c r="K2921" s="21">
        <f>IF(AND(D2921="USA",C2921&gt;=1980,J2921="No"),"Yes","No")</f>
        <v/>
      </c>
      <c r="L2921" s="26">
        <f>IF(J2921="Yes","",H2921-I2921)</f>
        <v/>
      </c>
      <c r="M2921" s="27">
        <f>IF(OR(J2921="Yes",I2921=0),"",H2921/I2921)</f>
        <v/>
      </c>
      <c r="N2921" s="21">
        <f>IF(J2921="Yes","",IF(H2921&gt;=I2921,1,0))</f>
        <v/>
      </c>
      <c r="O2921" s="21">
        <f>IF(I2921&lt;=5000000,"Under $5M",IF(I2921&lt;=20000000,"$5M-20M",IF(I2921&lt;=50000000,"$20M-50M",IF(I2921&lt;=100000000,"$50M-100M","$100M+"))))</f>
        <v/>
      </c>
      <c r="P2921" s="21">
        <f>IF(E2921&lt;=90,"90 or less",IF(E2921&lt;=105,"91-105",IF(E2921&lt;=120,"106-120",IF(E2921&lt;=140,"121-140","Over 140"))))</f>
        <v/>
      </c>
      <c r="Q2921" s="28">
        <f>INT(C2921/10)*10</f>
        <v/>
      </c>
    </row>
    <row r="2922">
      <c r="A2922" s="21" t="n">
        <v>2983</v>
      </c>
      <c r="B2922" s="21" t="inlineStr">
        <is>
          <t>Delgo</t>
        </is>
      </c>
      <c r="C2922" s="21" t="n">
        <v>2008</v>
      </c>
      <c r="D2922" s="21" t="inlineStr">
        <is>
          <t>USA</t>
        </is>
      </c>
      <c r="E2922" s="21" t="n">
        <v>94</v>
      </c>
      <c r="F2922" s="21" t="inlineStr">
        <is>
          <t>English</t>
        </is>
      </c>
      <c r="G2922" s="21" t="inlineStr">
        <is>
          <t>PG</t>
        </is>
      </c>
      <c r="H2922" s="22" t="n">
        <v>511920</v>
      </c>
      <c r="I2922" s="22" t="n">
        <v>40000000</v>
      </c>
      <c r="J2922" s="21">
        <f>IF(OR(H2922="",H2922=25529689.5),"Yes","No")</f>
        <v/>
      </c>
      <c r="K2922" s="21">
        <f>IF(AND(D2922="USA",C2922&gt;=1980,J2922="No"),"Yes","No")</f>
        <v/>
      </c>
      <c r="L2922" s="26">
        <f>IF(J2922="Yes","",H2922-I2922)</f>
        <v/>
      </c>
      <c r="M2922" s="27">
        <f>IF(OR(J2922="Yes",I2922=0),"",H2922/I2922)</f>
        <v/>
      </c>
      <c r="N2922" s="21">
        <f>IF(J2922="Yes","",IF(H2922&gt;=I2922,1,0))</f>
        <v/>
      </c>
      <c r="O2922" s="21">
        <f>IF(I2922&lt;=5000000,"Under $5M",IF(I2922&lt;=20000000,"$5M-20M",IF(I2922&lt;=50000000,"$20M-50M",IF(I2922&lt;=100000000,"$50M-100M","$100M+"))))</f>
        <v/>
      </c>
      <c r="P2922" s="21">
        <f>IF(E2922&lt;=90,"90 or less",IF(E2922&lt;=105,"91-105",IF(E2922&lt;=120,"106-120",IF(E2922&lt;=140,"121-140","Over 140"))))</f>
        <v/>
      </c>
      <c r="Q2922" s="28">
        <f>INT(C2922/10)*10</f>
        <v/>
      </c>
    </row>
    <row r="2923">
      <c r="A2923" s="21" t="n">
        <v>2984</v>
      </c>
      <c r="B2923" s="21" t="inlineStr">
        <is>
          <t>Disaster Movie</t>
        </is>
      </c>
      <c r="C2923" s="21" t="n">
        <v>2008</v>
      </c>
      <c r="D2923" s="21" t="inlineStr">
        <is>
          <t>USA</t>
        </is>
      </c>
      <c r="E2923" s="21" t="n">
        <v>88</v>
      </c>
      <c r="F2923" s="21" t="inlineStr">
        <is>
          <t>English</t>
        </is>
      </c>
      <c r="G2923" s="21" t="inlineStr">
        <is>
          <t>PG-13</t>
        </is>
      </c>
      <c r="H2923" s="22" t="n">
        <v>14174654</v>
      </c>
      <c r="I2923" s="22" t="n">
        <v>25000000</v>
      </c>
      <c r="J2923" s="21">
        <f>IF(OR(H2923="",H2923=25529689.5),"Yes","No")</f>
        <v/>
      </c>
      <c r="K2923" s="21">
        <f>IF(AND(D2923="USA",C2923&gt;=1980,J2923="No"),"Yes","No")</f>
        <v/>
      </c>
      <c r="L2923" s="26">
        <f>IF(J2923="Yes","",H2923-I2923)</f>
        <v/>
      </c>
      <c r="M2923" s="27">
        <f>IF(OR(J2923="Yes",I2923=0),"",H2923/I2923)</f>
        <v/>
      </c>
      <c r="N2923" s="21">
        <f>IF(J2923="Yes","",IF(H2923&gt;=I2923,1,0))</f>
        <v/>
      </c>
      <c r="O2923" s="21">
        <f>IF(I2923&lt;=5000000,"Under $5M",IF(I2923&lt;=20000000,"$5M-20M",IF(I2923&lt;=50000000,"$20M-50M",IF(I2923&lt;=100000000,"$50M-100M","$100M+"))))</f>
        <v/>
      </c>
      <c r="P2923" s="21">
        <f>IF(E2923&lt;=90,"90 or less",IF(E2923&lt;=105,"91-105",IF(E2923&lt;=120,"106-120",IF(E2923&lt;=140,"121-140","Over 140"))))</f>
        <v/>
      </c>
      <c r="Q2923" s="28">
        <f>INT(C2923/10)*10</f>
        <v/>
      </c>
    </row>
    <row r="2924">
      <c r="A2924" s="21" t="n">
        <v>2985</v>
      </c>
      <c r="B2924" s="21" t="inlineStr">
        <is>
          <t>Dolphins and Whales 3D: Tribes of the Ocean</t>
        </is>
      </c>
      <c r="C2924" s="21" t="n">
        <v>2008</v>
      </c>
      <c r="D2924" s="21" t="inlineStr">
        <is>
          <t>UK</t>
        </is>
      </c>
      <c r="E2924" s="21" t="n">
        <v>42</v>
      </c>
      <c r="F2924" s="21" t="inlineStr">
        <is>
          <t>English</t>
        </is>
      </c>
      <c r="G2924" s="21" t="n"/>
      <c r="H2924" s="22" t="n">
        <v>7518876</v>
      </c>
      <c r="I2924" s="22" t="n">
        <v>6000000</v>
      </c>
      <c r="J2924" s="21">
        <f>IF(OR(H2924="",H2924=25529689.5),"Yes","No")</f>
        <v/>
      </c>
      <c r="K2924" s="21">
        <f>IF(AND(D2924="USA",C2924&gt;=1980,J2924="No"),"Yes","No")</f>
        <v/>
      </c>
      <c r="L2924" s="26">
        <f>IF(J2924="Yes","",H2924-I2924)</f>
        <v/>
      </c>
      <c r="M2924" s="27">
        <f>IF(OR(J2924="Yes",I2924=0),"",H2924/I2924)</f>
        <v/>
      </c>
      <c r="N2924" s="21">
        <f>IF(J2924="Yes","",IF(H2924&gt;=I2924,1,0))</f>
        <v/>
      </c>
      <c r="O2924" s="21">
        <f>IF(I2924&lt;=5000000,"Under $5M",IF(I2924&lt;=20000000,"$5M-20M",IF(I2924&lt;=50000000,"$20M-50M",IF(I2924&lt;=100000000,"$50M-100M","$100M+"))))</f>
        <v/>
      </c>
      <c r="P2924" s="21">
        <f>IF(E2924&lt;=90,"90 or less",IF(E2924&lt;=105,"91-105",IF(E2924&lt;=120,"106-120",IF(E2924&lt;=140,"121-140","Over 140"))))</f>
        <v/>
      </c>
      <c r="Q2924" s="28">
        <f>INT(C2924/10)*10</f>
        <v/>
      </c>
    </row>
    <row r="2925">
      <c r="A2925" s="21" t="n">
        <v>2986</v>
      </c>
      <c r="B2925" s="21" t="inlineStr">
        <is>
          <t>Donkey Punch</t>
        </is>
      </c>
      <c r="C2925" s="21" t="n">
        <v>2008</v>
      </c>
      <c r="D2925" s="21" t="inlineStr">
        <is>
          <t>UK</t>
        </is>
      </c>
      <c r="E2925" s="21" t="n">
        <v>99</v>
      </c>
      <c r="F2925" s="21" t="inlineStr">
        <is>
          <t>English</t>
        </is>
      </c>
      <c r="G2925" s="21" t="inlineStr">
        <is>
          <t>R</t>
        </is>
      </c>
      <c r="H2925" s="22" t="n">
        <v>18378</v>
      </c>
      <c r="I2925" s="22" t="n">
        <v>900000</v>
      </c>
      <c r="J2925" s="21">
        <f>IF(OR(H2925="",H2925=25529689.5),"Yes","No")</f>
        <v/>
      </c>
      <c r="K2925" s="21">
        <f>IF(AND(D2925="USA",C2925&gt;=1980,J2925="No"),"Yes","No")</f>
        <v/>
      </c>
      <c r="L2925" s="26">
        <f>IF(J2925="Yes","",H2925-I2925)</f>
        <v/>
      </c>
      <c r="M2925" s="27">
        <f>IF(OR(J2925="Yes",I2925=0),"",H2925/I2925)</f>
        <v/>
      </c>
      <c r="N2925" s="21">
        <f>IF(J2925="Yes","",IF(H2925&gt;=I2925,1,0))</f>
        <v/>
      </c>
      <c r="O2925" s="21">
        <f>IF(I2925&lt;=5000000,"Under $5M",IF(I2925&lt;=20000000,"$5M-20M",IF(I2925&lt;=50000000,"$20M-50M",IF(I2925&lt;=100000000,"$50M-100M","$100M+"))))</f>
        <v/>
      </c>
      <c r="P2925" s="21">
        <f>IF(E2925&lt;=90,"90 or less",IF(E2925&lt;=105,"91-105",IF(E2925&lt;=120,"106-120",IF(E2925&lt;=140,"121-140","Over 140"))))</f>
        <v/>
      </c>
      <c r="Q2925" s="28">
        <f>INT(C2925/10)*10</f>
        <v/>
      </c>
    </row>
    <row r="2926">
      <c r="A2926" s="21" t="n">
        <v>2987</v>
      </c>
      <c r="B2926" s="21" t="inlineStr">
        <is>
          <t>Doomsday</t>
        </is>
      </c>
      <c r="C2926" s="21" t="n">
        <v>2008</v>
      </c>
      <c r="D2926" s="21" t="inlineStr">
        <is>
          <t>UK</t>
        </is>
      </c>
      <c r="E2926" s="21" t="n">
        <v>113</v>
      </c>
      <c r="F2926" s="21" t="inlineStr">
        <is>
          <t>English</t>
        </is>
      </c>
      <c r="G2926" s="21" t="inlineStr">
        <is>
          <t>R</t>
        </is>
      </c>
      <c r="H2926" s="22" t="n">
        <v>10955425</v>
      </c>
      <c r="I2926" s="22" t="n">
        <v>30000000</v>
      </c>
      <c r="J2926" s="21">
        <f>IF(OR(H2926="",H2926=25529689.5),"Yes","No")</f>
        <v/>
      </c>
      <c r="K2926" s="21">
        <f>IF(AND(D2926="USA",C2926&gt;=1980,J2926="No"),"Yes","No")</f>
        <v/>
      </c>
      <c r="L2926" s="26">
        <f>IF(J2926="Yes","",H2926-I2926)</f>
        <v/>
      </c>
      <c r="M2926" s="27">
        <f>IF(OR(J2926="Yes",I2926=0),"",H2926/I2926)</f>
        <v/>
      </c>
      <c r="N2926" s="21">
        <f>IF(J2926="Yes","",IF(H2926&gt;=I2926,1,0))</f>
        <v/>
      </c>
      <c r="O2926" s="21">
        <f>IF(I2926&lt;=5000000,"Under $5M",IF(I2926&lt;=20000000,"$5M-20M",IF(I2926&lt;=50000000,"$20M-50M",IF(I2926&lt;=100000000,"$50M-100M","$100M+"))))</f>
        <v/>
      </c>
      <c r="P2926" s="21">
        <f>IF(E2926&lt;=90,"90 or less",IF(E2926&lt;=105,"91-105",IF(E2926&lt;=120,"106-120",IF(E2926&lt;=140,"121-140","Over 140"))))</f>
        <v/>
      </c>
      <c r="Q2926" s="28">
        <f>INT(C2926/10)*10</f>
        <v/>
      </c>
    </row>
    <row r="2927">
      <c r="A2927" s="21" t="n">
        <v>2988</v>
      </c>
      <c r="B2927" s="21" t="inlineStr">
        <is>
          <t>Doubt</t>
        </is>
      </c>
      <c r="C2927" s="21" t="n">
        <v>2008</v>
      </c>
      <c r="D2927" s="21" t="inlineStr">
        <is>
          <t>USA</t>
        </is>
      </c>
      <c r="E2927" s="21" t="n">
        <v>104</v>
      </c>
      <c r="F2927" s="21" t="inlineStr">
        <is>
          <t>English</t>
        </is>
      </c>
      <c r="G2927" s="21" t="inlineStr">
        <is>
          <t>PG-13</t>
        </is>
      </c>
      <c r="H2927" s="22" t="n">
        <v>33422556</v>
      </c>
      <c r="I2927" s="22" t="n">
        <v>20000000</v>
      </c>
      <c r="J2927" s="21">
        <f>IF(OR(H2927="",H2927=25529689.5),"Yes","No")</f>
        <v/>
      </c>
      <c r="K2927" s="21">
        <f>IF(AND(D2927="USA",C2927&gt;=1980,J2927="No"),"Yes","No")</f>
        <v/>
      </c>
      <c r="L2927" s="26">
        <f>IF(J2927="Yes","",H2927-I2927)</f>
        <v/>
      </c>
      <c r="M2927" s="27">
        <f>IF(OR(J2927="Yes",I2927=0),"",H2927/I2927)</f>
        <v/>
      </c>
      <c r="N2927" s="21">
        <f>IF(J2927="Yes","",IF(H2927&gt;=I2927,1,0))</f>
        <v/>
      </c>
      <c r="O2927" s="21">
        <f>IF(I2927&lt;=5000000,"Under $5M",IF(I2927&lt;=20000000,"$5M-20M",IF(I2927&lt;=50000000,"$20M-50M",IF(I2927&lt;=100000000,"$50M-100M","$100M+"))))</f>
        <v/>
      </c>
      <c r="P2927" s="21">
        <f>IF(E2927&lt;=90,"90 or less",IF(E2927&lt;=105,"91-105",IF(E2927&lt;=120,"106-120",IF(E2927&lt;=140,"121-140","Over 140"))))</f>
        <v/>
      </c>
      <c r="Q2927" s="28">
        <f>INT(C2927/10)*10</f>
        <v/>
      </c>
    </row>
    <row r="2928">
      <c r="A2928" s="21" t="n">
        <v>2989</v>
      </c>
      <c r="B2928" s="21" t="inlineStr">
        <is>
          <t>Dragon Hunters</t>
        </is>
      </c>
      <c r="C2928" s="21" t="n">
        <v>2008</v>
      </c>
      <c r="D2928" s="21" t="inlineStr">
        <is>
          <t>France</t>
        </is>
      </c>
      <c r="E2928" s="21" t="n">
        <v>80</v>
      </c>
      <c r="F2928" s="21" t="inlineStr">
        <is>
          <t>French</t>
        </is>
      </c>
      <c r="G2928" s="21" t="inlineStr">
        <is>
          <t>PG</t>
        </is>
      </c>
      <c r="H2928" s="22" t="n">
        <v>25529689.5</v>
      </c>
      <c r="I2928" s="22" t="n">
        <v>11000000</v>
      </c>
      <c r="J2928" s="21">
        <f>IF(OR(H2928="",H2928=25529689.5),"Yes","No")</f>
        <v/>
      </c>
      <c r="K2928" s="21">
        <f>IF(AND(D2928="USA",C2928&gt;=1980,J2928="No"),"Yes","No")</f>
        <v/>
      </c>
      <c r="L2928" s="26">
        <f>IF(J2928="Yes","",H2928-I2928)</f>
        <v/>
      </c>
      <c r="M2928" s="27">
        <f>IF(OR(J2928="Yes",I2928=0),"",H2928/I2928)</f>
        <v/>
      </c>
      <c r="N2928" s="21">
        <f>IF(J2928="Yes","",IF(H2928&gt;=I2928,1,0))</f>
        <v/>
      </c>
      <c r="O2928" s="21">
        <f>IF(I2928&lt;=5000000,"Under $5M",IF(I2928&lt;=20000000,"$5M-20M",IF(I2928&lt;=50000000,"$20M-50M",IF(I2928&lt;=100000000,"$50M-100M","$100M+"))))</f>
        <v/>
      </c>
      <c r="P2928" s="21">
        <f>IF(E2928&lt;=90,"90 or less",IF(E2928&lt;=105,"91-105",IF(E2928&lt;=120,"106-120",IF(E2928&lt;=140,"121-140","Over 140"))))</f>
        <v/>
      </c>
      <c r="Q2928" s="28">
        <f>INT(C2928/10)*10</f>
        <v/>
      </c>
    </row>
    <row r="2929">
      <c r="A2929" s="21" t="n">
        <v>2990</v>
      </c>
      <c r="B2929" s="21" t="inlineStr">
        <is>
          <t>Drillbit Taylor</t>
        </is>
      </c>
      <c r="C2929" s="21" t="n">
        <v>2008</v>
      </c>
      <c r="D2929" s="21" t="inlineStr">
        <is>
          <t>USA</t>
        </is>
      </c>
      <c r="E2929" s="21" t="n">
        <v>102</v>
      </c>
      <c r="F2929" s="21" t="inlineStr">
        <is>
          <t>English</t>
        </is>
      </c>
      <c r="G2929" s="21" t="inlineStr">
        <is>
          <t>PG-13</t>
        </is>
      </c>
      <c r="H2929" s="22" t="n">
        <v>32853640</v>
      </c>
      <c r="I2929" s="22" t="n">
        <v>40000000</v>
      </c>
      <c r="J2929" s="21">
        <f>IF(OR(H2929="",H2929=25529689.5),"Yes","No")</f>
        <v/>
      </c>
      <c r="K2929" s="21">
        <f>IF(AND(D2929="USA",C2929&gt;=1980,J2929="No"),"Yes","No")</f>
        <v/>
      </c>
      <c r="L2929" s="26">
        <f>IF(J2929="Yes","",H2929-I2929)</f>
        <v/>
      </c>
      <c r="M2929" s="27">
        <f>IF(OR(J2929="Yes",I2929=0),"",H2929/I2929)</f>
        <v/>
      </c>
      <c r="N2929" s="21">
        <f>IF(J2929="Yes","",IF(H2929&gt;=I2929,1,0))</f>
        <v/>
      </c>
      <c r="O2929" s="21">
        <f>IF(I2929&lt;=5000000,"Under $5M",IF(I2929&lt;=20000000,"$5M-20M",IF(I2929&lt;=50000000,"$20M-50M",IF(I2929&lt;=100000000,"$50M-100M","$100M+"))))</f>
        <v/>
      </c>
      <c r="P2929" s="21">
        <f>IF(E2929&lt;=90,"90 or less",IF(E2929&lt;=105,"91-105",IF(E2929&lt;=120,"106-120",IF(E2929&lt;=140,"121-140","Over 140"))))</f>
        <v/>
      </c>
      <c r="Q2929" s="28">
        <f>INT(C2929/10)*10</f>
        <v/>
      </c>
    </row>
    <row r="2930">
      <c r="A2930" s="21" t="n">
        <v>2991</v>
      </c>
      <c r="B2930" s="21" t="inlineStr">
        <is>
          <t>Eagle Eye</t>
        </is>
      </c>
      <c r="C2930" s="21" t="n">
        <v>2008</v>
      </c>
      <c r="D2930" s="21" t="inlineStr">
        <is>
          <t>USA</t>
        </is>
      </c>
      <c r="E2930" s="21" t="n">
        <v>118</v>
      </c>
      <c r="F2930" s="21" t="inlineStr">
        <is>
          <t>English</t>
        </is>
      </c>
      <c r="G2930" s="21" t="inlineStr">
        <is>
          <t>PG-13</t>
        </is>
      </c>
      <c r="H2930" s="22" t="n">
        <v>101111837</v>
      </c>
      <c r="I2930" s="22" t="n">
        <v>80000000</v>
      </c>
      <c r="J2930" s="21">
        <f>IF(OR(H2930="",H2930=25529689.5),"Yes","No")</f>
        <v/>
      </c>
      <c r="K2930" s="21">
        <f>IF(AND(D2930="USA",C2930&gt;=1980,J2930="No"),"Yes","No")</f>
        <v/>
      </c>
      <c r="L2930" s="26">
        <f>IF(J2930="Yes","",H2930-I2930)</f>
        <v/>
      </c>
      <c r="M2930" s="27">
        <f>IF(OR(J2930="Yes",I2930=0),"",H2930/I2930)</f>
        <v/>
      </c>
      <c r="N2930" s="21">
        <f>IF(J2930="Yes","",IF(H2930&gt;=I2930,1,0))</f>
        <v/>
      </c>
      <c r="O2930" s="21">
        <f>IF(I2930&lt;=5000000,"Under $5M",IF(I2930&lt;=20000000,"$5M-20M",IF(I2930&lt;=50000000,"$20M-50M",IF(I2930&lt;=100000000,"$50M-100M","$100M+"))))</f>
        <v/>
      </c>
      <c r="P2930" s="21">
        <f>IF(E2930&lt;=90,"90 or less",IF(E2930&lt;=105,"91-105",IF(E2930&lt;=120,"106-120",IF(E2930&lt;=140,"121-140","Over 140"))))</f>
        <v/>
      </c>
      <c r="Q2930" s="28">
        <f>INT(C2930/10)*10</f>
        <v/>
      </c>
    </row>
    <row r="2931">
      <c r="A2931" s="21" t="n">
        <v>2992</v>
      </c>
      <c r="B2931" s="21" t="inlineStr">
        <is>
          <t>Easy Virtue</t>
        </is>
      </c>
      <c r="C2931" s="21" t="n">
        <v>2008</v>
      </c>
      <c r="D2931" s="21" t="inlineStr">
        <is>
          <t>UK</t>
        </is>
      </c>
      <c r="E2931" s="21" t="n">
        <v>97</v>
      </c>
      <c r="F2931" s="21" t="inlineStr">
        <is>
          <t>English</t>
        </is>
      </c>
      <c r="G2931" s="21" t="inlineStr">
        <is>
          <t>PG-13</t>
        </is>
      </c>
      <c r="H2931" s="22" t="n">
        <v>2656324</v>
      </c>
      <c r="I2931" s="22" t="n">
        <v>20000000</v>
      </c>
      <c r="J2931" s="21">
        <f>IF(OR(H2931="",H2931=25529689.5),"Yes","No")</f>
        <v/>
      </c>
      <c r="K2931" s="21">
        <f>IF(AND(D2931="USA",C2931&gt;=1980,J2931="No"),"Yes","No")</f>
        <v/>
      </c>
      <c r="L2931" s="26">
        <f>IF(J2931="Yes","",H2931-I2931)</f>
        <v/>
      </c>
      <c r="M2931" s="27">
        <f>IF(OR(J2931="Yes",I2931=0),"",H2931/I2931)</f>
        <v/>
      </c>
      <c r="N2931" s="21">
        <f>IF(J2931="Yes","",IF(H2931&gt;=I2931,1,0))</f>
        <v/>
      </c>
      <c r="O2931" s="21">
        <f>IF(I2931&lt;=5000000,"Under $5M",IF(I2931&lt;=20000000,"$5M-20M",IF(I2931&lt;=50000000,"$20M-50M",IF(I2931&lt;=100000000,"$50M-100M","$100M+"))))</f>
        <v/>
      </c>
      <c r="P2931" s="21">
        <f>IF(E2931&lt;=90,"90 or less",IF(E2931&lt;=105,"91-105",IF(E2931&lt;=120,"106-120",IF(E2931&lt;=140,"121-140","Over 140"))))</f>
        <v/>
      </c>
      <c r="Q2931" s="28">
        <f>INT(C2931/10)*10</f>
        <v/>
      </c>
    </row>
    <row r="2932">
      <c r="A2932" s="21" t="n">
        <v>2993</v>
      </c>
      <c r="B2932" s="21" t="inlineStr">
        <is>
          <t>Eden Lake</t>
        </is>
      </c>
      <c r="C2932" s="21" t="n">
        <v>2008</v>
      </c>
      <c r="D2932" s="21" t="inlineStr">
        <is>
          <t>UK</t>
        </is>
      </c>
      <c r="E2932" s="21" t="n">
        <v>91</v>
      </c>
      <c r="F2932" s="21" t="inlineStr">
        <is>
          <t>English</t>
        </is>
      </c>
      <c r="G2932" s="21" t="inlineStr">
        <is>
          <t>R</t>
        </is>
      </c>
      <c r="H2932" s="22" t="n">
        <v>5824</v>
      </c>
      <c r="I2932" s="22" t="n">
        <v>20000000</v>
      </c>
      <c r="J2932" s="21">
        <f>IF(OR(H2932="",H2932=25529689.5),"Yes","No")</f>
        <v/>
      </c>
      <c r="K2932" s="21">
        <f>IF(AND(D2932="USA",C2932&gt;=1980,J2932="No"),"Yes","No")</f>
        <v/>
      </c>
      <c r="L2932" s="26">
        <f>IF(J2932="Yes","",H2932-I2932)</f>
        <v/>
      </c>
      <c r="M2932" s="27">
        <f>IF(OR(J2932="Yes",I2932=0),"",H2932/I2932)</f>
        <v/>
      </c>
      <c r="N2932" s="21">
        <f>IF(J2932="Yes","",IF(H2932&gt;=I2932,1,0))</f>
        <v/>
      </c>
      <c r="O2932" s="21">
        <f>IF(I2932&lt;=5000000,"Under $5M",IF(I2932&lt;=20000000,"$5M-20M",IF(I2932&lt;=50000000,"$20M-50M",IF(I2932&lt;=100000000,"$50M-100M","$100M+"))))</f>
        <v/>
      </c>
      <c r="P2932" s="21">
        <f>IF(E2932&lt;=90,"90 or less",IF(E2932&lt;=105,"91-105",IF(E2932&lt;=120,"106-120",IF(E2932&lt;=140,"121-140","Over 140"))))</f>
        <v/>
      </c>
      <c r="Q2932" s="28">
        <f>INT(C2932/10)*10</f>
        <v/>
      </c>
    </row>
    <row r="2933">
      <c r="A2933" s="21" t="n">
        <v>2994</v>
      </c>
      <c r="B2933" s="21" t="inlineStr">
        <is>
          <t>Extreme Movie</t>
        </is>
      </c>
      <c r="C2933" s="21" t="n">
        <v>2008</v>
      </c>
      <c r="D2933" s="21" t="inlineStr">
        <is>
          <t>USA</t>
        </is>
      </c>
      <c r="E2933" s="21" t="n">
        <v>76</v>
      </c>
      <c r="F2933" s="21" t="inlineStr">
        <is>
          <t>English</t>
        </is>
      </c>
      <c r="G2933" s="21" t="inlineStr">
        <is>
          <t>R</t>
        </is>
      </c>
      <c r="H2933" s="22" t="n">
        <v>25529689.5</v>
      </c>
      <c r="I2933" s="22" t="n">
        <v>20000000</v>
      </c>
      <c r="J2933" s="21">
        <f>IF(OR(H2933="",H2933=25529689.5),"Yes","No")</f>
        <v/>
      </c>
      <c r="K2933" s="21">
        <f>IF(AND(D2933="USA",C2933&gt;=1980,J2933="No"),"Yes","No")</f>
        <v/>
      </c>
      <c r="L2933" s="26">
        <f>IF(J2933="Yes","",H2933-I2933)</f>
        <v/>
      </c>
      <c r="M2933" s="27">
        <f>IF(OR(J2933="Yes",I2933=0),"",H2933/I2933)</f>
        <v/>
      </c>
      <c r="N2933" s="21">
        <f>IF(J2933="Yes","",IF(H2933&gt;=I2933,1,0))</f>
        <v/>
      </c>
      <c r="O2933" s="21">
        <f>IF(I2933&lt;=5000000,"Under $5M",IF(I2933&lt;=20000000,"$5M-20M",IF(I2933&lt;=50000000,"$20M-50M",IF(I2933&lt;=100000000,"$50M-100M","$100M+"))))</f>
        <v/>
      </c>
      <c r="P2933" s="21">
        <f>IF(E2933&lt;=90,"90 or less",IF(E2933&lt;=105,"91-105",IF(E2933&lt;=120,"106-120",IF(E2933&lt;=140,"121-140","Over 140"))))</f>
        <v/>
      </c>
      <c r="Q2933" s="28">
        <f>INT(C2933/10)*10</f>
        <v/>
      </c>
    </row>
    <row r="2934">
      <c r="A2934" s="21" t="n">
        <v>2995</v>
      </c>
      <c r="B2934" s="21" t="inlineStr">
        <is>
          <t>Fifty Dead Men Walking</t>
        </is>
      </c>
      <c r="C2934" s="21" t="n">
        <v>2008</v>
      </c>
      <c r="D2934" s="21" t="inlineStr">
        <is>
          <t>UK</t>
        </is>
      </c>
      <c r="E2934" s="21" t="n">
        <v>117</v>
      </c>
      <c r="F2934" s="21" t="inlineStr">
        <is>
          <t>English</t>
        </is>
      </c>
      <c r="G2934" s="21" t="inlineStr">
        <is>
          <t>R</t>
        </is>
      </c>
      <c r="H2934" s="22" t="n">
        <v>25529689.5</v>
      </c>
      <c r="I2934" s="22" t="n">
        <v>6000000</v>
      </c>
      <c r="J2934" s="21">
        <f>IF(OR(H2934="",H2934=25529689.5),"Yes","No")</f>
        <v/>
      </c>
      <c r="K2934" s="21">
        <f>IF(AND(D2934="USA",C2934&gt;=1980,J2934="No"),"Yes","No")</f>
        <v/>
      </c>
      <c r="L2934" s="26">
        <f>IF(J2934="Yes","",H2934-I2934)</f>
        <v/>
      </c>
      <c r="M2934" s="27">
        <f>IF(OR(J2934="Yes",I2934=0),"",H2934/I2934)</f>
        <v/>
      </c>
      <c r="N2934" s="21">
        <f>IF(J2934="Yes","",IF(H2934&gt;=I2934,1,0))</f>
        <v/>
      </c>
      <c r="O2934" s="21">
        <f>IF(I2934&lt;=5000000,"Under $5M",IF(I2934&lt;=20000000,"$5M-20M",IF(I2934&lt;=50000000,"$20M-50M",IF(I2934&lt;=100000000,"$50M-100M","$100M+"))))</f>
        <v/>
      </c>
      <c r="P2934" s="21">
        <f>IF(E2934&lt;=90,"90 or less",IF(E2934&lt;=105,"91-105",IF(E2934&lt;=120,"106-120",IF(E2934&lt;=140,"121-140","Over 140"))))</f>
        <v/>
      </c>
      <c r="Q2934" s="28">
        <f>INT(C2934/10)*10</f>
        <v/>
      </c>
    </row>
    <row r="2935">
      <c r="A2935" s="21" t="n">
        <v>2996</v>
      </c>
      <c r="B2935" s="21" t="inlineStr">
        <is>
          <t>Fireproof</t>
        </is>
      </c>
      <c r="C2935" s="21" t="n">
        <v>2008</v>
      </c>
      <c r="D2935" s="21" t="inlineStr">
        <is>
          <t>USA</t>
        </is>
      </c>
      <c r="E2935" s="21" t="n">
        <v>122</v>
      </c>
      <c r="F2935" s="21" t="inlineStr">
        <is>
          <t>English</t>
        </is>
      </c>
      <c r="G2935" s="21" t="inlineStr">
        <is>
          <t>PG</t>
        </is>
      </c>
      <c r="H2935" s="22" t="n">
        <v>33451479</v>
      </c>
      <c r="I2935" s="22" t="n">
        <v>500000</v>
      </c>
      <c r="J2935" s="21">
        <f>IF(OR(H2935="",H2935=25529689.5),"Yes","No")</f>
        <v/>
      </c>
      <c r="K2935" s="21">
        <f>IF(AND(D2935="USA",C2935&gt;=1980,J2935="No"),"Yes","No")</f>
        <v/>
      </c>
      <c r="L2935" s="26">
        <f>IF(J2935="Yes","",H2935-I2935)</f>
        <v/>
      </c>
      <c r="M2935" s="27">
        <f>IF(OR(J2935="Yes",I2935=0),"",H2935/I2935)</f>
        <v/>
      </c>
      <c r="N2935" s="21">
        <f>IF(J2935="Yes","",IF(H2935&gt;=I2935,1,0))</f>
        <v/>
      </c>
      <c r="O2935" s="21">
        <f>IF(I2935&lt;=5000000,"Under $5M",IF(I2935&lt;=20000000,"$5M-20M",IF(I2935&lt;=50000000,"$20M-50M",IF(I2935&lt;=100000000,"$50M-100M","$100M+"))))</f>
        <v/>
      </c>
      <c r="P2935" s="21">
        <f>IF(E2935&lt;=90,"90 or less",IF(E2935&lt;=105,"91-105",IF(E2935&lt;=120,"106-120",IF(E2935&lt;=140,"121-140","Over 140"))))</f>
        <v/>
      </c>
      <c r="Q2935" s="28">
        <f>INT(C2935/10)*10</f>
        <v/>
      </c>
    </row>
    <row r="2936">
      <c r="A2936" s="21" t="n">
        <v>2997</v>
      </c>
      <c r="B2936" s="21" t="inlineStr">
        <is>
          <t>Flame and Citron</t>
        </is>
      </c>
      <c r="C2936" s="21" t="n">
        <v>2008</v>
      </c>
      <c r="D2936" s="21" t="inlineStr">
        <is>
          <t>Denmark</t>
        </is>
      </c>
      <c r="E2936" s="21" t="n">
        <v>45</v>
      </c>
      <c r="F2936" s="21" t="inlineStr">
        <is>
          <t>Danish</t>
        </is>
      </c>
      <c r="G2936" s="21" t="inlineStr">
        <is>
          <t>Not Rated</t>
        </is>
      </c>
      <c r="H2936" s="22" t="n">
        <v>145109</v>
      </c>
      <c r="I2936" s="22" t="n">
        <v>45000000</v>
      </c>
      <c r="J2936" s="21">
        <f>IF(OR(H2936="",H2936=25529689.5),"Yes","No")</f>
        <v/>
      </c>
      <c r="K2936" s="21">
        <f>IF(AND(D2936="USA",C2936&gt;=1980,J2936="No"),"Yes","No")</f>
        <v/>
      </c>
      <c r="L2936" s="26">
        <f>IF(J2936="Yes","",H2936-I2936)</f>
        <v/>
      </c>
      <c r="M2936" s="27">
        <f>IF(OR(J2936="Yes",I2936=0),"",H2936/I2936)</f>
        <v/>
      </c>
      <c r="N2936" s="21">
        <f>IF(J2936="Yes","",IF(H2936&gt;=I2936,1,0))</f>
        <v/>
      </c>
      <c r="O2936" s="21">
        <f>IF(I2936&lt;=5000000,"Under $5M",IF(I2936&lt;=20000000,"$5M-20M",IF(I2936&lt;=50000000,"$20M-50M",IF(I2936&lt;=100000000,"$50M-100M","$100M+"))))</f>
        <v/>
      </c>
      <c r="P2936" s="21">
        <f>IF(E2936&lt;=90,"90 or less",IF(E2936&lt;=105,"91-105",IF(E2936&lt;=120,"106-120",IF(E2936&lt;=140,"121-140","Over 140"))))</f>
        <v/>
      </c>
      <c r="Q2936" s="28">
        <f>INT(C2936/10)*10</f>
        <v/>
      </c>
    </row>
    <row r="2937">
      <c r="A2937" s="21" t="n">
        <v>2998</v>
      </c>
      <c r="B2937" s="21" t="inlineStr">
        <is>
          <t>Flash of Genius</t>
        </is>
      </c>
      <c r="C2937" s="21" t="n">
        <v>2008</v>
      </c>
      <c r="D2937" s="21" t="inlineStr">
        <is>
          <t>USA</t>
        </is>
      </c>
      <c r="E2937" s="21" t="n">
        <v>119</v>
      </c>
      <c r="F2937" s="21" t="inlineStr">
        <is>
          <t>English</t>
        </is>
      </c>
      <c r="G2937" s="21" t="inlineStr">
        <is>
          <t>PG-13</t>
        </is>
      </c>
      <c r="H2937" s="22" t="n">
        <v>4234040</v>
      </c>
      <c r="I2937" s="22" t="n">
        <v>20000000</v>
      </c>
      <c r="J2937" s="21">
        <f>IF(OR(H2937="",H2937=25529689.5),"Yes","No")</f>
        <v/>
      </c>
      <c r="K2937" s="21">
        <f>IF(AND(D2937="USA",C2937&gt;=1980,J2937="No"),"Yes","No")</f>
        <v/>
      </c>
      <c r="L2937" s="26">
        <f>IF(J2937="Yes","",H2937-I2937)</f>
        <v/>
      </c>
      <c r="M2937" s="27">
        <f>IF(OR(J2937="Yes",I2937=0),"",H2937/I2937)</f>
        <v/>
      </c>
      <c r="N2937" s="21">
        <f>IF(J2937="Yes","",IF(H2937&gt;=I2937,1,0))</f>
        <v/>
      </c>
      <c r="O2937" s="21">
        <f>IF(I2937&lt;=5000000,"Under $5M",IF(I2937&lt;=20000000,"$5M-20M",IF(I2937&lt;=50000000,"$20M-50M",IF(I2937&lt;=100000000,"$50M-100M","$100M+"))))</f>
        <v/>
      </c>
      <c r="P2937" s="21">
        <f>IF(E2937&lt;=90,"90 or less",IF(E2937&lt;=105,"91-105",IF(E2937&lt;=120,"106-120",IF(E2937&lt;=140,"121-140","Over 140"))))</f>
        <v/>
      </c>
      <c r="Q2937" s="28">
        <f>INT(C2937/10)*10</f>
        <v/>
      </c>
    </row>
    <row r="2938">
      <c r="A2938" s="21" t="n">
        <v>2999</v>
      </c>
      <c r="B2938" s="21" t="inlineStr">
        <is>
          <t>Food, Inc.</t>
        </is>
      </c>
      <c r="C2938" s="21" t="n">
        <v>2008</v>
      </c>
      <c r="D2938" s="21" t="inlineStr">
        <is>
          <t>USA</t>
        </is>
      </c>
      <c r="E2938" s="21" t="n">
        <v>94</v>
      </c>
      <c r="F2938" s="21" t="inlineStr">
        <is>
          <t>English</t>
        </is>
      </c>
      <c r="G2938" s="21" t="inlineStr">
        <is>
          <t>PG</t>
        </is>
      </c>
      <c r="H2938" s="22" t="n">
        <v>4417124</v>
      </c>
      <c r="I2938" s="22" t="n">
        <v>20000000</v>
      </c>
      <c r="J2938" s="21">
        <f>IF(OR(H2938="",H2938=25529689.5),"Yes","No")</f>
        <v/>
      </c>
      <c r="K2938" s="21">
        <f>IF(AND(D2938="USA",C2938&gt;=1980,J2938="No"),"Yes","No")</f>
        <v/>
      </c>
      <c r="L2938" s="26">
        <f>IF(J2938="Yes","",H2938-I2938)</f>
        <v/>
      </c>
      <c r="M2938" s="27">
        <f>IF(OR(J2938="Yes",I2938=0),"",H2938/I2938)</f>
        <v/>
      </c>
      <c r="N2938" s="21">
        <f>IF(J2938="Yes","",IF(H2938&gt;=I2938,1,0))</f>
        <v/>
      </c>
      <c r="O2938" s="21">
        <f>IF(I2938&lt;=5000000,"Under $5M",IF(I2938&lt;=20000000,"$5M-20M",IF(I2938&lt;=50000000,"$20M-50M",IF(I2938&lt;=100000000,"$50M-100M","$100M+"))))</f>
        <v/>
      </c>
      <c r="P2938" s="21">
        <f>IF(E2938&lt;=90,"90 or less",IF(E2938&lt;=105,"91-105",IF(E2938&lt;=120,"106-120",IF(E2938&lt;=140,"121-140","Over 140"))))</f>
        <v/>
      </c>
      <c r="Q2938" s="28">
        <f>INT(C2938/10)*10</f>
        <v/>
      </c>
    </row>
    <row r="2939">
      <c r="A2939" s="21" t="n">
        <v>3000</v>
      </c>
      <c r="B2939" s="21" t="inlineStr">
        <is>
          <t>Fool's Gold</t>
        </is>
      </c>
      <c r="C2939" s="21" t="n">
        <v>2008</v>
      </c>
      <c r="D2939" s="21" t="inlineStr">
        <is>
          <t>USA</t>
        </is>
      </c>
      <c r="E2939" s="21" t="n">
        <v>112</v>
      </c>
      <c r="F2939" s="21" t="inlineStr">
        <is>
          <t>English</t>
        </is>
      </c>
      <c r="G2939" s="21" t="inlineStr">
        <is>
          <t>PG-13</t>
        </is>
      </c>
      <c r="H2939" s="22" t="n">
        <v>70224196</v>
      </c>
      <c r="I2939" s="22" t="n">
        <v>70000000</v>
      </c>
      <c r="J2939" s="21">
        <f>IF(OR(H2939="",H2939=25529689.5),"Yes","No")</f>
        <v/>
      </c>
      <c r="K2939" s="21">
        <f>IF(AND(D2939="USA",C2939&gt;=1980,J2939="No"),"Yes","No")</f>
        <v/>
      </c>
      <c r="L2939" s="26">
        <f>IF(J2939="Yes","",H2939-I2939)</f>
        <v/>
      </c>
      <c r="M2939" s="27">
        <f>IF(OR(J2939="Yes",I2939=0),"",H2939/I2939)</f>
        <v/>
      </c>
      <c r="N2939" s="21">
        <f>IF(J2939="Yes","",IF(H2939&gt;=I2939,1,0))</f>
        <v/>
      </c>
      <c r="O2939" s="21">
        <f>IF(I2939&lt;=5000000,"Under $5M",IF(I2939&lt;=20000000,"$5M-20M",IF(I2939&lt;=50000000,"$20M-50M",IF(I2939&lt;=100000000,"$50M-100M","$100M+"))))</f>
        <v/>
      </c>
      <c r="P2939" s="21">
        <f>IF(E2939&lt;=90,"90 or less",IF(E2939&lt;=105,"91-105",IF(E2939&lt;=120,"106-120",IF(E2939&lt;=140,"121-140","Over 140"))))</f>
        <v/>
      </c>
      <c r="Q2939" s="28">
        <f>INT(C2939/10)*10</f>
        <v/>
      </c>
    </row>
    <row r="2940">
      <c r="A2940" s="21" t="n">
        <v>3001</v>
      </c>
      <c r="B2940" s="21" t="inlineStr">
        <is>
          <t>Forgetting Sarah Marshall</t>
        </is>
      </c>
      <c r="C2940" s="21" t="n">
        <v>2008</v>
      </c>
      <c r="D2940" s="21" t="inlineStr">
        <is>
          <t>USA</t>
        </is>
      </c>
      <c r="E2940" s="21" t="n">
        <v>118</v>
      </c>
      <c r="F2940" s="21" t="inlineStr">
        <is>
          <t>English</t>
        </is>
      </c>
      <c r="G2940" s="21" t="inlineStr">
        <is>
          <t>R</t>
        </is>
      </c>
      <c r="H2940" s="22" t="n">
        <v>62877175</v>
      </c>
      <c r="I2940" s="22" t="n">
        <v>30000000</v>
      </c>
      <c r="J2940" s="21">
        <f>IF(OR(H2940="",H2940=25529689.5),"Yes","No")</f>
        <v/>
      </c>
      <c r="K2940" s="21">
        <f>IF(AND(D2940="USA",C2940&gt;=1980,J2940="No"),"Yes","No")</f>
        <v/>
      </c>
      <c r="L2940" s="26">
        <f>IF(J2940="Yes","",H2940-I2940)</f>
        <v/>
      </c>
      <c r="M2940" s="27">
        <f>IF(OR(J2940="Yes",I2940=0),"",H2940/I2940)</f>
        <v/>
      </c>
      <c r="N2940" s="21">
        <f>IF(J2940="Yes","",IF(H2940&gt;=I2940,1,0))</f>
        <v/>
      </c>
      <c r="O2940" s="21">
        <f>IF(I2940&lt;=5000000,"Under $5M",IF(I2940&lt;=20000000,"$5M-20M",IF(I2940&lt;=50000000,"$20M-50M",IF(I2940&lt;=100000000,"$50M-100M","$100M+"))))</f>
        <v/>
      </c>
      <c r="P2940" s="21">
        <f>IF(E2940&lt;=90,"90 or less",IF(E2940&lt;=105,"91-105",IF(E2940&lt;=120,"106-120",IF(E2940&lt;=140,"121-140","Over 140"))))</f>
        <v/>
      </c>
      <c r="Q2940" s="28">
        <f>INT(C2940/10)*10</f>
        <v/>
      </c>
    </row>
    <row r="2941">
      <c r="A2941" s="21" t="n">
        <v>3002</v>
      </c>
      <c r="B2941" s="21" t="inlineStr">
        <is>
          <t>Four Christmases</t>
        </is>
      </c>
      <c r="C2941" s="21" t="n">
        <v>2008</v>
      </c>
      <c r="D2941" s="21" t="inlineStr">
        <is>
          <t>Germany</t>
        </is>
      </c>
      <c r="E2941" s="21" t="n">
        <v>88</v>
      </c>
      <c r="F2941" s="21" t="inlineStr">
        <is>
          <t>English</t>
        </is>
      </c>
      <c r="G2941" s="21" t="inlineStr">
        <is>
          <t>PG-13</t>
        </is>
      </c>
      <c r="H2941" s="22" t="n">
        <v>120136047</v>
      </c>
      <c r="I2941" s="22" t="n">
        <v>80000000</v>
      </c>
      <c r="J2941" s="21">
        <f>IF(OR(H2941="",H2941=25529689.5),"Yes","No")</f>
        <v/>
      </c>
      <c r="K2941" s="21">
        <f>IF(AND(D2941="USA",C2941&gt;=1980,J2941="No"),"Yes","No")</f>
        <v/>
      </c>
      <c r="L2941" s="26">
        <f>IF(J2941="Yes","",H2941-I2941)</f>
        <v/>
      </c>
      <c r="M2941" s="27">
        <f>IF(OR(J2941="Yes",I2941=0),"",H2941/I2941)</f>
        <v/>
      </c>
      <c r="N2941" s="21">
        <f>IF(J2941="Yes","",IF(H2941&gt;=I2941,1,0))</f>
        <v/>
      </c>
      <c r="O2941" s="21">
        <f>IF(I2941&lt;=5000000,"Under $5M",IF(I2941&lt;=20000000,"$5M-20M",IF(I2941&lt;=50000000,"$20M-50M",IF(I2941&lt;=100000000,"$50M-100M","$100M+"))))</f>
        <v/>
      </c>
      <c r="P2941" s="21">
        <f>IF(E2941&lt;=90,"90 or less",IF(E2941&lt;=105,"91-105",IF(E2941&lt;=120,"106-120",IF(E2941&lt;=140,"121-140","Over 140"))))</f>
        <v/>
      </c>
      <c r="Q2941" s="28">
        <f>INT(C2941/10)*10</f>
        <v/>
      </c>
    </row>
    <row r="2942">
      <c r="A2942" s="21" t="n">
        <v>3003</v>
      </c>
      <c r="B2942" s="21" t="inlineStr">
        <is>
          <t>Free Style</t>
        </is>
      </c>
      <c r="C2942" s="21" t="n">
        <v>2008</v>
      </c>
      <c r="D2942" s="21" t="inlineStr">
        <is>
          <t>Canada</t>
        </is>
      </c>
      <c r="E2942" s="21" t="n">
        <v>94</v>
      </c>
      <c r="F2942" s="21" t="inlineStr">
        <is>
          <t>English</t>
        </is>
      </c>
      <c r="G2942" s="21" t="inlineStr">
        <is>
          <t>PG</t>
        </is>
      </c>
      <c r="H2942" s="22" t="n">
        <v>140987</v>
      </c>
      <c r="I2942" s="22" t="n">
        <v>20000000</v>
      </c>
      <c r="J2942" s="21">
        <f>IF(OR(H2942="",H2942=25529689.5),"Yes","No")</f>
        <v/>
      </c>
      <c r="K2942" s="21">
        <f>IF(AND(D2942="USA",C2942&gt;=1980,J2942="No"),"Yes","No")</f>
        <v/>
      </c>
      <c r="L2942" s="26">
        <f>IF(J2942="Yes","",H2942-I2942)</f>
        <v/>
      </c>
      <c r="M2942" s="27">
        <f>IF(OR(J2942="Yes",I2942=0),"",H2942/I2942)</f>
        <v/>
      </c>
      <c r="N2942" s="21">
        <f>IF(J2942="Yes","",IF(H2942&gt;=I2942,1,0))</f>
        <v/>
      </c>
      <c r="O2942" s="21">
        <f>IF(I2942&lt;=5000000,"Under $5M",IF(I2942&lt;=20000000,"$5M-20M",IF(I2942&lt;=50000000,"$20M-50M",IF(I2942&lt;=100000000,"$50M-100M","$100M+"))))</f>
        <v/>
      </c>
      <c r="P2942" s="21">
        <f>IF(E2942&lt;=90,"90 or less",IF(E2942&lt;=105,"91-105",IF(E2942&lt;=120,"106-120",IF(E2942&lt;=140,"121-140","Over 140"))))</f>
        <v/>
      </c>
      <c r="Q2942" s="28">
        <f>INT(C2942/10)*10</f>
        <v/>
      </c>
    </row>
    <row r="2943">
      <c r="A2943" s="21" t="n">
        <v>3004</v>
      </c>
      <c r="B2943" s="21" t="inlineStr">
        <is>
          <t>Frost/Nixon</t>
        </is>
      </c>
      <c r="C2943" s="21" t="n">
        <v>2008</v>
      </c>
      <c r="D2943" s="21" t="inlineStr">
        <is>
          <t>USA</t>
        </is>
      </c>
      <c r="E2943" s="21" t="n">
        <v>122</v>
      </c>
      <c r="F2943" s="21" t="inlineStr">
        <is>
          <t>English</t>
        </is>
      </c>
      <c r="G2943" s="21" t="inlineStr">
        <is>
          <t>R</t>
        </is>
      </c>
      <c r="H2943" s="22" t="n">
        <v>18593156</v>
      </c>
      <c r="I2943" s="22" t="n">
        <v>35000000</v>
      </c>
      <c r="J2943" s="21">
        <f>IF(OR(H2943="",H2943=25529689.5),"Yes","No")</f>
        <v/>
      </c>
      <c r="K2943" s="21">
        <f>IF(AND(D2943="USA",C2943&gt;=1980,J2943="No"),"Yes","No")</f>
        <v/>
      </c>
      <c r="L2943" s="26">
        <f>IF(J2943="Yes","",H2943-I2943)</f>
        <v/>
      </c>
      <c r="M2943" s="27">
        <f>IF(OR(J2943="Yes",I2943=0),"",H2943/I2943)</f>
        <v/>
      </c>
      <c r="N2943" s="21">
        <f>IF(J2943="Yes","",IF(H2943&gt;=I2943,1,0))</f>
        <v/>
      </c>
      <c r="O2943" s="21">
        <f>IF(I2943&lt;=5000000,"Under $5M",IF(I2943&lt;=20000000,"$5M-20M",IF(I2943&lt;=50000000,"$20M-50M",IF(I2943&lt;=100000000,"$50M-100M","$100M+"))))</f>
        <v/>
      </c>
      <c r="P2943" s="21">
        <f>IF(E2943&lt;=90,"90 or less",IF(E2943&lt;=105,"91-105",IF(E2943&lt;=120,"106-120",IF(E2943&lt;=140,"121-140","Over 140"))))</f>
        <v/>
      </c>
      <c r="Q2943" s="28">
        <f>INT(C2943/10)*10</f>
        <v/>
      </c>
    </row>
    <row r="2944">
      <c r="A2944" s="21" t="n">
        <v>3005</v>
      </c>
      <c r="B2944" s="21" t="inlineStr">
        <is>
          <t>Frozen River</t>
        </is>
      </c>
      <c r="C2944" s="21" t="n">
        <v>2008</v>
      </c>
      <c r="D2944" s="21" t="inlineStr">
        <is>
          <t>USA</t>
        </is>
      </c>
      <c r="E2944" s="21" t="n">
        <v>97</v>
      </c>
      <c r="F2944" s="21" t="inlineStr">
        <is>
          <t>English</t>
        </is>
      </c>
      <c r="G2944" s="21" t="inlineStr">
        <is>
          <t>R</t>
        </is>
      </c>
      <c r="H2944" s="22" t="n">
        <v>2508841</v>
      </c>
      <c r="I2944" s="22" t="n">
        <v>1000000</v>
      </c>
      <c r="J2944" s="21">
        <f>IF(OR(H2944="",H2944=25529689.5),"Yes","No")</f>
        <v/>
      </c>
      <c r="K2944" s="21">
        <f>IF(AND(D2944="USA",C2944&gt;=1980,J2944="No"),"Yes","No")</f>
        <v/>
      </c>
      <c r="L2944" s="26">
        <f>IF(J2944="Yes","",H2944-I2944)</f>
        <v/>
      </c>
      <c r="M2944" s="27">
        <f>IF(OR(J2944="Yes",I2944=0),"",H2944/I2944)</f>
        <v/>
      </c>
      <c r="N2944" s="21">
        <f>IF(J2944="Yes","",IF(H2944&gt;=I2944,1,0))</f>
        <v/>
      </c>
      <c r="O2944" s="21">
        <f>IF(I2944&lt;=5000000,"Under $5M",IF(I2944&lt;=20000000,"$5M-20M",IF(I2944&lt;=50000000,"$20M-50M",IF(I2944&lt;=100000000,"$50M-100M","$100M+"))))</f>
        <v/>
      </c>
      <c r="P2944" s="21">
        <f>IF(E2944&lt;=90,"90 or less",IF(E2944&lt;=105,"91-105",IF(E2944&lt;=120,"106-120",IF(E2944&lt;=140,"121-140","Over 140"))))</f>
        <v/>
      </c>
      <c r="Q2944" s="28">
        <f>INT(C2944/10)*10</f>
        <v/>
      </c>
    </row>
    <row r="2945">
      <c r="A2945" s="21" t="n">
        <v>3006</v>
      </c>
      <c r="B2945" s="21" t="inlineStr">
        <is>
          <t>Fuel</t>
        </is>
      </c>
      <c r="C2945" s="21" t="n">
        <v>2008</v>
      </c>
      <c r="D2945" s="21" t="inlineStr">
        <is>
          <t>USA</t>
        </is>
      </c>
      <c r="E2945" s="21" t="n">
        <v>112</v>
      </c>
      <c r="F2945" s="21" t="inlineStr">
        <is>
          <t>English</t>
        </is>
      </c>
      <c r="G2945" s="21" t="inlineStr">
        <is>
          <t>Not Rated</t>
        </is>
      </c>
      <c r="H2945" s="22" t="n">
        <v>173783</v>
      </c>
      <c r="I2945" s="22" t="n">
        <v>2500000</v>
      </c>
      <c r="J2945" s="21">
        <f>IF(OR(H2945="",H2945=25529689.5),"Yes","No")</f>
        <v/>
      </c>
      <c r="K2945" s="21">
        <f>IF(AND(D2945="USA",C2945&gt;=1980,J2945="No"),"Yes","No")</f>
        <v/>
      </c>
      <c r="L2945" s="26">
        <f>IF(J2945="Yes","",H2945-I2945)</f>
        <v/>
      </c>
      <c r="M2945" s="27">
        <f>IF(OR(J2945="Yes",I2945=0),"",H2945/I2945)</f>
        <v/>
      </c>
      <c r="N2945" s="21">
        <f>IF(J2945="Yes","",IF(H2945&gt;=I2945,1,0))</f>
        <v/>
      </c>
      <c r="O2945" s="21">
        <f>IF(I2945&lt;=5000000,"Under $5M",IF(I2945&lt;=20000000,"$5M-20M",IF(I2945&lt;=50000000,"$20M-50M",IF(I2945&lt;=100000000,"$50M-100M","$100M+"))))</f>
        <v/>
      </c>
      <c r="P2945" s="21">
        <f>IF(E2945&lt;=90,"90 or less",IF(E2945&lt;=105,"91-105",IF(E2945&lt;=120,"106-120",IF(E2945&lt;=140,"121-140","Over 140"))))</f>
        <v/>
      </c>
      <c r="Q2945" s="28">
        <f>INT(C2945/10)*10</f>
        <v/>
      </c>
    </row>
    <row r="2946">
      <c r="A2946" s="21" t="n">
        <v>3007</v>
      </c>
      <c r="B2946" s="21" t="inlineStr">
        <is>
          <t>Gangster's Paradise: Jerusalema</t>
        </is>
      </c>
      <c r="C2946" s="21" t="n">
        <v>2008</v>
      </c>
      <c r="D2946" s="21" t="inlineStr">
        <is>
          <t>South Africa</t>
        </is>
      </c>
      <c r="E2946" s="21" t="n">
        <v>119</v>
      </c>
      <c r="F2946" s="21" t="inlineStr">
        <is>
          <t>English</t>
        </is>
      </c>
      <c r="G2946" s="21" t="inlineStr">
        <is>
          <t>R</t>
        </is>
      </c>
      <c r="H2946" s="22" t="n">
        <v>4958</v>
      </c>
      <c r="I2946" s="22" t="n">
        <v>2000000</v>
      </c>
      <c r="J2946" s="21">
        <f>IF(OR(H2946="",H2946=25529689.5),"Yes","No")</f>
        <v/>
      </c>
      <c r="K2946" s="21">
        <f>IF(AND(D2946="USA",C2946&gt;=1980,J2946="No"),"Yes","No")</f>
        <v/>
      </c>
      <c r="L2946" s="26">
        <f>IF(J2946="Yes","",H2946-I2946)</f>
        <v/>
      </c>
      <c r="M2946" s="27">
        <f>IF(OR(J2946="Yes",I2946=0),"",H2946/I2946)</f>
        <v/>
      </c>
      <c r="N2946" s="21">
        <f>IF(J2946="Yes","",IF(H2946&gt;=I2946,1,0))</f>
        <v/>
      </c>
      <c r="O2946" s="21">
        <f>IF(I2946&lt;=5000000,"Under $5M",IF(I2946&lt;=20000000,"$5M-20M",IF(I2946&lt;=50000000,"$20M-50M",IF(I2946&lt;=100000000,"$50M-100M","$100M+"))))</f>
        <v/>
      </c>
      <c r="P2946" s="21">
        <f>IF(E2946&lt;=90,"90 or less",IF(E2946&lt;=105,"91-105",IF(E2946&lt;=120,"106-120",IF(E2946&lt;=140,"121-140","Over 140"))))</f>
        <v/>
      </c>
      <c r="Q2946" s="28">
        <f>INT(C2946/10)*10</f>
        <v/>
      </c>
    </row>
    <row r="2947">
      <c r="A2947" s="21" t="n">
        <v>3008</v>
      </c>
      <c r="B2947" s="21" t="inlineStr">
        <is>
          <t>Get Smart</t>
        </is>
      </c>
      <c r="C2947" s="21" t="n">
        <v>2008</v>
      </c>
      <c r="D2947" s="21" t="inlineStr">
        <is>
          <t>USA</t>
        </is>
      </c>
      <c r="E2947" s="21" t="n">
        <v>110</v>
      </c>
      <c r="F2947" s="21" t="inlineStr">
        <is>
          <t>English</t>
        </is>
      </c>
      <c r="G2947" s="21" t="inlineStr">
        <is>
          <t>PG-13</t>
        </is>
      </c>
      <c r="H2947" s="22" t="n">
        <v>130313314</v>
      </c>
      <c r="I2947" s="22" t="n">
        <v>80000000</v>
      </c>
      <c r="J2947" s="21">
        <f>IF(OR(H2947="",H2947=25529689.5),"Yes","No")</f>
        <v/>
      </c>
      <c r="K2947" s="21">
        <f>IF(AND(D2947="USA",C2947&gt;=1980,J2947="No"),"Yes","No")</f>
        <v/>
      </c>
      <c r="L2947" s="26">
        <f>IF(J2947="Yes","",H2947-I2947)</f>
        <v/>
      </c>
      <c r="M2947" s="27">
        <f>IF(OR(J2947="Yes",I2947=0),"",H2947/I2947)</f>
        <v/>
      </c>
      <c r="N2947" s="21">
        <f>IF(J2947="Yes","",IF(H2947&gt;=I2947,1,0))</f>
        <v/>
      </c>
      <c r="O2947" s="21">
        <f>IF(I2947&lt;=5000000,"Under $5M",IF(I2947&lt;=20000000,"$5M-20M",IF(I2947&lt;=50000000,"$20M-50M",IF(I2947&lt;=100000000,"$50M-100M","$100M+"))))</f>
        <v/>
      </c>
      <c r="P2947" s="21">
        <f>IF(E2947&lt;=90,"90 or less",IF(E2947&lt;=105,"91-105",IF(E2947&lt;=120,"106-120",IF(E2947&lt;=140,"121-140","Over 140"))))</f>
        <v/>
      </c>
      <c r="Q2947" s="28">
        <f>INT(C2947/10)*10</f>
        <v/>
      </c>
    </row>
    <row r="2948">
      <c r="A2948" s="21" t="n">
        <v>3009</v>
      </c>
      <c r="B2948" s="21" t="inlineStr">
        <is>
          <t>Ghost Town</t>
        </is>
      </c>
      <c r="C2948" s="21" t="n">
        <v>2008</v>
      </c>
      <c r="D2948" s="21" t="inlineStr">
        <is>
          <t>USA</t>
        </is>
      </c>
      <c r="E2948" s="21" t="n">
        <v>102</v>
      </c>
      <c r="F2948" s="21" t="inlineStr">
        <is>
          <t>English</t>
        </is>
      </c>
      <c r="G2948" s="21" t="inlineStr">
        <is>
          <t>PG-13</t>
        </is>
      </c>
      <c r="H2948" s="22" t="n">
        <v>13214030</v>
      </c>
      <c r="I2948" s="22" t="n">
        <v>20000000</v>
      </c>
      <c r="J2948" s="21">
        <f>IF(OR(H2948="",H2948=25529689.5),"Yes","No")</f>
        <v/>
      </c>
      <c r="K2948" s="21">
        <f>IF(AND(D2948="USA",C2948&gt;=1980,J2948="No"),"Yes","No")</f>
        <v/>
      </c>
      <c r="L2948" s="26">
        <f>IF(J2948="Yes","",H2948-I2948)</f>
        <v/>
      </c>
      <c r="M2948" s="27">
        <f>IF(OR(J2948="Yes",I2948=0),"",H2948/I2948)</f>
        <v/>
      </c>
      <c r="N2948" s="21">
        <f>IF(J2948="Yes","",IF(H2948&gt;=I2948,1,0))</f>
        <v/>
      </c>
      <c r="O2948" s="21">
        <f>IF(I2948&lt;=5000000,"Under $5M",IF(I2948&lt;=20000000,"$5M-20M",IF(I2948&lt;=50000000,"$20M-50M",IF(I2948&lt;=100000000,"$50M-100M","$100M+"))))</f>
        <v/>
      </c>
      <c r="P2948" s="21">
        <f>IF(E2948&lt;=90,"90 or less",IF(E2948&lt;=105,"91-105",IF(E2948&lt;=120,"106-120",IF(E2948&lt;=140,"121-140","Over 140"))))</f>
        <v/>
      </c>
      <c r="Q2948" s="28">
        <f>INT(C2948/10)*10</f>
        <v/>
      </c>
    </row>
    <row r="2949">
      <c r="A2949" s="21" t="n">
        <v>3010</v>
      </c>
      <c r="B2949" s="21" t="inlineStr">
        <is>
          <t>Good</t>
        </is>
      </c>
      <c r="C2949" s="21" t="n">
        <v>2008</v>
      </c>
      <c r="D2949" s="21" t="inlineStr">
        <is>
          <t>UK</t>
        </is>
      </c>
      <c r="E2949" s="21" t="n">
        <v>92</v>
      </c>
      <c r="F2949" s="21" t="inlineStr">
        <is>
          <t>English</t>
        </is>
      </c>
      <c r="G2949" s="21" t="inlineStr">
        <is>
          <t>R</t>
        </is>
      </c>
      <c r="H2949" s="22" t="n">
        <v>23091</v>
      </c>
      <c r="I2949" s="22" t="n">
        <v>15000000</v>
      </c>
      <c r="J2949" s="21">
        <f>IF(OR(H2949="",H2949=25529689.5),"Yes","No")</f>
        <v/>
      </c>
      <c r="K2949" s="21">
        <f>IF(AND(D2949="USA",C2949&gt;=1980,J2949="No"),"Yes","No")</f>
        <v/>
      </c>
      <c r="L2949" s="26">
        <f>IF(J2949="Yes","",H2949-I2949)</f>
        <v/>
      </c>
      <c r="M2949" s="27">
        <f>IF(OR(J2949="Yes",I2949=0),"",H2949/I2949)</f>
        <v/>
      </c>
      <c r="N2949" s="21">
        <f>IF(J2949="Yes","",IF(H2949&gt;=I2949,1,0))</f>
        <v/>
      </c>
      <c r="O2949" s="21">
        <f>IF(I2949&lt;=5000000,"Under $5M",IF(I2949&lt;=20000000,"$5M-20M",IF(I2949&lt;=50000000,"$20M-50M",IF(I2949&lt;=100000000,"$50M-100M","$100M+"))))</f>
        <v/>
      </c>
      <c r="P2949" s="21">
        <f>IF(E2949&lt;=90,"90 or less",IF(E2949&lt;=105,"91-105",IF(E2949&lt;=120,"106-120",IF(E2949&lt;=140,"121-140","Over 140"))))</f>
        <v/>
      </c>
      <c r="Q2949" s="28">
        <f>INT(C2949/10)*10</f>
        <v/>
      </c>
    </row>
    <row r="2950">
      <c r="A2950" s="21" t="n">
        <v>3011</v>
      </c>
      <c r="B2950" s="21" t="inlineStr">
        <is>
          <t>Good Dick</t>
        </is>
      </c>
      <c r="C2950" s="21" t="n">
        <v>2008</v>
      </c>
      <c r="D2950" s="21" t="inlineStr">
        <is>
          <t>USA</t>
        </is>
      </c>
      <c r="E2950" s="21" t="n">
        <v>86</v>
      </c>
      <c r="F2950" s="21" t="inlineStr">
        <is>
          <t>English</t>
        </is>
      </c>
      <c r="G2950" s="21" t="inlineStr">
        <is>
          <t>R</t>
        </is>
      </c>
      <c r="H2950" s="22" t="n">
        <v>15542</v>
      </c>
      <c r="I2950" s="22" t="n">
        <v>20000000</v>
      </c>
      <c r="J2950" s="21">
        <f>IF(OR(H2950="",H2950=25529689.5),"Yes","No")</f>
        <v/>
      </c>
      <c r="K2950" s="21">
        <f>IF(AND(D2950="USA",C2950&gt;=1980,J2950="No"),"Yes","No")</f>
        <v/>
      </c>
      <c r="L2950" s="26">
        <f>IF(J2950="Yes","",H2950-I2950)</f>
        <v/>
      </c>
      <c r="M2950" s="27">
        <f>IF(OR(J2950="Yes",I2950=0),"",H2950/I2950)</f>
        <v/>
      </c>
      <c r="N2950" s="21">
        <f>IF(J2950="Yes","",IF(H2950&gt;=I2950,1,0))</f>
        <v/>
      </c>
      <c r="O2950" s="21">
        <f>IF(I2950&lt;=5000000,"Under $5M",IF(I2950&lt;=20000000,"$5M-20M",IF(I2950&lt;=50000000,"$20M-50M",IF(I2950&lt;=100000000,"$50M-100M","$100M+"))))</f>
        <v/>
      </c>
      <c r="P2950" s="21">
        <f>IF(E2950&lt;=90,"90 or less",IF(E2950&lt;=105,"91-105",IF(E2950&lt;=120,"106-120",IF(E2950&lt;=140,"121-140","Over 140"))))</f>
        <v/>
      </c>
      <c r="Q2950" s="28">
        <f>INT(C2950/10)*10</f>
        <v/>
      </c>
    </row>
    <row r="2951">
      <c r="A2951" s="21" t="n">
        <v>3012</v>
      </c>
      <c r="B2951" s="21" t="inlineStr">
        <is>
          <t>Gran Torino</t>
        </is>
      </c>
      <c r="C2951" s="21" t="n">
        <v>2008</v>
      </c>
      <c r="D2951" s="21" t="inlineStr">
        <is>
          <t>USA</t>
        </is>
      </c>
      <c r="E2951" s="21" t="n">
        <v>116</v>
      </c>
      <c r="F2951" s="21" t="inlineStr">
        <is>
          <t>English</t>
        </is>
      </c>
      <c r="G2951" s="21" t="inlineStr">
        <is>
          <t>R</t>
        </is>
      </c>
      <c r="H2951" s="22" t="n">
        <v>148085755</v>
      </c>
      <c r="I2951" s="22" t="n">
        <v>33000000</v>
      </c>
      <c r="J2951" s="21">
        <f>IF(OR(H2951="",H2951=25529689.5),"Yes","No")</f>
        <v/>
      </c>
      <c r="K2951" s="21">
        <f>IF(AND(D2951="USA",C2951&gt;=1980,J2951="No"),"Yes","No")</f>
        <v/>
      </c>
      <c r="L2951" s="26">
        <f>IF(J2951="Yes","",H2951-I2951)</f>
        <v/>
      </c>
      <c r="M2951" s="27">
        <f>IF(OR(J2951="Yes",I2951=0),"",H2951/I2951)</f>
        <v/>
      </c>
      <c r="N2951" s="21">
        <f>IF(J2951="Yes","",IF(H2951&gt;=I2951,1,0))</f>
        <v/>
      </c>
      <c r="O2951" s="21">
        <f>IF(I2951&lt;=5000000,"Under $5M",IF(I2951&lt;=20000000,"$5M-20M",IF(I2951&lt;=50000000,"$20M-50M",IF(I2951&lt;=100000000,"$50M-100M","$100M+"))))</f>
        <v/>
      </c>
      <c r="P2951" s="21">
        <f>IF(E2951&lt;=90,"90 or less",IF(E2951&lt;=105,"91-105",IF(E2951&lt;=120,"106-120",IF(E2951&lt;=140,"121-140","Over 140"))))</f>
        <v/>
      </c>
      <c r="Q2951" s="28">
        <f>INT(C2951/10)*10</f>
        <v/>
      </c>
    </row>
    <row r="2952">
      <c r="A2952" s="21" t="n">
        <v>3013</v>
      </c>
      <c r="B2952" s="21" t="inlineStr">
        <is>
          <t>Hamlet 2</t>
        </is>
      </c>
      <c r="C2952" s="21" t="n">
        <v>2008</v>
      </c>
      <c r="D2952" s="21" t="inlineStr">
        <is>
          <t>USA</t>
        </is>
      </c>
      <c r="E2952" s="21" t="n">
        <v>92</v>
      </c>
      <c r="F2952" s="21" t="inlineStr">
        <is>
          <t>English</t>
        </is>
      </c>
      <c r="G2952" s="21" t="inlineStr">
        <is>
          <t>R</t>
        </is>
      </c>
      <c r="H2952" s="22" t="n">
        <v>4881867</v>
      </c>
      <c r="I2952" s="22" t="n">
        <v>9000000</v>
      </c>
      <c r="J2952" s="21">
        <f>IF(OR(H2952="",H2952=25529689.5),"Yes","No")</f>
        <v/>
      </c>
      <c r="K2952" s="21">
        <f>IF(AND(D2952="USA",C2952&gt;=1980,J2952="No"),"Yes","No")</f>
        <v/>
      </c>
      <c r="L2952" s="26">
        <f>IF(J2952="Yes","",H2952-I2952)</f>
        <v/>
      </c>
      <c r="M2952" s="27">
        <f>IF(OR(J2952="Yes",I2952=0),"",H2952/I2952)</f>
        <v/>
      </c>
      <c r="N2952" s="21">
        <f>IF(J2952="Yes","",IF(H2952&gt;=I2952,1,0))</f>
        <v/>
      </c>
      <c r="O2952" s="21">
        <f>IF(I2952&lt;=5000000,"Under $5M",IF(I2952&lt;=20000000,"$5M-20M",IF(I2952&lt;=50000000,"$20M-50M",IF(I2952&lt;=100000000,"$50M-100M","$100M+"))))</f>
        <v/>
      </c>
      <c r="P2952" s="21">
        <f>IF(E2952&lt;=90,"90 or less",IF(E2952&lt;=105,"91-105",IF(E2952&lt;=120,"106-120",IF(E2952&lt;=140,"121-140","Over 140"))))</f>
        <v/>
      </c>
      <c r="Q2952" s="28">
        <f>INT(C2952/10)*10</f>
        <v/>
      </c>
    </row>
    <row r="2953">
      <c r="A2953" s="21" t="n">
        <v>3014</v>
      </c>
      <c r="B2953" s="21" t="inlineStr">
        <is>
          <t>Hancock</t>
        </is>
      </c>
      <c r="C2953" s="21" t="n">
        <v>2008</v>
      </c>
      <c r="D2953" s="21" t="inlineStr">
        <is>
          <t>USA</t>
        </is>
      </c>
      <c r="E2953" s="21" t="n">
        <v>102</v>
      </c>
      <c r="F2953" s="21" t="inlineStr">
        <is>
          <t>English</t>
        </is>
      </c>
      <c r="G2953" s="21" t="inlineStr">
        <is>
          <t>PG-13</t>
        </is>
      </c>
      <c r="H2953" s="22" t="n">
        <v>227946274</v>
      </c>
      <c r="I2953" s="22" t="n">
        <v>150000000</v>
      </c>
      <c r="J2953" s="21">
        <f>IF(OR(H2953="",H2953=25529689.5),"Yes","No")</f>
        <v/>
      </c>
      <c r="K2953" s="21">
        <f>IF(AND(D2953="USA",C2953&gt;=1980,J2953="No"),"Yes","No")</f>
        <v/>
      </c>
      <c r="L2953" s="26">
        <f>IF(J2953="Yes","",H2953-I2953)</f>
        <v/>
      </c>
      <c r="M2953" s="27">
        <f>IF(OR(J2953="Yes",I2953=0),"",H2953/I2953)</f>
        <v/>
      </c>
      <c r="N2953" s="21">
        <f>IF(J2953="Yes","",IF(H2953&gt;=I2953,1,0))</f>
        <v/>
      </c>
      <c r="O2953" s="21">
        <f>IF(I2953&lt;=5000000,"Under $5M",IF(I2953&lt;=20000000,"$5M-20M",IF(I2953&lt;=50000000,"$20M-50M",IF(I2953&lt;=100000000,"$50M-100M","$100M+"))))</f>
        <v/>
      </c>
      <c r="P2953" s="21">
        <f>IF(E2953&lt;=90,"90 or less",IF(E2953&lt;=105,"91-105",IF(E2953&lt;=120,"106-120",IF(E2953&lt;=140,"121-140","Over 140"))))</f>
        <v/>
      </c>
      <c r="Q2953" s="28">
        <f>INT(C2953/10)*10</f>
        <v/>
      </c>
    </row>
    <row r="2954">
      <c r="A2954" s="21" t="n">
        <v>3015</v>
      </c>
      <c r="B2954" s="21" t="inlineStr">
        <is>
          <t>Harold &amp; Kumar Escape from Guantanamo Bay</t>
        </is>
      </c>
      <c r="C2954" s="21" t="n">
        <v>2008</v>
      </c>
      <c r="D2954" s="21" t="inlineStr">
        <is>
          <t>USA</t>
        </is>
      </c>
      <c r="E2954" s="21" t="n">
        <v>102</v>
      </c>
      <c r="F2954" s="21" t="inlineStr">
        <is>
          <t>English</t>
        </is>
      </c>
      <c r="G2954" s="21" t="inlineStr">
        <is>
          <t>R</t>
        </is>
      </c>
      <c r="H2954" s="22" t="n">
        <v>38087366</v>
      </c>
      <c r="I2954" s="22" t="n">
        <v>12000000</v>
      </c>
      <c r="J2954" s="21">
        <f>IF(OR(H2954="",H2954=25529689.5),"Yes","No")</f>
        <v/>
      </c>
      <c r="K2954" s="21">
        <f>IF(AND(D2954="USA",C2954&gt;=1980,J2954="No"),"Yes","No")</f>
        <v/>
      </c>
      <c r="L2954" s="26">
        <f>IF(J2954="Yes","",H2954-I2954)</f>
        <v/>
      </c>
      <c r="M2954" s="27">
        <f>IF(OR(J2954="Yes",I2954=0),"",H2954/I2954)</f>
        <v/>
      </c>
      <c r="N2954" s="21">
        <f>IF(J2954="Yes","",IF(H2954&gt;=I2954,1,0))</f>
        <v/>
      </c>
      <c r="O2954" s="21">
        <f>IF(I2954&lt;=5000000,"Under $5M",IF(I2954&lt;=20000000,"$5M-20M",IF(I2954&lt;=50000000,"$20M-50M",IF(I2954&lt;=100000000,"$50M-100M","$100M+"))))</f>
        <v/>
      </c>
      <c r="P2954" s="21">
        <f>IF(E2954&lt;=90,"90 or less",IF(E2954&lt;=105,"91-105",IF(E2954&lt;=120,"106-120",IF(E2954&lt;=140,"121-140","Over 140"))))</f>
        <v/>
      </c>
      <c r="Q2954" s="28">
        <f>INT(C2954/10)*10</f>
        <v/>
      </c>
    </row>
    <row r="2955">
      <c r="A2955" s="21" t="n">
        <v>3016</v>
      </c>
      <c r="B2955" s="21" t="inlineStr">
        <is>
          <t>Harrison Montgomery</t>
        </is>
      </c>
      <c r="C2955" s="21" t="n">
        <v>2008</v>
      </c>
      <c r="D2955" s="21" t="inlineStr">
        <is>
          <t>USA</t>
        </is>
      </c>
      <c r="E2955" s="21" t="n">
        <v>95</v>
      </c>
      <c r="F2955" s="21" t="inlineStr">
        <is>
          <t>English</t>
        </is>
      </c>
      <c r="G2955" s="21" t="n"/>
      <c r="H2955" s="22" t="n">
        <v>25529689.5</v>
      </c>
      <c r="I2955" s="22" t="n">
        <v>850000</v>
      </c>
      <c r="J2955" s="21">
        <f>IF(OR(H2955="",H2955=25529689.5),"Yes","No")</f>
        <v/>
      </c>
      <c r="K2955" s="21">
        <f>IF(AND(D2955="USA",C2955&gt;=1980,J2955="No"),"Yes","No")</f>
        <v/>
      </c>
      <c r="L2955" s="26">
        <f>IF(J2955="Yes","",H2955-I2955)</f>
        <v/>
      </c>
      <c r="M2955" s="27">
        <f>IF(OR(J2955="Yes",I2955=0),"",H2955/I2955)</f>
        <v/>
      </c>
      <c r="N2955" s="21">
        <f>IF(J2955="Yes","",IF(H2955&gt;=I2955,1,0))</f>
        <v/>
      </c>
      <c r="O2955" s="21">
        <f>IF(I2955&lt;=5000000,"Under $5M",IF(I2955&lt;=20000000,"$5M-20M",IF(I2955&lt;=50000000,"$20M-50M",IF(I2955&lt;=100000000,"$50M-100M","$100M+"))))</f>
        <v/>
      </c>
      <c r="P2955" s="21">
        <f>IF(E2955&lt;=90,"90 or less",IF(E2955&lt;=105,"91-105",IF(E2955&lt;=120,"106-120",IF(E2955&lt;=140,"121-140","Over 140"))))</f>
        <v/>
      </c>
      <c r="Q2955" s="28">
        <f>INT(C2955/10)*10</f>
        <v/>
      </c>
    </row>
    <row r="2956">
      <c r="A2956" s="21" t="n">
        <v>3017</v>
      </c>
      <c r="B2956" s="21" t="inlineStr">
        <is>
          <t>Hellboy II: The Golden Army</t>
        </is>
      </c>
      <c r="C2956" s="21" t="n">
        <v>2008</v>
      </c>
      <c r="D2956" s="21" t="inlineStr">
        <is>
          <t>USA</t>
        </is>
      </c>
      <c r="E2956" s="21" t="n">
        <v>120</v>
      </c>
      <c r="F2956" s="21" t="inlineStr">
        <is>
          <t>English</t>
        </is>
      </c>
      <c r="G2956" s="21" t="inlineStr">
        <is>
          <t>PG-13</t>
        </is>
      </c>
      <c r="H2956" s="22" t="n">
        <v>75754670</v>
      </c>
      <c r="I2956" s="22" t="n">
        <v>85000000</v>
      </c>
      <c r="J2956" s="21">
        <f>IF(OR(H2956="",H2956=25529689.5),"Yes","No")</f>
        <v/>
      </c>
      <c r="K2956" s="21">
        <f>IF(AND(D2956="USA",C2956&gt;=1980,J2956="No"),"Yes","No")</f>
        <v/>
      </c>
      <c r="L2956" s="26">
        <f>IF(J2956="Yes","",H2956-I2956)</f>
        <v/>
      </c>
      <c r="M2956" s="27">
        <f>IF(OR(J2956="Yes",I2956=0),"",H2956/I2956)</f>
        <v/>
      </c>
      <c r="N2956" s="21">
        <f>IF(J2956="Yes","",IF(H2956&gt;=I2956,1,0))</f>
        <v/>
      </c>
      <c r="O2956" s="21">
        <f>IF(I2956&lt;=5000000,"Under $5M",IF(I2956&lt;=20000000,"$5M-20M",IF(I2956&lt;=50000000,"$20M-50M",IF(I2956&lt;=100000000,"$50M-100M","$100M+"))))</f>
        <v/>
      </c>
      <c r="P2956" s="21">
        <f>IF(E2956&lt;=90,"90 or less",IF(E2956&lt;=105,"91-105",IF(E2956&lt;=120,"106-120",IF(E2956&lt;=140,"121-140","Over 140"))))</f>
        <v/>
      </c>
      <c r="Q2956" s="28">
        <f>INT(C2956/10)*10</f>
        <v/>
      </c>
    </row>
    <row r="2957">
      <c r="A2957" s="21" t="n">
        <v>3018</v>
      </c>
      <c r="B2957" s="21" t="inlineStr">
        <is>
          <t>High School Musical 3: Senior Year</t>
        </is>
      </c>
      <c r="C2957" s="21" t="n">
        <v>2008</v>
      </c>
      <c r="D2957" s="21" t="inlineStr">
        <is>
          <t>USA</t>
        </is>
      </c>
      <c r="E2957" s="21" t="n">
        <v>112</v>
      </c>
      <c r="F2957" s="21" t="inlineStr">
        <is>
          <t>English</t>
        </is>
      </c>
      <c r="G2957" s="21" t="inlineStr">
        <is>
          <t>G</t>
        </is>
      </c>
      <c r="H2957" s="22" t="n">
        <v>90556401</v>
      </c>
      <c r="I2957" s="22" t="n">
        <v>11000000</v>
      </c>
      <c r="J2957" s="21">
        <f>IF(OR(H2957="",H2957=25529689.5),"Yes","No")</f>
        <v/>
      </c>
      <c r="K2957" s="21">
        <f>IF(AND(D2957="USA",C2957&gt;=1980,J2957="No"),"Yes","No")</f>
        <v/>
      </c>
      <c r="L2957" s="26">
        <f>IF(J2957="Yes","",H2957-I2957)</f>
        <v/>
      </c>
      <c r="M2957" s="27">
        <f>IF(OR(J2957="Yes",I2957=0),"",H2957/I2957)</f>
        <v/>
      </c>
      <c r="N2957" s="21">
        <f>IF(J2957="Yes","",IF(H2957&gt;=I2957,1,0))</f>
        <v/>
      </c>
      <c r="O2957" s="21">
        <f>IF(I2957&lt;=5000000,"Under $5M",IF(I2957&lt;=20000000,"$5M-20M",IF(I2957&lt;=50000000,"$20M-50M",IF(I2957&lt;=100000000,"$50M-100M","$100M+"))))</f>
        <v/>
      </c>
      <c r="P2957" s="21">
        <f>IF(E2957&lt;=90,"90 or less",IF(E2957&lt;=105,"91-105",IF(E2957&lt;=120,"106-120",IF(E2957&lt;=140,"121-140","Over 140"))))</f>
        <v/>
      </c>
      <c r="Q2957" s="28">
        <f>INT(C2957/10)*10</f>
        <v/>
      </c>
    </row>
    <row r="2958">
      <c r="A2958" s="21" t="n">
        <v>3019</v>
      </c>
      <c r="B2958" s="21" t="inlineStr">
        <is>
          <t>How to Lose Friends &amp; Alienate People</t>
        </is>
      </c>
      <c r="C2958" s="21" t="n">
        <v>2008</v>
      </c>
      <c r="D2958" s="21" t="inlineStr">
        <is>
          <t>UK</t>
        </is>
      </c>
      <c r="E2958" s="21" t="n">
        <v>110</v>
      </c>
      <c r="F2958" s="21" t="inlineStr">
        <is>
          <t>English</t>
        </is>
      </c>
      <c r="G2958" s="21" t="inlineStr">
        <is>
          <t>R</t>
        </is>
      </c>
      <c r="H2958" s="22" t="n">
        <v>2775593</v>
      </c>
      <c r="I2958" s="22" t="n">
        <v>27000000</v>
      </c>
      <c r="J2958" s="21">
        <f>IF(OR(H2958="",H2958=25529689.5),"Yes","No")</f>
        <v/>
      </c>
      <c r="K2958" s="21">
        <f>IF(AND(D2958="USA",C2958&gt;=1980,J2958="No"),"Yes","No")</f>
        <v/>
      </c>
      <c r="L2958" s="26">
        <f>IF(J2958="Yes","",H2958-I2958)</f>
        <v/>
      </c>
      <c r="M2958" s="27">
        <f>IF(OR(J2958="Yes",I2958=0),"",H2958/I2958)</f>
        <v/>
      </c>
      <c r="N2958" s="21">
        <f>IF(J2958="Yes","",IF(H2958&gt;=I2958,1,0))</f>
        <v/>
      </c>
      <c r="O2958" s="21">
        <f>IF(I2958&lt;=5000000,"Under $5M",IF(I2958&lt;=20000000,"$5M-20M",IF(I2958&lt;=50000000,"$20M-50M",IF(I2958&lt;=100000000,"$50M-100M","$100M+"))))</f>
        <v/>
      </c>
      <c r="P2958" s="21">
        <f>IF(E2958&lt;=90,"90 or less",IF(E2958&lt;=105,"91-105",IF(E2958&lt;=120,"106-120",IF(E2958&lt;=140,"121-140","Over 140"))))</f>
        <v/>
      </c>
      <c r="Q2958" s="28">
        <f>INT(C2958/10)*10</f>
        <v/>
      </c>
    </row>
    <row r="2959">
      <c r="A2959" s="21" t="n">
        <v>3020</v>
      </c>
      <c r="B2959" s="21" t="inlineStr">
        <is>
          <t>Impact Point</t>
        </is>
      </c>
      <c r="C2959" s="21" t="n">
        <v>2008</v>
      </c>
      <c r="D2959" s="21" t="inlineStr">
        <is>
          <t>USA</t>
        </is>
      </c>
      <c r="E2959" s="21" t="n">
        <v>90</v>
      </c>
      <c r="F2959" s="21" t="inlineStr">
        <is>
          <t>English</t>
        </is>
      </c>
      <c r="G2959" s="21" t="inlineStr">
        <is>
          <t>R</t>
        </is>
      </c>
      <c r="H2959" s="22" t="n">
        <v>25529689.5</v>
      </c>
      <c r="I2959" s="22" t="n">
        <v>2200000</v>
      </c>
      <c r="J2959" s="21">
        <f>IF(OR(H2959="",H2959=25529689.5),"Yes","No")</f>
        <v/>
      </c>
      <c r="K2959" s="21">
        <f>IF(AND(D2959="USA",C2959&gt;=1980,J2959="No"),"Yes","No")</f>
        <v/>
      </c>
      <c r="L2959" s="26">
        <f>IF(J2959="Yes","",H2959-I2959)</f>
        <v/>
      </c>
      <c r="M2959" s="27">
        <f>IF(OR(J2959="Yes",I2959=0),"",H2959/I2959)</f>
        <v/>
      </c>
      <c r="N2959" s="21">
        <f>IF(J2959="Yes","",IF(H2959&gt;=I2959,1,0))</f>
        <v/>
      </c>
      <c r="O2959" s="21">
        <f>IF(I2959&lt;=5000000,"Under $5M",IF(I2959&lt;=20000000,"$5M-20M",IF(I2959&lt;=50000000,"$20M-50M",IF(I2959&lt;=100000000,"$50M-100M","$100M+"))))</f>
        <v/>
      </c>
      <c r="P2959" s="21">
        <f>IF(E2959&lt;=90,"90 or less",IF(E2959&lt;=105,"91-105",IF(E2959&lt;=120,"106-120",IF(E2959&lt;=140,"121-140","Over 140"))))</f>
        <v/>
      </c>
      <c r="Q2959" s="28">
        <f>INT(C2959/10)*10</f>
        <v/>
      </c>
    </row>
    <row r="2960">
      <c r="A2960" s="21" t="n">
        <v>3021</v>
      </c>
      <c r="B2960" s="21" t="inlineStr">
        <is>
          <t>In Bruges</t>
        </is>
      </c>
      <c r="C2960" s="21" t="n">
        <v>2008</v>
      </c>
      <c r="D2960" s="21" t="inlineStr">
        <is>
          <t>UK</t>
        </is>
      </c>
      <c r="E2960" s="21" t="n">
        <v>107</v>
      </c>
      <c r="F2960" s="21" t="inlineStr">
        <is>
          <t>English</t>
        </is>
      </c>
      <c r="G2960" s="21" t="inlineStr">
        <is>
          <t>R</t>
        </is>
      </c>
      <c r="H2960" s="22" t="n">
        <v>7757130</v>
      </c>
      <c r="I2960" s="22" t="n">
        <v>15000000</v>
      </c>
      <c r="J2960" s="21">
        <f>IF(OR(H2960="",H2960=25529689.5),"Yes","No")</f>
        <v/>
      </c>
      <c r="K2960" s="21">
        <f>IF(AND(D2960="USA",C2960&gt;=1980,J2960="No"),"Yes","No")</f>
        <v/>
      </c>
      <c r="L2960" s="26">
        <f>IF(J2960="Yes","",H2960-I2960)</f>
        <v/>
      </c>
      <c r="M2960" s="27">
        <f>IF(OR(J2960="Yes",I2960=0),"",H2960/I2960)</f>
        <v/>
      </c>
      <c r="N2960" s="21">
        <f>IF(J2960="Yes","",IF(H2960&gt;=I2960,1,0))</f>
        <v/>
      </c>
      <c r="O2960" s="21">
        <f>IF(I2960&lt;=5000000,"Under $5M",IF(I2960&lt;=20000000,"$5M-20M",IF(I2960&lt;=50000000,"$20M-50M",IF(I2960&lt;=100000000,"$50M-100M","$100M+"))))</f>
        <v/>
      </c>
      <c r="P2960" s="21">
        <f>IF(E2960&lt;=90,"90 or less",IF(E2960&lt;=105,"91-105",IF(E2960&lt;=120,"106-120",IF(E2960&lt;=140,"121-140","Over 140"))))</f>
        <v/>
      </c>
      <c r="Q2960" s="28">
        <f>INT(C2960/10)*10</f>
        <v/>
      </c>
    </row>
    <row r="2961">
      <c r="A2961" s="21" t="n">
        <v>3022</v>
      </c>
      <c r="B2961" s="21" t="inlineStr">
        <is>
          <t>Indiana Jones and the Kingdom of the Crystal Skull</t>
        </is>
      </c>
      <c r="C2961" s="21" t="n">
        <v>2008</v>
      </c>
      <c r="D2961" s="21" t="inlineStr">
        <is>
          <t>USA</t>
        </is>
      </c>
      <c r="E2961" s="21" t="n">
        <v>122</v>
      </c>
      <c r="F2961" s="21" t="inlineStr">
        <is>
          <t>English</t>
        </is>
      </c>
      <c r="G2961" s="21" t="inlineStr">
        <is>
          <t>PG-13</t>
        </is>
      </c>
      <c r="H2961" s="22" t="n">
        <v>317011114</v>
      </c>
      <c r="I2961" s="22" t="n">
        <v>185000000</v>
      </c>
      <c r="J2961" s="21">
        <f>IF(OR(H2961="",H2961=25529689.5),"Yes","No")</f>
        <v/>
      </c>
      <c r="K2961" s="21">
        <f>IF(AND(D2961="USA",C2961&gt;=1980,J2961="No"),"Yes","No")</f>
        <v/>
      </c>
      <c r="L2961" s="26">
        <f>IF(J2961="Yes","",H2961-I2961)</f>
        <v/>
      </c>
      <c r="M2961" s="27">
        <f>IF(OR(J2961="Yes",I2961=0),"",H2961/I2961)</f>
        <v/>
      </c>
      <c r="N2961" s="21">
        <f>IF(J2961="Yes","",IF(H2961&gt;=I2961,1,0))</f>
        <v/>
      </c>
      <c r="O2961" s="21">
        <f>IF(I2961&lt;=5000000,"Under $5M",IF(I2961&lt;=20000000,"$5M-20M",IF(I2961&lt;=50000000,"$20M-50M",IF(I2961&lt;=100000000,"$50M-100M","$100M+"))))</f>
        <v/>
      </c>
      <c r="P2961" s="21">
        <f>IF(E2961&lt;=90,"90 or less",IF(E2961&lt;=105,"91-105",IF(E2961&lt;=120,"106-120",IF(E2961&lt;=140,"121-140","Over 140"))))</f>
        <v/>
      </c>
      <c r="Q2961" s="28">
        <f>INT(C2961/10)*10</f>
        <v/>
      </c>
    </row>
    <row r="2962">
      <c r="A2962" s="21" t="n">
        <v>3023</v>
      </c>
      <c r="B2962" s="21" t="inlineStr">
        <is>
          <t>Inkheart</t>
        </is>
      </c>
      <c r="C2962" s="21" t="n">
        <v>2008</v>
      </c>
      <c r="D2962" s="21" t="inlineStr">
        <is>
          <t>Germany</t>
        </is>
      </c>
      <c r="E2962" s="21" t="n">
        <v>106</v>
      </c>
      <c r="F2962" s="21" t="inlineStr">
        <is>
          <t>English</t>
        </is>
      </c>
      <c r="G2962" s="21" t="inlineStr">
        <is>
          <t>PG</t>
        </is>
      </c>
      <c r="H2962" s="22" t="n">
        <v>17281832</v>
      </c>
      <c r="I2962" s="22" t="n">
        <v>60000000</v>
      </c>
      <c r="J2962" s="21">
        <f>IF(OR(H2962="",H2962=25529689.5),"Yes","No")</f>
        <v/>
      </c>
      <c r="K2962" s="21">
        <f>IF(AND(D2962="USA",C2962&gt;=1980,J2962="No"),"Yes","No")</f>
        <v/>
      </c>
      <c r="L2962" s="26">
        <f>IF(J2962="Yes","",H2962-I2962)</f>
        <v/>
      </c>
      <c r="M2962" s="27">
        <f>IF(OR(J2962="Yes",I2962=0),"",H2962/I2962)</f>
        <v/>
      </c>
      <c r="N2962" s="21">
        <f>IF(J2962="Yes","",IF(H2962&gt;=I2962,1,0))</f>
        <v/>
      </c>
      <c r="O2962" s="21">
        <f>IF(I2962&lt;=5000000,"Under $5M",IF(I2962&lt;=20000000,"$5M-20M",IF(I2962&lt;=50000000,"$20M-50M",IF(I2962&lt;=100000000,"$50M-100M","$100M+"))))</f>
        <v/>
      </c>
      <c r="P2962" s="21">
        <f>IF(E2962&lt;=90,"90 or less",IF(E2962&lt;=105,"91-105",IF(E2962&lt;=120,"106-120",IF(E2962&lt;=140,"121-140","Over 140"))))</f>
        <v/>
      </c>
      <c r="Q2962" s="28">
        <f>INT(C2962/10)*10</f>
        <v/>
      </c>
    </row>
    <row r="2963">
      <c r="A2963" s="21" t="n">
        <v>3024</v>
      </c>
      <c r="B2963" s="21" t="inlineStr">
        <is>
          <t>Iron Man</t>
        </is>
      </c>
      <c r="C2963" s="21" t="n">
        <v>2008</v>
      </c>
      <c r="D2963" s="21" t="inlineStr">
        <is>
          <t>USA</t>
        </is>
      </c>
      <c r="E2963" s="21" t="n">
        <v>126</v>
      </c>
      <c r="F2963" s="21" t="inlineStr">
        <is>
          <t>English</t>
        </is>
      </c>
      <c r="G2963" s="21" t="inlineStr">
        <is>
          <t>PG-13</t>
        </is>
      </c>
      <c r="H2963" s="22" t="n">
        <v>318298180</v>
      </c>
      <c r="I2963" s="22" t="n">
        <v>140000000</v>
      </c>
      <c r="J2963" s="21">
        <f>IF(OR(H2963="",H2963=25529689.5),"Yes","No")</f>
        <v/>
      </c>
      <c r="K2963" s="21">
        <f>IF(AND(D2963="USA",C2963&gt;=1980,J2963="No"),"Yes","No")</f>
        <v/>
      </c>
      <c r="L2963" s="26">
        <f>IF(J2963="Yes","",H2963-I2963)</f>
        <v/>
      </c>
      <c r="M2963" s="27">
        <f>IF(OR(J2963="Yes",I2963=0),"",H2963/I2963)</f>
        <v/>
      </c>
      <c r="N2963" s="21">
        <f>IF(J2963="Yes","",IF(H2963&gt;=I2963,1,0))</f>
        <v/>
      </c>
      <c r="O2963" s="21">
        <f>IF(I2963&lt;=5000000,"Under $5M",IF(I2963&lt;=20000000,"$5M-20M",IF(I2963&lt;=50000000,"$20M-50M",IF(I2963&lt;=100000000,"$50M-100M","$100M+"))))</f>
        <v/>
      </c>
      <c r="P2963" s="21">
        <f>IF(E2963&lt;=90,"90 or less",IF(E2963&lt;=105,"91-105",IF(E2963&lt;=120,"106-120",IF(E2963&lt;=140,"121-140","Over 140"))))</f>
        <v/>
      </c>
      <c r="Q2963" s="28">
        <f>INT(C2963/10)*10</f>
        <v/>
      </c>
    </row>
    <row r="2964">
      <c r="A2964" s="21" t="n">
        <v>3025</v>
      </c>
      <c r="B2964" s="21" t="inlineStr">
        <is>
          <t>Journey to Saturn</t>
        </is>
      </c>
      <c r="C2964" s="21" t="n">
        <v>2008</v>
      </c>
      <c r="D2964" s="21" t="inlineStr">
        <is>
          <t>Denmark</t>
        </is>
      </c>
      <c r="E2964" s="21" t="n">
        <v>90</v>
      </c>
      <c r="F2964" s="21" t="inlineStr">
        <is>
          <t>Danish</t>
        </is>
      </c>
      <c r="G2964" s="21" t="inlineStr">
        <is>
          <t>Not Rated</t>
        </is>
      </c>
      <c r="H2964" s="22" t="n">
        <v>25529689.5</v>
      </c>
      <c r="I2964" s="22" t="n">
        <v>20000000</v>
      </c>
      <c r="J2964" s="21">
        <f>IF(OR(H2964="",H2964=25529689.5),"Yes","No")</f>
        <v/>
      </c>
      <c r="K2964" s="21">
        <f>IF(AND(D2964="USA",C2964&gt;=1980,J2964="No"),"Yes","No")</f>
        <v/>
      </c>
      <c r="L2964" s="26">
        <f>IF(J2964="Yes","",H2964-I2964)</f>
        <v/>
      </c>
      <c r="M2964" s="27">
        <f>IF(OR(J2964="Yes",I2964=0),"",H2964/I2964)</f>
        <v/>
      </c>
      <c r="N2964" s="21">
        <f>IF(J2964="Yes","",IF(H2964&gt;=I2964,1,0))</f>
        <v/>
      </c>
      <c r="O2964" s="21">
        <f>IF(I2964&lt;=5000000,"Under $5M",IF(I2964&lt;=20000000,"$5M-20M",IF(I2964&lt;=50000000,"$20M-50M",IF(I2964&lt;=100000000,"$50M-100M","$100M+"))))</f>
        <v/>
      </c>
      <c r="P2964" s="21">
        <f>IF(E2964&lt;=90,"90 or less",IF(E2964&lt;=105,"91-105",IF(E2964&lt;=120,"106-120",IF(E2964&lt;=140,"121-140","Over 140"))))</f>
        <v/>
      </c>
      <c r="Q2964" s="28">
        <f>INT(C2964/10)*10</f>
        <v/>
      </c>
    </row>
    <row r="2965">
      <c r="A2965" s="21" t="n">
        <v>3026</v>
      </c>
      <c r="B2965" s="21" t="inlineStr">
        <is>
          <t>Journey to the Center of the Earth</t>
        </is>
      </c>
      <c r="C2965" s="21" t="n">
        <v>2008</v>
      </c>
      <c r="D2965" s="21" t="inlineStr">
        <is>
          <t>USA</t>
        </is>
      </c>
      <c r="E2965" s="21" t="n">
        <v>93</v>
      </c>
      <c r="F2965" s="21" t="inlineStr">
        <is>
          <t>English</t>
        </is>
      </c>
      <c r="G2965" s="21" t="inlineStr">
        <is>
          <t>PG</t>
        </is>
      </c>
      <c r="H2965" s="22" t="n">
        <v>101702060</v>
      </c>
      <c r="I2965" s="22" t="n">
        <v>45000000</v>
      </c>
      <c r="J2965" s="21">
        <f>IF(OR(H2965="",H2965=25529689.5),"Yes","No")</f>
        <v/>
      </c>
      <c r="K2965" s="21">
        <f>IF(AND(D2965="USA",C2965&gt;=1980,J2965="No"),"Yes","No")</f>
        <v/>
      </c>
      <c r="L2965" s="26">
        <f>IF(J2965="Yes","",H2965-I2965)</f>
        <v/>
      </c>
      <c r="M2965" s="27">
        <f>IF(OR(J2965="Yes",I2965=0),"",H2965/I2965)</f>
        <v/>
      </c>
      <c r="N2965" s="21">
        <f>IF(J2965="Yes","",IF(H2965&gt;=I2965,1,0))</f>
        <v/>
      </c>
      <c r="O2965" s="21">
        <f>IF(I2965&lt;=5000000,"Under $5M",IF(I2965&lt;=20000000,"$5M-20M",IF(I2965&lt;=50000000,"$20M-50M",IF(I2965&lt;=100000000,"$50M-100M","$100M+"))))</f>
        <v/>
      </c>
      <c r="P2965" s="21">
        <f>IF(E2965&lt;=90,"90 or less",IF(E2965&lt;=105,"91-105",IF(E2965&lt;=120,"106-120",IF(E2965&lt;=140,"121-140","Over 140"))))</f>
        <v/>
      </c>
      <c r="Q2965" s="28">
        <f>INT(C2965/10)*10</f>
        <v/>
      </c>
    </row>
    <row r="2966">
      <c r="A2966" s="21" t="n">
        <v>3027</v>
      </c>
      <c r="B2966" s="21" t="inlineStr">
        <is>
          <t>Jumper</t>
        </is>
      </c>
      <c r="C2966" s="21" t="n">
        <v>2008</v>
      </c>
      <c r="D2966" s="21" t="inlineStr">
        <is>
          <t>USA</t>
        </is>
      </c>
      <c r="E2966" s="21" t="n">
        <v>88</v>
      </c>
      <c r="F2966" s="21" t="inlineStr">
        <is>
          <t>English</t>
        </is>
      </c>
      <c r="G2966" s="21" t="inlineStr">
        <is>
          <t>PG-13</t>
        </is>
      </c>
      <c r="H2966" s="22" t="n">
        <v>80170146</v>
      </c>
      <c r="I2966" s="22" t="n">
        <v>85000000</v>
      </c>
      <c r="J2966" s="21">
        <f>IF(OR(H2966="",H2966=25529689.5),"Yes","No")</f>
        <v/>
      </c>
      <c r="K2966" s="21">
        <f>IF(AND(D2966="USA",C2966&gt;=1980,J2966="No"),"Yes","No")</f>
        <v/>
      </c>
      <c r="L2966" s="26">
        <f>IF(J2966="Yes","",H2966-I2966)</f>
        <v/>
      </c>
      <c r="M2966" s="27">
        <f>IF(OR(J2966="Yes",I2966=0),"",H2966/I2966)</f>
        <v/>
      </c>
      <c r="N2966" s="21">
        <f>IF(J2966="Yes","",IF(H2966&gt;=I2966,1,0))</f>
        <v/>
      </c>
      <c r="O2966" s="21">
        <f>IF(I2966&lt;=5000000,"Under $5M",IF(I2966&lt;=20000000,"$5M-20M",IF(I2966&lt;=50000000,"$20M-50M",IF(I2966&lt;=100000000,"$50M-100M","$100M+"))))</f>
        <v/>
      </c>
      <c r="P2966" s="21">
        <f>IF(E2966&lt;=90,"90 or less",IF(E2966&lt;=105,"91-105",IF(E2966&lt;=120,"106-120",IF(E2966&lt;=140,"121-140","Over 140"))))</f>
        <v/>
      </c>
      <c r="Q2966" s="28">
        <f>INT(C2966/10)*10</f>
        <v/>
      </c>
    </row>
    <row r="2967">
      <c r="A2967" s="21" t="n">
        <v>3028</v>
      </c>
      <c r="B2967" s="21" t="inlineStr">
        <is>
          <t>Kit Kittredge: An American Girl</t>
        </is>
      </c>
      <c r="C2967" s="21" t="n">
        <v>2008</v>
      </c>
      <c r="D2967" s="21" t="inlineStr">
        <is>
          <t>USA</t>
        </is>
      </c>
      <c r="E2967" s="21" t="n">
        <v>101</v>
      </c>
      <c r="F2967" s="21" t="inlineStr">
        <is>
          <t>English</t>
        </is>
      </c>
      <c r="G2967" s="21" t="inlineStr">
        <is>
          <t>G</t>
        </is>
      </c>
      <c r="H2967" s="22" t="n">
        <v>17655201</v>
      </c>
      <c r="I2967" s="22" t="n">
        <v>10000000</v>
      </c>
      <c r="J2967" s="21">
        <f>IF(OR(H2967="",H2967=25529689.5),"Yes","No")</f>
        <v/>
      </c>
      <c r="K2967" s="21">
        <f>IF(AND(D2967="USA",C2967&gt;=1980,J2967="No"),"Yes","No")</f>
        <v/>
      </c>
      <c r="L2967" s="26">
        <f>IF(J2967="Yes","",H2967-I2967)</f>
        <v/>
      </c>
      <c r="M2967" s="27">
        <f>IF(OR(J2967="Yes",I2967=0),"",H2967/I2967)</f>
        <v/>
      </c>
      <c r="N2967" s="21">
        <f>IF(J2967="Yes","",IF(H2967&gt;=I2967,1,0))</f>
        <v/>
      </c>
      <c r="O2967" s="21">
        <f>IF(I2967&lt;=5000000,"Under $5M",IF(I2967&lt;=20000000,"$5M-20M",IF(I2967&lt;=50000000,"$20M-50M",IF(I2967&lt;=100000000,"$50M-100M","$100M+"))))</f>
        <v/>
      </c>
      <c r="P2967" s="21">
        <f>IF(E2967&lt;=90,"90 or less",IF(E2967&lt;=105,"91-105",IF(E2967&lt;=120,"106-120",IF(E2967&lt;=140,"121-140","Over 140"))))</f>
        <v/>
      </c>
      <c r="Q2967" s="28">
        <f>INT(C2967/10)*10</f>
        <v/>
      </c>
    </row>
    <row r="2968">
      <c r="A2968" s="21" t="n">
        <v>3029</v>
      </c>
      <c r="B2968" s="21" t="inlineStr">
        <is>
          <t>Kung Fu Panda</t>
        </is>
      </c>
      <c r="C2968" s="21" t="n">
        <v>2008</v>
      </c>
      <c r="D2968" s="21" t="inlineStr">
        <is>
          <t>USA</t>
        </is>
      </c>
      <c r="E2968" s="21" t="n">
        <v>92</v>
      </c>
      <c r="F2968" s="21" t="inlineStr">
        <is>
          <t>English</t>
        </is>
      </c>
      <c r="G2968" s="21" t="inlineStr">
        <is>
          <t>PG</t>
        </is>
      </c>
      <c r="H2968" s="22" t="n">
        <v>215395021</v>
      </c>
      <c r="I2968" s="22" t="n">
        <v>130000000</v>
      </c>
      <c r="J2968" s="21">
        <f>IF(OR(H2968="",H2968=25529689.5),"Yes","No")</f>
        <v/>
      </c>
      <c r="K2968" s="21">
        <f>IF(AND(D2968="USA",C2968&gt;=1980,J2968="No"),"Yes","No")</f>
        <v/>
      </c>
      <c r="L2968" s="26">
        <f>IF(J2968="Yes","",H2968-I2968)</f>
        <v/>
      </c>
      <c r="M2968" s="27">
        <f>IF(OR(J2968="Yes",I2968=0),"",H2968/I2968)</f>
        <v/>
      </c>
      <c r="N2968" s="21">
        <f>IF(J2968="Yes","",IF(H2968&gt;=I2968,1,0))</f>
        <v/>
      </c>
      <c r="O2968" s="21">
        <f>IF(I2968&lt;=5000000,"Under $5M",IF(I2968&lt;=20000000,"$5M-20M",IF(I2968&lt;=50000000,"$20M-50M",IF(I2968&lt;=100000000,"$50M-100M","$100M+"))))</f>
        <v/>
      </c>
      <c r="P2968" s="21">
        <f>IF(E2968&lt;=90,"90 or less",IF(E2968&lt;=105,"91-105",IF(E2968&lt;=120,"106-120",IF(E2968&lt;=140,"121-140","Over 140"))))</f>
        <v/>
      </c>
      <c r="Q2968" s="28">
        <f>INT(C2968/10)*10</f>
        <v/>
      </c>
    </row>
    <row r="2969">
      <c r="A2969" s="21" t="n">
        <v>3030</v>
      </c>
      <c r="B2969" s="21" t="inlineStr">
        <is>
          <t>Lake Mungo</t>
        </is>
      </c>
      <c r="C2969" s="21" t="n">
        <v>2008</v>
      </c>
      <c r="D2969" s="21" t="inlineStr">
        <is>
          <t>Australia</t>
        </is>
      </c>
      <c r="E2969" s="21" t="n">
        <v>89</v>
      </c>
      <c r="F2969" s="21" t="inlineStr">
        <is>
          <t>English</t>
        </is>
      </c>
      <c r="G2969" s="21" t="inlineStr">
        <is>
          <t>R</t>
        </is>
      </c>
      <c r="H2969" s="22" t="n">
        <v>25529689.5</v>
      </c>
      <c r="I2969" s="22" t="n">
        <v>1400000</v>
      </c>
      <c r="J2969" s="21">
        <f>IF(OR(H2969="",H2969=25529689.5),"Yes","No")</f>
        <v/>
      </c>
      <c r="K2969" s="21">
        <f>IF(AND(D2969="USA",C2969&gt;=1980,J2969="No"),"Yes","No")</f>
        <v/>
      </c>
      <c r="L2969" s="26">
        <f>IF(J2969="Yes","",H2969-I2969)</f>
        <v/>
      </c>
      <c r="M2969" s="27">
        <f>IF(OR(J2969="Yes",I2969=0),"",H2969/I2969)</f>
        <v/>
      </c>
      <c r="N2969" s="21">
        <f>IF(J2969="Yes","",IF(H2969&gt;=I2969,1,0))</f>
        <v/>
      </c>
      <c r="O2969" s="21">
        <f>IF(I2969&lt;=5000000,"Under $5M",IF(I2969&lt;=20000000,"$5M-20M",IF(I2969&lt;=50000000,"$20M-50M",IF(I2969&lt;=100000000,"$50M-100M","$100M+"))))</f>
        <v/>
      </c>
      <c r="P2969" s="21">
        <f>IF(E2969&lt;=90,"90 or less",IF(E2969&lt;=105,"91-105",IF(E2969&lt;=120,"106-120",IF(E2969&lt;=140,"121-140","Over 140"))))</f>
        <v/>
      </c>
      <c r="Q2969" s="28">
        <f>INT(C2969/10)*10</f>
        <v/>
      </c>
    </row>
    <row r="2970">
      <c r="A2970" s="21" t="n">
        <v>3031</v>
      </c>
      <c r="B2970" s="21" t="inlineStr">
        <is>
          <t>Lakeview Terrace</t>
        </is>
      </c>
      <c r="C2970" s="21" t="n">
        <v>2008</v>
      </c>
      <c r="D2970" s="21" t="inlineStr">
        <is>
          <t>USA</t>
        </is>
      </c>
      <c r="E2970" s="21" t="n">
        <v>110</v>
      </c>
      <c r="F2970" s="21" t="inlineStr">
        <is>
          <t>English</t>
        </is>
      </c>
      <c r="G2970" s="21" t="inlineStr">
        <is>
          <t>PG-13</t>
        </is>
      </c>
      <c r="H2970" s="22" t="n">
        <v>39263506</v>
      </c>
      <c r="I2970" s="22" t="n">
        <v>22000000</v>
      </c>
      <c r="J2970" s="21">
        <f>IF(OR(H2970="",H2970=25529689.5),"Yes","No")</f>
        <v/>
      </c>
      <c r="K2970" s="21">
        <f>IF(AND(D2970="USA",C2970&gt;=1980,J2970="No"),"Yes","No")</f>
        <v/>
      </c>
      <c r="L2970" s="26">
        <f>IF(J2970="Yes","",H2970-I2970)</f>
        <v/>
      </c>
      <c r="M2970" s="27">
        <f>IF(OR(J2970="Yes",I2970=0),"",H2970/I2970)</f>
        <v/>
      </c>
      <c r="N2970" s="21">
        <f>IF(J2970="Yes","",IF(H2970&gt;=I2970,1,0))</f>
        <v/>
      </c>
      <c r="O2970" s="21">
        <f>IF(I2970&lt;=5000000,"Under $5M",IF(I2970&lt;=20000000,"$5M-20M",IF(I2970&lt;=50000000,"$20M-50M",IF(I2970&lt;=100000000,"$50M-100M","$100M+"))))</f>
        <v/>
      </c>
      <c r="P2970" s="21">
        <f>IF(E2970&lt;=90,"90 or less",IF(E2970&lt;=105,"91-105",IF(E2970&lt;=120,"106-120",IF(E2970&lt;=140,"121-140","Over 140"))))</f>
        <v/>
      </c>
      <c r="Q2970" s="28">
        <f>INT(C2970/10)*10</f>
        <v/>
      </c>
    </row>
    <row r="2971">
      <c r="A2971" s="21" t="n">
        <v>3032</v>
      </c>
      <c r="B2971" s="21" t="inlineStr">
        <is>
          <t>Leatherheads</t>
        </is>
      </c>
      <c r="C2971" s="21" t="n">
        <v>2008</v>
      </c>
      <c r="D2971" s="21" t="inlineStr">
        <is>
          <t>USA</t>
        </is>
      </c>
      <c r="E2971" s="21" t="n">
        <v>114</v>
      </c>
      <c r="F2971" s="21" t="inlineStr">
        <is>
          <t>English</t>
        </is>
      </c>
      <c r="G2971" s="21" t="inlineStr">
        <is>
          <t>PG-13</t>
        </is>
      </c>
      <c r="H2971" s="22" t="n">
        <v>31199215</v>
      </c>
      <c r="I2971" s="22" t="n">
        <v>58000000</v>
      </c>
      <c r="J2971" s="21">
        <f>IF(OR(H2971="",H2971=25529689.5),"Yes","No")</f>
        <v/>
      </c>
      <c r="K2971" s="21">
        <f>IF(AND(D2971="USA",C2971&gt;=1980,J2971="No"),"Yes","No")</f>
        <v/>
      </c>
      <c r="L2971" s="26">
        <f>IF(J2971="Yes","",H2971-I2971)</f>
        <v/>
      </c>
      <c r="M2971" s="27">
        <f>IF(OR(J2971="Yes",I2971=0),"",H2971/I2971)</f>
        <v/>
      </c>
      <c r="N2971" s="21">
        <f>IF(J2971="Yes","",IF(H2971&gt;=I2971,1,0))</f>
        <v/>
      </c>
      <c r="O2971" s="21">
        <f>IF(I2971&lt;=5000000,"Under $5M",IF(I2971&lt;=20000000,"$5M-20M",IF(I2971&lt;=50000000,"$20M-50M",IF(I2971&lt;=100000000,"$50M-100M","$100M+"))))</f>
        <v/>
      </c>
      <c r="P2971" s="21">
        <f>IF(E2971&lt;=90,"90 or less",IF(E2971&lt;=105,"91-105",IF(E2971&lt;=120,"106-120",IF(E2971&lt;=140,"121-140","Over 140"))))</f>
        <v/>
      </c>
      <c r="Q2971" s="28">
        <f>INT(C2971/10)*10</f>
        <v/>
      </c>
    </row>
    <row r="2972">
      <c r="A2972" s="21" t="n">
        <v>3033</v>
      </c>
      <c r="B2972" s="21" t="inlineStr">
        <is>
          <t>Lovely, Still</t>
        </is>
      </c>
      <c r="C2972" s="21" t="n">
        <v>2008</v>
      </c>
      <c r="D2972" s="21" t="inlineStr">
        <is>
          <t>USA</t>
        </is>
      </c>
      <c r="E2972" s="21" t="n">
        <v>90</v>
      </c>
      <c r="F2972" s="21" t="inlineStr">
        <is>
          <t>English</t>
        </is>
      </c>
      <c r="G2972" s="21" t="inlineStr">
        <is>
          <t>PG</t>
        </is>
      </c>
      <c r="H2972" s="22" t="n">
        <v>124720</v>
      </c>
      <c r="I2972" s="22" t="n">
        <v>5000000</v>
      </c>
      <c r="J2972" s="21">
        <f>IF(OR(H2972="",H2972=25529689.5),"Yes","No")</f>
        <v/>
      </c>
      <c r="K2972" s="21">
        <f>IF(AND(D2972="USA",C2972&gt;=1980,J2972="No"),"Yes","No")</f>
        <v/>
      </c>
      <c r="L2972" s="26">
        <f>IF(J2972="Yes","",H2972-I2972)</f>
        <v/>
      </c>
      <c r="M2972" s="27">
        <f>IF(OR(J2972="Yes",I2972=0),"",H2972/I2972)</f>
        <v/>
      </c>
      <c r="N2972" s="21">
        <f>IF(J2972="Yes","",IF(H2972&gt;=I2972,1,0))</f>
        <v/>
      </c>
      <c r="O2972" s="21">
        <f>IF(I2972&lt;=5000000,"Under $5M",IF(I2972&lt;=20000000,"$5M-20M",IF(I2972&lt;=50000000,"$20M-50M",IF(I2972&lt;=100000000,"$50M-100M","$100M+"))))</f>
        <v/>
      </c>
      <c r="P2972" s="21">
        <f>IF(E2972&lt;=90,"90 or less",IF(E2972&lt;=105,"91-105",IF(E2972&lt;=120,"106-120",IF(E2972&lt;=140,"121-140","Over 140"))))</f>
        <v/>
      </c>
      <c r="Q2972" s="28">
        <f>INT(C2972/10)*10</f>
        <v/>
      </c>
    </row>
    <row r="2973">
      <c r="A2973" s="21" t="n">
        <v>3034</v>
      </c>
      <c r="B2973" s="21" t="inlineStr">
        <is>
          <t>Mad Money</t>
        </is>
      </c>
      <c r="C2973" s="21" t="n">
        <v>2008</v>
      </c>
      <c r="D2973" s="21" t="inlineStr">
        <is>
          <t>USA</t>
        </is>
      </c>
      <c r="E2973" s="21" t="n">
        <v>104</v>
      </c>
      <c r="F2973" s="21" t="inlineStr">
        <is>
          <t>English</t>
        </is>
      </c>
      <c r="G2973" s="21" t="inlineStr">
        <is>
          <t>PG-13</t>
        </is>
      </c>
      <c r="H2973" s="22" t="n">
        <v>20668843</v>
      </c>
      <c r="I2973" s="22" t="n">
        <v>22000000</v>
      </c>
      <c r="J2973" s="21">
        <f>IF(OR(H2973="",H2973=25529689.5),"Yes","No")</f>
        <v/>
      </c>
      <c r="K2973" s="21">
        <f>IF(AND(D2973="USA",C2973&gt;=1980,J2973="No"),"Yes","No")</f>
        <v/>
      </c>
      <c r="L2973" s="26">
        <f>IF(J2973="Yes","",H2973-I2973)</f>
        <v/>
      </c>
      <c r="M2973" s="27">
        <f>IF(OR(J2973="Yes",I2973=0),"",H2973/I2973)</f>
        <v/>
      </c>
      <c r="N2973" s="21">
        <f>IF(J2973="Yes","",IF(H2973&gt;=I2973,1,0))</f>
        <v/>
      </c>
      <c r="O2973" s="21">
        <f>IF(I2973&lt;=5000000,"Under $5M",IF(I2973&lt;=20000000,"$5M-20M",IF(I2973&lt;=50000000,"$20M-50M",IF(I2973&lt;=100000000,"$50M-100M","$100M+"))))</f>
        <v/>
      </c>
      <c r="P2973" s="21">
        <f>IF(E2973&lt;=90,"90 or less",IF(E2973&lt;=105,"91-105",IF(E2973&lt;=120,"106-120",IF(E2973&lt;=140,"121-140","Over 140"))))</f>
        <v/>
      </c>
      <c r="Q2973" s="28">
        <f>INT(C2973/10)*10</f>
        <v/>
      </c>
    </row>
    <row r="2974">
      <c r="A2974" s="21" t="n">
        <v>3035</v>
      </c>
      <c r="B2974" s="21" t="inlineStr">
        <is>
          <t>Madagascar: Escape 2 Africa</t>
        </is>
      </c>
      <c r="C2974" s="21" t="n">
        <v>2008</v>
      </c>
      <c r="D2974" s="21" t="inlineStr">
        <is>
          <t>USA</t>
        </is>
      </c>
      <c r="E2974" s="21" t="n">
        <v>89</v>
      </c>
      <c r="F2974" s="21" t="inlineStr">
        <is>
          <t>English</t>
        </is>
      </c>
      <c r="G2974" s="21" t="inlineStr">
        <is>
          <t>PG</t>
        </is>
      </c>
      <c r="H2974" s="22" t="n">
        <v>179982968</v>
      </c>
      <c r="I2974" s="22" t="n">
        <v>150000000</v>
      </c>
      <c r="J2974" s="21">
        <f>IF(OR(H2974="",H2974=25529689.5),"Yes","No")</f>
        <v/>
      </c>
      <c r="K2974" s="21">
        <f>IF(AND(D2974="USA",C2974&gt;=1980,J2974="No"),"Yes","No")</f>
        <v/>
      </c>
      <c r="L2974" s="26">
        <f>IF(J2974="Yes","",H2974-I2974)</f>
        <v/>
      </c>
      <c r="M2974" s="27">
        <f>IF(OR(J2974="Yes",I2974=0),"",H2974/I2974)</f>
        <v/>
      </c>
      <c r="N2974" s="21">
        <f>IF(J2974="Yes","",IF(H2974&gt;=I2974,1,0))</f>
        <v/>
      </c>
      <c r="O2974" s="21">
        <f>IF(I2974&lt;=5000000,"Under $5M",IF(I2974&lt;=20000000,"$5M-20M",IF(I2974&lt;=50000000,"$20M-50M",IF(I2974&lt;=100000000,"$50M-100M","$100M+"))))</f>
        <v/>
      </c>
      <c r="P2974" s="21">
        <f>IF(E2974&lt;=90,"90 or less",IF(E2974&lt;=105,"91-105",IF(E2974&lt;=120,"106-120",IF(E2974&lt;=140,"121-140","Over 140"))))</f>
        <v/>
      </c>
      <c r="Q2974" s="28">
        <f>INT(C2974/10)*10</f>
        <v/>
      </c>
    </row>
    <row r="2975">
      <c r="A2975" s="21" t="n">
        <v>3036</v>
      </c>
      <c r="B2975" s="21" t="inlineStr">
        <is>
          <t>Made of Honor</t>
        </is>
      </c>
      <c r="C2975" s="21" t="n">
        <v>2008</v>
      </c>
      <c r="D2975" s="21" t="inlineStr">
        <is>
          <t>USA</t>
        </is>
      </c>
      <c r="E2975" s="21" t="n">
        <v>101</v>
      </c>
      <c r="F2975" s="21" t="inlineStr">
        <is>
          <t>English</t>
        </is>
      </c>
      <c r="G2975" s="21" t="inlineStr">
        <is>
          <t>PG-13</t>
        </is>
      </c>
      <c r="H2975" s="22" t="n">
        <v>46012734</v>
      </c>
      <c r="I2975" s="22" t="n">
        <v>40000000</v>
      </c>
      <c r="J2975" s="21">
        <f>IF(OR(H2975="",H2975=25529689.5),"Yes","No")</f>
        <v/>
      </c>
      <c r="K2975" s="21">
        <f>IF(AND(D2975="USA",C2975&gt;=1980,J2975="No"),"Yes","No")</f>
        <v/>
      </c>
      <c r="L2975" s="26">
        <f>IF(J2975="Yes","",H2975-I2975)</f>
        <v/>
      </c>
      <c r="M2975" s="27">
        <f>IF(OR(J2975="Yes",I2975=0),"",H2975/I2975)</f>
        <v/>
      </c>
      <c r="N2975" s="21">
        <f>IF(J2975="Yes","",IF(H2975&gt;=I2975,1,0))</f>
        <v/>
      </c>
      <c r="O2975" s="21">
        <f>IF(I2975&lt;=5000000,"Under $5M",IF(I2975&lt;=20000000,"$5M-20M",IF(I2975&lt;=50000000,"$20M-50M",IF(I2975&lt;=100000000,"$50M-100M","$100M+"))))</f>
        <v/>
      </c>
      <c r="P2975" s="21">
        <f>IF(E2975&lt;=90,"90 or less",IF(E2975&lt;=105,"91-105",IF(E2975&lt;=120,"106-120",IF(E2975&lt;=140,"121-140","Over 140"))))</f>
        <v/>
      </c>
      <c r="Q2975" s="28">
        <f>INT(C2975/10)*10</f>
        <v/>
      </c>
    </row>
    <row r="2976">
      <c r="A2976" s="21" t="n">
        <v>3037</v>
      </c>
      <c r="B2976" s="21" t="inlineStr">
        <is>
          <t>Mamma Mia!</t>
        </is>
      </c>
      <c r="C2976" s="21" t="n">
        <v>2008</v>
      </c>
      <c r="D2976" s="21" t="inlineStr">
        <is>
          <t>USA</t>
        </is>
      </c>
      <c r="E2976" s="21" t="n">
        <v>108</v>
      </c>
      <c r="F2976" s="21" t="inlineStr">
        <is>
          <t>English</t>
        </is>
      </c>
      <c r="G2976" s="21" t="inlineStr">
        <is>
          <t>PG-13</t>
        </is>
      </c>
      <c r="H2976" s="22" t="n">
        <v>143704210</v>
      </c>
      <c r="I2976" s="22" t="n">
        <v>52000000</v>
      </c>
      <c r="J2976" s="21">
        <f>IF(OR(H2976="",H2976=25529689.5),"Yes","No")</f>
        <v/>
      </c>
      <c r="K2976" s="21">
        <f>IF(AND(D2976="USA",C2976&gt;=1980,J2976="No"),"Yes","No")</f>
        <v/>
      </c>
      <c r="L2976" s="26">
        <f>IF(J2976="Yes","",H2976-I2976)</f>
        <v/>
      </c>
      <c r="M2976" s="27">
        <f>IF(OR(J2976="Yes",I2976=0),"",H2976/I2976)</f>
        <v/>
      </c>
      <c r="N2976" s="21">
        <f>IF(J2976="Yes","",IF(H2976&gt;=I2976,1,0))</f>
        <v/>
      </c>
      <c r="O2976" s="21">
        <f>IF(I2976&lt;=5000000,"Under $5M",IF(I2976&lt;=20000000,"$5M-20M",IF(I2976&lt;=50000000,"$20M-50M",IF(I2976&lt;=100000000,"$50M-100M","$100M+"))))</f>
        <v/>
      </c>
      <c r="P2976" s="21">
        <f>IF(E2976&lt;=90,"90 or less",IF(E2976&lt;=105,"91-105",IF(E2976&lt;=120,"106-120",IF(E2976&lt;=140,"121-140","Over 140"))))</f>
        <v/>
      </c>
      <c r="Q2976" s="28">
        <f>INT(C2976/10)*10</f>
        <v/>
      </c>
    </row>
    <row r="2977">
      <c r="A2977" s="21" t="n">
        <v>3038</v>
      </c>
      <c r="B2977" s="21" t="inlineStr">
        <is>
          <t>Man on Wire</t>
        </is>
      </c>
      <c r="C2977" s="21" t="n">
        <v>2008</v>
      </c>
      <c r="D2977" s="21" t="inlineStr">
        <is>
          <t>UK</t>
        </is>
      </c>
      <c r="E2977" s="21" t="n">
        <v>90</v>
      </c>
      <c r="F2977" s="21" t="inlineStr">
        <is>
          <t>English</t>
        </is>
      </c>
      <c r="G2977" s="21" t="inlineStr">
        <is>
          <t>PG-13</t>
        </is>
      </c>
      <c r="H2977" s="22" t="n">
        <v>2957978</v>
      </c>
      <c r="I2977" s="22" t="n">
        <v>1000000</v>
      </c>
      <c r="J2977" s="21">
        <f>IF(OR(H2977="",H2977=25529689.5),"Yes","No")</f>
        <v/>
      </c>
      <c r="K2977" s="21">
        <f>IF(AND(D2977="USA",C2977&gt;=1980,J2977="No"),"Yes","No")</f>
        <v/>
      </c>
      <c r="L2977" s="26">
        <f>IF(J2977="Yes","",H2977-I2977)</f>
        <v/>
      </c>
      <c r="M2977" s="27">
        <f>IF(OR(J2977="Yes",I2977=0),"",H2977/I2977)</f>
        <v/>
      </c>
      <c r="N2977" s="21">
        <f>IF(J2977="Yes","",IF(H2977&gt;=I2977,1,0))</f>
        <v/>
      </c>
      <c r="O2977" s="21">
        <f>IF(I2977&lt;=5000000,"Under $5M",IF(I2977&lt;=20000000,"$5M-20M",IF(I2977&lt;=50000000,"$20M-50M",IF(I2977&lt;=100000000,"$50M-100M","$100M+"))))</f>
        <v/>
      </c>
      <c r="P2977" s="21">
        <f>IF(E2977&lt;=90,"90 or less",IF(E2977&lt;=105,"91-105",IF(E2977&lt;=120,"106-120",IF(E2977&lt;=140,"121-140","Over 140"))))</f>
        <v/>
      </c>
      <c r="Q2977" s="28">
        <f>INT(C2977/10)*10</f>
        <v/>
      </c>
    </row>
    <row r="2978">
      <c r="A2978" s="21" t="n">
        <v>3039</v>
      </c>
      <c r="B2978" s="21" t="inlineStr">
        <is>
          <t>Marley &amp; Me</t>
        </is>
      </c>
      <c r="C2978" s="21" t="n">
        <v>2008</v>
      </c>
      <c r="D2978" s="21" t="inlineStr">
        <is>
          <t>USA</t>
        </is>
      </c>
      <c r="E2978" s="21" t="n">
        <v>115</v>
      </c>
      <c r="F2978" s="21" t="inlineStr">
        <is>
          <t>English</t>
        </is>
      </c>
      <c r="G2978" s="21" t="inlineStr">
        <is>
          <t>PG</t>
        </is>
      </c>
      <c r="H2978" s="22" t="n">
        <v>143151473</v>
      </c>
      <c r="I2978" s="22" t="n">
        <v>60000000</v>
      </c>
      <c r="J2978" s="21">
        <f>IF(OR(H2978="",H2978=25529689.5),"Yes","No")</f>
        <v/>
      </c>
      <c r="K2978" s="21">
        <f>IF(AND(D2978="USA",C2978&gt;=1980,J2978="No"),"Yes","No")</f>
        <v/>
      </c>
      <c r="L2978" s="26">
        <f>IF(J2978="Yes","",H2978-I2978)</f>
        <v/>
      </c>
      <c r="M2978" s="27">
        <f>IF(OR(J2978="Yes",I2978=0),"",H2978/I2978)</f>
        <v/>
      </c>
      <c r="N2978" s="21">
        <f>IF(J2978="Yes","",IF(H2978&gt;=I2978,1,0))</f>
        <v/>
      </c>
      <c r="O2978" s="21">
        <f>IF(I2978&lt;=5000000,"Under $5M",IF(I2978&lt;=20000000,"$5M-20M",IF(I2978&lt;=50000000,"$20M-50M",IF(I2978&lt;=100000000,"$50M-100M","$100M+"))))</f>
        <v/>
      </c>
      <c r="P2978" s="21">
        <f>IF(E2978&lt;=90,"90 or less",IF(E2978&lt;=105,"91-105",IF(E2978&lt;=120,"106-120",IF(E2978&lt;=140,"121-140","Over 140"))))</f>
        <v/>
      </c>
      <c r="Q2978" s="28">
        <f>INT(C2978/10)*10</f>
        <v/>
      </c>
    </row>
    <row r="2979">
      <c r="A2979" s="21" t="n">
        <v>3040</v>
      </c>
      <c r="B2979" s="21" t="inlineStr">
        <is>
          <t>Max Payne</t>
        </is>
      </c>
      <c r="C2979" s="21" t="n">
        <v>2008</v>
      </c>
      <c r="D2979" s="21" t="inlineStr">
        <is>
          <t>Canada</t>
        </is>
      </c>
      <c r="E2979" s="21" t="n">
        <v>103</v>
      </c>
      <c r="F2979" s="21" t="inlineStr">
        <is>
          <t>English</t>
        </is>
      </c>
      <c r="G2979" s="21" t="inlineStr">
        <is>
          <t>PG-13</t>
        </is>
      </c>
      <c r="H2979" s="22" t="n">
        <v>40687294</v>
      </c>
      <c r="I2979" s="22" t="n">
        <v>35000000</v>
      </c>
      <c r="J2979" s="21">
        <f>IF(OR(H2979="",H2979=25529689.5),"Yes","No")</f>
        <v/>
      </c>
      <c r="K2979" s="21">
        <f>IF(AND(D2979="USA",C2979&gt;=1980,J2979="No"),"Yes","No")</f>
        <v/>
      </c>
      <c r="L2979" s="26">
        <f>IF(J2979="Yes","",H2979-I2979)</f>
        <v/>
      </c>
      <c r="M2979" s="27">
        <f>IF(OR(J2979="Yes",I2979=0),"",H2979/I2979)</f>
        <v/>
      </c>
      <c r="N2979" s="21">
        <f>IF(J2979="Yes","",IF(H2979&gt;=I2979,1,0))</f>
        <v/>
      </c>
      <c r="O2979" s="21">
        <f>IF(I2979&lt;=5000000,"Under $5M",IF(I2979&lt;=20000000,"$5M-20M",IF(I2979&lt;=50000000,"$20M-50M",IF(I2979&lt;=100000000,"$50M-100M","$100M+"))))</f>
        <v/>
      </c>
      <c r="P2979" s="21">
        <f>IF(E2979&lt;=90,"90 or less",IF(E2979&lt;=105,"91-105",IF(E2979&lt;=120,"106-120",IF(E2979&lt;=140,"121-140","Over 140"))))</f>
        <v/>
      </c>
      <c r="Q2979" s="28">
        <f>INT(C2979/10)*10</f>
        <v/>
      </c>
    </row>
    <row r="2980">
      <c r="A2980" s="21" t="n">
        <v>3041</v>
      </c>
      <c r="B2980" s="21" t="inlineStr">
        <is>
          <t>Me and Orson Welles</t>
        </is>
      </c>
      <c r="C2980" s="21" t="n">
        <v>2008</v>
      </c>
      <c r="D2980" s="21" t="inlineStr">
        <is>
          <t>UK</t>
        </is>
      </c>
      <c r="E2980" s="21" t="n">
        <v>107</v>
      </c>
      <c r="F2980" s="21" t="inlineStr">
        <is>
          <t>English</t>
        </is>
      </c>
      <c r="G2980" s="21" t="inlineStr">
        <is>
          <t>PG-13</t>
        </is>
      </c>
      <c r="H2980" s="22" t="n">
        <v>1186957</v>
      </c>
      <c r="I2980" s="22" t="n">
        <v>25000000</v>
      </c>
      <c r="J2980" s="21">
        <f>IF(OR(H2980="",H2980=25529689.5),"Yes","No")</f>
        <v/>
      </c>
      <c r="K2980" s="21">
        <f>IF(AND(D2980="USA",C2980&gt;=1980,J2980="No"),"Yes","No")</f>
        <v/>
      </c>
      <c r="L2980" s="26">
        <f>IF(J2980="Yes","",H2980-I2980)</f>
        <v/>
      </c>
      <c r="M2980" s="27">
        <f>IF(OR(J2980="Yes",I2980=0),"",H2980/I2980)</f>
        <v/>
      </c>
      <c r="N2980" s="21">
        <f>IF(J2980="Yes","",IF(H2980&gt;=I2980,1,0))</f>
        <v/>
      </c>
      <c r="O2980" s="21">
        <f>IF(I2980&lt;=5000000,"Under $5M",IF(I2980&lt;=20000000,"$5M-20M",IF(I2980&lt;=50000000,"$20M-50M",IF(I2980&lt;=100000000,"$50M-100M","$100M+"))))</f>
        <v/>
      </c>
      <c r="P2980" s="21">
        <f>IF(E2980&lt;=90,"90 or less",IF(E2980&lt;=105,"91-105",IF(E2980&lt;=120,"106-120",IF(E2980&lt;=140,"121-140","Over 140"))))</f>
        <v/>
      </c>
      <c r="Q2980" s="28">
        <f>INT(C2980/10)*10</f>
        <v/>
      </c>
    </row>
    <row r="2981">
      <c r="A2981" s="21" t="n">
        <v>3042</v>
      </c>
      <c r="B2981" s="21" t="inlineStr">
        <is>
          <t>Meet Dave</t>
        </is>
      </c>
      <c r="C2981" s="21" t="n">
        <v>2008</v>
      </c>
      <c r="D2981" s="21" t="inlineStr">
        <is>
          <t>USA</t>
        </is>
      </c>
      <c r="E2981" s="21" t="n">
        <v>90</v>
      </c>
      <c r="F2981" s="21" t="inlineStr">
        <is>
          <t>English</t>
        </is>
      </c>
      <c r="G2981" s="21" t="inlineStr">
        <is>
          <t>PG</t>
        </is>
      </c>
      <c r="H2981" s="22" t="n">
        <v>11802056</v>
      </c>
      <c r="I2981" s="22" t="n">
        <v>60000000</v>
      </c>
      <c r="J2981" s="21">
        <f>IF(OR(H2981="",H2981=25529689.5),"Yes","No")</f>
        <v/>
      </c>
      <c r="K2981" s="21">
        <f>IF(AND(D2981="USA",C2981&gt;=1980,J2981="No"),"Yes","No")</f>
        <v/>
      </c>
      <c r="L2981" s="26">
        <f>IF(J2981="Yes","",H2981-I2981)</f>
        <v/>
      </c>
      <c r="M2981" s="27">
        <f>IF(OR(J2981="Yes",I2981=0),"",H2981/I2981)</f>
        <v/>
      </c>
      <c r="N2981" s="21">
        <f>IF(J2981="Yes","",IF(H2981&gt;=I2981,1,0))</f>
        <v/>
      </c>
      <c r="O2981" s="21">
        <f>IF(I2981&lt;=5000000,"Under $5M",IF(I2981&lt;=20000000,"$5M-20M",IF(I2981&lt;=50000000,"$20M-50M",IF(I2981&lt;=100000000,"$50M-100M","$100M+"))))</f>
        <v/>
      </c>
      <c r="P2981" s="21">
        <f>IF(E2981&lt;=90,"90 or less",IF(E2981&lt;=105,"91-105",IF(E2981&lt;=120,"106-120",IF(E2981&lt;=140,"121-140","Over 140"))))</f>
        <v/>
      </c>
      <c r="Q2981" s="28">
        <f>INT(C2981/10)*10</f>
        <v/>
      </c>
    </row>
    <row r="2982">
      <c r="A2982" s="21" t="n">
        <v>3043</v>
      </c>
      <c r="B2982" s="21" t="inlineStr">
        <is>
          <t>Meet the Spartans</t>
        </is>
      </c>
      <c r="C2982" s="21" t="n">
        <v>2008</v>
      </c>
      <c r="D2982" s="21" t="inlineStr">
        <is>
          <t>USA</t>
        </is>
      </c>
      <c r="E2982" s="21" t="n">
        <v>86</v>
      </c>
      <c r="F2982" s="21" t="inlineStr">
        <is>
          <t>English</t>
        </is>
      </c>
      <c r="G2982" s="21" t="inlineStr">
        <is>
          <t>PG-13</t>
        </is>
      </c>
      <c r="H2982" s="22" t="n">
        <v>38232624</v>
      </c>
      <c r="I2982" s="22" t="n">
        <v>30000000</v>
      </c>
      <c r="J2982" s="21">
        <f>IF(OR(H2982="",H2982=25529689.5),"Yes","No")</f>
        <v/>
      </c>
      <c r="K2982" s="21">
        <f>IF(AND(D2982="USA",C2982&gt;=1980,J2982="No"),"Yes","No")</f>
        <v/>
      </c>
      <c r="L2982" s="26">
        <f>IF(J2982="Yes","",H2982-I2982)</f>
        <v/>
      </c>
      <c r="M2982" s="27">
        <f>IF(OR(J2982="Yes",I2982=0),"",H2982/I2982)</f>
        <v/>
      </c>
      <c r="N2982" s="21">
        <f>IF(J2982="Yes","",IF(H2982&gt;=I2982,1,0))</f>
        <v/>
      </c>
      <c r="O2982" s="21">
        <f>IF(I2982&lt;=5000000,"Under $5M",IF(I2982&lt;=20000000,"$5M-20M",IF(I2982&lt;=50000000,"$20M-50M",IF(I2982&lt;=100000000,"$50M-100M","$100M+"))))</f>
        <v/>
      </c>
      <c r="P2982" s="21">
        <f>IF(E2982&lt;=90,"90 or less",IF(E2982&lt;=105,"91-105",IF(E2982&lt;=120,"106-120",IF(E2982&lt;=140,"121-140","Over 140"))))</f>
        <v/>
      </c>
      <c r="Q2982" s="28">
        <f>INT(C2982/10)*10</f>
        <v/>
      </c>
    </row>
    <row r="2983">
      <c r="A2983" s="21" t="n">
        <v>3044</v>
      </c>
      <c r="B2983" s="21" t="inlineStr">
        <is>
          <t>Milk</t>
        </is>
      </c>
      <c r="C2983" s="21" t="n">
        <v>2008</v>
      </c>
      <c r="D2983" s="21" t="inlineStr">
        <is>
          <t>USA</t>
        </is>
      </c>
      <c r="E2983" s="21" t="n">
        <v>128</v>
      </c>
      <c r="F2983" s="21" t="inlineStr">
        <is>
          <t>English</t>
        </is>
      </c>
      <c r="G2983" s="21" t="inlineStr">
        <is>
          <t>R</t>
        </is>
      </c>
      <c r="H2983" s="22" t="n">
        <v>31838002</v>
      </c>
      <c r="I2983" s="22" t="n">
        <v>20000000</v>
      </c>
      <c r="J2983" s="21">
        <f>IF(OR(H2983="",H2983=25529689.5),"Yes","No")</f>
        <v/>
      </c>
      <c r="K2983" s="21">
        <f>IF(AND(D2983="USA",C2983&gt;=1980,J2983="No"),"Yes","No")</f>
        <v/>
      </c>
      <c r="L2983" s="26">
        <f>IF(J2983="Yes","",H2983-I2983)</f>
        <v/>
      </c>
      <c r="M2983" s="27">
        <f>IF(OR(J2983="Yes",I2983=0),"",H2983/I2983)</f>
        <v/>
      </c>
      <c r="N2983" s="21">
        <f>IF(J2983="Yes","",IF(H2983&gt;=I2983,1,0))</f>
        <v/>
      </c>
      <c r="O2983" s="21">
        <f>IF(I2983&lt;=5000000,"Under $5M",IF(I2983&lt;=20000000,"$5M-20M",IF(I2983&lt;=50000000,"$20M-50M",IF(I2983&lt;=100000000,"$50M-100M","$100M+"))))</f>
        <v/>
      </c>
      <c r="P2983" s="21">
        <f>IF(E2983&lt;=90,"90 or less",IF(E2983&lt;=105,"91-105",IF(E2983&lt;=120,"106-120",IF(E2983&lt;=140,"121-140","Over 140"))))</f>
        <v/>
      </c>
      <c r="Q2983" s="28">
        <f>INT(C2983/10)*10</f>
        <v/>
      </c>
    </row>
    <row r="2984">
      <c r="A2984" s="21" t="n">
        <v>3045</v>
      </c>
      <c r="B2984" s="21" t="inlineStr">
        <is>
          <t>Miracle at St. Anna</t>
        </is>
      </c>
      <c r="C2984" s="21" t="n">
        <v>2008</v>
      </c>
      <c r="D2984" s="21" t="inlineStr">
        <is>
          <t>USA</t>
        </is>
      </c>
      <c r="E2984" s="21" t="n">
        <v>160</v>
      </c>
      <c r="F2984" s="21" t="inlineStr">
        <is>
          <t>English</t>
        </is>
      </c>
      <c r="G2984" s="21" t="inlineStr">
        <is>
          <t>R</t>
        </is>
      </c>
      <c r="H2984" s="22" t="n">
        <v>7916887</v>
      </c>
      <c r="I2984" s="22" t="n">
        <v>45000000</v>
      </c>
      <c r="J2984" s="21">
        <f>IF(OR(H2984="",H2984=25529689.5),"Yes","No")</f>
        <v/>
      </c>
      <c r="K2984" s="21">
        <f>IF(AND(D2984="USA",C2984&gt;=1980,J2984="No"),"Yes","No")</f>
        <v/>
      </c>
      <c r="L2984" s="26">
        <f>IF(J2984="Yes","",H2984-I2984)</f>
        <v/>
      </c>
      <c r="M2984" s="27">
        <f>IF(OR(J2984="Yes",I2984=0),"",H2984/I2984)</f>
        <v/>
      </c>
      <c r="N2984" s="21">
        <f>IF(J2984="Yes","",IF(H2984&gt;=I2984,1,0))</f>
        <v/>
      </c>
      <c r="O2984" s="21">
        <f>IF(I2984&lt;=5000000,"Under $5M",IF(I2984&lt;=20000000,"$5M-20M",IF(I2984&lt;=50000000,"$20M-50M",IF(I2984&lt;=100000000,"$50M-100M","$100M+"))))</f>
        <v/>
      </c>
      <c r="P2984" s="21">
        <f>IF(E2984&lt;=90,"90 or less",IF(E2984&lt;=105,"91-105",IF(E2984&lt;=120,"106-120",IF(E2984&lt;=140,"121-140","Over 140"))))</f>
        <v/>
      </c>
      <c r="Q2984" s="28">
        <f>INT(C2984/10)*10</f>
        <v/>
      </c>
    </row>
    <row r="2985">
      <c r="A2985" s="21" t="n">
        <v>3046</v>
      </c>
      <c r="B2985" s="21" t="inlineStr">
        <is>
          <t>Mirrors</t>
        </is>
      </c>
      <c r="C2985" s="21" t="n">
        <v>2008</v>
      </c>
      <c r="D2985" s="21" t="inlineStr">
        <is>
          <t>USA</t>
        </is>
      </c>
      <c r="E2985" s="21" t="n">
        <v>112</v>
      </c>
      <c r="F2985" s="21" t="inlineStr">
        <is>
          <t>English</t>
        </is>
      </c>
      <c r="G2985" s="21" t="inlineStr">
        <is>
          <t>R</t>
        </is>
      </c>
      <c r="H2985" s="22" t="n">
        <v>30691439</v>
      </c>
      <c r="I2985" s="22" t="n">
        <v>35000000</v>
      </c>
      <c r="J2985" s="21">
        <f>IF(OR(H2985="",H2985=25529689.5),"Yes","No")</f>
        <v/>
      </c>
      <c r="K2985" s="21">
        <f>IF(AND(D2985="USA",C2985&gt;=1980,J2985="No"),"Yes","No")</f>
        <v/>
      </c>
      <c r="L2985" s="26">
        <f>IF(J2985="Yes","",H2985-I2985)</f>
        <v/>
      </c>
      <c r="M2985" s="27">
        <f>IF(OR(J2985="Yes",I2985=0),"",H2985/I2985)</f>
        <v/>
      </c>
      <c r="N2985" s="21">
        <f>IF(J2985="Yes","",IF(H2985&gt;=I2985,1,0))</f>
        <v/>
      </c>
      <c r="O2985" s="21">
        <f>IF(I2985&lt;=5000000,"Under $5M",IF(I2985&lt;=20000000,"$5M-20M",IF(I2985&lt;=50000000,"$20M-50M",IF(I2985&lt;=100000000,"$50M-100M","$100M+"))))</f>
        <v/>
      </c>
      <c r="P2985" s="21">
        <f>IF(E2985&lt;=90,"90 or less",IF(E2985&lt;=105,"91-105",IF(E2985&lt;=120,"106-120",IF(E2985&lt;=140,"121-140","Over 140"))))</f>
        <v/>
      </c>
      <c r="Q2985" s="28">
        <f>INT(C2985/10)*10</f>
        <v/>
      </c>
    </row>
    <row r="2986">
      <c r="A2986" s="21" t="n">
        <v>3047</v>
      </c>
      <c r="B2986" s="21" t="inlineStr">
        <is>
          <t>My Best Friend's Girl</t>
        </is>
      </c>
      <c r="C2986" s="21" t="n">
        <v>2008</v>
      </c>
      <c r="D2986" s="21" t="inlineStr">
        <is>
          <t>USA</t>
        </is>
      </c>
      <c r="E2986" s="21" t="n">
        <v>112</v>
      </c>
      <c r="F2986" s="21" t="inlineStr">
        <is>
          <t>English</t>
        </is>
      </c>
      <c r="G2986" s="21" t="inlineStr">
        <is>
          <t>R</t>
        </is>
      </c>
      <c r="H2986" s="22" t="n">
        <v>19151864</v>
      </c>
      <c r="I2986" s="22" t="n">
        <v>40000000</v>
      </c>
      <c r="J2986" s="21">
        <f>IF(OR(H2986="",H2986=25529689.5),"Yes","No")</f>
        <v/>
      </c>
      <c r="K2986" s="21">
        <f>IF(AND(D2986="USA",C2986&gt;=1980,J2986="No"),"Yes","No")</f>
        <v/>
      </c>
      <c r="L2986" s="26">
        <f>IF(J2986="Yes","",H2986-I2986)</f>
        <v/>
      </c>
      <c r="M2986" s="27">
        <f>IF(OR(J2986="Yes",I2986=0),"",H2986/I2986)</f>
        <v/>
      </c>
      <c r="N2986" s="21">
        <f>IF(J2986="Yes","",IF(H2986&gt;=I2986,1,0))</f>
        <v/>
      </c>
      <c r="O2986" s="21">
        <f>IF(I2986&lt;=5000000,"Under $5M",IF(I2986&lt;=20000000,"$5M-20M",IF(I2986&lt;=50000000,"$20M-50M",IF(I2986&lt;=100000000,"$50M-100M","$100M+"))))</f>
        <v/>
      </c>
      <c r="P2986" s="21">
        <f>IF(E2986&lt;=90,"90 or less",IF(E2986&lt;=105,"91-105",IF(E2986&lt;=120,"106-120",IF(E2986&lt;=140,"121-140","Over 140"))))</f>
        <v/>
      </c>
      <c r="Q2986" s="28">
        <f>INT(C2986/10)*10</f>
        <v/>
      </c>
    </row>
    <row r="2987">
      <c r="A2987" s="21" t="n">
        <v>3048</v>
      </c>
      <c r="B2987" s="21" t="inlineStr">
        <is>
          <t>Never Back Down</t>
        </is>
      </c>
      <c r="C2987" s="21" t="n">
        <v>2008</v>
      </c>
      <c r="D2987" s="21" t="inlineStr">
        <is>
          <t>USA</t>
        </is>
      </c>
      <c r="E2987" s="21" t="n">
        <v>110</v>
      </c>
      <c r="F2987" s="21" t="inlineStr">
        <is>
          <t>English</t>
        </is>
      </c>
      <c r="G2987" s="21" t="inlineStr">
        <is>
          <t>PG-13</t>
        </is>
      </c>
      <c r="H2987" s="22" t="n">
        <v>24848292</v>
      </c>
      <c r="I2987" s="22" t="n">
        <v>20000000</v>
      </c>
      <c r="J2987" s="21">
        <f>IF(OR(H2987="",H2987=25529689.5),"Yes","No")</f>
        <v/>
      </c>
      <c r="K2987" s="21">
        <f>IF(AND(D2987="USA",C2987&gt;=1980,J2987="No"),"Yes","No")</f>
        <v/>
      </c>
      <c r="L2987" s="26">
        <f>IF(J2987="Yes","",H2987-I2987)</f>
        <v/>
      </c>
      <c r="M2987" s="27">
        <f>IF(OR(J2987="Yes",I2987=0),"",H2987/I2987)</f>
        <v/>
      </c>
      <c r="N2987" s="21">
        <f>IF(J2987="Yes","",IF(H2987&gt;=I2987,1,0))</f>
        <v/>
      </c>
      <c r="O2987" s="21">
        <f>IF(I2987&lt;=5000000,"Under $5M",IF(I2987&lt;=20000000,"$5M-20M",IF(I2987&lt;=50000000,"$20M-50M",IF(I2987&lt;=100000000,"$50M-100M","$100M+"))))</f>
        <v/>
      </c>
      <c r="P2987" s="21">
        <f>IF(E2987&lt;=90,"90 or less",IF(E2987&lt;=105,"91-105",IF(E2987&lt;=120,"106-120",IF(E2987&lt;=140,"121-140","Over 140"))))</f>
        <v/>
      </c>
      <c r="Q2987" s="28">
        <f>INT(C2987/10)*10</f>
        <v/>
      </c>
    </row>
    <row r="2988">
      <c r="A2988" s="21" t="n">
        <v>3049</v>
      </c>
      <c r="B2988" s="21" t="inlineStr">
        <is>
          <t>Nick and Norah's Infinite Playlist</t>
        </is>
      </c>
      <c r="C2988" s="21" t="n">
        <v>2008</v>
      </c>
      <c r="D2988" s="21" t="inlineStr">
        <is>
          <t>USA</t>
        </is>
      </c>
      <c r="E2988" s="21" t="n">
        <v>90</v>
      </c>
      <c r="F2988" s="21" t="inlineStr">
        <is>
          <t>English</t>
        </is>
      </c>
      <c r="G2988" s="21" t="inlineStr">
        <is>
          <t>PG-13</t>
        </is>
      </c>
      <c r="H2988" s="22" t="n">
        <v>31487293</v>
      </c>
      <c r="I2988" s="22" t="n">
        <v>9000000</v>
      </c>
      <c r="J2988" s="21">
        <f>IF(OR(H2988="",H2988=25529689.5),"Yes","No")</f>
        <v/>
      </c>
      <c r="K2988" s="21">
        <f>IF(AND(D2988="USA",C2988&gt;=1980,J2988="No"),"Yes","No")</f>
        <v/>
      </c>
      <c r="L2988" s="26">
        <f>IF(J2988="Yes","",H2988-I2988)</f>
        <v/>
      </c>
      <c r="M2988" s="27">
        <f>IF(OR(J2988="Yes",I2988=0),"",H2988/I2988)</f>
        <v/>
      </c>
      <c r="N2988" s="21">
        <f>IF(J2988="Yes","",IF(H2988&gt;=I2988,1,0))</f>
        <v/>
      </c>
      <c r="O2988" s="21">
        <f>IF(I2988&lt;=5000000,"Under $5M",IF(I2988&lt;=20000000,"$5M-20M",IF(I2988&lt;=50000000,"$20M-50M",IF(I2988&lt;=100000000,"$50M-100M","$100M+"))))</f>
        <v/>
      </c>
      <c r="P2988" s="21">
        <f>IF(E2988&lt;=90,"90 or less",IF(E2988&lt;=105,"91-105",IF(E2988&lt;=120,"106-120",IF(E2988&lt;=140,"121-140","Over 140"))))</f>
        <v/>
      </c>
      <c r="Q2988" s="28">
        <f>INT(C2988/10)*10</f>
        <v/>
      </c>
    </row>
    <row r="2989">
      <c r="A2989" s="21" t="n">
        <v>3050</v>
      </c>
      <c r="B2989" s="21" t="inlineStr">
        <is>
          <t>Nim's Island</t>
        </is>
      </c>
      <c r="C2989" s="21" t="n">
        <v>2008</v>
      </c>
      <c r="D2989" s="21" t="inlineStr">
        <is>
          <t>USA</t>
        </is>
      </c>
      <c r="E2989" s="21" t="n">
        <v>96</v>
      </c>
      <c r="F2989" s="21" t="inlineStr">
        <is>
          <t>English</t>
        </is>
      </c>
      <c r="G2989" s="21" t="inlineStr">
        <is>
          <t>PG</t>
        </is>
      </c>
      <c r="H2989" s="22" t="n">
        <v>48006503</v>
      </c>
      <c r="I2989" s="22" t="n">
        <v>37000000</v>
      </c>
      <c r="J2989" s="21">
        <f>IF(OR(H2989="",H2989=25529689.5),"Yes","No")</f>
        <v/>
      </c>
      <c r="K2989" s="21">
        <f>IF(AND(D2989="USA",C2989&gt;=1980,J2989="No"),"Yes","No")</f>
        <v/>
      </c>
      <c r="L2989" s="26">
        <f>IF(J2989="Yes","",H2989-I2989)</f>
        <v/>
      </c>
      <c r="M2989" s="27">
        <f>IF(OR(J2989="Yes",I2989=0),"",H2989/I2989)</f>
        <v/>
      </c>
      <c r="N2989" s="21">
        <f>IF(J2989="Yes","",IF(H2989&gt;=I2989,1,0))</f>
        <v/>
      </c>
      <c r="O2989" s="21">
        <f>IF(I2989&lt;=5000000,"Under $5M",IF(I2989&lt;=20000000,"$5M-20M",IF(I2989&lt;=50000000,"$20M-50M",IF(I2989&lt;=100000000,"$50M-100M","$100M+"))))</f>
        <v/>
      </c>
      <c r="P2989" s="21">
        <f>IF(E2989&lt;=90,"90 or less",IF(E2989&lt;=105,"91-105",IF(E2989&lt;=120,"106-120",IF(E2989&lt;=140,"121-140","Over 140"))))</f>
        <v/>
      </c>
      <c r="Q2989" s="28">
        <f>INT(C2989/10)*10</f>
        <v/>
      </c>
    </row>
    <row r="2990">
      <c r="A2990" s="21" t="n">
        <v>3051</v>
      </c>
      <c r="B2990" s="21" t="inlineStr">
        <is>
          <t>No Man's Land: The Rise of Reeker</t>
        </is>
      </c>
      <c r="C2990" s="21" t="n">
        <v>2008</v>
      </c>
      <c r="D2990" s="21" t="inlineStr">
        <is>
          <t>USA</t>
        </is>
      </c>
      <c r="E2990" s="21" t="n">
        <v>88</v>
      </c>
      <c r="F2990" s="21" t="inlineStr">
        <is>
          <t>English</t>
        </is>
      </c>
      <c r="G2990" s="21" t="inlineStr">
        <is>
          <t>R</t>
        </is>
      </c>
      <c r="H2990" s="22" t="n">
        <v>25529689.5</v>
      </c>
      <c r="I2990" s="22" t="n">
        <v>2000000</v>
      </c>
      <c r="J2990" s="21">
        <f>IF(OR(H2990="",H2990=25529689.5),"Yes","No")</f>
        <v/>
      </c>
      <c r="K2990" s="21">
        <f>IF(AND(D2990="USA",C2990&gt;=1980,J2990="No"),"Yes","No")</f>
        <v/>
      </c>
      <c r="L2990" s="26">
        <f>IF(J2990="Yes","",H2990-I2990)</f>
        <v/>
      </c>
      <c r="M2990" s="27">
        <f>IF(OR(J2990="Yes",I2990=0),"",H2990/I2990)</f>
        <v/>
      </c>
      <c r="N2990" s="21">
        <f>IF(J2990="Yes","",IF(H2990&gt;=I2990,1,0))</f>
        <v/>
      </c>
      <c r="O2990" s="21">
        <f>IF(I2990&lt;=5000000,"Under $5M",IF(I2990&lt;=20000000,"$5M-20M",IF(I2990&lt;=50000000,"$20M-50M",IF(I2990&lt;=100000000,"$50M-100M","$100M+"))))</f>
        <v/>
      </c>
      <c r="P2990" s="21">
        <f>IF(E2990&lt;=90,"90 or less",IF(E2990&lt;=105,"91-105",IF(E2990&lt;=120,"106-120",IF(E2990&lt;=140,"121-140","Over 140"))))</f>
        <v/>
      </c>
      <c r="Q2990" s="28">
        <f>INT(C2990/10)*10</f>
        <v/>
      </c>
    </row>
    <row r="2991">
      <c r="A2991" s="21" t="n">
        <v>3052</v>
      </c>
      <c r="B2991" s="21" t="inlineStr">
        <is>
          <t>One Missed Call</t>
        </is>
      </c>
      <c r="C2991" s="21" t="n">
        <v>2008</v>
      </c>
      <c r="D2991" s="21" t="inlineStr">
        <is>
          <t>Japan</t>
        </is>
      </c>
      <c r="E2991" s="21" t="n">
        <v>87</v>
      </c>
      <c r="F2991" s="21" t="inlineStr">
        <is>
          <t>English</t>
        </is>
      </c>
      <c r="G2991" s="21" t="inlineStr">
        <is>
          <t>PG-13</t>
        </is>
      </c>
      <c r="H2991" s="22" t="n">
        <v>26876529</v>
      </c>
      <c r="I2991" s="22" t="n">
        <v>27000000</v>
      </c>
      <c r="J2991" s="21">
        <f>IF(OR(H2991="",H2991=25529689.5),"Yes","No")</f>
        <v/>
      </c>
      <c r="K2991" s="21">
        <f>IF(AND(D2991="USA",C2991&gt;=1980,J2991="No"),"Yes","No")</f>
        <v/>
      </c>
      <c r="L2991" s="26">
        <f>IF(J2991="Yes","",H2991-I2991)</f>
        <v/>
      </c>
      <c r="M2991" s="27">
        <f>IF(OR(J2991="Yes",I2991=0),"",H2991/I2991)</f>
        <v/>
      </c>
      <c r="N2991" s="21">
        <f>IF(J2991="Yes","",IF(H2991&gt;=I2991,1,0))</f>
        <v/>
      </c>
      <c r="O2991" s="21">
        <f>IF(I2991&lt;=5000000,"Under $5M",IF(I2991&lt;=20000000,"$5M-20M",IF(I2991&lt;=50000000,"$20M-50M",IF(I2991&lt;=100000000,"$50M-100M","$100M+"))))</f>
        <v/>
      </c>
      <c r="P2991" s="21">
        <f>IF(E2991&lt;=90,"90 or less",IF(E2991&lt;=105,"91-105",IF(E2991&lt;=120,"106-120",IF(E2991&lt;=140,"121-140","Over 140"))))</f>
        <v/>
      </c>
      <c r="Q2991" s="28">
        <f>INT(C2991/10)*10</f>
        <v/>
      </c>
    </row>
    <row r="2992">
      <c r="A2992" s="21" t="n">
        <v>3053</v>
      </c>
      <c r="B2992" s="21" t="inlineStr">
        <is>
          <t>Ong-bak 2</t>
        </is>
      </c>
      <c r="C2992" s="21" t="n">
        <v>2008</v>
      </c>
      <c r="D2992" s="21" t="inlineStr">
        <is>
          <t>Thailand</t>
        </is>
      </c>
      <c r="E2992" s="21" t="n">
        <v>110</v>
      </c>
      <c r="F2992" s="21" t="inlineStr">
        <is>
          <t>Thai</t>
        </is>
      </c>
      <c r="G2992" s="21" t="inlineStr">
        <is>
          <t>R</t>
        </is>
      </c>
      <c r="H2992" s="22" t="n">
        <v>102055</v>
      </c>
      <c r="I2992" s="22" t="n">
        <v>300000000</v>
      </c>
      <c r="J2992" s="21">
        <f>IF(OR(H2992="",H2992=25529689.5),"Yes","No")</f>
        <v/>
      </c>
      <c r="K2992" s="21">
        <f>IF(AND(D2992="USA",C2992&gt;=1980,J2992="No"),"Yes","No")</f>
        <v/>
      </c>
      <c r="L2992" s="26">
        <f>IF(J2992="Yes","",H2992-I2992)</f>
        <v/>
      </c>
      <c r="M2992" s="27">
        <f>IF(OR(J2992="Yes",I2992=0),"",H2992/I2992)</f>
        <v/>
      </c>
      <c r="N2992" s="21">
        <f>IF(J2992="Yes","",IF(H2992&gt;=I2992,1,0))</f>
        <v/>
      </c>
      <c r="O2992" s="21">
        <f>IF(I2992&lt;=5000000,"Under $5M",IF(I2992&lt;=20000000,"$5M-20M",IF(I2992&lt;=50000000,"$20M-50M",IF(I2992&lt;=100000000,"$50M-100M","$100M+"))))</f>
        <v/>
      </c>
      <c r="P2992" s="21">
        <f>IF(E2992&lt;=90,"90 or less",IF(E2992&lt;=105,"91-105",IF(E2992&lt;=120,"106-120",IF(E2992&lt;=140,"121-140","Over 140"))))</f>
        <v/>
      </c>
      <c r="Q2992" s="28">
        <f>INT(C2992/10)*10</f>
        <v/>
      </c>
    </row>
    <row r="2993">
      <c r="A2993" s="21" t="n">
        <v>3054</v>
      </c>
      <c r="B2993" s="21" t="inlineStr">
        <is>
          <t>Over Her Dead Body</t>
        </is>
      </c>
      <c r="C2993" s="21" t="n">
        <v>2008</v>
      </c>
      <c r="D2993" s="21" t="inlineStr">
        <is>
          <t>USA</t>
        </is>
      </c>
      <c r="E2993" s="21" t="n">
        <v>95</v>
      </c>
      <c r="F2993" s="21" t="inlineStr">
        <is>
          <t>English</t>
        </is>
      </c>
      <c r="G2993" s="21" t="inlineStr">
        <is>
          <t>PG-13</t>
        </is>
      </c>
      <c r="H2993" s="22" t="n">
        <v>7563670</v>
      </c>
      <c r="I2993" s="22" t="n">
        <v>10000000</v>
      </c>
      <c r="J2993" s="21">
        <f>IF(OR(H2993="",H2993=25529689.5),"Yes","No")</f>
        <v/>
      </c>
      <c r="K2993" s="21">
        <f>IF(AND(D2993="USA",C2993&gt;=1980,J2993="No"),"Yes","No")</f>
        <v/>
      </c>
      <c r="L2993" s="26">
        <f>IF(J2993="Yes","",H2993-I2993)</f>
        <v/>
      </c>
      <c r="M2993" s="27">
        <f>IF(OR(J2993="Yes",I2993=0),"",H2993/I2993)</f>
        <v/>
      </c>
      <c r="N2993" s="21">
        <f>IF(J2993="Yes","",IF(H2993&gt;=I2993,1,0))</f>
        <v/>
      </c>
      <c r="O2993" s="21">
        <f>IF(I2993&lt;=5000000,"Under $5M",IF(I2993&lt;=20000000,"$5M-20M",IF(I2993&lt;=50000000,"$20M-50M",IF(I2993&lt;=100000000,"$50M-100M","$100M+"))))</f>
        <v/>
      </c>
      <c r="P2993" s="21">
        <f>IF(E2993&lt;=90,"90 or less",IF(E2993&lt;=105,"91-105",IF(E2993&lt;=120,"106-120",IF(E2993&lt;=140,"121-140","Over 140"))))</f>
        <v/>
      </c>
      <c r="Q2993" s="28">
        <f>INT(C2993/10)*10</f>
        <v/>
      </c>
    </row>
    <row r="2994">
      <c r="A2994" s="21" t="n">
        <v>3055</v>
      </c>
      <c r="B2994" s="21" t="inlineStr">
        <is>
          <t>Passchendaele</t>
        </is>
      </c>
      <c r="C2994" s="21" t="n">
        <v>2008</v>
      </c>
      <c r="D2994" s="21" t="inlineStr">
        <is>
          <t>Canada</t>
        </is>
      </c>
      <c r="E2994" s="21" t="n">
        <v>114</v>
      </c>
      <c r="F2994" s="21" t="inlineStr">
        <is>
          <t>English</t>
        </is>
      </c>
      <c r="G2994" s="21" t="inlineStr">
        <is>
          <t>R</t>
        </is>
      </c>
      <c r="H2994" s="22" t="n">
        <v>25529689.5</v>
      </c>
      <c r="I2994" s="22" t="n">
        <v>20000000</v>
      </c>
      <c r="J2994" s="21">
        <f>IF(OR(H2994="",H2994=25529689.5),"Yes","No")</f>
        <v/>
      </c>
      <c r="K2994" s="21">
        <f>IF(AND(D2994="USA",C2994&gt;=1980,J2994="No"),"Yes","No")</f>
        <v/>
      </c>
      <c r="L2994" s="26">
        <f>IF(J2994="Yes","",H2994-I2994)</f>
        <v/>
      </c>
      <c r="M2994" s="27">
        <f>IF(OR(J2994="Yes",I2994=0),"",H2994/I2994)</f>
        <v/>
      </c>
      <c r="N2994" s="21">
        <f>IF(J2994="Yes","",IF(H2994&gt;=I2994,1,0))</f>
        <v/>
      </c>
      <c r="O2994" s="21">
        <f>IF(I2994&lt;=5000000,"Under $5M",IF(I2994&lt;=20000000,"$5M-20M",IF(I2994&lt;=50000000,"$20M-50M",IF(I2994&lt;=100000000,"$50M-100M","$100M+"))))</f>
        <v/>
      </c>
      <c r="P2994" s="21">
        <f>IF(E2994&lt;=90,"90 or less",IF(E2994&lt;=105,"91-105",IF(E2994&lt;=120,"106-120",IF(E2994&lt;=140,"121-140","Over 140"))))</f>
        <v/>
      </c>
      <c r="Q2994" s="28">
        <f>INT(C2994/10)*10</f>
        <v/>
      </c>
    </row>
    <row r="2995">
      <c r="A2995" s="21" t="n">
        <v>3056</v>
      </c>
      <c r="B2995" s="21" t="inlineStr">
        <is>
          <t>Pathology</t>
        </is>
      </c>
      <c r="C2995" s="21" t="n">
        <v>2008</v>
      </c>
      <c r="D2995" s="21" t="inlineStr">
        <is>
          <t>USA</t>
        </is>
      </c>
      <c r="E2995" s="21" t="n">
        <v>95</v>
      </c>
      <c r="F2995" s="21" t="inlineStr">
        <is>
          <t>English</t>
        </is>
      </c>
      <c r="G2995" s="21" t="inlineStr">
        <is>
          <t>R</t>
        </is>
      </c>
      <c r="H2995" s="22" t="n">
        <v>108662</v>
      </c>
      <c r="I2995" s="22" t="n">
        <v>8000000</v>
      </c>
      <c r="J2995" s="21">
        <f>IF(OR(H2995="",H2995=25529689.5),"Yes","No")</f>
        <v/>
      </c>
      <c r="K2995" s="21">
        <f>IF(AND(D2995="USA",C2995&gt;=1980,J2995="No"),"Yes","No")</f>
        <v/>
      </c>
      <c r="L2995" s="26">
        <f>IF(J2995="Yes","",H2995-I2995)</f>
        <v/>
      </c>
      <c r="M2995" s="27">
        <f>IF(OR(J2995="Yes",I2995=0),"",H2995/I2995)</f>
        <v/>
      </c>
      <c r="N2995" s="21">
        <f>IF(J2995="Yes","",IF(H2995&gt;=I2995,1,0))</f>
        <v/>
      </c>
      <c r="O2995" s="21">
        <f>IF(I2995&lt;=5000000,"Under $5M",IF(I2995&lt;=20000000,"$5M-20M",IF(I2995&lt;=50000000,"$20M-50M",IF(I2995&lt;=100000000,"$50M-100M","$100M+"))))</f>
        <v/>
      </c>
      <c r="P2995" s="21">
        <f>IF(E2995&lt;=90,"90 or less",IF(E2995&lt;=105,"91-105",IF(E2995&lt;=120,"106-120",IF(E2995&lt;=140,"121-140","Over 140"))))</f>
        <v/>
      </c>
      <c r="Q2995" s="28">
        <f>INT(C2995/10)*10</f>
        <v/>
      </c>
    </row>
    <row r="2996">
      <c r="A2996" s="21" t="n">
        <v>3057</v>
      </c>
      <c r="B2996" s="21" t="inlineStr">
        <is>
          <t>Pineapple Express</t>
        </is>
      </c>
      <c r="C2996" s="21" t="n">
        <v>2008</v>
      </c>
      <c r="D2996" s="21" t="inlineStr">
        <is>
          <t>USA</t>
        </is>
      </c>
      <c r="E2996" s="21" t="n">
        <v>117</v>
      </c>
      <c r="F2996" s="21" t="inlineStr">
        <is>
          <t>English</t>
        </is>
      </c>
      <c r="G2996" s="21" t="inlineStr">
        <is>
          <t>R</t>
        </is>
      </c>
      <c r="H2996" s="22" t="n">
        <v>87341380</v>
      </c>
      <c r="I2996" s="22" t="n">
        <v>27000000</v>
      </c>
      <c r="J2996" s="21">
        <f>IF(OR(H2996="",H2996=25529689.5),"Yes","No")</f>
        <v/>
      </c>
      <c r="K2996" s="21">
        <f>IF(AND(D2996="USA",C2996&gt;=1980,J2996="No"),"Yes","No")</f>
        <v/>
      </c>
      <c r="L2996" s="26">
        <f>IF(J2996="Yes","",H2996-I2996)</f>
        <v/>
      </c>
      <c r="M2996" s="27">
        <f>IF(OR(J2996="Yes",I2996=0),"",H2996/I2996)</f>
        <v/>
      </c>
      <c r="N2996" s="21">
        <f>IF(J2996="Yes","",IF(H2996&gt;=I2996,1,0))</f>
        <v/>
      </c>
      <c r="O2996" s="21">
        <f>IF(I2996&lt;=5000000,"Under $5M",IF(I2996&lt;=20000000,"$5M-20M",IF(I2996&lt;=50000000,"$20M-50M",IF(I2996&lt;=100000000,"$50M-100M","$100M+"))))</f>
        <v/>
      </c>
      <c r="P2996" s="21">
        <f>IF(E2996&lt;=90,"90 or less",IF(E2996&lt;=105,"91-105",IF(E2996&lt;=120,"106-120",IF(E2996&lt;=140,"121-140","Over 140"))))</f>
        <v/>
      </c>
      <c r="Q2996" s="28">
        <f>INT(C2996/10)*10</f>
        <v/>
      </c>
    </row>
    <row r="2997">
      <c r="A2997" s="21" t="n">
        <v>3058</v>
      </c>
      <c r="B2997" s="21" t="inlineStr">
        <is>
          <t>Pontypool</t>
        </is>
      </c>
      <c r="C2997" s="21" t="n">
        <v>2008</v>
      </c>
      <c r="D2997" s="21" t="inlineStr">
        <is>
          <t>Canada</t>
        </is>
      </c>
      <c r="E2997" s="21" t="n">
        <v>95</v>
      </c>
      <c r="F2997" s="21" t="inlineStr">
        <is>
          <t>English</t>
        </is>
      </c>
      <c r="G2997" s="21" t="inlineStr">
        <is>
          <t>Not Rated</t>
        </is>
      </c>
      <c r="H2997" s="22" t="n">
        <v>3478</v>
      </c>
      <c r="I2997" s="22" t="n">
        <v>1500000</v>
      </c>
      <c r="J2997" s="21">
        <f>IF(OR(H2997="",H2997=25529689.5),"Yes","No")</f>
        <v/>
      </c>
      <c r="K2997" s="21">
        <f>IF(AND(D2997="USA",C2997&gt;=1980,J2997="No"),"Yes","No")</f>
        <v/>
      </c>
      <c r="L2997" s="26">
        <f>IF(J2997="Yes","",H2997-I2997)</f>
        <v/>
      </c>
      <c r="M2997" s="27">
        <f>IF(OR(J2997="Yes",I2997=0),"",H2997/I2997)</f>
        <v/>
      </c>
      <c r="N2997" s="21">
        <f>IF(J2997="Yes","",IF(H2997&gt;=I2997,1,0))</f>
        <v/>
      </c>
      <c r="O2997" s="21">
        <f>IF(I2997&lt;=5000000,"Under $5M",IF(I2997&lt;=20000000,"$5M-20M",IF(I2997&lt;=50000000,"$20M-50M",IF(I2997&lt;=100000000,"$50M-100M","$100M+"))))</f>
        <v/>
      </c>
      <c r="P2997" s="21">
        <f>IF(E2997&lt;=90,"90 or less",IF(E2997&lt;=105,"91-105",IF(E2997&lt;=120,"106-120",IF(E2997&lt;=140,"121-140","Over 140"))))</f>
        <v/>
      </c>
      <c r="Q2997" s="28">
        <f>INT(C2997/10)*10</f>
        <v/>
      </c>
    </row>
    <row r="2998">
      <c r="A2998" s="21" t="n">
        <v>3059</v>
      </c>
      <c r="B2998" s="21" t="inlineStr">
        <is>
          <t>Ponyo</t>
        </is>
      </c>
      <c r="C2998" s="21" t="n">
        <v>2008</v>
      </c>
      <c r="D2998" s="21" t="inlineStr">
        <is>
          <t>Japan</t>
        </is>
      </c>
      <c r="E2998" s="21" t="n">
        <v>101</v>
      </c>
      <c r="F2998" s="21" t="inlineStr">
        <is>
          <t>Japanese</t>
        </is>
      </c>
      <c r="G2998" s="21" t="inlineStr">
        <is>
          <t>G</t>
        </is>
      </c>
      <c r="H2998" s="22" t="n">
        <v>15081783</v>
      </c>
      <c r="I2998" s="22" t="n">
        <v>34000000</v>
      </c>
      <c r="J2998" s="21">
        <f>IF(OR(H2998="",H2998=25529689.5),"Yes","No")</f>
        <v/>
      </c>
      <c r="K2998" s="21">
        <f>IF(AND(D2998="USA",C2998&gt;=1980,J2998="No"),"Yes","No")</f>
        <v/>
      </c>
      <c r="L2998" s="26">
        <f>IF(J2998="Yes","",H2998-I2998)</f>
        <v/>
      </c>
      <c r="M2998" s="27">
        <f>IF(OR(J2998="Yes",I2998=0),"",H2998/I2998)</f>
        <v/>
      </c>
      <c r="N2998" s="21">
        <f>IF(J2998="Yes","",IF(H2998&gt;=I2998,1,0))</f>
        <v/>
      </c>
      <c r="O2998" s="21">
        <f>IF(I2998&lt;=5000000,"Under $5M",IF(I2998&lt;=20000000,"$5M-20M",IF(I2998&lt;=50000000,"$20M-50M",IF(I2998&lt;=100000000,"$50M-100M","$100M+"))))</f>
        <v/>
      </c>
      <c r="P2998" s="21">
        <f>IF(E2998&lt;=90,"90 or less",IF(E2998&lt;=105,"91-105",IF(E2998&lt;=120,"106-120",IF(E2998&lt;=140,"121-140","Over 140"))))</f>
        <v/>
      </c>
      <c r="Q2998" s="28">
        <f>INT(C2998/10)*10</f>
        <v/>
      </c>
    </row>
    <row r="2999">
      <c r="A2999" s="21" t="n">
        <v>3060</v>
      </c>
      <c r="B2999" s="21" t="inlineStr">
        <is>
          <t>Pride and Glory</t>
        </is>
      </c>
      <c r="C2999" s="21" t="n">
        <v>2008</v>
      </c>
      <c r="D2999" s="21" t="inlineStr">
        <is>
          <t>USA</t>
        </is>
      </c>
      <c r="E2999" s="21" t="n">
        <v>130</v>
      </c>
      <c r="F2999" s="21" t="inlineStr">
        <is>
          <t>English</t>
        </is>
      </c>
      <c r="G2999" s="21" t="inlineStr">
        <is>
          <t>R</t>
        </is>
      </c>
      <c r="H2999" s="22" t="n">
        <v>15709385</v>
      </c>
      <c r="I2999" s="22" t="n">
        <v>30000000</v>
      </c>
      <c r="J2999" s="21">
        <f>IF(OR(H2999="",H2999=25529689.5),"Yes","No")</f>
        <v/>
      </c>
      <c r="K2999" s="21">
        <f>IF(AND(D2999="USA",C2999&gt;=1980,J2999="No"),"Yes","No")</f>
        <v/>
      </c>
      <c r="L2999" s="26">
        <f>IF(J2999="Yes","",H2999-I2999)</f>
        <v/>
      </c>
      <c r="M2999" s="27">
        <f>IF(OR(J2999="Yes",I2999=0),"",H2999/I2999)</f>
        <v/>
      </c>
      <c r="N2999" s="21">
        <f>IF(J2999="Yes","",IF(H2999&gt;=I2999,1,0))</f>
        <v/>
      </c>
      <c r="O2999" s="21">
        <f>IF(I2999&lt;=5000000,"Under $5M",IF(I2999&lt;=20000000,"$5M-20M",IF(I2999&lt;=50000000,"$20M-50M",IF(I2999&lt;=100000000,"$50M-100M","$100M+"))))</f>
        <v/>
      </c>
      <c r="P2999" s="21">
        <f>IF(E2999&lt;=90,"90 or less",IF(E2999&lt;=105,"91-105",IF(E2999&lt;=120,"106-120",IF(E2999&lt;=140,"121-140","Over 140"))))</f>
        <v/>
      </c>
      <c r="Q2999" s="28">
        <f>INT(C2999/10)*10</f>
        <v/>
      </c>
    </row>
    <row r="3000">
      <c r="A3000" s="21" t="n">
        <v>3061</v>
      </c>
      <c r="B3000" s="21" t="inlineStr">
        <is>
          <t>Prom Night</t>
        </is>
      </c>
      <c r="C3000" s="21" t="n">
        <v>2008</v>
      </c>
      <c r="D3000" s="21" t="inlineStr">
        <is>
          <t>USA</t>
        </is>
      </c>
      <c r="E3000" s="21" t="n">
        <v>89</v>
      </c>
      <c r="F3000" s="21" t="inlineStr">
        <is>
          <t>English</t>
        </is>
      </c>
      <c r="G3000" s="21" t="inlineStr">
        <is>
          <t>PG-13</t>
        </is>
      </c>
      <c r="H3000" s="22" t="n">
        <v>43818159</v>
      </c>
      <c r="I3000" s="22" t="n">
        <v>20000000</v>
      </c>
      <c r="J3000" s="21">
        <f>IF(OR(H3000="",H3000=25529689.5),"Yes","No")</f>
        <v/>
      </c>
      <c r="K3000" s="21">
        <f>IF(AND(D3000="USA",C3000&gt;=1980,J3000="No"),"Yes","No")</f>
        <v/>
      </c>
      <c r="L3000" s="26">
        <f>IF(J3000="Yes","",H3000-I3000)</f>
        <v/>
      </c>
      <c r="M3000" s="27">
        <f>IF(OR(J3000="Yes",I3000=0),"",H3000/I3000)</f>
        <v/>
      </c>
      <c r="N3000" s="21">
        <f>IF(J3000="Yes","",IF(H3000&gt;=I3000,1,0))</f>
        <v/>
      </c>
      <c r="O3000" s="21">
        <f>IF(I3000&lt;=5000000,"Under $5M",IF(I3000&lt;=20000000,"$5M-20M",IF(I3000&lt;=50000000,"$20M-50M",IF(I3000&lt;=100000000,"$50M-100M","$100M+"))))</f>
        <v/>
      </c>
      <c r="P3000" s="21">
        <f>IF(E3000&lt;=90,"90 or less",IF(E3000&lt;=105,"91-105",IF(E3000&lt;=120,"106-120",IF(E3000&lt;=140,"121-140","Over 140"))))</f>
        <v/>
      </c>
      <c r="Q3000" s="28">
        <f>INT(C3000/10)*10</f>
        <v/>
      </c>
    </row>
    <row r="3001">
      <c r="A3001" s="21" t="n">
        <v>3062</v>
      </c>
      <c r="B3001" s="21" t="inlineStr">
        <is>
          <t>Punisher: War Zone</t>
        </is>
      </c>
      <c r="C3001" s="21" t="n">
        <v>2008</v>
      </c>
      <c r="D3001" s="21" t="inlineStr">
        <is>
          <t>USA</t>
        </is>
      </c>
      <c r="E3001" s="21" t="n">
        <v>103</v>
      </c>
      <c r="F3001" s="21" t="inlineStr">
        <is>
          <t>English</t>
        </is>
      </c>
      <c r="G3001" s="21" t="inlineStr">
        <is>
          <t>R</t>
        </is>
      </c>
      <c r="H3001" s="22" t="n">
        <v>7948159</v>
      </c>
      <c r="I3001" s="22" t="n">
        <v>35000000</v>
      </c>
      <c r="J3001" s="21">
        <f>IF(OR(H3001="",H3001=25529689.5),"Yes","No")</f>
        <v/>
      </c>
      <c r="K3001" s="21">
        <f>IF(AND(D3001="USA",C3001&gt;=1980,J3001="No"),"Yes","No")</f>
        <v/>
      </c>
      <c r="L3001" s="26">
        <f>IF(J3001="Yes","",H3001-I3001)</f>
        <v/>
      </c>
      <c r="M3001" s="27">
        <f>IF(OR(J3001="Yes",I3001=0),"",H3001/I3001)</f>
        <v/>
      </c>
      <c r="N3001" s="21">
        <f>IF(J3001="Yes","",IF(H3001&gt;=I3001,1,0))</f>
        <v/>
      </c>
      <c r="O3001" s="21">
        <f>IF(I3001&lt;=5000000,"Under $5M",IF(I3001&lt;=20000000,"$5M-20M",IF(I3001&lt;=50000000,"$20M-50M",IF(I3001&lt;=100000000,"$50M-100M","$100M+"))))</f>
        <v/>
      </c>
      <c r="P3001" s="21">
        <f>IF(E3001&lt;=90,"90 or less",IF(E3001&lt;=105,"91-105",IF(E3001&lt;=120,"106-120",IF(E3001&lt;=140,"121-140","Over 140"))))</f>
        <v/>
      </c>
      <c r="Q3001" s="28">
        <f>INT(C3001/10)*10</f>
        <v/>
      </c>
    </row>
    <row r="3002">
      <c r="A3002" s="21" t="n">
        <v>3063</v>
      </c>
      <c r="B3002" s="21" t="inlineStr">
        <is>
          <t>Quantum of Solace</t>
        </is>
      </c>
      <c r="C3002" s="21" t="n">
        <v>2008</v>
      </c>
      <c r="D3002" s="21" t="inlineStr">
        <is>
          <t>UK</t>
        </is>
      </c>
      <c r="E3002" s="21" t="n">
        <v>106</v>
      </c>
      <c r="F3002" s="21" t="inlineStr">
        <is>
          <t>English</t>
        </is>
      </c>
      <c r="G3002" s="21" t="inlineStr">
        <is>
          <t>PG-13</t>
        </is>
      </c>
      <c r="H3002" s="22" t="n">
        <v>168368427</v>
      </c>
      <c r="I3002" s="22" t="n">
        <v>200000000</v>
      </c>
      <c r="J3002" s="21">
        <f>IF(OR(H3002="",H3002=25529689.5),"Yes","No")</f>
        <v/>
      </c>
      <c r="K3002" s="21">
        <f>IF(AND(D3002="USA",C3002&gt;=1980,J3002="No"),"Yes","No")</f>
        <v/>
      </c>
      <c r="L3002" s="26">
        <f>IF(J3002="Yes","",H3002-I3002)</f>
        <v/>
      </c>
      <c r="M3002" s="27">
        <f>IF(OR(J3002="Yes",I3002=0),"",H3002/I3002)</f>
        <v/>
      </c>
      <c r="N3002" s="21">
        <f>IF(J3002="Yes","",IF(H3002&gt;=I3002,1,0))</f>
        <v/>
      </c>
      <c r="O3002" s="21">
        <f>IF(I3002&lt;=5000000,"Under $5M",IF(I3002&lt;=20000000,"$5M-20M",IF(I3002&lt;=50000000,"$20M-50M",IF(I3002&lt;=100000000,"$50M-100M","$100M+"))))</f>
        <v/>
      </c>
      <c r="P3002" s="21">
        <f>IF(E3002&lt;=90,"90 or less",IF(E3002&lt;=105,"91-105",IF(E3002&lt;=120,"106-120",IF(E3002&lt;=140,"121-140","Over 140"))))</f>
        <v/>
      </c>
      <c r="Q3002" s="28">
        <f>INT(C3002/10)*10</f>
        <v/>
      </c>
    </row>
    <row r="3003">
      <c r="A3003" s="21" t="n">
        <v>3064</v>
      </c>
      <c r="B3003" s="21" t="inlineStr">
        <is>
          <t>Quarantine</t>
        </is>
      </c>
      <c r="C3003" s="21" t="n">
        <v>2008</v>
      </c>
      <c r="D3003" s="21" t="inlineStr">
        <is>
          <t>USA</t>
        </is>
      </c>
      <c r="E3003" s="21" t="n">
        <v>89</v>
      </c>
      <c r="F3003" s="21" t="inlineStr">
        <is>
          <t>English</t>
        </is>
      </c>
      <c r="G3003" s="21" t="inlineStr">
        <is>
          <t>R</t>
        </is>
      </c>
      <c r="H3003" s="22" t="n">
        <v>31691811</v>
      </c>
      <c r="I3003" s="22" t="n">
        <v>12000000</v>
      </c>
      <c r="J3003" s="21">
        <f>IF(OR(H3003="",H3003=25529689.5),"Yes","No")</f>
        <v/>
      </c>
      <c r="K3003" s="21">
        <f>IF(AND(D3003="USA",C3003&gt;=1980,J3003="No"),"Yes","No")</f>
        <v/>
      </c>
      <c r="L3003" s="26">
        <f>IF(J3003="Yes","",H3003-I3003)</f>
        <v/>
      </c>
      <c r="M3003" s="27">
        <f>IF(OR(J3003="Yes",I3003=0),"",H3003/I3003)</f>
        <v/>
      </c>
      <c r="N3003" s="21">
        <f>IF(J3003="Yes","",IF(H3003&gt;=I3003,1,0))</f>
        <v/>
      </c>
      <c r="O3003" s="21">
        <f>IF(I3003&lt;=5000000,"Under $5M",IF(I3003&lt;=20000000,"$5M-20M",IF(I3003&lt;=50000000,"$20M-50M",IF(I3003&lt;=100000000,"$50M-100M","$100M+"))))</f>
        <v/>
      </c>
      <c r="P3003" s="21">
        <f>IF(E3003&lt;=90,"90 or less",IF(E3003&lt;=105,"91-105",IF(E3003&lt;=120,"106-120",IF(E3003&lt;=140,"121-140","Over 140"))))</f>
        <v/>
      </c>
      <c r="Q3003" s="28">
        <f>INT(C3003/10)*10</f>
        <v/>
      </c>
    </row>
    <row r="3004">
      <c r="A3004" s="21" t="n">
        <v>3065</v>
      </c>
      <c r="B3004" s="21" t="inlineStr">
        <is>
          <t>Rachel Getting Married</t>
        </is>
      </c>
      <c r="C3004" s="21" t="n">
        <v>2008</v>
      </c>
      <c r="D3004" s="21" t="inlineStr">
        <is>
          <t>USA</t>
        </is>
      </c>
      <c r="E3004" s="21" t="n">
        <v>113</v>
      </c>
      <c r="F3004" s="21" t="inlineStr">
        <is>
          <t>English</t>
        </is>
      </c>
      <c r="G3004" s="21" t="inlineStr">
        <is>
          <t>R</t>
        </is>
      </c>
      <c r="H3004" s="22" t="n">
        <v>12796277</v>
      </c>
      <c r="I3004" s="22" t="n">
        <v>20000000</v>
      </c>
      <c r="J3004" s="21">
        <f>IF(OR(H3004="",H3004=25529689.5),"Yes","No")</f>
        <v/>
      </c>
      <c r="K3004" s="21">
        <f>IF(AND(D3004="USA",C3004&gt;=1980,J3004="No"),"Yes","No")</f>
        <v/>
      </c>
      <c r="L3004" s="26">
        <f>IF(J3004="Yes","",H3004-I3004)</f>
        <v/>
      </c>
      <c r="M3004" s="27">
        <f>IF(OR(J3004="Yes",I3004=0),"",H3004/I3004)</f>
        <v/>
      </c>
      <c r="N3004" s="21">
        <f>IF(J3004="Yes","",IF(H3004&gt;=I3004,1,0))</f>
        <v/>
      </c>
      <c r="O3004" s="21">
        <f>IF(I3004&lt;=5000000,"Under $5M",IF(I3004&lt;=20000000,"$5M-20M",IF(I3004&lt;=50000000,"$20M-50M",IF(I3004&lt;=100000000,"$50M-100M","$100M+"))))</f>
        <v/>
      </c>
      <c r="P3004" s="21">
        <f>IF(E3004&lt;=90,"90 or less",IF(E3004&lt;=105,"91-105",IF(E3004&lt;=120,"106-120",IF(E3004&lt;=140,"121-140","Over 140"))))</f>
        <v/>
      </c>
      <c r="Q3004" s="28">
        <f>INT(C3004/10)*10</f>
        <v/>
      </c>
    </row>
    <row r="3005">
      <c r="A3005" s="21" t="n">
        <v>3066</v>
      </c>
      <c r="B3005" s="21" t="inlineStr">
        <is>
          <t>Red Cliff</t>
        </is>
      </c>
      <c r="C3005" s="21" t="n">
        <v>2008</v>
      </c>
      <c r="D3005" s="21" t="inlineStr">
        <is>
          <t>China</t>
        </is>
      </c>
      <c r="E3005" s="21" t="n">
        <v>150</v>
      </c>
      <c r="F3005" s="21" t="inlineStr">
        <is>
          <t>Mandarin</t>
        </is>
      </c>
      <c r="G3005" s="21" t="inlineStr">
        <is>
          <t>R</t>
        </is>
      </c>
      <c r="H3005" s="22" t="n">
        <v>626809</v>
      </c>
      <c r="I3005" s="22" t="n">
        <v>553632000</v>
      </c>
      <c r="J3005" s="21">
        <f>IF(OR(H3005="",H3005=25529689.5),"Yes","No")</f>
        <v/>
      </c>
      <c r="K3005" s="21">
        <f>IF(AND(D3005="USA",C3005&gt;=1980,J3005="No"),"Yes","No")</f>
        <v/>
      </c>
      <c r="L3005" s="26">
        <f>IF(J3005="Yes","",H3005-I3005)</f>
        <v/>
      </c>
      <c r="M3005" s="27">
        <f>IF(OR(J3005="Yes",I3005=0),"",H3005/I3005)</f>
        <v/>
      </c>
      <c r="N3005" s="21">
        <f>IF(J3005="Yes","",IF(H3005&gt;=I3005,1,0))</f>
        <v/>
      </c>
      <c r="O3005" s="21">
        <f>IF(I3005&lt;=5000000,"Under $5M",IF(I3005&lt;=20000000,"$5M-20M",IF(I3005&lt;=50000000,"$20M-50M",IF(I3005&lt;=100000000,"$50M-100M","$100M+"))))</f>
        <v/>
      </c>
      <c r="P3005" s="21">
        <f>IF(E3005&lt;=90,"90 or less",IF(E3005&lt;=105,"91-105",IF(E3005&lt;=120,"106-120",IF(E3005&lt;=140,"121-140","Over 140"))))</f>
        <v/>
      </c>
      <c r="Q3005" s="28">
        <f>INT(C3005/10)*10</f>
        <v/>
      </c>
    </row>
    <row r="3006">
      <c r="A3006" s="21" t="n">
        <v>3067</v>
      </c>
      <c r="B3006" s="21" t="inlineStr">
        <is>
          <t>Redbelt</t>
        </is>
      </c>
      <c r="C3006" s="21" t="n">
        <v>2008</v>
      </c>
      <c r="D3006" s="21" t="inlineStr">
        <is>
          <t>USA</t>
        </is>
      </c>
      <c r="E3006" s="21" t="n">
        <v>99</v>
      </c>
      <c r="F3006" s="21" t="inlineStr">
        <is>
          <t>English</t>
        </is>
      </c>
      <c r="G3006" s="21" t="inlineStr">
        <is>
          <t>R</t>
        </is>
      </c>
      <c r="H3006" s="22" t="n">
        <v>2344847</v>
      </c>
      <c r="I3006" s="22" t="n">
        <v>7000000</v>
      </c>
      <c r="J3006" s="21">
        <f>IF(OR(H3006="",H3006=25529689.5),"Yes","No")</f>
        <v/>
      </c>
      <c r="K3006" s="21">
        <f>IF(AND(D3006="USA",C3006&gt;=1980,J3006="No"),"Yes","No")</f>
        <v/>
      </c>
      <c r="L3006" s="26">
        <f>IF(J3006="Yes","",H3006-I3006)</f>
        <v/>
      </c>
      <c r="M3006" s="27">
        <f>IF(OR(J3006="Yes",I3006=0),"",H3006/I3006)</f>
        <v/>
      </c>
      <c r="N3006" s="21">
        <f>IF(J3006="Yes","",IF(H3006&gt;=I3006,1,0))</f>
        <v/>
      </c>
      <c r="O3006" s="21">
        <f>IF(I3006&lt;=5000000,"Under $5M",IF(I3006&lt;=20000000,"$5M-20M",IF(I3006&lt;=50000000,"$20M-50M",IF(I3006&lt;=100000000,"$50M-100M","$100M+"))))</f>
        <v/>
      </c>
      <c r="P3006" s="21">
        <f>IF(E3006&lt;=90,"90 or less",IF(E3006&lt;=105,"91-105",IF(E3006&lt;=120,"106-120",IF(E3006&lt;=140,"121-140","Over 140"))))</f>
        <v/>
      </c>
      <c r="Q3006" s="28">
        <f>INT(C3006/10)*10</f>
        <v/>
      </c>
    </row>
    <row r="3007">
      <c r="A3007" s="21" t="n">
        <v>3068</v>
      </c>
      <c r="B3007" s="21" t="inlineStr">
        <is>
          <t>Religulous</t>
        </is>
      </c>
      <c r="C3007" s="21" t="n">
        <v>2008</v>
      </c>
      <c r="D3007" s="21" t="inlineStr">
        <is>
          <t>USA</t>
        </is>
      </c>
      <c r="E3007" s="21" t="n">
        <v>101</v>
      </c>
      <c r="F3007" s="21" t="inlineStr">
        <is>
          <t>English</t>
        </is>
      </c>
      <c r="G3007" s="21" t="inlineStr">
        <is>
          <t>R</t>
        </is>
      </c>
      <c r="H3007" s="22" t="n">
        <v>12995673</v>
      </c>
      <c r="I3007" s="22" t="n">
        <v>2500000</v>
      </c>
      <c r="J3007" s="21">
        <f>IF(OR(H3007="",H3007=25529689.5),"Yes","No")</f>
        <v/>
      </c>
      <c r="K3007" s="21">
        <f>IF(AND(D3007="USA",C3007&gt;=1980,J3007="No"),"Yes","No")</f>
        <v/>
      </c>
      <c r="L3007" s="26">
        <f>IF(J3007="Yes","",H3007-I3007)</f>
        <v/>
      </c>
      <c r="M3007" s="27">
        <f>IF(OR(J3007="Yes",I3007=0),"",H3007/I3007)</f>
        <v/>
      </c>
      <c r="N3007" s="21">
        <f>IF(J3007="Yes","",IF(H3007&gt;=I3007,1,0))</f>
        <v/>
      </c>
      <c r="O3007" s="21">
        <f>IF(I3007&lt;=5000000,"Under $5M",IF(I3007&lt;=20000000,"$5M-20M",IF(I3007&lt;=50000000,"$20M-50M",IF(I3007&lt;=100000000,"$50M-100M","$100M+"))))</f>
        <v/>
      </c>
      <c r="P3007" s="21">
        <f>IF(E3007&lt;=90,"90 or less",IF(E3007&lt;=105,"91-105",IF(E3007&lt;=120,"106-120",IF(E3007&lt;=140,"121-140","Over 140"))))</f>
        <v/>
      </c>
      <c r="Q3007" s="28">
        <f>INT(C3007/10)*10</f>
        <v/>
      </c>
    </row>
    <row r="3008">
      <c r="A3008" s="21" t="n">
        <v>3069</v>
      </c>
      <c r="B3008" s="21" t="inlineStr">
        <is>
          <t>Repo! The Genetic Opera</t>
        </is>
      </c>
      <c r="C3008" s="21" t="n">
        <v>2008</v>
      </c>
      <c r="D3008" s="21" t="inlineStr">
        <is>
          <t>USA</t>
        </is>
      </c>
      <c r="E3008" s="21" t="n">
        <v>150</v>
      </c>
      <c r="F3008" s="21" t="inlineStr">
        <is>
          <t>English</t>
        </is>
      </c>
      <c r="G3008" s="21" t="inlineStr">
        <is>
          <t>R</t>
        </is>
      </c>
      <c r="H3008" s="22" t="n">
        <v>140244</v>
      </c>
      <c r="I3008" s="22" t="n">
        <v>8500000</v>
      </c>
      <c r="J3008" s="21">
        <f>IF(OR(H3008="",H3008=25529689.5),"Yes","No")</f>
        <v/>
      </c>
      <c r="K3008" s="21">
        <f>IF(AND(D3008="USA",C3008&gt;=1980,J3008="No"),"Yes","No")</f>
        <v/>
      </c>
      <c r="L3008" s="26">
        <f>IF(J3008="Yes","",H3008-I3008)</f>
        <v/>
      </c>
      <c r="M3008" s="27">
        <f>IF(OR(J3008="Yes",I3008=0),"",H3008/I3008)</f>
        <v/>
      </c>
      <c r="N3008" s="21">
        <f>IF(J3008="Yes","",IF(H3008&gt;=I3008,1,0))</f>
        <v/>
      </c>
      <c r="O3008" s="21">
        <f>IF(I3008&lt;=5000000,"Under $5M",IF(I3008&lt;=20000000,"$5M-20M",IF(I3008&lt;=50000000,"$20M-50M",IF(I3008&lt;=100000000,"$50M-100M","$100M+"))))</f>
        <v/>
      </c>
      <c r="P3008" s="21">
        <f>IF(E3008&lt;=90,"90 or less",IF(E3008&lt;=105,"91-105",IF(E3008&lt;=120,"106-120",IF(E3008&lt;=140,"121-140","Over 140"))))</f>
        <v/>
      </c>
      <c r="Q3008" s="28">
        <f>INT(C3008/10)*10</f>
        <v/>
      </c>
    </row>
    <row r="3009">
      <c r="A3009" s="21" t="n">
        <v>3070</v>
      </c>
      <c r="B3009" s="21" t="inlineStr">
        <is>
          <t>Revolutionary Road</t>
        </is>
      </c>
      <c r="C3009" s="21" t="n">
        <v>2008</v>
      </c>
      <c r="D3009" s="21" t="inlineStr">
        <is>
          <t>USA</t>
        </is>
      </c>
      <c r="E3009" s="21" t="n">
        <v>119</v>
      </c>
      <c r="F3009" s="21" t="inlineStr">
        <is>
          <t>English</t>
        </is>
      </c>
      <c r="G3009" s="21" t="inlineStr">
        <is>
          <t>R</t>
        </is>
      </c>
      <c r="H3009" s="22" t="n">
        <v>22877808</v>
      </c>
      <c r="I3009" s="22" t="n">
        <v>35000000</v>
      </c>
      <c r="J3009" s="21">
        <f>IF(OR(H3009="",H3009=25529689.5),"Yes","No")</f>
        <v/>
      </c>
      <c r="K3009" s="21">
        <f>IF(AND(D3009="USA",C3009&gt;=1980,J3009="No"),"Yes","No")</f>
        <v/>
      </c>
      <c r="L3009" s="26">
        <f>IF(J3009="Yes","",H3009-I3009)</f>
        <v/>
      </c>
      <c r="M3009" s="27">
        <f>IF(OR(J3009="Yes",I3009=0),"",H3009/I3009)</f>
        <v/>
      </c>
      <c r="N3009" s="21">
        <f>IF(J3009="Yes","",IF(H3009&gt;=I3009,1,0))</f>
        <v/>
      </c>
      <c r="O3009" s="21">
        <f>IF(I3009&lt;=5000000,"Under $5M",IF(I3009&lt;=20000000,"$5M-20M",IF(I3009&lt;=50000000,"$20M-50M",IF(I3009&lt;=100000000,"$50M-100M","$100M+"))))</f>
        <v/>
      </c>
      <c r="P3009" s="21">
        <f>IF(E3009&lt;=90,"90 or less",IF(E3009&lt;=105,"91-105",IF(E3009&lt;=120,"106-120",IF(E3009&lt;=140,"121-140","Over 140"))))</f>
        <v/>
      </c>
      <c r="Q3009" s="28">
        <f>INT(C3009/10)*10</f>
        <v/>
      </c>
    </row>
    <row r="3010">
      <c r="A3010" s="21" t="n">
        <v>3071</v>
      </c>
      <c r="B3010" s="21" t="inlineStr">
        <is>
          <t>Righteous Kill</t>
        </is>
      </c>
      <c r="C3010" s="21" t="n">
        <v>2008</v>
      </c>
      <c r="D3010" s="21" t="inlineStr">
        <is>
          <t>USA</t>
        </is>
      </c>
      <c r="E3010" s="21" t="n">
        <v>101</v>
      </c>
      <c r="F3010" s="21" t="inlineStr">
        <is>
          <t>English</t>
        </is>
      </c>
      <c r="G3010" s="21" t="inlineStr">
        <is>
          <t>R</t>
        </is>
      </c>
      <c r="H3010" s="22" t="n">
        <v>40076438</v>
      </c>
      <c r="I3010" s="22" t="n">
        <v>60000000</v>
      </c>
      <c r="J3010" s="21">
        <f>IF(OR(H3010="",H3010=25529689.5),"Yes","No")</f>
        <v/>
      </c>
      <c r="K3010" s="21">
        <f>IF(AND(D3010="USA",C3010&gt;=1980,J3010="No"),"Yes","No")</f>
        <v/>
      </c>
      <c r="L3010" s="26">
        <f>IF(J3010="Yes","",H3010-I3010)</f>
        <v/>
      </c>
      <c r="M3010" s="27">
        <f>IF(OR(J3010="Yes",I3010=0),"",H3010/I3010)</f>
        <v/>
      </c>
      <c r="N3010" s="21">
        <f>IF(J3010="Yes","",IF(H3010&gt;=I3010,1,0))</f>
        <v/>
      </c>
      <c r="O3010" s="21">
        <f>IF(I3010&lt;=5000000,"Under $5M",IF(I3010&lt;=20000000,"$5M-20M",IF(I3010&lt;=50000000,"$20M-50M",IF(I3010&lt;=100000000,"$50M-100M","$100M+"))))</f>
        <v/>
      </c>
      <c r="P3010" s="21">
        <f>IF(E3010&lt;=90,"90 or less",IF(E3010&lt;=105,"91-105",IF(E3010&lt;=120,"106-120",IF(E3010&lt;=140,"121-140","Over 140"))))</f>
        <v/>
      </c>
      <c r="Q3010" s="28">
        <f>INT(C3010/10)*10</f>
        <v/>
      </c>
    </row>
    <row r="3011">
      <c r="A3011" s="21" t="n">
        <v>3072</v>
      </c>
      <c r="B3011" s="21" t="inlineStr">
        <is>
          <t>Roadside Romeo</t>
        </is>
      </c>
      <c r="C3011" s="21" t="n">
        <v>2008</v>
      </c>
      <c r="D3011" s="21" t="inlineStr">
        <is>
          <t>India</t>
        </is>
      </c>
      <c r="E3011" s="21" t="n">
        <v>93</v>
      </c>
      <c r="F3011" s="21" t="inlineStr">
        <is>
          <t>Hindi</t>
        </is>
      </c>
      <c r="G3011" s="21" t="inlineStr">
        <is>
          <t>PG</t>
        </is>
      </c>
      <c r="H3011" s="22" t="n">
        <v>55202</v>
      </c>
      <c r="I3011" s="22" t="n">
        <v>20000000</v>
      </c>
      <c r="J3011" s="21">
        <f>IF(OR(H3011="",H3011=25529689.5),"Yes","No")</f>
        <v/>
      </c>
      <c r="K3011" s="21">
        <f>IF(AND(D3011="USA",C3011&gt;=1980,J3011="No"),"Yes","No")</f>
        <v/>
      </c>
      <c r="L3011" s="26">
        <f>IF(J3011="Yes","",H3011-I3011)</f>
        <v/>
      </c>
      <c r="M3011" s="27">
        <f>IF(OR(J3011="Yes",I3011=0),"",H3011/I3011)</f>
        <v/>
      </c>
      <c r="N3011" s="21">
        <f>IF(J3011="Yes","",IF(H3011&gt;=I3011,1,0))</f>
        <v/>
      </c>
      <c r="O3011" s="21">
        <f>IF(I3011&lt;=5000000,"Under $5M",IF(I3011&lt;=20000000,"$5M-20M",IF(I3011&lt;=50000000,"$20M-50M",IF(I3011&lt;=100000000,"$50M-100M","$100M+"))))</f>
        <v/>
      </c>
      <c r="P3011" s="21">
        <f>IF(E3011&lt;=90,"90 or less",IF(E3011&lt;=105,"91-105",IF(E3011&lt;=120,"106-120",IF(E3011&lt;=140,"121-140","Over 140"))))</f>
        <v/>
      </c>
      <c r="Q3011" s="28">
        <f>INT(C3011/10)*10</f>
        <v/>
      </c>
    </row>
    <row r="3012">
      <c r="A3012" s="21" t="n">
        <v>3073</v>
      </c>
      <c r="B3012" s="21" t="inlineStr">
        <is>
          <t>RocknRolla</t>
        </is>
      </c>
      <c r="C3012" s="21" t="n">
        <v>2008</v>
      </c>
      <c r="D3012" s="21" t="inlineStr">
        <is>
          <t>UK</t>
        </is>
      </c>
      <c r="E3012" s="21" t="n">
        <v>114</v>
      </c>
      <c r="F3012" s="21" t="inlineStr">
        <is>
          <t>English</t>
        </is>
      </c>
      <c r="G3012" s="21" t="inlineStr">
        <is>
          <t>R</t>
        </is>
      </c>
      <c r="H3012" s="22" t="n">
        <v>5694401</v>
      </c>
      <c r="I3012" s="22" t="n">
        <v>18000000</v>
      </c>
      <c r="J3012" s="21">
        <f>IF(OR(H3012="",H3012=25529689.5),"Yes","No")</f>
        <v/>
      </c>
      <c r="K3012" s="21">
        <f>IF(AND(D3012="USA",C3012&gt;=1980,J3012="No"),"Yes","No")</f>
        <v/>
      </c>
      <c r="L3012" s="26">
        <f>IF(J3012="Yes","",H3012-I3012)</f>
        <v/>
      </c>
      <c r="M3012" s="27">
        <f>IF(OR(J3012="Yes",I3012=0),"",H3012/I3012)</f>
        <v/>
      </c>
      <c r="N3012" s="21">
        <f>IF(J3012="Yes","",IF(H3012&gt;=I3012,1,0))</f>
        <v/>
      </c>
      <c r="O3012" s="21">
        <f>IF(I3012&lt;=5000000,"Under $5M",IF(I3012&lt;=20000000,"$5M-20M",IF(I3012&lt;=50000000,"$20M-50M",IF(I3012&lt;=100000000,"$50M-100M","$100M+"))))</f>
        <v/>
      </c>
      <c r="P3012" s="21">
        <f>IF(E3012&lt;=90,"90 or less",IF(E3012&lt;=105,"91-105",IF(E3012&lt;=120,"106-120",IF(E3012&lt;=140,"121-140","Over 140"))))</f>
        <v/>
      </c>
      <c r="Q3012" s="28">
        <f>INT(C3012/10)*10</f>
        <v/>
      </c>
    </row>
    <row r="3013">
      <c r="A3013" s="21" t="n">
        <v>3074</v>
      </c>
      <c r="B3013" s="21" t="inlineStr">
        <is>
          <t>Role Models</t>
        </is>
      </c>
      <c r="C3013" s="21" t="n">
        <v>2008</v>
      </c>
      <c r="D3013" s="21" t="inlineStr">
        <is>
          <t>Germany</t>
        </is>
      </c>
      <c r="E3013" s="21" t="n">
        <v>101</v>
      </c>
      <c r="F3013" s="21" t="inlineStr">
        <is>
          <t>English</t>
        </is>
      </c>
      <c r="G3013" s="21" t="inlineStr">
        <is>
          <t>R</t>
        </is>
      </c>
      <c r="H3013" s="22" t="n">
        <v>67266300</v>
      </c>
      <c r="I3013" s="22" t="n">
        <v>28000000</v>
      </c>
      <c r="J3013" s="21">
        <f>IF(OR(H3013="",H3013=25529689.5),"Yes","No")</f>
        <v/>
      </c>
      <c r="K3013" s="21">
        <f>IF(AND(D3013="USA",C3013&gt;=1980,J3013="No"),"Yes","No")</f>
        <v/>
      </c>
      <c r="L3013" s="26">
        <f>IF(J3013="Yes","",H3013-I3013)</f>
        <v/>
      </c>
      <c r="M3013" s="27">
        <f>IF(OR(J3013="Yes",I3013=0),"",H3013/I3013)</f>
        <v/>
      </c>
      <c r="N3013" s="21">
        <f>IF(J3013="Yes","",IF(H3013&gt;=I3013,1,0))</f>
        <v/>
      </c>
      <c r="O3013" s="21">
        <f>IF(I3013&lt;=5000000,"Under $5M",IF(I3013&lt;=20000000,"$5M-20M",IF(I3013&lt;=50000000,"$20M-50M",IF(I3013&lt;=100000000,"$50M-100M","$100M+"))))</f>
        <v/>
      </c>
      <c r="P3013" s="21">
        <f>IF(E3013&lt;=90,"90 or less",IF(E3013&lt;=105,"91-105",IF(E3013&lt;=120,"106-120",IF(E3013&lt;=140,"121-140","Over 140"))))</f>
        <v/>
      </c>
      <c r="Q3013" s="28">
        <f>INT(C3013/10)*10</f>
        <v/>
      </c>
    </row>
    <row r="3014">
      <c r="A3014" s="21" t="n">
        <v>3075</v>
      </c>
      <c r="B3014" s="21" t="inlineStr">
        <is>
          <t>Saw V</t>
        </is>
      </c>
      <c r="C3014" s="21" t="n">
        <v>2008</v>
      </c>
      <c r="D3014" s="21" t="inlineStr">
        <is>
          <t>USA</t>
        </is>
      </c>
      <c r="E3014" s="21" t="n">
        <v>95</v>
      </c>
      <c r="F3014" s="21" t="inlineStr">
        <is>
          <t>English</t>
        </is>
      </c>
      <c r="G3014" s="21" t="inlineStr">
        <is>
          <t>R</t>
        </is>
      </c>
      <c r="H3014" s="22" t="n">
        <v>56729973</v>
      </c>
      <c r="I3014" s="22" t="n">
        <v>10800000</v>
      </c>
      <c r="J3014" s="21">
        <f>IF(OR(H3014="",H3014=25529689.5),"Yes","No")</f>
        <v/>
      </c>
      <c r="K3014" s="21">
        <f>IF(AND(D3014="USA",C3014&gt;=1980,J3014="No"),"Yes","No")</f>
        <v/>
      </c>
      <c r="L3014" s="26">
        <f>IF(J3014="Yes","",H3014-I3014)</f>
        <v/>
      </c>
      <c r="M3014" s="27">
        <f>IF(OR(J3014="Yes",I3014=0),"",H3014/I3014)</f>
        <v/>
      </c>
      <c r="N3014" s="21">
        <f>IF(J3014="Yes","",IF(H3014&gt;=I3014,1,0))</f>
        <v/>
      </c>
      <c r="O3014" s="21">
        <f>IF(I3014&lt;=5000000,"Under $5M",IF(I3014&lt;=20000000,"$5M-20M",IF(I3014&lt;=50000000,"$20M-50M",IF(I3014&lt;=100000000,"$50M-100M","$100M+"))))</f>
        <v/>
      </c>
      <c r="P3014" s="21">
        <f>IF(E3014&lt;=90,"90 or less",IF(E3014&lt;=105,"91-105",IF(E3014&lt;=120,"106-120",IF(E3014&lt;=140,"121-140","Over 140"))))</f>
        <v/>
      </c>
      <c r="Q3014" s="28">
        <f>INT(C3014/10)*10</f>
        <v/>
      </c>
    </row>
    <row r="3015">
      <c r="A3015" s="21" t="n">
        <v>3076</v>
      </c>
      <c r="B3015" s="21" t="inlineStr">
        <is>
          <t>Semi-Pro</t>
        </is>
      </c>
      <c r="C3015" s="21" t="n">
        <v>2008</v>
      </c>
      <c r="D3015" s="21" t="inlineStr">
        <is>
          <t>USA</t>
        </is>
      </c>
      <c r="E3015" s="21" t="n">
        <v>99</v>
      </c>
      <c r="F3015" s="21" t="inlineStr">
        <is>
          <t>English</t>
        </is>
      </c>
      <c r="G3015" s="21" t="inlineStr">
        <is>
          <t>R</t>
        </is>
      </c>
      <c r="H3015" s="22" t="n">
        <v>33472850</v>
      </c>
      <c r="I3015" s="22" t="n">
        <v>55000000</v>
      </c>
      <c r="J3015" s="21">
        <f>IF(OR(H3015="",H3015=25529689.5),"Yes","No")</f>
        <v/>
      </c>
      <c r="K3015" s="21">
        <f>IF(AND(D3015="USA",C3015&gt;=1980,J3015="No"),"Yes","No")</f>
        <v/>
      </c>
      <c r="L3015" s="26">
        <f>IF(J3015="Yes","",H3015-I3015)</f>
        <v/>
      </c>
      <c r="M3015" s="27">
        <f>IF(OR(J3015="Yes",I3015=0),"",H3015/I3015)</f>
        <v/>
      </c>
      <c r="N3015" s="21">
        <f>IF(J3015="Yes","",IF(H3015&gt;=I3015,1,0))</f>
        <v/>
      </c>
      <c r="O3015" s="21">
        <f>IF(I3015&lt;=5000000,"Under $5M",IF(I3015&lt;=20000000,"$5M-20M",IF(I3015&lt;=50000000,"$20M-50M",IF(I3015&lt;=100000000,"$50M-100M","$100M+"))))</f>
        <v/>
      </c>
      <c r="P3015" s="21">
        <f>IF(E3015&lt;=90,"90 or less",IF(E3015&lt;=105,"91-105",IF(E3015&lt;=120,"106-120",IF(E3015&lt;=140,"121-140","Over 140"))))</f>
        <v/>
      </c>
      <c r="Q3015" s="28">
        <f>INT(C3015/10)*10</f>
        <v/>
      </c>
    </row>
    <row r="3016">
      <c r="A3016" s="21" t="n">
        <v>3077</v>
      </c>
      <c r="B3016" s="21" t="inlineStr">
        <is>
          <t>Seven Pounds</t>
        </is>
      </c>
      <c r="C3016" s="21" t="n">
        <v>2008</v>
      </c>
      <c r="D3016" s="21" t="inlineStr">
        <is>
          <t>USA</t>
        </is>
      </c>
      <c r="E3016" s="21" t="n">
        <v>123</v>
      </c>
      <c r="F3016" s="21" t="inlineStr">
        <is>
          <t>English</t>
        </is>
      </c>
      <c r="G3016" s="21" t="inlineStr">
        <is>
          <t>PG-13</t>
        </is>
      </c>
      <c r="H3016" s="22" t="n">
        <v>69951824</v>
      </c>
      <c r="I3016" s="22" t="n">
        <v>55000000</v>
      </c>
      <c r="J3016" s="21">
        <f>IF(OR(H3016="",H3016=25529689.5),"Yes","No")</f>
        <v/>
      </c>
      <c r="K3016" s="21">
        <f>IF(AND(D3016="USA",C3016&gt;=1980,J3016="No"),"Yes","No")</f>
        <v/>
      </c>
      <c r="L3016" s="26">
        <f>IF(J3016="Yes","",H3016-I3016)</f>
        <v/>
      </c>
      <c r="M3016" s="27">
        <f>IF(OR(J3016="Yes",I3016=0),"",H3016/I3016)</f>
        <v/>
      </c>
      <c r="N3016" s="21">
        <f>IF(J3016="Yes","",IF(H3016&gt;=I3016,1,0))</f>
        <v/>
      </c>
      <c r="O3016" s="21">
        <f>IF(I3016&lt;=5000000,"Under $5M",IF(I3016&lt;=20000000,"$5M-20M",IF(I3016&lt;=50000000,"$20M-50M",IF(I3016&lt;=100000000,"$50M-100M","$100M+"))))</f>
        <v/>
      </c>
      <c r="P3016" s="21">
        <f>IF(E3016&lt;=90,"90 or less",IF(E3016&lt;=105,"91-105",IF(E3016&lt;=120,"106-120",IF(E3016&lt;=140,"121-140","Over 140"))))</f>
        <v/>
      </c>
      <c r="Q3016" s="28">
        <f>INT(C3016/10)*10</f>
        <v/>
      </c>
    </row>
    <row r="3017">
      <c r="A3017" s="21" t="n">
        <v>3078</v>
      </c>
      <c r="B3017" s="21" t="inlineStr">
        <is>
          <t>Sex Drive</t>
        </is>
      </c>
      <c r="C3017" s="21" t="n">
        <v>2008</v>
      </c>
      <c r="D3017" s="21" t="inlineStr">
        <is>
          <t>USA</t>
        </is>
      </c>
      <c r="E3017" s="21" t="n">
        <v>129</v>
      </c>
      <c r="F3017" s="21" t="inlineStr">
        <is>
          <t>English</t>
        </is>
      </c>
      <c r="G3017" s="21" t="inlineStr">
        <is>
          <t>R</t>
        </is>
      </c>
      <c r="H3017" s="22" t="n">
        <v>8396942</v>
      </c>
      <c r="I3017" s="22" t="n">
        <v>19000000</v>
      </c>
      <c r="J3017" s="21">
        <f>IF(OR(H3017="",H3017=25529689.5),"Yes","No")</f>
        <v/>
      </c>
      <c r="K3017" s="21">
        <f>IF(AND(D3017="USA",C3017&gt;=1980,J3017="No"),"Yes","No")</f>
        <v/>
      </c>
      <c r="L3017" s="26">
        <f>IF(J3017="Yes","",H3017-I3017)</f>
        <v/>
      </c>
      <c r="M3017" s="27">
        <f>IF(OR(J3017="Yes",I3017=0),"",H3017/I3017)</f>
        <v/>
      </c>
      <c r="N3017" s="21">
        <f>IF(J3017="Yes","",IF(H3017&gt;=I3017,1,0))</f>
        <v/>
      </c>
      <c r="O3017" s="21">
        <f>IF(I3017&lt;=5000000,"Under $5M",IF(I3017&lt;=20000000,"$5M-20M",IF(I3017&lt;=50000000,"$20M-50M",IF(I3017&lt;=100000000,"$50M-100M","$100M+"))))</f>
        <v/>
      </c>
      <c r="P3017" s="21">
        <f>IF(E3017&lt;=90,"90 or less",IF(E3017&lt;=105,"91-105",IF(E3017&lt;=120,"106-120",IF(E3017&lt;=140,"121-140","Over 140"))))</f>
        <v/>
      </c>
      <c r="Q3017" s="28">
        <f>INT(C3017/10)*10</f>
        <v/>
      </c>
    </row>
    <row r="3018">
      <c r="A3018" s="21" t="n">
        <v>3079</v>
      </c>
      <c r="B3018" s="21" t="inlineStr">
        <is>
          <t>Shine a Light</t>
        </is>
      </c>
      <c r="C3018" s="21" t="n">
        <v>2008</v>
      </c>
      <c r="D3018" s="21" t="inlineStr">
        <is>
          <t>USA</t>
        </is>
      </c>
      <c r="E3018" s="21" t="n">
        <v>122</v>
      </c>
      <c r="F3018" s="21" t="inlineStr">
        <is>
          <t>English</t>
        </is>
      </c>
      <c r="G3018" s="21" t="inlineStr">
        <is>
          <t>PG-13</t>
        </is>
      </c>
      <c r="H3018" s="22" t="n">
        <v>5355376</v>
      </c>
      <c r="I3018" s="22" t="n">
        <v>20000000</v>
      </c>
      <c r="J3018" s="21">
        <f>IF(OR(H3018="",H3018=25529689.5),"Yes","No")</f>
        <v/>
      </c>
      <c r="K3018" s="21">
        <f>IF(AND(D3018="USA",C3018&gt;=1980,J3018="No"),"Yes","No")</f>
        <v/>
      </c>
      <c r="L3018" s="26">
        <f>IF(J3018="Yes","",H3018-I3018)</f>
        <v/>
      </c>
      <c r="M3018" s="27">
        <f>IF(OR(J3018="Yes",I3018=0),"",H3018/I3018)</f>
        <v/>
      </c>
      <c r="N3018" s="21">
        <f>IF(J3018="Yes","",IF(H3018&gt;=I3018,1,0))</f>
        <v/>
      </c>
      <c r="O3018" s="21">
        <f>IF(I3018&lt;=5000000,"Under $5M",IF(I3018&lt;=20000000,"$5M-20M",IF(I3018&lt;=50000000,"$20M-50M",IF(I3018&lt;=100000000,"$50M-100M","$100M+"))))</f>
        <v/>
      </c>
      <c r="P3018" s="21">
        <f>IF(E3018&lt;=90,"90 or less",IF(E3018&lt;=105,"91-105",IF(E3018&lt;=120,"106-120",IF(E3018&lt;=140,"121-140","Over 140"))))</f>
        <v/>
      </c>
      <c r="Q3018" s="28">
        <f>INT(C3018/10)*10</f>
        <v/>
      </c>
    </row>
    <row r="3019">
      <c r="A3019" s="21" t="n">
        <v>3080</v>
      </c>
      <c r="B3019" s="21" t="inlineStr">
        <is>
          <t>Shutter</t>
        </is>
      </c>
      <c r="C3019" s="21" t="n">
        <v>2008</v>
      </c>
      <c r="D3019" s="21" t="inlineStr">
        <is>
          <t>USA</t>
        </is>
      </c>
      <c r="E3019" s="21" t="n">
        <v>90</v>
      </c>
      <c r="F3019" s="21" t="inlineStr">
        <is>
          <t>English</t>
        </is>
      </c>
      <c r="G3019" s="21" t="inlineStr">
        <is>
          <t>PG-13</t>
        </is>
      </c>
      <c r="H3019" s="22" t="n">
        <v>25926543</v>
      </c>
      <c r="I3019" s="22" t="n">
        <v>8000000</v>
      </c>
      <c r="J3019" s="21">
        <f>IF(OR(H3019="",H3019=25529689.5),"Yes","No")</f>
        <v/>
      </c>
      <c r="K3019" s="21">
        <f>IF(AND(D3019="USA",C3019&gt;=1980,J3019="No"),"Yes","No")</f>
        <v/>
      </c>
      <c r="L3019" s="26">
        <f>IF(J3019="Yes","",H3019-I3019)</f>
        <v/>
      </c>
      <c r="M3019" s="27">
        <f>IF(OR(J3019="Yes",I3019=0),"",H3019/I3019)</f>
        <v/>
      </c>
      <c r="N3019" s="21">
        <f>IF(J3019="Yes","",IF(H3019&gt;=I3019,1,0))</f>
        <v/>
      </c>
      <c r="O3019" s="21">
        <f>IF(I3019&lt;=5000000,"Under $5M",IF(I3019&lt;=20000000,"$5M-20M",IF(I3019&lt;=50000000,"$20M-50M",IF(I3019&lt;=100000000,"$50M-100M","$100M+"))))</f>
        <v/>
      </c>
      <c r="P3019" s="21">
        <f>IF(E3019&lt;=90,"90 or less",IF(E3019&lt;=105,"91-105",IF(E3019&lt;=120,"106-120",IF(E3019&lt;=140,"121-140","Over 140"))))</f>
        <v/>
      </c>
      <c r="Q3019" s="28">
        <f>INT(C3019/10)*10</f>
        <v/>
      </c>
    </row>
    <row r="3020">
      <c r="A3020" s="21" t="n">
        <v>3081</v>
      </c>
      <c r="B3020" s="21" t="inlineStr">
        <is>
          <t>Sleep Dealer</t>
        </is>
      </c>
      <c r="C3020" s="21" t="n">
        <v>2008</v>
      </c>
      <c r="D3020" s="21" t="inlineStr">
        <is>
          <t>USA</t>
        </is>
      </c>
      <c r="E3020" s="21" t="n">
        <v>90</v>
      </c>
      <c r="F3020" s="21" t="inlineStr">
        <is>
          <t>Spanish</t>
        </is>
      </c>
      <c r="G3020" s="21" t="inlineStr">
        <is>
          <t>PG-13</t>
        </is>
      </c>
      <c r="H3020" s="22" t="n">
        <v>75727</v>
      </c>
      <c r="I3020" s="22" t="n">
        <v>2500000</v>
      </c>
      <c r="J3020" s="21">
        <f>IF(OR(H3020="",H3020=25529689.5),"Yes","No")</f>
        <v/>
      </c>
      <c r="K3020" s="21">
        <f>IF(AND(D3020="USA",C3020&gt;=1980,J3020="No"),"Yes","No")</f>
        <v/>
      </c>
      <c r="L3020" s="26">
        <f>IF(J3020="Yes","",H3020-I3020)</f>
        <v/>
      </c>
      <c r="M3020" s="27">
        <f>IF(OR(J3020="Yes",I3020=0),"",H3020/I3020)</f>
        <v/>
      </c>
      <c r="N3020" s="21">
        <f>IF(J3020="Yes","",IF(H3020&gt;=I3020,1,0))</f>
        <v/>
      </c>
      <c r="O3020" s="21">
        <f>IF(I3020&lt;=5000000,"Under $5M",IF(I3020&lt;=20000000,"$5M-20M",IF(I3020&lt;=50000000,"$20M-50M",IF(I3020&lt;=100000000,"$50M-100M","$100M+"))))</f>
        <v/>
      </c>
      <c r="P3020" s="21">
        <f>IF(E3020&lt;=90,"90 or less",IF(E3020&lt;=105,"91-105",IF(E3020&lt;=120,"106-120",IF(E3020&lt;=140,"121-140","Over 140"))))</f>
        <v/>
      </c>
      <c r="Q3020" s="28">
        <f>INT(C3020/10)*10</f>
        <v/>
      </c>
    </row>
    <row r="3021">
      <c r="A3021" s="21" t="n">
        <v>3082</v>
      </c>
      <c r="B3021" s="21" t="inlineStr">
        <is>
          <t>Slumdog Millionaire</t>
        </is>
      </c>
      <c r="C3021" s="21" t="n">
        <v>2008</v>
      </c>
      <c r="D3021" s="21" t="inlineStr">
        <is>
          <t>UK</t>
        </is>
      </c>
      <c r="E3021" s="21" t="n">
        <v>120</v>
      </c>
      <c r="F3021" s="21" t="inlineStr">
        <is>
          <t>English</t>
        </is>
      </c>
      <c r="G3021" s="21" t="inlineStr">
        <is>
          <t>R</t>
        </is>
      </c>
      <c r="H3021" s="22" t="n">
        <v>141319195</v>
      </c>
      <c r="I3021" s="22" t="n">
        <v>15000000</v>
      </c>
      <c r="J3021" s="21">
        <f>IF(OR(H3021="",H3021=25529689.5),"Yes","No")</f>
        <v/>
      </c>
      <c r="K3021" s="21">
        <f>IF(AND(D3021="USA",C3021&gt;=1980,J3021="No"),"Yes","No")</f>
        <v/>
      </c>
      <c r="L3021" s="26">
        <f>IF(J3021="Yes","",H3021-I3021)</f>
        <v/>
      </c>
      <c r="M3021" s="27">
        <f>IF(OR(J3021="Yes",I3021=0),"",H3021/I3021)</f>
        <v/>
      </c>
      <c r="N3021" s="21">
        <f>IF(J3021="Yes","",IF(H3021&gt;=I3021,1,0))</f>
        <v/>
      </c>
      <c r="O3021" s="21">
        <f>IF(I3021&lt;=5000000,"Under $5M",IF(I3021&lt;=20000000,"$5M-20M",IF(I3021&lt;=50000000,"$20M-50M",IF(I3021&lt;=100000000,"$50M-100M","$100M+"))))</f>
        <v/>
      </c>
      <c r="P3021" s="21">
        <f>IF(E3021&lt;=90,"90 or less",IF(E3021&lt;=105,"91-105",IF(E3021&lt;=120,"106-120",IF(E3021&lt;=140,"121-140","Over 140"))))</f>
        <v/>
      </c>
      <c r="Q3021" s="28">
        <f>INT(C3021/10)*10</f>
        <v/>
      </c>
    </row>
    <row r="3022">
      <c r="A3022" s="21" t="n">
        <v>3083</v>
      </c>
      <c r="B3022" s="21" t="inlineStr">
        <is>
          <t>Soul Men</t>
        </is>
      </c>
      <c r="C3022" s="21" t="n">
        <v>2008</v>
      </c>
      <c r="D3022" s="21" t="inlineStr">
        <is>
          <t>USA</t>
        </is>
      </c>
      <c r="E3022" s="21" t="n">
        <v>100</v>
      </c>
      <c r="F3022" s="21" t="inlineStr">
        <is>
          <t>English</t>
        </is>
      </c>
      <c r="G3022" s="21" t="inlineStr">
        <is>
          <t>R</t>
        </is>
      </c>
      <c r="H3022" s="22" t="n">
        <v>12081447</v>
      </c>
      <c r="I3022" s="22" t="n">
        <v>20000000</v>
      </c>
      <c r="J3022" s="21">
        <f>IF(OR(H3022="",H3022=25529689.5),"Yes","No")</f>
        <v/>
      </c>
      <c r="K3022" s="21">
        <f>IF(AND(D3022="USA",C3022&gt;=1980,J3022="No"),"Yes","No")</f>
        <v/>
      </c>
      <c r="L3022" s="26">
        <f>IF(J3022="Yes","",H3022-I3022)</f>
        <v/>
      </c>
      <c r="M3022" s="27">
        <f>IF(OR(J3022="Yes",I3022=0),"",H3022/I3022)</f>
        <v/>
      </c>
      <c r="N3022" s="21">
        <f>IF(J3022="Yes","",IF(H3022&gt;=I3022,1,0))</f>
        <v/>
      </c>
      <c r="O3022" s="21">
        <f>IF(I3022&lt;=5000000,"Under $5M",IF(I3022&lt;=20000000,"$5M-20M",IF(I3022&lt;=50000000,"$20M-50M",IF(I3022&lt;=100000000,"$50M-100M","$100M+"))))</f>
        <v/>
      </c>
      <c r="P3022" s="21">
        <f>IF(E3022&lt;=90,"90 or less",IF(E3022&lt;=105,"91-105",IF(E3022&lt;=120,"106-120",IF(E3022&lt;=140,"121-140","Over 140"))))</f>
        <v/>
      </c>
      <c r="Q3022" s="28">
        <f>INT(C3022/10)*10</f>
        <v/>
      </c>
    </row>
    <row r="3023">
      <c r="A3023" s="21" t="n">
        <v>3084</v>
      </c>
      <c r="B3023" s="21" t="inlineStr">
        <is>
          <t>Space Chimps</t>
        </is>
      </c>
      <c r="C3023" s="21" t="n">
        <v>2008</v>
      </c>
      <c r="D3023" s="21" t="inlineStr">
        <is>
          <t>USA</t>
        </is>
      </c>
      <c r="E3023" s="21" t="n">
        <v>81</v>
      </c>
      <c r="F3023" s="21" t="inlineStr">
        <is>
          <t>English</t>
        </is>
      </c>
      <c r="G3023" s="21" t="inlineStr">
        <is>
          <t>G</t>
        </is>
      </c>
      <c r="H3023" s="22" t="n">
        <v>30105968</v>
      </c>
      <c r="I3023" s="22" t="n">
        <v>37000000</v>
      </c>
      <c r="J3023" s="21">
        <f>IF(OR(H3023="",H3023=25529689.5),"Yes","No")</f>
        <v/>
      </c>
      <c r="K3023" s="21">
        <f>IF(AND(D3023="USA",C3023&gt;=1980,J3023="No"),"Yes","No")</f>
        <v/>
      </c>
      <c r="L3023" s="26">
        <f>IF(J3023="Yes","",H3023-I3023)</f>
        <v/>
      </c>
      <c r="M3023" s="27">
        <f>IF(OR(J3023="Yes",I3023=0),"",H3023/I3023)</f>
        <v/>
      </c>
      <c r="N3023" s="21">
        <f>IF(J3023="Yes","",IF(H3023&gt;=I3023,1,0))</f>
        <v/>
      </c>
      <c r="O3023" s="21">
        <f>IF(I3023&lt;=5000000,"Under $5M",IF(I3023&lt;=20000000,"$5M-20M",IF(I3023&lt;=50000000,"$20M-50M",IF(I3023&lt;=100000000,"$50M-100M","$100M+"))))</f>
        <v/>
      </c>
      <c r="P3023" s="21">
        <f>IF(E3023&lt;=90,"90 or less",IF(E3023&lt;=105,"91-105",IF(E3023&lt;=120,"106-120",IF(E3023&lt;=140,"121-140","Over 140"))))</f>
        <v/>
      </c>
      <c r="Q3023" s="28">
        <f>INT(C3023/10)*10</f>
        <v/>
      </c>
    </row>
    <row r="3024">
      <c r="A3024" s="21" t="n">
        <v>3085</v>
      </c>
      <c r="B3024" s="21" t="inlineStr">
        <is>
          <t>Speed Racer</t>
        </is>
      </c>
      <c r="C3024" s="21" t="n">
        <v>2008</v>
      </c>
      <c r="D3024" s="21" t="inlineStr">
        <is>
          <t>USA</t>
        </is>
      </c>
      <c r="E3024" s="21" t="n">
        <v>135</v>
      </c>
      <c r="F3024" s="21" t="inlineStr">
        <is>
          <t>English</t>
        </is>
      </c>
      <c r="G3024" s="21" t="inlineStr">
        <is>
          <t>PG</t>
        </is>
      </c>
      <c r="H3024" s="22" t="n">
        <v>43929341</v>
      </c>
      <c r="I3024" s="22" t="n">
        <v>120000000</v>
      </c>
      <c r="J3024" s="21">
        <f>IF(OR(H3024="",H3024=25529689.5),"Yes","No")</f>
        <v/>
      </c>
      <c r="K3024" s="21">
        <f>IF(AND(D3024="USA",C3024&gt;=1980,J3024="No"),"Yes","No")</f>
        <v/>
      </c>
      <c r="L3024" s="26">
        <f>IF(J3024="Yes","",H3024-I3024)</f>
        <v/>
      </c>
      <c r="M3024" s="27">
        <f>IF(OR(J3024="Yes",I3024=0),"",H3024/I3024)</f>
        <v/>
      </c>
      <c r="N3024" s="21">
        <f>IF(J3024="Yes","",IF(H3024&gt;=I3024,1,0))</f>
        <v/>
      </c>
      <c r="O3024" s="21">
        <f>IF(I3024&lt;=5000000,"Under $5M",IF(I3024&lt;=20000000,"$5M-20M",IF(I3024&lt;=50000000,"$20M-50M",IF(I3024&lt;=100000000,"$50M-100M","$100M+"))))</f>
        <v/>
      </c>
      <c r="P3024" s="21">
        <f>IF(E3024&lt;=90,"90 or less",IF(E3024&lt;=105,"91-105",IF(E3024&lt;=120,"106-120",IF(E3024&lt;=140,"121-140","Over 140"))))</f>
        <v/>
      </c>
      <c r="Q3024" s="28">
        <f>INT(C3024/10)*10</f>
        <v/>
      </c>
    </row>
    <row r="3025">
      <c r="A3025" s="21" t="n">
        <v>3086</v>
      </c>
      <c r="B3025" s="21" t="inlineStr">
        <is>
          <t>Standard Operating Procedure</t>
        </is>
      </c>
      <c r="C3025" s="21" t="n">
        <v>2008</v>
      </c>
      <c r="D3025" s="21" t="inlineStr">
        <is>
          <t>USA</t>
        </is>
      </c>
      <c r="E3025" s="21" t="n">
        <v>118</v>
      </c>
      <c r="F3025" s="21" t="inlineStr">
        <is>
          <t>English</t>
        </is>
      </c>
      <c r="G3025" s="21" t="inlineStr">
        <is>
          <t>R</t>
        </is>
      </c>
      <c r="H3025" s="22" t="n">
        <v>228830</v>
      </c>
      <c r="I3025" s="22" t="n">
        <v>20000000</v>
      </c>
      <c r="J3025" s="21">
        <f>IF(OR(H3025="",H3025=25529689.5),"Yes","No")</f>
        <v/>
      </c>
      <c r="K3025" s="21">
        <f>IF(AND(D3025="USA",C3025&gt;=1980,J3025="No"),"Yes","No")</f>
        <v/>
      </c>
      <c r="L3025" s="26">
        <f>IF(J3025="Yes","",H3025-I3025)</f>
        <v/>
      </c>
      <c r="M3025" s="27">
        <f>IF(OR(J3025="Yes",I3025=0),"",H3025/I3025)</f>
        <v/>
      </c>
      <c r="N3025" s="21">
        <f>IF(J3025="Yes","",IF(H3025&gt;=I3025,1,0))</f>
        <v/>
      </c>
      <c r="O3025" s="21">
        <f>IF(I3025&lt;=5000000,"Under $5M",IF(I3025&lt;=20000000,"$5M-20M",IF(I3025&lt;=50000000,"$20M-50M",IF(I3025&lt;=100000000,"$50M-100M","$100M+"))))</f>
        <v/>
      </c>
      <c r="P3025" s="21">
        <f>IF(E3025&lt;=90,"90 or less",IF(E3025&lt;=105,"91-105",IF(E3025&lt;=120,"106-120",IF(E3025&lt;=140,"121-140","Over 140"))))</f>
        <v/>
      </c>
      <c r="Q3025" s="28">
        <f>INT(C3025/10)*10</f>
        <v/>
      </c>
    </row>
    <row r="3026">
      <c r="A3026" s="21" t="n">
        <v>3087</v>
      </c>
      <c r="B3026" s="21" t="inlineStr">
        <is>
          <t>Stargate: The Ark of Truth</t>
        </is>
      </c>
      <c r="C3026" s="21" t="n">
        <v>2008</v>
      </c>
      <c r="D3026" s="21" t="inlineStr">
        <is>
          <t>USA</t>
        </is>
      </c>
      <c r="E3026" s="21" t="n">
        <v>97</v>
      </c>
      <c r="F3026" s="21" t="inlineStr">
        <is>
          <t>English</t>
        </is>
      </c>
      <c r="G3026" s="21" t="n"/>
      <c r="H3026" s="22" t="n">
        <v>25529689.5</v>
      </c>
      <c r="I3026" s="22" t="n">
        <v>20000000</v>
      </c>
      <c r="J3026" s="21">
        <f>IF(OR(H3026="",H3026=25529689.5),"Yes","No")</f>
        <v/>
      </c>
      <c r="K3026" s="21">
        <f>IF(AND(D3026="USA",C3026&gt;=1980,J3026="No"),"Yes","No")</f>
        <v/>
      </c>
      <c r="L3026" s="26">
        <f>IF(J3026="Yes","",H3026-I3026)</f>
        <v/>
      </c>
      <c r="M3026" s="27">
        <f>IF(OR(J3026="Yes",I3026=0),"",H3026/I3026)</f>
        <v/>
      </c>
      <c r="N3026" s="21">
        <f>IF(J3026="Yes","",IF(H3026&gt;=I3026,1,0))</f>
        <v/>
      </c>
      <c r="O3026" s="21">
        <f>IF(I3026&lt;=5000000,"Under $5M",IF(I3026&lt;=20000000,"$5M-20M",IF(I3026&lt;=50000000,"$20M-50M",IF(I3026&lt;=100000000,"$50M-100M","$100M+"))))</f>
        <v/>
      </c>
      <c r="P3026" s="21">
        <f>IF(E3026&lt;=90,"90 or less",IF(E3026&lt;=105,"91-105",IF(E3026&lt;=120,"106-120",IF(E3026&lt;=140,"121-140","Over 140"))))</f>
        <v/>
      </c>
      <c r="Q3026" s="28">
        <f>INT(C3026/10)*10</f>
        <v/>
      </c>
    </row>
    <row r="3027">
      <c r="A3027" s="21" t="n">
        <v>3088</v>
      </c>
      <c r="B3027" s="21" t="inlineStr">
        <is>
          <t>Step Brothers</t>
        </is>
      </c>
      <c r="C3027" s="21" t="n">
        <v>2008</v>
      </c>
      <c r="D3027" s="21" t="inlineStr">
        <is>
          <t>USA</t>
        </is>
      </c>
      <c r="E3027" s="21" t="n">
        <v>106</v>
      </c>
      <c r="F3027" s="21" t="inlineStr">
        <is>
          <t>English</t>
        </is>
      </c>
      <c r="G3027" s="21" t="inlineStr">
        <is>
          <t>R</t>
        </is>
      </c>
      <c r="H3027" s="22" t="n">
        <v>100468793</v>
      </c>
      <c r="I3027" s="22" t="n">
        <v>65000000</v>
      </c>
      <c r="J3027" s="21">
        <f>IF(OR(H3027="",H3027=25529689.5),"Yes","No")</f>
        <v/>
      </c>
      <c r="K3027" s="21">
        <f>IF(AND(D3027="USA",C3027&gt;=1980,J3027="No"),"Yes","No")</f>
        <v/>
      </c>
      <c r="L3027" s="26">
        <f>IF(J3027="Yes","",H3027-I3027)</f>
        <v/>
      </c>
      <c r="M3027" s="27">
        <f>IF(OR(J3027="Yes",I3027=0),"",H3027/I3027)</f>
        <v/>
      </c>
      <c r="N3027" s="21">
        <f>IF(J3027="Yes","",IF(H3027&gt;=I3027,1,0))</f>
        <v/>
      </c>
      <c r="O3027" s="21">
        <f>IF(I3027&lt;=5000000,"Under $5M",IF(I3027&lt;=20000000,"$5M-20M",IF(I3027&lt;=50000000,"$20M-50M",IF(I3027&lt;=100000000,"$50M-100M","$100M+"))))</f>
        <v/>
      </c>
      <c r="P3027" s="21">
        <f>IF(E3027&lt;=90,"90 or less",IF(E3027&lt;=105,"91-105",IF(E3027&lt;=120,"106-120",IF(E3027&lt;=140,"121-140","Over 140"))))</f>
        <v/>
      </c>
      <c r="Q3027" s="28">
        <f>INT(C3027/10)*10</f>
        <v/>
      </c>
    </row>
    <row r="3028">
      <c r="A3028" s="21" t="n">
        <v>3089</v>
      </c>
      <c r="B3028" s="21" t="inlineStr">
        <is>
          <t>Step Up 2: The Streets</t>
        </is>
      </c>
      <c r="C3028" s="21" t="n">
        <v>2008</v>
      </c>
      <c r="D3028" s="21" t="inlineStr">
        <is>
          <t>USA</t>
        </is>
      </c>
      <c r="E3028" s="21" t="n">
        <v>98</v>
      </c>
      <c r="F3028" s="21" t="inlineStr">
        <is>
          <t>English</t>
        </is>
      </c>
      <c r="G3028" s="21" t="inlineStr">
        <is>
          <t>PG-13</t>
        </is>
      </c>
      <c r="H3028" s="22" t="n">
        <v>58006147</v>
      </c>
      <c r="I3028" s="22" t="n">
        <v>23000000</v>
      </c>
      <c r="J3028" s="21">
        <f>IF(OR(H3028="",H3028=25529689.5),"Yes","No")</f>
        <v/>
      </c>
      <c r="K3028" s="21">
        <f>IF(AND(D3028="USA",C3028&gt;=1980,J3028="No"),"Yes","No")</f>
        <v/>
      </c>
      <c r="L3028" s="26">
        <f>IF(J3028="Yes","",H3028-I3028)</f>
        <v/>
      </c>
      <c r="M3028" s="27">
        <f>IF(OR(J3028="Yes",I3028=0),"",H3028/I3028)</f>
        <v/>
      </c>
      <c r="N3028" s="21">
        <f>IF(J3028="Yes","",IF(H3028&gt;=I3028,1,0))</f>
        <v/>
      </c>
      <c r="O3028" s="21">
        <f>IF(I3028&lt;=5000000,"Under $5M",IF(I3028&lt;=20000000,"$5M-20M",IF(I3028&lt;=50000000,"$20M-50M",IF(I3028&lt;=100000000,"$50M-100M","$100M+"))))</f>
        <v/>
      </c>
      <c r="P3028" s="21">
        <f>IF(E3028&lt;=90,"90 or less",IF(E3028&lt;=105,"91-105",IF(E3028&lt;=120,"106-120",IF(E3028&lt;=140,"121-140","Over 140"))))</f>
        <v/>
      </c>
      <c r="Q3028" s="28">
        <f>INT(C3028/10)*10</f>
        <v/>
      </c>
    </row>
    <row r="3029">
      <c r="A3029" s="21" t="n">
        <v>3090</v>
      </c>
      <c r="B3029" s="21" t="inlineStr">
        <is>
          <t>Stop-Loss</t>
        </is>
      </c>
      <c r="C3029" s="21" t="n">
        <v>2008</v>
      </c>
      <c r="D3029" s="21" t="inlineStr">
        <is>
          <t>USA</t>
        </is>
      </c>
      <c r="E3029" s="21" t="n">
        <v>112</v>
      </c>
      <c r="F3029" s="21" t="inlineStr">
        <is>
          <t>English</t>
        </is>
      </c>
      <c r="G3029" s="21" t="inlineStr">
        <is>
          <t>R</t>
        </is>
      </c>
      <c r="H3029" s="22" t="n">
        <v>10911750</v>
      </c>
      <c r="I3029" s="22" t="n">
        <v>25000000</v>
      </c>
      <c r="J3029" s="21">
        <f>IF(OR(H3029="",H3029=25529689.5),"Yes","No")</f>
        <v/>
      </c>
      <c r="K3029" s="21">
        <f>IF(AND(D3029="USA",C3029&gt;=1980,J3029="No"),"Yes","No")</f>
        <v/>
      </c>
      <c r="L3029" s="26">
        <f>IF(J3029="Yes","",H3029-I3029)</f>
        <v/>
      </c>
      <c r="M3029" s="27">
        <f>IF(OR(J3029="Yes",I3029=0),"",H3029/I3029)</f>
        <v/>
      </c>
      <c r="N3029" s="21">
        <f>IF(J3029="Yes","",IF(H3029&gt;=I3029,1,0))</f>
        <v/>
      </c>
      <c r="O3029" s="21">
        <f>IF(I3029&lt;=5000000,"Under $5M",IF(I3029&lt;=20000000,"$5M-20M",IF(I3029&lt;=50000000,"$20M-50M",IF(I3029&lt;=100000000,"$50M-100M","$100M+"))))</f>
        <v/>
      </c>
      <c r="P3029" s="21">
        <f>IF(E3029&lt;=90,"90 or less",IF(E3029&lt;=105,"91-105",IF(E3029&lt;=120,"106-120",IF(E3029&lt;=140,"121-140","Over 140"))))</f>
        <v/>
      </c>
      <c r="Q3029" s="28">
        <f>INT(C3029/10)*10</f>
        <v/>
      </c>
    </row>
    <row r="3030">
      <c r="A3030" s="21" t="n">
        <v>3091</v>
      </c>
      <c r="B3030" s="21" t="inlineStr">
        <is>
          <t>Strange Wilderness</t>
        </is>
      </c>
      <c r="C3030" s="21" t="n">
        <v>2008</v>
      </c>
      <c r="D3030" s="21" t="inlineStr">
        <is>
          <t>USA</t>
        </is>
      </c>
      <c r="E3030" s="21" t="n">
        <v>87</v>
      </c>
      <c r="F3030" s="21" t="inlineStr">
        <is>
          <t>English</t>
        </is>
      </c>
      <c r="G3030" s="21" t="inlineStr">
        <is>
          <t>R</t>
        </is>
      </c>
      <c r="H3030" s="22" t="n">
        <v>6563357</v>
      </c>
      <c r="I3030" s="22" t="n">
        <v>20000000</v>
      </c>
      <c r="J3030" s="21">
        <f>IF(OR(H3030="",H3030=25529689.5),"Yes","No")</f>
        <v/>
      </c>
      <c r="K3030" s="21">
        <f>IF(AND(D3030="USA",C3030&gt;=1980,J3030="No"),"Yes","No")</f>
        <v/>
      </c>
      <c r="L3030" s="26">
        <f>IF(J3030="Yes","",H3030-I3030)</f>
        <v/>
      </c>
      <c r="M3030" s="27">
        <f>IF(OR(J3030="Yes",I3030=0),"",H3030/I3030)</f>
        <v/>
      </c>
      <c r="N3030" s="21">
        <f>IF(J3030="Yes","",IF(H3030&gt;=I3030,1,0))</f>
        <v/>
      </c>
      <c r="O3030" s="21">
        <f>IF(I3030&lt;=5000000,"Under $5M",IF(I3030&lt;=20000000,"$5M-20M",IF(I3030&lt;=50000000,"$20M-50M",IF(I3030&lt;=100000000,"$50M-100M","$100M+"))))</f>
        <v/>
      </c>
      <c r="P3030" s="21">
        <f>IF(E3030&lt;=90,"90 or less",IF(E3030&lt;=105,"91-105",IF(E3030&lt;=120,"106-120",IF(E3030&lt;=140,"121-140","Over 140"))))</f>
        <v/>
      </c>
      <c r="Q3030" s="28">
        <f>INT(C3030/10)*10</f>
        <v/>
      </c>
    </row>
    <row r="3031">
      <c r="A3031" s="21" t="n">
        <v>3092</v>
      </c>
      <c r="B3031" s="21" t="inlineStr">
        <is>
          <t>Street Kings</t>
        </is>
      </c>
      <c r="C3031" s="21" t="n">
        <v>2008</v>
      </c>
      <c r="D3031" s="21" t="inlineStr">
        <is>
          <t>USA</t>
        </is>
      </c>
      <c r="E3031" s="21" t="n">
        <v>109</v>
      </c>
      <c r="F3031" s="21" t="inlineStr">
        <is>
          <t>English</t>
        </is>
      </c>
      <c r="G3031" s="21" t="inlineStr">
        <is>
          <t>R</t>
        </is>
      </c>
      <c r="H3031" s="22" t="n">
        <v>26415649</v>
      </c>
      <c r="I3031" s="22" t="n">
        <v>20000000</v>
      </c>
      <c r="J3031" s="21">
        <f>IF(OR(H3031="",H3031=25529689.5),"Yes","No")</f>
        <v/>
      </c>
      <c r="K3031" s="21">
        <f>IF(AND(D3031="USA",C3031&gt;=1980,J3031="No"),"Yes","No")</f>
        <v/>
      </c>
      <c r="L3031" s="26">
        <f>IF(J3031="Yes","",H3031-I3031)</f>
        <v/>
      </c>
      <c r="M3031" s="27">
        <f>IF(OR(J3031="Yes",I3031=0),"",H3031/I3031)</f>
        <v/>
      </c>
      <c r="N3031" s="21">
        <f>IF(J3031="Yes","",IF(H3031&gt;=I3031,1,0))</f>
        <v/>
      </c>
      <c r="O3031" s="21">
        <f>IF(I3031&lt;=5000000,"Under $5M",IF(I3031&lt;=20000000,"$5M-20M",IF(I3031&lt;=50000000,"$20M-50M",IF(I3031&lt;=100000000,"$50M-100M","$100M+"))))</f>
        <v/>
      </c>
      <c r="P3031" s="21">
        <f>IF(E3031&lt;=90,"90 or less",IF(E3031&lt;=105,"91-105",IF(E3031&lt;=120,"106-120",IF(E3031&lt;=140,"121-140","Over 140"))))</f>
        <v/>
      </c>
      <c r="Q3031" s="28">
        <f>INT(C3031/10)*10</f>
        <v/>
      </c>
    </row>
    <row r="3032">
      <c r="A3032" s="21" t="n">
        <v>3093</v>
      </c>
      <c r="B3032" s="21" t="inlineStr">
        <is>
          <t>Sunday School Musical</t>
        </is>
      </c>
      <c r="C3032" s="21" t="n">
        <v>2008</v>
      </c>
      <c r="D3032" s="21" t="inlineStr">
        <is>
          <t>USA</t>
        </is>
      </c>
      <c r="E3032" s="21" t="n">
        <v>93</v>
      </c>
      <c r="F3032" s="21" t="inlineStr">
        <is>
          <t>English</t>
        </is>
      </c>
      <c r="G3032" s="21" t="inlineStr">
        <is>
          <t>G</t>
        </is>
      </c>
      <c r="H3032" s="22" t="n">
        <v>25529689.5</v>
      </c>
      <c r="I3032" s="22" t="n">
        <v>20000000</v>
      </c>
      <c r="J3032" s="21">
        <f>IF(OR(H3032="",H3032=25529689.5),"Yes","No")</f>
        <v/>
      </c>
      <c r="K3032" s="21">
        <f>IF(AND(D3032="USA",C3032&gt;=1980,J3032="No"),"Yes","No")</f>
        <v/>
      </c>
      <c r="L3032" s="26">
        <f>IF(J3032="Yes","",H3032-I3032)</f>
        <v/>
      </c>
      <c r="M3032" s="27">
        <f>IF(OR(J3032="Yes",I3032=0),"",H3032/I3032)</f>
        <v/>
      </c>
      <c r="N3032" s="21">
        <f>IF(J3032="Yes","",IF(H3032&gt;=I3032,1,0))</f>
        <v/>
      </c>
      <c r="O3032" s="21">
        <f>IF(I3032&lt;=5000000,"Under $5M",IF(I3032&lt;=20000000,"$5M-20M",IF(I3032&lt;=50000000,"$20M-50M",IF(I3032&lt;=100000000,"$50M-100M","$100M+"))))</f>
        <v/>
      </c>
      <c r="P3032" s="21">
        <f>IF(E3032&lt;=90,"90 or less",IF(E3032&lt;=105,"91-105",IF(E3032&lt;=120,"106-120",IF(E3032&lt;=140,"121-140","Over 140"))))</f>
        <v/>
      </c>
      <c r="Q3032" s="28">
        <f>INT(C3032/10)*10</f>
        <v/>
      </c>
    </row>
    <row r="3033">
      <c r="A3033" s="21" t="n">
        <v>3094</v>
      </c>
      <c r="B3033" s="21" t="inlineStr">
        <is>
          <t>Sunshine Cleaning</t>
        </is>
      </c>
      <c r="C3033" s="21" t="n">
        <v>2008</v>
      </c>
      <c r="D3033" s="21" t="inlineStr">
        <is>
          <t>USA</t>
        </is>
      </c>
      <c r="E3033" s="21" t="n">
        <v>91</v>
      </c>
      <c r="F3033" s="21" t="inlineStr">
        <is>
          <t>English</t>
        </is>
      </c>
      <c r="G3033" s="21" t="inlineStr">
        <is>
          <t>R</t>
        </is>
      </c>
      <c r="H3033" s="22" t="n">
        <v>12055108</v>
      </c>
      <c r="I3033" s="22" t="n">
        <v>8000000</v>
      </c>
      <c r="J3033" s="21">
        <f>IF(OR(H3033="",H3033=25529689.5),"Yes","No")</f>
        <v/>
      </c>
      <c r="K3033" s="21">
        <f>IF(AND(D3033="USA",C3033&gt;=1980,J3033="No"),"Yes","No")</f>
        <v/>
      </c>
      <c r="L3033" s="26">
        <f>IF(J3033="Yes","",H3033-I3033)</f>
        <v/>
      </c>
      <c r="M3033" s="27">
        <f>IF(OR(J3033="Yes",I3033=0),"",H3033/I3033)</f>
        <v/>
      </c>
      <c r="N3033" s="21">
        <f>IF(J3033="Yes","",IF(H3033&gt;=I3033,1,0))</f>
        <v/>
      </c>
      <c r="O3033" s="21">
        <f>IF(I3033&lt;=5000000,"Under $5M",IF(I3033&lt;=20000000,"$5M-20M",IF(I3033&lt;=50000000,"$20M-50M",IF(I3033&lt;=100000000,"$50M-100M","$100M+"))))</f>
        <v/>
      </c>
      <c r="P3033" s="21">
        <f>IF(E3033&lt;=90,"90 or less",IF(E3033&lt;=105,"91-105",IF(E3033&lt;=120,"106-120",IF(E3033&lt;=140,"121-140","Over 140"))))</f>
        <v/>
      </c>
      <c r="Q3033" s="28">
        <f>INT(C3033/10)*10</f>
        <v/>
      </c>
    </row>
    <row r="3034">
      <c r="A3034" s="21" t="n">
        <v>3095</v>
      </c>
      <c r="B3034" s="21" t="inlineStr">
        <is>
          <t>Superhero Movie</t>
        </is>
      </c>
      <c r="C3034" s="21" t="n">
        <v>2008</v>
      </c>
      <c r="D3034" s="21" t="inlineStr">
        <is>
          <t>USA</t>
        </is>
      </c>
      <c r="E3034" s="21" t="n">
        <v>82</v>
      </c>
      <c r="F3034" s="21" t="inlineStr">
        <is>
          <t>English</t>
        </is>
      </c>
      <c r="G3034" s="21" t="inlineStr">
        <is>
          <t>PG-13</t>
        </is>
      </c>
      <c r="H3034" s="22" t="n">
        <v>25871834</v>
      </c>
      <c r="I3034" s="22" t="n">
        <v>35000000</v>
      </c>
      <c r="J3034" s="21">
        <f>IF(OR(H3034="",H3034=25529689.5),"Yes","No")</f>
        <v/>
      </c>
      <c r="K3034" s="21">
        <f>IF(AND(D3034="USA",C3034&gt;=1980,J3034="No"),"Yes","No")</f>
        <v/>
      </c>
      <c r="L3034" s="26">
        <f>IF(J3034="Yes","",H3034-I3034)</f>
        <v/>
      </c>
      <c r="M3034" s="27">
        <f>IF(OR(J3034="Yes",I3034=0),"",H3034/I3034)</f>
        <v/>
      </c>
      <c r="N3034" s="21">
        <f>IF(J3034="Yes","",IF(H3034&gt;=I3034,1,0))</f>
        <v/>
      </c>
      <c r="O3034" s="21">
        <f>IF(I3034&lt;=5000000,"Under $5M",IF(I3034&lt;=20000000,"$5M-20M",IF(I3034&lt;=50000000,"$20M-50M",IF(I3034&lt;=100000000,"$50M-100M","$100M+"))))</f>
        <v/>
      </c>
      <c r="P3034" s="21">
        <f>IF(E3034&lt;=90,"90 or less",IF(E3034&lt;=105,"91-105",IF(E3034&lt;=120,"106-120",IF(E3034&lt;=140,"121-140","Over 140"))))</f>
        <v/>
      </c>
      <c r="Q3034" s="28">
        <f>INT(C3034/10)*10</f>
        <v/>
      </c>
    </row>
    <row r="3035">
      <c r="A3035" s="21" t="n">
        <v>3096</v>
      </c>
      <c r="B3035" s="21" t="inlineStr">
        <is>
          <t>Surfer, Dude</t>
        </is>
      </c>
      <c r="C3035" s="21" t="n">
        <v>2008</v>
      </c>
      <c r="D3035" s="21" t="inlineStr">
        <is>
          <t>USA</t>
        </is>
      </c>
      <c r="E3035" s="21" t="n">
        <v>85</v>
      </c>
      <c r="F3035" s="21" t="inlineStr">
        <is>
          <t>English</t>
        </is>
      </c>
      <c r="G3035" s="21" t="inlineStr">
        <is>
          <t>R</t>
        </is>
      </c>
      <c r="H3035" s="22" t="n">
        <v>36497</v>
      </c>
      <c r="I3035" s="22" t="n">
        <v>6000000</v>
      </c>
      <c r="J3035" s="21">
        <f>IF(OR(H3035="",H3035=25529689.5),"Yes","No")</f>
        <v/>
      </c>
      <c r="K3035" s="21">
        <f>IF(AND(D3035="USA",C3035&gt;=1980,J3035="No"),"Yes","No")</f>
        <v/>
      </c>
      <c r="L3035" s="26">
        <f>IF(J3035="Yes","",H3035-I3035)</f>
        <v/>
      </c>
      <c r="M3035" s="27">
        <f>IF(OR(J3035="Yes",I3035=0),"",H3035/I3035)</f>
        <v/>
      </c>
      <c r="N3035" s="21">
        <f>IF(J3035="Yes","",IF(H3035&gt;=I3035,1,0))</f>
        <v/>
      </c>
      <c r="O3035" s="21">
        <f>IF(I3035&lt;=5000000,"Under $5M",IF(I3035&lt;=20000000,"$5M-20M",IF(I3035&lt;=50000000,"$20M-50M",IF(I3035&lt;=100000000,"$50M-100M","$100M+"))))</f>
        <v/>
      </c>
      <c r="P3035" s="21">
        <f>IF(E3035&lt;=90,"90 or less",IF(E3035&lt;=105,"91-105",IF(E3035&lt;=120,"106-120",IF(E3035&lt;=140,"121-140","Over 140"))))</f>
        <v/>
      </c>
      <c r="Q3035" s="28">
        <f>INT(C3035/10)*10</f>
        <v/>
      </c>
    </row>
    <row r="3036">
      <c r="A3036" s="21" t="n">
        <v>3097</v>
      </c>
      <c r="B3036" s="21" t="inlineStr">
        <is>
          <t>Swing Vote</t>
        </is>
      </c>
      <c r="C3036" s="21" t="n">
        <v>2008</v>
      </c>
      <c r="D3036" s="21" t="inlineStr">
        <is>
          <t>USA</t>
        </is>
      </c>
      <c r="E3036" s="21" t="n">
        <v>120</v>
      </c>
      <c r="F3036" s="21" t="inlineStr">
        <is>
          <t>English</t>
        </is>
      </c>
      <c r="G3036" s="21" t="inlineStr">
        <is>
          <t>PG-13</t>
        </is>
      </c>
      <c r="H3036" s="22" t="n">
        <v>16284360</v>
      </c>
      <c r="I3036" s="22" t="n">
        <v>21000000</v>
      </c>
      <c r="J3036" s="21">
        <f>IF(OR(H3036="",H3036=25529689.5),"Yes","No")</f>
        <v/>
      </c>
      <c r="K3036" s="21">
        <f>IF(AND(D3036="USA",C3036&gt;=1980,J3036="No"),"Yes","No")</f>
        <v/>
      </c>
      <c r="L3036" s="26">
        <f>IF(J3036="Yes","",H3036-I3036)</f>
        <v/>
      </c>
      <c r="M3036" s="27">
        <f>IF(OR(J3036="Yes",I3036=0),"",H3036/I3036)</f>
        <v/>
      </c>
      <c r="N3036" s="21">
        <f>IF(J3036="Yes","",IF(H3036&gt;=I3036,1,0))</f>
        <v/>
      </c>
      <c r="O3036" s="21">
        <f>IF(I3036&lt;=5000000,"Under $5M",IF(I3036&lt;=20000000,"$5M-20M",IF(I3036&lt;=50000000,"$20M-50M",IF(I3036&lt;=100000000,"$50M-100M","$100M+"))))</f>
        <v/>
      </c>
      <c r="P3036" s="21">
        <f>IF(E3036&lt;=90,"90 or less",IF(E3036&lt;=105,"91-105",IF(E3036&lt;=120,"106-120",IF(E3036&lt;=140,"121-140","Over 140"))))</f>
        <v/>
      </c>
      <c r="Q3036" s="28">
        <f>INT(C3036/10)*10</f>
        <v/>
      </c>
    </row>
    <row r="3037">
      <c r="A3037" s="21" t="n">
        <v>3098</v>
      </c>
      <c r="B3037" s="21" t="inlineStr">
        <is>
          <t>Synecdoche, New York</t>
        </is>
      </c>
      <c r="C3037" s="21" t="n">
        <v>2008</v>
      </c>
      <c r="D3037" s="21" t="inlineStr">
        <is>
          <t>USA</t>
        </is>
      </c>
      <c r="E3037" s="21" t="n">
        <v>124</v>
      </c>
      <c r="F3037" s="21" t="inlineStr">
        <is>
          <t>English</t>
        </is>
      </c>
      <c r="G3037" s="21" t="inlineStr">
        <is>
          <t>R</t>
        </is>
      </c>
      <c r="H3037" s="22" t="n">
        <v>3081925</v>
      </c>
      <c r="I3037" s="22" t="n">
        <v>21000000</v>
      </c>
      <c r="J3037" s="21">
        <f>IF(OR(H3037="",H3037=25529689.5),"Yes","No")</f>
        <v/>
      </c>
      <c r="K3037" s="21">
        <f>IF(AND(D3037="USA",C3037&gt;=1980,J3037="No"),"Yes","No")</f>
        <v/>
      </c>
      <c r="L3037" s="26">
        <f>IF(J3037="Yes","",H3037-I3037)</f>
        <v/>
      </c>
      <c r="M3037" s="27">
        <f>IF(OR(J3037="Yes",I3037=0),"",H3037/I3037)</f>
        <v/>
      </c>
      <c r="N3037" s="21">
        <f>IF(J3037="Yes","",IF(H3037&gt;=I3037,1,0))</f>
        <v/>
      </c>
      <c r="O3037" s="21">
        <f>IF(I3037&lt;=5000000,"Under $5M",IF(I3037&lt;=20000000,"$5M-20M",IF(I3037&lt;=50000000,"$20M-50M",IF(I3037&lt;=100000000,"$50M-100M","$100M+"))))</f>
        <v/>
      </c>
      <c r="P3037" s="21">
        <f>IF(E3037&lt;=90,"90 or less",IF(E3037&lt;=105,"91-105",IF(E3037&lt;=120,"106-120",IF(E3037&lt;=140,"121-140","Over 140"))))</f>
        <v/>
      </c>
      <c r="Q3037" s="28">
        <f>INT(C3037/10)*10</f>
        <v/>
      </c>
    </row>
    <row r="3038">
      <c r="A3038" s="21" t="n">
        <v>3099</v>
      </c>
      <c r="B3038" s="21" t="inlineStr">
        <is>
          <t>Taken</t>
        </is>
      </c>
      <c r="C3038" s="21" t="n">
        <v>2008</v>
      </c>
      <c r="D3038" s="21" t="inlineStr">
        <is>
          <t>France</t>
        </is>
      </c>
      <c r="E3038" s="21" t="n">
        <v>93</v>
      </c>
      <c r="F3038" s="21" t="inlineStr">
        <is>
          <t>English</t>
        </is>
      </c>
      <c r="G3038" s="21" t="inlineStr">
        <is>
          <t>PG-13</t>
        </is>
      </c>
      <c r="H3038" s="22" t="n">
        <v>145000989</v>
      </c>
      <c r="I3038" s="22" t="n">
        <v>25000000</v>
      </c>
      <c r="J3038" s="21">
        <f>IF(OR(H3038="",H3038=25529689.5),"Yes","No")</f>
        <v/>
      </c>
      <c r="K3038" s="21">
        <f>IF(AND(D3038="USA",C3038&gt;=1980,J3038="No"),"Yes","No")</f>
        <v/>
      </c>
      <c r="L3038" s="26">
        <f>IF(J3038="Yes","",H3038-I3038)</f>
        <v/>
      </c>
      <c r="M3038" s="27">
        <f>IF(OR(J3038="Yes",I3038=0),"",H3038/I3038)</f>
        <v/>
      </c>
      <c r="N3038" s="21">
        <f>IF(J3038="Yes","",IF(H3038&gt;=I3038,1,0))</f>
        <v/>
      </c>
      <c r="O3038" s="21">
        <f>IF(I3038&lt;=5000000,"Under $5M",IF(I3038&lt;=20000000,"$5M-20M",IF(I3038&lt;=50000000,"$20M-50M",IF(I3038&lt;=100000000,"$50M-100M","$100M+"))))</f>
        <v/>
      </c>
      <c r="P3038" s="21">
        <f>IF(E3038&lt;=90,"90 or less",IF(E3038&lt;=105,"91-105",IF(E3038&lt;=120,"106-120",IF(E3038&lt;=140,"121-140","Over 140"))))</f>
        <v/>
      </c>
      <c r="Q3038" s="28">
        <f>INT(C3038/10)*10</f>
        <v/>
      </c>
    </row>
    <row r="3039">
      <c r="A3039" s="21" t="n">
        <v>3100</v>
      </c>
      <c r="B3039" s="21" t="inlineStr">
        <is>
          <t>The Baader Meinhof Complex</t>
        </is>
      </c>
      <c r="C3039" s="21" t="n">
        <v>2008</v>
      </c>
      <c r="D3039" s="21" t="inlineStr">
        <is>
          <t>Germany</t>
        </is>
      </c>
      <c r="E3039" s="21" t="n">
        <v>184</v>
      </c>
      <c r="F3039" s="21" t="inlineStr">
        <is>
          <t>German</t>
        </is>
      </c>
      <c r="G3039" s="21" t="inlineStr">
        <is>
          <t>R</t>
        </is>
      </c>
      <c r="H3039" s="22" t="n">
        <v>476270</v>
      </c>
      <c r="I3039" s="22" t="n">
        <v>20000000</v>
      </c>
      <c r="J3039" s="21">
        <f>IF(OR(H3039="",H3039=25529689.5),"Yes","No")</f>
        <v/>
      </c>
      <c r="K3039" s="21">
        <f>IF(AND(D3039="USA",C3039&gt;=1980,J3039="No"),"Yes","No")</f>
        <v/>
      </c>
      <c r="L3039" s="26">
        <f>IF(J3039="Yes","",H3039-I3039)</f>
        <v/>
      </c>
      <c r="M3039" s="27">
        <f>IF(OR(J3039="Yes",I3039=0),"",H3039/I3039)</f>
        <v/>
      </c>
      <c r="N3039" s="21">
        <f>IF(J3039="Yes","",IF(H3039&gt;=I3039,1,0))</f>
        <v/>
      </c>
      <c r="O3039" s="21">
        <f>IF(I3039&lt;=5000000,"Under $5M",IF(I3039&lt;=20000000,"$5M-20M",IF(I3039&lt;=50000000,"$20M-50M",IF(I3039&lt;=100000000,"$50M-100M","$100M+"))))</f>
        <v/>
      </c>
      <c r="P3039" s="21">
        <f>IF(E3039&lt;=90,"90 or less",IF(E3039&lt;=105,"91-105",IF(E3039&lt;=120,"106-120",IF(E3039&lt;=140,"121-140","Over 140"))))</f>
        <v/>
      </c>
      <c r="Q3039" s="28">
        <f>INT(C3039/10)*10</f>
        <v/>
      </c>
    </row>
    <row r="3040">
      <c r="A3040" s="21" t="n">
        <v>3101</v>
      </c>
      <c r="B3040" s="21" t="inlineStr">
        <is>
          <t>The Bank Job</t>
        </is>
      </c>
      <c r="C3040" s="21" t="n">
        <v>2008</v>
      </c>
      <c r="D3040" s="21" t="inlineStr">
        <is>
          <t>UK</t>
        </is>
      </c>
      <c r="E3040" s="21" t="n">
        <v>111</v>
      </c>
      <c r="F3040" s="21" t="inlineStr">
        <is>
          <t>English</t>
        </is>
      </c>
      <c r="G3040" s="21" t="inlineStr">
        <is>
          <t>R</t>
        </is>
      </c>
      <c r="H3040" s="22" t="n">
        <v>30028592</v>
      </c>
      <c r="I3040" s="22" t="n">
        <v>20000000</v>
      </c>
      <c r="J3040" s="21">
        <f>IF(OR(H3040="",H3040=25529689.5),"Yes","No")</f>
        <v/>
      </c>
      <c r="K3040" s="21">
        <f>IF(AND(D3040="USA",C3040&gt;=1980,J3040="No"),"Yes","No")</f>
        <v/>
      </c>
      <c r="L3040" s="26">
        <f>IF(J3040="Yes","",H3040-I3040)</f>
        <v/>
      </c>
      <c r="M3040" s="27">
        <f>IF(OR(J3040="Yes",I3040=0),"",H3040/I3040)</f>
        <v/>
      </c>
      <c r="N3040" s="21">
        <f>IF(J3040="Yes","",IF(H3040&gt;=I3040,1,0))</f>
        <v/>
      </c>
      <c r="O3040" s="21">
        <f>IF(I3040&lt;=5000000,"Under $5M",IF(I3040&lt;=20000000,"$5M-20M",IF(I3040&lt;=50000000,"$20M-50M",IF(I3040&lt;=100000000,"$50M-100M","$100M+"))))</f>
        <v/>
      </c>
      <c r="P3040" s="21">
        <f>IF(E3040&lt;=90,"90 or less",IF(E3040&lt;=105,"91-105",IF(E3040&lt;=120,"106-120",IF(E3040&lt;=140,"121-140","Over 140"))))</f>
        <v/>
      </c>
      <c r="Q3040" s="28">
        <f>INT(C3040/10)*10</f>
        <v/>
      </c>
    </row>
    <row r="3041">
      <c r="A3041" s="21" t="n">
        <v>3102</v>
      </c>
      <c r="B3041" s="21" t="inlineStr">
        <is>
          <t>The Betrayed</t>
        </is>
      </c>
      <c r="C3041" s="21" t="n">
        <v>2008</v>
      </c>
      <c r="D3041" s="21" t="inlineStr">
        <is>
          <t>USA</t>
        </is>
      </c>
      <c r="E3041" s="21" t="n">
        <v>98</v>
      </c>
      <c r="F3041" s="21" t="inlineStr">
        <is>
          <t>English</t>
        </is>
      </c>
      <c r="G3041" s="21" t="n"/>
      <c r="H3041" s="22" t="n">
        <v>25529689.5</v>
      </c>
      <c r="I3041" s="22" t="n">
        <v>3500000</v>
      </c>
      <c r="J3041" s="21">
        <f>IF(OR(H3041="",H3041=25529689.5),"Yes","No")</f>
        <v/>
      </c>
      <c r="K3041" s="21">
        <f>IF(AND(D3041="USA",C3041&gt;=1980,J3041="No"),"Yes","No")</f>
        <v/>
      </c>
      <c r="L3041" s="26">
        <f>IF(J3041="Yes","",H3041-I3041)</f>
        <v/>
      </c>
      <c r="M3041" s="27">
        <f>IF(OR(J3041="Yes",I3041=0),"",H3041/I3041)</f>
        <v/>
      </c>
      <c r="N3041" s="21">
        <f>IF(J3041="Yes","",IF(H3041&gt;=I3041,1,0))</f>
        <v/>
      </c>
      <c r="O3041" s="21">
        <f>IF(I3041&lt;=5000000,"Under $5M",IF(I3041&lt;=20000000,"$5M-20M",IF(I3041&lt;=50000000,"$20M-50M",IF(I3041&lt;=100000000,"$50M-100M","$100M+"))))</f>
        <v/>
      </c>
      <c r="P3041" s="21">
        <f>IF(E3041&lt;=90,"90 or less",IF(E3041&lt;=105,"91-105",IF(E3041&lt;=120,"106-120",IF(E3041&lt;=140,"121-140","Over 140"))))</f>
        <v/>
      </c>
      <c r="Q3041" s="28">
        <f>INT(C3041/10)*10</f>
        <v/>
      </c>
    </row>
    <row r="3042">
      <c r="A3042" s="21" t="n">
        <v>3103</v>
      </c>
      <c r="B3042" s="21" t="inlineStr">
        <is>
          <t>The Boy in the Striped Pajamas</t>
        </is>
      </c>
      <c r="C3042" s="21" t="n">
        <v>2008</v>
      </c>
      <c r="D3042" s="21" t="inlineStr">
        <is>
          <t>UK</t>
        </is>
      </c>
      <c r="E3042" s="21" t="n">
        <v>94</v>
      </c>
      <c r="F3042" s="21" t="inlineStr">
        <is>
          <t>English</t>
        </is>
      </c>
      <c r="G3042" s="21" t="inlineStr">
        <is>
          <t>PG-13</t>
        </is>
      </c>
      <c r="H3042" s="22" t="n">
        <v>9030581</v>
      </c>
      <c r="I3042" s="22" t="n">
        <v>12500000</v>
      </c>
      <c r="J3042" s="21">
        <f>IF(OR(H3042="",H3042=25529689.5),"Yes","No")</f>
        <v/>
      </c>
      <c r="K3042" s="21">
        <f>IF(AND(D3042="USA",C3042&gt;=1980,J3042="No"),"Yes","No")</f>
        <v/>
      </c>
      <c r="L3042" s="26">
        <f>IF(J3042="Yes","",H3042-I3042)</f>
        <v/>
      </c>
      <c r="M3042" s="27">
        <f>IF(OR(J3042="Yes",I3042=0),"",H3042/I3042)</f>
        <v/>
      </c>
      <c r="N3042" s="21">
        <f>IF(J3042="Yes","",IF(H3042&gt;=I3042,1,0))</f>
        <v/>
      </c>
      <c r="O3042" s="21">
        <f>IF(I3042&lt;=5000000,"Under $5M",IF(I3042&lt;=20000000,"$5M-20M",IF(I3042&lt;=50000000,"$20M-50M",IF(I3042&lt;=100000000,"$50M-100M","$100M+"))))</f>
        <v/>
      </c>
      <c r="P3042" s="21">
        <f>IF(E3042&lt;=90,"90 or less",IF(E3042&lt;=105,"91-105",IF(E3042&lt;=120,"106-120",IF(E3042&lt;=140,"121-140","Over 140"))))</f>
        <v/>
      </c>
      <c r="Q3042" s="28">
        <f>INT(C3042/10)*10</f>
        <v/>
      </c>
    </row>
    <row r="3043">
      <c r="A3043" s="21" t="n">
        <v>3104</v>
      </c>
      <c r="B3043" s="21" t="inlineStr">
        <is>
          <t>The Brothers Bloom</t>
        </is>
      </c>
      <c r="C3043" s="21" t="n">
        <v>2008</v>
      </c>
      <c r="D3043" s="21" t="inlineStr">
        <is>
          <t>USA</t>
        </is>
      </c>
      <c r="E3043" s="21" t="n">
        <v>114</v>
      </c>
      <c r="F3043" s="21" t="inlineStr">
        <is>
          <t>English</t>
        </is>
      </c>
      <c r="G3043" s="21" t="inlineStr">
        <is>
          <t>PG-13</t>
        </is>
      </c>
      <c r="H3043" s="22" t="n">
        <v>3519627</v>
      </c>
      <c r="I3043" s="22" t="n">
        <v>20000000</v>
      </c>
      <c r="J3043" s="21">
        <f>IF(OR(H3043="",H3043=25529689.5),"Yes","No")</f>
        <v/>
      </c>
      <c r="K3043" s="21">
        <f>IF(AND(D3043="USA",C3043&gt;=1980,J3043="No"),"Yes","No")</f>
        <v/>
      </c>
      <c r="L3043" s="26">
        <f>IF(J3043="Yes","",H3043-I3043)</f>
        <v/>
      </c>
      <c r="M3043" s="27">
        <f>IF(OR(J3043="Yes",I3043=0),"",H3043/I3043)</f>
        <v/>
      </c>
      <c r="N3043" s="21">
        <f>IF(J3043="Yes","",IF(H3043&gt;=I3043,1,0))</f>
        <v/>
      </c>
      <c r="O3043" s="21">
        <f>IF(I3043&lt;=5000000,"Under $5M",IF(I3043&lt;=20000000,"$5M-20M",IF(I3043&lt;=50000000,"$20M-50M",IF(I3043&lt;=100000000,"$50M-100M","$100M+"))))</f>
        <v/>
      </c>
      <c r="P3043" s="21">
        <f>IF(E3043&lt;=90,"90 or less",IF(E3043&lt;=105,"91-105",IF(E3043&lt;=120,"106-120",IF(E3043&lt;=140,"121-140","Over 140"))))</f>
        <v/>
      </c>
      <c r="Q3043" s="28">
        <f>INT(C3043/10)*10</f>
        <v/>
      </c>
    </row>
    <row r="3044">
      <c r="A3044" s="21" t="n">
        <v>3105</v>
      </c>
      <c r="B3044" s="21" t="inlineStr">
        <is>
          <t>The Children of Huang Shi</t>
        </is>
      </c>
      <c r="C3044" s="21" t="n">
        <v>2008</v>
      </c>
      <c r="D3044" s="21" t="inlineStr">
        <is>
          <t>Australia</t>
        </is>
      </c>
      <c r="E3044" s="21" t="n">
        <v>125</v>
      </c>
      <c r="F3044" s="21" t="inlineStr">
        <is>
          <t>English</t>
        </is>
      </c>
      <c r="G3044" s="21" t="inlineStr">
        <is>
          <t>R</t>
        </is>
      </c>
      <c r="H3044" s="22" t="n">
        <v>1027749</v>
      </c>
      <c r="I3044" s="22" t="n">
        <v>40000000</v>
      </c>
      <c r="J3044" s="21">
        <f>IF(OR(H3044="",H3044=25529689.5),"Yes","No")</f>
        <v/>
      </c>
      <c r="K3044" s="21">
        <f>IF(AND(D3044="USA",C3044&gt;=1980,J3044="No"),"Yes","No")</f>
        <v/>
      </c>
      <c r="L3044" s="26">
        <f>IF(J3044="Yes","",H3044-I3044)</f>
        <v/>
      </c>
      <c r="M3044" s="27">
        <f>IF(OR(J3044="Yes",I3044=0),"",H3044/I3044)</f>
        <v/>
      </c>
      <c r="N3044" s="21">
        <f>IF(J3044="Yes","",IF(H3044&gt;=I3044,1,0))</f>
        <v/>
      </c>
      <c r="O3044" s="21">
        <f>IF(I3044&lt;=5000000,"Under $5M",IF(I3044&lt;=20000000,"$5M-20M",IF(I3044&lt;=50000000,"$20M-50M",IF(I3044&lt;=100000000,"$50M-100M","$100M+"))))</f>
        <v/>
      </c>
      <c r="P3044" s="21">
        <f>IF(E3044&lt;=90,"90 or less",IF(E3044&lt;=105,"91-105",IF(E3044&lt;=120,"106-120",IF(E3044&lt;=140,"121-140","Over 140"))))</f>
        <v/>
      </c>
      <c r="Q3044" s="28">
        <f>INT(C3044/10)*10</f>
        <v/>
      </c>
    </row>
    <row r="3045">
      <c r="A3045" s="21" t="n">
        <v>3106</v>
      </c>
      <c r="B3045" s="21" t="inlineStr">
        <is>
          <t>The Chronicles of Narnia: Prince Caspian</t>
        </is>
      </c>
      <c r="C3045" s="21" t="n">
        <v>2008</v>
      </c>
      <c r="D3045" s="21" t="inlineStr">
        <is>
          <t>USA</t>
        </is>
      </c>
      <c r="E3045" s="21" t="n">
        <v>150</v>
      </c>
      <c r="F3045" s="21" t="inlineStr">
        <is>
          <t>English</t>
        </is>
      </c>
      <c r="G3045" s="21" t="inlineStr">
        <is>
          <t>PG</t>
        </is>
      </c>
      <c r="H3045" s="22" t="n">
        <v>141614023</v>
      </c>
      <c r="I3045" s="22" t="n">
        <v>225000000</v>
      </c>
      <c r="J3045" s="21">
        <f>IF(OR(H3045="",H3045=25529689.5),"Yes","No")</f>
        <v/>
      </c>
      <c r="K3045" s="21">
        <f>IF(AND(D3045="USA",C3045&gt;=1980,J3045="No"),"Yes","No")</f>
        <v/>
      </c>
      <c r="L3045" s="26">
        <f>IF(J3045="Yes","",H3045-I3045)</f>
        <v/>
      </c>
      <c r="M3045" s="27">
        <f>IF(OR(J3045="Yes",I3045=0),"",H3045/I3045)</f>
        <v/>
      </c>
      <c r="N3045" s="21">
        <f>IF(J3045="Yes","",IF(H3045&gt;=I3045,1,0))</f>
        <v/>
      </c>
      <c r="O3045" s="21">
        <f>IF(I3045&lt;=5000000,"Under $5M",IF(I3045&lt;=20000000,"$5M-20M",IF(I3045&lt;=50000000,"$20M-50M",IF(I3045&lt;=100000000,"$50M-100M","$100M+"))))</f>
        <v/>
      </c>
      <c r="P3045" s="21">
        <f>IF(E3045&lt;=90,"90 or less",IF(E3045&lt;=105,"91-105",IF(E3045&lt;=120,"106-120",IF(E3045&lt;=140,"121-140","Over 140"))))</f>
        <v/>
      </c>
      <c r="Q3045" s="28">
        <f>INT(C3045/10)*10</f>
        <v/>
      </c>
    </row>
    <row r="3046">
      <c r="A3046" s="21" t="n">
        <v>3107</v>
      </c>
      <c r="B3046" s="21" t="inlineStr">
        <is>
          <t>The Class</t>
        </is>
      </c>
      <c r="C3046" s="21" t="n">
        <v>2008</v>
      </c>
      <c r="D3046" s="21" t="inlineStr">
        <is>
          <t>France</t>
        </is>
      </c>
      <c r="E3046" s="21" t="n">
        <v>128</v>
      </c>
      <c r="F3046" s="21" t="inlineStr">
        <is>
          <t>French</t>
        </is>
      </c>
      <c r="G3046" s="21" t="inlineStr">
        <is>
          <t>PG-13</t>
        </is>
      </c>
      <c r="H3046" s="22" t="n">
        <v>3766595</v>
      </c>
      <c r="I3046" s="22" t="n">
        <v>20000000</v>
      </c>
      <c r="J3046" s="21">
        <f>IF(OR(H3046="",H3046=25529689.5),"Yes","No")</f>
        <v/>
      </c>
      <c r="K3046" s="21">
        <f>IF(AND(D3046="USA",C3046&gt;=1980,J3046="No"),"Yes","No")</f>
        <v/>
      </c>
      <c r="L3046" s="26">
        <f>IF(J3046="Yes","",H3046-I3046)</f>
        <v/>
      </c>
      <c r="M3046" s="27">
        <f>IF(OR(J3046="Yes",I3046=0),"",H3046/I3046)</f>
        <v/>
      </c>
      <c r="N3046" s="21">
        <f>IF(J3046="Yes","",IF(H3046&gt;=I3046,1,0))</f>
        <v/>
      </c>
      <c r="O3046" s="21">
        <f>IF(I3046&lt;=5000000,"Under $5M",IF(I3046&lt;=20000000,"$5M-20M",IF(I3046&lt;=50000000,"$20M-50M",IF(I3046&lt;=100000000,"$50M-100M","$100M+"))))</f>
        <v/>
      </c>
      <c r="P3046" s="21">
        <f>IF(E3046&lt;=90,"90 or less",IF(E3046&lt;=105,"91-105",IF(E3046&lt;=120,"106-120",IF(E3046&lt;=140,"121-140","Over 140"))))</f>
        <v/>
      </c>
      <c r="Q3046" s="28">
        <f>INT(C3046/10)*10</f>
        <v/>
      </c>
    </row>
    <row r="3047">
      <c r="A3047" s="21" t="n">
        <v>3108</v>
      </c>
      <c r="B3047" s="21" t="inlineStr">
        <is>
          <t>The Cottage</t>
        </is>
      </c>
      <c r="C3047" s="21" t="n">
        <v>2008</v>
      </c>
      <c r="D3047" s="21" t="inlineStr">
        <is>
          <t>UK</t>
        </is>
      </c>
      <c r="E3047" s="21" t="n">
        <v>92</v>
      </c>
      <c r="F3047" s="21" t="inlineStr">
        <is>
          <t>English</t>
        </is>
      </c>
      <c r="G3047" s="21" t="inlineStr">
        <is>
          <t>Unrated</t>
        </is>
      </c>
      <c r="H3047" s="22" t="n">
        <v>25529689.5</v>
      </c>
      <c r="I3047" s="22" t="n">
        <v>2500000</v>
      </c>
      <c r="J3047" s="21">
        <f>IF(OR(H3047="",H3047=25529689.5),"Yes","No")</f>
        <v/>
      </c>
      <c r="K3047" s="21">
        <f>IF(AND(D3047="USA",C3047&gt;=1980,J3047="No"),"Yes","No")</f>
        <v/>
      </c>
      <c r="L3047" s="26">
        <f>IF(J3047="Yes","",H3047-I3047)</f>
        <v/>
      </c>
      <c r="M3047" s="27">
        <f>IF(OR(J3047="Yes",I3047=0),"",H3047/I3047)</f>
        <v/>
      </c>
      <c r="N3047" s="21">
        <f>IF(J3047="Yes","",IF(H3047&gt;=I3047,1,0))</f>
        <v/>
      </c>
      <c r="O3047" s="21">
        <f>IF(I3047&lt;=5000000,"Under $5M",IF(I3047&lt;=20000000,"$5M-20M",IF(I3047&lt;=50000000,"$20M-50M",IF(I3047&lt;=100000000,"$50M-100M","$100M+"))))</f>
        <v/>
      </c>
      <c r="P3047" s="21">
        <f>IF(E3047&lt;=90,"90 or less",IF(E3047&lt;=105,"91-105",IF(E3047&lt;=120,"106-120",IF(E3047&lt;=140,"121-140","Over 140"))))</f>
        <v/>
      </c>
      <c r="Q3047" s="28">
        <f>INT(C3047/10)*10</f>
        <v/>
      </c>
    </row>
    <row r="3048">
      <c r="A3048" s="21" t="n">
        <v>3109</v>
      </c>
      <c r="B3048" s="21" t="inlineStr">
        <is>
          <t>The Curious Case of Benjamin Button</t>
        </is>
      </c>
      <c r="C3048" s="21" t="n">
        <v>2008</v>
      </c>
      <c r="D3048" s="21" t="inlineStr">
        <is>
          <t>USA</t>
        </is>
      </c>
      <c r="E3048" s="21" t="n">
        <v>166</v>
      </c>
      <c r="F3048" s="21" t="inlineStr">
        <is>
          <t>English</t>
        </is>
      </c>
      <c r="G3048" s="21" t="inlineStr">
        <is>
          <t>PG-13</t>
        </is>
      </c>
      <c r="H3048" s="22" t="n">
        <v>127490802</v>
      </c>
      <c r="I3048" s="22" t="n">
        <v>150000000</v>
      </c>
      <c r="J3048" s="21">
        <f>IF(OR(H3048="",H3048=25529689.5),"Yes","No")</f>
        <v/>
      </c>
      <c r="K3048" s="21">
        <f>IF(AND(D3048="USA",C3048&gt;=1980,J3048="No"),"Yes","No")</f>
        <v/>
      </c>
      <c r="L3048" s="26">
        <f>IF(J3048="Yes","",H3048-I3048)</f>
        <v/>
      </c>
      <c r="M3048" s="27">
        <f>IF(OR(J3048="Yes",I3048=0),"",H3048/I3048)</f>
        <v/>
      </c>
      <c r="N3048" s="21">
        <f>IF(J3048="Yes","",IF(H3048&gt;=I3048,1,0))</f>
        <v/>
      </c>
      <c r="O3048" s="21">
        <f>IF(I3048&lt;=5000000,"Under $5M",IF(I3048&lt;=20000000,"$5M-20M",IF(I3048&lt;=50000000,"$20M-50M",IF(I3048&lt;=100000000,"$50M-100M","$100M+"))))</f>
        <v/>
      </c>
      <c r="P3048" s="21">
        <f>IF(E3048&lt;=90,"90 or less",IF(E3048&lt;=105,"91-105",IF(E3048&lt;=120,"106-120",IF(E3048&lt;=140,"121-140","Over 140"))))</f>
        <v/>
      </c>
      <c r="Q3048" s="28">
        <f>INT(C3048/10)*10</f>
        <v/>
      </c>
    </row>
    <row r="3049">
      <c r="A3049" s="21" t="n">
        <v>3110</v>
      </c>
      <c r="B3049" s="21" t="inlineStr">
        <is>
          <t>The Dark Knight</t>
        </is>
      </c>
      <c r="C3049" s="21" t="n">
        <v>2008</v>
      </c>
      <c r="D3049" s="21" t="inlineStr">
        <is>
          <t>USA</t>
        </is>
      </c>
      <c r="E3049" s="21" t="n">
        <v>152</v>
      </c>
      <c r="F3049" s="21" t="inlineStr">
        <is>
          <t>English</t>
        </is>
      </c>
      <c r="G3049" s="21" t="inlineStr">
        <is>
          <t>PG-13</t>
        </is>
      </c>
      <c r="H3049" s="22" t="n">
        <v>533316061</v>
      </c>
      <c r="I3049" s="22" t="n">
        <v>185000000</v>
      </c>
      <c r="J3049" s="21">
        <f>IF(OR(H3049="",H3049=25529689.5),"Yes","No")</f>
        <v/>
      </c>
      <c r="K3049" s="21">
        <f>IF(AND(D3049="USA",C3049&gt;=1980,J3049="No"),"Yes","No")</f>
        <v/>
      </c>
      <c r="L3049" s="26">
        <f>IF(J3049="Yes","",H3049-I3049)</f>
        <v/>
      </c>
      <c r="M3049" s="27">
        <f>IF(OR(J3049="Yes",I3049=0),"",H3049/I3049)</f>
        <v/>
      </c>
      <c r="N3049" s="21">
        <f>IF(J3049="Yes","",IF(H3049&gt;=I3049,1,0))</f>
        <v/>
      </c>
      <c r="O3049" s="21">
        <f>IF(I3049&lt;=5000000,"Under $5M",IF(I3049&lt;=20000000,"$5M-20M",IF(I3049&lt;=50000000,"$20M-50M",IF(I3049&lt;=100000000,"$50M-100M","$100M+"))))</f>
        <v/>
      </c>
      <c r="P3049" s="21">
        <f>IF(E3049&lt;=90,"90 or less",IF(E3049&lt;=105,"91-105",IF(E3049&lt;=120,"106-120",IF(E3049&lt;=140,"121-140","Over 140"))))</f>
        <v/>
      </c>
      <c r="Q3049" s="28">
        <f>INT(C3049/10)*10</f>
        <v/>
      </c>
    </row>
    <row r="3050">
      <c r="A3050" s="21" t="n">
        <v>3111</v>
      </c>
      <c r="B3050" s="21" t="inlineStr">
        <is>
          <t>The Day the Earth Stood Still</t>
        </is>
      </c>
      <c r="C3050" s="21" t="n">
        <v>2008</v>
      </c>
      <c r="D3050" s="21" t="inlineStr">
        <is>
          <t>USA</t>
        </is>
      </c>
      <c r="E3050" s="21" t="n">
        <v>104</v>
      </c>
      <c r="F3050" s="21" t="inlineStr">
        <is>
          <t>English</t>
        </is>
      </c>
      <c r="G3050" s="21" t="inlineStr">
        <is>
          <t>PG-13</t>
        </is>
      </c>
      <c r="H3050" s="22" t="n">
        <v>79363785</v>
      </c>
      <c r="I3050" s="22" t="n">
        <v>80000000</v>
      </c>
      <c r="J3050" s="21">
        <f>IF(OR(H3050="",H3050=25529689.5),"Yes","No")</f>
        <v/>
      </c>
      <c r="K3050" s="21">
        <f>IF(AND(D3050="USA",C3050&gt;=1980,J3050="No"),"Yes","No")</f>
        <v/>
      </c>
      <c r="L3050" s="26">
        <f>IF(J3050="Yes","",H3050-I3050)</f>
        <v/>
      </c>
      <c r="M3050" s="27">
        <f>IF(OR(J3050="Yes",I3050=0),"",H3050/I3050)</f>
        <v/>
      </c>
      <c r="N3050" s="21">
        <f>IF(J3050="Yes","",IF(H3050&gt;=I3050,1,0))</f>
        <v/>
      </c>
      <c r="O3050" s="21">
        <f>IF(I3050&lt;=5000000,"Under $5M",IF(I3050&lt;=20000000,"$5M-20M",IF(I3050&lt;=50000000,"$20M-50M",IF(I3050&lt;=100000000,"$50M-100M","$100M+"))))</f>
        <v/>
      </c>
      <c r="P3050" s="21">
        <f>IF(E3050&lt;=90,"90 or less",IF(E3050&lt;=105,"91-105",IF(E3050&lt;=120,"106-120",IF(E3050&lt;=140,"121-140","Over 140"))))</f>
        <v/>
      </c>
      <c r="Q3050" s="28">
        <f>INT(C3050/10)*10</f>
        <v/>
      </c>
    </row>
    <row r="3051">
      <c r="A3051" s="21" t="n">
        <v>3113</v>
      </c>
      <c r="B3051" s="21" t="inlineStr">
        <is>
          <t>The Duchess</t>
        </is>
      </c>
      <c r="C3051" s="21" t="n">
        <v>2008</v>
      </c>
      <c r="D3051" s="21" t="inlineStr">
        <is>
          <t>UK</t>
        </is>
      </c>
      <c r="E3051" s="21" t="n">
        <v>110</v>
      </c>
      <c r="F3051" s="21" t="inlineStr">
        <is>
          <t>English</t>
        </is>
      </c>
      <c r="G3051" s="21" t="inlineStr">
        <is>
          <t>PG-13</t>
        </is>
      </c>
      <c r="H3051" s="22" t="n">
        <v>13823741</v>
      </c>
      <c r="I3051" s="22" t="n">
        <v>13500000</v>
      </c>
      <c r="J3051" s="21">
        <f>IF(OR(H3051="",H3051=25529689.5),"Yes","No")</f>
        <v/>
      </c>
      <c r="K3051" s="21">
        <f>IF(AND(D3051="USA",C3051&gt;=1980,J3051="No"),"Yes","No")</f>
        <v/>
      </c>
      <c r="L3051" s="26">
        <f>IF(J3051="Yes","",H3051-I3051)</f>
        <v/>
      </c>
      <c r="M3051" s="27">
        <f>IF(OR(J3051="Yes",I3051=0),"",H3051/I3051)</f>
        <v/>
      </c>
      <c r="N3051" s="21">
        <f>IF(J3051="Yes","",IF(H3051&gt;=I3051,1,0))</f>
        <v/>
      </c>
      <c r="O3051" s="21">
        <f>IF(I3051&lt;=5000000,"Under $5M",IF(I3051&lt;=20000000,"$5M-20M",IF(I3051&lt;=50000000,"$20M-50M",IF(I3051&lt;=100000000,"$50M-100M","$100M+"))))</f>
        <v/>
      </c>
      <c r="P3051" s="21">
        <f>IF(E3051&lt;=90,"90 or less",IF(E3051&lt;=105,"91-105",IF(E3051&lt;=120,"106-120",IF(E3051&lt;=140,"121-140","Over 140"))))</f>
        <v/>
      </c>
      <c r="Q3051" s="28">
        <f>INT(C3051/10)*10</f>
        <v/>
      </c>
    </row>
    <row r="3052">
      <c r="A3052" s="21" t="n">
        <v>3114</v>
      </c>
      <c r="B3052" s="21" t="inlineStr">
        <is>
          <t>The Express</t>
        </is>
      </c>
      <c r="C3052" s="21" t="n">
        <v>2008</v>
      </c>
      <c r="D3052" s="21" t="inlineStr">
        <is>
          <t>USA</t>
        </is>
      </c>
      <c r="E3052" s="21" t="n">
        <v>130</v>
      </c>
      <c r="F3052" s="21" t="inlineStr">
        <is>
          <t>English</t>
        </is>
      </c>
      <c r="G3052" s="21" t="inlineStr">
        <is>
          <t>PG</t>
        </is>
      </c>
      <c r="H3052" s="22" t="n">
        <v>9589875</v>
      </c>
      <c r="I3052" s="22" t="n">
        <v>40000000</v>
      </c>
      <c r="J3052" s="21">
        <f>IF(OR(H3052="",H3052=25529689.5),"Yes","No")</f>
        <v/>
      </c>
      <c r="K3052" s="21">
        <f>IF(AND(D3052="USA",C3052&gt;=1980,J3052="No"),"Yes","No")</f>
        <v/>
      </c>
      <c r="L3052" s="26">
        <f>IF(J3052="Yes","",H3052-I3052)</f>
        <v/>
      </c>
      <c r="M3052" s="27">
        <f>IF(OR(J3052="Yes",I3052=0),"",H3052/I3052)</f>
        <v/>
      </c>
      <c r="N3052" s="21">
        <f>IF(J3052="Yes","",IF(H3052&gt;=I3052,1,0))</f>
        <v/>
      </c>
      <c r="O3052" s="21">
        <f>IF(I3052&lt;=5000000,"Under $5M",IF(I3052&lt;=20000000,"$5M-20M",IF(I3052&lt;=50000000,"$20M-50M",IF(I3052&lt;=100000000,"$50M-100M","$100M+"))))</f>
        <v/>
      </c>
      <c r="P3052" s="21">
        <f>IF(E3052&lt;=90,"90 or less",IF(E3052&lt;=105,"91-105",IF(E3052&lt;=120,"106-120",IF(E3052&lt;=140,"121-140","Over 140"))))</f>
        <v/>
      </c>
      <c r="Q3052" s="28">
        <f>INT(C3052/10)*10</f>
        <v/>
      </c>
    </row>
    <row r="3053">
      <c r="A3053" s="21" t="n">
        <v>3115</v>
      </c>
      <c r="B3053" s="21" t="inlineStr">
        <is>
          <t>The Eye</t>
        </is>
      </c>
      <c r="C3053" s="21" t="n">
        <v>2008</v>
      </c>
      <c r="D3053" s="21" t="inlineStr">
        <is>
          <t>USA</t>
        </is>
      </c>
      <c r="E3053" s="21" t="n">
        <v>92</v>
      </c>
      <c r="F3053" s="21" t="inlineStr">
        <is>
          <t>English</t>
        </is>
      </c>
      <c r="G3053" s="21" t="inlineStr">
        <is>
          <t>PG-13</t>
        </is>
      </c>
      <c r="H3053" s="22" t="n">
        <v>31397498</v>
      </c>
      <c r="I3053" s="22" t="n">
        <v>12000000</v>
      </c>
      <c r="J3053" s="21">
        <f>IF(OR(H3053="",H3053=25529689.5),"Yes","No")</f>
        <v/>
      </c>
      <c r="K3053" s="21">
        <f>IF(AND(D3053="USA",C3053&gt;=1980,J3053="No"),"Yes","No")</f>
        <v/>
      </c>
      <c r="L3053" s="26">
        <f>IF(J3053="Yes","",H3053-I3053)</f>
        <v/>
      </c>
      <c r="M3053" s="27">
        <f>IF(OR(J3053="Yes",I3053=0),"",H3053/I3053)</f>
        <v/>
      </c>
      <c r="N3053" s="21">
        <f>IF(J3053="Yes","",IF(H3053&gt;=I3053,1,0))</f>
        <v/>
      </c>
      <c r="O3053" s="21">
        <f>IF(I3053&lt;=5000000,"Under $5M",IF(I3053&lt;=20000000,"$5M-20M",IF(I3053&lt;=50000000,"$20M-50M",IF(I3053&lt;=100000000,"$50M-100M","$100M+"))))</f>
        <v/>
      </c>
      <c r="P3053" s="21">
        <f>IF(E3053&lt;=90,"90 or less",IF(E3053&lt;=105,"91-105",IF(E3053&lt;=120,"106-120",IF(E3053&lt;=140,"121-140","Over 140"))))</f>
        <v/>
      </c>
      <c r="Q3053" s="28">
        <f>INT(C3053/10)*10</f>
        <v/>
      </c>
    </row>
    <row r="3054">
      <c r="A3054" s="21" t="n">
        <v>3116</v>
      </c>
      <c r="B3054" s="21" t="inlineStr">
        <is>
          <t>The Forbidden Kingdom</t>
        </is>
      </c>
      <c r="C3054" s="21" t="n">
        <v>2008</v>
      </c>
      <c r="D3054" s="21" t="inlineStr">
        <is>
          <t>USA</t>
        </is>
      </c>
      <c r="E3054" s="21" t="n">
        <v>104</v>
      </c>
      <c r="F3054" s="21" t="inlineStr">
        <is>
          <t>English</t>
        </is>
      </c>
      <c r="G3054" s="21" t="inlineStr">
        <is>
          <t>PG-13</t>
        </is>
      </c>
      <c r="H3054" s="22" t="n">
        <v>25040293</v>
      </c>
      <c r="I3054" s="22" t="n">
        <v>55000000</v>
      </c>
      <c r="J3054" s="21">
        <f>IF(OR(H3054="",H3054=25529689.5),"Yes","No")</f>
        <v/>
      </c>
      <c r="K3054" s="21">
        <f>IF(AND(D3054="USA",C3054&gt;=1980,J3054="No"),"Yes","No")</f>
        <v/>
      </c>
      <c r="L3054" s="26">
        <f>IF(J3054="Yes","",H3054-I3054)</f>
        <v/>
      </c>
      <c r="M3054" s="27">
        <f>IF(OR(J3054="Yes",I3054=0),"",H3054/I3054)</f>
        <v/>
      </c>
      <c r="N3054" s="21">
        <f>IF(J3054="Yes","",IF(H3054&gt;=I3054,1,0))</f>
        <v/>
      </c>
      <c r="O3054" s="21">
        <f>IF(I3054&lt;=5000000,"Under $5M",IF(I3054&lt;=20000000,"$5M-20M",IF(I3054&lt;=50000000,"$20M-50M",IF(I3054&lt;=100000000,"$50M-100M","$100M+"))))</f>
        <v/>
      </c>
      <c r="P3054" s="21">
        <f>IF(E3054&lt;=90,"90 or less",IF(E3054&lt;=105,"91-105",IF(E3054&lt;=120,"106-120",IF(E3054&lt;=140,"121-140","Over 140"))))</f>
        <v/>
      </c>
      <c r="Q3054" s="28">
        <f>INT(C3054/10)*10</f>
        <v/>
      </c>
    </row>
    <row r="3055">
      <c r="A3055" s="21" t="n">
        <v>3117</v>
      </c>
      <c r="B3055" s="21" t="inlineStr">
        <is>
          <t>The Good, the Bad, the Weird</t>
        </is>
      </c>
      <c r="C3055" s="21" t="n">
        <v>2008</v>
      </c>
      <c r="D3055" s="21" t="inlineStr">
        <is>
          <t>South Korea</t>
        </is>
      </c>
      <c r="E3055" s="21" t="n">
        <v>135</v>
      </c>
      <c r="F3055" s="21" t="inlineStr">
        <is>
          <t>Korean</t>
        </is>
      </c>
      <c r="G3055" s="21" t="inlineStr">
        <is>
          <t>R</t>
        </is>
      </c>
      <c r="H3055" s="22" t="n">
        <v>128486</v>
      </c>
      <c r="I3055" s="22" t="n">
        <v>10000000</v>
      </c>
      <c r="J3055" s="21">
        <f>IF(OR(H3055="",H3055=25529689.5),"Yes","No")</f>
        <v/>
      </c>
      <c r="K3055" s="21">
        <f>IF(AND(D3055="USA",C3055&gt;=1980,J3055="No"),"Yes","No")</f>
        <v/>
      </c>
      <c r="L3055" s="26">
        <f>IF(J3055="Yes","",H3055-I3055)</f>
        <v/>
      </c>
      <c r="M3055" s="27">
        <f>IF(OR(J3055="Yes",I3055=0),"",H3055/I3055)</f>
        <v/>
      </c>
      <c r="N3055" s="21">
        <f>IF(J3055="Yes","",IF(H3055&gt;=I3055,1,0))</f>
        <v/>
      </c>
      <c r="O3055" s="21">
        <f>IF(I3055&lt;=5000000,"Under $5M",IF(I3055&lt;=20000000,"$5M-20M",IF(I3055&lt;=50000000,"$20M-50M",IF(I3055&lt;=100000000,"$50M-100M","$100M+"))))</f>
        <v/>
      </c>
      <c r="P3055" s="21">
        <f>IF(E3055&lt;=90,"90 or less",IF(E3055&lt;=105,"91-105",IF(E3055&lt;=120,"106-120",IF(E3055&lt;=140,"121-140","Over 140"))))</f>
        <v/>
      </c>
      <c r="Q3055" s="28">
        <f>INT(C3055/10)*10</f>
        <v/>
      </c>
    </row>
    <row r="3056">
      <c r="A3056" s="21" t="n">
        <v>3118</v>
      </c>
      <c r="B3056" s="21" t="inlineStr">
        <is>
          <t>The Happening</t>
        </is>
      </c>
      <c r="C3056" s="21" t="n">
        <v>2008</v>
      </c>
      <c r="D3056" s="21" t="inlineStr">
        <is>
          <t>USA</t>
        </is>
      </c>
      <c r="E3056" s="21" t="n">
        <v>91</v>
      </c>
      <c r="F3056" s="21" t="inlineStr">
        <is>
          <t>English</t>
        </is>
      </c>
      <c r="G3056" s="21" t="inlineStr">
        <is>
          <t>R</t>
        </is>
      </c>
      <c r="H3056" s="22" t="n">
        <v>64505912</v>
      </c>
      <c r="I3056" s="22" t="n">
        <v>48000000</v>
      </c>
      <c r="J3056" s="21">
        <f>IF(OR(H3056="",H3056=25529689.5),"Yes","No")</f>
        <v/>
      </c>
      <c r="K3056" s="21">
        <f>IF(AND(D3056="USA",C3056&gt;=1980,J3056="No"),"Yes","No")</f>
        <v/>
      </c>
      <c r="L3056" s="26">
        <f>IF(J3056="Yes","",H3056-I3056)</f>
        <v/>
      </c>
      <c r="M3056" s="27">
        <f>IF(OR(J3056="Yes",I3056=0),"",H3056/I3056)</f>
        <v/>
      </c>
      <c r="N3056" s="21">
        <f>IF(J3056="Yes","",IF(H3056&gt;=I3056,1,0))</f>
        <v/>
      </c>
      <c r="O3056" s="21">
        <f>IF(I3056&lt;=5000000,"Under $5M",IF(I3056&lt;=20000000,"$5M-20M",IF(I3056&lt;=50000000,"$20M-50M",IF(I3056&lt;=100000000,"$50M-100M","$100M+"))))</f>
        <v/>
      </c>
      <c r="P3056" s="21">
        <f>IF(E3056&lt;=90,"90 or less",IF(E3056&lt;=105,"91-105",IF(E3056&lt;=120,"106-120",IF(E3056&lt;=140,"121-140","Over 140"))))</f>
        <v/>
      </c>
      <c r="Q3056" s="28">
        <f>INT(C3056/10)*10</f>
        <v/>
      </c>
    </row>
    <row r="3057">
      <c r="A3057" s="21" t="n">
        <v>3119</v>
      </c>
      <c r="B3057" s="21" t="inlineStr">
        <is>
          <t>The Haunting of Molly Hartley</t>
        </is>
      </c>
      <c r="C3057" s="21" t="n">
        <v>2008</v>
      </c>
      <c r="D3057" s="21" t="inlineStr">
        <is>
          <t>USA</t>
        </is>
      </c>
      <c r="E3057" s="21" t="n">
        <v>82</v>
      </c>
      <c r="F3057" s="21" t="inlineStr">
        <is>
          <t>English</t>
        </is>
      </c>
      <c r="G3057" s="21" t="inlineStr">
        <is>
          <t>PG-13</t>
        </is>
      </c>
      <c r="H3057" s="22" t="n">
        <v>13350177</v>
      </c>
      <c r="I3057" s="22" t="n">
        <v>5000000</v>
      </c>
      <c r="J3057" s="21">
        <f>IF(OR(H3057="",H3057=25529689.5),"Yes","No")</f>
        <v/>
      </c>
      <c r="K3057" s="21">
        <f>IF(AND(D3057="USA",C3057&gt;=1980,J3057="No"),"Yes","No")</f>
        <v/>
      </c>
      <c r="L3057" s="26">
        <f>IF(J3057="Yes","",H3057-I3057)</f>
        <v/>
      </c>
      <c r="M3057" s="27">
        <f>IF(OR(J3057="Yes",I3057=0),"",H3057/I3057)</f>
        <v/>
      </c>
      <c r="N3057" s="21">
        <f>IF(J3057="Yes","",IF(H3057&gt;=I3057,1,0))</f>
        <v/>
      </c>
      <c r="O3057" s="21">
        <f>IF(I3057&lt;=5000000,"Under $5M",IF(I3057&lt;=20000000,"$5M-20M",IF(I3057&lt;=50000000,"$20M-50M",IF(I3057&lt;=100000000,"$50M-100M","$100M+"))))</f>
        <v/>
      </c>
      <c r="P3057" s="21">
        <f>IF(E3057&lt;=90,"90 or less",IF(E3057&lt;=105,"91-105",IF(E3057&lt;=120,"106-120",IF(E3057&lt;=140,"121-140","Over 140"))))</f>
        <v/>
      </c>
      <c r="Q3057" s="28">
        <f>INT(C3057/10)*10</f>
        <v/>
      </c>
    </row>
    <row r="3058">
      <c r="A3058" s="21" t="n">
        <v>3120</v>
      </c>
      <c r="B3058" s="21" t="inlineStr">
        <is>
          <t>The House Bunny</t>
        </is>
      </c>
      <c r="C3058" s="21" t="n">
        <v>2008</v>
      </c>
      <c r="D3058" s="21" t="inlineStr">
        <is>
          <t>USA</t>
        </is>
      </c>
      <c r="E3058" s="21" t="n">
        <v>97</v>
      </c>
      <c r="F3058" s="21" t="inlineStr">
        <is>
          <t>English</t>
        </is>
      </c>
      <c r="G3058" s="21" t="inlineStr">
        <is>
          <t>PG-13</t>
        </is>
      </c>
      <c r="H3058" s="22" t="n">
        <v>48237389</v>
      </c>
      <c r="I3058" s="22" t="n">
        <v>25000000</v>
      </c>
      <c r="J3058" s="21">
        <f>IF(OR(H3058="",H3058=25529689.5),"Yes","No")</f>
        <v/>
      </c>
      <c r="K3058" s="21">
        <f>IF(AND(D3058="USA",C3058&gt;=1980,J3058="No"),"Yes","No")</f>
        <v/>
      </c>
      <c r="L3058" s="26">
        <f>IF(J3058="Yes","",H3058-I3058)</f>
        <v/>
      </c>
      <c r="M3058" s="27">
        <f>IF(OR(J3058="Yes",I3058=0),"",H3058/I3058)</f>
        <v/>
      </c>
      <c r="N3058" s="21">
        <f>IF(J3058="Yes","",IF(H3058&gt;=I3058,1,0))</f>
        <v/>
      </c>
      <c r="O3058" s="21">
        <f>IF(I3058&lt;=5000000,"Under $5M",IF(I3058&lt;=20000000,"$5M-20M",IF(I3058&lt;=50000000,"$20M-50M",IF(I3058&lt;=100000000,"$50M-100M","$100M+"))))</f>
        <v/>
      </c>
      <c r="P3058" s="21">
        <f>IF(E3058&lt;=90,"90 or less",IF(E3058&lt;=105,"91-105",IF(E3058&lt;=120,"106-120",IF(E3058&lt;=140,"121-140","Over 140"))))</f>
        <v/>
      </c>
      <c r="Q3058" s="28">
        <f>INT(C3058/10)*10</f>
        <v/>
      </c>
    </row>
    <row r="3059">
      <c r="A3059" s="21" t="n">
        <v>3121</v>
      </c>
      <c r="B3059" s="21" t="inlineStr">
        <is>
          <t>The Hurt Locker</t>
        </is>
      </c>
      <c r="C3059" s="21" t="n">
        <v>2008</v>
      </c>
      <c r="D3059" s="21" t="inlineStr">
        <is>
          <t>USA</t>
        </is>
      </c>
      <c r="E3059" s="21" t="n">
        <v>131</v>
      </c>
      <c r="F3059" s="21" t="inlineStr">
        <is>
          <t>English</t>
        </is>
      </c>
      <c r="G3059" s="21" t="inlineStr">
        <is>
          <t>R</t>
        </is>
      </c>
      <c r="H3059" s="22" t="n">
        <v>15700000</v>
      </c>
      <c r="I3059" s="22" t="n">
        <v>15000000</v>
      </c>
      <c r="J3059" s="21">
        <f>IF(OR(H3059="",H3059=25529689.5),"Yes","No")</f>
        <v/>
      </c>
      <c r="K3059" s="21">
        <f>IF(AND(D3059="USA",C3059&gt;=1980,J3059="No"),"Yes","No")</f>
        <v/>
      </c>
      <c r="L3059" s="26">
        <f>IF(J3059="Yes","",H3059-I3059)</f>
        <v/>
      </c>
      <c r="M3059" s="27">
        <f>IF(OR(J3059="Yes",I3059=0),"",H3059/I3059)</f>
        <v/>
      </c>
      <c r="N3059" s="21">
        <f>IF(J3059="Yes","",IF(H3059&gt;=I3059,1,0))</f>
        <v/>
      </c>
      <c r="O3059" s="21">
        <f>IF(I3059&lt;=5000000,"Under $5M",IF(I3059&lt;=20000000,"$5M-20M",IF(I3059&lt;=50000000,"$20M-50M",IF(I3059&lt;=100000000,"$50M-100M","$100M+"))))</f>
        <v/>
      </c>
      <c r="P3059" s="21">
        <f>IF(E3059&lt;=90,"90 or less",IF(E3059&lt;=105,"91-105",IF(E3059&lt;=120,"106-120",IF(E3059&lt;=140,"121-140","Over 140"))))</f>
        <v/>
      </c>
      <c r="Q3059" s="28">
        <f>INT(C3059/10)*10</f>
        <v/>
      </c>
    </row>
    <row r="3060">
      <c r="A3060" s="21" t="n">
        <v>3122</v>
      </c>
      <c r="B3060" s="21" t="inlineStr">
        <is>
          <t>The Incredible Hulk</t>
        </is>
      </c>
      <c r="C3060" s="21" t="n">
        <v>2008</v>
      </c>
      <c r="D3060" s="21" t="inlineStr">
        <is>
          <t>USA</t>
        </is>
      </c>
      <c r="E3060" s="21" t="n">
        <v>135</v>
      </c>
      <c r="F3060" s="21" t="inlineStr">
        <is>
          <t>English</t>
        </is>
      </c>
      <c r="G3060" s="21" t="inlineStr">
        <is>
          <t>PG-13</t>
        </is>
      </c>
      <c r="H3060" s="22" t="n">
        <v>134518390</v>
      </c>
      <c r="I3060" s="22" t="n">
        <v>150000000</v>
      </c>
      <c r="J3060" s="21">
        <f>IF(OR(H3060="",H3060=25529689.5),"Yes","No")</f>
        <v/>
      </c>
      <c r="K3060" s="21">
        <f>IF(AND(D3060="USA",C3060&gt;=1980,J3060="No"),"Yes","No")</f>
        <v/>
      </c>
      <c r="L3060" s="26">
        <f>IF(J3060="Yes","",H3060-I3060)</f>
        <v/>
      </c>
      <c r="M3060" s="27">
        <f>IF(OR(J3060="Yes",I3060=0),"",H3060/I3060)</f>
        <v/>
      </c>
      <c r="N3060" s="21">
        <f>IF(J3060="Yes","",IF(H3060&gt;=I3060,1,0))</f>
        <v/>
      </c>
      <c r="O3060" s="21">
        <f>IF(I3060&lt;=5000000,"Under $5M",IF(I3060&lt;=20000000,"$5M-20M",IF(I3060&lt;=50000000,"$20M-50M",IF(I3060&lt;=100000000,"$50M-100M","$100M+"))))</f>
        <v/>
      </c>
      <c r="P3060" s="21">
        <f>IF(E3060&lt;=90,"90 or less",IF(E3060&lt;=105,"91-105",IF(E3060&lt;=120,"106-120",IF(E3060&lt;=140,"121-140","Over 140"))))</f>
        <v/>
      </c>
      <c r="Q3060" s="28">
        <f>INT(C3060/10)*10</f>
        <v/>
      </c>
    </row>
    <row r="3061">
      <c r="A3061" s="21" t="n">
        <v>3123</v>
      </c>
      <c r="B3061" s="21" t="inlineStr">
        <is>
          <t>The Informers</t>
        </is>
      </c>
      <c r="C3061" s="21" t="n">
        <v>2008</v>
      </c>
      <c r="D3061" s="21" t="inlineStr">
        <is>
          <t>Germany</t>
        </is>
      </c>
      <c r="E3061" s="21" t="n">
        <v>98</v>
      </c>
      <c r="F3061" s="21" t="inlineStr">
        <is>
          <t>English</t>
        </is>
      </c>
      <c r="G3061" s="21" t="inlineStr">
        <is>
          <t>R</t>
        </is>
      </c>
      <c r="H3061" s="22" t="n">
        <v>25529689.5</v>
      </c>
      <c r="I3061" s="22" t="n">
        <v>18000000</v>
      </c>
      <c r="J3061" s="21">
        <f>IF(OR(H3061="",H3061=25529689.5),"Yes","No")</f>
        <v/>
      </c>
      <c r="K3061" s="21">
        <f>IF(AND(D3061="USA",C3061&gt;=1980,J3061="No"),"Yes","No")</f>
        <v/>
      </c>
      <c r="L3061" s="26">
        <f>IF(J3061="Yes","",H3061-I3061)</f>
        <v/>
      </c>
      <c r="M3061" s="27">
        <f>IF(OR(J3061="Yes",I3061=0),"",H3061/I3061)</f>
        <v/>
      </c>
      <c r="N3061" s="21">
        <f>IF(J3061="Yes","",IF(H3061&gt;=I3061,1,0))</f>
        <v/>
      </c>
      <c r="O3061" s="21">
        <f>IF(I3061&lt;=5000000,"Under $5M",IF(I3061&lt;=20000000,"$5M-20M",IF(I3061&lt;=50000000,"$20M-50M",IF(I3061&lt;=100000000,"$50M-100M","$100M+"))))</f>
        <v/>
      </c>
      <c r="P3061" s="21">
        <f>IF(E3061&lt;=90,"90 or less",IF(E3061&lt;=105,"91-105",IF(E3061&lt;=120,"106-120",IF(E3061&lt;=140,"121-140","Over 140"))))</f>
        <v/>
      </c>
      <c r="Q3061" s="28">
        <f>INT(C3061/10)*10</f>
        <v/>
      </c>
    </row>
    <row r="3062">
      <c r="A3062" s="21" t="n">
        <v>3124</v>
      </c>
      <c r="B3062" s="21" t="inlineStr">
        <is>
          <t>The Longshots</t>
        </is>
      </c>
      <c r="C3062" s="21" t="n">
        <v>2008</v>
      </c>
      <c r="D3062" s="21" t="inlineStr">
        <is>
          <t>USA</t>
        </is>
      </c>
      <c r="E3062" s="21" t="n">
        <v>94</v>
      </c>
      <c r="F3062" s="21" t="inlineStr">
        <is>
          <t>English</t>
        </is>
      </c>
      <c r="G3062" s="21" t="inlineStr">
        <is>
          <t>PG</t>
        </is>
      </c>
      <c r="H3062" s="22" t="n">
        <v>11508423</v>
      </c>
      <c r="I3062" s="22" t="n">
        <v>23000000</v>
      </c>
      <c r="J3062" s="21">
        <f>IF(OR(H3062="",H3062=25529689.5),"Yes","No")</f>
        <v/>
      </c>
      <c r="K3062" s="21">
        <f>IF(AND(D3062="USA",C3062&gt;=1980,J3062="No"),"Yes","No")</f>
        <v/>
      </c>
      <c r="L3062" s="26">
        <f>IF(J3062="Yes","",H3062-I3062)</f>
        <v/>
      </c>
      <c r="M3062" s="27">
        <f>IF(OR(J3062="Yes",I3062=0),"",H3062/I3062)</f>
        <v/>
      </c>
      <c r="N3062" s="21">
        <f>IF(J3062="Yes","",IF(H3062&gt;=I3062,1,0))</f>
        <v/>
      </c>
      <c r="O3062" s="21">
        <f>IF(I3062&lt;=5000000,"Under $5M",IF(I3062&lt;=20000000,"$5M-20M",IF(I3062&lt;=50000000,"$20M-50M",IF(I3062&lt;=100000000,"$50M-100M","$100M+"))))</f>
        <v/>
      </c>
      <c r="P3062" s="21">
        <f>IF(E3062&lt;=90,"90 or less",IF(E3062&lt;=105,"91-105",IF(E3062&lt;=120,"106-120",IF(E3062&lt;=140,"121-140","Over 140"))))</f>
        <v/>
      </c>
      <c r="Q3062" s="28">
        <f>INT(C3062/10)*10</f>
        <v/>
      </c>
    </row>
    <row r="3063">
      <c r="A3063" s="21" t="n">
        <v>3125</v>
      </c>
      <c r="B3063" s="21" t="inlineStr">
        <is>
          <t>The Love Guru</t>
        </is>
      </c>
      <c r="C3063" s="21" t="n">
        <v>2008</v>
      </c>
      <c r="D3063" s="21" t="inlineStr">
        <is>
          <t>USA</t>
        </is>
      </c>
      <c r="E3063" s="21" t="n">
        <v>87</v>
      </c>
      <c r="F3063" s="21" t="inlineStr">
        <is>
          <t>English</t>
        </is>
      </c>
      <c r="G3063" s="21" t="inlineStr">
        <is>
          <t>PG-13</t>
        </is>
      </c>
      <c r="H3063" s="22" t="n">
        <v>32178777</v>
      </c>
      <c r="I3063" s="22" t="n">
        <v>62000000</v>
      </c>
      <c r="J3063" s="21">
        <f>IF(OR(H3063="",H3063=25529689.5),"Yes","No")</f>
        <v/>
      </c>
      <c r="K3063" s="21">
        <f>IF(AND(D3063="USA",C3063&gt;=1980,J3063="No"),"Yes","No")</f>
        <v/>
      </c>
      <c r="L3063" s="26">
        <f>IF(J3063="Yes","",H3063-I3063)</f>
        <v/>
      </c>
      <c r="M3063" s="27">
        <f>IF(OR(J3063="Yes",I3063=0),"",H3063/I3063)</f>
        <v/>
      </c>
      <c r="N3063" s="21">
        <f>IF(J3063="Yes","",IF(H3063&gt;=I3063,1,0))</f>
        <v/>
      </c>
      <c r="O3063" s="21">
        <f>IF(I3063&lt;=5000000,"Under $5M",IF(I3063&lt;=20000000,"$5M-20M",IF(I3063&lt;=50000000,"$20M-50M",IF(I3063&lt;=100000000,"$50M-100M","$100M+"))))</f>
        <v/>
      </c>
      <c r="P3063" s="21">
        <f>IF(E3063&lt;=90,"90 or less",IF(E3063&lt;=105,"91-105",IF(E3063&lt;=120,"106-120",IF(E3063&lt;=140,"121-140","Over 140"))))</f>
        <v/>
      </c>
      <c r="Q3063" s="28">
        <f>INT(C3063/10)*10</f>
        <v/>
      </c>
    </row>
    <row r="3064">
      <c r="A3064" s="21" t="n">
        <v>3126</v>
      </c>
      <c r="B3064" s="21" t="inlineStr">
        <is>
          <t>The Lucky Ones</t>
        </is>
      </c>
      <c r="C3064" s="21" t="n">
        <v>2008</v>
      </c>
      <c r="D3064" s="21" t="inlineStr">
        <is>
          <t>USA</t>
        </is>
      </c>
      <c r="E3064" s="21" t="n">
        <v>115</v>
      </c>
      <c r="F3064" s="21" t="inlineStr">
        <is>
          <t>English</t>
        </is>
      </c>
      <c r="G3064" s="21" t="inlineStr">
        <is>
          <t>R</t>
        </is>
      </c>
      <c r="H3064" s="22" t="n">
        <v>183088</v>
      </c>
      <c r="I3064" s="22" t="n">
        <v>15000000</v>
      </c>
      <c r="J3064" s="21">
        <f>IF(OR(H3064="",H3064=25529689.5),"Yes","No")</f>
        <v/>
      </c>
      <c r="K3064" s="21">
        <f>IF(AND(D3064="USA",C3064&gt;=1980,J3064="No"),"Yes","No")</f>
        <v/>
      </c>
      <c r="L3064" s="26">
        <f>IF(J3064="Yes","",H3064-I3064)</f>
        <v/>
      </c>
      <c r="M3064" s="27">
        <f>IF(OR(J3064="Yes",I3064=0),"",H3064/I3064)</f>
        <v/>
      </c>
      <c r="N3064" s="21">
        <f>IF(J3064="Yes","",IF(H3064&gt;=I3064,1,0))</f>
        <v/>
      </c>
      <c r="O3064" s="21">
        <f>IF(I3064&lt;=5000000,"Under $5M",IF(I3064&lt;=20000000,"$5M-20M",IF(I3064&lt;=50000000,"$20M-50M",IF(I3064&lt;=100000000,"$50M-100M","$100M+"))))</f>
        <v/>
      </c>
      <c r="P3064" s="21">
        <f>IF(E3064&lt;=90,"90 or less",IF(E3064&lt;=105,"91-105",IF(E3064&lt;=120,"106-120",IF(E3064&lt;=140,"121-140","Over 140"))))</f>
        <v/>
      </c>
      <c r="Q3064" s="28">
        <f>INT(C3064/10)*10</f>
        <v/>
      </c>
    </row>
    <row r="3065">
      <c r="A3065" s="21" t="n">
        <v>3127</v>
      </c>
      <c r="B3065" s="21" t="inlineStr">
        <is>
          <t>The Midnight Meat Train</t>
        </is>
      </c>
      <c r="C3065" s="21" t="n">
        <v>2008</v>
      </c>
      <c r="D3065" s="21" t="inlineStr">
        <is>
          <t>USA</t>
        </is>
      </c>
      <c r="E3065" s="21" t="n">
        <v>103</v>
      </c>
      <c r="F3065" s="21" t="inlineStr">
        <is>
          <t>English</t>
        </is>
      </c>
      <c r="G3065" s="21" t="inlineStr">
        <is>
          <t>R</t>
        </is>
      </c>
      <c r="H3065" s="22" t="n">
        <v>73548</v>
      </c>
      <c r="I3065" s="22" t="n">
        <v>15000000</v>
      </c>
      <c r="J3065" s="21">
        <f>IF(OR(H3065="",H3065=25529689.5),"Yes","No")</f>
        <v/>
      </c>
      <c r="K3065" s="21">
        <f>IF(AND(D3065="USA",C3065&gt;=1980,J3065="No"),"Yes","No")</f>
        <v/>
      </c>
      <c r="L3065" s="26">
        <f>IF(J3065="Yes","",H3065-I3065)</f>
        <v/>
      </c>
      <c r="M3065" s="27">
        <f>IF(OR(J3065="Yes",I3065=0),"",H3065/I3065)</f>
        <v/>
      </c>
      <c r="N3065" s="21">
        <f>IF(J3065="Yes","",IF(H3065&gt;=I3065,1,0))</f>
        <v/>
      </c>
      <c r="O3065" s="21">
        <f>IF(I3065&lt;=5000000,"Under $5M",IF(I3065&lt;=20000000,"$5M-20M",IF(I3065&lt;=50000000,"$20M-50M",IF(I3065&lt;=100000000,"$50M-100M","$100M+"))))</f>
        <v/>
      </c>
      <c r="P3065" s="21">
        <f>IF(E3065&lt;=90,"90 or less",IF(E3065&lt;=105,"91-105",IF(E3065&lt;=120,"106-120",IF(E3065&lt;=140,"121-140","Over 140"))))</f>
        <v/>
      </c>
      <c r="Q3065" s="28">
        <f>INT(C3065/10)*10</f>
        <v/>
      </c>
    </row>
    <row r="3066">
      <c r="A3066" s="21" t="n">
        <v>3128</v>
      </c>
      <c r="B3066" s="21" t="inlineStr">
        <is>
          <t>The Mummy: Tomb of the Dragon Emperor</t>
        </is>
      </c>
      <c r="C3066" s="21" t="n">
        <v>2008</v>
      </c>
      <c r="D3066" s="21" t="inlineStr">
        <is>
          <t>USA</t>
        </is>
      </c>
      <c r="E3066" s="21" t="n">
        <v>112</v>
      </c>
      <c r="F3066" s="21" t="inlineStr">
        <is>
          <t>English</t>
        </is>
      </c>
      <c r="G3066" s="21" t="inlineStr">
        <is>
          <t>PG-13</t>
        </is>
      </c>
      <c r="H3066" s="22" t="n">
        <v>102176165</v>
      </c>
      <c r="I3066" s="22" t="n">
        <v>145000000</v>
      </c>
      <c r="J3066" s="21">
        <f>IF(OR(H3066="",H3066=25529689.5),"Yes","No")</f>
        <v/>
      </c>
      <c r="K3066" s="21">
        <f>IF(AND(D3066="USA",C3066&gt;=1980,J3066="No"),"Yes","No")</f>
        <v/>
      </c>
      <c r="L3066" s="26">
        <f>IF(J3066="Yes","",H3066-I3066)</f>
        <v/>
      </c>
      <c r="M3066" s="27">
        <f>IF(OR(J3066="Yes",I3066=0),"",H3066/I3066)</f>
        <v/>
      </c>
      <c r="N3066" s="21">
        <f>IF(J3066="Yes","",IF(H3066&gt;=I3066,1,0))</f>
        <v/>
      </c>
      <c r="O3066" s="21">
        <f>IF(I3066&lt;=5000000,"Under $5M",IF(I3066&lt;=20000000,"$5M-20M",IF(I3066&lt;=50000000,"$20M-50M",IF(I3066&lt;=100000000,"$50M-100M","$100M+"))))</f>
        <v/>
      </c>
      <c r="P3066" s="21">
        <f>IF(E3066&lt;=90,"90 or less",IF(E3066&lt;=105,"91-105",IF(E3066&lt;=120,"106-120",IF(E3066&lt;=140,"121-140","Over 140"))))</f>
        <v/>
      </c>
      <c r="Q3066" s="28">
        <f>INT(C3066/10)*10</f>
        <v/>
      </c>
    </row>
    <row r="3067">
      <c r="A3067" s="21" t="n">
        <v>3129</v>
      </c>
      <c r="B3067" s="21" t="inlineStr">
        <is>
          <t>The Other Boleyn Girl</t>
        </is>
      </c>
      <c r="C3067" s="21" t="n">
        <v>2008</v>
      </c>
      <c r="D3067" s="21" t="inlineStr">
        <is>
          <t>UK</t>
        </is>
      </c>
      <c r="E3067" s="21" t="n">
        <v>115</v>
      </c>
      <c r="F3067" s="21" t="inlineStr">
        <is>
          <t>English</t>
        </is>
      </c>
      <c r="G3067" s="21" t="inlineStr">
        <is>
          <t>PG-13</t>
        </is>
      </c>
      <c r="H3067" s="22" t="n">
        <v>26814957</v>
      </c>
      <c r="I3067" s="22" t="n">
        <v>35000000</v>
      </c>
      <c r="J3067" s="21">
        <f>IF(OR(H3067="",H3067=25529689.5),"Yes","No")</f>
        <v/>
      </c>
      <c r="K3067" s="21">
        <f>IF(AND(D3067="USA",C3067&gt;=1980,J3067="No"),"Yes","No")</f>
        <v/>
      </c>
      <c r="L3067" s="26">
        <f>IF(J3067="Yes","",H3067-I3067)</f>
        <v/>
      </c>
      <c r="M3067" s="27">
        <f>IF(OR(J3067="Yes",I3067=0),"",H3067/I3067)</f>
        <v/>
      </c>
      <c r="N3067" s="21">
        <f>IF(J3067="Yes","",IF(H3067&gt;=I3067,1,0))</f>
        <v/>
      </c>
      <c r="O3067" s="21">
        <f>IF(I3067&lt;=5000000,"Under $5M",IF(I3067&lt;=20000000,"$5M-20M",IF(I3067&lt;=50000000,"$20M-50M",IF(I3067&lt;=100000000,"$50M-100M","$100M+"))))</f>
        <v/>
      </c>
      <c r="P3067" s="21">
        <f>IF(E3067&lt;=90,"90 or less",IF(E3067&lt;=105,"91-105",IF(E3067&lt;=120,"106-120",IF(E3067&lt;=140,"121-140","Over 140"))))</f>
        <v/>
      </c>
      <c r="Q3067" s="28">
        <f>INT(C3067/10)*10</f>
        <v/>
      </c>
    </row>
    <row r="3068">
      <c r="A3068" s="21" t="n">
        <v>3130</v>
      </c>
      <c r="B3068" s="21" t="inlineStr">
        <is>
          <t>The Other End of the Line</t>
        </is>
      </c>
      <c r="C3068" s="21" t="n">
        <v>2008</v>
      </c>
      <c r="D3068" s="21" t="inlineStr">
        <is>
          <t>UK</t>
        </is>
      </c>
      <c r="E3068" s="21" t="n">
        <v>106</v>
      </c>
      <c r="F3068" s="21" t="inlineStr">
        <is>
          <t>English</t>
        </is>
      </c>
      <c r="G3068" s="21" t="inlineStr">
        <is>
          <t>PG-13</t>
        </is>
      </c>
      <c r="H3068" s="22" t="n">
        <v>115504</v>
      </c>
      <c r="I3068" s="22" t="n">
        <v>14000000</v>
      </c>
      <c r="J3068" s="21">
        <f>IF(OR(H3068="",H3068=25529689.5),"Yes","No")</f>
        <v/>
      </c>
      <c r="K3068" s="21">
        <f>IF(AND(D3068="USA",C3068&gt;=1980,J3068="No"),"Yes","No")</f>
        <v/>
      </c>
      <c r="L3068" s="26">
        <f>IF(J3068="Yes","",H3068-I3068)</f>
        <v/>
      </c>
      <c r="M3068" s="27">
        <f>IF(OR(J3068="Yes",I3068=0),"",H3068/I3068)</f>
        <v/>
      </c>
      <c r="N3068" s="21">
        <f>IF(J3068="Yes","",IF(H3068&gt;=I3068,1,0))</f>
        <v/>
      </c>
      <c r="O3068" s="21">
        <f>IF(I3068&lt;=5000000,"Under $5M",IF(I3068&lt;=20000000,"$5M-20M",IF(I3068&lt;=50000000,"$20M-50M",IF(I3068&lt;=100000000,"$50M-100M","$100M+"))))</f>
        <v/>
      </c>
      <c r="P3068" s="21">
        <f>IF(E3068&lt;=90,"90 or less",IF(E3068&lt;=105,"91-105",IF(E3068&lt;=120,"106-120",IF(E3068&lt;=140,"121-140","Over 140"))))</f>
        <v/>
      </c>
      <c r="Q3068" s="28">
        <f>INT(C3068/10)*10</f>
        <v/>
      </c>
    </row>
    <row r="3069">
      <c r="A3069" s="21" t="n">
        <v>3131</v>
      </c>
      <c r="B3069" s="21" t="inlineStr">
        <is>
          <t>The Oxford Murders</t>
        </is>
      </c>
      <c r="C3069" s="21" t="n">
        <v>2008</v>
      </c>
      <c r="D3069" s="21" t="inlineStr">
        <is>
          <t>Spain</t>
        </is>
      </c>
      <c r="E3069" s="21" t="n">
        <v>104</v>
      </c>
      <c r="F3069" s="21" t="inlineStr">
        <is>
          <t>English</t>
        </is>
      </c>
      <c r="G3069" s="21" t="inlineStr">
        <is>
          <t>R</t>
        </is>
      </c>
      <c r="H3069" s="22" t="n">
        <v>3607</v>
      </c>
      <c r="I3069" s="22" t="n">
        <v>10000000</v>
      </c>
      <c r="J3069" s="21">
        <f>IF(OR(H3069="",H3069=25529689.5),"Yes","No")</f>
        <v/>
      </c>
      <c r="K3069" s="21">
        <f>IF(AND(D3069="USA",C3069&gt;=1980,J3069="No"),"Yes","No")</f>
        <v/>
      </c>
      <c r="L3069" s="26">
        <f>IF(J3069="Yes","",H3069-I3069)</f>
        <v/>
      </c>
      <c r="M3069" s="27">
        <f>IF(OR(J3069="Yes",I3069=0),"",H3069/I3069)</f>
        <v/>
      </c>
      <c r="N3069" s="21">
        <f>IF(J3069="Yes","",IF(H3069&gt;=I3069,1,0))</f>
        <v/>
      </c>
      <c r="O3069" s="21">
        <f>IF(I3069&lt;=5000000,"Under $5M",IF(I3069&lt;=20000000,"$5M-20M",IF(I3069&lt;=50000000,"$20M-50M",IF(I3069&lt;=100000000,"$50M-100M","$100M+"))))</f>
        <v/>
      </c>
      <c r="P3069" s="21">
        <f>IF(E3069&lt;=90,"90 or less",IF(E3069&lt;=105,"91-105",IF(E3069&lt;=120,"106-120",IF(E3069&lt;=140,"121-140","Over 140"))))</f>
        <v/>
      </c>
      <c r="Q3069" s="28">
        <f>INT(C3069/10)*10</f>
        <v/>
      </c>
    </row>
    <row r="3070">
      <c r="A3070" s="21" t="n">
        <v>3132</v>
      </c>
      <c r="B3070" s="21" t="inlineStr">
        <is>
          <t>The Pirates Who Don't Do Anything: A VeggieTales Movie</t>
        </is>
      </c>
      <c r="C3070" s="21" t="n">
        <v>2008</v>
      </c>
      <c r="D3070" s="21" t="inlineStr">
        <is>
          <t>USA</t>
        </is>
      </c>
      <c r="E3070" s="21" t="n">
        <v>85</v>
      </c>
      <c r="F3070" s="21" t="inlineStr">
        <is>
          <t>English</t>
        </is>
      </c>
      <c r="G3070" s="21" t="inlineStr">
        <is>
          <t>G</t>
        </is>
      </c>
      <c r="H3070" s="22" t="n">
        <v>12701880</v>
      </c>
      <c r="I3070" s="22" t="n">
        <v>15000000</v>
      </c>
      <c r="J3070" s="21">
        <f>IF(OR(H3070="",H3070=25529689.5),"Yes","No")</f>
        <v/>
      </c>
      <c r="K3070" s="21">
        <f>IF(AND(D3070="USA",C3070&gt;=1980,J3070="No"),"Yes","No")</f>
        <v/>
      </c>
      <c r="L3070" s="26">
        <f>IF(J3070="Yes","",H3070-I3070)</f>
        <v/>
      </c>
      <c r="M3070" s="27">
        <f>IF(OR(J3070="Yes",I3070=0),"",H3070/I3070)</f>
        <v/>
      </c>
      <c r="N3070" s="21">
        <f>IF(J3070="Yes","",IF(H3070&gt;=I3070,1,0))</f>
        <v/>
      </c>
      <c r="O3070" s="21">
        <f>IF(I3070&lt;=5000000,"Under $5M",IF(I3070&lt;=20000000,"$5M-20M",IF(I3070&lt;=50000000,"$20M-50M",IF(I3070&lt;=100000000,"$50M-100M","$100M+"))))</f>
        <v/>
      </c>
      <c r="P3070" s="21">
        <f>IF(E3070&lt;=90,"90 or less",IF(E3070&lt;=105,"91-105",IF(E3070&lt;=120,"106-120",IF(E3070&lt;=140,"121-140","Over 140"))))</f>
        <v/>
      </c>
      <c r="Q3070" s="28">
        <f>INT(C3070/10)*10</f>
        <v/>
      </c>
    </row>
    <row r="3071">
      <c r="A3071" s="21" t="n">
        <v>3133</v>
      </c>
      <c r="B3071" s="21" t="inlineStr">
        <is>
          <t>The Poker House</t>
        </is>
      </c>
      <c r="C3071" s="21" t="n">
        <v>2008</v>
      </c>
      <c r="D3071" s="21" t="inlineStr">
        <is>
          <t>USA</t>
        </is>
      </c>
      <c r="E3071" s="21" t="n">
        <v>93</v>
      </c>
      <c r="F3071" s="21" t="inlineStr">
        <is>
          <t>English</t>
        </is>
      </c>
      <c r="G3071" s="21" t="inlineStr">
        <is>
          <t>R</t>
        </is>
      </c>
      <c r="H3071" s="22" t="n">
        <v>25529689.5</v>
      </c>
      <c r="I3071" s="22" t="n">
        <v>20000000</v>
      </c>
      <c r="J3071" s="21">
        <f>IF(OR(H3071="",H3071=25529689.5),"Yes","No")</f>
        <v/>
      </c>
      <c r="K3071" s="21">
        <f>IF(AND(D3071="USA",C3071&gt;=1980,J3071="No"),"Yes","No")</f>
        <v/>
      </c>
      <c r="L3071" s="26">
        <f>IF(J3071="Yes","",H3071-I3071)</f>
        <v/>
      </c>
      <c r="M3071" s="27">
        <f>IF(OR(J3071="Yes",I3071=0),"",H3071/I3071)</f>
        <v/>
      </c>
      <c r="N3071" s="21">
        <f>IF(J3071="Yes","",IF(H3071&gt;=I3071,1,0))</f>
        <v/>
      </c>
      <c r="O3071" s="21">
        <f>IF(I3071&lt;=5000000,"Under $5M",IF(I3071&lt;=20000000,"$5M-20M",IF(I3071&lt;=50000000,"$20M-50M",IF(I3071&lt;=100000000,"$50M-100M","$100M+"))))</f>
        <v/>
      </c>
      <c r="P3071" s="21">
        <f>IF(E3071&lt;=90,"90 or less",IF(E3071&lt;=105,"91-105",IF(E3071&lt;=120,"106-120",IF(E3071&lt;=140,"121-140","Over 140"))))</f>
        <v/>
      </c>
      <c r="Q3071" s="28">
        <f>INT(C3071/10)*10</f>
        <v/>
      </c>
    </row>
    <row r="3072">
      <c r="A3072" s="21" t="n">
        <v>3134</v>
      </c>
      <c r="B3072" s="21" t="inlineStr">
        <is>
          <t>The Reader</t>
        </is>
      </c>
      <c r="C3072" s="21" t="n">
        <v>2008</v>
      </c>
      <c r="D3072" s="21" t="inlineStr">
        <is>
          <t>USA</t>
        </is>
      </c>
      <c r="E3072" s="21" t="n">
        <v>124</v>
      </c>
      <c r="F3072" s="21" t="inlineStr">
        <is>
          <t>English</t>
        </is>
      </c>
      <c r="G3072" s="21" t="inlineStr">
        <is>
          <t>R</t>
        </is>
      </c>
      <c r="H3072" s="22" t="n">
        <v>34180954</v>
      </c>
      <c r="I3072" s="22" t="n">
        <v>32000000</v>
      </c>
      <c r="J3072" s="21">
        <f>IF(OR(H3072="",H3072=25529689.5),"Yes","No")</f>
        <v/>
      </c>
      <c r="K3072" s="21">
        <f>IF(AND(D3072="USA",C3072&gt;=1980,J3072="No"),"Yes","No")</f>
        <v/>
      </c>
      <c r="L3072" s="26">
        <f>IF(J3072="Yes","",H3072-I3072)</f>
        <v/>
      </c>
      <c r="M3072" s="27">
        <f>IF(OR(J3072="Yes",I3072=0),"",H3072/I3072)</f>
        <v/>
      </c>
      <c r="N3072" s="21">
        <f>IF(J3072="Yes","",IF(H3072&gt;=I3072,1,0))</f>
        <v/>
      </c>
      <c r="O3072" s="21">
        <f>IF(I3072&lt;=5000000,"Under $5M",IF(I3072&lt;=20000000,"$5M-20M",IF(I3072&lt;=50000000,"$20M-50M",IF(I3072&lt;=100000000,"$50M-100M","$100M+"))))</f>
        <v/>
      </c>
      <c r="P3072" s="21">
        <f>IF(E3072&lt;=90,"90 or less",IF(E3072&lt;=105,"91-105",IF(E3072&lt;=120,"106-120",IF(E3072&lt;=140,"121-140","Over 140"))))</f>
        <v/>
      </c>
      <c r="Q3072" s="28">
        <f>INT(C3072/10)*10</f>
        <v/>
      </c>
    </row>
    <row r="3073">
      <c r="A3073" s="21" t="n">
        <v>3135</v>
      </c>
      <c r="B3073" s="21" t="inlineStr">
        <is>
          <t>The Rocker</t>
        </is>
      </c>
      <c r="C3073" s="21" t="n">
        <v>2008</v>
      </c>
      <c r="D3073" s="21" t="inlineStr">
        <is>
          <t>USA</t>
        </is>
      </c>
      <c r="E3073" s="21" t="n">
        <v>102</v>
      </c>
      <c r="F3073" s="21" t="inlineStr">
        <is>
          <t>English</t>
        </is>
      </c>
      <c r="G3073" s="21" t="inlineStr">
        <is>
          <t>PG-13</t>
        </is>
      </c>
      <c r="H3073" s="22" t="n">
        <v>6409206</v>
      </c>
      <c r="I3073" s="22" t="n">
        <v>15000000</v>
      </c>
      <c r="J3073" s="21">
        <f>IF(OR(H3073="",H3073=25529689.5),"Yes","No")</f>
        <v/>
      </c>
      <c r="K3073" s="21">
        <f>IF(AND(D3073="USA",C3073&gt;=1980,J3073="No"),"Yes","No")</f>
        <v/>
      </c>
      <c r="L3073" s="26">
        <f>IF(J3073="Yes","",H3073-I3073)</f>
        <v/>
      </c>
      <c r="M3073" s="27">
        <f>IF(OR(J3073="Yes",I3073=0),"",H3073/I3073)</f>
        <v/>
      </c>
      <c r="N3073" s="21">
        <f>IF(J3073="Yes","",IF(H3073&gt;=I3073,1,0))</f>
        <v/>
      </c>
      <c r="O3073" s="21">
        <f>IF(I3073&lt;=5000000,"Under $5M",IF(I3073&lt;=20000000,"$5M-20M",IF(I3073&lt;=50000000,"$20M-50M",IF(I3073&lt;=100000000,"$50M-100M","$100M+"))))</f>
        <v/>
      </c>
      <c r="P3073" s="21">
        <f>IF(E3073&lt;=90,"90 or less",IF(E3073&lt;=105,"91-105",IF(E3073&lt;=120,"106-120",IF(E3073&lt;=140,"121-140","Over 140"))))</f>
        <v/>
      </c>
      <c r="Q3073" s="28">
        <f>INT(C3073/10)*10</f>
        <v/>
      </c>
    </row>
    <row r="3074">
      <c r="A3074" s="21" t="n">
        <v>3136</v>
      </c>
      <c r="B3074" s="21" t="inlineStr">
        <is>
          <t>The Ruins</t>
        </is>
      </c>
      <c r="C3074" s="21" t="n">
        <v>2008</v>
      </c>
      <c r="D3074" s="21" t="inlineStr">
        <is>
          <t>USA</t>
        </is>
      </c>
      <c r="E3074" s="21" t="n">
        <v>93</v>
      </c>
      <c r="F3074" s="21" t="inlineStr">
        <is>
          <t>English</t>
        </is>
      </c>
      <c r="G3074" s="21" t="inlineStr">
        <is>
          <t>R</t>
        </is>
      </c>
      <c r="H3074" s="22" t="n">
        <v>17427926</v>
      </c>
      <c r="I3074" s="22" t="n">
        <v>8000000</v>
      </c>
      <c r="J3074" s="21">
        <f>IF(OR(H3074="",H3074=25529689.5),"Yes","No")</f>
        <v/>
      </c>
      <c r="K3074" s="21">
        <f>IF(AND(D3074="USA",C3074&gt;=1980,J3074="No"),"Yes","No")</f>
        <v/>
      </c>
      <c r="L3074" s="26">
        <f>IF(J3074="Yes","",H3074-I3074)</f>
        <v/>
      </c>
      <c r="M3074" s="27">
        <f>IF(OR(J3074="Yes",I3074=0),"",H3074/I3074)</f>
        <v/>
      </c>
      <c r="N3074" s="21">
        <f>IF(J3074="Yes","",IF(H3074&gt;=I3074,1,0))</f>
        <v/>
      </c>
      <c r="O3074" s="21">
        <f>IF(I3074&lt;=5000000,"Under $5M",IF(I3074&lt;=20000000,"$5M-20M",IF(I3074&lt;=50000000,"$20M-50M",IF(I3074&lt;=100000000,"$50M-100M","$100M+"))))</f>
        <v/>
      </c>
      <c r="P3074" s="21">
        <f>IF(E3074&lt;=90,"90 or less",IF(E3074&lt;=105,"91-105",IF(E3074&lt;=120,"106-120",IF(E3074&lt;=140,"121-140","Over 140"))))</f>
        <v/>
      </c>
      <c r="Q3074" s="28">
        <f>INT(C3074/10)*10</f>
        <v/>
      </c>
    </row>
    <row r="3075">
      <c r="A3075" s="21" t="n">
        <v>3137</v>
      </c>
      <c r="B3075" s="21" t="inlineStr">
        <is>
          <t>The Secret Life of Bees</t>
        </is>
      </c>
      <c r="C3075" s="21" t="n">
        <v>2008</v>
      </c>
      <c r="D3075" s="21" t="inlineStr">
        <is>
          <t>USA</t>
        </is>
      </c>
      <c r="E3075" s="21" t="n">
        <v>110</v>
      </c>
      <c r="F3075" s="21" t="inlineStr">
        <is>
          <t>English</t>
        </is>
      </c>
      <c r="G3075" s="21" t="inlineStr">
        <is>
          <t>PG-13</t>
        </is>
      </c>
      <c r="H3075" s="22" t="n">
        <v>37766350</v>
      </c>
      <c r="I3075" s="22" t="n">
        <v>11000000</v>
      </c>
      <c r="J3075" s="21">
        <f>IF(OR(H3075="",H3075=25529689.5),"Yes","No")</f>
        <v/>
      </c>
      <c r="K3075" s="21">
        <f>IF(AND(D3075="USA",C3075&gt;=1980,J3075="No"),"Yes","No")</f>
        <v/>
      </c>
      <c r="L3075" s="26">
        <f>IF(J3075="Yes","",H3075-I3075)</f>
        <v/>
      </c>
      <c r="M3075" s="27">
        <f>IF(OR(J3075="Yes",I3075=0),"",H3075/I3075)</f>
        <v/>
      </c>
      <c r="N3075" s="21">
        <f>IF(J3075="Yes","",IF(H3075&gt;=I3075,1,0))</f>
        <v/>
      </c>
      <c r="O3075" s="21">
        <f>IF(I3075&lt;=5000000,"Under $5M",IF(I3075&lt;=20000000,"$5M-20M",IF(I3075&lt;=50000000,"$20M-50M",IF(I3075&lt;=100000000,"$50M-100M","$100M+"))))</f>
        <v/>
      </c>
      <c r="P3075" s="21">
        <f>IF(E3075&lt;=90,"90 or less",IF(E3075&lt;=105,"91-105",IF(E3075&lt;=120,"106-120",IF(E3075&lt;=140,"121-140","Over 140"))))</f>
        <v/>
      </c>
      <c r="Q3075" s="28">
        <f>INT(C3075/10)*10</f>
        <v/>
      </c>
    </row>
    <row r="3076">
      <c r="A3076" s="21" t="n">
        <v>3138</v>
      </c>
      <c r="B3076" s="21" t="inlineStr">
        <is>
          <t>The Sisterhood of the Traveling Pants 2</t>
        </is>
      </c>
      <c r="C3076" s="21" t="n">
        <v>2008</v>
      </c>
      <c r="D3076" s="21" t="inlineStr">
        <is>
          <t>USA</t>
        </is>
      </c>
      <c r="E3076" s="21" t="n">
        <v>119</v>
      </c>
      <c r="F3076" s="21" t="inlineStr">
        <is>
          <t>English</t>
        </is>
      </c>
      <c r="G3076" s="21" t="inlineStr">
        <is>
          <t>PG-13</t>
        </is>
      </c>
      <c r="H3076" s="22" t="n">
        <v>44087387</v>
      </c>
      <c r="I3076" s="22" t="n">
        <v>20000000</v>
      </c>
      <c r="J3076" s="21">
        <f>IF(OR(H3076="",H3076=25529689.5),"Yes","No")</f>
        <v/>
      </c>
      <c r="K3076" s="21">
        <f>IF(AND(D3076="USA",C3076&gt;=1980,J3076="No"),"Yes","No")</f>
        <v/>
      </c>
      <c r="L3076" s="26">
        <f>IF(J3076="Yes","",H3076-I3076)</f>
        <v/>
      </c>
      <c r="M3076" s="27">
        <f>IF(OR(J3076="Yes",I3076=0),"",H3076/I3076)</f>
        <v/>
      </c>
      <c r="N3076" s="21">
        <f>IF(J3076="Yes","",IF(H3076&gt;=I3076,1,0))</f>
        <v/>
      </c>
      <c r="O3076" s="21">
        <f>IF(I3076&lt;=5000000,"Under $5M",IF(I3076&lt;=20000000,"$5M-20M",IF(I3076&lt;=50000000,"$20M-50M",IF(I3076&lt;=100000000,"$50M-100M","$100M+"))))</f>
        <v/>
      </c>
      <c r="P3076" s="21">
        <f>IF(E3076&lt;=90,"90 or less",IF(E3076&lt;=105,"91-105",IF(E3076&lt;=120,"106-120",IF(E3076&lt;=140,"121-140","Over 140"))))</f>
        <v/>
      </c>
      <c r="Q3076" s="28">
        <f>INT(C3076/10)*10</f>
        <v/>
      </c>
    </row>
    <row r="3077">
      <c r="A3077" s="21" t="n">
        <v>3139</v>
      </c>
      <c r="B3077" s="21" t="inlineStr">
        <is>
          <t>The Spiderwick Chronicles</t>
        </is>
      </c>
      <c r="C3077" s="21" t="n">
        <v>2008</v>
      </c>
      <c r="D3077" s="21" t="inlineStr">
        <is>
          <t>USA</t>
        </is>
      </c>
      <c r="E3077" s="21" t="n">
        <v>107</v>
      </c>
      <c r="F3077" s="21" t="inlineStr">
        <is>
          <t>English</t>
        </is>
      </c>
      <c r="G3077" s="21" t="inlineStr">
        <is>
          <t>PG</t>
        </is>
      </c>
      <c r="H3077" s="22" t="n">
        <v>71148699</v>
      </c>
      <c r="I3077" s="22" t="n">
        <v>90000000</v>
      </c>
      <c r="J3077" s="21">
        <f>IF(OR(H3077="",H3077=25529689.5),"Yes","No")</f>
        <v/>
      </c>
      <c r="K3077" s="21">
        <f>IF(AND(D3077="USA",C3077&gt;=1980,J3077="No"),"Yes","No")</f>
        <v/>
      </c>
      <c r="L3077" s="26">
        <f>IF(J3077="Yes","",H3077-I3077)</f>
        <v/>
      </c>
      <c r="M3077" s="27">
        <f>IF(OR(J3077="Yes",I3077=0),"",H3077/I3077)</f>
        <v/>
      </c>
      <c r="N3077" s="21">
        <f>IF(J3077="Yes","",IF(H3077&gt;=I3077,1,0))</f>
        <v/>
      </c>
      <c r="O3077" s="21">
        <f>IF(I3077&lt;=5000000,"Under $5M",IF(I3077&lt;=20000000,"$5M-20M",IF(I3077&lt;=50000000,"$20M-50M",IF(I3077&lt;=100000000,"$50M-100M","$100M+"))))</f>
        <v/>
      </c>
      <c r="P3077" s="21">
        <f>IF(E3077&lt;=90,"90 or less",IF(E3077&lt;=105,"91-105",IF(E3077&lt;=120,"106-120",IF(E3077&lt;=140,"121-140","Over 140"))))</f>
        <v/>
      </c>
      <c r="Q3077" s="28">
        <f>INT(C3077/10)*10</f>
        <v/>
      </c>
    </row>
    <row r="3078">
      <c r="A3078" s="21" t="n">
        <v>3140</v>
      </c>
      <c r="B3078" s="21" t="inlineStr">
        <is>
          <t>The Spirit</t>
        </is>
      </c>
      <c r="C3078" s="21" t="n">
        <v>2008</v>
      </c>
      <c r="D3078" s="21" t="inlineStr">
        <is>
          <t>USA</t>
        </is>
      </c>
      <c r="E3078" s="21" t="n">
        <v>103</v>
      </c>
      <c r="F3078" s="21" t="inlineStr">
        <is>
          <t>English</t>
        </is>
      </c>
      <c r="G3078" s="21" t="inlineStr">
        <is>
          <t>PG-13</t>
        </is>
      </c>
      <c r="H3078" s="22" t="n">
        <v>19781879</v>
      </c>
      <c r="I3078" s="22" t="n">
        <v>60000000</v>
      </c>
      <c r="J3078" s="21">
        <f>IF(OR(H3078="",H3078=25529689.5),"Yes","No")</f>
        <v/>
      </c>
      <c r="K3078" s="21">
        <f>IF(AND(D3078="USA",C3078&gt;=1980,J3078="No"),"Yes","No")</f>
        <v/>
      </c>
      <c r="L3078" s="26">
        <f>IF(J3078="Yes","",H3078-I3078)</f>
        <v/>
      </c>
      <c r="M3078" s="27">
        <f>IF(OR(J3078="Yes",I3078=0),"",H3078/I3078)</f>
        <v/>
      </c>
      <c r="N3078" s="21">
        <f>IF(J3078="Yes","",IF(H3078&gt;=I3078,1,0))</f>
        <v/>
      </c>
      <c r="O3078" s="21">
        <f>IF(I3078&lt;=5000000,"Under $5M",IF(I3078&lt;=20000000,"$5M-20M",IF(I3078&lt;=50000000,"$20M-50M",IF(I3078&lt;=100000000,"$50M-100M","$100M+"))))</f>
        <v/>
      </c>
      <c r="P3078" s="21">
        <f>IF(E3078&lt;=90,"90 or less",IF(E3078&lt;=105,"91-105",IF(E3078&lt;=120,"106-120",IF(E3078&lt;=140,"121-140","Over 140"))))</f>
        <v/>
      </c>
      <c r="Q3078" s="28">
        <f>INT(C3078/10)*10</f>
        <v/>
      </c>
    </row>
    <row r="3079">
      <c r="A3079" s="21" t="n">
        <v>3141</v>
      </c>
      <c r="B3079" s="21" t="inlineStr">
        <is>
          <t>The Tale of Despereaux</t>
        </is>
      </c>
      <c r="C3079" s="21" t="n">
        <v>2008</v>
      </c>
      <c r="D3079" s="21" t="inlineStr">
        <is>
          <t>UK</t>
        </is>
      </c>
      <c r="E3079" s="21" t="n">
        <v>93</v>
      </c>
      <c r="F3079" s="21" t="inlineStr">
        <is>
          <t>English</t>
        </is>
      </c>
      <c r="G3079" s="21" t="inlineStr">
        <is>
          <t>G</t>
        </is>
      </c>
      <c r="H3079" s="22" t="n">
        <v>50818750</v>
      </c>
      <c r="I3079" s="22" t="n">
        <v>60000000</v>
      </c>
      <c r="J3079" s="21">
        <f>IF(OR(H3079="",H3079=25529689.5),"Yes","No")</f>
        <v/>
      </c>
      <c r="K3079" s="21">
        <f>IF(AND(D3079="USA",C3079&gt;=1980,J3079="No"),"Yes","No")</f>
        <v/>
      </c>
      <c r="L3079" s="26">
        <f>IF(J3079="Yes","",H3079-I3079)</f>
        <v/>
      </c>
      <c r="M3079" s="27">
        <f>IF(OR(J3079="Yes",I3079=0),"",H3079/I3079)</f>
        <v/>
      </c>
      <c r="N3079" s="21">
        <f>IF(J3079="Yes","",IF(H3079&gt;=I3079,1,0))</f>
        <v/>
      </c>
      <c r="O3079" s="21">
        <f>IF(I3079&lt;=5000000,"Under $5M",IF(I3079&lt;=20000000,"$5M-20M",IF(I3079&lt;=50000000,"$20M-50M",IF(I3079&lt;=100000000,"$50M-100M","$100M+"))))</f>
        <v/>
      </c>
      <c r="P3079" s="21">
        <f>IF(E3079&lt;=90,"90 or less",IF(E3079&lt;=105,"91-105",IF(E3079&lt;=120,"106-120",IF(E3079&lt;=140,"121-140","Over 140"))))</f>
        <v/>
      </c>
      <c r="Q3079" s="28">
        <f>INT(C3079/10)*10</f>
        <v/>
      </c>
    </row>
    <row r="3080">
      <c r="A3080" s="21" t="n">
        <v>3142</v>
      </c>
      <c r="B3080" s="21" t="inlineStr">
        <is>
          <t>The Wackness</t>
        </is>
      </c>
      <c r="C3080" s="21" t="n">
        <v>2008</v>
      </c>
      <c r="D3080" s="21" t="inlineStr">
        <is>
          <t>USA</t>
        </is>
      </c>
      <c r="E3080" s="21" t="n">
        <v>99</v>
      </c>
      <c r="F3080" s="21" t="inlineStr">
        <is>
          <t>English</t>
        </is>
      </c>
      <c r="G3080" s="21" t="inlineStr">
        <is>
          <t>R</t>
        </is>
      </c>
      <c r="H3080" s="22" t="n">
        <v>2077046</v>
      </c>
      <c r="I3080" s="22" t="n">
        <v>6000000</v>
      </c>
      <c r="J3080" s="21">
        <f>IF(OR(H3080="",H3080=25529689.5),"Yes","No")</f>
        <v/>
      </c>
      <c r="K3080" s="21">
        <f>IF(AND(D3080="USA",C3080&gt;=1980,J3080="No"),"Yes","No")</f>
        <v/>
      </c>
      <c r="L3080" s="26">
        <f>IF(J3080="Yes","",H3080-I3080)</f>
        <v/>
      </c>
      <c r="M3080" s="27">
        <f>IF(OR(J3080="Yes",I3080=0),"",H3080/I3080)</f>
        <v/>
      </c>
      <c r="N3080" s="21">
        <f>IF(J3080="Yes","",IF(H3080&gt;=I3080,1,0))</f>
        <v/>
      </c>
      <c r="O3080" s="21">
        <f>IF(I3080&lt;=5000000,"Under $5M",IF(I3080&lt;=20000000,"$5M-20M",IF(I3080&lt;=50000000,"$20M-50M",IF(I3080&lt;=100000000,"$50M-100M","$100M+"))))</f>
        <v/>
      </c>
      <c r="P3080" s="21">
        <f>IF(E3080&lt;=90,"90 or less",IF(E3080&lt;=105,"91-105",IF(E3080&lt;=120,"106-120",IF(E3080&lt;=140,"121-140","Over 140"))))</f>
        <v/>
      </c>
      <c r="Q3080" s="28">
        <f>INT(C3080/10)*10</f>
        <v/>
      </c>
    </row>
    <row r="3081">
      <c r="A3081" s="21" t="n">
        <v>3143</v>
      </c>
      <c r="B3081" s="21" t="inlineStr">
        <is>
          <t>The Wave</t>
        </is>
      </c>
      <c r="C3081" s="21" t="n">
        <v>2008</v>
      </c>
      <c r="D3081" s="21" t="inlineStr">
        <is>
          <t>Germany</t>
        </is>
      </c>
      <c r="E3081" s="21" t="n">
        <v>107</v>
      </c>
      <c r="F3081" s="21" t="inlineStr">
        <is>
          <t>German</t>
        </is>
      </c>
      <c r="G3081" s="21" t="n"/>
      <c r="H3081" s="22" t="n">
        <v>25529689.5</v>
      </c>
      <c r="I3081" s="22" t="n">
        <v>5000000</v>
      </c>
      <c r="J3081" s="21">
        <f>IF(OR(H3081="",H3081=25529689.5),"Yes","No")</f>
        <v/>
      </c>
      <c r="K3081" s="21">
        <f>IF(AND(D3081="USA",C3081&gt;=1980,J3081="No"),"Yes","No")</f>
        <v/>
      </c>
      <c r="L3081" s="26">
        <f>IF(J3081="Yes","",H3081-I3081)</f>
        <v/>
      </c>
      <c r="M3081" s="27">
        <f>IF(OR(J3081="Yes",I3081=0),"",H3081/I3081)</f>
        <v/>
      </c>
      <c r="N3081" s="21">
        <f>IF(J3081="Yes","",IF(H3081&gt;=I3081,1,0))</f>
        <v/>
      </c>
      <c r="O3081" s="21">
        <f>IF(I3081&lt;=5000000,"Under $5M",IF(I3081&lt;=20000000,"$5M-20M",IF(I3081&lt;=50000000,"$20M-50M",IF(I3081&lt;=100000000,"$50M-100M","$100M+"))))</f>
        <v/>
      </c>
      <c r="P3081" s="21">
        <f>IF(E3081&lt;=90,"90 or less",IF(E3081&lt;=105,"91-105",IF(E3081&lt;=120,"106-120",IF(E3081&lt;=140,"121-140","Over 140"))))</f>
        <v/>
      </c>
      <c r="Q3081" s="28">
        <f>INT(C3081/10)*10</f>
        <v/>
      </c>
    </row>
    <row r="3082">
      <c r="A3082" s="21" t="n">
        <v>3144</v>
      </c>
      <c r="B3082" s="21" t="inlineStr">
        <is>
          <t>The Women</t>
        </is>
      </c>
      <c r="C3082" s="21" t="n">
        <v>2008</v>
      </c>
      <c r="D3082" s="21" t="inlineStr">
        <is>
          <t>USA</t>
        </is>
      </c>
      <c r="E3082" s="21" t="n">
        <v>114</v>
      </c>
      <c r="F3082" s="21" t="inlineStr">
        <is>
          <t>English</t>
        </is>
      </c>
      <c r="G3082" s="21" t="inlineStr">
        <is>
          <t>PG-13</t>
        </is>
      </c>
      <c r="H3082" s="22" t="n">
        <v>26896744</v>
      </c>
      <c r="I3082" s="22" t="n">
        <v>16500000</v>
      </c>
      <c r="J3082" s="21">
        <f>IF(OR(H3082="",H3082=25529689.5),"Yes","No")</f>
        <v/>
      </c>
      <c r="K3082" s="21">
        <f>IF(AND(D3082="USA",C3082&gt;=1980,J3082="No"),"Yes","No")</f>
        <v/>
      </c>
      <c r="L3082" s="26">
        <f>IF(J3082="Yes","",H3082-I3082)</f>
        <v/>
      </c>
      <c r="M3082" s="27">
        <f>IF(OR(J3082="Yes",I3082=0),"",H3082/I3082)</f>
        <v/>
      </c>
      <c r="N3082" s="21">
        <f>IF(J3082="Yes","",IF(H3082&gt;=I3082,1,0))</f>
        <v/>
      </c>
      <c r="O3082" s="21">
        <f>IF(I3082&lt;=5000000,"Under $5M",IF(I3082&lt;=20000000,"$5M-20M",IF(I3082&lt;=50000000,"$20M-50M",IF(I3082&lt;=100000000,"$50M-100M","$100M+"))))</f>
        <v/>
      </c>
      <c r="P3082" s="21">
        <f>IF(E3082&lt;=90,"90 or less",IF(E3082&lt;=105,"91-105",IF(E3082&lt;=120,"106-120",IF(E3082&lt;=140,"121-140","Over 140"))))</f>
        <v/>
      </c>
      <c r="Q3082" s="28">
        <f>INT(C3082/10)*10</f>
        <v/>
      </c>
    </row>
    <row r="3083">
      <c r="A3083" s="21" t="n">
        <v>3145</v>
      </c>
      <c r="B3083" s="21" t="inlineStr">
        <is>
          <t>The Wrestler</t>
        </is>
      </c>
      <c r="C3083" s="21" t="n">
        <v>2008</v>
      </c>
      <c r="D3083" s="21" t="inlineStr">
        <is>
          <t>USA</t>
        </is>
      </c>
      <c r="E3083" s="21" t="n">
        <v>109</v>
      </c>
      <c r="F3083" s="21" t="inlineStr">
        <is>
          <t>English</t>
        </is>
      </c>
      <c r="G3083" s="21" t="inlineStr">
        <is>
          <t>R</t>
        </is>
      </c>
      <c r="H3083" s="22" t="n">
        <v>26236603</v>
      </c>
      <c r="I3083" s="22" t="n">
        <v>6000000</v>
      </c>
      <c r="J3083" s="21">
        <f>IF(OR(H3083="",H3083=25529689.5),"Yes","No")</f>
        <v/>
      </c>
      <c r="K3083" s="21">
        <f>IF(AND(D3083="USA",C3083&gt;=1980,J3083="No"),"Yes","No")</f>
        <v/>
      </c>
      <c r="L3083" s="26">
        <f>IF(J3083="Yes","",H3083-I3083)</f>
        <v/>
      </c>
      <c r="M3083" s="27">
        <f>IF(OR(J3083="Yes",I3083=0),"",H3083/I3083)</f>
        <v/>
      </c>
      <c r="N3083" s="21">
        <f>IF(J3083="Yes","",IF(H3083&gt;=I3083,1,0))</f>
        <v/>
      </c>
      <c r="O3083" s="21">
        <f>IF(I3083&lt;=5000000,"Under $5M",IF(I3083&lt;=20000000,"$5M-20M",IF(I3083&lt;=50000000,"$20M-50M",IF(I3083&lt;=100000000,"$50M-100M","$100M+"))))</f>
        <v/>
      </c>
      <c r="P3083" s="21">
        <f>IF(E3083&lt;=90,"90 or less",IF(E3083&lt;=105,"91-105",IF(E3083&lt;=120,"106-120",IF(E3083&lt;=140,"121-140","Over 140"))))</f>
        <v/>
      </c>
      <c r="Q3083" s="28">
        <f>INT(C3083/10)*10</f>
        <v/>
      </c>
    </row>
    <row r="3084">
      <c r="A3084" s="21" t="n">
        <v>3146</v>
      </c>
      <c r="B3084" s="21" t="inlineStr">
        <is>
          <t>The X Files: I Want to Believe</t>
        </is>
      </c>
      <c r="C3084" s="21" t="n">
        <v>2008</v>
      </c>
      <c r="D3084" s="21" t="inlineStr">
        <is>
          <t>USA</t>
        </is>
      </c>
      <c r="E3084" s="21" t="n">
        <v>108</v>
      </c>
      <c r="F3084" s="21" t="inlineStr">
        <is>
          <t>English</t>
        </is>
      </c>
      <c r="G3084" s="21" t="inlineStr">
        <is>
          <t>PG-13</t>
        </is>
      </c>
      <c r="H3084" s="22" t="n">
        <v>20981633</v>
      </c>
      <c r="I3084" s="22" t="n">
        <v>30000000</v>
      </c>
      <c r="J3084" s="21">
        <f>IF(OR(H3084="",H3084=25529689.5),"Yes","No")</f>
        <v/>
      </c>
      <c r="K3084" s="21">
        <f>IF(AND(D3084="USA",C3084&gt;=1980,J3084="No"),"Yes","No")</f>
        <v/>
      </c>
      <c r="L3084" s="26">
        <f>IF(J3084="Yes","",H3084-I3084)</f>
        <v/>
      </c>
      <c r="M3084" s="27">
        <f>IF(OR(J3084="Yes",I3084=0),"",H3084/I3084)</f>
        <v/>
      </c>
      <c r="N3084" s="21">
        <f>IF(J3084="Yes","",IF(H3084&gt;=I3084,1,0))</f>
        <v/>
      </c>
      <c r="O3084" s="21">
        <f>IF(I3084&lt;=5000000,"Under $5M",IF(I3084&lt;=20000000,"$5M-20M",IF(I3084&lt;=50000000,"$20M-50M",IF(I3084&lt;=100000000,"$50M-100M","$100M+"))))</f>
        <v/>
      </c>
      <c r="P3084" s="21">
        <f>IF(E3084&lt;=90,"90 or less",IF(E3084&lt;=105,"91-105",IF(E3084&lt;=120,"106-120",IF(E3084&lt;=140,"121-140","Over 140"))))</f>
        <v/>
      </c>
      <c r="Q3084" s="28">
        <f>INT(C3084/10)*10</f>
        <v/>
      </c>
    </row>
    <row r="3085">
      <c r="A3085" s="21" t="n">
        <v>3147</v>
      </c>
      <c r="B3085" s="21" t="inlineStr">
        <is>
          <t>The Yellow Handkerchief</t>
        </is>
      </c>
      <c r="C3085" s="21" t="n">
        <v>2008</v>
      </c>
      <c r="D3085" s="21" t="inlineStr">
        <is>
          <t>USA</t>
        </is>
      </c>
      <c r="E3085" s="21" t="n">
        <v>102</v>
      </c>
      <c r="F3085" s="21" t="inlineStr">
        <is>
          <t>English</t>
        </is>
      </c>
      <c r="G3085" s="21" t="inlineStr">
        <is>
          <t>PG-13</t>
        </is>
      </c>
      <c r="H3085" s="22" t="n">
        <v>317040</v>
      </c>
      <c r="I3085" s="22" t="n">
        <v>15500000</v>
      </c>
      <c r="J3085" s="21">
        <f>IF(OR(H3085="",H3085=25529689.5),"Yes","No")</f>
        <v/>
      </c>
      <c r="K3085" s="21">
        <f>IF(AND(D3085="USA",C3085&gt;=1980,J3085="No"),"Yes","No")</f>
        <v/>
      </c>
      <c r="L3085" s="26">
        <f>IF(J3085="Yes","",H3085-I3085)</f>
        <v/>
      </c>
      <c r="M3085" s="27">
        <f>IF(OR(J3085="Yes",I3085=0),"",H3085/I3085)</f>
        <v/>
      </c>
      <c r="N3085" s="21">
        <f>IF(J3085="Yes","",IF(H3085&gt;=I3085,1,0))</f>
        <v/>
      </c>
      <c r="O3085" s="21">
        <f>IF(I3085&lt;=5000000,"Under $5M",IF(I3085&lt;=20000000,"$5M-20M",IF(I3085&lt;=50000000,"$20M-50M",IF(I3085&lt;=100000000,"$50M-100M","$100M+"))))</f>
        <v/>
      </c>
      <c r="P3085" s="21">
        <f>IF(E3085&lt;=90,"90 or less",IF(E3085&lt;=105,"91-105",IF(E3085&lt;=120,"106-120",IF(E3085&lt;=140,"121-140","Over 140"))))</f>
        <v/>
      </c>
      <c r="Q3085" s="28">
        <f>INT(C3085/10)*10</f>
        <v/>
      </c>
    </row>
    <row r="3086">
      <c r="A3086" s="21" t="n">
        <v>3148</v>
      </c>
      <c r="B3086" s="21" t="inlineStr">
        <is>
          <t>Three Kingdoms: Resurrection of the Dragon</t>
        </is>
      </c>
      <c r="C3086" s="21" t="n">
        <v>2008</v>
      </c>
      <c r="D3086" s="21" t="inlineStr">
        <is>
          <t>China</t>
        </is>
      </c>
      <c r="E3086" s="21" t="n">
        <v>102</v>
      </c>
      <c r="F3086" s="21" t="inlineStr">
        <is>
          <t>Mandarin</t>
        </is>
      </c>
      <c r="G3086" s="21" t="inlineStr">
        <is>
          <t>R</t>
        </is>
      </c>
      <c r="H3086" s="22" t="n">
        <v>25529689.5</v>
      </c>
      <c r="I3086" s="22" t="n">
        <v>25000000</v>
      </c>
      <c r="J3086" s="21">
        <f>IF(OR(H3086="",H3086=25529689.5),"Yes","No")</f>
        <v/>
      </c>
      <c r="K3086" s="21">
        <f>IF(AND(D3086="USA",C3086&gt;=1980,J3086="No"),"Yes","No")</f>
        <v/>
      </c>
      <c r="L3086" s="26">
        <f>IF(J3086="Yes","",H3086-I3086)</f>
        <v/>
      </c>
      <c r="M3086" s="27">
        <f>IF(OR(J3086="Yes",I3086=0),"",H3086/I3086)</f>
        <v/>
      </c>
      <c r="N3086" s="21">
        <f>IF(J3086="Yes","",IF(H3086&gt;=I3086,1,0))</f>
        <v/>
      </c>
      <c r="O3086" s="21">
        <f>IF(I3086&lt;=5000000,"Under $5M",IF(I3086&lt;=20000000,"$5M-20M",IF(I3086&lt;=50000000,"$20M-50M",IF(I3086&lt;=100000000,"$50M-100M","$100M+"))))</f>
        <v/>
      </c>
      <c r="P3086" s="21">
        <f>IF(E3086&lt;=90,"90 or less",IF(E3086&lt;=105,"91-105",IF(E3086&lt;=120,"106-120",IF(E3086&lt;=140,"121-140","Over 140"))))</f>
        <v/>
      </c>
      <c r="Q3086" s="28">
        <f>INT(C3086/10)*10</f>
        <v/>
      </c>
    </row>
    <row r="3087">
      <c r="A3087" s="21" t="n">
        <v>3149</v>
      </c>
      <c r="B3087" s="21" t="inlineStr">
        <is>
          <t>Train</t>
        </is>
      </c>
      <c r="C3087" s="21" t="n">
        <v>2008</v>
      </c>
      <c r="D3087" s="21" t="inlineStr">
        <is>
          <t>USA</t>
        </is>
      </c>
      <c r="E3087" s="21" t="n">
        <v>94</v>
      </c>
      <c r="F3087" s="21" t="inlineStr">
        <is>
          <t>English</t>
        </is>
      </c>
      <c r="G3087" s="21" t="inlineStr">
        <is>
          <t>R</t>
        </is>
      </c>
      <c r="H3087" s="22" t="n">
        <v>25529689.5</v>
      </c>
      <c r="I3087" s="22" t="n">
        <v>20000000</v>
      </c>
      <c r="J3087" s="21">
        <f>IF(OR(H3087="",H3087=25529689.5),"Yes","No")</f>
        <v/>
      </c>
      <c r="K3087" s="21">
        <f>IF(AND(D3087="USA",C3087&gt;=1980,J3087="No"),"Yes","No")</f>
        <v/>
      </c>
      <c r="L3087" s="26">
        <f>IF(J3087="Yes","",H3087-I3087)</f>
        <v/>
      </c>
      <c r="M3087" s="27">
        <f>IF(OR(J3087="Yes",I3087=0),"",H3087/I3087)</f>
        <v/>
      </c>
      <c r="N3087" s="21">
        <f>IF(J3087="Yes","",IF(H3087&gt;=I3087,1,0))</f>
        <v/>
      </c>
      <c r="O3087" s="21">
        <f>IF(I3087&lt;=5000000,"Under $5M",IF(I3087&lt;=20000000,"$5M-20M",IF(I3087&lt;=50000000,"$20M-50M",IF(I3087&lt;=100000000,"$50M-100M","$100M+"))))</f>
        <v/>
      </c>
      <c r="P3087" s="21">
        <f>IF(E3087&lt;=90,"90 or less",IF(E3087&lt;=105,"91-105",IF(E3087&lt;=120,"106-120",IF(E3087&lt;=140,"121-140","Over 140"))))</f>
        <v/>
      </c>
      <c r="Q3087" s="28">
        <f>INT(C3087/10)*10</f>
        <v/>
      </c>
    </row>
    <row r="3088">
      <c r="A3088" s="21" t="n">
        <v>3150</v>
      </c>
      <c r="B3088" s="21" t="inlineStr">
        <is>
          <t>Transsiberian</t>
        </is>
      </c>
      <c r="C3088" s="21" t="n">
        <v>2008</v>
      </c>
      <c r="D3088" s="21" t="inlineStr">
        <is>
          <t>Spain</t>
        </is>
      </c>
      <c r="E3088" s="21" t="n">
        <v>111</v>
      </c>
      <c r="F3088" s="21" t="inlineStr">
        <is>
          <t>English</t>
        </is>
      </c>
      <c r="G3088" s="21" t="inlineStr">
        <is>
          <t>R</t>
        </is>
      </c>
      <c r="H3088" s="22" t="n">
        <v>2203641</v>
      </c>
      <c r="I3088" s="22" t="n">
        <v>15000000</v>
      </c>
      <c r="J3088" s="21">
        <f>IF(OR(H3088="",H3088=25529689.5),"Yes","No")</f>
        <v/>
      </c>
      <c r="K3088" s="21">
        <f>IF(AND(D3088="USA",C3088&gt;=1980,J3088="No"),"Yes","No")</f>
        <v/>
      </c>
      <c r="L3088" s="26">
        <f>IF(J3088="Yes","",H3088-I3088)</f>
        <v/>
      </c>
      <c r="M3088" s="27">
        <f>IF(OR(J3088="Yes",I3088=0),"",H3088/I3088)</f>
        <v/>
      </c>
      <c r="N3088" s="21">
        <f>IF(J3088="Yes","",IF(H3088&gt;=I3088,1,0))</f>
        <v/>
      </c>
      <c r="O3088" s="21">
        <f>IF(I3088&lt;=5000000,"Under $5M",IF(I3088&lt;=20000000,"$5M-20M",IF(I3088&lt;=50000000,"$20M-50M",IF(I3088&lt;=100000000,"$50M-100M","$100M+"))))</f>
        <v/>
      </c>
      <c r="P3088" s="21">
        <f>IF(E3088&lt;=90,"90 or less",IF(E3088&lt;=105,"91-105",IF(E3088&lt;=120,"106-120",IF(E3088&lt;=140,"121-140","Over 140"))))</f>
        <v/>
      </c>
      <c r="Q3088" s="28">
        <f>INT(C3088/10)*10</f>
        <v/>
      </c>
    </row>
    <row r="3089">
      <c r="A3089" s="21" t="n">
        <v>3151</v>
      </c>
      <c r="B3089" s="21" t="inlineStr">
        <is>
          <t>Tropic Thunder</t>
        </is>
      </c>
      <c r="C3089" s="21" t="n">
        <v>2008</v>
      </c>
      <c r="D3089" s="21" t="inlineStr">
        <is>
          <t>USA</t>
        </is>
      </c>
      <c r="E3089" s="21" t="n">
        <v>121</v>
      </c>
      <c r="F3089" s="21" t="inlineStr">
        <is>
          <t>English</t>
        </is>
      </c>
      <c r="G3089" s="21" t="inlineStr">
        <is>
          <t>R</t>
        </is>
      </c>
      <c r="H3089" s="22" t="n">
        <v>110416702</v>
      </c>
      <c r="I3089" s="22" t="n">
        <v>92000000</v>
      </c>
      <c r="J3089" s="21">
        <f>IF(OR(H3089="",H3089=25529689.5),"Yes","No")</f>
        <v/>
      </c>
      <c r="K3089" s="21">
        <f>IF(AND(D3089="USA",C3089&gt;=1980,J3089="No"),"Yes","No")</f>
        <v/>
      </c>
      <c r="L3089" s="26">
        <f>IF(J3089="Yes","",H3089-I3089)</f>
        <v/>
      </c>
      <c r="M3089" s="27">
        <f>IF(OR(J3089="Yes",I3089=0),"",H3089/I3089)</f>
        <v/>
      </c>
      <c r="N3089" s="21">
        <f>IF(J3089="Yes","",IF(H3089&gt;=I3089,1,0))</f>
        <v/>
      </c>
      <c r="O3089" s="21">
        <f>IF(I3089&lt;=5000000,"Under $5M",IF(I3089&lt;=20000000,"$5M-20M",IF(I3089&lt;=50000000,"$20M-50M",IF(I3089&lt;=100000000,"$50M-100M","$100M+"))))</f>
        <v/>
      </c>
      <c r="P3089" s="21">
        <f>IF(E3089&lt;=90,"90 or less",IF(E3089&lt;=105,"91-105",IF(E3089&lt;=120,"106-120",IF(E3089&lt;=140,"121-140","Over 140"))))</f>
        <v/>
      </c>
      <c r="Q3089" s="28">
        <f>INT(C3089/10)*10</f>
        <v/>
      </c>
    </row>
    <row r="3090">
      <c r="A3090" s="21" t="n">
        <v>3152</v>
      </c>
      <c r="B3090" s="21" t="inlineStr">
        <is>
          <t>Trucker</t>
        </is>
      </c>
      <c r="C3090" s="21" t="n">
        <v>2008</v>
      </c>
      <c r="D3090" s="21" t="inlineStr">
        <is>
          <t>USA</t>
        </is>
      </c>
      <c r="E3090" s="21" t="n">
        <v>90</v>
      </c>
      <c r="F3090" s="21" t="inlineStr">
        <is>
          <t>English</t>
        </is>
      </c>
      <c r="G3090" s="21" t="inlineStr">
        <is>
          <t>R</t>
        </is>
      </c>
      <c r="H3090" s="22" t="n">
        <v>52166</v>
      </c>
      <c r="I3090" s="22" t="n">
        <v>2000000</v>
      </c>
      <c r="J3090" s="21">
        <f>IF(OR(H3090="",H3090=25529689.5),"Yes","No")</f>
        <v/>
      </c>
      <c r="K3090" s="21">
        <f>IF(AND(D3090="USA",C3090&gt;=1980,J3090="No"),"Yes","No")</f>
        <v/>
      </c>
      <c r="L3090" s="26">
        <f>IF(J3090="Yes","",H3090-I3090)</f>
        <v/>
      </c>
      <c r="M3090" s="27">
        <f>IF(OR(J3090="Yes",I3090=0),"",H3090/I3090)</f>
        <v/>
      </c>
      <c r="N3090" s="21">
        <f>IF(J3090="Yes","",IF(H3090&gt;=I3090,1,0))</f>
        <v/>
      </c>
      <c r="O3090" s="21">
        <f>IF(I3090&lt;=5000000,"Under $5M",IF(I3090&lt;=20000000,"$5M-20M",IF(I3090&lt;=50000000,"$20M-50M",IF(I3090&lt;=100000000,"$50M-100M","$100M+"))))</f>
        <v/>
      </c>
      <c r="P3090" s="21">
        <f>IF(E3090&lt;=90,"90 or less",IF(E3090&lt;=105,"91-105",IF(E3090&lt;=120,"106-120",IF(E3090&lt;=140,"121-140","Over 140"))))</f>
        <v/>
      </c>
      <c r="Q3090" s="28">
        <f>INT(C3090/10)*10</f>
        <v/>
      </c>
    </row>
    <row r="3091">
      <c r="A3091" s="21" t="n">
        <v>3153</v>
      </c>
      <c r="B3091" s="21" t="inlineStr">
        <is>
          <t>Twilight</t>
        </is>
      </c>
      <c r="C3091" s="21" t="n">
        <v>2008</v>
      </c>
      <c r="D3091" s="21" t="inlineStr">
        <is>
          <t>USA</t>
        </is>
      </c>
      <c r="E3091" s="21" t="n">
        <v>122</v>
      </c>
      <c r="F3091" s="21" t="inlineStr">
        <is>
          <t>English</t>
        </is>
      </c>
      <c r="G3091" s="21" t="inlineStr">
        <is>
          <t>PG-13</t>
        </is>
      </c>
      <c r="H3091" s="22" t="n">
        <v>191449475</v>
      </c>
      <c r="I3091" s="22" t="n">
        <v>37000000</v>
      </c>
      <c r="J3091" s="21">
        <f>IF(OR(H3091="",H3091=25529689.5),"Yes","No")</f>
        <v/>
      </c>
      <c r="K3091" s="21">
        <f>IF(AND(D3091="USA",C3091&gt;=1980,J3091="No"),"Yes","No")</f>
        <v/>
      </c>
      <c r="L3091" s="26">
        <f>IF(J3091="Yes","",H3091-I3091)</f>
        <v/>
      </c>
      <c r="M3091" s="27">
        <f>IF(OR(J3091="Yes",I3091=0),"",H3091/I3091)</f>
        <v/>
      </c>
      <c r="N3091" s="21">
        <f>IF(J3091="Yes","",IF(H3091&gt;=I3091,1,0))</f>
        <v/>
      </c>
      <c r="O3091" s="21">
        <f>IF(I3091&lt;=5000000,"Under $5M",IF(I3091&lt;=20000000,"$5M-20M",IF(I3091&lt;=50000000,"$20M-50M",IF(I3091&lt;=100000000,"$50M-100M","$100M+"))))</f>
        <v/>
      </c>
      <c r="P3091" s="21">
        <f>IF(E3091&lt;=90,"90 or less",IF(E3091&lt;=105,"91-105",IF(E3091&lt;=120,"106-120",IF(E3091&lt;=140,"121-140","Over 140"))))</f>
        <v/>
      </c>
      <c r="Q3091" s="28">
        <f>INT(C3091/10)*10</f>
        <v/>
      </c>
    </row>
    <row r="3092">
      <c r="A3092" s="21" t="n">
        <v>3155</v>
      </c>
      <c r="B3092" s="21" t="inlineStr">
        <is>
          <t>Two Lovers</t>
        </is>
      </c>
      <c r="C3092" s="21" t="n">
        <v>2008</v>
      </c>
      <c r="D3092" s="21" t="inlineStr">
        <is>
          <t>USA</t>
        </is>
      </c>
      <c r="E3092" s="21" t="n">
        <v>110</v>
      </c>
      <c r="F3092" s="21" t="inlineStr">
        <is>
          <t>English</t>
        </is>
      </c>
      <c r="G3092" s="21" t="inlineStr">
        <is>
          <t>R</t>
        </is>
      </c>
      <c r="H3092" s="22" t="n">
        <v>3148482</v>
      </c>
      <c r="I3092" s="22" t="n">
        <v>12000000</v>
      </c>
      <c r="J3092" s="21">
        <f>IF(OR(H3092="",H3092=25529689.5),"Yes","No")</f>
        <v/>
      </c>
      <c r="K3092" s="21">
        <f>IF(AND(D3092="USA",C3092&gt;=1980,J3092="No"),"Yes","No")</f>
        <v/>
      </c>
      <c r="L3092" s="26">
        <f>IF(J3092="Yes","",H3092-I3092)</f>
        <v/>
      </c>
      <c r="M3092" s="27">
        <f>IF(OR(J3092="Yes",I3092=0),"",H3092/I3092)</f>
        <v/>
      </c>
      <c r="N3092" s="21">
        <f>IF(J3092="Yes","",IF(H3092&gt;=I3092,1,0))</f>
        <v/>
      </c>
      <c r="O3092" s="21">
        <f>IF(I3092&lt;=5000000,"Under $5M",IF(I3092&lt;=20000000,"$5M-20M",IF(I3092&lt;=50000000,"$20M-50M",IF(I3092&lt;=100000000,"$50M-100M","$100M+"))))</f>
        <v/>
      </c>
      <c r="P3092" s="21">
        <f>IF(E3092&lt;=90,"90 or less",IF(E3092&lt;=105,"91-105",IF(E3092&lt;=120,"106-120",IF(E3092&lt;=140,"121-140","Over 140"))))</f>
        <v/>
      </c>
      <c r="Q3092" s="28">
        <f>INT(C3092/10)*10</f>
        <v/>
      </c>
    </row>
    <row r="3093">
      <c r="A3093" s="21" t="n">
        <v>3156</v>
      </c>
      <c r="B3093" s="21" t="inlineStr">
        <is>
          <t>Untraceable</t>
        </is>
      </c>
      <c r="C3093" s="21" t="n">
        <v>2008</v>
      </c>
      <c r="D3093" s="21" t="inlineStr">
        <is>
          <t>USA</t>
        </is>
      </c>
      <c r="E3093" s="21" t="n">
        <v>101</v>
      </c>
      <c r="F3093" s="21" t="inlineStr">
        <is>
          <t>English</t>
        </is>
      </c>
      <c r="G3093" s="21" t="inlineStr">
        <is>
          <t>R</t>
        </is>
      </c>
      <c r="H3093" s="22" t="n">
        <v>28687835</v>
      </c>
      <c r="I3093" s="22" t="n">
        <v>35000000</v>
      </c>
      <c r="J3093" s="21">
        <f>IF(OR(H3093="",H3093=25529689.5),"Yes","No")</f>
        <v/>
      </c>
      <c r="K3093" s="21">
        <f>IF(AND(D3093="USA",C3093&gt;=1980,J3093="No"),"Yes","No")</f>
        <v/>
      </c>
      <c r="L3093" s="26">
        <f>IF(J3093="Yes","",H3093-I3093)</f>
        <v/>
      </c>
      <c r="M3093" s="27">
        <f>IF(OR(J3093="Yes",I3093=0),"",H3093/I3093)</f>
        <v/>
      </c>
      <c r="N3093" s="21">
        <f>IF(J3093="Yes","",IF(H3093&gt;=I3093,1,0))</f>
        <v/>
      </c>
      <c r="O3093" s="21">
        <f>IF(I3093&lt;=5000000,"Under $5M",IF(I3093&lt;=20000000,"$5M-20M",IF(I3093&lt;=50000000,"$20M-50M",IF(I3093&lt;=100000000,"$50M-100M","$100M+"))))</f>
        <v/>
      </c>
      <c r="P3093" s="21">
        <f>IF(E3093&lt;=90,"90 or less",IF(E3093&lt;=105,"91-105",IF(E3093&lt;=120,"106-120",IF(E3093&lt;=140,"121-140","Over 140"))))</f>
        <v/>
      </c>
      <c r="Q3093" s="28">
        <f>INT(C3093/10)*10</f>
        <v/>
      </c>
    </row>
    <row r="3094">
      <c r="A3094" s="21" t="n">
        <v>3157</v>
      </c>
      <c r="B3094" s="21" t="inlineStr">
        <is>
          <t>Valkyrie</t>
        </is>
      </c>
      <c r="C3094" s="21" t="n">
        <v>2008</v>
      </c>
      <c r="D3094" s="21" t="inlineStr">
        <is>
          <t>USA</t>
        </is>
      </c>
      <c r="E3094" s="21" t="n">
        <v>121</v>
      </c>
      <c r="F3094" s="21" t="inlineStr">
        <is>
          <t>English</t>
        </is>
      </c>
      <c r="G3094" s="21" t="inlineStr">
        <is>
          <t>PG-13</t>
        </is>
      </c>
      <c r="H3094" s="22" t="n">
        <v>83077470</v>
      </c>
      <c r="I3094" s="22" t="n">
        <v>75000000</v>
      </c>
      <c r="J3094" s="21">
        <f>IF(OR(H3094="",H3094=25529689.5),"Yes","No")</f>
        <v/>
      </c>
      <c r="K3094" s="21">
        <f>IF(AND(D3094="USA",C3094&gt;=1980,J3094="No"),"Yes","No")</f>
        <v/>
      </c>
      <c r="L3094" s="26">
        <f>IF(J3094="Yes","",H3094-I3094)</f>
        <v/>
      </c>
      <c r="M3094" s="27">
        <f>IF(OR(J3094="Yes",I3094=0),"",H3094/I3094)</f>
        <v/>
      </c>
      <c r="N3094" s="21">
        <f>IF(J3094="Yes","",IF(H3094&gt;=I3094,1,0))</f>
        <v/>
      </c>
      <c r="O3094" s="21">
        <f>IF(I3094&lt;=5000000,"Under $5M",IF(I3094&lt;=20000000,"$5M-20M",IF(I3094&lt;=50000000,"$20M-50M",IF(I3094&lt;=100000000,"$50M-100M","$100M+"))))</f>
        <v/>
      </c>
      <c r="P3094" s="21">
        <f>IF(E3094&lt;=90,"90 or less",IF(E3094&lt;=105,"91-105",IF(E3094&lt;=120,"106-120",IF(E3094&lt;=140,"121-140","Over 140"))))</f>
        <v/>
      </c>
      <c r="Q3094" s="28">
        <f>INT(C3094/10)*10</f>
        <v/>
      </c>
    </row>
    <row r="3095">
      <c r="A3095" s="21" t="n">
        <v>3158</v>
      </c>
      <c r="B3095" s="21" t="inlineStr">
        <is>
          <t>Vantage Point</t>
        </is>
      </c>
      <c r="C3095" s="21" t="n">
        <v>2008</v>
      </c>
      <c r="D3095" s="21" t="inlineStr">
        <is>
          <t>USA</t>
        </is>
      </c>
      <c r="E3095" s="21" t="n">
        <v>90</v>
      </c>
      <c r="F3095" s="21" t="inlineStr">
        <is>
          <t>English</t>
        </is>
      </c>
      <c r="G3095" s="21" t="inlineStr">
        <is>
          <t>PG-13</t>
        </is>
      </c>
      <c r="H3095" s="22" t="n">
        <v>72266306</v>
      </c>
      <c r="I3095" s="22" t="n">
        <v>40000000</v>
      </c>
      <c r="J3095" s="21">
        <f>IF(OR(H3095="",H3095=25529689.5),"Yes","No")</f>
        <v/>
      </c>
      <c r="K3095" s="21">
        <f>IF(AND(D3095="USA",C3095&gt;=1980,J3095="No"),"Yes","No")</f>
        <v/>
      </c>
      <c r="L3095" s="26">
        <f>IF(J3095="Yes","",H3095-I3095)</f>
        <v/>
      </c>
      <c r="M3095" s="27">
        <f>IF(OR(J3095="Yes",I3095=0),"",H3095/I3095)</f>
        <v/>
      </c>
      <c r="N3095" s="21">
        <f>IF(J3095="Yes","",IF(H3095&gt;=I3095,1,0))</f>
        <v/>
      </c>
      <c r="O3095" s="21">
        <f>IF(I3095&lt;=5000000,"Under $5M",IF(I3095&lt;=20000000,"$5M-20M",IF(I3095&lt;=50000000,"$20M-50M",IF(I3095&lt;=100000000,"$50M-100M","$100M+"))))</f>
        <v/>
      </c>
      <c r="P3095" s="21">
        <f>IF(E3095&lt;=90,"90 or less",IF(E3095&lt;=105,"91-105",IF(E3095&lt;=120,"106-120",IF(E3095&lt;=140,"121-140","Over 140"))))</f>
        <v/>
      </c>
      <c r="Q3095" s="28">
        <f>INT(C3095/10)*10</f>
        <v/>
      </c>
    </row>
    <row r="3096">
      <c r="A3096" s="21" t="n">
        <v>3159</v>
      </c>
      <c r="B3096" s="21" t="inlineStr">
        <is>
          <t>Vicky Cristina Barcelona</t>
        </is>
      </c>
      <c r="C3096" s="21" t="n">
        <v>2008</v>
      </c>
      <c r="D3096" s="21" t="inlineStr">
        <is>
          <t>Spain</t>
        </is>
      </c>
      <c r="E3096" s="21" t="n">
        <v>96</v>
      </c>
      <c r="F3096" s="21" t="inlineStr">
        <is>
          <t>English</t>
        </is>
      </c>
      <c r="G3096" s="21" t="inlineStr">
        <is>
          <t>PG-13</t>
        </is>
      </c>
      <c r="H3096" s="22" t="n">
        <v>23213577</v>
      </c>
      <c r="I3096" s="22" t="n">
        <v>15500000</v>
      </c>
      <c r="J3096" s="21">
        <f>IF(OR(H3096="",H3096=25529689.5),"Yes","No")</f>
        <v/>
      </c>
      <c r="K3096" s="21">
        <f>IF(AND(D3096="USA",C3096&gt;=1980,J3096="No"),"Yes","No")</f>
        <v/>
      </c>
      <c r="L3096" s="26">
        <f>IF(J3096="Yes","",H3096-I3096)</f>
        <v/>
      </c>
      <c r="M3096" s="27">
        <f>IF(OR(J3096="Yes",I3096=0),"",H3096/I3096)</f>
        <v/>
      </c>
      <c r="N3096" s="21">
        <f>IF(J3096="Yes","",IF(H3096&gt;=I3096,1,0))</f>
        <v/>
      </c>
      <c r="O3096" s="21">
        <f>IF(I3096&lt;=5000000,"Under $5M",IF(I3096&lt;=20000000,"$5M-20M",IF(I3096&lt;=50000000,"$20M-50M",IF(I3096&lt;=100000000,"$50M-100M","$100M+"))))</f>
        <v/>
      </c>
      <c r="P3096" s="21">
        <f>IF(E3096&lt;=90,"90 or less",IF(E3096&lt;=105,"91-105",IF(E3096&lt;=120,"106-120",IF(E3096&lt;=140,"121-140","Over 140"))))</f>
        <v/>
      </c>
      <c r="Q3096" s="28">
        <f>INT(C3096/10)*10</f>
        <v/>
      </c>
    </row>
    <row r="3097">
      <c r="A3097" s="21" t="n">
        <v>3160</v>
      </c>
      <c r="B3097" s="21" t="inlineStr">
        <is>
          <t>W.</t>
        </is>
      </c>
      <c r="C3097" s="21" t="n">
        <v>2008</v>
      </c>
      <c r="D3097" s="21" t="inlineStr">
        <is>
          <t>USA</t>
        </is>
      </c>
      <c r="E3097" s="21" t="n">
        <v>129</v>
      </c>
      <c r="F3097" s="21" t="inlineStr">
        <is>
          <t>English</t>
        </is>
      </c>
      <c r="G3097" s="21" t="inlineStr">
        <is>
          <t>PG-13</t>
        </is>
      </c>
      <c r="H3097" s="22" t="n">
        <v>25517500</v>
      </c>
      <c r="I3097" s="22" t="n">
        <v>25100000</v>
      </c>
      <c r="J3097" s="21">
        <f>IF(OR(H3097="",H3097=25529689.5),"Yes","No")</f>
        <v/>
      </c>
      <c r="K3097" s="21">
        <f>IF(AND(D3097="USA",C3097&gt;=1980,J3097="No"),"Yes","No")</f>
        <v/>
      </c>
      <c r="L3097" s="26">
        <f>IF(J3097="Yes","",H3097-I3097)</f>
        <v/>
      </c>
      <c r="M3097" s="27">
        <f>IF(OR(J3097="Yes",I3097=0),"",H3097/I3097)</f>
        <v/>
      </c>
      <c r="N3097" s="21">
        <f>IF(J3097="Yes","",IF(H3097&gt;=I3097,1,0))</f>
        <v/>
      </c>
      <c r="O3097" s="21">
        <f>IF(I3097&lt;=5000000,"Under $5M",IF(I3097&lt;=20000000,"$5M-20M",IF(I3097&lt;=50000000,"$20M-50M",IF(I3097&lt;=100000000,"$50M-100M","$100M+"))))</f>
        <v/>
      </c>
      <c r="P3097" s="21">
        <f>IF(E3097&lt;=90,"90 or less",IF(E3097&lt;=105,"91-105",IF(E3097&lt;=120,"106-120",IF(E3097&lt;=140,"121-140","Over 140"))))</f>
        <v/>
      </c>
      <c r="Q3097" s="28">
        <f>INT(C3097/10)*10</f>
        <v/>
      </c>
    </row>
    <row r="3098">
      <c r="A3098" s="21" t="n">
        <v>3161</v>
      </c>
      <c r="B3098" s="21" t="inlineStr">
        <is>
          <t>WALLÂ·E</t>
        </is>
      </c>
      <c r="C3098" s="21" t="n">
        <v>2008</v>
      </c>
      <c r="D3098" s="21" t="inlineStr">
        <is>
          <t>USA</t>
        </is>
      </c>
      <c r="E3098" s="21" t="n">
        <v>98</v>
      </c>
      <c r="F3098" s="21" t="inlineStr">
        <is>
          <t>English</t>
        </is>
      </c>
      <c r="G3098" s="21" t="inlineStr">
        <is>
          <t>G</t>
        </is>
      </c>
      <c r="H3098" s="22" t="n">
        <v>223806889</v>
      </c>
      <c r="I3098" s="22" t="n">
        <v>180000000</v>
      </c>
      <c r="J3098" s="21">
        <f>IF(OR(H3098="",H3098=25529689.5),"Yes","No")</f>
        <v/>
      </c>
      <c r="K3098" s="21">
        <f>IF(AND(D3098="USA",C3098&gt;=1980,J3098="No"),"Yes","No")</f>
        <v/>
      </c>
      <c r="L3098" s="26">
        <f>IF(J3098="Yes","",H3098-I3098)</f>
        <v/>
      </c>
      <c r="M3098" s="27">
        <f>IF(OR(J3098="Yes",I3098=0),"",H3098/I3098)</f>
        <v/>
      </c>
      <c r="N3098" s="21">
        <f>IF(J3098="Yes","",IF(H3098&gt;=I3098,1,0))</f>
        <v/>
      </c>
      <c r="O3098" s="21">
        <f>IF(I3098&lt;=5000000,"Under $5M",IF(I3098&lt;=20000000,"$5M-20M",IF(I3098&lt;=50000000,"$20M-50M",IF(I3098&lt;=100000000,"$50M-100M","$100M+"))))</f>
        <v/>
      </c>
      <c r="P3098" s="21">
        <f>IF(E3098&lt;=90,"90 or less",IF(E3098&lt;=105,"91-105",IF(E3098&lt;=120,"106-120",IF(E3098&lt;=140,"121-140","Over 140"))))</f>
        <v/>
      </c>
      <c r="Q3098" s="28">
        <f>INT(C3098/10)*10</f>
        <v/>
      </c>
    </row>
    <row r="3099">
      <c r="A3099" s="21" t="n">
        <v>3162</v>
      </c>
      <c r="B3099" s="21" t="inlineStr">
        <is>
          <t>Waltz with Bashir</t>
        </is>
      </c>
      <c r="C3099" s="21" t="n">
        <v>2008</v>
      </c>
      <c r="D3099" s="21" t="inlineStr">
        <is>
          <t>Israel</t>
        </is>
      </c>
      <c r="E3099" s="21" t="n">
        <v>90</v>
      </c>
      <c r="F3099" s="21" t="inlineStr">
        <is>
          <t>Hebrew</t>
        </is>
      </c>
      <c r="G3099" s="21" t="inlineStr">
        <is>
          <t>R</t>
        </is>
      </c>
      <c r="H3099" s="22" t="n">
        <v>2283276</v>
      </c>
      <c r="I3099" s="22" t="n">
        <v>1500000</v>
      </c>
      <c r="J3099" s="21">
        <f>IF(OR(H3099="",H3099=25529689.5),"Yes","No")</f>
        <v/>
      </c>
      <c r="K3099" s="21">
        <f>IF(AND(D3099="USA",C3099&gt;=1980,J3099="No"),"Yes","No")</f>
        <v/>
      </c>
      <c r="L3099" s="26">
        <f>IF(J3099="Yes","",H3099-I3099)</f>
        <v/>
      </c>
      <c r="M3099" s="27">
        <f>IF(OR(J3099="Yes",I3099=0),"",H3099/I3099)</f>
        <v/>
      </c>
      <c r="N3099" s="21">
        <f>IF(J3099="Yes","",IF(H3099&gt;=I3099,1,0))</f>
        <v/>
      </c>
      <c r="O3099" s="21">
        <f>IF(I3099&lt;=5000000,"Under $5M",IF(I3099&lt;=20000000,"$5M-20M",IF(I3099&lt;=50000000,"$20M-50M",IF(I3099&lt;=100000000,"$50M-100M","$100M+"))))</f>
        <v/>
      </c>
      <c r="P3099" s="21">
        <f>IF(E3099&lt;=90,"90 or less",IF(E3099&lt;=105,"91-105",IF(E3099&lt;=120,"106-120",IF(E3099&lt;=140,"121-140","Over 140"))))</f>
        <v/>
      </c>
      <c r="Q3099" s="28">
        <f>INT(C3099/10)*10</f>
        <v/>
      </c>
    </row>
    <row r="3100">
      <c r="A3100" s="21" t="n">
        <v>3163</v>
      </c>
      <c r="B3100" s="21" t="inlineStr">
        <is>
          <t>Wanted</t>
        </is>
      </c>
      <c r="C3100" s="21" t="n">
        <v>2008</v>
      </c>
      <c r="D3100" s="21" t="inlineStr">
        <is>
          <t>USA</t>
        </is>
      </c>
      <c r="E3100" s="21" t="n">
        <v>110</v>
      </c>
      <c r="F3100" s="21" t="inlineStr">
        <is>
          <t>English</t>
        </is>
      </c>
      <c r="G3100" s="21" t="inlineStr">
        <is>
          <t>R</t>
        </is>
      </c>
      <c r="H3100" s="22" t="n">
        <v>134568845</v>
      </c>
      <c r="I3100" s="22" t="n">
        <v>75000000</v>
      </c>
      <c r="J3100" s="21">
        <f>IF(OR(H3100="",H3100=25529689.5),"Yes","No")</f>
        <v/>
      </c>
      <c r="K3100" s="21">
        <f>IF(AND(D3100="USA",C3100&gt;=1980,J3100="No"),"Yes","No")</f>
        <v/>
      </c>
      <c r="L3100" s="26">
        <f>IF(J3100="Yes","",H3100-I3100)</f>
        <v/>
      </c>
      <c r="M3100" s="27">
        <f>IF(OR(J3100="Yes",I3100=0),"",H3100/I3100)</f>
        <v/>
      </c>
      <c r="N3100" s="21">
        <f>IF(J3100="Yes","",IF(H3100&gt;=I3100,1,0))</f>
        <v/>
      </c>
      <c r="O3100" s="21">
        <f>IF(I3100&lt;=5000000,"Under $5M",IF(I3100&lt;=20000000,"$5M-20M",IF(I3100&lt;=50000000,"$20M-50M",IF(I3100&lt;=100000000,"$50M-100M","$100M+"))))</f>
        <v/>
      </c>
      <c r="P3100" s="21">
        <f>IF(E3100&lt;=90,"90 or less",IF(E3100&lt;=105,"91-105",IF(E3100&lt;=120,"106-120",IF(E3100&lt;=140,"121-140","Over 140"))))</f>
        <v/>
      </c>
      <c r="Q3100" s="28">
        <f>INT(C3100/10)*10</f>
        <v/>
      </c>
    </row>
    <row r="3101">
      <c r="A3101" s="21" t="n">
        <v>3164</v>
      </c>
      <c r="B3101" s="21" t="inlineStr">
        <is>
          <t>War, Inc.</t>
        </is>
      </c>
      <c r="C3101" s="21" t="n">
        <v>2008</v>
      </c>
      <c r="D3101" s="21" t="inlineStr">
        <is>
          <t>USA</t>
        </is>
      </c>
      <c r="E3101" s="21" t="n">
        <v>107</v>
      </c>
      <c r="F3101" s="21" t="inlineStr">
        <is>
          <t>English</t>
        </is>
      </c>
      <c r="G3101" s="21" t="inlineStr">
        <is>
          <t>R</t>
        </is>
      </c>
      <c r="H3101" s="22" t="n">
        <v>578527</v>
      </c>
      <c r="I3101" s="22" t="n">
        <v>10000000</v>
      </c>
      <c r="J3101" s="21">
        <f>IF(OR(H3101="",H3101=25529689.5),"Yes","No")</f>
        <v/>
      </c>
      <c r="K3101" s="21">
        <f>IF(AND(D3101="USA",C3101&gt;=1980,J3101="No"),"Yes","No")</f>
        <v/>
      </c>
      <c r="L3101" s="26">
        <f>IF(J3101="Yes","",H3101-I3101)</f>
        <v/>
      </c>
      <c r="M3101" s="27">
        <f>IF(OR(J3101="Yes",I3101=0),"",H3101/I3101)</f>
        <v/>
      </c>
      <c r="N3101" s="21">
        <f>IF(J3101="Yes","",IF(H3101&gt;=I3101,1,0))</f>
        <v/>
      </c>
      <c r="O3101" s="21">
        <f>IF(I3101&lt;=5000000,"Under $5M",IF(I3101&lt;=20000000,"$5M-20M",IF(I3101&lt;=50000000,"$20M-50M",IF(I3101&lt;=100000000,"$50M-100M","$100M+"))))</f>
        <v/>
      </c>
      <c r="P3101" s="21">
        <f>IF(E3101&lt;=90,"90 or less",IF(E3101&lt;=105,"91-105",IF(E3101&lt;=120,"106-120",IF(E3101&lt;=140,"121-140","Over 140"))))</f>
        <v/>
      </c>
      <c r="Q3101" s="28">
        <f>INT(C3101/10)*10</f>
        <v/>
      </c>
    </row>
    <row r="3102">
      <c r="A3102" s="21" t="n">
        <v>3165</v>
      </c>
      <c r="B3102" s="21" t="inlineStr">
        <is>
          <t>Welcome Home, Roscoe Jenkins</t>
        </is>
      </c>
      <c r="C3102" s="21" t="n">
        <v>2008</v>
      </c>
      <c r="D3102" s="21" t="inlineStr">
        <is>
          <t>USA</t>
        </is>
      </c>
      <c r="E3102" s="21" t="n">
        <v>114</v>
      </c>
      <c r="F3102" s="21" t="inlineStr">
        <is>
          <t>English</t>
        </is>
      </c>
      <c r="G3102" s="21" t="inlineStr">
        <is>
          <t>PG-13</t>
        </is>
      </c>
      <c r="H3102" s="22" t="n">
        <v>42168445</v>
      </c>
      <c r="I3102" s="22" t="n">
        <v>35000000</v>
      </c>
      <c r="J3102" s="21">
        <f>IF(OR(H3102="",H3102=25529689.5),"Yes","No")</f>
        <v/>
      </c>
      <c r="K3102" s="21">
        <f>IF(AND(D3102="USA",C3102&gt;=1980,J3102="No"),"Yes","No")</f>
        <v/>
      </c>
      <c r="L3102" s="26">
        <f>IF(J3102="Yes","",H3102-I3102)</f>
        <v/>
      </c>
      <c r="M3102" s="27">
        <f>IF(OR(J3102="Yes",I3102=0),"",H3102/I3102)</f>
        <v/>
      </c>
      <c r="N3102" s="21">
        <f>IF(J3102="Yes","",IF(H3102&gt;=I3102,1,0))</f>
        <v/>
      </c>
      <c r="O3102" s="21">
        <f>IF(I3102&lt;=5000000,"Under $5M",IF(I3102&lt;=20000000,"$5M-20M",IF(I3102&lt;=50000000,"$20M-50M",IF(I3102&lt;=100000000,"$50M-100M","$100M+"))))</f>
        <v/>
      </c>
      <c r="P3102" s="21">
        <f>IF(E3102&lt;=90,"90 or less",IF(E3102&lt;=105,"91-105",IF(E3102&lt;=120,"106-120",IF(E3102&lt;=140,"121-140","Over 140"))))</f>
        <v/>
      </c>
      <c r="Q3102" s="28">
        <f>INT(C3102/10)*10</f>
        <v/>
      </c>
    </row>
    <row r="3103">
      <c r="A3103" s="21" t="n">
        <v>3166</v>
      </c>
      <c r="B3103" s="21" t="inlineStr">
        <is>
          <t>Welcome to the Sticks</t>
        </is>
      </c>
      <c r="C3103" s="21" t="n">
        <v>2008</v>
      </c>
      <c r="D3103" s="21" t="inlineStr">
        <is>
          <t>France</t>
        </is>
      </c>
      <c r="E3103" s="21" t="n">
        <v>106</v>
      </c>
      <c r="F3103" s="21" t="inlineStr">
        <is>
          <t>French</t>
        </is>
      </c>
      <c r="G3103" s="21" t="n"/>
      <c r="H3103" s="22" t="n">
        <v>25529689.5</v>
      </c>
      <c r="I3103" s="22" t="n">
        <v>11000000</v>
      </c>
      <c r="J3103" s="21">
        <f>IF(OR(H3103="",H3103=25529689.5),"Yes","No")</f>
        <v/>
      </c>
      <c r="K3103" s="21">
        <f>IF(AND(D3103="USA",C3103&gt;=1980,J3103="No"),"Yes","No")</f>
        <v/>
      </c>
      <c r="L3103" s="26">
        <f>IF(J3103="Yes","",H3103-I3103)</f>
        <v/>
      </c>
      <c r="M3103" s="27">
        <f>IF(OR(J3103="Yes",I3103=0),"",H3103/I3103)</f>
        <v/>
      </c>
      <c r="N3103" s="21">
        <f>IF(J3103="Yes","",IF(H3103&gt;=I3103,1,0))</f>
        <v/>
      </c>
      <c r="O3103" s="21">
        <f>IF(I3103&lt;=5000000,"Under $5M",IF(I3103&lt;=20000000,"$5M-20M",IF(I3103&lt;=50000000,"$20M-50M",IF(I3103&lt;=100000000,"$50M-100M","$100M+"))))</f>
        <v/>
      </c>
      <c r="P3103" s="21">
        <f>IF(E3103&lt;=90,"90 or less",IF(E3103&lt;=105,"91-105",IF(E3103&lt;=120,"106-120",IF(E3103&lt;=140,"121-140","Over 140"))))</f>
        <v/>
      </c>
      <c r="Q3103" s="28">
        <f>INT(C3103/10)*10</f>
        <v/>
      </c>
    </row>
    <row r="3104">
      <c r="A3104" s="21" t="n">
        <v>3167</v>
      </c>
      <c r="B3104" s="21" t="inlineStr">
        <is>
          <t>Wendy and Lucy</t>
        </is>
      </c>
      <c r="C3104" s="21" t="n">
        <v>2008</v>
      </c>
      <c r="D3104" s="21" t="inlineStr">
        <is>
          <t>USA</t>
        </is>
      </c>
      <c r="E3104" s="21" t="n">
        <v>80</v>
      </c>
      <c r="F3104" s="21" t="inlineStr">
        <is>
          <t>English</t>
        </is>
      </c>
      <c r="G3104" s="21" t="inlineStr">
        <is>
          <t>R</t>
        </is>
      </c>
      <c r="H3104" s="22" t="n">
        <v>856942</v>
      </c>
      <c r="I3104" s="22" t="n">
        <v>200000</v>
      </c>
      <c r="J3104" s="21">
        <f>IF(OR(H3104="",H3104=25529689.5),"Yes","No")</f>
        <v/>
      </c>
      <c r="K3104" s="21">
        <f>IF(AND(D3104="USA",C3104&gt;=1980,J3104="No"),"Yes","No")</f>
        <v/>
      </c>
      <c r="L3104" s="26">
        <f>IF(J3104="Yes","",H3104-I3104)</f>
        <v/>
      </c>
      <c r="M3104" s="27">
        <f>IF(OR(J3104="Yes",I3104=0),"",H3104/I3104)</f>
        <v/>
      </c>
      <c r="N3104" s="21">
        <f>IF(J3104="Yes","",IF(H3104&gt;=I3104,1,0))</f>
        <v/>
      </c>
      <c r="O3104" s="21">
        <f>IF(I3104&lt;=5000000,"Under $5M",IF(I3104&lt;=20000000,"$5M-20M",IF(I3104&lt;=50000000,"$20M-50M",IF(I3104&lt;=100000000,"$50M-100M","$100M+"))))</f>
        <v/>
      </c>
      <c r="P3104" s="21">
        <f>IF(E3104&lt;=90,"90 or less",IF(E3104&lt;=105,"91-105",IF(E3104&lt;=120,"106-120",IF(E3104&lt;=140,"121-140","Over 140"))))</f>
        <v/>
      </c>
      <c r="Q3104" s="28">
        <f>INT(C3104/10)*10</f>
        <v/>
      </c>
    </row>
    <row r="3105">
      <c r="A3105" s="21" t="n">
        <v>3168</v>
      </c>
      <c r="B3105" s="21" t="inlineStr">
        <is>
          <t>What Happens in Vegas</t>
        </is>
      </c>
      <c r="C3105" s="21" t="n">
        <v>2008</v>
      </c>
      <c r="D3105" s="21" t="inlineStr">
        <is>
          <t>USA</t>
        </is>
      </c>
      <c r="E3105" s="21" t="n">
        <v>101</v>
      </c>
      <c r="F3105" s="21" t="inlineStr">
        <is>
          <t>English</t>
        </is>
      </c>
      <c r="G3105" s="21" t="inlineStr">
        <is>
          <t>PG-13</t>
        </is>
      </c>
      <c r="H3105" s="22" t="n">
        <v>80276912</v>
      </c>
      <c r="I3105" s="22" t="n">
        <v>35000000</v>
      </c>
      <c r="J3105" s="21">
        <f>IF(OR(H3105="",H3105=25529689.5),"Yes","No")</f>
        <v/>
      </c>
      <c r="K3105" s="21">
        <f>IF(AND(D3105="USA",C3105&gt;=1980,J3105="No"),"Yes","No")</f>
        <v/>
      </c>
      <c r="L3105" s="26">
        <f>IF(J3105="Yes","",H3105-I3105)</f>
        <v/>
      </c>
      <c r="M3105" s="27">
        <f>IF(OR(J3105="Yes",I3105=0),"",H3105/I3105)</f>
        <v/>
      </c>
      <c r="N3105" s="21">
        <f>IF(J3105="Yes","",IF(H3105&gt;=I3105,1,0))</f>
        <v/>
      </c>
      <c r="O3105" s="21">
        <f>IF(I3105&lt;=5000000,"Under $5M",IF(I3105&lt;=20000000,"$5M-20M",IF(I3105&lt;=50000000,"$20M-50M",IF(I3105&lt;=100000000,"$50M-100M","$100M+"))))</f>
        <v/>
      </c>
      <c r="P3105" s="21">
        <f>IF(E3105&lt;=90,"90 or less",IF(E3105&lt;=105,"91-105",IF(E3105&lt;=120,"106-120",IF(E3105&lt;=140,"121-140","Over 140"))))</f>
        <v/>
      </c>
      <c r="Q3105" s="28">
        <f>INT(C3105/10)*10</f>
        <v/>
      </c>
    </row>
    <row r="3106">
      <c r="A3106" s="21" t="n">
        <v>3169</v>
      </c>
      <c r="B3106" s="21" t="inlineStr">
        <is>
          <t>What Just Happened</t>
        </is>
      </c>
      <c r="C3106" s="21" t="n">
        <v>2008</v>
      </c>
      <c r="D3106" s="21" t="inlineStr">
        <is>
          <t>USA</t>
        </is>
      </c>
      <c r="E3106" s="21" t="n">
        <v>104</v>
      </c>
      <c r="F3106" s="21" t="inlineStr">
        <is>
          <t>English</t>
        </is>
      </c>
      <c r="G3106" s="21" t="inlineStr">
        <is>
          <t>R</t>
        </is>
      </c>
      <c r="H3106" s="22" t="n">
        <v>1089365</v>
      </c>
      <c r="I3106" s="22" t="n">
        <v>25000000</v>
      </c>
      <c r="J3106" s="21">
        <f>IF(OR(H3106="",H3106=25529689.5),"Yes","No")</f>
        <v/>
      </c>
      <c r="K3106" s="21">
        <f>IF(AND(D3106="USA",C3106&gt;=1980,J3106="No"),"Yes","No")</f>
        <v/>
      </c>
      <c r="L3106" s="26">
        <f>IF(J3106="Yes","",H3106-I3106)</f>
        <v/>
      </c>
      <c r="M3106" s="27">
        <f>IF(OR(J3106="Yes",I3106=0),"",H3106/I3106)</f>
        <v/>
      </c>
      <c r="N3106" s="21">
        <f>IF(J3106="Yes","",IF(H3106&gt;=I3106,1,0))</f>
        <v/>
      </c>
      <c r="O3106" s="21">
        <f>IF(I3106&lt;=5000000,"Under $5M",IF(I3106&lt;=20000000,"$5M-20M",IF(I3106&lt;=50000000,"$20M-50M",IF(I3106&lt;=100000000,"$50M-100M","$100M+"))))</f>
        <v/>
      </c>
      <c r="P3106" s="21">
        <f>IF(E3106&lt;=90,"90 or less",IF(E3106&lt;=105,"91-105",IF(E3106&lt;=120,"106-120",IF(E3106&lt;=140,"121-140","Over 140"))))</f>
        <v/>
      </c>
      <c r="Q3106" s="28">
        <f>INT(C3106/10)*10</f>
        <v/>
      </c>
    </row>
    <row r="3107">
      <c r="A3107" s="21" t="n">
        <v>3170</v>
      </c>
      <c r="B3107" s="21" t="inlineStr">
        <is>
          <t>Winter in Wartime</t>
        </is>
      </c>
      <c r="C3107" s="21" t="n">
        <v>2008</v>
      </c>
      <c r="D3107" s="21" t="inlineStr">
        <is>
          <t>Netherlands</t>
        </is>
      </c>
      <c r="E3107" s="21" t="n">
        <v>103</v>
      </c>
      <c r="F3107" s="21" t="inlineStr">
        <is>
          <t>Dutch</t>
        </is>
      </c>
      <c r="G3107" s="21" t="inlineStr">
        <is>
          <t>R</t>
        </is>
      </c>
      <c r="H3107" s="22" t="n">
        <v>542860</v>
      </c>
      <c r="I3107" s="22" t="n">
        <v>4000000</v>
      </c>
      <c r="J3107" s="21">
        <f>IF(OR(H3107="",H3107=25529689.5),"Yes","No")</f>
        <v/>
      </c>
      <c r="K3107" s="21">
        <f>IF(AND(D3107="USA",C3107&gt;=1980,J3107="No"),"Yes","No")</f>
        <v/>
      </c>
      <c r="L3107" s="26">
        <f>IF(J3107="Yes","",H3107-I3107)</f>
        <v/>
      </c>
      <c r="M3107" s="27">
        <f>IF(OR(J3107="Yes",I3107=0),"",H3107/I3107)</f>
        <v/>
      </c>
      <c r="N3107" s="21">
        <f>IF(J3107="Yes","",IF(H3107&gt;=I3107,1,0))</f>
        <v/>
      </c>
      <c r="O3107" s="21">
        <f>IF(I3107&lt;=5000000,"Under $5M",IF(I3107&lt;=20000000,"$5M-20M",IF(I3107&lt;=50000000,"$20M-50M",IF(I3107&lt;=100000000,"$50M-100M","$100M+"))))</f>
        <v/>
      </c>
      <c r="P3107" s="21">
        <f>IF(E3107&lt;=90,"90 or less",IF(E3107&lt;=105,"91-105",IF(E3107&lt;=120,"106-120",IF(E3107&lt;=140,"121-140","Over 140"))))</f>
        <v/>
      </c>
      <c r="Q3107" s="28">
        <f>INT(C3107/10)*10</f>
        <v/>
      </c>
    </row>
    <row r="3108">
      <c r="A3108" s="21" t="n">
        <v>3171</v>
      </c>
      <c r="B3108" s="21" t="inlineStr">
        <is>
          <t>Witless Protection</t>
        </is>
      </c>
      <c r="C3108" s="21" t="n">
        <v>2008</v>
      </c>
      <c r="D3108" s="21" t="inlineStr">
        <is>
          <t>USA</t>
        </is>
      </c>
      <c r="E3108" s="21" t="n">
        <v>97</v>
      </c>
      <c r="F3108" s="21" t="inlineStr">
        <is>
          <t>English</t>
        </is>
      </c>
      <c r="G3108" s="21" t="inlineStr">
        <is>
          <t>PG-13</t>
        </is>
      </c>
      <c r="H3108" s="22" t="n">
        <v>4131640</v>
      </c>
      <c r="I3108" s="22" t="n">
        <v>7500000</v>
      </c>
      <c r="J3108" s="21">
        <f>IF(OR(H3108="",H3108=25529689.5),"Yes","No")</f>
        <v/>
      </c>
      <c r="K3108" s="21">
        <f>IF(AND(D3108="USA",C3108&gt;=1980,J3108="No"),"Yes","No")</f>
        <v/>
      </c>
      <c r="L3108" s="26">
        <f>IF(J3108="Yes","",H3108-I3108)</f>
        <v/>
      </c>
      <c r="M3108" s="27">
        <f>IF(OR(J3108="Yes",I3108=0),"",H3108/I3108)</f>
        <v/>
      </c>
      <c r="N3108" s="21">
        <f>IF(J3108="Yes","",IF(H3108&gt;=I3108,1,0))</f>
        <v/>
      </c>
      <c r="O3108" s="21">
        <f>IF(I3108&lt;=5000000,"Under $5M",IF(I3108&lt;=20000000,"$5M-20M",IF(I3108&lt;=50000000,"$20M-50M",IF(I3108&lt;=100000000,"$50M-100M","$100M+"))))</f>
        <v/>
      </c>
      <c r="P3108" s="21">
        <f>IF(E3108&lt;=90,"90 or less",IF(E3108&lt;=105,"91-105",IF(E3108&lt;=120,"106-120",IF(E3108&lt;=140,"121-140","Over 140"))))</f>
        <v/>
      </c>
      <c r="Q3108" s="28">
        <f>INT(C3108/10)*10</f>
        <v/>
      </c>
    </row>
    <row r="3109">
      <c r="A3109" s="21" t="n">
        <v>3172</v>
      </c>
      <c r="B3109" s="21" t="inlineStr">
        <is>
          <t>Yes Man</t>
        </is>
      </c>
      <c r="C3109" s="21" t="n">
        <v>2008</v>
      </c>
      <c r="D3109" s="21" t="inlineStr">
        <is>
          <t>USA</t>
        </is>
      </c>
      <c r="E3109" s="21" t="n">
        <v>104</v>
      </c>
      <c r="F3109" s="21" t="inlineStr">
        <is>
          <t>English</t>
        </is>
      </c>
      <c r="G3109" s="21" t="inlineStr">
        <is>
          <t>PG-13</t>
        </is>
      </c>
      <c r="H3109" s="22" t="n">
        <v>97680195</v>
      </c>
      <c r="I3109" s="22" t="n">
        <v>70000000</v>
      </c>
      <c r="J3109" s="21">
        <f>IF(OR(H3109="",H3109=25529689.5),"Yes","No")</f>
        <v/>
      </c>
      <c r="K3109" s="21">
        <f>IF(AND(D3109="USA",C3109&gt;=1980,J3109="No"),"Yes","No")</f>
        <v/>
      </c>
      <c r="L3109" s="26">
        <f>IF(J3109="Yes","",H3109-I3109)</f>
        <v/>
      </c>
      <c r="M3109" s="27">
        <f>IF(OR(J3109="Yes",I3109=0),"",H3109/I3109)</f>
        <v/>
      </c>
      <c r="N3109" s="21">
        <f>IF(J3109="Yes","",IF(H3109&gt;=I3109,1,0))</f>
        <v/>
      </c>
      <c r="O3109" s="21">
        <f>IF(I3109&lt;=5000000,"Under $5M",IF(I3109&lt;=20000000,"$5M-20M",IF(I3109&lt;=50000000,"$20M-50M",IF(I3109&lt;=100000000,"$50M-100M","$100M+"))))</f>
        <v/>
      </c>
      <c r="P3109" s="21">
        <f>IF(E3109&lt;=90,"90 or less",IF(E3109&lt;=105,"91-105",IF(E3109&lt;=120,"106-120",IF(E3109&lt;=140,"121-140","Over 140"))))</f>
        <v/>
      </c>
      <c r="Q3109" s="28">
        <f>INT(C3109/10)*10</f>
        <v/>
      </c>
    </row>
    <row r="3110">
      <c r="A3110" s="21" t="n">
        <v>3173</v>
      </c>
      <c r="B3110" s="21" t="inlineStr">
        <is>
          <t>Yesterday Was a Lie</t>
        </is>
      </c>
      <c r="C3110" s="21" t="n">
        <v>2008</v>
      </c>
      <c r="D3110" s="21" t="inlineStr">
        <is>
          <t>USA</t>
        </is>
      </c>
      <c r="E3110" s="21" t="n">
        <v>89</v>
      </c>
      <c r="F3110" s="21" t="inlineStr">
        <is>
          <t>English</t>
        </is>
      </c>
      <c r="G3110" s="21" t="inlineStr">
        <is>
          <t>PG</t>
        </is>
      </c>
      <c r="H3110" s="22" t="n">
        <v>25529689.5</v>
      </c>
      <c r="I3110" s="22" t="n">
        <v>2500000</v>
      </c>
      <c r="J3110" s="21">
        <f>IF(OR(H3110="",H3110=25529689.5),"Yes","No")</f>
        <v/>
      </c>
      <c r="K3110" s="21">
        <f>IF(AND(D3110="USA",C3110&gt;=1980,J3110="No"),"Yes","No")</f>
        <v/>
      </c>
      <c r="L3110" s="26">
        <f>IF(J3110="Yes","",H3110-I3110)</f>
        <v/>
      </c>
      <c r="M3110" s="27">
        <f>IF(OR(J3110="Yes",I3110=0),"",H3110/I3110)</f>
        <v/>
      </c>
      <c r="N3110" s="21">
        <f>IF(J3110="Yes","",IF(H3110&gt;=I3110,1,0))</f>
        <v/>
      </c>
      <c r="O3110" s="21">
        <f>IF(I3110&lt;=5000000,"Under $5M",IF(I3110&lt;=20000000,"$5M-20M",IF(I3110&lt;=50000000,"$20M-50M",IF(I3110&lt;=100000000,"$50M-100M","$100M+"))))</f>
        <v/>
      </c>
      <c r="P3110" s="21">
        <f>IF(E3110&lt;=90,"90 or less",IF(E3110&lt;=105,"91-105",IF(E3110&lt;=120,"106-120",IF(E3110&lt;=140,"121-140","Over 140"))))</f>
        <v/>
      </c>
      <c r="Q3110" s="28">
        <f>INT(C3110/10)*10</f>
        <v/>
      </c>
    </row>
    <row r="3111">
      <c r="A3111" s="21" t="n">
        <v>3174</v>
      </c>
      <c r="B3111" s="21" t="inlineStr">
        <is>
          <t>You Don't Mess with the Zohan</t>
        </is>
      </c>
      <c r="C3111" s="21" t="n">
        <v>2008</v>
      </c>
      <c r="D3111" s="21" t="inlineStr">
        <is>
          <t>USA</t>
        </is>
      </c>
      <c r="E3111" s="21" t="n">
        <v>113</v>
      </c>
      <c r="F3111" s="21" t="inlineStr">
        <is>
          <t>English</t>
        </is>
      </c>
      <c r="G3111" s="21" t="inlineStr">
        <is>
          <t>PG-13</t>
        </is>
      </c>
      <c r="H3111" s="22" t="n">
        <v>100018837</v>
      </c>
      <c r="I3111" s="22" t="n">
        <v>90000000</v>
      </c>
      <c r="J3111" s="21">
        <f>IF(OR(H3111="",H3111=25529689.5),"Yes","No")</f>
        <v/>
      </c>
      <c r="K3111" s="21">
        <f>IF(AND(D3111="USA",C3111&gt;=1980,J3111="No"),"Yes","No")</f>
        <v/>
      </c>
      <c r="L3111" s="26">
        <f>IF(J3111="Yes","",H3111-I3111)</f>
        <v/>
      </c>
      <c r="M3111" s="27">
        <f>IF(OR(J3111="Yes",I3111=0),"",H3111/I3111)</f>
        <v/>
      </c>
      <c r="N3111" s="21">
        <f>IF(J3111="Yes","",IF(H3111&gt;=I3111,1,0))</f>
        <v/>
      </c>
      <c r="O3111" s="21">
        <f>IF(I3111&lt;=5000000,"Under $5M",IF(I3111&lt;=20000000,"$5M-20M",IF(I3111&lt;=50000000,"$20M-50M",IF(I3111&lt;=100000000,"$50M-100M","$100M+"))))</f>
        <v/>
      </c>
      <c r="P3111" s="21">
        <f>IF(E3111&lt;=90,"90 or less",IF(E3111&lt;=105,"91-105",IF(E3111&lt;=120,"106-120",IF(E3111&lt;=140,"121-140","Over 140"))))</f>
        <v/>
      </c>
      <c r="Q3111" s="28">
        <f>INT(C3111/10)*10</f>
        <v/>
      </c>
    </row>
    <row r="3112">
      <c r="A3112" s="21" t="n">
        <v>3175</v>
      </c>
      <c r="B3112" s="21" t="inlineStr">
        <is>
          <t>Zack and Miri Make a Porno</t>
        </is>
      </c>
      <c r="C3112" s="21" t="n">
        <v>2008</v>
      </c>
      <c r="D3112" s="21" t="inlineStr">
        <is>
          <t>USA</t>
        </is>
      </c>
      <c r="E3112" s="21" t="n">
        <v>101</v>
      </c>
      <c r="F3112" s="21" t="inlineStr">
        <is>
          <t>English</t>
        </is>
      </c>
      <c r="G3112" s="21" t="inlineStr">
        <is>
          <t>R</t>
        </is>
      </c>
      <c r="H3112" s="22" t="n">
        <v>31452765</v>
      </c>
      <c r="I3112" s="22" t="n">
        <v>24000000</v>
      </c>
      <c r="J3112" s="21">
        <f>IF(OR(H3112="",H3112=25529689.5),"Yes","No")</f>
        <v/>
      </c>
      <c r="K3112" s="21">
        <f>IF(AND(D3112="USA",C3112&gt;=1980,J3112="No"),"Yes","No")</f>
        <v/>
      </c>
      <c r="L3112" s="26">
        <f>IF(J3112="Yes","",H3112-I3112)</f>
        <v/>
      </c>
      <c r="M3112" s="27">
        <f>IF(OR(J3112="Yes",I3112=0),"",H3112/I3112)</f>
        <v/>
      </c>
      <c r="N3112" s="21">
        <f>IF(J3112="Yes","",IF(H3112&gt;=I3112,1,0))</f>
        <v/>
      </c>
      <c r="O3112" s="21">
        <f>IF(I3112&lt;=5000000,"Under $5M",IF(I3112&lt;=20000000,"$5M-20M",IF(I3112&lt;=50000000,"$20M-50M",IF(I3112&lt;=100000000,"$50M-100M","$100M+"))))</f>
        <v/>
      </c>
      <c r="P3112" s="21">
        <f>IF(E3112&lt;=90,"90 or less",IF(E3112&lt;=105,"91-105",IF(E3112&lt;=120,"106-120",IF(E3112&lt;=140,"121-140","Over 140"))))</f>
        <v/>
      </c>
      <c r="Q3112" s="28">
        <f>INT(C3112/10)*10</f>
        <v/>
      </c>
    </row>
    <row r="3113">
      <c r="A3113" s="21" t="n">
        <v>3176</v>
      </c>
      <c r="B3113" s="21" t="inlineStr">
        <is>
          <t>[Rec] 2</t>
        </is>
      </c>
      <c r="C3113" s="21" t="n">
        <v>2009</v>
      </c>
      <c r="D3113" s="21" t="inlineStr">
        <is>
          <t>Spain</t>
        </is>
      </c>
      <c r="E3113" s="21" t="n">
        <v>85</v>
      </c>
      <c r="F3113" s="21" t="inlineStr">
        <is>
          <t>Spanish</t>
        </is>
      </c>
      <c r="G3113" s="21" t="inlineStr">
        <is>
          <t>R</t>
        </is>
      </c>
      <c r="H3113" s="22" t="n">
        <v>27024</v>
      </c>
      <c r="I3113" s="22" t="n">
        <v>5600000</v>
      </c>
      <c r="J3113" s="21">
        <f>IF(OR(H3113="",H3113=25529689.5),"Yes","No")</f>
        <v/>
      </c>
      <c r="K3113" s="21">
        <f>IF(AND(D3113="USA",C3113&gt;=1980,J3113="No"),"Yes","No")</f>
        <v/>
      </c>
      <c r="L3113" s="26">
        <f>IF(J3113="Yes","",H3113-I3113)</f>
        <v/>
      </c>
      <c r="M3113" s="27">
        <f>IF(OR(J3113="Yes",I3113=0),"",H3113/I3113)</f>
        <v/>
      </c>
      <c r="N3113" s="21">
        <f>IF(J3113="Yes","",IF(H3113&gt;=I3113,1,0))</f>
        <v/>
      </c>
      <c r="O3113" s="21">
        <f>IF(I3113&lt;=5000000,"Under $5M",IF(I3113&lt;=20000000,"$5M-20M",IF(I3113&lt;=50000000,"$20M-50M",IF(I3113&lt;=100000000,"$50M-100M","$100M+"))))</f>
        <v/>
      </c>
      <c r="P3113" s="21">
        <f>IF(E3113&lt;=90,"90 or less",IF(E3113&lt;=105,"91-105",IF(E3113&lt;=120,"106-120",IF(E3113&lt;=140,"121-140","Over 140"))))</f>
        <v/>
      </c>
      <c r="Q3113" s="28">
        <f>INT(C3113/10)*10</f>
        <v/>
      </c>
    </row>
    <row r="3114">
      <c r="A3114" s="21" t="n">
        <v>3177</v>
      </c>
      <c r="B3114" s="21" t="inlineStr">
        <is>
          <t>12 Rounds</t>
        </is>
      </c>
      <c r="C3114" s="21" t="n">
        <v>2009</v>
      </c>
      <c r="D3114" s="21" t="inlineStr">
        <is>
          <t>USA</t>
        </is>
      </c>
      <c r="E3114" s="21" t="n">
        <v>108</v>
      </c>
      <c r="F3114" s="21" t="inlineStr">
        <is>
          <t>English</t>
        </is>
      </c>
      <c r="G3114" s="21" t="inlineStr">
        <is>
          <t>PG-13</t>
        </is>
      </c>
      <c r="H3114" s="22" t="n">
        <v>12232937</v>
      </c>
      <c r="I3114" s="22" t="n">
        <v>22000000</v>
      </c>
      <c r="J3114" s="21">
        <f>IF(OR(H3114="",H3114=25529689.5),"Yes","No")</f>
        <v/>
      </c>
      <c r="K3114" s="21">
        <f>IF(AND(D3114="USA",C3114&gt;=1980,J3114="No"),"Yes","No")</f>
        <v/>
      </c>
      <c r="L3114" s="26">
        <f>IF(J3114="Yes","",H3114-I3114)</f>
        <v/>
      </c>
      <c r="M3114" s="27">
        <f>IF(OR(J3114="Yes",I3114=0),"",H3114/I3114)</f>
        <v/>
      </c>
      <c r="N3114" s="21">
        <f>IF(J3114="Yes","",IF(H3114&gt;=I3114,1,0))</f>
        <v/>
      </c>
      <c r="O3114" s="21">
        <f>IF(I3114&lt;=5000000,"Under $5M",IF(I3114&lt;=20000000,"$5M-20M",IF(I3114&lt;=50000000,"$20M-50M",IF(I3114&lt;=100000000,"$50M-100M","$100M+"))))</f>
        <v/>
      </c>
      <c r="P3114" s="21">
        <f>IF(E3114&lt;=90,"90 or less",IF(E3114&lt;=105,"91-105",IF(E3114&lt;=120,"106-120",IF(E3114&lt;=140,"121-140","Over 140"))))</f>
        <v/>
      </c>
      <c r="Q3114" s="28">
        <f>INT(C3114/10)*10</f>
        <v/>
      </c>
    </row>
    <row r="3115">
      <c r="A3115" s="21" t="n">
        <v>3178</v>
      </c>
      <c r="B3115" s="21" t="inlineStr">
        <is>
          <t>16 to Life</t>
        </is>
      </c>
      <c r="C3115" s="21" t="n">
        <v>2009</v>
      </c>
      <c r="D3115" s="21" t="inlineStr">
        <is>
          <t>USA</t>
        </is>
      </c>
      <c r="E3115" s="21" t="n">
        <v>89</v>
      </c>
      <c r="F3115" s="21" t="inlineStr">
        <is>
          <t>English</t>
        </is>
      </c>
      <c r="G3115" s="21" t="n"/>
      <c r="H3115" s="22" t="n">
        <v>25529689.5</v>
      </c>
      <c r="I3115" s="22" t="n">
        <v>1000000</v>
      </c>
      <c r="J3115" s="21">
        <f>IF(OR(H3115="",H3115=25529689.5),"Yes","No")</f>
        <v/>
      </c>
      <c r="K3115" s="21">
        <f>IF(AND(D3115="USA",C3115&gt;=1980,J3115="No"),"Yes","No")</f>
        <v/>
      </c>
      <c r="L3115" s="26">
        <f>IF(J3115="Yes","",H3115-I3115)</f>
        <v/>
      </c>
      <c r="M3115" s="27">
        <f>IF(OR(J3115="Yes",I3115=0),"",H3115/I3115)</f>
        <v/>
      </c>
      <c r="N3115" s="21">
        <f>IF(J3115="Yes","",IF(H3115&gt;=I3115,1,0))</f>
        <v/>
      </c>
      <c r="O3115" s="21">
        <f>IF(I3115&lt;=5000000,"Under $5M",IF(I3115&lt;=20000000,"$5M-20M",IF(I3115&lt;=50000000,"$20M-50M",IF(I3115&lt;=100000000,"$50M-100M","$100M+"))))</f>
        <v/>
      </c>
      <c r="P3115" s="21">
        <f>IF(E3115&lt;=90,"90 or less",IF(E3115&lt;=105,"91-105",IF(E3115&lt;=120,"106-120",IF(E3115&lt;=140,"121-140","Over 140"))))</f>
        <v/>
      </c>
      <c r="Q3115" s="28">
        <f>INT(C3115/10)*10</f>
        <v/>
      </c>
    </row>
    <row r="3116">
      <c r="A3116" s="21" t="n">
        <v>3179</v>
      </c>
      <c r="B3116" s="21" t="inlineStr">
        <is>
          <t>17 Again</t>
        </is>
      </c>
      <c r="C3116" s="21" t="n">
        <v>2009</v>
      </c>
      <c r="D3116" s="21" t="inlineStr">
        <is>
          <t>USA</t>
        </is>
      </c>
      <c r="E3116" s="21" t="n">
        <v>102</v>
      </c>
      <c r="F3116" s="21" t="inlineStr">
        <is>
          <t>English</t>
        </is>
      </c>
      <c r="G3116" s="21" t="inlineStr">
        <is>
          <t>PG-13</t>
        </is>
      </c>
      <c r="H3116" s="22" t="n">
        <v>64149837</v>
      </c>
      <c r="I3116" s="22" t="n">
        <v>20000000</v>
      </c>
      <c r="J3116" s="21">
        <f>IF(OR(H3116="",H3116=25529689.5),"Yes","No")</f>
        <v/>
      </c>
      <c r="K3116" s="21">
        <f>IF(AND(D3116="USA",C3116&gt;=1980,J3116="No"),"Yes","No")</f>
        <v/>
      </c>
      <c r="L3116" s="26">
        <f>IF(J3116="Yes","",H3116-I3116)</f>
        <v/>
      </c>
      <c r="M3116" s="27">
        <f>IF(OR(J3116="Yes",I3116=0),"",H3116/I3116)</f>
        <v/>
      </c>
      <c r="N3116" s="21">
        <f>IF(J3116="Yes","",IF(H3116&gt;=I3116,1,0))</f>
        <v/>
      </c>
      <c r="O3116" s="21">
        <f>IF(I3116&lt;=5000000,"Under $5M",IF(I3116&lt;=20000000,"$5M-20M",IF(I3116&lt;=50000000,"$20M-50M",IF(I3116&lt;=100000000,"$50M-100M","$100M+"))))</f>
        <v/>
      </c>
      <c r="P3116" s="21">
        <f>IF(E3116&lt;=90,"90 or less",IF(E3116&lt;=105,"91-105",IF(E3116&lt;=120,"106-120",IF(E3116&lt;=140,"121-140","Over 140"))))</f>
        <v/>
      </c>
      <c r="Q3116" s="28">
        <f>INT(C3116/10)*10</f>
        <v/>
      </c>
    </row>
    <row r="3117">
      <c r="A3117" s="21" t="n">
        <v>3180</v>
      </c>
      <c r="B3117" s="21" t="inlineStr">
        <is>
          <t>2:13</t>
        </is>
      </c>
      <c r="C3117" s="21" t="n">
        <v>2009</v>
      </c>
      <c r="D3117" s="21" t="inlineStr">
        <is>
          <t>USA</t>
        </is>
      </c>
      <c r="E3117" s="21" t="n">
        <v>96</v>
      </c>
      <c r="F3117" s="21" t="inlineStr">
        <is>
          <t>English</t>
        </is>
      </c>
      <c r="G3117" s="21" t="n"/>
      <c r="H3117" s="22" t="n">
        <v>25529689.5</v>
      </c>
      <c r="I3117" s="22" t="n">
        <v>3500000</v>
      </c>
      <c r="J3117" s="21">
        <f>IF(OR(H3117="",H3117=25529689.5),"Yes","No")</f>
        <v/>
      </c>
      <c r="K3117" s="21">
        <f>IF(AND(D3117="USA",C3117&gt;=1980,J3117="No"),"Yes","No")</f>
        <v/>
      </c>
      <c r="L3117" s="26">
        <f>IF(J3117="Yes","",H3117-I3117)</f>
        <v/>
      </c>
      <c r="M3117" s="27">
        <f>IF(OR(J3117="Yes",I3117=0),"",H3117/I3117)</f>
        <v/>
      </c>
      <c r="N3117" s="21">
        <f>IF(J3117="Yes","",IF(H3117&gt;=I3117,1,0))</f>
        <v/>
      </c>
      <c r="O3117" s="21">
        <f>IF(I3117&lt;=5000000,"Under $5M",IF(I3117&lt;=20000000,"$5M-20M",IF(I3117&lt;=50000000,"$20M-50M",IF(I3117&lt;=100000000,"$50M-100M","$100M+"))))</f>
        <v/>
      </c>
      <c r="P3117" s="21">
        <f>IF(E3117&lt;=90,"90 or less",IF(E3117&lt;=105,"91-105",IF(E3117&lt;=120,"106-120",IF(E3117&lt;=140,"121-140","Over 140"))))</f>
        <v/>
      </c>
      <c r="Q3117" s="28">
        <f>INT(C3117/10)*10</f>
        <v/>
      </c>
    </row>
    <row r="3118">
      <c r="A3118" s="21" t="n">
        <v>3181</v>
      </c>
      <c r="B3118" s="21" t="inlineStr">
        <is>
          <t>2012</t>
        </is>
      </c>
      <c r="C3118" s="21" t="n">
        <v>2009</v>
      </c>
      <c r="D3118" s="21" t="inlineStr">
        <is>
          <t>USA</t>
        </is>
      </c>
      <c r="E3118" s="21" t="n">
        <v>158</v>
      </c>
      <c r="F3118" s="21" t="inlineStr">
        <is>
          <t>English</t>
        </is>
      </c>
      <c r="G3118" s="21" t="inlineStr">
        <is>
          <t>PG-13</t>
        </is>
      </c>
      <c r="H3118" s="22" t="n">
        <v>166112167</v>
      </c>
      <c r="I3118" s="22" t="n">
        <v>200000000</v>
      </c>
      <c r="J3118" s="21">
        <f>IF(OR(H3118="",H3118=25529689.5),"Yes","No")</f>
        <v/>
      </c>
      <c r="K3118" s="21">
        <f>IF(AND(D3118="USA",C3118&gt;=1980,J3118="No"),"Yes","No")</f>
        <v/>
      </c>
      <c r="L3118" s="26">
        <f>IF(J3118="Yes","",H3118-I3118)</f>
        <v/>
      </c>
      <c r="M3118" s="27">
        <f>IF(OR(J3118="Yes",I3118=0),"",H3118/I3118)</f>
        <v/>
      </c>
      <c r="N3118" s="21">
        <f>IF(J3118="Yes","",IF(H3118&gt;=I3118,1,0))</f>
        <v/>
      </c>
      <c r="O3118" s="21">
        <f>IF(I3118&lt;=5000000,"Under $5M",IF(I3118&lt;=20000000,"$5M-20M",IF(I3118&lt;=50000000,"$20M-50M",IF(I3118&lt;=100000000,"$50M-100M","$100M+"))))</f>
        <v/>
      </c>
      <c r="P3118" s="21">
        <f>IF(E3118&lt;=90,"90 or less",IF(E3118&lt;=105,"91-105",IF(E3118&lt;=120,"106-120",IF(E3118&lt;=140,"121-140","Over 140"))))</f>
        <v/>
      </c>
      <c r="Q3118" s="28">
        <f>INT(C3118/10)*10</f>
        <v/>
      </c>
    </row>
    <row r="3119">
      <c r="A3119" s="21" t="n">
        <v>3182</v>
      </c>
      <c r="B3119" s="21" t="inlineStr">
        <is>
          <t>500 Days of Summer</t>
        </is>
      </c>
      <c r="C3119" s="21" t="n">
        <v>2009</v>
      </c>
      <c r="D3119" s="21" t="inlineStr">
        <is>
          <t>USA</t>
        </is>
      </c>
      <c r="E3119" s="21" t="n">
        <v>95</v>
      </c>
      <c r="F3119" s="21" t="inlineStr">
        <is>
          <t>English</t>
        </is>
      </c>
      <c r="G3119" s="21" t="inlineStr">
        <is>
          <t>PG-13</t>
        </is>
      </c>
      <c r="H3119" s="22" t="n">
        <v>32391374</v>
      </c>
      <c r="I3119" s="22" t="n">
        <v>7500000</v>
      </c>
      <c r="J3119" s="21">
        <f>IF(OR(H3119="",H3119=25529689.5),"Yes","No")</f>
        <v/>
      </c>
      <c r="K3119" s="21">
        <f>IF(AND(D3119="USA",C3119&gt;=1980,J3119="No"),"Yes","No")</f>
        <v/>
      </c>
      <c r="L3119" s="26">
        <f>IF(J3119="Yes","",H3119-I3119)</f>
        <v/>
      </c>
      <c r="M3119" s="27">
        <f>IF(OR(J3119="Yes",I3119=0),"",H3119/I3119)</f>
        <v/>
      </c>
      <c r="N3119" s="21">
        <f>IF(J3119="Yes","",IF(H3119&gt;=I3119,1,0))</f>
        <v/>
      </c>
      <c r="O3119" s="21">
        <f>IF(I3119&lt;=5000000,"Under $5M",IF(I3119&lt;=20000000,"$5M-20M",IF(I3119&lt;=50000000,"$20M-50M",IF(I3119&lt;=100000000,"$50M-100M","$100M+"))))</f>
        <v/>
      </c>
      <c r="P3119" s="21">
        <f>IF(E3119&lt;=90,"90 or less",IF(E3119&lt;=105,"91-105",IF(E3119&lt;=120,"106-120",IF(E3119&lt;=140,"121-140","Over 140"))))</f>
        <v/>
      </c>
      <c r="Q3119" s="28">
        <f>INT(C3119/10)*10</f>
        <v/>
      </c>
    </row>
    <row r="3120">
      <c r="A3120" s="21" t="n">
        <v>3183</v>
      </c>
      <c r="B3120" s="21" t="inlineStr">
        <is>
          <t>9</t>
        </is>
      </c>
      <c r="C3120" s="21" t="n">
        <v>2009</v>
      </c>
      <c r="D3120" s="21" t="inlineStr">
        <is>
          <t>USA</t>
        </is>
      </c>
      <c r="E3120" s="21" t="n">
        <v>79</v>
      </c>
      <c r="F3120" s="21" t="inlineStr">
        <is>
          <t>English</t>
        </is>
      </c>
      <c r="G3120" s="21" t="inlineStr">
        <is>
          <t>PG-13</t>
        </is>
      </c>
      <c r="H3120" s="22" t="n">
        <v>31743332</v>
      </c>
      <c r="I3120" s="22" t="n">
        <v>30000000</v>
      </c>
      <c r="J3120" s="21">
        <f>IF(OR(H3120="",H3120=25529689.5),"Yes","No")</f>
        <v/>
      </c>
      <c r="K3120" s="21">
        <f>IF(AND(D3120="USA",C3120&gt;=1980,J3120="No"),"Yes","No")</f>
        <v/>
      </c>
      <c r="L3120" s="26">
        <f>IF(J3120="Yes","",H3120-I3120)</f>
        <v/>
      </c>
      <c r="M3120" s="27">
        <f>IF(OR(J3120="Yes",I3120=0),"",H3120/I3120)</f>
        <v/>
      </c>
      <c r="N3120" s="21">
        <f>IF(J3120="Yes","",IF(H3120&gt;=I3120,1,0))</f>
        <v/>
      </c>
      <c r="O3120" s="21">
        <f>IF(I3120&lt;=5000000,"Under $5M",IF(I3120&lt;=20000000,"$5M-20M",IF(I3120&lt;=50000000,"$20M-50M",IF(I3120&lt;=100000000,"$50M-100M","$100M+"))))</f>
        <v/>
      </c>
      <c r="P3120" s="21">
        <f>IF(E3120&lt;=90,"90 or less",IF(E3120&lt;=105,"91-105",IF(E3120&lt;=120,"106-120",IF(E3120&lt;=140,"121-140","Over 140"))))</f>
        <v/>
      </c>
      <c r="Q3120" s="28">
        <f>INT(C3120/10)*10</f>
        <v/>
      </c>
    </row>
    <row r="3121">
      <c r="A3121" s="21" t="n">
        <v>3184</v>
      </c>
      <c r="B3121" s="21" t="inlineStr">
        <is>
          <t>A Christmas Carol</t>
        </is>
      </c>
      <c r="C3121" s="21" t="n">
        <v>2009</v>
      </c>
      <c r="D3121" s="21" t="inlineStr">
        <is>
          <t>USA</t>
        </is>
      </c>
      <c r="E3121" s="21" t="n">
        <v>96</v>
      </c>
      <c r="F3121" s="21" t="inlineStr">
        <is>
          <t>English</t>
        </is>
      </c>
      <c r="G3121" s="21" t="inlineStr">
        <is>
          <t>PG</t>
        </is>
      </c>
      <c r="H3121" s="22" t="n">
        <v>137850096</v>
      </c>
      <c r="I3121" s="22" t="n">
        <v>200000000</v>
      </c>
      <c r="J3121" s="21">
        <f>IF(OR(H3121="",H3121=25529689.5),"Yes","No")</f>
        <v/>
      </c>
      <c r="K3121" s="21">
        <f>IF(AND(D3121="USA",C3121&gt;=1980,J3121="No"),"Yes","No")</f>
        <v/>
      </c>
      <c r="L3121" s="26">
        <f>IF(J3121="Yes","",H3121-I3121)</f>
        <v/>
      </c>
      <c r="M3121" s="27">
        <f>IF(OR(J3121="Yes",I3121=0),"",H3121/I3121)</f>
        <v/>
      </c>
      <c r="N3121" s="21">
        <f>IF(J3121="Yes","",IF(H3121&gt;=I3121,1,0))</f>
        <v/>
      </c>
      <c r="O3121" s="21">
        <f>IF(I3121&lt;=5000000,"Under $5M",IF(I3121&lt;=20000000,"$5M-20M",IF(I3121&lt;=50000000,"$20M-50M",IF(I3121&lt;=100000000,"$50M-100M","$100M+"))))</f>
        <v/>
      </c>
      <c r="P3121" s="21">
        <f>IF(E3121&lt;=90,"90 or less",IF(E3121&lt;=105,"91-105",IF(E3121&lt;=120,"106-120",IF(E3121&lt;=140,"121-140","Over 140"))))</f>
        <v/>
      </c>
      <c r="Q3121" s="28">
        <f>INT(C3121/10)*10</f>
        <v/>
      </c>
    </row>
    <row r="3122">
      <c r="A3122" s="21" t="n">
        <v>3185</v>
      </c>
      <c r="B3122" s="21" t="inlineStr">
        <is>
          <t>A Perfect Getaway</t>
        </is>
      </c>
      <c r="C3122" s="21" t="n">
        <v>2009</v>
      </c>
      <c r="D3122" s="21" t="inlineStr">
        <is>
          <t>USA</t>
        </is>
      </c>
      <c r="E3122" s="21" t="n">
        <v>108</v>
      </c>
      <c r="F3122" s="21" t="inlineStr">
        <is>
          <t>English</t>
        </is>
      </c>
      <c r="G3122" s="21" t="inlineStr">
        <is>
          <t>R</t>
        </is>
      </c>
      <c r="H3122" s="22" t="n">
        <v>15483540</v>
      </c>
      <c r="I3122" s="22" t="n">
        <v>14000000</v>
      </c>
      <c r="J3122" s="21">
        <f>IF(OR(H3122="",H3122=25529689.5),"Yes","No")</f>
        <v/>
      </c>
      <c r="K3122" s="21">
        <f>IF(AND(D3122="USA",C3122&gt;=1980,J3122="No"),"Yes","No")</f>
        <v/>
      </c>
      <c r="L3122" s="26">
        <f>IF(J3122="Yes","",H3122-I3122)</f>
        <v/>
      </c>
      <c r="M3122" s="27">
        <f>IF(OR(J3122="Yes",I3122=0),"",H3122/I3122)</f>
        <v/>
      </c>
      <c r="N3122" s="21">
        <f>IF(J3122="Yes","",IF(H3122&gt;=I3122,1,0))</f>
        <v/>
      </c>
      <c r="O3122" s="21">
        <f>IF(I3122&lt;=5000000,"Under $5M",IF(I3122&lt;=20000000,"$5M-20M",IF(I3122&lt;=50000000,"$20M-50M",IF(I3122&lt;=100000000,"$50M-100M","$100M+"))))</f>
        <v/>
      </c>
      <c r="P3122" s="21">
        <f>IF(E3122&lt;=90,"90 or less",IF(E3122&lt;=105,"91-105",IF(E3122&lt;=120,"106-120",IF(E3122&lt;=140,"121-140","Over 140"))))</f>
        <v/>
      </c>
      <c r="Q3122" s="28">
        <f>INT(C3122/10)*10</f>
        <v/>
      </c>
    </row>
    <row r="3123">
      <c r="A3123" s="21" t="n">
        <v>3186</v>
      </c>
      <c r="B3123" s="21" t="inlineStr">
        <is>
          <t>A Serious Man</t>
        </is>
      </c>
      <c r="C3123" s="21" t="n">
        <v>2009</v>
      </c>
      <c r="D3123" s="21" t="inlineStr">
        <is>
          <t>USA</t>
        </is>
      </c>
      <c r="E3123" s="21" t="n">
        <v>106</v>
      </c>
      <c r="F3123" s="21" t="inlineStr">
        <is>
          <t>English</t>
        </is>
      </c>
      <c r="G3123" s="21" t="inlineStr">
        <is>
          <t>R</t>
        </is>
      </c>
      <c r="H3123" s="22" t="n">
        <v>9190525</v>
      </c>
      <c r="I3123" s="22" t="n">
        <v>7000000</v>
      </c>
      <c r="J3123" s="21">
        <f>IF(OR(H3123="",H3123=25529689.5),"Yes","No")</f>
        <v/>
      </c>
      <c r="K3123" s="21">
        <f>IF(AND(D3123="USA",C3123&gt;=1980,J3123="No"),"Yes","No")</f>
        <v/>
      </c>
      <c r="L3123" s="26">
        <f>IF(J3123="Yes","",H3123-I3123)</f>
        <v/>
      </c>
      <c r="M3123" s="27">
        <f>IF(OR(J3123="Yes",I3123=0),"",H3123/I3123)</f>
        <v/>
      </c>
      <c r="N3123" s="21">
        <f>IF(J3123="Yes","",IF(H3123&gt;=I3123,1,0))</f>
        <v/>
      </c>
      <c r="O3123" s="21">
        <f>IF(I3123&lt;=5000000,"Under $5M",IF(I3123&lt;=20000000,"$5M-20M",IF(I3123&lt;=50000000,"$20M-50M",IF(I3123&lt;=100000000,"$50M-100M","$100M+"))))</f>
        <v/>
      </c>
      <c r="P3123" s="21">
        <f>IF(E3123&lt;=90,"90 or less",IF(E3123&lt;=105,"91-105",IF(E3123&lt;=120,"106-120",IF(E3123&lt;=140,"121-140","Over 140"))))</f>
        <v/>
      </c>
      <c r="Q3123" s="28">
        <f>INT(C3123/10)*10</f>
        <v/>
      </c>
    </row>
    <row r="3124">
      <c r="A3124" s="21" t="n">
        <v>3187</v>
      </c>
      <c r="B3124" s="21" t="inlineStr">
        <is>
          <t>A Shine of Rainbows</t>
        </is>
      </c>
      <c r="C3124" s="21" t="n">
        <v>2009</v>
      </c>
      <c r="D3124" s="21" t="inlineStr">
        <is>
          <t>Canada</t>
        </is>
      </c>
      <c r="E3124" s="21" t="n">
        <v>101</v>
      </c>
      <c r="F3124" s="21" t="inlineStr">
        <is>
          <t>English</t>
        </is>
      </c>
      <c r="G3124" s="21" t="inlineStr">
        <is>
          <t>PG</t>
        </is>
      </c>
      <c r="H3124" s="22" t="n">
        <v>25529689.5</v>
      </c>
      <c r="I3124" s="22" t="n">
        <v>6000000</v>
      </c>
      <c r="J3124" s="21">
        <f>IF(OR(H3124="",H3124=25529689.5),"Yes","No")</f>
        <v/>
      </c>
      <c r="K3124" s="21">
        <f>IF(AND(D3124="USA",C3124&gt;=1980,J3124="No"),"Yes","No")</f>
        <v/>
      </c>
      <c r="L3124" s="26">
        <f>IF(J3124="Yes","",H3124-I3124)</f>
        <v/>
      </c>
      <c r="M3124" s="27">
        <f>IF(OR(J3124="Yes",I3124=0),"",H3124/I3124)</f>
        <v/>
      </c>
      <c r="N3124" s="21">
        <f>IF(J3124="Yes","",IF(H3124&gt;=I3124,1,0))</f>
        <v/>
      </c>
      <c r="O3124" s="21">
        <f>IF(I3124&lt;=5000000,"Under $5M",IF(I3124&lt;=20000000,"$5M-20M",IF(I3124&lt;=50000000,"$20M-50M",IF(I3124&lt;=100000000,"$50M-100M","$100M+"))))</f>
        <v/>
      </c>
      <c r="P3124" s="21">
        <f>IF(E3124&lt;=90,"90 or less",IF(E3124&lt;=105,"91-105",IF(E3124&lt;=120,"106-120",IF(E3124&lt;=140,"121-140","Over 140"))))</f>
        <v/>
      </c>
      <c r="Q3124" s="28">
        <f>INT(C3124/10)*10</f>
        <v/>
      </c>
    </row>
    <row r="3125">
      <c r="A3125" s="21" t="n">
        <v>3188</v>
      </c>
      <c r="B3125" s="21" t="inlineStr">
        <is>
          <t>A Single Man</t>
        </is>
      </c>
      <c r="C3125" s="21" t="n">
        <v>2009</v>
      </c>
      <c r="D3125" s="21" t="inlineStr">
        <is>
          <t>USA</t>
        </is>
      </c>
      <c r="E3125" s="21" t="n">
        <v>99</v>
      </c>
      <c r="F3125" s="21" t="inlineStr">
        <is>
          <t>English</t>
        </is>
      </c>
      <c r="G3125" s="21" t="inlineStr">
        <is>
          <t>R</t>
        </is>
      </c>
      <c r="H3125" s="22" t="n">
        <v>9166863</v>
      </c>
      <c r="I3125" s="22" t="n">
        <v>7000000</v>
      </c>
      <c r="J3125" s="21">
        <f>IF(OR(H3125="",H3125=25529689.5),"Yes","No")</f>
        <v/>
      </c>
      <c r="K3125" s="21">
        <f>IF(AND(D3125="USA",C3125&gt;=1980,J3125="No"),"Yes","No")</f>
        <v/>
      </c>
      <c r="L3125" s="26">
        <f>IF(J3125="Yes","",H3125-I3125)</f>
        <v/>
      </c>
      <c r="M3125" s="27">
        <f>IF(OR(J3125="Yes",I3125=0),"",H3125/I3125)</f>
        <v/>
      </c>
      <c r="N3125" s="21">
        <f>IF(J3125="Yes","",IF(H3125&gt;=I3125,1,0))</f>
        <v/>
      </c>
      <c r="O3125" s="21">
        <f>IF(I3125&lt;=5000000,"Under $5M",IF(I3125&lt;=20000000,"$5M-20M",IF(I3125&lt;=50000000,"$20M-50M",IF(I3125&lt;=100000000,"$50M-100M","$100M+"))))</f>
        <v/>
      </c>
      <c r="P3125" s="21">
        <f>IF(E3125&lt;=90,"90 or less",IF(E3125&lt;=105,"91-105",IF(E3125&lt;=120,"106-120",IF(E3125&lt;=140,"121-140","Over 140"))))</f>
        <v/>
      </c>
      <c r="Q3125" s="28">
        <f>INT(C3125/10)*10</f>
        <v/>
      </c>
    </row>
    <row r="3126">
      <c r="A3126" s="21" t="n">
        <v>3189</v>
      </c>
      <c r="B3126" s="21" t="inlineStr">
        <is>
          <t>A Woman, a Gun and a Noodle Shop</t>
        </is>
      </c>
      <c r="C3126" s="21" t="n">
        <v>2009</v>
      </c>
      <c r="D3126" s="21" t="inlineStr">
        <is>
          <t>China</t>
        </is>
      </c>
      <c r="E3126" s="21" t="n">
        <v>95</v>
      </c>
      <c r="F3126" s="21" t="inlineStr">
        <is>
          <t>Mandarin</t>
        </is>
      </c>
      <c r="G3126" s="21" t="inlineStr">
        <is>
          <t>R</t>
        </is>
      </c>
      <c r="H3126" s="22" t="n">
        <v>190666</v>
      </c>
      <c r="I3126" s="22" t="n">
        <v>20000000</v>
      </c>
      <c r="J3126" s="21">
        <f>IF(OR(H3126="",H3126=25529689.5),"Yes","No")</f>
        <v/>
      </c>
      <c r="K3126" s="21">
        <f>IF(AND(D3126="USA",C3126&gt;=1980,J3126="No"),"Yes","No")</f>
        <v/>
      </c>
      <c r="L3126" s="26">
        <f>IF(J3126="Yes","",H3126-I3126)</f>
        <v/>
      </c>
      <c r="M3126" s="27">
        <f>IF(OR(J3126="Yes",I3126=0),"",H3126/I3126)</f>
        <v/>
      </c>
      <c r="N3126" s="21">
        <f>IF(J3126="Yes","",IF(H3126&gt;=I3126,1,0))</f>
        <v/>
      </c>
      <c r="O3126" s="21">
        <f>IF(I3126&lt;=5000000,"Under $5M",IF(I3126&lt;=20000000,"$5M-20M",IF(I3126&lt;=50000000,"$20M-50M",IF(I3126&lt;=100000000,"$50M-100M","$100M+"))))</f>
        <v/>
      </c>
      <c r="P3126" s="21">
        <f>IF(E3126&lt;=90,"90 or less",IF(E3126&lt;=105,"91-105",IF(E3126&lt;=120,"106-120",IF(E3126&lt;=140,"121-140","Over 140"))))</f>
        <v/>
      </c>
      <c r="Q3126" s="28">
        <f>INT(C3126/10)*10</f>
        <v/>
      </c>
    </row>
    <row r="3127">
      <c r="A3127" s="21" t="n">
        <v>3191</v>
      </c>
      <c r="B3127" s="21" t="inlineStr">
        <is>
          <t>Adam</t>
        </is>
      </c>
      <c r="C3127" s="21" t="n">
        <v>2009</v>
      </c>
      <c r="D3127" s="21" t="inlineStr">
        <is>
          <t>USA</t>
        </is>
      </c>
      <c r="E3127" s="21" t="n">
        <v>99</v>
      </c>
      <c r="F3127" s="21" t="inlineStr">
        <is>
          <t>English</t>
        </is>
      </c>
      <c r="G3127" s="21" t="inlineStr">
        <is>
          <t>PG-13</t>
        </is>
      </c>
      <c r="H3127" s="22" t="n">
        <v>2277396</v>
      </c>
      <c r="I3127" s="22" t="n">
        <v>20000000</v>
      </c>
      <c r="J3127" s="21">
        <f>IF(OR(H3127="",H3127=25529689.5),"Yes","No")</f>
        <v/>
      </c>
      <c r="K3127" s="21">
        <f>IF(AND(D3127="USA",C3127&gt;=1980,J3127="No"),"Yes","No")</f>
        <v/>
      </c>
      <c r="L3127" s="26">
        <f>IF(J3127="Yes","",H3127-I3127)</f>
        <v/>
      </c>
      <c r="M3127" s="27">
        <f>IF(OR(J3127="Yes",I3127=0),"",H3127/I3127)</f>
        <v/>
      </c>
      <c r="N3127" s="21">
        <f>IF(J3127="Yes","",IF(H3127&gt;=I3127,1,0))</f>
        <v/>
      </c>
      <c r="O3127" s="21">
        <f>IF(I3127&lt;=5000000,"Under $5M",IF(I3127&lt;=20000000,"$5M-20M",IF(I3127&lt;=50000000,"$20M-50M",IF(I3127&lt;=100000000,"$50M-100M","$100M+"))))</f>
        <v/>
      </c>
      <c r="P3127" s="21">
        <f>IF(E3127&lt;=90,"90 or less",IF(E3127&lt;=105,"91-105",IF(E3127&lt;=120,"106-120",IF(E3127&lt;=140,"121-140","Over 140"))))</f>
        <v/>
      </c>
      <c r="Q3127" s="28">
        <f>INT(C3127/10)*10</f>
        <v/>
      </c>
    </row>
    <row r="3128">
      <c r="A3128" s="21" t="n">
        <v>3192</v>
      </c>
      <c r="B3128" s="21" t="inlineStr">
        <is>
          <t>Adventureland</t>
        </is>
      </c>
      <c r="C3128" s="21" t="n">
        <v>2009</v>
      </c>
      <c r="D3128" s="21" t="inlineStr">
        <is>
          <t>USA</t>
        </is>
      </c>
      <c r="E3128" s="21" t="n">
        <v>107</v>
      </c>
      <c r="F3128" s="21" t="inlineStr">
        <is>
          <t>English</t>
        </is>
      </c>
      <c r="G3128" s="21" t="inlineStr">
        <is>
          <t>R</t>
        </is>
      </c>
      <c r="H3128" s="22" t="n">
        <v>16025394</v>
      </c>
      <c r="I3128" s="22" t="n">
        <v>20000000</v>
      </c>
      <c r="J3128" s="21">
        <f>IF(OR(H3128="",H3128=25529689.5),"Yes","No")</f>
        <v/>
      </c>
      <c r="K3128" s="21">
        <f>IF(AND(D3128="USA",C3128&gt;=1980,J3128="No"),"Yes","No")</f>
        <v/>
      </c>
      <c r="L3128" s="26">
        <f>IF(J3128="Yes","",H3128-I3128)</f>
        <v/>
      </c>
      <c r="M3128" s="27">
        <f>IF(OR(J3128="Yes",I3128=0),"",H3128/I3128)</f>
        <v/>
      </c>
      <c r="N3128" s="21">
        <f>IF(J3128="Yes","",IF(H3128&gt;=I3128,1,0))</f>
        <v/>
      </c>
      <c r="O3128" s="21">
        <f>IF(I3128&lt;=5000000,"Under $5M",IF(I3128&lt;=20000000,"$5M-20M",IF(I3128&lt;=50000000,"$20M-50M",IF(I3128&lt;=100000000,"$50M-100M","$100M+"))))</f>
        <v/>
      </c>
      <c r="P3128" s="21">
        <f>IF(E3128&lt;=90,"90 or less",IF(E3128&lt;=105,"91-105",IF(E3128&lt;=120,"106-120",IF(E3128&lt;=140,"121-140","Over 140"))))</f>
        <v/>
      </c>
      <c r="Q3128" s="28">
        <f>INT(C3128/10)*10</f>
        <v/>
      </c>
    </row>
    <row r="3129">
      <c r="A3129" s="21" t="n">
        <v>3193</v>
      </c>
      <c r="B3129" s="21" t="inlineStr">
        <is>
          <t>After.Life</t>
        </is>
      </c>
      <c r="C3129" s="21" t="n">
        <v>2009</v>
      </c>
      <c r="D3129" s="21" t="inlineStr">
        <is>
          <t>USA</t>
        </is>
      </c>
      <c r="E3129" s="21" t="n">
        <v>104</v>
      </c>
      <c r="F3129" s="21" t="inlineStr">
        <is>
          <t>English</t>
        </is>
      </c>
      <c r="G3129" s="21" t="inlineStr">
        <is>
          <t>R</t>
        </is>
      </c>
      <c r="H3129" s="22" t="n">
        <v>108229</v>
      </c>
      <c r="I3129" s="22" t="n">
        <v>4500000</v>
      </c>
      <c r="J3129" s="21">
        <f>IF(OR(H3129="",H3129=25529689.5),"Yes","No")</f>
        <v/>
      </c>
      <c r="K3129" s="21">
        <f>IF(AND(D3129="USA",C3129&gt;=1980,J3129="No"),"Yes","No")</f>
        <v/>
      </c>
      <c r="L3129" s="26">
        <f>IF(J3129="Yes","",H3129-I3129)</f>
        <v/>
      </c>
      <c r="M3129" s="27">
        <f>IF(OR(J3129="Yes",I3129=0),"",H3129/I3129)</f>
        <v/>
      </c>
      <c r="N3129" s="21">
        <f>IF(J3129="Yes","",IF(H3129&gt;=I3129,1,0))</f>
        <v/>
      </c>
      <c r="O3129" s="21">
        <f>IF(I3129&lt;=5000000,"Under $5M",IF(I3129&lt;=20000000,"$5M-20M",IF(I3129&lt;=50000000,"$20M-50M",IF(I3129&lt;=100000000,"$50M-100M","$100M+"))))</f>
        <v/>
      </c>
      <c r="P3129" s="21">
        <f>IF(E3129&lt;=90,"90 or less",IF(E3129&lt;=105,"91-105",IF(E3129&lt;=120,"106-120",IF(E3129&lt;=140,"121-140","Over 140"))))</f>
        <v/>
      </c>
      <c r="Q3129" s="28">
        <f>INT(C3129/10)*10</f>
        <v/>
      </c>
    </row>
    <row r="3130">
      <c r="A3130" s="21" t="n">
        <v>3194</v>
      </c>
      <c r="B3130" s="21" t="inlineStr">
        <is>
          <t>Agora</t>
        </is>
      </c>
      <c r="C3130" s="21" t="n">
        <v>2009</v>
      </c>
      <c r="D3130" s="21" t="inlineStr">
        <is>
          <t>Spain</t>
        </is>
      </c>
      <c r="E3130" s="21" t="n">
        <v>141</v>
      </c>
      <c r="F3130" s="21" t="inlineStr">
        <is>
          <t>English</t>
        </is>
      </c>
      <c r="G3130" s="21" t="inlineStr">
        <is>
          <t>R</t>
        </is>
      </c>
      <c r="H3130" s="22" t="n">
        <v>617840</v>
      </c>
      <c r="I3130" s="22" t="n">
        <v>70000000</v>
      </c>
      <c r="J3130" s="21">
        <f>IF(OR(H3130="",H3130=25529689.5),"Yes","No")</f>
        <v/>
      </c>
      <c r="K3130" s="21">
        <f>IF(AND(D3130="USA",C3130&gt;=1980,J3130="No"),"Yes","No")</f>
        <v/>
      </c>
      <c r="L3130" s="26">
        <f>IF(J3130="Yes","",H3130-I3130)</f>
        <v/>
      </c>
      <c r="M3130" s="27">
        <f>IF(OR(J3130="Yes",I3130=0),"",H3130/I3130)</f>
        <v/>
      </c>
      <c r="N3130" s="21">
        <f>IF(J3130="Yes","",IF(H3130&gt;=I3130,1,0))</f>
        <v/>
      </c>
      <c r="O3130" s="21">
        <f>IF(I3130&lt;=5000000,"Under $5M",IF(I3130&lt;=20000000,"$5M-20M",IF(I3130&lt;=50000000,"$20M-50M",IF(I3130&lt;=100000000,"$50M-100M","$100M+"))))</f>
        <v/>
      </c>
      <c r="P3130" s="21">
        <f>IF(E3130&lt;=90,"90 or less",IF(E3130&lt;=105,"91-105",IF(E3130&lt;=120,"106-120",IF(E3130&lt;=140,"121-140","Over 140"))))</f>
        <v/>
      </c>
      <c r="Q3130" s="28">
        <f>INT(C3130/10)*10</f>
        <v/>
      </c>
    </row>
    <row r="3131">
      <c r="A3131" s="21" t="n">
        <v>3195</v>
      </c>
      <c r="B3131" s="21" t="inlineStr">
        <is>
          <t>Ajami</t>
        </is>
      </c>
      <c r="C3131" s="21" t="n">
        <v>2009</v>
      </c>
      <c r="D3131" s="21" t="inlineStr">
        <is>
          <t>Germany</t>
        </is>
      </c>
      <c r="E3131" s="21" t="n">
        <v>124</v>
      </c>
      <c r="F3131" s="21" t="inlineStr">
        <is>
          <t>Arabic</t>
        </is>
      </c>
      <c r="G3131" s="21" t="n"/>
      <c r="H3131" s="22" t="n">
        <v>621240</v>
      </c>
      <c r="I3131" s="22" t="n">
        <v>20000000</v>
      </c>
      <c r="J3131" s="21">
        <f>IF(OR(H3131="",H3131=25529689.5),"Yes","No")</f>
        <v/>
      </c>
      <c r="K3131" s="21">
        <f>IF(AND(D3131="USA",C3131&gt;=1980,J3131="No"),"Yes","No")</f>
        <v/>
      </c>
      <c r="L3131" s="26">
        <f>IF(J3131="Yes","",H3131-I3131)</f>
        <v/>
      </c>
      <c r="M3131" s="27">
        <f>IF(OR(J3131="Yes",I3131=0),"",H3131/I3131)</f>
        <v/>
      </c>
      <c r="N3131" s="21">
        <f>IF(J3131="Yes","",IF(H3131&gt;=I3131,1,0))</f>
        <v/>
      </c>
      <c r="O3131" s="21">
        <f>IF(I3131&lt;=5000000,"Under $5M",IF(I3131&lt;=20000000,"$5M-20M",IF(I3131&lt;=50000000,"$20M-50M",IF(I3131&lt;=100000000,"$50M-100M","$100M+"))))</f>
        <v/>
      </c>
      <c r="P3131" s="21">
        <f>IF(E3131&lt;=90,"90 or less",IF(E3131&lt;=105,"91-105",IF(E3131&lt;=120,"106-120",IF(E3131&lt;=140,"121-140","Over 140"))))</f>
        <v/>
      </c>
      <c r="Q3131" s="28">
        <f>INT(C3131/10)*10</f>
        <v/>
      </c>
    </row>
    <row r="3132">
      <c r="A3132" s="21" t="n">
        <v>3196</v>
      </c>
      <c r="B3132" s="21" t="inlineStr">
        <is>
          <t>Aliens in the Attic</t>
        </is>
      </c>
      <c r="C3132" s="21" t="n">
        <v>2009</v>
      </c>
      <c r="D3132" s="21" t="inlineStr">
        <is>
          <t>USA</t>
        </is>
      </c>
      <c r="E3132" s="21" t="n">
        <v>86</v>
      </c>
      <c r="F3132" s="21" t="inlineStr">
        <is>
          <t>English</t>
        </is>
      </c>
      <c r="G3132" s="21" t="inlineStr">
        <is>
          <t>PG</t>
        </is>
      </c>
      <c r="H3132" s="22" t="n">
        <v>25200412</v>
      </c>
      <c r="I3132" s="22" t="n">
        <v>45000000</v>
      </c>
      <c r="J3132" s="21">
        <f>IF(OR(H3132="",H3132=25529689.5),"Yes","No")</f>
        <v/>
      </c>
      <c r="K3132" s="21">
        <f>IF(AND(D3132="USA",C3132&gt;=1980,J3132="No"),"Yes","No")</f>
        <v/>
      </c>
      <c r="L3132" s="26">
        <f>IF(J3132="Yes","",H3132-I3132)</f>
        <v/>
      </c>
      <c r="M3132" s="27">
        <f>IF(OR(J3132="Yes",I3132=0),"",H3132/I3132)</f>
        <v/>
      </c>
      <c r="N3132" s="21">
        <f>IF(J3132="Yes","",IF(H3132&gt;=I3132,1,0))</f>
        <v/>
      </c>
      <c r="O3132" s="21">
        <f>IF(I3132&lt;=5000000,"Under $5M",IF(I3132&lt;=20000000,"$5M-20M",IF(I3132&lt;=50000000,"$20M-50M",IF(I3132&lt;=100000000,"$50M-100M","$100M+"))))</f>
        <v/>
      </c>
      <c r="P3132" s="21">
        <f>IF(E3132&lt;=90,"90 or less",IF(E3132&lt;=105,"91-105",IF(E3132&lt;=120,"106-120",IF(E3132&lt;=140,"121-140","Over 140"))))</f>
        <v/>
      </c>
      <c r="Q3132" s="28">
        <f>INT(C3132/10)*10</f>
        <v/>
      </c>
    </row>
    <row r="3133">
      <c r="A3133" s="21" t="n">
        <v>3197</v>
      </c>
      <c r="B3133" s="21" t="inlineStr">
        <is>
          <t>All About Steve</t>
        </is>
      </c>
      <c r="C3133" s="21" t="n">
        <v>2009</v>
      </c>
      <c r="D3133" s="21" t="inlineStr">
        <is>
          <t>USA</t>
        </is>
      </c>
      <c r="E3133" s="21" t="n">
        <v>99</v>
      </c>
      <c r="F3133" s="21" t="inlineStr">
        <is>
          <t>English</t>
        </is>
      </c>
      <c r="G3133" s="21" t="inlineStr">
        <is>
          <t>PG-13</t>
        </is>
      </c>
      <c r="H3133" s="22" t="n">
        <v>33860010</v>
      </c>
      <c r="I3133" s="22" t="n">
        <v>15000000</v>
      </c>
      <c r="J3133" s="21">
        <f>IF(OR(H3133="",H3133=25529689.5),"Yes","No")</f>
        <v/>
      </c>
      <c r="K3133" s="21">
        <f>IF(AND(D3133="USA",C3133&gt;=1980,J3133="No"),"Yes","No")</f>
        <v/>
      </c>
      <c r="L3133" s="26">
        <f>IF(J3133="Yes","",H3133-I3133)</f>
        <v/>
      </c>
      <c r="M3133" s="27">
        <f>IF(OR(J3133="Yes",I3133=0),"",H3133/I3133)</f>
        <v/>
      </c>
      <c r="N3133" s="21">
        <f>IF(J3133="Yes","",IF(H3133&gt;=I3133,1,0))</f>
        <v/>
      </c>
      <c r="O3133" s="21">
        <f>IF(I3133&lt;=5000000,"Under $5M",IF(I3133&lt;=20000000,"$5M-20M",IF(I3133&lt;=50000000,"$20M-50M",IF(I3133&lt;=100000000,"$50M-100M","$100M+"))))</f>
        <v/>
      </c>
      <c r="P3133" s="21">
        <f>IF(E3133&lt;=90,"90 or less",IF(E3133&lt;=105,"91-105",IF(E3133&lt;=120,"106-120",IF(E3133&lt;=140,"121-140","Over 140"))))</f>
        <v/>
      </c>
      <c r="Q3133" s="28">
        <f>INT(C3133/10)*10</f>
        <v/>
      </c>
    </row>
    <row r="3134">
      <c r="A3134" s="21" t="n">
        <v>3198</v>
      </c>
      <c r="B3134" s="21" t="inlineStr">
        <is>
          <t>Alvin and the Chipmunks: The Squeakquel</t>
        </is>
      </c>
      <c r="C3134" s="21" t="n">
        <v>2009</v>
      </c>
      <c r="D3134" s="21" t="inlineStr">
        <is>
          <t>USA</t>
        </is>
      </c>
      <c r="E3134" s="21" t="n">
        <v>88</v>
      </c>
      <c r="F3134" s="21" t="inlineStr">
        <is>
          <t>English</t>
        </is>
      </c>
      <c r="G3134" s="21" t="inlineStr">
        <is>
          <t>PG</t>
        </is>
      </c>
      <c r="H3134" s="22" t="n">
        <v>219613391</v>
      </c>
      <c r="I3134" s="22" t="n">
        <v>75000000</v>
      </c>
      <c r="J3134" s="21">
        <f>IF(OR(H3134="",H3134=25529689.5),"Yes","No")</f>
        <v/>
      </c>
      <c r="K3134" s="21">
        <f>IF(AND(D3134="USA",C3134&gt;=1980,J3134="No"),"Yes","No")</f>
        <v/>
      </c>
      <c r="L3134" s="26">
        <f>IF(J3134="Yes","",H3134-I3134)</f>
        <v/>
      </c>
      <c r="M3134" s="27">
        <f>IF(OR(J3134="Yes",I3134=0),"",H3134/I3134)</f>
        <v/>
      </c>
      <c r="N3134" s="21">
        <f>IF(J3134="Yes","",IF(H3134&gt;=I3134,1,0))</f>
        <v/>
      </c>
      <c r="O3134" s="21">
        <f>IF(I3134&lt;=5000000,"Under $5M",IF(I3134&lt;=20000000,"$5M-20M",IF(I3134&lt;=50000000,"$20M-50M",IF(I3134&lt;=100000000,"$50M-100M","$100M+"))))</f>
        <v/>
      </c>
      <c r="P3134" s="21">
        <f>IF(E3134&lt;=90,"90 or less",IF(E3134&lt;=105,"91-105",IF(E3134&lt;=120,"106-120",IF(E3134&lt;=140,"121-140","Over 140"))))</f>
        <v/>
      </c>
      <c r="Q3134" s="28">
        <f>INT(C3134/10)*10</f>
        <v/>
      </c>
    </row>
    <row r="3135">
      <c r="A3135" s="21" t="n">
        <v>3199</v>
      </c>
      <c r="B3135" s="21" t="inlineStr">
        <is>
          <t>An Education</t>
        </is>
      </c>
      <c r="C3135" s="21" t="n">
        <v>2009</v>
      </c>
      <c r="D3135" s="21" t="inlineStr">
        <is>
          <t>UK</t>
        </is>
      </c>
      <c r="E3135" s="21" t="n">
        <v>100</v>
      </c>
      <c r="F3135" s="21" t="inlineStr">
        <is>
          <t>English</t>
        </is>
      </c>
      <c r="G3135" s="21" t="inlineStr">
        <is>
          <t>PG-13</t>
        </is>
      </c>
      <c r="H3135" s="22" t="n">
        <v>12574715</v>
      </c>
      <c r="I3135" s="22" t="n">
        <v>4500000</v>
      </c>
      <c r="J3135" s="21">
        <f>IF(OR(H3135="",H3135=25529689.5),"Yes","No")</f>
        <v/>
      </c>
      <c r="K3135" s="21">
        <f>IF(AND(D3135="USA",C3135&gt;=1980,J3135="No"),"Yes","No")</f>
        <v/>
      </c>
      <c r="L3135" s="26">
        <f>IF(J3135="Yes","",H3135-I3135)</f>
        <v/>
      </c>
      <c r="M3135" s="27">
        <f>IF(OR(J3135="Yes",I3135=0),"",H3135/I3135)</f>
        <v/>
      </c>
      <c r="N3135" s="21">
        <f>IF(J3135="Yes","",IF(H3135&gt;=I3135,1,0))</f>
        <v/>
      </c>
      <c r="O3135" s="21">
        <f>IF(I3135&lt;=5000000,"Under $5M",IF(I3135&lt;=20000000,"$5M-20M",IF(I3135&lt;=50000000,"$20M-50M",IF(I3135&lt;=100000000,"$50M-100M","$100M+"))))</f>
        <v/>
      </c>
      <c r="P3135" s="21">
        <f>IF(E3135&lt;=90,"90 or less",IF(E3135&lt;=105,"91-105",IF(E3135&lt;=120,"106-120",IF(E3135&lt;=140,"121-140","Over 140"))))</f>
        <v/>
      </c>
      <c r="Q3135" s="28">
        <f>INT(C3135/10)*10</f>
        <v/>
      </c>
    </row>
    <row r="3136">
      <c r="A3136" s="21" t="n">
        <v>3200</v>
      </c>
      <c r="B3136" s="21" t="inlineStr">
        <is>
          <t>Angels &amp; Demons</t>
        </is>
      </c>
      <c r="C3136" s="21" t="n">
        <v>2009</v>
      </c>
      <c r="D3136" s="21" t="inlineStr">
        <is>
          <t>USA</t>
        </is>
      </c>
      <c r="E3136" s="21" t="n">
        <v>146</v>
      </c>
      <c r="F3136" s="21" t="inlineStr">
        <is>
          <t>English</t>
        </is>
      </c>
      <c r="G3136" s="21" t="inlineStr">
        <is>
          <t>PG-13</t>
        </is>
      </c>
      <c r="H3136" s="22" t="n">
        <v>133375846</v>
      </c>
      <c r="I3136" s="22" t="n">
        <v>150000000</v>
      </c>
      <c r="J3136" s="21">
        <f>IF(OR(H3136="",H3136=25529689.5),"Yes","No")</f>
        <v/>
      </c>
      <c r="K3136" s="21">
        <f>IF(AND(D3136="USA",C3136&gt;=1980,J3136="No"),"Yes","No")</f>
        <v/>
      </c>
      <c r="L3136" s="26">
        <f>IF(J3136="Yes","",H3136-I3136)</f>
        <v/>
      </c>
      <c r="M3136" s="27">
        <f>IF(OR(J3136="Yes",I3136=0),"",H3136/I3136)</f>
        <v/>
      </c>
      <c r="N3136" s="21">
        <f>IF(J3136="Yes","",IF(H3136&gt;=I3136,1,0))</f>
        <v/>
      </c>
      <c r="O3136" s="21">
        <f>IF(I3136&lt;=5000000,"Under $5M",IF(I3136&lt;=20000000,"$5M-20M",IF(I3136&lt;=50000000,"$20M-50M",IF(I3136&lt;=100000000,"$50M-100M","$100M+"))))</f>
        <v/>
      </c>
      <c r="P3136" s="21">
        <f>IF(E3136&lt;=90,"90 or less",IF(E3136&lt;=105,"91-105",IF(E3136&lt;=120,"106-120",IF(E3136&lt;=140,"121-140","Over 140"))))</f>
        <v/>
      </c>
      <c r="Q3136" s="28">
        <f>INT(C3136/10)*10</f>
        <v/>
      </c>
    </row>
    <row r="3137">
      <c r="A3137" s="21" t="n">
        <v>3201</v>
      </c>
      <c r="B3137" s="21" t="inlineStr">
        <is>
          <t>Armored</t>
        </is>
      </c>
      <c r="C3137" s="21" t="n">
        <v>2009</v>
      </c>
      <c r="D3137" s="21" t="inlineStr">
        <is>
          <t>USA</t>
        </is>
      </c>
      <c r="E3137" s="21" t="n">
        <v>88</v>
      </c>
      <c r="F3137" s="21" t="inlineStr">
        <is>
          <t>English</t>
        </is>
      </c>
      <c r="G3137" s="21" t="inlineStr">
        <is>
          <t>PG-13</t>
        </is>
      </c>
      <c r="H3137" s="22" t="n">
        <v>15988876</v>
      </c>
      <c r="I3137" s="22" t="n">
        <v>27000000</v>
      </c>
      <c r="J3137" s="21">
        <f>IF(OR(H3137="",H3137=25529689.5),"Yes","No")</f>
        <v/>
      </c>
      <c r="K3137" s="21">
        <f>IF(AND(D3137="USA",C3137&gt;=1980,J3137="No"),"Yes","No")</f>
        <v/>
      </c>
      <c r="L3137" s="26">
        <f>IF(J3137="Yes","",H3137-I3137)</f>
        <v/>
      </c>
      <c r="M3137" s="27">
        <f>IF(OR(J3137="Yes",I3137=0),"",H3137/I3137)</f>
        <v/>
      </c>
      <c r="N3137" s="21">
        <f>IF(J3137="Yes","",IF(H3137&gt;=I3137,1,0))</f>
        <v/>
      </c>
      <c r="O3137" s="21">
        <f>IF(I3137&lt;=5000000,"Under $5M",IF(I3137&lt;=20000000,"$5M-20M",IF(I3137&lt;=50000000,"$20M-50M",IF(I3137&lt;=100000000,"$50M-100M","$100M+"))))</f>
        <v/>
      </c>
      <c r="P3137" s="21">
        <f>IF(E3137&lt;=90,"90 or less",IF(E3137&lt;=105,"91-105",IF(E3137&lt;=120,"106-120",IF(E3137&lt;=140,"121-140","Over 140"))))</f>
        <v/>
      </c>
      <c r="Q3137" s="28">
        <f>INT(C3137/10)*10</f>
        <v/>
      </c>
    </row>
    <row r="3138">
      <c r="A3138" s="21" t="n">
        <v>3202</v>
      </c>
      <c r="B3138" s="21" t="inlineStr">
        <is>
          <t>Astro Boy</t>
        </is>
      </c>
      <c r="C3138" s="21" t="n">
        <v>2009</v>
      </c>
      <c r="D3138" s="21" t="inlineStr">
        <is>
          <t>Hong Kong</t>
        </is>
      </c>
      <c r="E3138" s="21" t="n">
        <v>94</v>
      </c>
      <c r="F3138" s="21" t="inlineStr">
        <is>
          <t>English</t>
        </is>
      </c>
      <c r="G3138" s="21" t="inlineStr">
        <is>
          <t>PG</t>
        </is>
      </c>
      <c r="H3138" s="22" t="n">
        <v>19548064</v>
      </c>
      <c r="I3138" s="22" t="n">
        <v>65000000</v>
      </c>
      <c r="J3138" s="21">
        <f>IF(OR(H3138="",H3138=25529689.5),"Yes","No")</f>
        <v/>
      </c>
      <c r="K3138" s="21">
        <f>IF(AND(D3138="USA",C3138&gt;=1980,J3138="No"),"Yes","No")</f>
        <v/>
      </c>
      <c r="L3138" s="26">
        <f>IF(J3138="Yes","",H3138-I3138)</f>
        <v/>
      </c>
      <c r="M3138" s="27">
        <f>IF(OR(J3138="Yes",I3138=0),"",H3138/I3138)</f>
        <v/>
      </c>
      <c r="N3138" s="21">
        <f>IF(J3138="Yes","",IF(H3138&gt;=I3138,1,0))</f>
        <v/>
      </c>
      <c r="O3138" s="21">
        <f>IF(I3138&lt;=5000000,"Under $5M",IF(I3138&lt;=20000000,"$5M-20M",IF(I3138&lt;=50000000,"$20M-50M",IF(I3138&lt;=100000000,"$50M-100M","$100M+"))))</f>
        <v/>
      </c>
      <c r="P3138" s="21">
        <f>IF(E3138&lt;=90,"90 or less",IF(E3138&lt;=105,"91-105",IF(E3138&lt;=120,"106-120",IF(E3138&lt;=140,"121-140","Over 140"))))</f>
        <v/>
      </c>
      <c r="Q3138" s="28">
        <f>INT(C3138/10)*10</f>
        <v/>
      </c>
    </row>
    <row r="3139">
      <c r="A3139" s="21" t="n">
        <v>3203</v>
      </c>
      <c r="B3139" s="21" t="inlineStr">
        <is>
          <t>Avatar</t>
        </is>
      </c>
      <c r="C3139" s="21" t="n">
        <v>2009</v>
      </c>
      <c r="D3139" s="21" t="inlineStr">
        <is>
          <t>USA</t>
        </is>
      </c>
      <c r="E3139" s="21" t="n">
        <v>178</v>
      </c>
      <c r="F3139" s="21" t="inlineStr">
        <is>
          <t>English</t>
        </is>
      </c>
      <c r="G3139" s="21" t="inlineStr">
        <is>
          <t>PG-13</t>
        </is>
      </c>
      <c r="H3139" s="22" t="n">
        <v>760505847</v>
      </c>
      <c r="I3139" s="22" t="n">
        <v>237000000</v>
      </c>
      <c r="J3139" s="21">
        <f>IF(OR(H3139="",H3139=25529689.5),"Yes","No")</f>
        <v/>
      </c>
      <c r="K3139" s="21">
        <f>IF(AND(D3139="USA",C3139&gt;=1980,J3139="No"),"Yes","No")</f>
        <v/>
      </c>
      <c r="L3139" s="26">
        <f>IF(J3139="Yes","",H3139-I3139)</f>
        <v/>
      </c>
      <c r="M3139" s="27">
        <f>IF(OR(J3139="Yes",I3139=0),"",H3139/I3139)</f>
        <v/>
      </c>
      <c r="N3139" s="21">
        <f>IF(J3139="Yes","",IF(H3139&gt;=I3139,1,0))</f>
        <v/>
      </c>
      <c r="O3139" s="21">
        <f>IF(I3139&lt;=5000000,"Under $5M",IF(I3139&lt;=20000000,"$5M-20M",IF(I3139&lt;=50000000,"$20M-50M",IF(I3139&lt;=100000000,"$50M-100M","$100M+"))))</f>
        <v/>
      </c>
      <c r="P3139" s="21">
        <f>IF(E3139&lt;=90,"90 or less",IF(E3139&lt;=105,"91-105",IF(E3139&lt;=120,"106-120",IF(E3139&lt;=140,"121-140","Over 140"))))</f>
        <v/>
      </c>
      <c r="Q3139" s="28">
        <f>INT(C3139/10)*10</f>
        <v/>
      </c>
    </row>
    <row r="3140">
      <c r="A3140" s="21" t="n">
        <v>3204</v>
      </c>
      <c r="B3140" s="21" t="inlineStr">
        <is>
          <t>Away We Go</t>
        </is>
      </c>
      <c r="C3140" s="21" t="n">
        <v>2009</v>
      </c>
      <c r="D3140" s="21" t="inlineStr">
        <is>
          <t>USA</t>
        </is>
      </c>
      <c r="E3140" s="21" t="n">
        <v>98</v>
      </c>
      <c r="F3140" s="21" t="inlineStr">
        <is>
          <t>English</t>
        </is>
      </c>
      <c r="G3140" s="21" t="inlineStr">
        <is>
          <t>R</t>
        </is>
      </c>
      <c r="H3140" s="22" t="n">
        <v>9430988</v>
      </c>
      <c r="I3140" s="22" t="n">
        <v>17000000</v>
      </c>
      <c r="J3140" s="21">
        <f>IF(OR(H3140="",H3140=25529689.5),"Yes","No")</f>
        <v/>
      </c>
      <c r="K3140" s="21">
        <f>IF(AND(D3140="USA",C3140&gt;=1980,J3140="No"),"Yes","No")</f>
        <v/>
      </c>
      <c r="L3140" s="26">
        <f>IF(J3140="Yes","",H3140-I3140)</f>
        <v/>
      </c>
      <c r="M3140" s="27">
        <f>IF(OR(J3140="Yes",I3140=0),"",H3140/I3140)</f>
        <v/>
      </c>
      <c r="N3140" s="21">
        <f>IF(J3140="Yes","",IF(H3140&gt;=I3140,1,0))</f>
        <v/>
      </c>
      <c r="O3140" s="21">
        <f>IF(I3140&lt;=5000000,"Under $5M",IF(I3140&lt;=20000000,"$5M-20M",IF(I3140&lt;=50000000,"$20M-50M",IF(I3140&lt;=100000000,"$50M-100M","$100M+"))))</f>
        <v/>
      </c>
      <c r="P3140" s="21">
        <f>IF(E3140&lt;=90,"90 or less",IF(E3140&lt;=105,"91-105",IF(E3140&lt;=120,"106-120",IF(E3140&lt;=140,"121-140","Over 140"))))</f>
        <v/>
      </c>
      <c r="Q3140" s="28">
        <f>INT(C3140/10)*10</f>
        <v/>
      </c>
    </row>
    <row r="3141">
      <c r="A3141" s="21" t="n">
        <v>3205</v>
      </c>
      <c r="B3141" s="21" t="inlineStr">
        <is>
          <t>B-Girl</t>
        </is>
      </c>
      <c r="C3141" s="21" t="n">
        <v>2009</v>
      </c>
      <c r="D3141" s="21" t="inlineStr">
        <is>
          <t>USA</t>
        </is>
      </c>
      <c r="E3141" s="21" t="n">
        <v>88</v>
      </c>
      <c r="F3141" s="21" t="inlineStr">
        <is>
          <t>English</t>
        </is>
      </c>
      <c r="G3141" s="21" t="inlineStr">
        <is>
          <t>PG-13</t>
        </is>
      </c>
      <c r="H3141" s="22" t="n">
        <v>25529689.5</v>
      </c>
      <c r="I3141" s="22" t="n">
        <v>20000000</v>
      </c>
      <c r="J3141" s="21">
        <f>IF(OR(H3141="",H3141=25529689.5),"Yes","No")</f>
        <v/>
      </c>
      <c r="K3141" s="21">
        <f>IF(AND(D3141="USA",C3141&gt;=1980,J3141="No"),"Yes","No")</f>
        <v/>
      </c>
      <c r="L3141" s="26">
        <f>IF(J3141="Yes","",H3141-I3141)</f>
        <v/>
      </c>
      <c r="M3141" s="27">
        <f>IF(OR(J3141="Yes",I3141=0),"",H3141/I3141)</f>
        <v/>
      </c>
      <c r="N3141" s="21">
        <f>IF(J3141="Yes","",IF(H3141&gt;=I3141,1,0))</f>
        <v/>
      </c>
      <c r="O3141" s="21">
        <f>IF(I3141&lt;=5000000,"Under $5M",IF(I3141&lt;=20000000,"$5M-20M",IF(I3141&lt;=50000000,"$20M-50M",IF(I3141&lt;=100000000,"$50M-100M","$100M+"))))</f>
        <v/>
      </c>
      <c r="P3141" s="21">
        <f>IF(E3141&lt;=90,"90 or less",IF(E3141&lt;=105,"91-105",IF(E3141&lt;=120,"106-120",IF(E3141&lt;=140,"121-140","Over 140"))))</f>
        <v/>
      </c>
      <c r="Q3141" s="28">
        <f>INT(C3141/10)*10</f>
        <v/>
      </c>
    </row>
    <row r="3142">
      <c r="A3142" s="21" t="n">
        <v>3206</v>
      </c>
      <c r="B3142" s="21" t="inlineStr">
        <is>
          <t>Bad Lieutenant: Port of Call New Orleans</t>
        </is>
      </c>
      <c r="C3142" s="21" t="n">
        <v>2009</v>
      </c>
      <c r="D3142" s="21" t="inlineStr">
        <is>
          <t>USA</t>
        </is>
      </c>
      <c r="E3142" s="21" t="n">
        <v>122</v>
      </c>
      <c r="F3142" s="21" t="inlineStr">
        <is>
          <t>English</t>
        </is>
      </c>
      <c r="G3142" s="21" t="inlineStr">
        <is>
          <t>R</t>
        </is>
      </c>
      <c r="H3142" s="22" t="n">
        <v>1697956</v>
      </c>
      <c r="I3142" s="22" t="n">
        <v>20000000</v>
      </c>
      <c r="J3142" s="21">
        <f>IF(OR(H3142="",H3142=25529689.5),"Yes","No")</f>
        <v/>
      </c>
      <c r="K3142" s="21">
        <f>IF(AND(D3142="USA",C3142&gt;=1980,J3142="No"),"Yes","No")</f>
        <v/>
      </c>
      <c r="L3142" s="26">
        <f>IF(J3142="Yes","",H3142-I3142)</f>
        <v/>
      </c>
      <c r="M3142" s="27">
        <f>IF(OR(J3142="Yes",I3142=0),"",H3142/I3142)</f>
        <v/>
      </c>
      <c r="N3142" s="21">
        <f>IF(J3142="Yes","",IF(H3142&gt;=I3142,1,0))</f>
        <v/>
      </c>
      <c r="O3142" s="21">
        <f>IF(I3142&lt;=5000000,"Under $5M",IF(I3142&lt;=20000000,"$5M-20M",IF(I3142&lt;=50000000,"$20M-50M",IF(I3142&lt;=100000000,"$50M-100M","$100M+"))))</f>
        <v/>
      </c>
      <c r="P3142" s="21">
        <f>IF(E3142&lt;=90,"90 or less",IF(E3142&lt;=105,"91-105",IF(E3142&lt;=120,"106-120",IF(E3142&lt;=140,"121-140","Over 140"))))</f>
        <v/>
      </c>
      <c r="Q3142" s="28">
        <f>INT(C3142/10)*10</f>
        <v/>
      </c>
    </row>
    <row r="3143">
      <c r="A3143" s="21" t="n">
        <v>3207</v>
      </c>
      <c r="B3143" s="21" t="inlineStr">
        <is>
          <t>Bandslam</t>
        </is>
      </c>
      <c r="C3143" s="21" t="n">
        <v>2009</v>
      </c>
      <c r="D3143" s="21" t="inlineStr">
        <is>
          <t>USA</t>
        </is>
      </c>
      <c r="E3143" s="21" t="n">
        <v>111</v>
      </c>
      <c r="F3143" s="21" t="inlineStr">
        <is>
          <t>English</t>
        </is>
      </c>
      <c r="G3143" s="21" t="inlineStr">
        <is>
          <t>PG</t>
        </is>
      </c>
      <c r="H3143" s="22" t="n">
        <v>5205343</v>
      </c>
      <c r="I3143" s="22" t="n">
        <v>20000000</v>
      </c>
      <c r="J3143" s="21">
        <f>IF(OR(H3143="",H3143=25529689.5),"Yes","No")</f>
        <v/>
      </c>
      <c r="K3143" s="21">
        <f>IF(AND(D3143="USA",C3143&gt;=1980,J3143="No"),"Yes","No")</f>
        <v/>
      </c>
      <c r="L3143" s="26">
        <f>IF(J3143="Yes","",H3143-I3143)</f>
        <v/>
      </c>
      <c r="M3143" s="27">
        <f>IF(OR(J3143="Yes",I3143=0),"",H3143/I3143)</f>
        <v/>
      </c>
      <c r="N3143" s="21">
        <f>IF(J3143="Yes","",IF(H3143&gt;=I3143,1,0))</f>
        <v/>
      </c>
      <c r="O3143" s="21">
        <f>IF(I3143&lt;=5000000,"Under $5M",IF(I3143&lt;=20000000,"$5M-20M",IF(I3143&lt;=50000000,"$20M-50M",IF(I3143&lt;=100000000,"$50M-100M","$100M+"))))</f>
        <v/>
      </c>
      <c r="P3143" s="21">
        <f>IF(E3143&lt;=90,"90 or less",IF(E3143&lt;=105,"91-105",IF(E3143&lt;=120,"106-120",IF(E3143&lt;=140,"121-140","Over 140"))))</f>
        <v/>
      </c>
      <c r="Q3143" s="28">
        <f>INT(C3143/10)*10</f>
        <v/>
      </c>
    </row>
    <row r="3144">
      <c r="A3144" s="21" t="n">
        <v>3208</v>
      </c>
      <c r="B3144" s="21" t="inlineStr">
        <is>
          <t>Black Water Transit</t>
        </is>
      </c>
      <c r="C3144" s="21" t="n">
        <v>2009</v>
      </c>
      <c r="D3144" s="21" t="inlineStr">
        <is>
          <t>USA</t>
        </is>
      </c>
      <c r="E3144" s="21" t="n">
        <v>104</v>
      </c>
      <c r="F3144" s="21" t="inlineStr">
        <is>
          <t>English</t>
        </is>
      </c>
      <c r="G3144" s="21" t="n"/>
      <c r="H3144" s="22" t="n">
        <v>25529689.5</v>
      </c>
      <c r="I3144" s="22" t="n">
        <v>23000000</v>
      </c>
      <c r="J3144" s="21">
        <f>IF(OR(H3144="",H3144=25529689.5),"Yes","No")</f>
        <v/>
      </c>
      <c r="K3144" s="21">
        <f>IF(AND(D3144="USA",C3144&gt;=1980,J3144="No"),"Yes","No")</f>
        <v/>
      </c>
      <c r="L3144" s="26">
        <f>IF(J3144="Yes","",H3144-I3144)</f>
        <v/>
      </c>
      <c r="M3144" s="27">
        <f>IF(OR(J3144="Yes",I3144=0),"",H3144/I3144)</f>
        <v/>
      </c>
      <c r="N3144" s="21">
        <f>IF(J3144="Yes","",IF(H3144&gt;=I3144,1,0))</f>
        <v/>
      </c>
      <c r="O3144" s="21">
        <f>IF(I3144&lt;=5000000,"Under $5M",IF(I3144&lt;=20000000,"$5M-20M",IF(I3144&lt;=50000000,"$20M-50M",IF(I3144&lt;=100000000,"$50M-100M","$100M+"))))</f>
        <v/>
      </c>
      <c r="P3144" s="21">
        <f>IF(E3144&lt;=90,"90 or less",IF(E3144&lt;=105,"91-105",IF(E3144&lt;=120,"106-120",IF(E3144&lt;=140,"121-140","Over 140"))))</f>
        <v/>
      </c>
      <c r="Q3144" s="28">
        <f>INT(C3144/10)*10</f>
        <v/>
      </c>
    </row>
    <row r="3145">
      <c r="A3145" s="21" t="n">
        <v>3209</v>
      </c>
      <c r="B3145" s="21" t="inlineStr">
        <is>
          <t>Bled</t>
        </is>
      </c>
      <c r="C3145" s="21" t="n">
        <v>2009</v>
      </c>
      <c r="D3145" s="21" t="inlineStr">
        <is>
          <t>USA</t>
        </is>
      </c>
      <c r="E3145" s="21" t="n">
        <v>95</v>
      </c>
      <c r="F3145" s="21" t="inlineStr">
        <is>
          <t>English</t>
        </is>
      </c>
      <c r="G3145" s="21" t="inlineStr">
        <is>
          <t>R</t>
        </is>
      </c>
      <c r="H3145" s="22" t="n">
        <v>25529689.5</v>
      </c>
      <c r="I3145" s="22" t="n">
        <v>750000</v>
      </c>
      <c r="J3145" s="21">
        <f>IF(OR(H3145="",H3145=25529689.5),"Yes","No")</f>
        <v/>
      </c>
      <c r="K3145" s="21">
        <f>IF(AND(D3145="USA",C3145&gt;=1980,J3145="No"),"Yes","No")</f>
        <v/>
      </c>
      <c r="L3145" s="26">
        <f>IF(J3145="Yes","",H3145-I3145)</f>
        <v/>
      </c>
      <c r="M3145" s="27">
        <f>IF(OR(J3145="Yes",I3145=0),"",H3145/I3145)</f>
        <v/>
      </c>
      <c r="N3145" s="21">
        <f>IF(J3145="Yes","",IF(H3145&gt;=I3145,1,0))</f>
        <v/>
      </c>
      <c r="O3145" s="21">
        <f>IF(I3145&lt;=5000000,"Under $5M",IF(I3145&lt;=20000000,"$5M-20M",IF(I3145&lt;=50000000,"$20M-50M",IF(I3145&lt;=100000000,"$50M-100M","$100M+"))))</f>
        <v/>
      </c>
      <c r="P3145" s="21">
        <f>IF(E3145&lt;=90,"90 or less",IF(E3145&lt;=105,"91-105",IF(E3145&lt;=120,"106-120",IF(E3145&lt;=140,"121-140","Over 140"))))</f>
        <v/>
      </c>
      <c r="Q3145" s="28">
        <f>INT(C3145/10)*10</f>
        <v/>
      </c>
    </row>
    <row r="3146">
      <c r="A3146" s="21" t="n">
        <v>3210</v>
      </c>
      <c r="B3146" s="21" t="inlineStr">
        <is>
          <t>Bodyguards and Assassins</t>
        </is>
      </c>
      <c r="C3146" s="21" t="n">
        <v>2009</v>
      </c>
      <c r="D3146" s="21" t="inlineStr">
        <is>
          <t>China</t>
        </is>
      </c>
      <c r="E3146" s="21" t="n">
        <v>139</v>
      </c>
      <c r="F3146" s="21" t="inlineStr">
        <is>
          <t>Mandarin</t>
        </is>
      </c>
      <c r="G3146" s="21" t="n"/>
      <c r="H3146" s="22" t="n">
        <v>25529689.5</v>
      </c>
      <c r="I3146" s="22" t="n">
        <v>23000000</v>
      </c>
      <c r="J3146" s="21">
        <f>IF(OR(H3146="",H3146=25529689.5),"Yes","No")</f>
        <v/>
      </c>
      <c r="K3146" s="21">
        <f>IF(AND(D3146="USA",C3146&gt;=1980,J3146="No"),"Yes","No")</f>
        <v/>
      </c>
      <c r="L3146" s="26">
        <f>IF(J3146="Yes","",H3146-I3146)</f>
        <v/>
      </c>
      <c r="M3146" s="27">
        <f>IF(OR(J3146="Yes",I3146=0),"",H3146/I3146)</f>
        <v/>
      </c>
      <c r="N3146" s="21">
        <f>IF(J3146="Yes","",IF(H3146&gt;=I3146,1,0))</f>
        <v/>
      </c>
      <c r="O3146" s="21">
        <f>IF(I3146&lt;=5000000,"Under $5M",IF(I3146&lt;=20000000,"$5M-20M",IF(I3146&lt;=50000000,"$20M-50M",IF(I3146&lt;=100000000,"$50M-100M","$100M+"))))</f>
        <v/>
      </c>
      <c r="P3146" s="21">
        <f>IF(E3146&lt;=90,"90 or less",IF(E3146&lt;=105,"91-105",IF(E3146&lt;=120,"106-120",IF(E3146&lt;=140,"121-140","Over 140"))))</f>
        <v/>
      </c>
      <c r="Q3146" s="28">
        <f>INT(C3146/10)*10</f>
        <v/>
      </c>
    </row>
    <row r="3147">
      <c r="A3147" s="21" t="n">
        <v>3211</v>
      </c>
      <c r="B3147" s="21" t="inlineStr">
        <is>
          <t>Bran Nue Dae</t>
        </is>
      </c>
      <c r="C3147" s="21" t="n">
        <v>2009</v>
      </c>
      <c r="D3147" s="21" t="inlineStr">
        <is>
          <t>Australia</t>
        </is>
      </c>
      <c r="E3147" s="21" t="n">
        <v>88</v>
      </c>
      <c r="F3147" s="21" t="inlineStr">
        <is>
          <t>English</t>
        </is>
      </c>
      <c r="G3147" s="21" t="inlineStr">
        <is>
          <t>PG-13</t>
        </is>
      </c>
      <c r="H3147" s="22" t="n">
        <v>110029</v>
      </c>
      <c r="I3147" s="22" t="n">
        <v>6500000</v>
      </c>
      <c r="J3147" s="21">
        <f>IF(OR(H3147="",H3147=25529689.5),"Yes","No")</f>
        <v/>
      </c>
      <c r="K3147" s="21">
        <f>IF(AND(D3147="USA",C3147&gt;=1980,J3147="No"),"Yes","No")</f>
        <v/>
      </c>
      <c r="L3147" s="26">
        <f>IF(J3147="Yes","",H3147-I3147)</f>
        <v/>
      </c>
      <c r="M3147" s="27">
        <f>IF(OR(J3147="Yes",I3147=0),"",H3147/I3147)</f>
        <v/>
      </c>
      <c r="N3147" s="21">
        <f>IF(J3147="Yes","",IF(H3147&gt;=I3147,1,0))</f>
        <v/>
      </c>
      <c r="O3147" s="21">
        <f>IF(I3147&lt;=5000000,"Under $5M",IF(I3147&lt;=20000000,"$5M-20M",IF(I3147&lt;=50000000,"$20M-50M",IF(I3147&lt;=100000000,"$50M-100M","$100M+"))))</f>
        <v/>
      </c>
      <c r="P3147" s="21">
        <f>IF(E3147&lt;=90,"90 or less",IF(E3147&lt;=105,"91-105",IF(E3147&lt;=120,"106-120",IF(E3147&lt;=140,"121-140","Over 140"))))</f>
        <v/>
      </c>
      <c r="Q3147" s="28">
        <f>INT(C3147/10)*10</f>
        <v/>
      </c>
    </row>
    <row r="3148">
      <c r="A3148" s="21" t="n">
        <v>3212</v>
      </c>
      <c r="B3148" s="21" t="inlineStr">
        <is>
          <t>Breaking Upwards</t>
        </is>
      </c>
      <c r="C3148" s="21" t="n">
        <v>2009</v>
      </c>
      <c r="D3148" s="21" t="inlineStr">
        <is>
          <t>USA</t>
        </is>
      </c>
      <c r="E3148" s="21" t="n">
        <v>88</v>
      </c>
      <c r="F3148" s="21" t="inlineStr">
        <is>
          <t>English</t>
        </is>
      </c>
      <c r="G3148" s="21" t="n"/>
      <c r="H3148" s="22" t="n">
        <v>76382</v>
      </c>
      <c r="I3148" s="22" t="n">
        <v>15000</v>
      </c>
      <c r="J3148" s="21">
        <f>IF(OR(H3148="",H3148=25529689.5),"Yes","No")</f>
        <v/>
      </c>
      <c r="K3148" s="21">
        <f>IF(AND(D3148="USA",C3148&gt;=1980,J3148="No"),"Yes","No")</f>
        <v/>
      </c>
      <c r="L3148" s="26">
        <f>IF(J3148="Yes","",H3148-I3148)</f>
        <v/>
      </c>
      <c r="M3148" s="27">
        <f>IF(OR(J3148="Yes",I3148=0),"",H3148/I3148)</f>
        <v/>
      </c>
      <c r="N3148" s="21">
        <f>IF(J3148="Yes","",IF(H3148&gt;=I3148,1,0))</f>
        <v/>
      </c>
      <c r="O3148" s="21">
        <f>IF(I3148&lt;=5000000,"Under $5M",IF(I3148&lt;=20000000,"$5M-20M",IF(I3148&lt;=50000000,"$20M-50M",IF(I3148&lt;=100000000,"$50M-100M","$100M+"))))</f>
        <v/>
      </c>
      <c r="P3148" s="21">
        <f>IF(E3148&lt;=90,"90 or less",IF(E3148&lt;=105,"91-105",IF(E3148&lt;=120,"106-120",IF(E3148&lt;=140,"121-140","Over 140"))))</f>
        <v/>
      </c>
      <c r="Q3148" s="28">
        <f>INT(C3148/10)*10</f>
        <v/>
      </c>
    </row>
    <row r="3149">
      <c r="A3149" s="21" t="n">
        <v>3213</v>
      </c>
      <c r="B3149" s="21" t="inlineStr">
        <is>
          <t>Bride Wars</t>
        </is>
      </c>
      <c r="C3149" s="21" t="n">
        <v>2009</v>
      </c>
      <c r="D3149" s="21" t="inlineStr">
        <is>
          <t>USA</t>
        </is>
      </c>
      <c r="E3149" s="21" t="n">
        <v>89</v>
      </c>
      <c r="F3149" s="21" t="inlineStr">
        <is>
          <t>English</t>
        </is>
      </c>
      <c r="G3149" s="21" t="inlineStr">
        <is>
          <t>PG</t>
        </is>
      </c>
      <c r="H3149" s="22" t="n">
        <v>58715510</v>
      </c>
      <c r="I3149" s="22" t="n">
        <v>30000000</v>
      </c>
      <c r="J3149" s="21">
        <f>IF(OR(H3149="",H3149=25529689.5),"Yes","No")</f>
        <v/>
      </c>
      <c r="K3149" s="21">
        <f>IF(AND(D3149="USA",C3149&gt;=1980,J3149="No"),"Yes","No")</f>
        <v/>
      </c>
      <c r="L3149" s="26">
        <f>IF(J3149="Yes","",H3149-I3149)</f>
        <v/>
      </c>
      <c r="M3149" s="27">
        <f>IF(OR(J3149="Yes",I3149=0),"",H3149/I3149)</f>
        <v/>
      </c>
      <c r="N3149" s="21">
        <f>IF(J3149="Yes","",IF(H3149&gt;=I3149,1,0))</f>
        <v/>
      </c>
      <c r="O3149" s="21">
        <f>IF(I3149&lt;=5000000,"Under $5M",IF(I3149&lt;=20000000,"$5M-20M",IF(I3149&lt;=50000000,"$20M-50M",IF(I3149&lt;=100000000,"$50M-100M","$100M+"))))</f>
        <v/>
      </c>
      <c r="P3149" s="21">
        <f>IF(E3149&lt;=90,"90 or less",IF(E3149&lt;=105,"91-105",IF(E3149&lt;=120,"106-120",IF(E3149&lt;=140,"121-140","Over 140"))))</f>
        <v/>
      </c>
      <c r="Q3149" s="28">
        <f>INT(C3149/10)*10</f>
        <v/>
      </c>
    </row>
    <row r="3150">
      <c r="A3150" s="21" t="n">
        <v>3214</v>
      </c>
      <c r="B3150" s="21" t="inlineStr">
        <is>
          <t>Bright Star</t>
        </is>
      </c>
      <c r="C3150" s="21" t="n">
        <v>2009</v>
      </c>
      <c r="D3150" s="21" t="inlineStr">
        <is>
          <t>UK</t>
        </is>
      </c>
      <c r="E3150" s="21" t="n">
        <v>119</v>
      </c>
      <c r="F3150" s="21" t="inlineStr">
        <is>
          <t>English</t>
        </is>
      </c>
      <c r="G3150" s="21" t="inlineStr">
        <is>
          <t>PG</t>
        </is>
      </c>
      <c r="H3150" s="22" t="n">
        <v>4440055</v>
      </c>
      <c r="I3150" s="22" t="n">
        <v>8500000</v>
      </c>
      <c r="J3150" s="21">
        <f>IF(OR(H3150="",H3150=25529689.5),"Yes","No")</f>
        <v/>
      </c>
      <c r="K3150" s="21">
        <f>IF(AND(D3150="USA",C3150&gt;=1980,J3150="No"),"Yes","No")</f>
        <v/>
      </c>
      <c r="L3150" s="26">
        <f>IF(J3150="Yes","",H3150-I3150)</f>
        <v/>
      </c>
      <c r="M3150" s="27">
        <f>IF(OR(J3150="Yes",I3150=0),"",H3150/I3150)</f>
        <v/>
      </c>
      <c r="N3150" s="21">
        <f>IF(J3150="Yes","",IF(H3150&gt;=I3150,1,0))</f>
        <v/>
      </c>
      <c r="O3150" s="21">
        <f>IF(I3150&lt;=5000000,"Under $5M",IF(I3150&lt;=20000000,"$5M-20M",IF(I3150&lt;=50000000,"$20M-50M",IF(I3150&lt;=100000000,"$50M-100M","$100M+"))))</f>
        <v/>
      </c>
      <c r="P3150" s="21">
        <f>IF(E3150&lt;=90,"90 or less",IF(E3150&lt;=105,"91-105",IF(E3150&lt;=120,"106-120",IF(E3150&lt;=140,"121-140","Over 140"))))</f>
        <v/>
      </c>
      <c r="Q3150" s="28">
        <f>INT(C3150/10)*10</f>
        <v/>
      </c>
    </row>
    <row r="3151">
      <c r="A3151" s="21" t="n">
        <v>3215</v>
      </c>
      <c r="B3151" s="21" t="inlineStr">
        <is>
          <t>Brooklyn's Finest</t>
        </is>
      </c>
      <c r="C3151" s="21" t="n">
        <v>2009</v>
      </c>
      <c r="D3151" s="21" t="inlineStr">
        <is>
          <t>USA</t>
        </is>
      </c>
      <c r="E3151" s="21" t="n">
        <v>132</v>
      </c>
      <c r="F3151" s="21" t="inlineStr">
        <is>
          <t>English</t>
        </is>
      </c>
      <c r="G3151" s="21" t="inlineStr">
        <is>
          <t>R</t>
        </is>
      </c>
      <c r="H3151" s="22" t="n">
        <v>27154426</v>
      </c>
      <c r="I3151" s="22" t="n">
        <v>17000000</v>
      </c>
      <c r="J3151" s="21">
        <f>IF(OR(H3151="",H3151=25529689.5),"Yes","No")</f>
        <v/>
      </c>
      <c r="K3151" s="21">
        <f>IF(AND(D3151="USA",C3151&gt;=1980,J3151="No"),"Yes","No")</f>
        <v/>
      </c>
      <c r="L3151" s="26">
        <f>IF(J3151="Yes","",H3151-I3151)</f>
        <v/>
      </c>
      <c r="M3151" s="27">
        <f>IF(OR(J3151="Yes",I3151=0),"",H3151/I3151)</f>
        <v/>
      </c>
      <c r="N3151" s="21">
        <f>IF(J3151="Yes","",IF(H3151&gt;=I3151,1,0))</f>
        <v/>
      </c>
      <c r="O3151" s="21">
        <f>IF(I3151&lt;=5000000,"Under $5M",IF(I3151&lt;=20000000,"$5M-20M",IF(I3151&lt;=50000000,"$20M-50M",IF(I3151&lt;=100000000,"$50M-100M","$100M+"))))</f>
        <v/>
      </c>
      <c r="P3151" s="21">
        <f>IF(E3151&lt;=90,"90 or less",IF(E3151&lt;=105,"91-105",IF(E3151&lt;=120,"106-120",IF(E3151&lt;=140,"121-140","Over 140"))))</f>
        <v/>
      </c>
      <c r="Q3151" s="28">
        <f>INT(C3151/10)*10</f>
        <v/>
      </c>
    </row>
    <row r="3152">
      <c r="A3152" s="21" t="n">
        <v>3216</v>
      </c>
      <c r="B3152" s="21" t="inlineStr">
        <is>
          <t>Brothers</t>
        </is>
      </c>
      <c r="C3152" s="21" t="n">
        <v>2009</v>
      </c>
      <c r="D3152" s="21" t="inlineStr">
        <is>
          <t>USA</t>
        </is>
      </c>
      <c r="E3152" s="21" t="n">
        <v>105</v>
      </c>
      <c r="F3152" s="21" t="inlineStr">
        <is>
          <t>English</t>
        </is>
      </c>
      <c r="G3152" s="21" t="inlineStr">
        <is>
          <t>R</t>
        </is>
      </c>
      <c r="H3152" s="22" t="n">
        <v>28501651</v>
      </c>
      <c r="I3152" s="22" t="n">
        <v>26000000</v>
      </c>
      <c r="J3152" s="21">
        <f>IF(OR(H3152="",H3152=25529689.5),"Yes","No")</f>
        <v/>
      </c>
      <c r="K3152" s="21">
        <f>IF(AND(D3152="USA",C3152&gt;=1980,J3152="No"),"Yes","No")</f>
        <v/>
      </c>
      <c r="L3152" s="26">
        <f>IF(J3152="Yes","",H3152-I3152)</f>
        <v/>
      </c>
      <c r="M3152" s="27">
        <f>IF(OR(J3152="Yes",I3152=0),"",H3152/I3152)</f>
        <v/>
      </c>
      <c r="N3152" s="21">
        <f>IF(J3152="Yes","",IF(H3152&gt;=I3152,1,0))</f>
        <v/>
      </c>
      <c r="O3152" s="21">
        <f>IF(I3152&lt;=5000000,"Under $5M",IF(I3152&lt;=20000000,"$5M-20M",IF(I3152&lt;=50000000,"$20M-50M",IF(I3152&lt;=100000000,"$50M-100M","$100M+"))))</f>
        <v/>
      </c>
      <c r="P3152" s="21">
        <f>IF(E3152&lt;=90,"90 or less",IF(E3152&lt;=105,"91-105",IF(E3152&lt;=120,"106-120",IF(E3152&lt;=140,"121-140","Over 140"))))</f>
        <v/>
      </c>
      <c r="Q3152" s="28">
        <f>INT(C3152/10)*10</f>
        <v/>
      </c>
    </row>
    <row r="3153">
      <c r="A3153" s="21" t="n">
        <v>3218</v>
      </c>
      <c r="B3153" s="21" t="inlineStr">
        <is>
          <t>BrÃ¼no</t>
        </is>
      </c>
      <c r="C3153" s="21" t="n">
        <v>2009</v>
      </c>
      <c r="D3153" s="21" t="inlineStr">
        <is>
          <t>USA</t>
        </is>
      </c>
      <c r="E3153" s="21" t="n">
        <v>81</v>
      </c>
      <c r="F3153" s="21" t="inlineStr">
        <is>
          <t>English</t>
        </is>
      </c>
      <c r="G3153" s="21" t="inlineStr">
        <is>
          <t>R</t>
        </is>
      </c>
      <c r="H3153" s="22" t="n">
        <v>59992760</v>
      </c>
      <c r="I3153" s="22" t="n">
        <v>42000000</v>
      </c>
      <c r="J3153" s="21">
        <f>IF(OR(H3153="",H3153=25529689.5),"Yes","No")</f>
        <v/>
      </c>
      <c r="K3153" s="21">
        <f>IF(AND(D3153="USA",C3153&gt;=1980,J3153="No"),"Yes","No")</f>
        <v/>
      </c>
      <c r="L3153" s="26">
        <f>IF(J3153="Yes","",H3153-I3153)</f>
        <v/>
      </c>
      <c r="M3153" s="27">
        <f>IF(OR(J3153="Yes",I3153=0),"",H3153/I3153)</f>
        <v/>
      </c>
      <c r="N3153" s="21">
        <f>IF(J3153="Yes","",IF(H3153&gt;=I3153,1,0))</f>
        <v/>
      </c>
      <c r="O3153" s="21">
        <f>IF(I3153&lt;=5000000,"Under $5M",IF(I3153&lt;=20000000,"$5M-20M",IF(I3153&lt;=50000000,"$20M-50M",IF(I3153&lt;=100000000,"$50M-100M","$100M+"))))</f>
        <v/>
      </c>
      <c r="P3153" s="21">
        <f>IF(E3153&lt;=90,"90 or less",IF(E3153&lt;=105,"91-105",IF(E3153&lt;=120,"106-120",IF(E3153&lt;=140,"121-140","Over 140"))))</f>
        <v/>
      </c>
      <c r="Q3153" s="28">
        <f>INT(C3153/10)*10</f>
        <v/>
      </c>
    </row>
    <row r="3154">
      <c r="A3154" s="21" t="n">
        <v>3219</v>
      </c>
      <c r="B3154" s="21" t="inlineStr">
        <is>
          <t>Capitalism: A Love Story</t>
        </is>
      </c>
      <c r="C3154" s="21" t="n">
        <v>2009</v>
      </c>
      <c r="D3154" s="21" t="inlineStr">
        <is>
          <t>USA</t>
        </is>
      </c>
      <c r="E3154" s="21" t="n">
        <v>105</v>
      </c>
      <c r="F3154" s="21" t="inlineStr">
        <is>
          <t>English</t>
        </is>
      </c>
      <c r="G3154" s="21" t="inlineStr">
        <is>
          <t>R</t>
        </is>
      </c>
      <c r="H3154" s="22" t="n">
        <v>14359793</v>
      </c>
      <c r="I3154" s="22" t="n">
        <v>20000000</v>
      </c>
      <c r="J3154" s="21">
        <f>IF(OR(H3154="",H3154=25529689.5),"Yes","No")</f>
        <v/>
      </c>
      <c r="K3154" s="21">
        <f>IF(AND(D3154="USA",C3154&gt;=1980,J3154="No"),"Yes","No")</f>
        <v/>
      </c>
      <c r="L3154" s="26">
        <f>IF(J3154="Yes","",H3154-I3154)</f>
        <v/>
      </c>
      <c r="M3154" s="27">
        <f>IF(OR(J3154="Yes",I3154=0),"",H3154/I3154)</f>
        <v/>
      </c>
      <c r="N3154" s="21">
        <f>IF(J3154="Yes","",IF(H3154&gt;=I3154,1,0))</f>
        <v/>
      </c>
      <c r="O3154" s="21">
        <f>IF(I3154&lt;=5000000,"Under $5M",IF(I3154&lt;=20000000,"$5M-20M",IF(I3154&lt;=50000000,"$20M-50M",IF(I3154&lt;=100000000,"$50M-100M","$100M+"))))</f>
        <v/>
      </c>
      <c r="P3154" s="21">
        <f>IF(E3154&lt;=90,"90 or less",IF(E3154&lt;=105,"91-105",IF(E3154&lt;=120,"106-120",IF(E3154&lt;=140,"121-140","Over 140"))))</f>
        <v/>
      </c>
      <c r="Q3154" s="28">
        <f>INT(C3154/10)*10</f>
        <v/>
      </c>
    </row>
    <row r="3155">
      <c r="A3155" s="21" t="n">
        <v>3220</v>
      </c>
      <c r="B3155" s="21" t="inlineStr">
        <is>
          <t>Cargo</t>
        </is>
      </c>
      <c r="C3155" s="21" t="n">
        <v>2009</v>
      </c>
      <c r="D3155" s="21" t="inlineStr">
        <is>
          <t>Switzerland</t>
        </is>
      </c>
      <c r="E3155" s="21" t="n">
        <v>112</v>
      </c>
      <c r="F3155" s="21" t="inlineStr">
        <is>
          <t>German</t>
        </is>
      </c>
      <c r="G3155" s="21" t="n"/>
      <c r="H3155" s="22" t="n">
        <v>25529689.5</v>
      </c>
      <c r="I3155" s="22" t="n">
        <v>4500000</v>
      </c>
      <c r="J3155" s="21">
        <f>IF(OR(H3155="",H3155=25529689.5),"Yes","No")</f>
        <v/>
      </c>
      <c r="K3155" s="21">
        <f>IF(AND(D3155="USA",C3155&gt;=1980,J3155="No"),"Yes","No")</f>
        <v/>
      </c>
      <c r="L3155" s="26">
        <f>IF(J3155="Yes","",H3155-I3155)</f>
        <v/>
      </c>
      <c r="M3155" s="27">
        <f>IF(OR(J3155="Yes",I3155=0),"",H3155/I3155)</f>
        <v/>
      </c>
      <c r="N3155" s="21">
        <f>IF(J3155="Yes","",IF(H3155&gt;=I3155,1,0))</f>
        <v/>
      </c>
      <c r="O3155" s="21">
        <f>IF(I3155&lt;=5000000,"Under $5M",IF(I3155&lt;=20000000,"$5M-20M",IF(I3155&lt;=50000000,"$20M-50M",IF(I3155&lt;=100000000,"$50M-100M","$100M+"))))</f>
        <v/>
      </c>
      <c r="P3155" s="21">
        <f>IF(E3155&lt;=90,"90 or less",IF(E3155&lt;=105,"91-105",IF(E3155&lt;=120,"106-120",IF(E3155&lt;=140,"121-140","Over 140"))))</f>
        <v/>
      </c>
      <c r="Q3155" s="28">
        <f>INT(C3155/10)*10</f>
        <v/>
      </c>
    </row>
    <row r="3156">
      <c r="A3156" s="21" t="n">
        <v>3221</v>
      </c>
      <c r="B3156" s="21" t="inlineStr">
        <is>
          <t>Carriers</t>
        </is>
      </c>
      <c r="C3156" s="21" t="n">
        <v>2009</v>
      </c>
      <c r="D3156" s="21" t="inlineStr">
        <is>
          <t>USA</t>
        </is>
      </c>
      <c r="E3156" s="21" t="n">
        <v>84</v>
      </c>
      <c r="F3156" s="21" t="inlineStr">
        <is>
          <t>English</t>
        </is>
      </c>
      <c r="G3156" s="21" t="inlineStr">
        <is>
          <t>PG-13</t>
        </is>
      </c>
      <c r="H3156" s="22" t="n">
        <v>90820</v>
      </c>
      <c r="I3156" s="22" t="n">
        <v>20000000</v>
      </c>
      <c r="J3156" s="21">
        <f>IF(OR(H3156="",H3156=25529689.5),"Yes","No")</f>
        <v/>
      </c>
      <c r="K3156" s="21">
        <f>IF(AND(D3156="USA",C3156&gt;=1980,J3156="No"),"Yes","No")</f>
        <v/>
      </c>
      <c r="L3156" s="26">
        <f>IF(J3156="Yes","",H3156-I3156)</f>
        <v/>
      </c>
      <c r="M3156" s="27">
        <f>IF(OR(J3156="Yes",I3156=0),"",H3156/I3156)</f>
        <v/>
      </c>
      <c r="N3156" s="21">
        <f>IF(J3156="Yes","",IF(H3156&gt;=I3156,1,0))</f>
        <v/>
      </c>
      <c r="O3156" s="21">
        <f>IF(I3156&lt;=5000000,"Under $5M",IF(I3156&lt;=20000000,"$5M-20M",IF(I3156&lt;=50000000,"$20M-50M",IF(I3156&lt;=100000000,"$50M-100M","$100M+"))))</f>
        <v/>
      </c>
      <c r="P3156" s="21">
        <f>IF(E3156&lt;=90,"90 or less",IF(E3156&lt;=105,"91-105",IF(E3156&lt;=120,"106-120",IF(E3156&lt;=140,"121-140","Over 140"))))</f>
        <v/>
      </c>
      <c r="Q3156" s="28">
        <f>INT(C3156/10)*10</f>
        <v/>
      </c>
    </row>
    <row r="3157">
      <c r="A3157" s="21" t="n">
        <v>3222</v>
      </c>
      <c r="B3157" s="21" t="inlineStr">
        <is>
          <t>Case 39</t>
        </is>
      </c>
      <c r="C3157" s="21" t="n">
        <v>2009</v>
      </c>
      <c r="D3157" s="21" t="inlineStr">
        <is>
          <t>USA</t>
        </is>
      </c>
      <c r="E3157" s="21" t="n">
        <v>109</v>
      </c>
      <c r="F3157" s="21" t="inlineStr">
        <is>
          <t>English</t>
        </is>
      </c>
      <c r="G3157" s="21" t="inlineStr">
        <is>
          <t>R</t>
        </is>
      </c>
      <c r="H3157" s="22" t="n">
        <v>13248477</v>
      </c>
      <c r="I3157" s="22" t="n">
        <v>27000000</v>
      </c>
      <c r="J3157" s="21">
        <f>IF(OR(H3157="",H3157=25529689.5),"Yes","No")</f>
        <v/>
      </c>
      <c r="K3157" s="21">
        <f>IF(AND(D3157="USA",C3157&gt;=1980,J3157="No"),"Yes","No")</f>
        <v/>
      </c>
      <c r="L3157" s="26">
        <f>IF(J3157="Yes","",H3157-I3157)</f>
        <v/>
      </c>
      <c r="M3157" s="27">
        <f>IF(OR(J3157="Yes",I3157=0),"",H3157/I3157)</f>
        <v/>
      </c>
      <c r="N3157" s="21">
        <f>IF(J3157="Yes","",IF(H3157&gt;=I3157,1,0))</f>
        <v/>
      </c>
      <c r="O3157" s="21">
        <f>IF(I3157&lt;=5000000,"Under $5M",IF(I3157&lt;=20000000,"$5M-20M",IF(I3157&lt;=50000000,"$20M-50M",IF(I3157&lt;=100000000,"$50M-100M","$100M+"))))</f>
        <v/>
      </c>
      <c r="P3157" s="21">
        <f>IF(E3157&lt;=90,"90 or less",IF(E3157&lt;=105,"91-105",IF(E3157&lt;=120,"106-120",IF(E3157&lt;=140,"121-140","Over 140"))))</f>
        <v/>
      </c>
      <c r="Q3157" s="28">
        <f>INT(C3157/10)*10</f>
        <v/>
      </c>
    </row>
    <row r="3158">
      <c r="A3158" s="21" t="n">
        <v>3223</v>
      </c>
      <c r="B3158" s="21" t="inlineStr">
        <is>
          <t>Chain Letter</t>
        </is>
      </c>
      <c r="C3158" s="21" t="n">
        <v>2009</v>
      </c>
      <c r="D3158" s="21" t="inlineStr">
        <is>
          <t>USA</t>
        </is>
      </c>
      <c r="E3158" s="21" t="n">
        <v>88</v>
      </c>
      <c r="F3158" s="21" t="inlineStr">
        <is>
          <t>English</t>
        </is>
      </c>
      <c r="G3158" s="21" t="inlineStr">
        <is>
          <t>R</t>
        </is>
      </c>
      <c r="H3158" s="22" t="n">
        <v>143000</v>
      </c>
      <c r="I3158" s="22" t="n">
        <v>5000000</v>
      </c>
      <c r="J3158" s="21">
        <f>IF(OR(H3158="",H3158=25529689.5),"Yes","No")</f>
        <v/>
      </c>
      <c r="K3158" s="21">
        <f>IF(AND(D3158="USA",C3158&gt;=1980,J3158="No"),"Yes","No")</f>
        <v/>
      </c>
      <c r="L3158" s="26">
        <f>IF(J3158="Yes","",H3158-I3158)</f>
        <v/>
      </c>
      <c r="M3158" s="27">
        <f>IF(OR(J3158="Yes",I3158=0),"",H3158/I3158)</f>
        <v/>
      </c>
      <c r="N3158" s="21">
        <f>IF(J3158="Yes","",IF(H3158&gt;=I3158,1,0))</f>
        <v/>
      </c>
      <c r="O3158" s="21">
        <f>IF(I3158&lt;=5000000,"Under $5M",IF(I3158&lt;=20000000,"$5M-20M",IF(I3158&lt;=50000000,"$20M-50M",IF(I3158&lt;=100000000,"$50M-100M","$100M+"))))</f>
        <v/>
      </c>
      <c r="P3158" s="21">
        <f>IF(E3158&lt;=90,"90 or less",IF(E3158&lt;=105,"91-105",IF(E3158&lt;=120,"106-120",IF(E3158&lt;=140,"121-140","Over 140"))))</f>
        <v/>
      </c>
      <c r="Q3158" s="28">
        <f>INT(C3158/10)*10</f>
        <v/>
      </c>
    </row>
    <row r="3159">
      <c r="A3159" s="21" t="n">
        <v>3224</v>
      </c>
      <c r="B3159" s="21" t="inlineStr">
        <is>
          <t>ChÃ©ri</t>
        </is>
      </c>
      <c r="C3159" s="21" t="n">
        <v>2009</v>
      </c>
      <c r="D3159" s="21" t="inlineStr">
        <is>
          <t>UK</t>
        </is>
      </c>
      <c r="E3159" s="21" t="n">
        <v>100</v>
      </c>
      <c r="F3159" s="21" t="inlineStr">
        <is>
          <t>English</t>
        </is>
      </c>
      <c r="G3159" s="21" t="inlineStr">
        <is>
          <t>R</t>
        </is>
      </c>
      <c r="H3159" s="22" t="n">
        <v>2708188</v>
      </c>
      <c r="I3159" s="22" t="n">
        <v>23000000</v>
      </c>
      <c r="J3159" s="21">
        <f>IF(OR(H3159="",H3159=25529689.5),"Yes","No")</f>
        <v/>
      </c>
      <c r="K3159" s="21">
        <f>IF(AND(D3159="USA",C3159&gt;=1980,J3159="No"),"Yes","No")</f>
        <v/>
      </c>
      <c r="L3159" s="26">
        <f>IF(J3159="Yes","",H3159-I3159)</f>
        <v/>
      </c>
      <c r="M3159" s="27">
        <f>IF(OR(J3159="Yes",I3159=0),"",H3159/I3159)</f>
        <v/>
      </c>
      <c r="N3159" s="21">
        <f>IF(J3159="Yes","",IF(H3159&gt;=I3159,1,0))</f>
        <v/>
      </c>
      <c r="O3159" s="21">
        <f>IF(I3159&lt;=5000000,"Under $5M",IF(I3159&lt;=20000000,"$5M-20M",IF(I3159&lt;=50000000,"$20M-50M",IF(I3159&lt;=100000000,"$50M-100M","$100M+"))))</f>
        <v/>
      </c>
      <c r="P3159" s="21">
        <f>IF(E3159&lt;=90,"90 or less",IF(E3159&lt;=105,"91-105",IF(E3159&lt;=120,"106-120",IF(E3159&lt;=140,"121-140","Over 140"))))</f>
        <v/>
      </c>
      <c r="Q3159" s="28">
        <f>INT(C3159/10)*10</f>
        <v/>
      </c>
    </row>
    <row r="3160">
      <c r="A3160" s="21" t="n">
        <v>3225</v>
      </c>
      <c r="B3160" s="21" t="inlineStr">
        <is>
          <t>Chicago Overcoat</t>
        </is>
      </c>
      <c r="C3160" s="21" t="n">
        <v>2009</v>
      </c>
      <c r="D3160" s="21" t="inlineStr">
        <is>
          <t>USA</t>
        </is>
      </c>
      <c r="E3160" s="21" t="n">
        <v>94</v>
      </c>
      <c r="F3160" s="21" t="inlineStr">
        <is>
          <t>English</t>
        </is>
      </c>
      <c r="G3160" s="21" t="inlineStr">
        <is>
          <t>R</t>
        </is>
      </c>
      <c r="H3160" s="22" t="n">
        <v>25529689.5</v>
      </c>
      <c r="I3160" s="22" t="n">
        <v>3000000</v>
      </c>
      <c r="J3160" s="21">
        <f>IF(OR(H3160="",H3160=25529689.5),"Yes","No")</f>
        <v/>
      </c>
      <c r="K3160" s="21">
        <f>IF(AND(D3160="USA",C3160&gt;=1980,J3160="No"),"Yes","No")</f>
        <v/>
      </c>
      <c r="L3160" s="26">
        <f>IF(J3160="Yes","",H3160-I3160)</f>
        <v/>
      </c>
      <c r="M3160" s="27">
        <f>IF(OR(J3160="Yes",I3160=0),"",H3160/I3160)</f>
        <v/>
      </c>
      <c r="N3160" s="21">
        <f>IF(J3160="Yes","",IF(H3160&gt;=I3160,1,0))</f>
        <v/>
      </c>
      <c r="O3160" s="21">
        <f>IF(I3160&lt;=5000000,"Under $5M",IF(I3160&lt;=20000000,"$5M-20M",IF(I3160&lt;=50000000,"$20M-50M",IF(I3160&lt;=100000000,"$50M-100M","$100M+"))))</f>
        <v/>
      </c>
      <c r="P3160" s="21">
        <f>IF(E3160&lt;=90,"90 or less",IF(E3160&lt;=105,"91-105",IF(E3160&lt;=120,"106-120",IF(E3160&lt;=140,"121-140","Over 140"))))</f>
        <v/>
      </c>
      <c r="Q3160" s="28">
        <f>INT(C3160/10)*10</f>
        <v/>
      </c>
    </row>
    <row r="3161">
      <c r="A3161" s="21" t="n">
        <v>3226</v>
      </c>
      <c r="B3161" s="21" t="inlineStr">
        <is>
          <t>Chloe</t>
        </is>
      </c>
      <c r="C3161" s="21" t="n">
        <v>2009</v>
      </c>
      <c r="D3161" s="21" t="inlineStr">
        <is>
          <t>USA</t>
        </is>
      </c>
      <c r="E3161" s="21" t="n">
        <v>96</v>
      </c>
      <c r="F3161" s="21" t="inlineStr">
        <is>
          <t>English</t>
        </is>
      </c>
      <c r="G3161" s="21" t="inlineStr">
        <is>
          <t>R</t>
        </is>
      </c>
      <c r="H3161" s="22" t="n">
        <v>3074838</v>
      </c>
      <c r="I3161" s="22" t="n">
        <v>11000000</v>
      </c>
      <c r="J3161" s="21">
        <f>IF(OR(H3161="",H3161=25529689.5),"Yes","No")</f>
        <v/>
      </c>
      <c r="K3161" s="21">
        <f>IF(AND(D3161="USA",C3161&gt;=1980,J3161="No"),"Yes","No")</f>
        <v/>
      </c>
      <c r="L3161" s="26">
        <f>IF(J3161="Yes","",H3161-I3161)</f>
        <v/>
      </c>
      <c r="M3161" s="27">
        <f>IF(OR(J3161="Yes",I3161=0),"",H3161/I3161)</f>
        <v/>
      </c>
      <c r="N3161" s="21">
        <f>IF(J3161="Yes","",IF(H3161&gt;=I3161,1,0))</f>
        <v/>
      </c>
      <c r="O3161" s="21">
        <f>IF(I3161&lt;=5000000,"Under $5M",IF(I3161&lt;=20000000,"$5M-20M",IF(I3161&lt;=50000000,"$20M-50M",IF(I3161&lt;=100000000,"$50M-100M","$100M+"))))</f>
        <v/>
      </c>
      <c r="P3161" s="21">
        <f>IF(E3161&lt;=90,"90 or less",IF(E3161&lt;=105,"91-105",IF(E3161&lt;=120,"106-120",IF(E3161&lt;=140,"121-140","Over 140"))))</f>
        <v/>
      </c>
      <c r="Q3161" s="28">
        <f>INT(C3161/10)*10</f>
        <v/>
      </c>
    </row>
    <row r="3162">
      <c r="A3162" s="21" t="n">
        <v>3227</v>
      </c>
      <c r="B3162" s="21" t="inlineStr">
        <is>
          <t>Cirque du Freak: The Vampire's Assistant</t>
        </is>
      </c>
      <c r="C3162" s="21" t="n">
        <v>2009</v>
      </c>
      <c r="D3162" s="21" t="inlineStr">
        <is>
          <t>USA</t>
        </is>
      </c>
      <c r="E3162" s="21" t="n">
        <v>109</v>
      </c>
      <c r="F3162" s="21" t="inlineStr">
        <is>
          <t>English</t>
        </is>
      </c>
      <c r="G3162" s="21" t="inlineStr">
        <is>
          <t>PG-13</t>
        </is>
      </c>
      <c r="H3162" s="22" t="n">
        <v>13838130</v>
      </c>
      <c r="I3162" s="22" t="n">
        <v>40000000</v>
      </c>
      <c r="J3162" s="21">
        <f>IF(OR(H3162="",H3162=25529689.5),"Yes","No")</f>
        <v/>
      </c>
      <c r="K3162" s="21">
        <f>IF(AND(D3162="USA",C3162&gt;=1980,J3162="No"),"Yes","No")</f>
        <v/>
      </c>
      <c r="L3162" s="26">
        <f>IF(J3162="Yes","",H3162-I3162)</f>
        <v/>
      </c>
      <c r="M3162" s="27">
        <f>IF(OR(J3162="Yes",I3162=0),"",H3162/I3162)</f>
        <v/>
      </c>
      <c r="N3162" s="21">
        <f>IF(J3162="Yes","",IF(H3162&gt;=I3162,1,0))</f>
        <v/>
      </c>
      <c r="O3162" s="21">
        <f>IF(I3162&lt;=5000000,"Under $5M",IF(I3162&lt;=20000000,"$5M-20M",IF(I3162&lt;=50000000,"$20M-50M",IF(I3162&lt;=100000000,"$50M-100M","$100M+"))))</f>
        <v/>
      </c>
      <c r="P3162" s="21">
        <f>IF(E3162&lt;=90,"90 or less",IF(E3162&lt;=105,"91-105",IF(E3162&lt;=120,"106-120",IF(E3162&lt;=140,"121-140","Over 140"))))</f>
        <v/>
      </c>
      <c r="Q3162" s="28">
        <f>INT(C3162/10)*10</f>
        <v/>
      </c>
    </row>
    <row r="3163">
      <c r="A3163" s="21" t="n">
        <v>3228</v>
      </c>
      <c r="B3163" s="21" t="inlineStr">
        <is>
          <t>City Island</t>
        </is>
      </c>
      <c r="C3163" s="21" t="n">
        <v>2009</v>
      </c>
      <c r="D3163" s="21" t="inlineStr">
        <is>
          <t>USA</t>
        </is>
      </c>
      <c r="E3163" s="21" t="n">
        <v>104</v>
      </c>
      <c r="F3163" s="21" t="inlineStr">
        <is>
          <t>English</t>
        </is>
      </c>
      <c r="G3163" s="21" t="inlineStr">
        <is>
          <t>PG-13</t>
        </is>
      </c>
      <c r="H3163" s="22" t="n">
        <v>6670712</v>
      </c>
      <c r="I3163" s="22" t="n">
        <v>6000000</v>
      </c>
      <c r="J3163" s="21">
        <f>IF(OR(H3163="",H3163=25529689.5),"Yes","No")</f>
        <v/>
      </c>
      <c r="K3163" s="21">
        <f>IF(AND(D3163="USA",C3163&gt;=1980,J3163="No"),"Yes","No")</f>
        <v/>
      </c>
      <c r="L3163" s="26">
        <f>IF(J3163="Yes","",H3163-I3163)</f>
        <v/>
      </c>
      <c r="M3163" s="27">
        <f>IF(OR(J3163="Yes",I3163=0),"",H3163/I3163)</f>
        <v/>
      </c>
      <c r="N3163" s="21">
        <f>IF(J3163="Yes","",IF(H3163&gt;=I3163,1,0))</f>
        <v/>
      </c>
      <c r="O3163" s="21">
        <f>IF(I3163&lt;=5000000,"Under $5M",IF(I3163&lt;=20000000,"$5M-20M",IF(I3163&lt;=50000000,"$20M-50M",IF(I3163&lt;=100000000,"$50M-100M","$100M+"))))</f>
        <v/>
      </c>
      <c r="P3163" s="21">
        <f>IF(E3163&lt;=90,"90 or less",IF(E3163&lt;=105,"91-105",IF(E3163&lt;=120,"106-120",IF(E3163&lt;=140,"121-140","Over 140"))))</f>
        <v/>
      </c>
      <c r="Q3163" s="28">
        <f>INT(C3163/10)*10</f>
        <v/>
      </c>
    </row>
    <row r="3164">
      <c r="A3164" s="21" t="n">
        <v>3229</v>
      </c>
      <c r="B3164" s="21" t="inlineStr">
        <is>
          <t>City of Life and Death</t>
        </is>
      </c>
      <c r="C3164" s="21" t="n">
        <v>2009</v>
      </c>
      <c r="D3164" s="21" t="inlineStr">
        <is>
          <t>China</t>
        </is>
      </c>
      <c r="E3164" s="21" t="n">
        <v>132</v>
      </c>
      <c r="F3164" s="21" t="inlineStr">
        <is>
          <t>Mandarin</t>
        </is>
      </c>
      <c r="G3164" s="21" t="inlineStr">
        <is>
          <t>R</t>
        </is>
      </c>
      <c r="H3164" s="22" t="n">
        <v>119922</v>
      </c>
      <c r="I3164" s="22" t="n">
        <v>12000000</v>
      </c>
      <c r="J3164" s="21">
        <f>IF(OR(H3164="",H3164=25529689.5),"Yes","No")</f>
        <v/>
      </c>
      <c r="K3164" s="21">
        <f>IF(AND(D3164="USA",C3164&gt;=1980,J3164="No"),"Yes","No")</f>
        <v/>
      </c>
      <c r="L3164" s="26">
        <f>IF(J3164="Yes","",H3164-I3164)</f>
        <v/>
      </c>
      <c r="M3164" s="27">
        <f>IF(OR(J3164="Yes",I3164=0),"",H3164/I3164)</f>
        <v/>
      </c>
      <c r="N3164" s="21">
        <f>IF(J3164="Yes","",IF(H3164&gt;=I3164,1,0))</f>
        <v/>
      </c>
      <c r="O3164" s="21">
        <f>IF(I3164&lt;=5000000,"Under $5M",IF(I3164&lt;=20000000,"$5M-20M",IF(I3164&lt;=50000000,"$20M-50M",IF(I3164&lt;=100000000,"$50M-100M","$100M+"))))</f>
        <v/>
      </c>
      <c r="P3164" s="21">
        <f>IF(E3164&lt;=90,"90 or less",IF(E3164&lt;=105,"91-105",IF(E3164&lt;=120,"106-120",IF(E3164&lt;=140,"121-140","Over 140"))))</f>
        <v/>
      </c>
      <c r="Q3164" s="28">
        <f>INT(C3164/10)*10</f>
        <v/>
      </c>
    </row>
    <row r="3165">
      <c r="A3165" s="21" t="n">
        <v>3230</v>
      </c>
      <c r="B3165" s="21" t="inlineStr">
        <is>
          <t>Cloudy with a Chance of Meatballs</t>
        </is>
      </c>
      <c r="C3165" s="21" t="n">
        <v>2009</v>
      </c>
      <c r="D3165" s="21" t="inlineStr">
        <is>
          <t>USA</t>
        </is>
      </c>
      <c r="E3165" s="21" t="n">
        <v>90</v>
      </c>
      <c r="F3165" s="21" t="inlineStr">
        <is>
          <t>English</t>
        </is>
      </c>
      <c r="G3165" s="21" t="inlineStr">
        <is>
          <t>PG</t>
        </is>
      </c>
      <c r="H3165" s="22" t="n">
        <v>124870275</v>
      </c>
      <c r="I3165" s="22" t="n">
        <v>100000000</v>
      </c>
      <c r="J3165" s="21">
        <f>IF(OR(H3165="",H3165=25529689.5),"Yes","No")</f>
        <v/>
      </c>
      <c r="K3165" s="21">
        <f>IF(AND(D3165="USA",C3165&gt;=1980,J3165="No"),"Yes","No")</f>
        <v/>
      </c>
      <c r="L3165" s="26">
        <f>IF(J3165="Yes","",H3165-I3165)</f>
        <v/>
      </c>
      <c r="M3165" s="27">
        <f>IF(OR(J3165="Yes",I3165=0),"",H3165/I3165)</f>
        <v/>
      </c>
      <c r="N3165" s="21">
        <f>IF(J3165="Yes","",IF(H3165&gt;=I3165,1,0))</f>
        <v/>
      </c>
      <c r="O3165" s="21">
        <f>IF(I3165&lt;=5000000,"Under $5M",IF(I3165&lt;=20000000,"$5M-20M",IF(I3165&lt;=50000000,"$20M-50M",IF(I3165&lt;=100000000,"$50M-100M","$100M+"))))</f>
        <v/>
      </c>
      <c r="P3165" s="21">
        <f>IF(E3165&lt;=90,"90 or less",IF(E3165&lt;=105,"91-105",IF(E3165&lt;=120,"106-120",IF(E3165&lt;=140,"121-140","Over 140"))))</f>
        <v/>
      </c>
      <c r="Q3165" s="28">
        <f>INT(C3165/10)*10</f>
        <v/>
      </c>
    </row>
    <row r="3166">
      <c r="A3166" s="21" t="n">
        <v>3231</v>
      </c>
      <c r="B3166" s="21" t="inlineStr">
        <is>
          <t>Coco Before Chanel</t>
        </is>
      </c>
      <c r="C3166" s="21" t="n">
        <v>2009</v>
      </c>
      <c r="D3166" s="21" t="inlineStr">
        <is>
          <t>France</t>
        </is>
      </c>
      <c r="E3166" s="21" t="n">
        <v>111</v>
      </c>
      <c r="F3166" s="21" t="inlineStr">
        <is>
          <t>French</t>
        </is>
      </c>
      <c r="G3166" s="21" t="inlineStr">
        <is>
          <t>PG-13</t>
        </is>
      </c>
      <c r="H3166" s="22" t="n">
        <v>6109075</v>
      </c>
      <c r="I3166" s="22" t="n">
        <v>19430000</v>
      </c>
      <c r="J3166" s="21">
        <f>IF(OR(H3166="",H3166=25529689.5),"Yes","No")</f>
        <v/>
      </c>
      <c r="K3166" s="21">
        <f>IF(AND(D3166="USA",C3166&gt;=1980,J3166="No"),"Yes","No")</f>
        <v/>
      </c>
      <c r="L3166" s="26">
        <f>IF(J3166="Yes","",H3166-I3166)</f>
        <v/>
      </c>
      <c r="M3166" s="27">
        <f>IF(OR(J3166="Yes",I3166=0),"",H3166/I3166)</f>
        <v/>
      </c>
      <c r="N3166" s="21">
        <f>IF(J3166="Yes","",IF(H3166&gt;=I3166,1,0))</f>
        <v/>
      </c>
      <c r="O3166" s="21">
        <f>IF(I3166&lt;=5000000,"Under $5M",IF(I3166&lt;=20000000,"$5M-20M",IF(I3166&lt;=50000000,"$20M-50M",IF(I3166&lt;=100000000,"$50M-100M","$100M+"))))</f>
        <v/>
      </c>
      <c r="P3166" s="21">
        <f>IF(E3166&lt;=90,"90 or less",IF(E3166&lt;=105,"91-105",IF(E3166&lt;=120,"106-120",IF(E3166&lt;=140,"121-140","Over 140"))))</f>
        <v/>
      </c>
      <c r="Q3166" s="28">
        <f>INT(C3166/10)*10</f>
        <v/>
      </c>
    </row>
    <row r="3167">
      <c r="A3167" s="21" t="n">
        <v>3232</v>
      </c>
      <c r="B3167" s="21" t="inlineStr">
        <is>
          <t>Coraline</t>
        </is>
      </c>
      <c r="C3167" s="21" t="n">
        <v>2009</v>
      </c>
      <c r="D3167" s="21" t="inlineStr">
        <is>
          <t>USA</t>
        </is>
      </c>
      <c r="E3167" s="21" t="n">
        <v>100</v>
      </c>
      <c r="F3167" s="21" t="inlineStr">
        <is>
          <t>English</t>
        </is>
      </c>
      <c r="G3167" s="21" t="inlineStr">
        <is>
          <t>PG</t>
        </is>
      </c>
      <c r="H3167" s="22" t="n">
        <v>75280058</v>
      </c>
      <c r="I3167" s="22" t="n">
        <v>60000000</v>
      </c>
      <c r="J3167" s="21">
        <f>IF(OR(H3167="",H3167=25529689.5),"Yes","No")</f>
        <v/>
      </c>
      <c r="K3167" s="21">
        <f>IF(AND(D3167="USA",C3167&gt;=1980,J3167="No"),"Yes","No")</f>
        <v/>
      </c>
      <c r="L3167" s="26">
        <f>IF(J3167="Yes","",H3167-I3167)</f>
        <v/>
      </c>
      <c r="M3167" s="27">
        <f>IF(OR(J3167="Yes",I3167=0),"",H3167/I3167)</f>
        <v/>
      </c>
      <c r="N3167" s="21">
        <f>IF(J3167="Yes","",IF(H3167&gt;=I3167,1,0))</f>
        <v/>
      </c>
      <c r="O3167" s="21">
        <f>IF(I3167&lt;=5000000,"Under $5M",IF(I3167&lt;=20000000,"$5M-20M",IF(I3167&lt;=50000000,"$20M-50M",IF(I3167&lt;=100000000,"$50M-100M","$100M+"))))</f>
        <v/>
      </c>
      <c r="P3167" s="21">
        <f>IF(E3167&lt;=90,"90 or less",IF(E3167&lt;=105,"91-105",IF(E3167&lt;=120,"106-120",IF(E3167&lt;=140,"121-140","Over 140"))))</f>
        <v/>
      </c>
      <c r="Q3167" s="28">
        <f>INT(C3167/10)*10</f>
        <v/>
      </c>
    </row>
    <row r="3168">
      <c r="A3168" s="21" t="n">
        <v>3233</v>
      </c>
      <c r="B3168" s="21" t="inlineStr">
        <is>
          <t>Couples Retreat</t>
        </is>
      </c>
      <c r="C3168" s="21" t="n">
        <v>2009</v>
      </c>
      <c r="D3168" s="21" t="inlineStr">
        <is>
          <t>USA</t>
        </is>
      </c>
      <c r="E3168" s="21" t="n">
        <v>113</v>
      </c>
      <c r="F3168" s="21" t="inlineStr">
        <is>
          <t>English</t>
        </is>
      </c>
      <c r="G3168" s="21" t="inlineStr">
        <is>
          <t>PG-13</t>
        </is>
      </c>
      <c r="H3168" s="22" t="n">
        <v>109176215</v>
      </c>
      <c r="I3168" s="22" t="n">
        <v>60000000</v>
      </c>
      <c r="J3168" s="21">
        <f>IF(OR(H3168="",H3168=25529689.5),"Yes","No")</f>
        <v/>
      </c>
      <c r="K3168" s="21">
        <f>IF(AND(D3168="USA",C3168&gt;=1980,J3168="No"),"Yes","No")</f>
        <v/>
      </c>
      <c r="L3168" s="26">
        <f>IF(J3168="Yes","",H3168-I3168)</f>
        <v/>
      </c>
      <c r="M3168" s="27">
        <f>IF(OR(J3168="Yes",I3168=0),"",H3168/I3168)</f>
        <v/>
      </c>
      <c r="N3168" s="21">
        <f>IF(J3168="Yes","",IF(H3168&gt;=I3168,1,0))</f>
        <v/>
      </c>
      <c r="O3168" s="21">
        <f>IF(I3168&lt;=5000000,"Under $5M",IF(I3168&lt;=20000000,"$5M-20M",IF(I3168&lt;=50000000,"$20M-50M",IF(I3168&lt;=100000000,"$50M-100M","$100M+"))))</f>
        <v/>
      </c>
      <c r="P3168" s="21">
        <f>IF(E3168&lt;=90,"90 or less",IF(E3168&lt;=105,"91-105",IF(E3168&lt;=120,"106-120",IF(E3168&lt;=140,"121-140","Over 140"))))</f>
        <v/>
      </c>
      <c r="Q3168" s="28">
        <f>INT(C3168/10)*10</f>
        <v/>
      </c>
    </row>
    <row r="3169">
      <c r="A3169" s="21" t="n">
        <v>3234</v>
      </c>
      <c r="B3169" s="21" t="inlineStr">
        <is>
          <t>Crank: High Voltage</t>
        </is>
      </c>
      <c r="C3169" s="21" t="n">
        <v>2009</v>
      </c>
      <c r="D3169" s="21" t="inlineStr">
        <is>
          <t>USA</t>
        </is>
      </c>
      <c r="E3169" s="21" t="n">
        <v>96</v>
      </c>
      <c r="F3169" s="21" t="inlineStr">
        <is>
          <t>English</t>
        </is>
      </c>
      <c r="G3169" s="21" t="inlineStr">
        <is>
          <t>R</t>
        </is>
      </c>
      <c r="H3169" s="22" t="n">
        <v>13630226</v>
      </c>
      <c r="I3169" s="22" t="n">
        <v>20000000</v>
      </c>
      <c r="J3169" s="21">
        <f>IF(OR(H3169="",H3169=25529689.5),"Yes","No")</f>
        <v/>
      </c>
      <c r="K3169" s="21">
        <f>IF(AND(D3169="USA",C3169&gt;=1980,J3169="No"),"Yes","No")</f>
        <v/>
      </c>
      <c r="L3169" s="26">
        <f>IF(J3169="Yes","",H3169-I3169)</f>
        <v/>
      </c>
      <c r="M3169" s="27">
        <f>IF(OR(J3169="Yes",I3169=0),"",H3169/I3169)</f>
        <v/>
      </c>
      <c r="N3169" s="21">
        <f>IF(J3169="Yes","",IF(H3169&gt;=I3169,1,0))</f>
        <v/>
      </c>
      <c r="O3169" s="21">
        <f>IF(I3169&lt;=5000000,"Under $5M",IF(I3169&lt;=20000000,"$5M-20M",IF(I3169&lt;=50000000,"$20M-50M",IF(I3169&lt;=100000000,"$50M-100M","$100M+"))))</f>
        <v/>
      </c>
      <c r="P3169" s="21">
        <f>IF(E3169&lt;=90,"90 or less",IF(E3169&lt;=105,"91-105",IF(E3169&lt;=120,"106-120",IF(E3169&lt;=140,"121-140","Over 140"))))</f>
        <v/>
      </c>
      <c r="Q3169" s="28">
        <f>INT(C3169/10)*10</f>
        <v/>
      </c>
    </row>
    <row r="3170">
      <c r="A3170" s="21" t="n">
        <v>3235</v>
      </c>
      <c r="B3170" s="21" t="inlineStr">
        <is>
          <t>Crazy Heart</t>
        </is>
      </c>
      <c r="C3170" s="21" t="n">
        <v>2009</v>
      </c>
      <c r="D3170" s="21" t="inlineStr">
        <is>
          <t>USA</t>
        </is>
      </c>
      <c r="E3170" s="21" t="n">
        <v>112</v>
      </c>
      <c r="F3170" s="21" t="inlineStr">
        <is>
          <t>English</t>
        </is>
      </c>
      <c r="G3170" s="21" t="inlineStr">
        <is>
          <t>R</t>
        </is>
      </c>
      <c r="H3170" s="22" t="n">
        <v>39462438</v>
      </c>
      <c r="I3170" s="22" t="n">
        <v>7000000</v>
      </c>
      <c r="J3170" s="21">
        <f>IF(OR(H3170="",H3170=25529689.5),"Yes","No")</f>
        <v/>
      </c>
      <c r="K3170" s="21">
        <f>IF(AND(D3170="USA",C3170&gt;=1980,J3170="No"),"Yes","No")</f>
        <v/>
      </c>
      <c r="L3170" s="26">
        <f>IF(J3170="Yes","",H3170-I3170)</f>
        <v/>
      </c>
      <c r="M3170" s="27">
        <f>IF(OR(J3170="Yes",I3170=0),"",H3170/I3170)</f>
        <v/>
      </c>
      <c r="N3170" s="21">
        <f>IF(J3170="Yes","",IF(H3170&gt;=I3170,1,0))</f>
        <v/>
      </c>
      <c r="O3170" s="21">
        <f>IF(I3170&lt;=5000000,"Under $5M",IF(I3170&lt;=20000000,"$5M-20M",IF(I3170&lt;=50000000,"$20M-50M",IF(I3170&lt;=100000000,"$50M-100M","$100M+"))))</f>
        <v/>
      </c>
      <c r="P3170" s="21">
        <f>IF(E3170&lt;=90,"90 or less",IF(E3170&lt;=105,"91-105",IF(E3170&lt;=120,"106-120",IF(E3170&lt;=140,"121-140","Over 140"))))</f>
        <v/>
      </c>
      <c r="Q3170" s="28">
        <f>INT(C3170/10)*10</f>
        <v/>
      </c>
    </row>
    <row r="3171">
      <c r="A3171" s="21" t="n">
        <v>3236</v>
      </c>
      <c r="B3171" s="21" t="inlineStr">
        <is>
          <t>Crying with Laughter</t>
        </is>
      </c>
      <c r="C3171" s="21" t="n">
        <v>2009</v>
      </c>
      <c r="D3171" s="21" t="inlineStr">
        <is>
          <t>UK</t>
        </is>
      </c>
      <c r="E3171" s="21" t="n">
        <v>93</v>
      </c>
      <c r="F3171" s="21" t="inlineStr">
        <is>
          <t>English</t>
        </is>
      </c>
      <c r="G3171" s="21" t="n"/>
      <c r="H3171" s="22" t="n">
        <v>25529689.5</v>
      </c>
      <c r="I3171" s="22" t="n">
        <v>20000000</v>
      </c>
      <c r="J3171" s="21">
        <f>IF(OR(H3171="",H3171=25529689.5),"Yes","No")</f>
        <v/>
      </c>
      <c r="K3171" s="21">
        <f>IF(AND(D3171="USA",C3171&gt;=1980,J3171="No"),"Yes","No")</f>
        <v/>
      </c>
      <c r="L3171" s="26">
        <f>IF(J3171="Yes","",H3171-I3171)</f>
        <v/>
      </c>
      <c r="M3171" s="27">
        <f>IF(OR(J3171="Yes",I3171=0),"",H3171/I3171)</f>
        <v/>
      </c>
      <c r="N3171" s="21">
        <f>IF(J3171="Yes","",IF(H3171&gt;=I3171,1,0))</f>
        <v/>
      </c>
      <c r="O3171" s="21">
        <f>IF(I3171&lt;=5000000,"Under $5M",IF(I3171&lt;=20000000,"$5M-20M",IF(I3171&lt;=50000000,"$20M-50M",IF(I3171&lt;=100000000,"$50M-100M","$100M+"))))</f>
        <v/>
      </c>
      <c r="P3171" s="21">
        <f>IF(E3171&lt;=90,"90 or less",IF(E3171&lt;=105,"91-105",IF(E3171&lt;=120,"106-120",IF(E3171&lt;=140,"121-140","Over 140"))))</f>
        <v/>
      </c>
      <c r="Q3171" s="28">
        <f>INT(C3171/10)*10</f>
        <v/>
      </c>
    </row>
    <row r="3172">
      <c r="A3172" s="21" t="n">
        <v>3237</v>
      </c>
      <c r="B3172" s="21" t="inlineStr">
        <is>
          <t>Dance Flick</t>
        </is>
      </c>
      <c r="C3172" s="21" t="n">
        <v>2009</v>
      </c>
      <c r="D3172" s="21" t="inlineStr">
        <is>
          <t>USA</t>
        </is>
      </c>
      <c r="E3172" s="21" t="n">
        <v>88</v>
      </c>
      <c r="F3172" s="21" t="inlineStr">
        <is>
          <t>English</t>
        </is>
      </c>
      <c r="G3172" s="21" t="inlineStr">
        <is>
          <t>PG-13</t>
        </is>
      </c>
      <c r="H3172" s="22" t="n">
        <v>25615792</v>
      </c>
      <c r="I3172" s="22" t="n">
        <v>25000000</v>
      </c>
      <c r="J3172" s="21">
        <f>IF(OR(H3172="",H3172=25529689.5),"Yes","No")</f>
        <v/>
      </c>
      <c r="K3172" s="21">
        <f>IF(AND(D3172="USA",C3172&gt;=1980,J3172="No"),"Yes","No")</f>
        <v/>
      </c>
      <c r="L3172" s="26">
        <f>IF(J3172="Yes","",H3172-I3172)</f>
        <v/>
      </c>
      <c r="M3172" s="27">
        <f>IF(OR(J3172="Yes",I3172=0),"",H3172/I3172)</f>
        <v/>
      </c>
      <c r="N3172" s="21">
        <f>IF(J3172="Yes","",IF(H3172&gt;=I3172,1,0))</f>
        <v/>
      </c>
      <c r="O3172" s="21">
        <f>IF(I3172&lt;=5000000,"Under $5M",IF(I3172&lt;=20000000,"$5M-20M",IF(I3172&lt;=50000000,"$20M-50M",IF(I3172&lt;=100000000,"$50M-100M","$100M+"))))</f>
        <v/>
      </c>
      <c r="P3172" s="21">
        <f>IF(E3172&lt;=90,"90 or less",IF(E3172&lt;=105,"91-105",IF(E3172&lt;=120,"106-120",IF(E3172&lt;=140,"121-140","Over 140"))))</f>
        <v/>
      </c>
      <c r="Q3172" s="28">
        <f>INT(C3172/10)*10</f>
        <v/>
      </c>
    </row>
    <row r="3173">
      <c r="A3173" s="21" t="n">
        <v>3238</v>
      </c>
      <c r="B3173" s="21" t="inlineStr">
        <is>
          <t>Daybreakers</t>
        </is>
      </c>
      <c r="C3173" s="21" t="n">
        <v>2009</v>
      </c>
      <c r="D3173" s="21" t="inlineStr">
        <is>
          <t>Australia</t>
        </is>
      </c>
      <c r="E3173" s="21" t="n">
        <v>98</v>
      </c>
      <c r="F3173" s="21" t="inlineStr">
        <is>
          <t>English</t>
        </is>
      </c>
      <c r="G3173" s="21" t="inlineStr">
        <is>
          <t>R</t>
        </is>
      </c>
      <c r="H3173" s="22" t="n">
        <v>29975979</v>
      </c>
      <c r="I3173" s="22" t="n">
        <v>20000000</v>
      </c>
      <c r="J3173" s="21">
        <f>IF(OR(H3173="",H3173=25529689.5),"Yes","No")</f>
        <v/>
      </c>
      <c r="K3173" s="21">
        <f>IF(AND(D3173="USA",C3173&gt;=1980,J3173="No"),"Yes","No")</f>
        <v/>
      </c>
      <c r="L3173" s="26">
        <f>IF(J3173="Yes","",H3173-I3173)</f>
        <v/>
      </c>
      <c r="M3173" s="27">
        <f>IF(OR(J3173="Yes",I3173=0),"",H3173/I3173)</f>
        <v/>
      </c>
      <c r="N3173" s="21">
        <f>IF(J3173="Yes","",IF(H3173&gt;=I3173,1,0))</f>
        <v/>
      </c>
      <c r="O3173" s="21">
        <f>IF(I3173&lt;=5000000,"Under $5M",IF(I3173&lt;=20000000,"$5M-20M",IF(I3173&lt;=50000000,"$20M-50M",IF(I3173&lt;=100000000,"$50M-100M","$100M+"))))</f>
        <v/>
      </c>
      <c r="P3173" s="21">
        <f>IF(E3173&lt;=90,"90 or less",IF(E3173&lt;=105,"91-105",IF(E3173&lt;=120,"106-120",IF(E3173&lt;=140,"121-140","Over 140"))))</f>
        <v/>
      </c>
      <c r="Q3173" s="28">
        <f>INT(C3173/10)*10</f>
        <v/>
      </c>
    </row>
    <row r="3174">
      <c r="A3174" s="21" t="n">
        <v>3239</v>
      </c>
      <c r="B3174" s="21" t="inlineStr">
        <is>
          <t>Dead Like Me: Life After Death</t>
        </is>
      </c>
      <c r="C3174" s="21" t="n">
        <v>2009</v>
      </c>
      <c r="D3174" s="21" t="inlineStr">
        <is>
          <t>USA</t>
        </is>
      </c>
      <c r="E3174" s="21" t="n">
        <v>87</v>
      </c>
      <c r="F3174" s="21" t="inlineStr">
        <is>
          <t>English</t>
        </is>
      </c>
      <c r="G3174" s="21" t="inlineStr">
        <is>
          <t>R</t>
        </is>
      </c>
      <c r="H3174" s="22" t="n">
        <v>25529689.5</v>
      </c>
      <c r="I3174" s="22" t="n">
        <v>5000000</v>
      </c>
      <c r="J3174" s="21">
        <f>IF(OR(H3174="",H3174=25529689.5),"Yes","No")</f>
        <v/>
      </c>
      <c r="K3174" s="21">
        <f>IF(AND(D3174="USA",C3174&gt;=1980,J3174="No"),"Yes","No")</f>
        <v/>
      </c>
      <c r="L3174" s="26">
        <f>IF(J3174="Yes","",H3174-I3174)</f>
        <v/>
      </c>
      <c r="M3174" s="27">
        <f>IF(OR(J3174="Yes",I3174=0),"",H3174/I3174)</f>
        <v/>
      </c>
      <c r="N3174" s="21">
        <f>IF(J3174="Yes","",IF(H3174&gt;=I3174,1,0))</f>
        <v/>
      </c>
      <c r="O3174" s="21">
        <f>IF(I3174&lt;=5000000,"Under $5M",IF(I3174&lt;=20000000,"$5M-20M",IF(I3174&lt;=50000000,"$20M-50M",IF(I3174&lt;=100000000,"$50M-100M","$100M+"))))</f>
        <v/>
      </c>
      <c r="P3174" s="21">
        <f>IF(E3174&lt;=90,"90 or less",IF(E3174&lt;=105,"91-105",IF(E3174&lt;=120,"106-120",IF(E3174&lt;=140,"121-140","Over 140"))))</f>
        <v/>
      </c>
      <c r="Q3174" s="28">
        <f>INT(C3174/10)*10</f>
        <v/>
      </c>
    </row>
    <row r="3175">
      <c r="A3175" s="21" t="n">
        <v>3240</v>
      </c>
      <c r="B3175" s="21" t="inlineStr">
        <is>
          <t>Dead Snow</t>
        </is>
      </c>
      <c r="C3175" s="21" t="n">
        <v>2009</v>
      </c>
      <c r="D3175" s="21" t="inlineStr">
        <is>
          <t>Norway</t>
        </is>
      </c>
      <c r="E3175" s="21" t="n">
        <v>91</v>
      </c>
      <c r="F3175" s="21" t="inlineStr">
        <is>
          <t>Norwegian</t>
        </is>
      </c>
      <c r="G3175" s="21" t="inlineStr">
        <is>
          <t>Not Rated</t>
        </is>
      </c>
      <c r="H3175" s="22" t="n">
        <v>41709</v>
      </c>
      <c r="I3175" s="22" t="n">
        <v>800000</v>
      </c>
      <c r="J3175" s="21">
        <f>IF(OR(H3175="",H3175=25529689.5),"Yes","No")</f>
        <v/>
      </c>
      <c r="K3175" s="21">
        <f>IF(AND(D3175="USA",C3175&gt;=1980,J3175="No"),"Yes","No")</f>
        <v/>
      </c>
      <c r="L3175" s="26">
        <f>IF(J3175="Yes","",H3175-I3175)</f>
        <v/>
      </c>
      <c r="M3175" s="27">
        <f>IF(OR(J3175="Yes",I3175=0),"",H3175/I3175)</f>
        <v/>
      </c>
      <c r="N3175" s="21">
        <f>IF(J3175="Yes","",IF(H3175&gt;=I3175,1,0))</f>
        <v/>
      </c>
      <c r="O3175" s="21">
        <f>IF(I3175&lt;=5000000,"Under $5M",IF(I3175&lt;=20000000,"$5M-20M",IF(I3175&lt;=50000000,"$20M-50M",IF(I3175&lt;=100000000,"$50M-100M","$100M+"))))</f>
        <v/>
      </c>
      <c r="P3175" s="21">
        <f>IF(E3175&lt;=90,"90 or less",IF(E3175&lt;=105,"91-105",IF(E3175&lt;=120,"106-120",IF(E3175&lt;=140,"121-140","Over 140"))))</f>
        <v/>
      </c>
      <c r="Q3175" s="28">
        <f>INT(C3175/10)*10</f>
        <v/>
      </c>
    </row>
    <row r="3176">
      <c r="A3176" s="21" t="n">
        <v>3241</v>
      </c>
      <c r="B3176" s="21" t="inlineStr">
        <is>
          <t>Defendor</t>
        </is>
      </c>
      <c r="C3176" s="21" t="n">
        <v>2009</v>
      </c>
      <c r="D3176" s="21" t="inlineStr">
        <is>
          <t>Canada</t>
        </is>
      </c>
      <c r="E3176" s="21" t="n">
        <v>95</v>
      </c>
      <c r="F3176" s="21" t="inlineStr">
        <is>
          <t>English</t>
        </is>
      </c>
      <c r="G3176" s="21" t="inlineStr">
        <is>
          <t>R</t>
        </is>
      </c>
      <c r="H3176" s="22" t="n">
        <v>37606</v>
      </c>
      <c r="I3176" s="22" t="n">
        <v>3500000</v>
      </c>
      <c r="J3176" s="21">
        <f>IF(OR(H3176="",H3176=25529689.5),"Yes","No")</f>
        <v/>
      </c>
      <c r="K3176" s="21">
        <f>IF(AND(D3176="USA",C3176&gt;=1980,J3176="No"),"Yes","No")</f>
        <v/>
      </c>
      <c r="L3176" s="26">
        <f>IF(J3176="Yes","",H3176-I3176)</f>
        <v/>
      </c>
      <c r="M3176" s="27">
        <f>IF(OR(J3176="Yes",I3176=0),"",H3176/I3176)</f>
        <v/>
      </c>
      <c r="N3176" s="21">
        <f>IF(J3176="Yes","",IF(H3176&gt;=I3176,1,0))</f>
        <v/>
      </c>
      <c r="O3176" s="21">
        <f>IF(I3176&lt;=5000000,"Under $5M",IF(I3176&lt;=20000000,"$5M-20M",IF(I3176&lt;=50000000,"$20M-50M",IF(I3176&lt;=100000000,"$50M-100M","$100M+"))))</f>
        <v/>
      </c>
      <c r="P3176" s="21">
        <f>IF(E3176&lt;=90,"90 or less",IF(E3176&lt;=105,"91-105",IF(E3176&lt;=120,"106-120",IF(E3176&lt;=140,"121-140","Over 140"))))</f>
        <v/>
      </c>
      <c r="Q3176" s="28">
        <f>INT(C3176/10)*10</f>
        <v/>
      </c>
    </row>
    <row r="3177">
      <c r="A3177" s="21" t="n">
        <v>3242</v>
      </c>
      <c r="B3177" s="21" t="inlineStr">
        <is>
          <t>Did You Hear About the Morgans?</t>
        </is>
      </c>
      <c r="C3177" s="21" t="n">
        <v>2009</v>
      </c>
      <c r="D3177" s="21" t="inlineStr">
        <is>
          <t>USA</t>
        </is>
      </c>
      <c r="E3177" s="21" t="n">
        <v>103</v>
      </c>
      <c r="F3177" s="21" t="inlineStr">
        <is>
          <t>English</t>
        </is>
      </c>
      <c r="G3177" s="21" t="inlineStr">
        <is>
          <t>PG-13</t>
        </is>
      </c>
      <c r="H3177" s="22" t="n">
        <v>29580087</v>
      </c>
      <c r="I3177" s="22" t="n">
        <v>58000000</v>
      </c>
      <c r="J3177" s="21">
        <f>IF(OR(H3177="",H3177=25529689.5),"Yes","No")</f>
        <v/>
      </c>
      <c r="K3177" s="21">
        <f>IF(AND(D3177="USA",C3177&gt;=1980,J3177="No"),"Yes","No")</f>
        <v/>
      </c>
      <c r="L3177" s="26">
        <f>IF(J3177="Yes","",H3177-I3177)</f>
        <v/>
      </c>
      <c r="M3177" s="27">
        <f>IF(OR(J3177="Yes",I3177=0),"",H3177/I3177)</f>
        <v/>
      </c>
      <c r="N3177" s="21">
        <f>IF(J3177="Yes","",IF(H3177&gt;=I3177,1,0))</f>
        <v/>
      </c>
      <c r="O3177" s="21">
        <f>IF(I3177&lt;=5000000,"Under $5M",IF(I3177&lt;=20000000,"$5M-20M",IF(I3177&lt;=50000000,"$20M-50M",IF(I3177&lt;=100000000,"$50M-100M","$100M+"))))</f>
        <v/>
      </c>
      <c r="P3177" s="21">
        <f>IF(E3177&lt;=90,"90 or less",IF(E3177&lt;=105,"91-105",IF(E3177&lt;=120,"106-120",IF(E3177&lt;=140,"121-140","Over 140"))))</f>
        <v/>
      </c>
      <c r="Q3177" s="28">
        <f>INT(C3177/10)*10</f>
        <v/>
      </c>
    </row>
    <row r="3178">
      <c r="A3178" s="21" t="n">
        <v>3243</v>
      </c>
      <c r="B3178" s="21" t="inlineStr">
        <is>
          <t>District 9</t>
        </is>
      </c>
      <c r="C3178" s="21" t="n">
        <v>2009</v>
      </c>
      <c r="D3178" s="21" t="inlineStr">
        <is>
          <t>South Africa</t>
        </is>
      </c>
      <c r="E3178" s="21" t="n">
        <v>112</v>
      </c>
      <c r="F3178" s="21" t="inlineStr">
        <is>
          <t>English</t>
        </is>
      </c>
      <c r="G3178" s="21" t="inlineStr">
        <is>
          <t>R</t>
        </is>
      </c>
      <c r="H3178" s="22" t="n">
        <v>115646235</v>
      </c>
      <c r="I3178" s="22" t="n">
        <v>30000000</v>
      </c>
      <c r="J3178" s="21">
        <f>IF(OR(H3178="",H3178=25529689.5),"Yes","No")</f>
        <v/>
      </c>
      <c r="K3178" s="21">
        <f>IF(AND(D3178="USA",C3178&gt;=1980,J3178="No"),"Yes","No")</f>
        <v/>
      </c>
      <c r="L3178" s="26">
        <f>IF(J3178="Yes","",H3178-I3178)</f>
        <v/>
      </c>
      <c r="M3178" s="27">
        <f>IF(OR(J3178="Yes",I3178=0),"",H3178/I3178)</f>
        <v/>
      </c>
      <c r="N3178" s="21">
        <f>IF(J3178="Yes","",IF(H3178&gt;=I3178,1,0))</f>
        <v/>
      </c>
      <c r="O3178" s="21">
        <f>IF(I3178&lt;=5000000,"Under $5M",IF(I3178&lt;=20000000,"$5M-20M",IF(I3178&lt;=50000000,"$20M-50M",IF(I3178&lt;=100000000,"$50M-100M","$100M+"))))</f>
        <v/>
      </c>
      <c r="P3178" s="21">
        <f>IF(E3178&lt;=90,"90 or less",IF(E3178&lt;=105,"91-105",IF(E3178&lt;=120,"106-120",IF(E3178&lt;=140,"121-140","Over 140"))))</f>
        <v/>
      </c>
      <c r="Q3178" s="28">
        <f>INT(C3178/10)*10</f>
        <v/>
      </c>
    </row>
    <row r="3179">
      <c r="A3179" s="21" t="n">
        <v>3244</v>
      </c>
      <c r="B3179" s="21" t="inlineStr">
        <is>
          <t>Dogtooth</t>
        </is>
      </c>
      <c r="C3179" s="21" t="n">
        <v>2009</v>
      </c>
      <c r="D3179" s="21" t="inlineStr">
        <is>
          <t>Greece</t>
        </is>
      </c>
      <c r="E3179" s="21" t="n">
        <v>94</v>
      </c>
      <c r="F3179" s="21" t="inlineStr">
        <is>
          <t>Greek</t>
        </is>
      </c>
      <c r="G3179" s="21" t="inlineStr">
        <is>
          <t>Unrated</t>
        </is>
      </c>
      <c r="H3179" s="22" t="n">
        <v>110197</v>
      </c>
      <c r="I3179" s="22" t="n">
        <v>20000000</v>
      </c>
      <c r="J3179" s="21">
        <f>IF(OR(H3179="",H3179=25529689.5),"Yes","No")</f>
        <v/>
      </c>
      <c r="K3179" s="21">
        <f>IF(AND(D3179="USA",C3179&gt;=1980,J3179="No"),"Yes","No")</f>
        <v/>
      </c>
      <c r="L3179" s="26">
        <f>IF(J3179="Yes","",H3179-I3179)</f>
        <v/>
      </c>
      <c r="M3179" s="27">
        <f>IF(OR(J3179="Yes",I3179=0),"",H3179/I3179)</f>
        <v/>
      </c>
      <c r="N3179" s="21">
        <f>IF(J3179="Yes","",IF(H3179&gt;=I3179,1,0))</f>
        <v/>
      </c>
      <c r="O3179" s="21">
        <f>IF(I3179&lt;=5000000,"Under $5M",IF(I3179&lt;=20000000,"$5M-20M",IF(I3179&lt;=50000000,"$20M-50M",IF(I3179&lt;=100000000,"$50M-100M","$100M+"))))</f>
        <v/>
      </c>
      <c r="P3179" s="21">
        <f>IF(E3179&lt;=90,"90 or less",IF(E3179&lt;=105,"91-105",IF(E3179&lt;=120,"106-120",IF(E3179&lt;=140,"121-140","Over 140"))))</f>
        <v/>
      </c>
      <c r="Q3179" s="28">
        <f>INT(C3179/10)*10</f>
        <v/>
      </c>
    </row>
    <row r="3180">
      <c r="A3180" s="21" t="n">
        <v>3245</v>
      </c>
      <c r="B3180" s="21" t="inlineStr">
        <is>
          <t>Don McKay</t>
        </is>
      </c>
      <c r="C3180" s="21" t="n">
        <v>2009</v>
      </c>
      <c r="D3180" s="21" t="inlineStr">
        <is>
          <t>USA</t>
        </is>
      </c>
      <c r="E3180" s="21" t="n">
        <v>87</v>
      </c>
      <c r="F3180" s="21" t="inlineStr">
        <is>
          <t>English</t>
        </is>
      </c>
      <c r="G3180" s="21" t="inlineStr">
        <is>
          <t>R</t>
        </is>
      </c>
      <c r="H3180" s="22" t="n">
        <v>25529689.5</v>
      </c>
      <c r="I3180" s="22" t="n">
        <v>20000000</v>
      </c>
      <c r="J3180" s="21">
        <f>IF(OR(H3180="",H3180=25529689.5),"Yes","No")</f>
        <v/>
      </c>
      <c r="K3180" s="21">
        <f>IF(AND(D3180="USA",C3180&gt;=1980,J3180="No"),"Yes","No")</f>
        <v/>
      </c>
      <c r="L3180" s="26">
        <f>IF(J3180="Yes","",H3180-I3180)</f>
        <v/>
      </c>
      <c r="M3180" s="27">
        <f>IF(OR(J3180="Yes",I3180=0),"",H3180/I3180)</f>
        <v/>
      </c>
      <c r="N3180" s="21">
        <f>IF(J3180="Yes","",IF(H3180&gt;=I3180,1,0))</f>
        <v/>
      </c>
      <c r="O3180" s="21">
        <f>IF(I3180&lt;=5000000,"Under $5M",IF(I3180&lt;=20000000,"$5M-20M",IF(I3180&lt;=50000000,"$20M-50M",IF(I3180&lt;=100000000,"$50M-100M","$100M+"))))</f>
        <v/>
      </c>
      <c r="P3180" s="21">
        <f>IF(E3180&lt;=90,"90 or less",IF(E3180&lt;=105,"91-105",IF(E3180&lt;=120,"106-120",IF(E3180&lt;=140,"121-140","Over 140"))))</f>
        <v/>
      </c>
      <c r="Q3180" s="28">
        <f>INT(C3180/10)*10</f>
        <v/>
      </c>
    </row>
    <row r="3181">
      <c r="A3181" s="21" t="n">
        <v>3246</v>
      </c>
      <c r="B3181" s="21" t="inlineStr">
        <is>
          <t>Down for Life</t>
        </is>
      </c>
      <c r="C3181" s="21" t="n">
        <v>2009</v>
      </c>
      <c r="D3181" s="21" t="inlineStr">
        <is>
          <t>USA</t>
        </is>
      </c>
      <c r="E3181" s="21" t="n">
        <v>92</v>
      </c>
      <c r="F3181" s="21" t="inlineStr">
        <is>
          <t>English</t>
        </is>
      </c>
      <c r="G3181" s="21" t="inlineStr">
        <is>
          <t>R</t>
        </is>
      </c>
      <c r="H3181" s="22" t="n">
        <v>25529689.5</v>
      </c>
      <c r="I3181" s="22" t="n">
        <v>20000000</v>
      </c>
      <c r="J3181" s="21">
        <f>IF(OR(H3181="",H3181=25529689.5),"Yes","No")</f>
        <v/>
      </c>
      <c r="K3181" s="21">
        <f>IF(AND(D3181="USA",C3181&gt;=1980,J3181="No"),"Yes","No")</f>
        <v/>
      </c>
      <c r="L3181" s="26">
        <f>IF(J3181="Yes","",H3181-I3181)</f>
        <v/>
      </c>
      <c r="M3181" s="27">
        <f>IF(OR(J3181="Yes",I3181=0),"",H3181/I3181)</f>
        <v/>
      </c>
      <c r="N3181" s="21">
        <f>IF(J3181="Yes","",IF(H3181&gt;=I3181,1,0))</f>
        <v/>
      </c>
      <c r="O3181" s="21">
        <f>IF(I3181&lt;=5000000,"Under $5M",IF(I3181&lt;=20000000,"$5M-20M",IF(I3181&lt;=50000000,"$20M-50M",IF(I3181&lt;=100000000,"$50M-100M","$100M+"))))</f>
        <v/>
      </c>
      <c r="P3181" s="21">
        <f>IF(E3181&lt;=90,"90 or less",IF(E3181&lt;=105,"91-105",IF(E3181&lt;=120,"106-120",IF(E3181&lt;=140,"121-140","Over 140"))))</f>
        <v/>
      </c>
      <c r="Q3181" s="28">
        <f>INT(C3181/10)*10</f>
        <v/>
      </c>
    </row>
    <row r="3182">
      <c r="A3182" s="21" t="n">
        <v>3247</v>
      </c>
      <c r="B3182" s="21" t="inlineStr">
        <is>
          <t>Down Terrace</t>
        </is>
      </c>
      <c r="C3182" s="21" t="n">
        <v>2009</v>
      </c>
      <c r="D3182" s="21" t="inlineStr">
        <is>
          <t>UK</t>
        </is>
      </c>
      <c r="E3182" s="21" t="n">
        <v>93</v>
      </c>
      <c r="F3182" s="21" t="inlineStr">
        <is>
          <t>English</t>
        </is>
      </c>
      <c r="G3182" s="21" t="inlineStr">
        <is>
          <t>R</t>
        </is>
      </c>
      <c r="H3182" s="22" t="n">
        <v>9609</v>
      </c>
      <c r="I3182" s="22" t="n">
        <v>20000000</v>
      </c>
      <c r="J3182" s="21">
        <f>IF(OR(H3182="",H3182=25529689.5),"Yes","No")</f>
        <v/>
      </c>
      <c r="K3182" s="21">
        <f>IF(AND(D3182="USA",C3182&gt;=1980,J3182="No"),"Yes","No")</f>
        <v/>
      </c>
      <c r="L3182" s="26">
        <f>IF(J3182="Yes","",H3182-I3182)</f>
        <v/>
      </c>
      <c r="M3182" s="27">
        <f>IF(OR(J3182="Yes",I3182=0),"",H3182/I3182)</f>
        <v/>
      </c>
      <c r="N3182" s="21">
        <f>IF(J3182="Yes","",IF(H3182&gt;=I3182,1,0))</f>
        <v/>
      </c>
      <c r="O3182" s="21">
        <f>IF(I3182&lt;=5000000,"Under $5M",IF(I3182&lt;=20000000,"$5M-20M",IF(I3182&lt;=50000000,"$20M-50M",IF(I3182&lt;=100000000,"$50M-100M","$100M+"))))</f>
        <v/>
      </c>
      <c r="P3182" s="21">
        <f>IF(E3182&lt;=90,"90 or less",IF(E3182&lt;=105,"91-105",IF(E3182&lt;=120,"106-120",IF(E3182&lt;=140,"121-140","Over 140"))))</f>
        <v/>
      </c>
      <c r="Q3182" s="28">
        <f>INT(C3182/10)*10</f>
        <v/>
      </c>
    </row>
    <row r="3183">
      <c r="A3183" s="21" t="n">
        <v>3248</v>
      </c>
      <c r="B3183" s="21" t="inlineStr">
        <is>
          <t>Drag Me to Hell</t>
        </is>
      </c>
      <c r="C3183" s="21" t="n">
        <v>2009</v>
      </c>
      <c r="D3183" s="21" t="inlineStr">
        <is>
          <t>USA</t>
        </is>
      </c>
      <c r="E3183" s="21" t="n">
        <v>99</v>
      </c>
      <c r="F3183" s="21" t="inlineStr">
        <is>
          <t>English</t>
        </is>
      </c>
      <c r="G3183" s="21" t="inlineStr">
        <is>
          <t>PG-13</t>
        </is>
      </c>
      <c r="H3183" s="22" t="n">
        <v>42057340</v>
      </c>
      <c r="I3183" s="22" t="n">
        <v>30000000</v>
      </c>
      <c r="J3183" s="21">
        <f>IF(OR(H3183="",H3183=25529689.5),"Yes","No")</f>
        <v/>
      </c>
      <c r="K3183" s="21">
        <f>IF(AND(D3183="USA",C3183&gt;=1980,J3183="No"),"Yes","No")</f>
        <v/>
      </c>
      <c r="L3183" s="26">
        <f>IF(J3183="Yes","",H3183-I3183)</f>
        <v/>
      </c>
      <c r="M3183" s="27">
        <f>IF(OR(J3183="Yes",I3183=0),"",H3183/I3183)</f>
        <v/>
      </c>
      <c r="N3183" s="21">
        <f>IF(J3183="Yes","",IF(H3183&gt;=I3183,1,0))</f>
        <v/>
      </c>
      <c r="O3183" s="21">
        <f>IF(I3183&lt;=5000000,"Under $5M",IF(I3183&lt;=20000000,"$5M-20M",IF(I3183&lt;=50000000,"$20M-50M",IF(I3183&lt;=100000000,"$50M-100M","$100M+"))))</f>
        <v/>
      </c>
      <c r="P3183" s="21">
        <f>IF(E3183&lt;=90,"90 or less",IF(E3183&lt;=105,"91-105",IF(E3183&lt;=120,"106-120",IF(E3183&lt;=140,"121-140","Over 140"))))</f>
        <v/>
      </c>
      <c r="Q3183" s="28">
        <f>INT(C3183/10)*10</f>
        <v/>
      </c>
    </row>
    <row r="3184">
      <c r="A3184" s="21" t="n">
        <v>3249</v>
      </c>
      <c r="B3184" s="21" t="inlineStr">
        <is>
          <t>Dragonball: Evolution</t>
        </is>
      </c>
      <c r="C3184" s="21" t="n">
        <v>2009</v>
      </c>
      <c r="D3184" s="21" t="inlineStr">
        <is>
          <t>USA</t>
        </is>
      </c>
      <c r="E3184" s="21" t="n">
        <v>100</v>
      </c>
      <c r="F3184" s="21" t="inlineStr">
        <is>
          <t>English</t>
        </is>
      </c>
      <c r="G3184" s="21" t="inlineStr">
        <is>
          <t>PG</t>
        </is>
      </c>
      <c r="H3184" s="22" t="n">
        <v>9353573</v>
      </c>
      <c r="I3184" s="22" t="n">
        <v>45000000</v>
      </c>
      <c r="J3184" s="21">
        <f>IF(OR(H3184="",H3184=25529689.5),"Yes","No")</f>
        <v/>
      </c>
      <c r="K3184" s="21">
        <f>IF(AND(D3184="USA",C3184&gt;=1980,J3184="No"),"Yes","No")</f>
        <v/>
      </c>
      <c r="L3184" s="26">
        <f>IF(J3184="Yes","",H3184-I3184)</f>
        <v/>
      </c>
      <c r="M3184" s="27">
        <f>IF(OR(J3184="Yes",I3184=0),"",H3184/I3184)</f>
        <v/>
      </c>
      <c r="N3184" s="21">
        <f>IF(J3184="Yes","",IF(H3184&gt;=I3184,1,0))</f>
        <v/>
      </c>
      <c r="O3184" s="21">
        <f>IF(I3184&lt;=5000000,"Under $5M",IF(I3184&lt;=20000000,"$5M-20M",IF(I3184&lt;=50000000,"$20M-50M",IF(I3184&lt;=100000000,"$50M-100M","$100M+"))))</f>
        <v/>
      </c>
      <c r="P3184" s="21">
        <f>IF(E3184&lt;=90,"90 or less",IF(E3184&lt;=105,"91-105",IF(E3184&lt;=120,"106-120",IF(E3184&lt;=140,"121-140","Over 140"))))</f>
        <v/>
      </c>
      <c r="Q3184" s="28">
        <f>INT(C3184/10)*10</f>
        <v/>
      </c>
    </row>
    <row r="3185">
      <c r="A3185" s="21" t="n">
        <v>3250</v>
      </c>
      <c r="B3185" s="21" t="inlineStr">
        <is>
          <t>Duplicity</t>
        </is>
      </c>
      <c r="C3185" s="21" t="n">
        <v>2009</v>
      </c>
      <c r="D3185" s="21" t="inlineStr">
        <is>
          <t>USA</t>
        </is>
      </c>
      <c r="E3185" s="21" t="n">
        <v>125</v>
      </c>
      <c r="F3185" s="21" t="inlineStr">
        <is>
          <t>English</t>
        </is>
      </c>
      <c r="G3185" s="21" t="inlineStr">
        <is>
          <t>PG-13</t>
        </is>
      </c>
      <c r="H3185" s="22" t="n">
        <v>40559930</v>
      </c>
      <c r="I3185" s="22" t="n">
        <v>60000000</v>
      </c>
      <c r="J3185" s="21">
        <f>IF(OR(H3185="",H3185=25529689.5),"Yes","No")</f>
        <v/>
      </c>
      <c r="K3185" s="21">
        <f>IF(AND(D3185="USA",C3185&gt;=1980,J3185="No"),"Yes","No")</f>
        <v/>
      </c>
      <c r="L3185" s="26">
        <f>IF(J3185="Yes","",H3185-I3185)</f>
        <v/>
      </c>
      <c r="M3185" s="27">
        <f>IF(OR(J3185="Yes",I3185=0),"",H3185/I3185)</f>
        <v/>
      </c>
      <c r="N3185" s="21">
        <f>IF(J3185="Yes","",IF(H3185&gt;=I3185,1,0))</f>
        <v/>
      </c>
      <c r="O3185" s="21">
        <f>IF(I3185&lt;=5000000,"Under $5M",IF(I3185&lt;=20000000,"$5M-20M",IF(I3185&lt;=50000000,"$20M-50M",IF(I3185&lt;=100000000,"$50M-100M","$100M+"))))</f>
        <v/>
      </c>
      <c r="P3185" s="21">
        <f>IF(E3185&lt;=90,"90 or less",IF(E3185&lt;=105,"91-105",IF(E3185&lt;=120,"106-120",IF(E3185&lt;=140,"121-140","Over 140"))))</f>
        <v/>
      </c>
      <c r="Q3185" s="28">
        <f>INT(C3185/10)*10</f>
        <v/>
      </c>
    </row>
    <row r="3186">
      <c r="A3186" s="21" t="n">
        <v>3251</v>
      </c>
      <c r="B3186" s="21" t="inlineStr">
        <is>
          <t>Enter the Void</t>
        </is>
      </c>
      <c r="C3186" s="21" t="n">
        <v>2009</v>
      </c>
      <c r="D3186" s="21" t="inlineStr">
        <is>
          <t>France</t>
        </is>
      </c>
      <c r="E3186" s="21" t="n">
        <v>161</v>
      </c>
      <c r="F3186" s="21" t="inlineStr">
        <is>
          <t>English</t>
        </is>
      </c>
      <c r="G3186" s="21" t="inlineStr">
        <is>
          <t>Not Rated</t>
        </is>
      </c>
      <c r="H3186" s="22" t="n">
        <v>336467</v>
      </c>
      <c r="I3186" s="22" t="n">
        <v>13000000</v>
      </c>
      <c r="J3186" s="21">
        <f>IF(OR(H3186="",H3186=25529689.5),"Yes","No")</f>
        <v/>
      </c>
      <c r="K3186" s="21">
        <f>IF(AND(D3186="USA",C3186&gt;=1980,J3186="No"),"Yes","No")</f>
        <v/>
      </c>
      <c r="L3186" s="26">
        <f>IF(J3186="Yes","",H3186-I3186)</f>
        <v/>
      </c>
      <c r="M3186" s="27">
        <f>IF(OR(J3186="Yes",I3186=0),"",H3186/I3186)</f>
        <v/>
      </c>
      <c r="N3186" s="21">
        <f>IF(J3186="Yes","",IF(H3186&gt;=I3186,1,0))</f>
        <v/>
      </c>
      <c r="O3186" s="21">
        <f>IF(I3186&lt;=5000000,"Under $5M",IF(I3186&lt;=20000000,"$5M-20M",IF(I3186&lt;=50000000,"$20M-50M",IF(I3186&lt;=100000000,"$50M-100M","$100M+"))))</f>
        <v/>
      </c>
      <c r="P3186" s="21">
        <f>IF(E3186&lt;=90,"90 or less",IF(E3186&lt;=105,"91-105",IF(E3186&lt;=120,"106-120",IF(E3186&lt;=140,"121-140","Over 140"))))</f>
        <v/>
      </c>
      <c r="Q3186" s="28">
        <f>INT(C3186/10)*10</f>
        <v/>
      </c>
    </row>
    <row r="3187">
      <c r="A3187" s="21" t="n">
        <v>3252</v>
      </c>
      <c r="B3187" s="21" t="inlineStr">
        <is>
          <t>Everybody's Fine</t>
        </is>
      </c>
      <c r="C3187" s="21" t="n">
        <v>2009</v>
      </c>
      <c r="D3187" s="21" t="inlineStr">
        <is>
          <t>USA</t>
        </is>
      </c>
      <c r="E3187" s="21" t="n">
        <v>99</v>
      </c>
      <c r="F3187" s="21" t="inlineStr">
        <is>
          <t>English</t>
        </is>
      </c>
      <c r="G3187" s="21" t="inlineStr">
        <is>
          <t>PG-13</t>
        </is>
      </c>
      <c r="H3187" s="22" t="n">
        <v>8855646</v>
      </c>
      <c r="I3187" s="22" t="n">
        <v>21000000</v>
      </c>
      <c r="J3187" s="21">
        <f>IF(OR(H3187="",H3187=25529689.5),"Yes","No")</f>
        <v/>
      </c>
      <c r="K3187" s="21">
        <f>IF(AND(D3187="USA",C3187&gt;=1980,J3187="No"),"Yes","No")</f>
        <v/>
      </c>
      <c r="L3187" s="26">
        <f>IF(J3187="Yes","",H3187-I3187)</f>
        <v/>
      </c>
      <c r="M3187" s="27">
        <f>IF(OR(J3187="Yes",I3187=0),"",H3187/I3187)</f>
        <v/>
      </c>
      <c r="N3187" s="21">
        <f>IF(J3187="Yes","",IF(H3187&gt;=I3187,1,0))</f>
        <v/>
      </c>
      <c r="O3187" s="21">
        <f>IF(I3187&lt;=5000000,"Under $5M",IF(I3187&lt;=20000000,"$5M-20M",IF(I3187&lt;=50000000,"$20M-50M",IF(I3187&lt;=100000000,"$50M-100M","$100M+"))))</f>
        <v/>
      </c>
      <c r="P3187" s="21">
        <f>IF(E3187&lt;=90,"90 or less",IF(E3187&lt;=105,"91-105",IF(E3187&lt;=120,"106-120",IF(E3187&lt;=140,"121-140","Over 140"))))</f>
        <v/>
      </c>
      <c r="Q3187" s="28">
        <f>INT(C3187/10)*10</f>
        <v/>
      </c>
    </row>
    <row r="3188">
      <c r="A3188" s="21" t="n">
        <v>3253</v>
      </c>
      <c r="B3188" s="21" t="inlineStr">
        <is>
          <t>Exam</t>
        </is>
      </c>
      <c r="C3188" s="21" t="n">
        <v>2009</v>
      </c>
      <c r="D3188" s="21" t="inlineStr">
        <is>
          <t>UK</t>
        </is>
      </c>
      <c r="E3188" s="21" t="n">
        <v>101</v>
      </c>
      <c r="F3188" s="21" t="inlineStr">
        <is>
          <t>English</t>
        </is>
      </c>
      <c r="G3188" s="21" t="inlineStr">
        <is>
          <t>Not Rated</t>
        </is>
      </c>
      <c r="H3188" s="22" t="n">
        <v>25529689.5</v>
      </c>
      <c r="I3188" s="22" t="n">
        <v>20000000</v>
      </c>
      <c r="J3188" s="21">
        <f>IF(OR(H3188="",H3188=25529689.5),"Yes","No")</f>
        <v/>
      </c>
      <c r="K3188" s="21">
        <f>IF(AND(D3188="USA",C3188&gt;=1980,J3188="No"),"Yes","No")</f>
        <v/>
      </c>
      <c r="L3188" s="26">
        <f>IF(J3188="Yes","",H3188-I3188)</f>
        <v/>
      </c>
      <c r="M3188" s="27">
        <f>IF(OR(J3188="Yes",I3188=0),"",H3188/I3188)</f>
        <v/>
      </c>
      <c r="N3188" s="21">
        <f>IF(J3188="Yes","",IF(H3188&gt;=I3188,1,0))</f>
        <v/>
      </c>
      <c r="O3188" s="21">
        <f>IF(I3188&lt;=5000000,"Under $5M",IF(I3188&lt;=20000000,"$5M-20M",IF(I3188&lt;=50000000,"$20M-50M",IF(I3188&lt;=100000000,"$50M-100M","$100M+"))))</f>
        <v/>
      </c>
      <c r="P3188" s="21">
        <f>IF(E3188&lt;=90,"90 or less",IF(E3188&lt;=105,"91-105",IF(E3188&lt;=120,"106-120",IF(E3188&lt;=140,"121-140","Over 140"))))</f>
        <v/>
      </c>
      <c r="Q3188" s="28">
        <f>INT(C3188/10)*10</f>
        <v/>
      </c>
    </row>
    <row r="3189">
      <c r="A3189" s="21" t="n">
        <v>3254</v>
      </c>
      <c r="B3189" s="21" t="inlineStr">
        <is>
          <t>Extract</t>
        </is>
      </c>
      <c r="C3189" s="21" t="n">
        <v>2009</v>
      </c>
      <c r="D3189" s="21" t="inlineStr">
        <is>
          <t>USA</t>
        </is>
      </c>
      <c r="E3189" s="21" t="n">
        <v>92</v>
      </c>
      <c r="F3189" s="21" t="inlineStr">
        <is>
          <t>English</t>
        </is>
      </c>
      <c r="G3189" s="21" t="inlineStr">
        <is>
          <t>R</t>
        </is>
      </c>
      <c r="H3189" s="22" t="n">
        <v>10814185</v>
      </c>
      <c r="I3189" s="22" t="n">
        <v>8000000</v>
      </c>
      <c r="J3189" s="21">
        <f>IF(OR(H3189="",H3189=25529689.5),"Yes","No")</f>
        <v/>
      </c>
      <c r="K3189" s="21">
        <f>IF(AND(D3189="USA",C3189&gt;=1980,J3189="No"),"Yes","No")</f>
        <v/>
      </c>
      <c r="L3189" s="26">
        <f>IF(J3189="Yes","",H3189-I3189)</f>
        <v/>
      </c>
      <c r="M3189" s="27">
        <f>IF(OR(J3189="Yes",I3189=0),"",H3189/I3189)</f>
        <v/>
      </c>
      <c r="N3189" s="21">
        <f>IF(J3189="Yes","",IF(H3189&gt;=I3189,1,0))</f>
        <v/>
      </c>
      <c r="O3189" s="21">
        <f>IF(I3189&lt;=5000000,"Under $5M",IF(I3189&lt;=20000000,"$5M-20M",IF(I3189&lt;=50000000,"$20M-50M",IF(I3189&lt;=100000000,"$50M-100M","$100M+"))))</f>
        <v/>
      </c>
      <c r="P3189" s="21">
        <f>IF(E3189&lt;=90,"90 or less",IF(E3189&lt;=105,"91-105",IF(E3189&lt;=120,"106-120",IF(E3189&lt;=140,"121-140","Over 140"))))</f>
        <v/>
      </c>
      <c r="Q3189" s="28">
        <f>INT(C3189/10)*10</f>
        <v/>
      </c>
    </row>
    <row r="3190">
      <c r="A3190" s="21" t="n">
        <v>3255</v>
      </c>
      <c r="B3190" s="21" t="inlineStr">
        <is>
          <t>Fame</t>
        </is>
      </c>
      <c r="C3190" s="21" t="n">
        <v>2009</v>
      </c>
      <c r="D3190" s="21" t="inlineStr">
        <is>
          <t>USA</t>
        </is>
      </c>
      <c r="E3190" s="21" t="n">
        <v>123</v>
      </c>
      <c r="F3190" s="21" t="inlineStr">
        <is>
          <t>English</t>
        </is>
      </c>
      <c r="G3190" s="21" t="inlineStr">
        <is>
          <t>PG</t>
        </is>
      </c>
      <c r="H3190" s="22" t="n">
        <v>22452209</v>
      </c>
      <c r="I3190" s="22" t="n">
        <v>18000000</v>
      </c>
      <c r="J3190" s="21">
        <f>IF(OR(H3190="",H3190=25529689.5),"Yes","No")</f>
        <v/>
      </c>
      <c r="K3190" s="21">
        <f>IF(AND(D3190="USA",C3190&gt;=1980,J3190="No"),"Yes","No")</f>
        <v/>
      </c>
      <c r="L3190" s="26">
        <f>IF(J3190="Yes","",H3190-I3190)</f>
        <v/>
      </c>
      <c r="M3190" s="27">
        <f>IF(OR(J3190="Yes",I3190=0),"",H3190/I3190)</f>
        <v/>
      </c>
      <c r="N3190" s="21">
        <f>IF(J3190="Yes","",IF(H3190&gt;=I3190,1,0))</f>
        <v/>
      </c>
      <c r="O3190" s="21">
        <f>IF(I3190&lt;=5000000,"Under $5M",IF(I3190&lt;=20000000,"$5M-20M",IF(I3190&lt;=50000000,"$20M-50M",IF(I3190&lt;=100000000,"$50M-100M","$100M+"))))</f>
        <v/>
      </c>
      <c r="P3190" s="21">
        <f>IF(E3190&lt;=90,"90 or less",IF(E3190&lt;=105,"91-105",IF(E3190&lt;=120,"106-120",IF(E3190&lt;=140,"121-140","Over 140"))))</f>
        <v/>
      </c>
      <c r="Q3190" s="28">
        <f>INT(C3190/10)*10</f>
        <v/>
      </c>
    </row>
    <row r="3191">
      <c r="A3191" s="21" t="n">
        <v>3256</v>
      </c>
      <c r="B3191" s="21" t="inlineStr">
        <is>
          <t>Fantastic Mr. Fox</t>
        </is>
      </c>
      <c r="C3191" s="21" t="n">
        <v>2009</v>
      </c>
      <c r="D3191" s="21" t="inlineStr">
        <is>
          <t>USA</t>
        </is>
      </c>
      <c r="E3191" s="21" t="n">
        <v>87</v>
      </c>
      <c r="F3191" s="21" t="inlineStr">
        <is>
          <t>English</t>
        </is>
      </c>
      <c r="G3191" s="21" t="inlineStr">
        <is>
          <t>PG</t>
        </is>
      </c>
      <c r="H3191" s="22" t="n">
        <v>20999103</v>
      </c>
      <c r="I3191" s="22" t="n">
        <v>40000000</v>
      </c>
      <c r="J3191" s="21">
        <f>IF(OR(H3191="",H3191=25529689.5),"Yes","No")</f>
        <v/>
      </c>
      <c r="K3191" s="21">
        <f>IF(AND(D3191="USA",C3191&gt;=1980,J3191="No"),"Yes","No")</f>
        <v/>
      </c>
      <c r="L3191" s="26">
        <f>IF(J3191="Yes","",H3191-I3191)</f>
        <v/>
      </c>
      <c r="M3191" s="27">
        <f>IF(OR(J3191="Yes",I3191=0),"",H3191/I3191)</f>
        <v/>
      </c>
      <c r="N3191" s="21">
        <f>IF(J3191="Yes","",IF(H3191&gt;=I3191,1,0))</f>
        <v/>
      </c>
      <c r="O3191" s="21">
        <f>IF(I3191&lt;=5000000,"Under $5M",IF(I3191&lt;=20000000,"$5M-20M",IF(I3191&lt;=50000000,"$20M-50M",IF(I3191&lt;=100000000,"$50M-100M","$100M+"))))</f>
        <v/>
      </c>
      <c r="P3191" s="21">
        <f>IF(E3191&lt;=90,"90 or less",IF(E3191&lt;=105,"91-105",IF(E3191&lt;=120,"106-120",IF(E3191&lt;=140,"121-140","Over 140"))))</f>
        <v/>
      </c>
      <c r="Q3191" s="28">
        <f>INT(C3191/10)*10</f>
        <v/>
      </c>
    </row>
    <row r="3192">
      <c r="A3192" s="21" t="n">
        <v>3257</v>
      </c>
      <c r="B3192" s="21" t="inlineStr">
        <is>
          <t>Fish Tank</t>
        </is>
      </c>
      <c r="C3192" s="21" t="n">
        <v>2009</v>
      </c>
      <c r="D3192" s="21" t="inlineStr">
        <is>
          <t>UK</t>
        </is>
      </c>
      <c r="E3192" s="21" t="n">
        <v>123</v>
      </c>
      <c r="F3192" s="21" t="inlineStr">
        <is>
          <t>English</t>
        </is>
      </c>
      <c r="G3192" s="21" t="inlineStr">
        <is>
          <t>Not Rated</t>
        </is>
      </c>
      <c r="H3192" s="22" t="n">
        <v>373060</v>
      </c>
      <c r="I3192" s="22" t="n">
        <v>20000000</v>
      </c>
      <c r="J3192" s="21">
        <f>IF(OR(H3192="",H3192=25529689.5),"Yes","No")</f>
        <v/>
      </c>
      <c r="K3192" s="21">
        <f>IF(AND(D3192="USA",C3192&gt;=1980,J3192="No"),"Yes","No")</f>
        <v/>
      </c>
      <c r="L3192" s="26">
        <f>IF(J3192="Yes","",H3192-I3192)</f>
        <v/>
      </c>
      <c r="M3192" s="27">
        <f>IF(OR(J3192="Yes",I3192=0),"",H3192/I3192)</f>
        <v/>
      </c>
      <c r="N3192" s="21">
        <f>IF(J3192="Yes","",IF(H3192&gt;=I3192,1,0))</f>
        <v/>
      </c>
      <c r="O3192" s="21">
        <f>IF(I3192&lt;=5000000,"Under $5M",IF(I3192&lt;=20000000,"$5M-20M",IF(I3192&lt;=50000000,"$20M-50M",IF(I3192&lt;=100000000,"$50M-100M","$100M+"))))</f>
        <v/>
      </c>
      <c r="P3192" s="21">
        <f>IF(E3192&lt;=90,"90 or less",IF(E3192&lt;=105,"91-105",IF(E3192&lt;=120,"106-120",IF(E3192&lt;=140,"121-140","Over 140"))))</f>
        <v/>
      </c>
      <c r="Q3192" s="28">
        <f>INT(C3192/10)*10</f>
        <v/>
      </c>
    </row>
    <row r="3193">
      <c r="A3193" s="21" t="n">
        <v>3258</v>
      </c>
      <c r="B3193" s="21" t="inlineStr">
        <is>
          <t>Flying By</t>
        </is>
      </c>
      <c r="C3193" s="21" t="n">
        <v>2009</v>
      </c>
      <c r="D3193" s="21" t="inlineStr">
        <is>
          <t>USA</t>
        </is>
      </c>
      <c r="E3193" s="21" t="n">
        <v>90</v>
      </c>
      <c r="F3193" s="21" t="inlineStr">
        <is>
          <t>English</t>
        </is>
      </c>
      <c r="G3193" s="21" t="inlineStr">
        <is>
          <t>PG-13</t>
        </is>
      </c>
      <c r="H3193" s="22" t="n">
        <v>25529689.5</v>
      </c>
      <c r="I3193" s="22" t="n">
        <v>20000000</v>
      </c>
      <c r="J3193" s="21">
        <f>IF(OR(H3193="",H3193=25529689.5),"Yes","No")</f>
        <v/>
      </c>
      <c r="K3193" s="21">
        <f>IF(AND(D3193="USA",C3193&gt;=1980,J3193="No"),"Yes","No")</f>
        <v/>
      </c>
      <c r="L3193" s="26">
        <f>IF(J3193="Yes","",H3193-I3193)</f>
        <v/>
      </c>
      <c r="M3193" s="27">
        <f>IF(OR(J3193="Yes",I3193=0),"",H3193/I3193)</f>
        <v/>
      </c>
      <c r="N3193" s="21">
        <f>IF(J3193="Yes","",IF(H3193&gt;=I3193,1,0))</f>
        <v/>
      </c>
      <c r="O3193" s="21">
        <f>IF(I3193&lt;=5000000,"Under $5M",IF(I3193&lt;=20000000,"$5M-20M",IF(I3193&lt;=50000000,"$20M-50M",IF(I3193&lt;=100000000,"$50M-100M","$100M+"))))</f>
        <v/>
      </c>
      <c r="P3193" s="21">
        <f>IF(E3193&lt;=90,"90 or less",IF(E3193&lt;=105,"91-105",IF(E3193&lt;=120,"106-120",IF(E3193&lt;=140,"121-140","Over 140"))))</f>
        <v/>
      </c>
      <c r="Q3193" s="28">
        <f>INT(C3193/10)*10</f>
        <v/>
      </c>
    </row>
    <row r="3194">
      <c r="A3194" s="21" t="n">
        <v>3259</v>
      </c>
      <c r="B3194" s="21" t="inlineStr">
        <is>
          <t>Forget Me Not</t>
        </is>
      </c>
      <c r="C3194" s="21" t="n">
        <v>2009</v>
      </c>
      <c r="D3194" s="21" t="inlineStr">
        <is>
          <t>USA</t>
        </is>
      </c>
      <c r="E3194" s="21" t="n">
        <v>103</v>
      </c>
      <c r="F3194" s="21" t="inlineStr">
        <is>
          <t>English</t>
        </is>
      </c>
      <c r="G3194" s="21" t="inlineStr">
        <is>
          <t>R</t>
        </is>
      </c>
      <c r="H3194" s="22" t="n">
        <v>25529689.5</v>
      </c>
      <c r="I3194" s="22" t="n">
        <v>1300000</v>
      </c>
      <c r="J3194" s="21">
        <f>IF(OR(H3194="",H3194=25529689.5),"Yes","No")</f>
        <v/>
      </c>
      <c r="K3194" s="21">
        <f>IF(AND(D3194="USA",C3194&gt;=1980,J3194="No"),"Yes","No")</f>
        <v/>
      </c>
      <c r="L3194" s="26">
        <f>IF(J3194="Yes","",H3194-I3194)</f>
        <v/>
      </c>
      <c r="M3194" s="27">
        <f>IF(OR(J3194="Yes",I3194=0),"",H3194/I3194)</f>
        <v/>
      </c>
      <c r="N3194" s="21">
        <f>IF(J3194="Yes","",IF(H3194&gt;=I3194,1,0))</f>
        <v/>
      </c>
      <c r="O3194" s="21">
        <f>IF(I3194&lt;=5000000,"Under $5M",IF(I3194&lt;=20000000,"$5M-20M",IF(I3194&lt;=50000000,"$20M-50M",IF(I3194&lt;=100000000,"$50M-100M","$100M+"))))</f>
        <v/>
      </c>
      <c r="P3194" s="21">
        <f>IF(E3194&lt;=90,"90 or less",IF(E3194&lt;=105,"91-105",IF(E3194&lt;=120,"106-120",IF(E3194&lt;=140,"121-140","Over 140"))))</f>
        <v/>
      </c>
      <c r="Q3194" s="28">
        <f>INT(C3194/10)*10</f>
        <v/>
      </c>
    </row>
    <row r="3195">
      <c r="A3195" s="21" t="n">
        <v>3260</v>
      </c>
      <c r="B3195" s="21" t="inlineStr">
        <is>
          <t>Four Single Fathers</t>
        </is>
      </c>
      <c r="C3195" s="21" t="n">
        <v>2009</v>
      </c>
      <c r="D3195" s="21" t="inlineStr">
        <is>
          <t>Italy</t>
        </is>
      </c>
      <c r="E3195" s="21" t="n">
        <v>100</v>
      </c>
      <c r="F3195" s="21" t="inlineStr">
        <is>
          <t>Italian</t>
        </is>
      </c>
      <c r="G3195" s="21" t="n"/>
      <c r="H3195" s="22" t="n">
        <v>25529689.5</v>
      </c>
      <c r="I3195" s="22" t="n">
        <v>3000000</v>
      </c>
      <c r="J3195" s="21">
        <f>IF(OR(H3195="",H3195=25529689.5),"Yes","No")</f>
        <v/>
      </c>
      <c r="K3195" s="21">
        <f>IF(AND(D3195="USA",C3195&gt;=1980,J3195="No"),"Yes","No")</f>
        <v/>
      </c>
      <c r="L3195" s="26">
        <f>IF(J3195="Yes","",H3195-I3195)</f>
        <v/>
      </c>
      <c r="M3195" s="27">
        <f>IF(OR(J3195="Yes",I3195=0),"",H3195/I3195)</f>
        <v/>
      </c>
      <c r="N3195" s="21">
        <f>IF(J3195="Yes","",IF(H3195&gt;=I3195,1,0))</f>
        <v/>
      </c>
      <c r="O3195" s="21">
        <f>IF(I3195&lt;=5000000,"Under $5M",IF(I3195&lt;=20000000,"$5M-20M",IF(I3195&lt;=50000000,"$20M-50M",IF(I3195&lt;=100000000,"$50M-100M","$100M+"))))</f>
        <v/>
      </c>
      <c r="P3195" s="21">
        <f>IF(E3195&lt;=90,"90 or less",IF(E3195&lt;=105,"91-105",IF(E3195&lt;=120,"106-120",IF(E3195&lt;=140,"121-140","Over 140"))))</f>
        <v/>
      </c>
      <c r="Q3195" s="28">
        <f>INT(C3195/10)*10</f>
        <v/>
      </c>
    </row>
    <row r="3196">
      <c r="A3196" s="21" t="n">
        <v>3261</v>
      </c>
      <c r="B3196" s="21" t="inlineStr">
        <is>
          <t>Frat Party</t>
        </is>
      </c>
      <c r="C3196" s="21" t="n">
        <v>2009</v>
      </c>
      <c r="D3196" s="21" t="inlineStr">
        <is>
          <t>USA</t>
        </is>
      </c>
      <c r="E3196" s="21" t="n">
        <v>90</v>
      </c>
      <c r="F3196" s="21" t="inlineStr">
        <is>
          <t>English</t>
        </is>
      </c>
      <c r="G3196" s="21" t="inlineStr">
        <is>
          <t>R</t>
        </is>
      </c>
      <c r="H3196" s="22" t="n">
        <v>25529689.5</v>
      </c>
      <c r="I3196" s="22" t="n">
        <v>1000000</v>
      </c>
      <c r="J3196" s="21">
        <f>IF(OR(H3196="",H3196=25529689.5),"Yes","No")</f>
        <v/>
      </c>
      <c r="K3196" s="21">
        <f>IF(AND(D3196="USA",C3196&gt;=1980,J3196="No"),"Yes","No")</f>
        <v/>
      </c>
      <c r="L3196" s="26">
        <f>IF(J3196="Yes","",H3196-I3196)</f>
        <v/>
      </c>
      <c r="M3196" s="27">
        <f>IF(OR(J3196="Yes",I3196=0),"",H3196/I3196)</f>
        <v/>
      </c>
      <c r="N3196" s="21">
        <f>IF(J3196="Yes","",IF(H3196&gt;=I3196,1,0))</f>
        <v/>
      </c>
      <c r="O3196" s="21">
        <f>IF(I3196&lt;=5000000,"Under $5M",IF(I3196&lt;=20000000,"$5M-20M",IF(I3196&lt;=50000000,"$20M-50M",IF(I3196&lt;=100000000,"$50M-100M","$100M+"))))</f>
        <v/>
      </c>
      <c r="P3196" s="21">
        <f>IF(E3196&lt;=90,"90 or less",IF(E3196&lt;=105,"91-105",IF(E3196&lt;=120,"106-120",IF(E3196&lt;=140,"121-140","Over 140"))))</f>
        <v/>
      </c>
      <c r="Q3196" s="28">
        <f>INT(C3196/10)*10</f>
        <v/>
      </c>
    </row>
    <row r="3197">
      <c r="A3197" s="21" t="n">
        <v>3262</v>
      </c>
      <c r="B3197" s="21" t="inlineStr">
        <is>
          <t>Funny People</t>
        </is>
      </c>
      <c r="C3197" s="21" t="n">
        <v>2009</v>
      </c>
      <c r="D3197" s="21" t="inlineStr">
        <is>
          <t>USA</t>
        </is>
      </c>
      <c r="E3197" s="21" t="n">
        <v>153</v>
      </c>
      <c r="F3197" s="21" t="inlineStr">
        <is>
          <t>English</t>
        </is>
      </c>
      <c r="G3197" s="21" t="inlineStr">
        <is>
          <t>R</t>
        </is>
      </c>
      <c r="H3197" s="22" t="n">
        <v>51814190</v>
      </c>
      <c r="I3197" s="22" t="n">
        <v>75000000</v>
      </c>
      <c r="J3197" s="21">
        <f>IF(OR(H3197="",H3197=25529689.5),"Yes","No")</f>
        <v/>
      </c>
      <c r="K3197" s="21">
        <f>IF(AND(D3197="USA",C3197&gt;=1980,J3197="No"),"Yes","No")</f>
        <v/>
      </c>
      <c r="L3197" s="26">
        <f>IF(J3197="Yes","",H3197-I3197)</f>
        <v/>
      </c>
      <c r="M3197" s="27">
        <f>IF(OR(J3197="Yes",I3197=0),"",H3197/I3197)</f>
        <v/>
      </c>
      <c r="N3197" s="21">
        <f>IF(J3197="Yes","",IF(H3197&gt;=I3197,1,0))</f>
        <v/>
      </c>
      <c r="O3197" s="21">
        <f>IF(I3197&lt;=5000000,"Under $5M",IF(I3197&lt;=20000000,"$5M-20M",IF(I3197&lt;=50000000,"$20M-50M",IF(I3197&lt;=100000000,"$50M-100M","$100M+"))))</f>
        <v/>
      </c>
      <c r="P3197" s="21">
        <f>IF(E3197&lt;=90,"90 or less",IF(E3197&lt;=105,"91-105",IF(E3197&lt;=120,"106-120",IF(E3197&lt;=140,"121-140","Over 140"))))</f>
        <v/>
      </c>
      <c r="Q3197" s="28">
        <f>INT(C3197/10)*10</f>
        <v/>
      </c>
    </row>
    <row r="3198">
      <c r="A3198" s="21" t="n">
        <v>3263</v>
      </c>
      <c r="B3198" s="21" t="inlineStr">
        <is>
          <t>G-Force</t>
        </is>
      </c>
      <c r="C3198" s="21" t="n">
        <v>2009</v>
      </c>
      <c r="D3198" s="21" t="inlineStr">
        <is>
          <t>USA</t>
        </is>
      </c>
      <c r="E3198" s="21" t="n">
        <v>88</v>
      </c>
      <c r="F3198" s="21" t="inlineStr">
        <is>
          <t>English</t>
        </is>
      </c>
      <c r="G3198" s="21" t="inlineStr">
        <is>
          <t>PG</t>
        </is>
      </c>
      <c r="H3198" s="22" t="n">
        <v>119420252</v>
      </c>
      <c r="I3198" s="22" t="n">
        <v>150000000</v>
      </c>
      <c r="J3198" s="21">
        <f>IF(OR(H3198="",H3198=25529689.5),"Yes","No")</f>
        <v/>
      </c>
      <c r="K3198" s="21">
        <f>IF(AND(D3198="USA",C3198&gt;=1980,J3198="No"),"Yes","No")</f>
        <v/>
      </c>
      <c r="L3198" s="26">
        <f>IF(J3198="Yes","",H3198-I3198)</f>
        <v/>
      </c>
      <c r="M3198" s="27">
        <f>IF(OR(J3198="Yes",I3198=0),"",H3198/I3198)</f>
        <v/>
      </c>
      <c r="N3198" s="21">
        <f>IF(J3198="Yes","",IF(H3198&gt;=I3198,1,0))</f>
        <v/>
      </c>
      <c r="O3198" s="21">
        <f>IF(I3198&lt;=5000000,"Under $5M",IF(I3198&lt;=20000000,"$5M-20M",IF(I3198&lt;=50000000,"$20M-50M",IF(I3198&lt;=100000000,"$50M-100M","$100M+"))))</f>
        <v/>
      </c>
      <c r="P3198" s="21">
        <f>IF(E3198&lt;=90,"90 or less",IF(E3198&lt;=105,"91-105",IF(E3198&lt;=120,"106-120",IF(E3198&lt;=140,"121-140","Over 140"))))</f>
        <v/>
      </c>
      <c r="Q3198" s="28">
        <f>INT(C3198/10)*10</f>
        <v/>
      </c>
    </row>
    <row r="3199">
      <c r="A3199" s="21" t="n">
        <v>3264</v>
      </c>
      <c r="B3199" s="21" t="inlineStr">
        <is>
          <t>G.I. Joe: The Rise of Cobra</t>
        </is>
      </c>
      <c r="C3199" s="21" t="n">
        <v>2009</v>
      </c>
      <c r="D3199" s="21" t="inlineStr">
        <is>
          <t>USA</t>
        </is>
      </c>
      <c r="E3199" s="21" t="n">
        <v>118</v>
      </c>
      <c r="F3199" s="21" t="inlineStr">
        <is>
          <t>English</t>
        </is>
      </c>
      <c r="G3199" s="21" t="inlineStr">
        <is>
          <t>PG-13</t>
        </is>
      </c>
      <c r="H3199" s="22" t="n">
        <v>150167630</v>
      </c>
      <c r="I3199" s="22" t="n">
        <v>175000000</v>
      </c>
      <c r="J3199" s="21">
        <f>IF(OR(H3199="",H3199=25529689.5),"Yes","No")</f>
        <v/>
      </c>
      <c r="K3199" s="21">
        <f>IF(AND(D3199="USA",C3199&gt;=1980,J3199="No"),"Yes","No")</f>
        <v/>
      </c>
      <c r="L3199" s="26">
        <f>IF(J3199="Yes","",H3199-I3199)</f>
        <v/>
      </c>
      <c r="M3199" s="27">
        <f>IF(OR(J3199="Yes",I3199=0),"",H3199/I3199)</f>
        <v/>
      </c>
      <c r="N3199" s="21">
        <f>IF(J3199="Yes","",IF(H3199&gt;=I3199,1,0))</f>
        <v/>
      </c>
      <c r="O3199" s="21">
        <f>IF(I3199&lt;=5000000,"Under $5M",IF(I3199&lt;=20000000,"$5M-20M",IF(I3199&lt;=50000000,"$20M-50M",IF(I3199&lt;=100000000,"$50M-100M","$100M+"))))</f>
        <v/>
      </c>
      <c r="P3199" s="21">
        <f>IF(E3199&lt;=90,"90 or less",IF(E3199&lt;=105,"91-105",IF(E3199&lt;=120,"106-120",IF(E3199&lt;=140,"121-140","Over 140"))))</f>
        <v/>
      </c>
      <c r="Q3199" s="28">
        <f>INT(C3199/10)*10</f>
        <v/>
      </c>
    </row>
    <row r="3200">
      <c r="A3200" s="21" t="n">
        <v>3265</v>
      </c>
      <c r="B3200" s="21" t="inlineStr">
        <is>
          <t>Gamer</t>
        </is>
      </c>
      <c r="C3200" s="21" t="n">
        <v>2009</v>
      </c>
      <c r="D3200" s="21" t="inlineStr">
        <is>
          <t>USA</t>
        </is>
      </c>
      <c r="E3200" s="21" t="n">
        <v>95</v>
      </c>
      <c r="F3200" s="21" t="inlineStr">
        <is>
          <t>English</t>
        </is>
      </c>
      <c r="G3200" s="21" t="inlineStr">
        <is>
          <t>R</t>
        </is>
      </c>
      <c r="H3200" s="22" t="n">
        <v>20488579</v>
      </c>
      <c r="I3200" s="22" t="n">
        <v>50000000</v>
      </c>
      <c r="J3200" s="21">
        <f>IF(OR(H3200="",H3200=25529689.5),"Yes","No")</f>
        <v/>
      </c>
      <c r="K3200" s="21">
        <f>IF(AND(D3200="USA",C3200&gt;=1980,J3200="No"),"Yes","No")</f>
        <v/>
      </c>
      <c r="L3200" s="26">
        <f>IF(J3200="Yes","",H3200-I3200)</f>
        <v/>
      </c>
      <c r="M3200" s="27">
        <f>IF(OR(J3200="Yes",I3200=0),"",H3200/I3200)</f>
        <v/>
      </c>
      <c r="N3200" s="21">
        <f>IF(J3200="Yes","",IF(H3200&gt;=I3200,1,0))</f>
        <v/>
      </c>
      <c r="O3200" s="21">
        <f>IF(I3200&lt;=5000000,"Under $5M",IF(I3200&lt;=20000000,"$5M-20M",IF(I3200&lt;=50000000,"$20M-50M",IF(I3200&lt;=100000000,"$50M-100M","$100M+"))))</f>
        <v/>
      </c>
      <c r="P3200" s="21">
        <f>IF(E3200&lt;=90,"90 or less",IF(E3200&lt;=105,"91-105",IF(E3200&lt;=120,"106-120",IF(E3200&lt;=140,"121-140","Over 140"))))</f>
        <v/>
      </c>
      <c r="Q3200" s="28">
        <f>INT(C3200/10)*10</f>
        <v/>
      </c>
    </row>
    <row r="3201">
      <c r="A3201" s="21" t="n">
        <v>3266</v>
      </c>
      <c r="B3201" s="21" t="inlineStr">
        <is>
          <t>Gentlemen Broncos</t>
        </is>
      </c>
      <c r="C3201" s="21" t="n">
        <v>2009</v>
      </c>
      <c r="D3201" s="21" t="inlineStr">
        <is>
          <t>USA</t>
        </is>
      </c>
      <c r="E3201" s="21" t="n">
        <v>89</v>
      </c>
      <c r="F3201" s="21" t="inlineStr">
        <is>
          <t>English</t>
        </is>
      </c>
      <c r="G3201" s="21" t="inlineStr">
        <is>
          <t>PG-13</t>
        </is>
      </c>
      <c r="H3201" s="22" t="n">
        <v>113155</v>
      </c>
      <c r="I3201" s="22" t="n">
        <v>20000000</v>
      </c>
      <c r="J3201" s="21">
        <f>IF(OR(H3201="",H3201=25529689.5),"Yes","No")</f>
        <v/>
      </c>
      <c r="K3201" s="21">
        <f>IF(AND(D3201="USA",C3201&gt;=1980,J3201="No"),"Yes","No")</f>
        <v/>
      </c>
      <c r="L3201" s="26">
        <f>IF(J3201="Yes","",H3201-I3201)</f>
        <v/>
      </c>
      <c r="M3201" s="27">
        <f>IF(OR(J3201="Yes",I3201=0),"",H3201/I3201)</f>
        <v/>
      </c>
      <c r="N3201" s="21">
        <f>IF(J3201="Yes","",IF(H3201&gt;=I3201,1,0))</f>
        <v/>
      </c>
      <c r="O3201" s="21">
        <f>IF(I3201&lt;=5000000,"Under $5M",IF(I3201&lt;=20000000,"$5M-20M",IF(I3201&lt;=50000000,"$20M-50M",IF(I3201&lt;=100000000,"$50M-100M","$100M+"))))</f>
        <v/>
      </c>
      <c r="P3201" s="21">
        <f>IF(E3201&lt;=90,"90 or less",IF(E3201&lt;=105,"91-105",IF(E3201&lt;=120,"106-120",IF(E3201&lt;=140,"121-140","Over 140"))))</f>
        <v/>
      </c>
      <c r="Q3201" s="28">
        <f>INT(C3201/10)*10</f>
        <v/>
      </c>
    </row>
    <row r="3202">
      <c r="A3202" s="21" t="n">
        <v>3267</v>
      </c>
      <c r="B3202" s="21" t="inlineStr">
        <is>
          <t>Get Low</t>
        </is>
      </c>
      <c r="C3202" s="21" t="n">
        <v>2009</v>
      </c>
      <c r="D3202" s="21" t="inlineStr">
        <is>
          <t>USA</t>
        </is>
      </c>
      <c r="E3202" s="21" t="n">
        <v>100</v>
      </c>
      <c r="F3202" s="21" t="inlineStr">
        <is>
          <t>English</t>
        </is>
      </c>
      <c r="G3202" s="21" t="inlineStr">
        <is>
          <t>PG-13</t>
        </is>
      </c>
      <c r="H3202" s="22" t="n">
        <v>9176553</v>
      </c>
      <c r="I3202" s="22" t="n">
        <v>7500000</v>
      </c>
      <c r="J3202" s="21">
        <f>IF(OR(H3202="",H3202=25529689.5),"Yes","No")</f>
        <v/>
      </c>
      <c r="K3202" s="21">
        <f>IF(AND(D3202="USA",C3202&gt;=1980,J3202="No"),"Yes","No")</f>
        <v/>
      </c>
      <c r="L3202" s="26">
        <f>IF(J3202="Yes","",H3202-I3202)</f>
        <v/>
      </c>
      <c r="M3202" s="27">
        <f>IF(OR(J3202="Yes",I3202=0),"",H3202/I3202)</f>
        <v/>
      </c>
      <c r="N3202" s="21">
        <f>IF(J3202="Yes","",IF(H3202&gt;=I3202,1,0))</f>
        <v/>
      </c>
      <c r="O3202" s="21">
        <f>IF(I3202&lt;=5000000,"Under $5M",IF(I3202&lt;=20000000,"$5M-20M",IF(I3202&lt;=50000000,"$20M-50M",IF(I3202&lt;=100000000,"$50M-100M","$100M+"))))</f>
        <v/>
      </c>
      <c r="P3202" s="21">
        <f>IF(E3202&lt;=90,"90 or less",IF(E3202&lt;=105,"91-105",IF(E3202&lt;=120,"106-120",IF(E3202&lt;=140,"121-140","Over 140"))))</f>
        <v/>
      </c>
      <c r="Q3202" s="28">
        <f>INT(C3202/10)*10</f>
        <v/>
      </c>
    </row>
    <row r="3203">
      <c r="A3203" s="21" t="n">
        <v>3268</v>
      </c>
      <c r="B3203" s="21" t="inlineStr">
        <is>
          <t>Hachi: A Dog's Tale</t>
        </is>
      </c>
      <c r="C3203" s="21" t="n">
        <v>2009</v>
      </c>
      <c r="D3203" s="21" t="inlineStr">
        <is>
          <t>USA</t>
        </is>
      </c>
      <c r="E3203" s="21" t="n">
        <v>93</v>
      </c>
      <c r="F3203" s="21" t="inlineStr">
        <is>
          <t>English</t>
        </is>
      </c>
      <c r="G3203" s="21" t="inlineStr">
        <is>
          <t>G</t>
        </is>
      </c>
      <c r="H3203" s="22" t="n">
        <v>25529689.5</v>
      </c>
      <c r="I3203" s="22" t="n">
        <v>16000000</v>
      </c>
      <c r="J3203" s="21">
        <f>IF(OR(H3203="",H3203=25529689.5),"Yes","No")</f>
        <v/>
      </c>
      <c r="K3203" s="21">
        <f>IF(AND(D3203="USA",C3203&gt;=1980,J3203="No"),"Yes","No")</f>
        <v/>
      </c>
      <c r="L3203" s="26">
        <f>IF(J3203="Yes","",H3203-I3203)</f>
        <v/>
      </c>
      <c r="M3203" s="27">
        <f>IF(OR(J3203="Yes",I3203=0),"",H3203/I3203)</f>
        <v/>
      </c>
      <c r="N3203" s="21">
        <f>IF(J3203="Yes","",IF(H3203&gt;=I3203,1,0))</f>
        <v/>
      </c>
      <c r="O3203" s="21">
        <f>IF(I3203&lt;=5000000,"Under $5M",IF(I3203&lt;=20000000,"$5M-20M",IF(I3203&lt;=50000000,"$20M-50M",IF(I3203&lt;=100000000,"$50M-100M","$100M+"))))</f>
        <v/>
      </c>
      <c r="P3203" s="21">
        <f>IF(E3203&lt;=90,"90 or less",IF(E3203&lt;=105,"91-105",IF(E3203&lt;=120,"106-120",IF(E3203&lt;=140,"121-140","Over 140"))))</f>
        <v/>
      </c>
      <c r="Q3203" s="28">
        <f>INT(C3203/10)*10</f>
        <v/>
      </c>
    </row>
    <row r="3204">
      <c r="A3204" s="21" t="n">
        <v>3269</v>
      </c>
      <c r="B3204" s="21" t="inlineStr">
        <is>
          <t>Halloween II</t>
        </is>
      </c>
      <c r="C3204" s="21" t="n">
        <v>2009</v>
      </c>
      <c r="D3204" s="21" t="inlineStr">
        <is>
          <t>USA</t>
        </is>
      </c>
      <c r="E3204" s="21" t="n">
        <v>119</v>
      </c>
      <c r="F3204" s="21" t="inlineStr">
        <is>
          <t>English</t>
        </is>
      </c>
      <c r="G3204" s="21" t="inlineStr">
        <is>
          <t>R</t>
        </is>
      </c>
      <c r="H3204" s="22" t="n">
        <v>33386128</v>
      </c>
      <c r="I3204" s="22" t="n">
        <v>15000000</v>
      </c>
      <c r="J3204" s="21">
        <f>IF(OR(H3204="",H3204=25529689.5),"Yes","No")</f>
        <v/>
      </c>
      <c r="K3204" s="21">
        <f>IF(AND(D3204="USA",C3204&gt;=1980,J3204="No"),"Yes","No")</f>
        <v/>
      </c>
      <c r="L3204" s="26">
        <f>IF(J3204="Yes","",H3204-I3204)</f>
        <v/>
      </c>
      <c r="M3204" s="27">
        <f>IF(OR(J3204="Yes",I3204=0),"",H3204/I3204)</f>
        <v/>
      </c>
      <c r="N3204" s="21">
        <f>IF(J3204="Yes","",IF(H3204&gt;=I3204,1,0))</f>
        <v/>
      </c>
      <c r="O3204" s="21">
        <f>IF(I3204&lt;=5000000,"Under $5M",IF(I3204&lt;=20000000,"$5M-20M",IF(I3204&lt;=50000000,"$20M-50M",IF(I3204&lt;=100000000,"$50M-100M","$100M+"))))</f>
        <v/>
      </c>
      <c r="P3204" s="21">
        <f>IF(E3204&lt;=90,"90 or less",IF(E3204&lt;=105,"91-105",IF(E3204&lt;=120,"106-120",IF(E3204&lt;=140,"121-140","Over 140"))))</f>
        <v/>
      </c>
      <c r="Q3204" s="28">
        <f>INT(C3204/10)*10</f>
        <v/>
      </c>
    </row>
    <row r="3205">
      <c r="A3205" s="21" t="n">
        <v>3271</v>
      </c>
      <c r="B3205" s="21" t="inlineStr">
        <is>
          <t>Hannah Montana: The Movie</t>
        </is>
      </c>
      <c r="C3205" s="21" t="n">
        <v>2009</v>
      </c>
      <c r="D3205" s="21" t="inlineStr">
        <is>
          <t>USA</t>
        </is>
      </c>
      <c r="E3205" s="21" t="n">
        <v>102</v>
      </c>
      <c r="F3205" s="21" t="inlineStr">
        <is>
          <t>English</t>
        </is>
      </c>
      <c r="G3205" s="21" t="inlineStr">
        <is>
          <t>G</t>
        </is>
      </c>
      <c r="H3205" s="22" t="n">
        <v>79566871</v>
      </c>
      <c r="I3205" s="22" t="n">
        <v>30000000</v>
      </c>
      <c r="J3205" s="21">
        <f>IF(OR(H3205="",H3205=25529689.5),"Yes","No")</f>
        <v/>
      </c>
      <c r="K3205" s="21">
        <f>IF(AND(D3205="USA",C3205&gt;=1980,J3205="No"),"Yes","No")</f>
        <v/>
      </c>
      <c r="L3205" s="26">
        <f>IF(J3205="Yes","",H3205-I3205)</f>
        <v/>
      </c>
      <c r="M3205" s="27">
        <f>IF(OR(J3205="Yes",I3205=0),"",H3205/I3205)</f>
        <v/>
      </c>
      <c r="N3205" s="21">
        <f>IF(J3205="Yes","",IF(H3205&gt;=I3205,1,0))</f>
        <v/>
      </c>
      <c r="O3205" s="21">
        <f>IF(I3205&lt;=5000000,"Under $5M",IF(I3205&lt;=20000000,"$5M-20M",IF(I3205&lt;=50000000,"$20M-50M",IF(I3205&lt;=100000000,"$50M-100M","$100M+"))))</f>
        <v/>
      </c>
      <c r="P3205" s="21">
        <f>IF(E3205&lt;=90,"90 or less",IF(E3205&lt;=105,"91-105",IF(E3205&lt;=120,"106-120",IF(E3205&lt;=140,"121-140","Over 140"))))</f>
        <v/>
      </c>
      <c r="Q3205" s="28">
        <f>INT(C3205/10)*10</f>
        <v/>
      </c>
    </row>
    <row r="3206">
      <c r="A3206" s="21" t="n">
        <v>3272</v>
      </c>
      <c r="B3206" s="21" t="inlineStr">
        <is>
          <t>Harry Brown</t>
        </is>
      </c>
      <c r="C3206" s="21" t="n">
        <v>2009</v>
      </c>
      <c r="D3206" s="21" t="inlineStr">
        <is>
          <t>UK</t>
        </is>
      </c>
      <c r="E3206" s="21" t="n">
        <v>97</v>
      </c>
      <c r="F3206" s="21" t="inlineStr">
        <is>
          <t>English</t>
        </is>
      </c>
      <c r="G3206" s="21" t="inlineStr">
        <is>
          <t>R</t>
        </is>
      </c>
      <c r="H3206" s="22" t="n">
        <v>1818681</v>
      </c>
      <c r="I3206" s="22" t="n">
        <v>7300000</v>
      </c>
      <c r="J3206" s="21">
        <f>IF(OR(H3206="",H3206=25529689.5),"Yes","No")</f>
        <v/>
      </c>
      <c r="K3206" s="21">
        <f>IF(AND(D3206="USA",C3206&gt;=1980,J3206="No"),"Yes","No")</f>
        <v/>
      </c>
      <c r="L3206" s="26">
        <f>IF(J3206="Yes","",H3206-I3206)</f>
        <v/>
      </c>
      <c r="M3206" s="27">
        <f>IF(OR(J3206="Yes",I3206=0),"",H3206/I3206)</f>
        <v/>
      </c>
      <c r="N3206" s="21">
        <f>IF(J3206="Yes","",IF(H3206&gt;=I3206,1,0))</f>
        <v/>
      </c>
      <c r="O3206" s="21">
        <f>IF(I3206&lt;=5000000,"Under $5M",IF(I3206&lt;=20000000,"$5M-20M",IF(I3206&lt;=50000000,"$20M-50M",IF(I3206&lt;=100000000,"$50M-100M","$100M+"))))</f>
        <v/>
      </c>
      <c r="P3206" s="21">
        <f>IF(E3206&lt;=90,"90 or less",IF(E3206&lt;=105,"91-105",IF(E3206&lt;=120,"106-120",IF(E3206&lt;=140,"121-140","Over 140"))))</f>
        <v/>
      </c>
      <c r="Q3206" s="28">
        <f>INT(C3206/10)*10</f>
        <v/>
      </c>
    </row>
    <row r="3207">
      <c r="A3207" s="21" t="n">
        <v>3273</v>
      </c>
      <c r="B3207" s="21" t="inlineStr">
        <is>
          <t>Harry Potter and the Half-Blood Prince</t>
        </is>
      </c>
      <c r="C3207" s="21" t="n">
        <v>2009</v>
      </c>
      <c r="D3207" s="21" t="inlineStr">
        <is>
          <t>UK</t>
        </is>
      </c>
      <c r="E3207" s="21" t="n">
        <v>153</v>
      </c>
      <c r="F3207" s="21" t="inlineStr">
        <is>
          <t>English</t>
        </is>
      </c>
      <c r="G3207" s="21" t="inlineStr">
        <is>
          <t>PG</t>
        </is>
      </c>
      <c r="H3207" s="22" t="n">
        <v>301956980</v>
      </c>
      <c r="I3207" s="22" t="n">
        <v>250000000</v>
      </c>
      <c r="J3207" s="21">
        <f>IF(OR(H3207="",H3207=25529689.5),"Yes","No")</f>
        <v/>
      </c>
      <c r="K3207" s="21">
        <f>IF(AND(D3207="USA",C3207&gt;=1980,J3207="No"),"Yes","No")</f>
        <v/>
      </c>
      <c r="L3207" s="26">
        <f>IF(J3207="Yes","",H3207-I3207)</f>
        <v/>
      </c>
      <c r="M3207" s="27">
        <f>IF(OR(J3207="Yes",I3207=0),"",H3207/I3207)</f>
        <v/>
      </c>
      <c r="N3207" s="21">
        <f>IF(J3207="Yes","",IF(H3207&gt;=I3207,1,0))</f>
        <v/>
      </c>
      <c r="O3207" s="21">
        <f>IF(I3207&lt;=5000000,"Under $5M",IF(I3207&lt;=20000000,"$5M-20M",IF(I3207&lt;=50000000,"$20M-50M",IF(I3207&lt;=100000000,"$50M-100M","$100M+"))))</f>
        <v/>
      </c>
      <c r="P3207" s="21">
        <f>IF(E3207&lt;=90,"90 or less",IF(E3207&lt;=105,"91-105",IF(E3207&lt;=120,"106-120",IF(E3207&lt;=140,"121-140","Over 140"))))</f>
        <v/>
      </c>
      <c r="Q3207" s="28">
        <f>INT(C3207/10)*10</f>
        <v/>
      </c>
    </row>
    <row r="3208">
      <c r="A3208" s="21" t="n">
        <v>3274</v>
      </c>
      <c r="B3208" s="21" t="inlineStr">
        <is>
          <t>He's Just Not That Into You</t>
        </is>
      </c>
      <c r="C3208" s="21" t="n">
        <v>2009</v>
      </c>
      <c r="D3208" s="21" t="inlineStr">
        <is>
          <t>USA</t>
        </is>
      </c>
      <c r="E3208" s="21" t="n">
        <v>129</v>
      </c>
      <c r="F3208" s="21" t="inlineStr">
        <is>
          <t>English</t>
        </is>
      </c>
      <c r="G3208" s="21" t="inlineStr">
        <is>
          <t>PG-13</t>
        </is>
      </c>
      <c r="H3208" s="22" t="n">
        <v>93952276</v>
      </c>
      <c r="I3208" s="22" t="n">
        <v>40000000</v>
      </c>
      <c r="J3208" s="21">
        <f>IF(OR(H3208="",H3208=25529689.5),"Yes","No")</f>
        <v/>
      </c>
      <c r="K3208" s="21">
        <f>IF(AND(D3208="USA",C3208&gt;=1980,J3208="No"),"Yes","No")</f>
        <v/>
      </c>
      <c r="L3208" s="26">
        <f>IF(J3208="Yes","",H3208-I3208)</f>
        <v/>
      </c>
      <c r="M3208" s="27">
        <f>IF(OR(J3208="Yes",I3208=0),"",H3208/I3208)</f>
        <v/>
      </c>
      <c r="N3208" s="21">
        <f>IF(J3208="Yes","",IF(H3208&gt;=I3208,1,0))</f>
        <v/>
      </c>
      <c r="O3208" s="21">
        <f>IF(I3208&lt;=5000000,"Under $5M",IF(I3208&lt;=20000000,"$5M-20M",IF(I3208&lt;=50000000,"$20M-50M",IF(I3208&lt;=100000000,"$50M-100M","$100M+"))))</f>
        <v/>
      </c>
      <c r="P3208" s="21">
        <f>IF(E3208&lt;=90,"90 or less",IF(E3208&lt;=105,"91-105",IF(E3208&lt;=120,"106-120",IF(E3208&lt;=140,"121-140","Over 140"))))</f>
        <v/>
      </c>
      <c r="Q3208" s="28">
        <f>INT(C3208/10)*10</f>
        <v/>
      </c>
    </row>
    <row r="3209">
      <c r="A3209" s="21" t="n">
        <v>3275</v>
      </c>
      <c r="B3209" s="21" t="inlineStr">
        <is>
          <t>Hotel for Dogs</t>
        </is>
      </c>
      <c r="C3209" s="21" t="n">
        <v>2009</v>
      </c>
      <c r="D3209" s="21" t="inlineStr">
        <is>
          <t>USA</t>
        </is>
      </c>
      <c r="E3209" s="21" t="n">
        <v>100</v>
      </c>
      <c r="F3209" s="21" t="inlineStr">
        <is>
          <t>English</t>
        </is>
      </c>
      <c r="G3209" s="21" t="inlineStr">
        <is>
          <t>PG</t>
        </is>
      </c>
      <c r="H3209" s="22" t="n">
        <v>73023275</v>
      </c>
      <c r="I3209" s="22" t="n">
        <v>35000000</v>
      </c>
      <c r="J3209" s="21">
        <f>IF(OR(H3209="",H3209=25529689.5),"Yes","No")</f>
        <v/>
      </c>
      <c r="K3209" s="21">
        <f>IF(AND(D3209="USA",C3209&gt;=1980,J3209="No"),"Yes","No")</f>
        <v/>
      </c>
      <c r="L3209" s="26">
        <f>IF(J3209="Yes","",H3209-I3209)</f>
        <v/>
      </c>
      <c r="M3209" s="27">
        <f>IF(OR(J3209="Yes",I3209=0),"",H3209/I3209)</f>
        <v/>
      </c>
      <c r="N3209" s="21">
        <f>IF(J3209="Yes","",IF(H3209&gt;=I3209,1,0))</f>
        <v/>
      </c>
      <c r="O3209" s="21">
        <f>IF(I3209&lt;=5000000,"Under $5M",IF(I3209&lt;=20000000,"$5M-20M",IF(I3209&lt;=50000000,"$20M-50M",IF(I3209&lt;=100000000,"$50M-100M","$100M+"))))</f>
        <v/>
      </c>
      <c r="P3209" s="21">
        <f>IF(E3209&lt;=90,"90 or less",IF(E3209&lt;=105,"91-105",IF(E3209&lt;=120,"106-120",IF(E3209&lt;=140,"121-140","Over 140"))))</f>
        <v/>
      </c>
      <c r="Q3209" s="28">
        <f>INT(C3209/10)*10</f>
        <v/>
      </c>
    </row>
    <row r="3210">
      <c r="A3210" s="21" t="n">
        <v>3276</v>
      </c>
      <c r="B3210" s="21" t="inlineStr">
        <is>
          <t>I Am Love</t>
        </is>
      </c>
      <c r="C3210" s="21" t="n">
        <v>2009</v>
      </c>
      <c r="D3210" s="21" t="inlineStr">
        <is>
          <t>Italy</t>
        </is>
      </c>
      <c r="E3210" s="21" t="n">
        <v>120</v>
      </c>
      <c r="F3210" s="21" t="inlineStr">
        <is>
          <t>Italian</t>
        </is>
      </c>
      <c r="G3210" s="21" t="inlineStr">
        <is>
          <t>R</t>
        </is>
      </c>
      <c r="H3210" s="22" t="n">
        <v>5004648</v>
      </c>
      <c r="I3210" s="22" t="n">
        <v>10000000</v>
      </c>
      <c r="J3210" s="21">
        <f>IF(OR(H3210="",H3210=25529689.5),"Yes","No")</f>
        <v/>
      </c>
      <c r="K3210" s="21">
        <f>IF(AND(D3210="USA",C3210&gt;=1980,J3210="No"),"Yes","No")</f>
        <v/>
      </c>
      <c r="L3210" s="26">
        <f>IF(J3210="Yes","",H3210-I3210)</f>
        <v/>
      </c>
      <c r="M3210" s="27">
        <f>IF(OR(J3210="Yes",I3210=0),"",H3210/I3210)</f>
        <v/>
      </c>
      <c r="N3210" s="21">
        <f>IF(J3210="Yes","",IF(H3210&gt;=I3210,1,0))</f>
        <v/>
      </c>
      <c r="O3210" s="21">
        <f>IF(I3210&lt;=5000000,"Under $5M",IF(I3210&lt;=20000000,"$5M-20M",IF(I3210&lt;=50000000,"$20M-50M",IF(I3210&lt;=100000000,"$50M-100M","$100M+"))))</f>
        <v/>
      </c>
      <c r="P3210" s="21">
        <f>IF(E3210&lt;=90,"90 or less",IF(E3210&lt;=105,"91-105",IF(E3210&lt;=120,"106-120",IF(E3210&lt;=140,"121-140","Over 140"))))</f>
        <v/>
      </c>
      <c r="Q3210" s="28">
        <f>INT(C3210/10)*10</f>
        <v/>
      </c>
    </row>
    <row r="3211">
      <c r="A3211" s="21" t="n">
        <v>3277</v>
      </c>
      <c r="B3211" s="21" t="inlineStr">
        <is>
          <t>I Can Do Bad All by Myself</t>
        </is>
      </c>
      <c r="C3211" s="21" t="n">
        <v>2009</v>
      </c>
      <c r="D3211" s="21" t="inlineStr">
        <is>
          <t>USA</t>
        </is>
      </c>
      <c r="E3211" s="21" t="n">
        <v>113</v>
      </c>
      <c r="F3211" s="21" t="inlineStr">
        <is>
          <t>English</t>
        </is>
      </c>
      <c r="G3211" s="21" t="inlineStr">
        <is>
          <t>PG-13</t>
        </is>
      </c>
      <c r="H3211" s="22" t="n">
        <v>51697449</v>
      </c>
      <c r="I3211" s="22" t="n">
        <v>13000000</v>
      </c>
      <c r="J3211" s="21">
        <f>IF(OR(H3211="",H3211=25529689.5),"Yes","No")</f>
        <v/>
      </c>
      <c r="K3211" s="21">
        <f>IF(AND(D3211="USA",C3211&gt;=1980,J3211="No"),"Yes","No")</f>
        <v/>
      </c>
      <c r="L3211" s="26">
        <f>IF(J3211="Yes","",H3211-I3211)</f>
        <v/>
      </c>
      <c r="M3211" s="27">
        <f>IF(OR(J3211="Yes",I3211=0),"",H3211/I3211)</f>
        <v/>
      </c>
      <c r="N3211" s="21">
        <f>IF(J3211="Yes","",IF(H3211&gt;=I3211,1,0))</f>
        <v/>
      </c>
      <c r="O3211" s="21">
        <f>IF(I3211&lt;=5000000,"Under $5M",IF(I3211&lt;=20000000,"$5M-20M",IF(I3211&lt;=50000000,"$20M-50M",IF(I3211&lt;=100000000,"$50M-100M","$100M+"))))</f>
        <v/>
      </c>
      <c r="P3211" s="21">
        <f>IF(E3211&lt;=90,"90 or less",IF(E3211&lt;=105,"91-105",IF(E3211&lt;=120,"106-120",IF(E3211&lt;=140,"121-140","Over 140"))))</f>
        <v/>
      </c>
      <c r="Q3211" s="28">
        <f>INT(C3211/10)*10</f>
        <v/>
      </c>
    </row>
    <row r="3212">
      <c r="A3212" s="21" t="n">
        <v>3278</v>
      </c>
      <c r="B3212" s="21" t="inlineStr">
        <is>
          <t>I Come with the Rain</t>
        </is>
      </c>
      <c r="C3212" s="21" t="n">
        <v>2009</v>
      </c>
      <c r="D3212" s="21" t="inlineStr">
        <is>
          <t>France</t>
        </is>
      </c>
      <c r="E3212" s="21" t="n">
        <v>114</v>
      </c>
      <c r="F3212" s="21" t="inlineStr">
        <is>
          <t>English</t>
        </is>
      </c>
      <c r="G3212" s="21" t="inlineStr">
        <is>
          <t>Not Rated</t>
        </is>
      </c>
      <c r="H3212" s="22" t="n">
        <v>25529689.5</v>
      </c>
      <c r="I3212" s="22" t="n">
        <v>18000000</v>
      </c>
      <c r="J3212" s="21">
        <f>IF(OR(H3212="",H3212=25529689.5),"Yes","No")</f>
        <v/>
      </c>
      <c r="K3212" s="21">
        <f>IF(AND(D3212="USA",C3212&gt;=1980,J3212="No"),"Yes","No")</f>
        <v/>
      </c>
      <c r="L3212" s="26">
        <f>IF(J3212="Yes","",H3212-I3212)</f>
        <v/>
      </c>
      <c r="M3212" s="27">
        <f>IF(OR(J3212="Yes",I3212=0),"",H3212/I3212)</f>
        <v/>
      </c>
      <c r="N3212" s="21">
        <f>IF(J3212="Yes","",IF(H3212&gt;=I3212,1,0))</f>
        <v/>
      </c>
      <c r="O3212" s="21">
        <f>IF(I3212&lt;=5000000,"Under $5M",IF(I3212&lt;=20000000,"$5M-20M",IF(I3212&lt;=50000000,"$20M-50M",IF(I3212&lt;=100000000,"$50M-100M","$100M+"))))</f>
        <v/>
      </c>
      <c r="P3212" s="21">
        <f>IF(E3212&lt;=90,"90 or less",IF(E3212&lt;=105,"91-105",IF(E3212&lt;=120,"106-120",IF(E3212&lt;=140,"121-140","Over 140"))))</f>
        <v/>
      </c>
      <c r="Q3212" s="28">
        <f>INT(C3212/10)*10</f>
        <v/>
      </c>
    </row>
    <row r="3213">
      <c r="A3213" s="21" t="n">
        <v>3279</v>
      </c>
      <c r="B3213" s="21" t="inlineStr">
        <is>
          <t>I Hope They Serve Beer in Hell</t>
        </is>
      </c>
      <c r="C3213" s="21" t="n">
        <v>2009</v>
      </c>
      <c r="D3213" s="21" t="inlineStr">
        <is>
          <t>USA</t>
        </is>
      </c>
      <c r="E3213" s="21" t="n">
        <v>105</v>
      </c>
      <c r="F3213" s="21" t="inlineStr">
        <is>
          <t>English</t>
        </is>
      </c>
      <c r="G3213" s="21" t="inlineStr">
        <is>
          <t>R</t>
        </is>
      </c>
      <c r="H3213" s="22" t="n">
        <v>1425993</v>
      </c>
      <c r="I3213" s="22" t="n">
        <v>20000000</v>
      </c>
      <c r="J3213" s="21">
        <f>IF(OR(H3213="",H3213=25529689.5),"Yes","No")</f>
        <v/>
      </c>
      <c r="K3213" s="21">
        <f>IF(AND(D3213="USA",C3213&gt;=1980,J3213="No"),"Yes","No")</f>
        <v/>
      </c>
      <c r="L3213" s="26">
        <f>IF(J3213="Yes","",H3213-I3213)</f>
        <v/>
      </c>
      <c r="M3213" s="27">
        <f>IF(OR(J3213="Yes",I3213=0),"",H3213/I3213)</f>
        <v/>
      </c>
      <c r="N3213" s="21">
        <f>IF(J3213="Yes","",IF(H3213&gt;=I3213,1,0))</f>
        <v/>
      </c>
      <c r="O3213" s="21">
        <f>IF(I3213&lt;=5000000,"Under $5M",IF(I3213&lt;=20000000,"$5M-20M",IF(I3213&lt;=50000000,"$20M-50M",IF(I3213&lt;=100000000,"$50M-100M","$100M+"))))</f>
        <v/>
      </c>
      <c r="P3213" s="21">
        <f>IF(E3213&lt;=90,"90 or less",IF(E3213&lt;=105,"91-105",IF(E3213&lt;=120,"106-120",IF(E3213&lt;=140,"121-140","Over 140"))))</f>
        <v/>
      </c>
      <c r="Q3213" s="28">
        <f>INT(C3213/10)*10</f>
        <v/>
      </c>
    </row>
    <row r="3214">
      <c r="A3214" s="21" t="n">
        <v>3280</v>
      </c>
      <c r="B3214" s="21" t="inlineStr">
        <is>
          <t>I Love You Phillip Morris</t>
        </is>
      </c>
      <c r="C3214" s="21" t="n">
        <v>2009</v>
      </c>
      <c r="D3214" s="21" t="inlineStr">
        <is>
          <t>France</t>
        </is>
      </c>
      <c r="E3214" s="21" t="n">
        <v>102</v>
      </c>
      <c r="F3214" s="21" t="inlineStr">
        <is>
          <t>English</t>
        </is>
      </c>
      <c r="G3214" s="21" t="inlineStr">
        <is>
          <t>R</t>
        </is>
      </c>
      <c r="H3214" s="22" t="n">
        <v>2035566</v>
      </c>
      <c r="I3214" s="22" t="n">
        <v>13000000</v>
      </c>
      <c r="J3214" s="21">
        <f>IF(OR(H3214="",H3214=25529689.5),"Yes","No")</f>
        <v/>
      </c>
      <c r="K3214" s="21">
        <f>IF(AND(D3214="USA",C3214&gt;=1980,J3214="No"),"Yes","No")</f>
        <v/>
      </c>
      <c r="L3214" s="26">
        <f>IF(J3214="Yes","",H3214-I3214)</f>
        <v/>
      </c>
      <c r="M3214" s="27">
        <f>IF(OR(J3214="Yes",I3214=0),"",H3214/I3214)</f>
        <v/>
      </c>
      <c r="N3214" s="21">
        <f>IF(J3214="Yes","",IF(H3214&gt;=I3214,1,0))</f>
        <v/>
      </c>
      <c r="O3214" s="21">
        <f>IF(I3214&lt;=5000000,"Under $5M",IF(I3214&lt;=20000000,"$5M-20M",IF(I3214&lt;=50000000,"$20M-50M",IF(I3214&lt;=100000000,"$50M-100M","$100M+"))))</f>
        <v/>
      </c>
      <c r="P3214" s="21">
        <f>IF(E3214&lt;=90,"90 or less",IF(E3214&lt;=105,"91-105",IF(E3214&lt;=120,"106-120",IF(E3214&lt;=140,"121-140","Over 140"))))</f>
        <v/>
      </c>
      <c r="Q3214" s="28">
        <f>INT(C3214/10)*10</f>
        <v/>
      </c>
    </row>
    <row r="3215">
      <c r="A3215" s="21" t="n">
        <v>3281</v>
      </c>
      <c r="B3215" s="21" t="inlineStr">
        <is>
          <t>I Love You, Beth Cooper</t>
        </is>
      </c>
      <c r="C3215" s="21" t="n">
        <v>2009</v>
      </c>
      <c r="D3215" s="21" t="inlineStr">
        <is>
          <t>Canada</t>
        </is>
      </c>
      <c r="E3215" s="21" t="n">
        <v>102</v>
      </c>
      <c r="F3215" s="21" t="inlineStr">
        <is>
          <t>English</t>
        </is>
      </c>
      <c r="G3215" s="21" t="inlineStr">
        <is>
          <t>PG-13</t>
        </is>
      </c>
      <c r="H3215" s="22" t="n">
        <v>14793904</v>
      </c>
      <c r="I3215" s="22" t="n">
        <v>18000000</v>
      </c>
      <c r="J3215" s="21">
        <f>IF(OR(H3215="",H3215=25529689.5),"Yes","No")</f>
        <v/>
      </c>
      <c r="K3215" s="21">
        <f>IF(AND(D3215="USA",C3215&gt;=1980,J3215="No"),"Yes","No")</f>
        <v/>
      </c>
      <c r="L3215" s="26">
        <f>IF(J3215="Yes","",H3215-I3215)</f>
        <v/>
      </c>
      <c r="M3215" s="27">
        <f>IF(OR(J3215="Yes",I3215=0),"",H3215/I3215)</f>
        <v/>
      </c>
      <c r="N3215" s="21">
        <f>IF(J3215="Yes","",IF(H3215&gt;=I3215,1,0))</f>
        <v/>
      </c>
      <c r="O3215" s="21">
        <f>IF(I3215&lt;=5000000,"Under $5M",IF(I3215&lt;=20000000,"$5M-20M",IF(I3215&lt;=50000000,"$20M-50M",IF(I3215&lt;=100000000,"$50M-100M","$100M+"))))</f>
        <v/>
      </c>
      <c r="P3215" s="21">
        <f>IF(E3215&lt;=90,"90 or less",IF(E3215&lt;=105,"91-105",IF(E3215&lt;=120,"106-120",IF(E3215&lt;=140,"121-140","Over 140"))))</f>
        <v/>
      </c>
      <c r="Q3215" s="28">
        <f>INT(C3215/10)*10</f>
        <v/>
      </c>
    </row>
    <row r="3216">
      <c r="A3216" s="21" t="n">
        <v>3282</v>
      </c>
      <c r="B3216" s="21" t="inlineStr">
        <is>
          <t>I Love You, Man</t>
        </is>
      </c>
      <c r="C3216" s="21" t="n">
        <v>2009</v>
      </c>
      <c r="D3216" s="21" t="inlineStr">
        <is>
          <t>USA</t>
        </is>
      </c>
      <c r="E3216" s="21" t="n">
        <v>105</v>
      </c>
      <c r="F3216" s="21" t="inlineStr">
        <is>
          <t>English</t>
        </is>
      </c>
      <c r="G3216" s="21" t="inlineStr">
        <is>
          <t>R</t>
        </is>
      </c>
      <c r="H3216" s="22" t="n">
        <v>71347010</v>
      </c>
      <c r="I3216" s="22" t="n">
        <v>40000000</v>
      </c>
      <c r="J3216" s="21">
        <f>IF(OR(H3216="",H3216=25529689.5),"Yes","No")</f>
        <v/>
      </c>
      <c r="K3216" s="21">
        <f>IF(AND(D3216="USA",C3216&gt;=1980,J3216="No"),"Yes","No")</f>
        <v/>
      </c>
      <c r="L3216" s="26">
        <f>IF(J3216="Yes","",H3216-I3216)</f>
        <v/>
      </c>
      <c r="M3216" s="27">
        <f>IF(OR(J3216="Yes",I3216=0),"",H3216/I3216)</f>
        <v/>
      </c>
      <c r="N3216" s="21">
        <f>IF(J3216="Yes","",IF(H3216&gt;=I3216,1,0))</f>
        <v/>
      </c>
      <c r="O3216" s="21">
        <f>IF(I3216&lt;=5000000,"Under $5M",IF(I3216&lt;=20000000,"$5M-20M",IF(I3216&lt;=50000000,"$20M-50M",IF(I3216&lt;=100000000,"$50M-100M","$100M+"))))</f>
        <v/>
      </c>
      <c r="P3216" s="21">
        <f>IF(E3216&lt;=90,"90 or less",IF(E3216&lt;=105,"91-105",IF(E3216&lt;=120,"106-120",IF(E3216&lt;=140,"121-140","Over 140"))))</f>
        <v/>
      </c>
      <c r="Q3216" s="28">
        <f>INT(C3216/10)*10</f>
        <v/>
      </c>
    </row>
    <row r="3217">
      <c r="A3217" s="21" t="n">
        <v>3283</v>
      </c>
      <c r="B3217" s="21" t="inlineStr">
        <is>
          <t>Ice Age: Dawn of the Dinosaurs</t>
        </is>
      </c>
      <c r="C3217" s="21" t="n">
        <v>2009</v>
      </c>
      <c r="D3217" s="21" t="inlineStr">
        <is>
          <t>USA</t>
        </is>
      </c>
      <c r="E3217" s="21" t="n">
        <v>94</v>
      </c>
      <c r="F3217" s="21" t="inlineStr">
        <is>
          <t>English</t>
        </is>
      </c>
      <c r="G3217" s="21" t="inlineStr">
        <is>
          <t>PG</t>
        </is>
      </c>
      <c r="H3217" s="22" t="n">
        <v>196573705</v>
      </c>
      <c r="I3217" s="22" t="n">
        <v>90000000</v>
      </c>
      <c r="J3217" s="21">
        <f>IF(OR(H3217="",H3217=25529689.5),"Yes","No")</f>
        <v/>
      </c>
      <c r="K3217" s="21">
        <f>IF(AND(D3217="USA",C3217&gt;=1980,J3217="No"),"Yes","No")</f>
        <v/>
      </c>
      <c r="L3217" s="26">
        <f>IF(J3217="Yes","",H3217-I3217)</f>
        <v/>
      </c>
      <c r="M3217" s="27">
        <f>IF(OR(J3217="Yes",I3217=0),"",H3217/I3217)</f>
        <v/>
      </c>
      <c r="N3217" s="21">
        <f>IF(J3217="Yes","",IF(H3217&gt;=I3217,1,0))</f>
        <v/>
      </c>
      <c r="O3217" s="21">
        <f>IF(I3217&lt;=5000000,"Under $5M",IF(I3217&lt;=20000000,"$5M-20M",IF(I3217&lt;=50000000,"$20M-50M",IF(I3217&lt;=100000000,"$50M-100M","$100M+"))))</f>
        <v/>
      </c>
      <c r="P3217" s="21">
        <f>IF(E3217&lt;=90,"90 or less",IF(E3217&lt;=105,"91-105",IF(E3217&lt;=120,"106-120",IF(E3217&lt;=140,"121-140","Over 140"))))</f>
        <v/>
      </c>
      <c r="Q3217" s="28">
        <f>INT(C3217/10)*10</f>
        <v/>
      </c>
    </row>
    <row r="3218">
      <c r="A3218" s="21" t="n">
        <v>3284</v>
      </c>
      <c r="B3218" s="21" t="inlineStr">
        <is>
          <t>Imagine That</t>
        </is>
      </c>
      <c r="C3218" s="21" t="n">
        <v>2009</v>
      </c>
      <c r="D3218" s="21" t="inlineStr">
        <is>
          <t>USA</t>
        </is>
      </c>
      <c r="E3218" s="21" t="n">
        <v>107</v>
      </c>
      <c r="F3218" s="21" t="inlineStr">
        <is>
          <t>English</t>
        </is>
      </c>
      <c r="G3218" s="21" t="inlineStr">
        <is>
          <t>PG</t>
        </is>
      </c>
      <c r="H3218" s="22" t="n">
        <v>16088610</v>
      </c>
      <c r="I3218" s="22" t="n">
        <v>55000000</v>
      </c>
      <c r="J3218" s="21">
        <f>IF(OR(H3218="",H3218=25529689.5),"Yes","No")</f>
        <v/>
      </c>
      <c r="K3218" s="21">
        <f>IF(AND(D3218="USA",C3218&gt;=1980,J3218="No"),"Yes","No")</f>
        <v/>
      </c>
      <c r="L3218" s="26">
        <f>IF(J3218="Yes","",H3218-I3218)</f>
        <v/>
      </c>
      <c r="M3218" s="27">
        <f>IF(OR(J3218="Yes",I3218=0),"",H3218/I3218)</f>
        <v/>
      </c>
      <c r="N3218" s="21">
        <f>IF(J3218="Yes","",IF(H3218&gt;=I3218,1,0))</f>
        <v/>
      </c>
      <c r="O3218" s="21">
        <f>IF(I3218&lt;=5000000,"Under $5M",IF(I3218&lt;=20000000,"$5M-20M",IF(I3218&lt;=50000000,"$20M-50M",IF(I3218&lt;=100000000,"$50M-100M","$100M+"))))</f>
        <v/>
      </c>
      <c r="P3218" s="21">
        <f>IF(E3218&lt;=90,"90 or less",IF(E3218&lt;=105,"91-105",IF(E3218&lt;=120,"106-120",IF(E3218&lt;=140,"121-140","Over 140"))))</f>
        <v/>
      </c>
      <c r="Q3218" s="28">
        <f>INT(C3218/10)*10</f>
        <v/>
      </c>
    </row>
    <row r="3219">
      <c r="A3219" s="21" t="n">
        <v>3285</v>
      </c>
      <c r="B3219" s="21" t="inlineStr">
        <is>
          <t>Inglourious Basterds</t>
        </is>
      </c>
      <c r="C3219" s="21" t="n">
        <v>2009</v>
      </c>
      <c r="D3219" s="21" t="inlineStr">
        <is>
          <t>USA</t>
        </is>
      </c>
      <c r="E3219" s="21" t="n">
        <v>153</v>
      </c>
      <c r="F3219" s="21" t="inlineStr">
        <is>
          <t>English</t>
        </is>
      </c>
      <c r="G3219" s="21" t="inlineStr">
        <is>
          <t>R</t>
        </is>
      </c>
      <c r="H3219" s="22" t="n">
        <v>120523073</v>
      </c>
      <c r="I3219" s="22" t="n">
        <v>75000000</v>
      </c>
      <c r="J3219" s="21">
        <f>IF(OR(H3219="",H3219=25529689.5),"Yes","No")</f>
        <v/>
      </c>
      <c r="K3219" s="21">
        <f>IF(AND(D3219="USA",C3219&gt;=1980,J3219="No"),"Yes","No")</f>
        <v/>
      </c>
      <c r="L3219" s="26">
        <f>IF(J3219="Yes","",H3219-I3219)</f>
        <v/>
      </c>
      <c r="M3219" s="27">
        <f>IF(OR(J3219="Yes",I3219=0),"",H3219/I3219)</f>
        <v/>
      </c>
      <c r="N3219" s="21">
        <f>IF(J3219="Yes","",IF(H3219&gt;=I3219,1,0))</f>
        <v/>
      </c>
      <c r="O3219" s="21">
        <f>IF(I3219&lt;=5000000,"Under $5M",IF(I3219&lt;=20000000,"$5M-20M",IF(I3219&lt;=50000000,"$20M-50M",IF(I3219&lt;=100000000,"$50M-100M","$100M+"))))</f>
        <v/>
      </c>
      <c r="P3219" s="21">
        <f>IF(E3219&lt;=90,"90 or less",IF(E3219&lt;=105,"91-105",IF(E3219&lt;=120,"106-120",IF(E3219&lt;=140,"121-140","Over 140"))))</f>
        <v/>
      </c>
      <c r="Q3219" s="28">
        <f>INT(C3219/10)*10</f>
        <v/>
      </c>
    </row>
    <row r="3220">
      <c r="A3220" s="21" t="n">
        <v>3286</v>
      </c>
      <c r="B3220" s="21" t="inlineStr">
        <is>
          <t>Ink</t>
        </is>
      </c>
      <c r="C3220" s="21" t="n">
        <v>2009</v>
      </c>
      <c r="D3220" s="21" t="inlineStr">
        <is>
          <t>USA</t>
        </is>
      </c>
      <c r="E3220" s="21" t="n">
        <v>107</v>
      </c>
      <c r="F3220" s="21" t="inlineStr">
        <is>
          <t>English</t>
        </is>
      </c>
      <c r="G3220" s="21" t="n"/>
      <c r="H3220" s="22" t="n">
        <v>25529689.5</v>
      </c>
      <c r="I3220" s="22" t="n">
        <v>20000000</v>
      </c>
      <c r="J3220" s="21">
        <f>IF(OR(H3220="",H3220=25529689.5),"Yes","No")</f>
        <v/>
      </c>
      <c r="K3220" s="21">
        <f>IF(AND(D3220="USA",C3220&gt;=1980,J3220="No"),"Yes","No")</f>
        <v/>
      </c>
      <c r="L3220" s="26">
        <f>IF(J3220="Yes","",H3220-I3220)</f>
        <v/>
      </c>
      <c r="M3220" s="27">
        <f>IF(OR(J3220="Yes",I3220=0),"",H3220/I3220)</f>
        <v/>
      </c>
      <c r="N3220" s="21">
        <f>IF(J3220="Yes","",IF(H3220&gt;=I3220,1,0))</f>
        <v/>
      </c>
      <c r="O3220" s="21">
        <f>IF(I3220&lt;=5000000,"Under $5M",IF(I3220&lt;=20000000,"$5M-20M",IF(I3220&lt;=50000000,"$20M-50M",IF(I3220&lt;=100000000,"$50M-100M","$100M+"))))</f>
        <v/>
      </c>
      <c r="P3220" s="21">
        <f>IF(E3220&lt;=90,"90 or less",IF(E3220&lt;=105,"91-105",IF(E3220&lt;=120,"106-120",IF(E3220&lt;=140,"121-140","Over 140"))))</f>
        <v/>
      </c>
      <c r="Q3220" s="28">
        <f>INT(C3220/10)*10</f>
        <v/>
      </c>
    </row>
    <row r="3221">
      <c r="A3221" s="21" t="n">
        <v>3287</v>
      </c>
      <c r="B3221" s="21" t="inlineStr">
        <is>
          <t>Invictus</t>
        </is>
      </c>
      <c r="C3221" s="21" t="n">
        <v>2009</v>
      </c>
      <c r="D3221" s="21" t="inlineStr">
        <is>
          <t>USA</t>
        </is>
      </c>
      <c r="E3221" s="21" t="n">
        <v>134</v>
      </c>
      <c r="F3221" s="21" t="inlineStr">
        <is>
          <t>English</t>
        </is>
      </c>
      <c r="G3221" s="21" t="inlineStr">
        <is>
          <t>PG-13</t>
        </is>
      </c>
      <c r="H3221" s="22" t="n">
        <v>37479778</v>
      </c>
      <c r="I3221" s="22" t="n">
        <v>60000000</v>
      </c>
      <c r="J3221" s="21">
        <f>IF(OR(H3221="",H3221=25529689.5),"Yes","No")</f>
        <v/>
      </c>
      <c r="K3221" s="21">
        <f>IF(AND(D3221="USA",C3221&gt;=1980,J3221="No"),"Yes","No")</f>
        <v/>
      </c>
      <c r="L3221" s="26">
        <f>IF(J3221="Yes","",H3221-I3221)</f>
        <v/>
      </c>
      <c r="M3221" s="27">
        <f>IF(OR(J3221="Yes",I3221=0),"",H3221/I3221)</f>
        <v/>
      </c>
      <c r="N3221" s="21">
        <f>IF(J3221="Yes","",IF(H3221&gt;=I3221,1,0))</f>
        <v/>
      </c>
      <c r="O3221" s="21">
        <f>IF(I3221&lt;=5000000,"Under $5M",IF(I3221&lt;=20000000,"$5M-20M",IF(I3221&lt;=50000000,"$20M-50M",IF(I3221&lt;=100000000,"$50M-100M","$100M+"))))</f>
        <v/>
      </c>
      <c r="P3221" s="21">
        <f>IF(E3221&lt;=90,"90 or less",IF(E3221&lt;=105,"91-105",IF(E3221&lt;=120,"106-120",IF(E3221&lt;=140,"121-140","Over 140"))))</f>
        <v/>
      </c>
      <c r="Q3221" s="28">
        <f>INT(C3221/10)*10</f>
        <v/>
      </c>
    </row>
    <row r="3222">
      <c r="A3222" s="21" t="n">
        <v>3288</v>
      </c>
      <c r="B3222" s="21" t="inlineStr">
        <is>
          <t>It's Complicated</t>
        </is>
      </c>
      <c r="C3222" s="21" t="n">
        <v>2009</v>
      </c>
      <c r="D3222" s="21" t="inlineStr">
        <is>
          <t>USA</t>
        </is>
      </c>
      <c r="E3222" s="21" t="n">
        <v>120</v>
      </c>
      <c r="F3222" s="21" t="inlineStr">
        <is>
          <t>English</t>
        </is>
      </c>
      <c r="G3222" s="21" t="inlineStr">
        <is>
          <t>R</t>
        </is>
      </c>
      <c r="H3222" s="22" t="n">
        <v>112703470</v>
      </c>
      <c r="I3222" s="22" t="n">
        <v>85000000</v>
      </c>
      <c r="J3222" s="21">
        <f>IF(OR(H3222="",H3222=25529689.5),"Yes","No")</f>
        <v/>
      </c>
      <c r="K3222" s="21">
        <f>IF(AND(D3222="USA",C3222&gt;=1980,J3222="No"),"Yes","No")</f>
        <v/>
      </c>
      <c r="L3222" s="26">
        <f>IF(J3222="Yes","",H3222-I3222)</f>
        <v/>
      </c>
      <c r="M3222" s="27">
        <f>IF(OR(J3222="Yes",I3222=0),"",H3222/I3222)</f>
        <v/>
      </c>
      <c r="N3222" s="21">
        <f>IF(J3222="Yes","",IF(H3222&gt;=I3222,1,0))</f>
        <v/>
      </c>
      <c r="O3222" s="21">
        <f>IF(I3222&lt;=5000000,"Under $5M",IF(I3222&lt;=20000000,"$5M-20M",IF(I3222&lt;=50000000,"$20M-50M",IF(I3222&lt;=100000000,"$50M-100M","$100M+"))))</f>
        <v/>
      </c>
      <c r="P3222" s="21">
        <f>IF(E3222&lt;=90,"90 or less",IF(E3222&lt;=105,"91-105",IF(E3222&lt;=120,"106-120",IF(E3222&lt;=140,"121-140","Over 140"))))</f>
        <v/>
      </c>
      <c r="Q3222" s="28">
        <f>INT(C3222/10)*10</f>
        <v/>
      </c>
    </row>
    <row r="3223">
      <c r="A3223" s="21" t="n">
        <v>3289</v>
      </c>
      <c r="B3223" s="21" t="inlineStr">
        <is>
          <t>Jennifer's Body</t>
        </is>
      </c>
      <c r="C3223" s="21" t="n">
        <v>2009</v>
      </c>
      <c r="D3223" s="21" t="inlineStr">
        <is>
          <t>USA</t>
        </is>
      </c>
      <c r="E3223" s="21" t="n">
        <v>107</v>
      </c>
      <c r="F3223" s="21" t="inlineStr">
        <is>
          <t>English</t>
        </is>
      </c>
      <c r="G3223" s="21" t="inlineStr">
        <is>
          <t>R</t>
        </is>
      </c>
      <c r="H3223" s="22" t="n">
        <v>16204793</v>
      </c>
      <c r="I3223" s="22" t="n">
        <v>16000000</v>
      </c>
      <c r="J3223" s="21">
        <f>IF(OR(H3223="",H3223=25529689.5),"Yes","No")</f>
        <v/>
      </c>
      <c r="K3223" s="21">
        <f>IF(AND(D3223="USA",C3223&gt;=1980,J3223="No"),"Yes","No")</f>
        <v/>
      </c>
      <c r="L3223" s="26">
        <f>IF(J3223="Yes","",H3223-I3223)</f>
        <v/>
      </c>
      <c r="M3223" s="27">
        <f>IF(OR(J3223="Yes",I3223=0),"",H3223/I3223)</f>
        <v/>
      </c>
      <c r="N3223" s="21">
        <f>IF(J3223="Yes","",IF(H3223&gt;=I3223,1,0))</f>
        <v/>
      </c>
      <c r="O3223" s="21">
        <f>IF(I3223&lt;=5000000,"Under $5M",IF(I3223&lt;=20000000,"$5M-20M",IF(I3223&lt;=50000000,"$20M-50M",IF(I3223&lt;=100000000,"$50M-100M","$100M+"))))</f>
        <v/>
      </c>
      <c r="P3223" s="21">
        <f>IF(E3223&lt;=90,"90 or less",IF(E3223&lt;=105,"91-105",IF(E3223&lt;=120,"106-120",IF(E3223&lt;=140,"121-140","Over 140"))))</f>
        <v/>
      </c>
      <c r="Q3223" s="28">
        <f>INT(C3223/10)*10</f>
        <v/>
      </c>
    </row>
    <row r="3224">
      <c r="A3224" s="21" t="n">
        <v>3290</v>
      </c>
      <c r="B3224" s="21" t="inlineStr">
        <is>
          <t>Julie &amp; Julia</t>
        </is>
      </c>
      <c r="C3224" s="21" t="n">
        <v>2009</v>
      </c>
      <c r="D3224" s="21" t="inlineStr">
        <is>
          <t>USA</t>
        </is>
      </c>
      <c r="E3224" s="21" t="n">
        <v>123</v>
      </c>
      <c r="F3224" s="21" t="inlineStr">
        <is>
          <t>English</t>
        </is>
      </c>
      <c r="G3224" s="21" t="inlineStr">
        <is>
          <t>PG-13</t>
        </is>
      </c>
      <c r="H3224" s="22" t="n">
        <v>94125426</v>
      </c>
      <c r="I3224" s="22" t="n">
        <v>40000000</v>
      </c>
      <c r="J3224" s="21">
        <f>IF(OR(H3224="",H3224=25529689.5),"Yes","No")</f>
        <v/>
      </c>
      <c r="K3224" s="21">
        <f>IF(AND(D3224="USA",C3224&gt;=1980,J3224="No"),"Yes","No")</f>
        <v/>
      </c>
      <c r="L3224" s="26">
        <f>IF(J3224="Yes","",H3224-I3224)</f>
        <v/>
      </c>
      <c r="M3224" s="27">
        <f>IF(OR(J3224="Yes",I3224=0),"",H3224/I3224)</f>
        <v/>
      </c>
      <c r="N3224" s="21">
        <f>IF(J3224="Yes","",IF(H3224&gt;=I3224,1,0))</f>
        <v/>
      </c>
      <c r="O3224" s="21">
        <f>IF(I3224&lt;=5000000,"Under $5M",IF(I3224&lt;=20000000,"$5M-20M",IF(I3224&lt;=50000000,"$20M-50M",IF(I3224&lt;=100000000,"$50M-100M","$100M+"))))</f>
        <v/>
      </c>
      <c r="P3224" s="21">
        <f>IF(E3224&lt;=90,"90 or less",IF(E3224&lt;=105,"91-105",IF(E3224&lt;=120,"106-120",IF(E3224&lt;=140,"121-140","Over 140"))))</f>
        <v/>
      </c>
      <c r="Q3224" s="28">
        <f>INT(C3224/10)*10</f>
        <v/>
      </c>
    </row>
    <row r="3225">
      <c r="A3225" s="21" t="n">
        <v>3291</v>
      </c>
      <c r="B3225" s="21" t="inlineStr">
        <is>
          <t>Knowing</t>
        </is>
      </c>
      <c r="C3225" s="21" t="n">
        <v>2009</v>
      </c>
      <c r="D3225" s="21" t="inlineStr">
        <is>
          <t>USA</t>
        </is>
      </c>
      <c r="E3225" s="21" t="n">
        <v>121</v>
      </c>
      <c r="F3225" s="21" t="inlineStr">
        <is>
          <t>English</t>
        </is>
      </c>
      <c r="G3225" s="21" t="inlineStr">
        <is>
          <t>PG-13</t>
        </is>
      </c>
      <c r="H3225" s="22" t="n">
        <v>79948113</v>
      </c>
      <c r="I3225" s="22" t="n">
        <v>50000000</v>
      </c>
      <c r="J3225" s="21">
        <f>IF(OR(H3225="",H3225=25529689.5),"Yes","No")</f>
        <v/>
      </c>
      <c r="K3225" s="21">
        <f>IF(AND(D3225="USA",C3225&gt;=1980,J3225="No"),"Yes","No")</f>
        <v/>
      </c>
      <c r="L3225" s="26">
        <f>IF(J3225="Yes","",H3225-I3225)</f>
        <v/>
      </c>
      <c r="M3225" s="27">
        <f>IF(OR(J3225="Yes",I3225=0),"",H3225/I3225)</f>
        <v/>
      </c>
      <c r="N3225" s="21">
        <f>IF(J3225="Yes","",IF(H3225&gt;=I3225,1,0))</f>
        <v/>
      </c>
      <c r="O3225" s="21">
        <f>IF(I3225&lt;=5000000,"Under $5M",IF(I3225&lt;=20000000,"$5M-20M",IF(I3225&lt;=50000000,"$20M-50M",IF(I3225&lt;=100000000,"$50M-100M","$100M+"))))</f>
        <v/>
      </c>
      <c r="P3225" s="21">
        <f>IF(E3225&lt;=90,"90 or less",IF(E3225&lt;=105,"91-105",IF(E3225&lt;=120,"106-120",IF(E3225&lt;=140,"121-140","Over 140"))))</f>
        <v/>
      </c>
      <c r="Q3225" s="28">
        <f>INT(C3225/10)*10</f>
        <v/>
      </c>
    </row>
    <row r="3226">
      <c r="A3226" s="21" t="n">
        <v>3292</v>
      </c>
      <c r="B3226" s="21" t="inlineStr">
        <is>
          <t>Land of the Lost</t>
        </is>
      </c>
      <c r="C3226" s="21" t="n">
        <v>2009</v>
      </c>
      <c r="D3226" s="21" t="inlineStr">
        <is>
          <t>USA</t>
        </is>
      </c>
      <c r="E3226" s="21" t="n">
        <v>102</v>
      </c>
      <c r="F3226" s="21" t="inlineStr">
        <is>
          <t>English</t>
        </is>
      </c>
      <c r="G3226" s="21" t="inlineStr">
        <is>
          <t>PG-13</t>
        </is>
      </c>
      <c r="H3226" s="22" t="n">
        <v>49392095</v>
      </c>
      <c r="I3226" s="22" t="n">
        <v>100000000</v>
      </c>
      <c r="J3226" s="21">
        <f>IF(OR(H3226="",H3226=25529689.5),"Yes","No")</f>
        <v/>
      </c>
      <c r="K3226" s="21">
        <f>IF(AND(D3226="USA",C3226&gt;=1980,J3226="No"),"Yes","No")</f>
        <v/>
      </c>
      <c r="L3226" s="26">
        <f>IF(J3226="Yes","",H3226-I3226)</f>
        <v/>
      </c>
      <c r="M3226" s="27">
        <f>IF(OR(J3226="Yes",I3226=0),"",H3226/I3226)</f>
        <v/>
      </c>
      <c r="N3226" s="21">
        <f>IF(J3226="Yes","",IF(H3226&gt;=I3226,1,0))</f>
        <v/>
      </c>
      <c r="O3226" s="21">
        <f>IF(I3226&lt;=5000000,"Under $5M",IF(I3226&lt;=20000000,"$5M-20M",IF(I3226&lt;=50000000,"$20M-50M",IF(I3226&lt;=100000000,"$50M-100M","$100M+"))))</f>
        <v/>
      </c>
      <c r="P3226" s="21">
        <f>IF(E3226&lt;=90,"90 or less",IF(E3226&lt;=105,"91-105",IF(E3226&lt;=120,"106-120",IF(E3226&lt;=140,"121-140","Over 140"))))</f>
        <v/>
      </c>
      <c r="Q3226" s="28">
        <f>INT(C3226/10)*10</f>
        <v/>
      </c>
    </row>
    <row r="3227">
      <c r="A3227" s="21" t="n">
        <v>3293</v>
      </c>
      <c r="B3227" s="21" t="inlineStr">
        <is>
          <t>Law Abiding Citizen</t>
        </is>
      </c>
      <c r="C3227" s="21" t="n">
        <v>2009</v>
      </c>
      <c r="D3227" s="21" t="inlineStr">
        <is>
          <t>USA</t>
        </is>
      </c>
      <c r="E3227" s="21" t="n">
        <v>118</v>
      </c>
      <c r="F3227" s="21" t="inlineStr">
        <is>
          <t>English</t>
        </is>
      </c>
      <c r="G3227" s="21" t="inlineStr">
        <is>
          <t>R</t>
        </is>
      </c>
      <c r="H3227" s="22" t="n">
        <v>73343413</v>
      </c>
      <c r="I3227" s="22" t="n">
        <v>50000000</v>
      </c>
      <c r="J3227" s="21">
        <f>IF(OR(H3227="",H3227=25529689.5),"Yes","No")</f>
        <v/>
      </c>
      <c r="K3227" s="21">
        <f>IF(AND(D3227="USA",C3227&gt;=1980,J3227="No"),"Yes","No")</f>
        <v/>
      </c>
      <c r="L3227" s="26">
        <f>IF(J3227="Yes","",H3227-I3227)</f>
        <v/>
      </c>
      <c r="M3227" s="27">
        <f>IF(OR(J3227="Yes",I3227=0),"",H3227/I3227)</f>
        <v/>
      </c>
      <c r="N3227" s="21">
        <f>IF(J3227="Yes","",IF(H3227&gt;=I3227,1,0))</f>
        <v/>
      </c>
      <c r="O3227" s="21">
        <f>IF(I3227&lt;=5000000,"Under $5M",IF(I3227&lt;=20000000,"$5M-20M",IF(I3227&lt;=50000000,"$20M-50M",IF(I3227&lt;=100000000,"$50M-100M","$100M+"))))</f>
        <v/>
      </c>
      <c r="P3227" s="21">
        <f>IF(E3227&lt;=90,"90 or less",IF(E3227&lt;=105,"91-105",IF(E3227&lt;=120,"106-120",IF(E3227&lt;=140,"121-140","Over 140"))))</f>
        <v/>
      </c>
      <c r="Q3227" s="28">
        <f>INT(C3227/10)*10</f>
        <v/>
      </c>
    </row>
    <row r="3228">
      <c r="A3228" s="21" t="n">
        <v>3294</v>
      </c>
      <c r="B3228" s="21" t="inlineStr">
        <is>
          <t>Life During Wartime</t>
        </is>
      </c>
      <c r="C3228" s="21" t="n">
        <v>2009</v>
      </c>
      <c r="D3228" s="21" t="inlineStr">
        <is>
          <t>USA</t>
        </is>
      </c>
      <c r="E3228" s="21" t="n">
        <v>98</v>
      </c>
      <c r="F3228" s="21" t="inlineStr">
        <is>
          <t>English</t>
        </is>
      </c>
      <c r="G3228" s="21" t="inlineStr">
        <is>
          <t>R</t>
        </is>
      </c>
      <c r="H3228" s="22" t="n">
        <v>278821</v>
      </c>
      <c r="I3228" s="22" t="n">
        <v>20000000</v>
      </c>
      <c r="J3228" s="21">
        <f>IF(OR(H3228="",H3228=25529689.5),"Yes","No")</f>
        <v/>
      </c>
      <c r="K3228" s="21">
        <f>IF(AND(D3228="USA",C3228&gt;=1980,J3228="No"),"Yes","No")</f>
        <v/>
      </c>
      <c r="L3228" s="26">
        <f>IF(J3228="Yes","",H3228-I3228)</f>
        <v/>
      </c>
      <c r="M3228" s="27">
        <f>IF(OR(J3228="Yes",I3228=0),"",H3228/I3228)</f>
        <v/>
      </c>
      <c r="N3228" s="21">
        <f>IF(J3228="Yes","",IF(H3228&gt;=I3228,1,0))</f>
        <v/>
      </c>
      <c r="O3228" s="21">
        <f>IF(I3228&lt;=5000000,"Under $5M",IF(I3228&lt;=20000000,"$5M-20M",IF(I3228&lt;=50000000,"$20M-50M",IF(I3228&lt;=100000000,"$50M-100M","$100M+"))))</f>
        <v/>
      </c>
      <c r="P3228" s="21">
        <f>IF(E3228&lt;=90,"90 or less",IF(E3228&lt;=105,"91-105",IF(E3228&lt;=120,"106-120",IF(E3228&lt;=140,"121-140","Over 140"))))</f>
        <v/>
      </c>
      <c r="Q3228" s="28">
        <f>INT(C3228/10)*10</f>
        <v/>
      </c>
    </row>
    <row r="3229">
      <c r="A3229" s="21" t="n">
        <v>3295</v>
      </c>
      <c r="B3229" s="21" t="inlineStr">
        <is>
          <t>Little Nicholas</t>
        </is>
      </c>
      <c r="C3229" s="21" t="n">
        <v>2009</v>
      </c>
      <c r="D3229" s="21" t="inlineStr">
        <is>
          <t>France</t>
        </is>
      </c>
      <c r="E3229" s="21" t="n">
        <v>91</v>
      </c>
      <c r="F3229" s="21" t="inlineStr">
        <is>
          <t>French</t>
        </is>
      </c>
      <c r="G3229" s="21" t="n"/>
      <c r="H3229" s="22" t="n">
        <v>25529689.5</v>
      </c>
      <c r="I3229" s="22" t="n">
        <v>20000000</v>
      </c>
      <c r="J3229" s="21">
        <f>IF(OR(H3229="",H3229=25529689.5),"Yes","No")</f>
        <v/>
      </c>
      <c r="K3229" s="21">
        <f>IF(AND(D3229="USA",C3229&gt;=1980,J3229="No"),"Yes","No")</f>
        <v/>
      </c>
      <c r="L3229" s="26">
        <f>IF(J3229="Yes","",H3229-I3229)</f>
        <v/>
      </c>
      <c r="M3229" s="27">
        <f>IF(OR(J3229="Yes",I3229=0),"",H3229/I3229)</f>
        <v/>
      </c>
      <c r="N3229" s="21">
        <f>IF(J3229="Yes","",IF(H3229&gt;=I3229,1,0))</f>
        <v/>
      </c>
      <c r="O3229" s="21">
        <f>IF(I3229&lt;=5000000,"Under $5M",IF(I3229&lt;=20000000,"$5M-20M",IF(I3229&lt;=50000000,"$20M-50M",IF(I3229&lt;=100000000,"$50M-100M","$100M+"))))</f>
        <v/>
      </c>
      <c r="P3229" s="21">
        <f>IF(E3229&lt;=90,"90 or less",IF(E3229&lt;=105,"91-105",IF(E3229&lt;=120,"106-120",IF(E3229&lt;=140,"121-140","Over 140"))))</f>
        <v/>
      </c>
      <c r="Q3229" s="28">
        <f>INT(C3229/10)*10</f>
        <v/>
      </c>
    </row>
    <row r="3230">
      <c r="A3230" s="21" t="n">
        <v>3296</v>
      </c>
      <c r="B3230" s="21" t="inlineStr">
        <is>
          <t>Love Happens</t>
        </is>
      </c>
      <c r="C3230" s="21" t="n">
        <v>2009</v>
      </c>
      <c r="D3230" s="21" t="inlineStr">
        <is>
          <t>USA</t>
        </is>
      </c>
      <c r="E3230" s="21" t="n">
        <v>109</v>
      </c>
      <c r="F3230" s="21" t="inlineStr">
        <is>
          <t>English</t>
        </is>
      </c>
      <c r="G3230" s="21" t="inlineStr">
        <is>
          <t>PG-13</t>
        </is>
      </c>
      <c r="H3230" s="22" t="n">
        <v>22927390</v>
      </c>
      <c r="I3230" s="22" t="n">
        <v>18000000</v>
      </c>
      <c r="J3230" s="21">
        <f>IF(OR(H3230="",H3230=25529689.5),"Yes","No")</f>
        <v/>
      </c>
      <c r="K3230" s="21">
        <f>IF(AND(D3230="USA",C3230&gt;=1980,J3230="No"),"Yes","No")</f>
        <v/>
      </c>
      <c r="L3230" s="26">
        <f>IF(J3230="Yes","",H3230-I3230)</f>
        <v/>
      </c>
      <c r="M3230" s="27">
        <f>IF(OR(J3230="Yes",I3230=0),"",H3230/I3230)</f>
        <v/>
      </c>
      <c r="N3230" s="21">
        <f>IF(J3230="Yes","",IF(H3230&gt;=I3230,1,0))</f>
        <v/>
      </c>
      <c r="O3230" s="21">
        <f>IF(I3230&lt;=5000000,"Under $5M",IF(I3230&lt;=20000000,"$5M-20M",IF(I3230&lt;=50000000,"$20M-50M",IF(I3230&lt;=100000000,"$50M-100M","$100M+"))))</f>
        <v/>
      </c>
      <c r="P3230" s="21">
        <f>IF(E3230&lt;=90,"90 or less",IF(E3230&lt;=105,"91-105",IF(E3230&lt;=120,"106-120",IF(E3230&lt;=140,"121-140","Over 140"))))</f>
        <v/>
      </c>
      <c r="Q3230" s="28">
        <f>INT(C3230/10)*10</f>
        <v/>
      </c>
    </row>
    <row r="3231">
      <c r="A3231" s="21" t="n">
        <v>3297</v>
      </c>
      <c r="B3231" s="21" t="inlineStr">
        <is>
          <t>Madea Goes to Jail</t>
        </is>
      </c>
      <c r="C3231" s="21" t="n">
        <v>2009</v>
      </c>
      <c r="D3231" s="21" t="inlineStr">
        <is>
          <t>USA</t>
        </is>
      </c>
      <c r="E3231" s="21" t="n">
        <v>103</v>
      </c>
      <c r="F3231" s="21" t="inlineStr">
        <is>
          <t>English</t>
        </is>
      </c>
      <c r="G3231" s="21" t="inlineStr">
        <is>
          <t>PG-13</t>
        </is>
      </c>
      <c r="H3231" s="22" t="n">
        <v>90485233</v>
      </c>
      <c r="I3231" s="22" t="n">
        <v>20000000</v>
      </c>
      <c r="J3231" s="21">
        <f>IF(OR(H3231="",H3231=25529689.5),"Yes","No")</f>
        <v/>
      </c>
      <c r="K3231" s="21">
        <f>IF(AND(D3231="USA",C3231&gt;=1980,J3231="No"),"Yes","No")</f>
        <v/>
      </c>
      <c r="L3231" s="26">
        <f>IF(J3231="Yes","",H3231-I3231)</f>
        <v/>
      </c>
      <c r="M3231" s="27">
        <f>IF(OR(J3231="Yes",I3231=0),"",H3231/I3231)</f>
        <v/>
      </c>
      <c r="N3231" s="21">
        <f>IF(J3231="Yes","",IF(H3231&gt;=I3231,1,0))</f>
        <v/>
      </c>
      <c r="O3231" s="21">
        <f>IF(I3231&lt;=5000000,"Under $5M",IF(I3231&lt;=20000000,"$5M-20M",IF(I3231&lt;=50000000,"$20M-50M",IF(I3231&lt;=100000000,"$50M-100M","$100M+"))))</f>
        <v/>
      </c>
      <c r="P3231" s="21">
        <f>IF(E3231&lt;=90,"90 or less",IF(E3231&lt;=105,"91-105",IF(E3231&lt;=120,"106-120",IF(E3231&lt;=140,"121-140","Over 140"))))</f>
        <v/>
      </c>
      <c r="Q3231" s="28">
        <f>INT(C3231/10)*10</f>
        <v/>
      </c>
    </row>
    <row r="3232">
      <c r="A3232" s="21" t="n">
        <v>3298</v>
      </c>
      <c r="B3232" s="21" t="inlineStr">
        <is>
          <t>Mao's Last Dancer</t>
        </is>
      </c>
      <c r="C3232" s="21" t="n">
        <v>2009</v>
      </c>
      <c r="D3232" s="21" t="inlineStr">
        <is>
          <t>Australia</t>
        </is>
      </c>
      <c r="E3232" s="21" t="n">
        <v>117</v>
      </c>
      <c r="F3232" s="21" t="inlineStr">
        <is>
          <t>English</t>
        </is>
      </c>
      <c r="G3232" s="21" t="inlineStr">
        <is>
          <t>PG</t>
        </is>
      </c>
      <c r="H3232" s="22" t="n">
        <v>4806750</v>
      </c>
      <c r="I3232" s="22" t="n">
        <v>20000000</v>
      </c>
      <c r="J3232" s="21">
        <f>IF(OR(H3232="",H3232=25529689.5),"Yes","No")</f>
        <v/>
      </c>
      <c r="K3232" s="21">
        <f>IF(AND(D3232="USA",C3232&gt;=1980,J3232="No"),"Yes","No")</f>
        <v/>
      </c>
      <c r="L3232" s="26">
        <f>IF(J3232="Yes","",H3232-I3232)</f>
        <v/>
      </c>
      <c r="M3232" s="27">
        <f>IF(OR(J3232="Yes",I3232=0),"",H3232/I3232)</f>
        <v/>
      </c>
      <c r="N3232" s="21">
        <f>IF(J3232="Yes","",IF(H3232&gt;=I3232,1,0))</f>
        <v/>
      </c>
      <c r="O3232" s="21">
        <f>IF(I3232&lt;=5000000,"Under $5M",IF(I3232&lt;=20000000,"$5M-20M",IF(I3232&lt;=50000000,"$20M-50M",IF(I3232&lt;=100000000,"$50M-100M","$100M+"))))</f>
        <v/>
      </c>
      <c r="P3232" s="21">
        <f>IF(E3232&lt;=90,"90 or less",IF(E3232&lt;=105,"91-105",IF(E3232&lt;=120,"106-120",IF(E3232&lt;=140,"121-140","Over 140"))))</f>
        <v/>
      </c>
      <c r="Q3232" s="28">
        <f>INT(C3232/10)*10</f>
        <v/>
      </c>
    </row>
    <row r="3233">
      <c r="A3233" s="21" t="n">
        <v>3299</v>
      </c>
      <c r="B3233" s="21" t="inlineStr">
        <is>
          <t>Micmacs</t>
        </is>
      </c>
      <c r="C3233" s="21" t="n">
        <v>2009</v>
      </c>
      <c r="D3233" s="21" t="inlineStr">
        <is>
          <t>France</t>
        </is>
      </c>
      <c r="E3233" s="21" t="n">
        <v>105</v>
      </c>
      <c r="F3233" s="21" t="inlineStr">
        <is>
          <t>French</t>
        </is>
      </c>
      <c r="G3233" s="21" t="inlineStr">
        <is>
          <t>R</t>
        </is>
      </c>
      <c r="H3233" s="22" t="n">
        <v>1260917</v>
      </c>
      <c r="I3233" s="22" t="n">
        <v>27000000</v>
      </c>
      <c r="J3233" s="21">
        <f>IF(OR(H3233="",H3233=25529689.5),"Yes","No")</f>
        <v/>
      </c>
      <c r="K3233" s="21">
        <f>IF(AND(D3233="USA",C3233&gt;=1980,J3233="No"),"Yes","No")</f>
        <v/>
      </c>
      <c r="L3233" s="26">
        <f>IF(J3233="Yes","",H3233-I3233)</f>
        <v/>
      </c>
      <c r="M3233" s="27">
        <f>IF(OR(J3233="Yes",I3233=0),"",H3233/I3233)</f>
        <v/>
      </c>
      <c r="N3233" s="21">
        <f>IF(J3233="Yes","",IF(H3233&gt;=I3233,1,0))</f>
        <v/>
      </c>
      <c r="O3233" s="21">
        <f>IF(I3233&lt;=5000000,"Under $5M",IF(I3233&lt;=20000000,"$5M-20M",IF(I3233&lt;=50000000,"$20M-50M",IF(I3233&lt;=100000000,"$50M-100M","$100M+"))))</f>
        <v/>
      </c>
      <c r="P3233" s="21">
        <f>IF(E3233&lt;=90,"90 or less",IF(E3233&lt;=105,"91-105",IF(E3233&lt;=120,"106-120",IF(E3233&lt;=140,"121-140","Over 140"))))</f>
        <v/>
      </c>
      <c r="Q3233" s="28">
        <f>INT(C3233/10)*10</f>
        <v/>
      </c>
    </row>
    <row r="3234">
      <c r="A3234" s="21" t="n">
        <v>3300</v>
      </c>
      <c r="B3234" s="21" t="inlineStr">
        <is>
          <t>Miss March</t>
        </is>
      </c>
      <c r="C3234" s="21" t="n">
        <v>2009</v>
      </c>
      <c r="D3234" s="21" t="inlineStr">
        <is>
          <t>USA</t>
        </is>
      </c>
      <c r="E3234" s="21" t="n">
        <v>90</v>
      </c>
      <c r="F3234" s="21" t="inlineStr">
        <is>
          <t>English</t>
        </is>
      </c>
      <c r="G3234" s="21" t="inlineStr">
        <is>
          <t>R</t>
        </is>
      </c>
      <c r="H3234" s="22" t="n">
        <v>4542775</v>
      </c>
      <c r="I3234" s="22" t="n">
        <v>6000000</v>
      </c>
      <c r="J3234" s="21">
        <f>IF(OR(H3234="",H3234=25529689.5),"Yes","No")</f>
        <v/>
      </c>
      <c r="K3234" s="21">
        <f>IF(AND(D3234="USA",C3234&gt;=1980,J3234="No"),"Yes","No")</f>
        <v/>
      </c>
      <c r="L3234" s="26">
        <f>IF(J3234="Yes","",H3234-I3234)</f>
        <v/>
      </c>
      <c r="M3234" s="27">
        <f>IF(OR(J3234="Yes",I3234=0),"",H3234/I3234)</f>
        <v/>
      </c>
      <c r="N3234" s="21">
        <f>IF(J3234="Yes","",IF(H3234&gt;=I3234,1,0))</f>
        <v/>
      </c>
      <c r="O3234" s="21">
        <f>IF(I3234&lt;=5000000,"Under $5M",IF(I3234&lt;=20000000,"$5M-20M",IF(I3234&lt;=50000000,"$20M-50M",IF(I3234&lt;=100000000,"$50M-100M","$100M+"))))</f>
        <v/>
      </c>
      <c r="P3234" s="21">
        <f>IF(E3234&lt;=90,"90 or less",IF(E3234&lt;=105,"91-105",IF(E3234&lt;=120,"106-120",IF(E3234&lt;=140,"121-140","Over 140"))))</f>
        <v/>
      </c>
      <c r="Q3234" s="28">
        <f>INT(C3234/10)*10</f>
        <v/>
      </c>
    </row>
    <row r="3235">
      <c r="A3235" s="21" t="n">
        <v>3301</v>
      </c>
      <c r="B3235" s="21" t="inlineStr">
        <is>
          <t>Monsters vs. Aliens</t>
        </is>
      </c>
      <c r="C3235" s="21" t="n">
        <v>2009</v>
      </c>
      <c r="D3235" s="21" t="inlineStr">
        <is>
          <t>USA</t>
        </is>
      </c>
      <c r="E3235" s="21" t="n">
        <v>94</v>
      </c>
      <c r="F3235" s="21" t="inlineStr">
        <is>
          <t>English</t>
        </is>
      </c>
      <c r="G3235" s="21" t="inlineStr">
        <is>
          <t>PG</t>
        </is>
      </c>
      <c r="H3235" s="22" t="n">
        <v>198332128</v>
      </c>
      <c r="I3235" s="22" t="n">
        <v>175000000</v>
      </c>
      <c r="J3235" s="21">
        <f>IF(OR(H3235="",H3235=25529689.5),"Yes","No")</f>
        <v/>
      </c>
      <c r="K3235" s="21">
        <f>IF(AND(D3235="USA",C3235&gt;=1980,J3235="No"),"Yes","No")</f>
        <v/>
      </c>
      <c r="L3235" s="26">
        <f>IF(J3235="Yes","",H3235-I3235)</f>
        <v/>
      </c>
      <c r="M3235" s="27">
        <f>IF(OR(J3235="Yes",I3235=0),"",H3235/I3235)</f>
        <v/>
      </c>
      <c r="N3235" s="21">
        <f>IF(J3235="Yes","",IF(H3235&gt;=I3235,1,0))</f>
        <v/>
      </c>
      <c r="O3235" s="21">
        <f>IF(I3235&lt;=5000000,"Under $5M",IF(I3235&lt;=20000000,"$5M-20M",IF(I3235&lt;=50000000,"$20M-50M",IF(I3235&lt;=100000000,"$50M-100M","$100M+"))))</f>
        <v/>
      </c>
      <c r="P3235" s="21">
        <f>IF(E3235&lt;=90,"90 or less",IF(E3235&lt;=105,"91-105",IF(E3235&lt;=120,"106-120",IF(E3235&lt;=140,"121-140","Over 140"))))</f>
        <v/>
      </c>
      <c r="Q3235" s="28">
        <f>INT(C3235/10)*10</f>
        <v/>
      </c>
    </row>
    <row r="3236">
      <c r="A3236" s="21" t="n">
        <v>3302</v>
      </c>
      <c r="B3236" s="21" t="inlineStr">
        <is>
          <t>Moon</t>
        </is>
      </c>
      <c r="C3236" s="21" t="n">
        <v>2009</v>
      </c>
      <c r="D3236" s="21" t="inlineStr">
        <is>
          <t>UK</t>
        </is>
      </c>
      <c r="E3236" s="21" t="n">
        <v>97</v>
      </c>
      <c r="F3236" s="21" t="inlineStr">
        <is>
          <t>English</t>
        </is>
      </c>
      <c r="G3236" s="21" t="inlineStr">
        <is>
          <t>R</t>
        </is>
      </c>
      <c r="H3236" s="22" t="n">
        <v>5009677</v>
      </c>
      <c r="I3236" s="22" t="n">
        <v>5000000</v>
      </c>
      <c r="J3236" s="21">
        <f>IF(OR(H3236="",H3236=25529689.5),"Yes","No")</f>
        <v/>
      </c>
      <c r="K3236" s="21">
        <f>IF(AND(D3236="USA",C3236&gt;=1980,J3236="No"),"Yes","No")</f>
        <v/>
      </c>
      <c r="L3236" s="26">
        <f>IF(J3236="Yes","",H3236-I3236)</f>
        <v/>
      </c>
      <c r="M3236" s="27">
        <f>IF(OR(J3236="Yes",I3236=0),"",H3236/I3236)</f>
        <v/>
      </c>
      <c r="N3236" s="21">
        <f>IF(J3236="Yes","",IF(H3236&gt;=I3236,1,0))</f>
        <v/>
      </c>
      <c r="O3236" s="21">
        <f>IF(I3236&lt;=5000000,"Under $5M",IF(I3236&lt;=20000000,"$5M-20M",IF(I3236&lt;=50000000,"$20M-50M",IF(I3236&lt;=100000000,"$50M-100M","$100M+"))))</f>
        <v/>
      </c>
      <c r="P3236" s="21">
        <f>IF(E3236&lt;=90,"90 or less",IF(E3236&lt;=105,"91-105",IF(E3236&lt;=120,"106-120",IF(E3236&lt;=140,"121-140","Over 140"))))</f>
        <v/>
      </c>
      <c r="Q3236" s="28">
        <f>INT(C3236/10)*10</f>
        <v/>
      </c>
    </row>
    <row r="3237">
      <c r="A3237" s="21" t="n">
        <v>3303</v>
      </c>
      <c r="B3237" s="21" t="inlineStr">
        <is>
          <t>Mother and Child</t>
        </is>
      </c>
      <c r="C3237" s="21" t="n">
        <v>2009</v>
      </c>
      <c r="D3237" s="21" t="inlineStr">
        <is>
          <t>USA</t>
        </is>
      </c>
      <c r="E3237" s="21" t="n">
        <v>125</v>
      </c>
      <c r="F3237" s="21" t="inlineStr">
        <is>
          <t>English</t>
        </is>
      </c>
      <c r="G3237" s="21" t="inlineStr">
        <is>
          <t>R</t>
        </is>
      </c>
      <c r="H3237" s="22" t="n">
        <v>1110286</v>
      </c>
      <c r="I3237" s="22" t="n">
        <v>4825000</v>
      </c>
      <c r="J3237" s="21">
        <f>IF(OR(H3237="",H3237=25529689.5),"Yes","No")</f>
        <v/>
      </c>
      <c r="K3237" s="21">
        <f>IF(AND(D3237="USA",C3237&gt;=1980,J3237="No"),"Yes","No")</f>
        <v/>
      </c>
      <c r="L3237" s="26">
        <f>IF(J3237="Yes","",H3237-I3237)</f>
        <v/>
      </c>
      <c r="M3237" s="27">
        <f>IF(OR(J3237="Yes",I3237=0),"",H3237/I3237)</f>
        <v/>
      </c>
      <c r="N3237" s="21">
        <f>IF(J3237="Yes","",IF(H3237&gt;=I3237,1,0))</f>
        <v/>
      </c>
      <c r="O3237" s="21">
        <f>IF(I3237&lt;=5000000,"Under $5M",IF(I3237&lt;=20000000,"$5M-20M",IF(I3237&lt;=50000000,"$20M-50M",IF(I3237&lt;=100000000,"$50M-100M","$100M+"))))</f>
        <v/>
      </c>
      <c r="P3237" s="21">
        <f>IF(E3237&lt;=90,"90 or less",IF(E3237&lt;=105,"91-105",IF(E3237&lt;=120,"106-120",IF(E3237&lt;=140,"121-140","Over 140"))))</f>
        <v/>
      </c>
      <c r="Q3237" s="28">
        <f>INT(C3237/10)*10</f>
        <v/>
      </c>
    </row>
    <row r="3238">
      <c r="A3238" s="21" t="n">
        <v>3304</v>
      </c>
      <c r="B3238" s="21" t="inlineStr">
        <is>
          <t>Motherhood</t>
        </is>
      </c>
      <c r="C3238" s="21" t="n">
        <v>2009</v>
      </c>
      <c r="D3238" s="21" t="inlineStr">
        <is>
          <t>USA</t>
        </is>
      </c>
      <c r="E3238" s="21" t="n">
        <v>90</v>
      </c>
      <c r="F3238" s="21" t="inlineStr">
        <is>
          <t>English</t>
        </is>
      </c>
      <c r="G3238" s="21" t="inlineStr">
        <is>
          <t>PG-13</t>
        </is>
      </c>
      <c r="H3238" s="22" t="n">
        <v>92900</v>
      </c>
      <c r="I3238" s="22" t="n">
        <v>5000000</v>
      </c>
      <c r="J3238" s="21">
        <f>IF(OR(H3238="",H3238=25529689.5),"Yes","No")</f>
        <v/>
      </c>
      <c r="K3238" s="21">
        <f>IF(AND(D3238="USA",C3238&gt;=1980,J3238="No"),"Yes","No")</f>
        <v/>
      </c>
      <c r="L3238" s="26">
        <f>IF(J3238="Yes","",H3238-I3238)</f>
        <v/>
      </c>
      <c r="M3238" s="27">
        <f>IF(OR(J3238="Yes",I3238=0),"",H3238/I3238)</f>
        <v/>
      </c>
      <c r="N3238" s="21">
        <f>IF(J3238="Yes","",IF(H3238&gt;=I3238,1,0))</f>
        <v/>
      </c>
      <c r="O3238" s="21">
        <f>IF(I3238&lt;=5000000,"Under $5M",IF(I3238&lt;=20000000,"$5M-20M",IF(I3238&lt;=50000000,"$20M-50M",IF(I3238&lt;=100000000,"$50M-100M","$100M+"))))</f>
        <v/>
      </c>
      <c r="P3238" s="21">
        <f>IF(E3238&lt;=90,"90 or less",IF(E3238&lt;=105,"91-105",IF(E3238&lt;=120,"106-120",IF(E3238&lt;=140,"121-140","Over 140"))))</f>
        <v/>
      </c>
      <c r="Q3238" s="28">
        <f>INT(C3238/10)*10</f>
        <v/>
      </c>
    </row>
    <row r="3239">
      <c r="A3239" s="21" t="n">
        <v>3305</v>
      </c>
      <c r="B3239" s="21" t="inlineStr">
        <is>
          <t>My Bloody Valentine</t>
        </is>
      </c>
      <c r="C3239" s="21" t="n">
        <v>2009</v>
      </c>
      <c r="D3239" s="21" t="inlineStr">
        <is>
          <t>USA</t>
        </is>
      </c>
      <c r="E3239" s="21" t="n">
        <v>101</v>
      </c>
      <c r="F3239" s="21" t="inlineStr">
        <is>
          <t>English</t>
        </is>
      </c>
      <c r="G3239" s="21" t="inlineStr">
        <is>
          <t>R</t>
        </is>
      </c>
      <c r="H3239" s="22" t="n">
        <v>51527787</v>
      </c>
      <c r="I3239" s="22" t="n">
        <v>15000000</v>
      </c>
      <c r="J3239" s="21">
        <f>IF(OR(H3239="",H3239=25529689.5),"Yes","No")</f>
        <v/>
      </c>
      <c r="K3239" s="21">
        <f>IF(AND(D3239="USA",C3239&gt;=1980,J3239="No"),"Yes","No")</f>
        <v/>
      </c>
      <c r="L3239" s="26">
        <f>IF(J3239="Yes","",H3239-I3239)</f>
        <v/>
      </c>
      <c r="M3239" s="27">
        <f>IF(OR(J3239="Yes",I3239=0),"",H3239/I3239)</f>
        <v/>
      </c>
      <c r="N3239" s="21">
        <f>IF(J3239="Yes","",IF(H3239&gt;=I3239,1,0))</f>
        <v/>
      </c>
      <c r="O3239" s="21">
        <f>IF(I3239&lt;=5000000,"Under $5M",IF(I3239&lt;=20000000,"$5M-20M",IF(I3239&lt;=50000000,"$20M-50M",IF(I3239&lt;=100000000,"$50M-100M","$100M+"))))</f>
        <v/>
      </c>
      <c r="P3239" s="21">
        <f>IF(E3239&lt;=90,"90 or less",IF(E3239&lt;=105,"91-105",IF(E3239&lt;=120,"106-120",IF(E3239&lt;=140,"121-140","Over 140"))))</f>
        <v/>
      </c>
      <c r="Q3239" s="28">
        <f>INT(C3239/10)*10</f>
        <v/>
      </c>
    </row>
    <row r="3240">
      <c r="A3240" s="21" t="n">
        <v>3306</v>
      </c>
      <c r="B3240" s="21" t="inlineStr">
        <is>
          <t>My Dog Tulip</t>
        </is>
      </c>
      <c r="C3240" s="21" t="n">
        <v>2009</v>
      </c>
      <c r="D3240" s="21" t="inlineStr">
        <is>
          <t>USA</t>
        </is>
      </c>
      <c r="E3240" s="21" t="n">
        <v>83</v>
      </c>
      <c r="F3240" s="21" t="inlineStr">
        <is>
          <t>English</t>
        </is>
      </c>
      <c r="G3240" s="21" t="n"/>
      <c r="H3240" s="22" t="n">
        <v>246574</v>
      </c>
      <c r="I3240" s="22" t="n">
        <v>20000000</v>
      </c>
      <c r="J3240" s="21">
        <f>IF(OR(H3240="",H3240=25529689.5),"Yes","No")</f>
        <v/>
      </c>
      <c r="K3240" s="21">
        <f>IF(AND(D3240="USA",C3240&gt;=1980,J3240="No"),"Yes","No")</f>
        <v/>
      </c>
      <c r="L3240" s="26">
        <f>IF(J3240="Yes","",H3240-I3240)</f>
        <v/>
      </c>
      <c r="M3240" s="27">
        <f>IF(OR(J3240="Yes",I3240=0),"",H3240/I3240)</f>
        <v/>
      </c>
      <c r="N3240" s="21">
        <f>IF(J3240="Yes","",IF(H3240&gt;=I3240,1,0))</f>
        <v/>
      </c>
      <c r="O3240" s="21">
        <f>IF(I3240&lt;=5000000,"Under $5M",IF(I3240&lt;=20000000,"$5M-20M",IF(I3240&lt;=50000000,"$20M-50M",IF(I3240&lt;=100000000,"$50M-100M","$100M+"))))</f>
        <v/>
      </c>
      <c r="P3240" s="21">
        <f>IF(E3240&lt;=90,"90 or less",IF(E3240&lt;=105,"91-105",IF(E3240&lt;=120,"106-120",IF(E3240&lt;=140,"121-140","Over 140"))))</f>
        <v/>
      </c>
      <c r="Q3240" s="28">
        <f>INT(C3240/10)*10</f>
        <v/>
      </c>
    </row>
    <row r="3241">
      <c r="A3241" s="21" t="n">
        <v>3307</v>
      </c>
      <c r="B3241" s="21" t="inlineStr">
        <is>
          <t>My Life in Ruins</t>
        </is>
      </c>
      <c r="C3241" s="21" t="n">
        <v>2009</v>
      </c>
      <c r="D3241" s="21" t="inlineStr">
        <is>
          <t>USA</t>
        </is>
      </c>
      <c r="E3241" s="21" t="n">
        <v>98</v>
      </c>
      <c r="F3241" s="21" t="inlineStr">
        <is>
          <t>English</t>
        </is>
      </c>
      <c r="G3241" s="21" t="inlineStr">
        <is>
          <t>PG-13</t>
        </is>
      </c>
      <c r="H3241" s="22" t="n">
        <v>8662318</v>
      </c>
      <c r="I3241" s="22" t="n">
        <v>17000000</v>
      </c>
      <c r="J3241" s="21">
        <f>IF(OR(H3241="",H3241=25529689.5),"Yes","No")</f>
        <v/>
      </c>
      <c r="K3241" s="21">
        <f>IF(AND(D3241="USA",C3241&gt;=1980,J3241="No"),"Yes","No")</f>
        <v/>
      </c>
      <c r="L3241" s="26">
        <f>IF(J3241="Yes","",H3241-I3241)</f>
        <v/>
      </c>
      <c r="M3241" s="27">
        <f>IF(OR(J3241="Yes",I3241=0),"",H3241/I3241)</f>
        <v/>
      </c>
      <c r="N3241" s="21">
        <f>IF(J3241="Yes","",IF(H3241&gt;=I3241,1,0))</f>
        <v/>
      </c>
      <c r="O3241" s="21">
        <f>IF(I3241&lt;=5000000,"Under $5M",IF(I3241&lt;=20000000,"$5M-20M",IF(I3241&lt;=50000000,"$20M-50M",IF(I3241&lt;=100000000,"$50M-100M","$100M+"))))</f>
        <v/>
      </c>
      <c r="P3241" s="21">
        <f>IF(E3241&lt;=90,"90 or less",IF(E3241&lt;=105,"91-105",IF(E3241&lt;=120,"106-120",IF(E3241&lt;=140,"121-140","Over 140"))))</f>
        <v/>
      </c>
      <c r="Q3241" s="28">
        <f>INT(C3241/10)*10</f>
        <v/>
      </c>
    </row>
    <row r="3242">
      <c r="A3242" s="21" t="n">
        <v>3308</v>
      </c>
      <c r="B3242" s="21" t="inlineStr">
        <is>
          <t>My Sister's Keeper</t>
        </is>
      </c>
      <c r="C3242" s="21" t="n">
        <v>2009</v>
      </c>
      <c r="D3242" s="21" t="inlineStr">
        <is>
          <t>USA</t>
        </is>
      </c>
      <c r="E3242" s="21" t="n">
        <v>109</v>
      </c>
      <c r="F3242" s="21" t="inlineStr">
        <is>
          <t>English</t>
        </is>
      </c>
      <c r="G3242" s="21" t="inlineStr">
        <is>
          <t>PG-13</t>
        </is>
      </c>
      <c r="H3242" s="22" t="n">
        <v>49185998</v>
      </c>
      <c r="I3242" s="22" t="n">
        <v>30000000</v>
      </c>
      <c r="J3242" s="21">
        <f>IF(OR(H3242="",H3242=25529689.5),"Yes","No")</f>
        <v/>
      </c>
      <c r="K3242" s="21">
        <f>IF(AND(D3242="USA",C3242&gt;=1980,J3242="No"),"Yes","No")</f>
        <v/>
      </c>
      <c r="L3242" s="26">
        <f>IF(J3242="Yes","",H3242-I3242)</f>
        <v/>
      </c>
      <c r="M3242" s="27">
        <f>IF(OR(J3242="Yes",I3242=0),"",H3242/I3242)</f>
        <v/>
      </c>
      <c r="N3242" s="21">
        <f>IF(J3242="Yes","",IF(H3242&gt;=I3242,1,0))</f>
        <v/>
      </c>
      <c r="O3242" s="21">
        <f>IF(I3242&lt;=5000000,"Under $5M",IF(I3242&lt;=20000000,"$5M-20M",IF(I3242&lt;=50000000,"$20M-50M",IF(I3242&lt;=100000000,"$50M-100M","$100M+"))))</f>
        <v/>
      </c>
      <c r="P3242" s="21">
        <f>IF(E3242&lt;=90,"90 or less",IF(E3242&lt;=105,"91-105",IF(E3242&lt;=120,"106-120",IF(E3242&lt;=140,"121-140","Over 140"))))</f>
        <v/>
      </c>
      <c r="Q3242" s="28">
        <f>INT(C3242/10)*10</f>
        <v/>
      </c>
    </row>
    <row r="3243">
      <c r="A3243" s="21" t="n">
        <v>3309</v>
      </c>
      <c r="B3243" s="21" t="inlineStr">
        <is>
          <t>New in Town</t>
        </is>
      </c>
      <c r="C3243" s="21" t="n">
        <v>2009</v>
      </c>
      <c r="D3243" s="21" t="inlineStr">
        <is>
          <t>USA</t>
        </is>
      </c>
      <c r="E3243" s="21" t="n">
        <v>97</v>
      </c>
      <c r="F3243" s="21" t="inlineStr">
        <is>
          <t>English</t>
        </is>
      </c>
      <c r="G3243" s="21" t="inlineStr">
        <is>
          <t>PG</t>
        </is>
      </c>
      <c r="H3243" s="22" t="n">
        <v>16699684</v>
      </c>
      <c r="I3243" s="22" t="n">
        <v>8000000</v>
      </c>
      <c r="J3243" s="21">
        <f>IF(OR(H3243="",H3243=25529689.5),"Yes","No")</f>
        <v/>
      </c>
      <c r="K3243" s="21">
        <f>IF(AND(D3243="USA",C3243&gt;=1980,J3243="No"),"Yes","No")</f>
        <v/>
      </c>
      <c r="L3243" s="26">
        <f>IF(J3243="Yes","",H3243-I3243)</f>
        <v/>
      </c>
      <c r="M3243" s="27">
        <f>IF(OR(J3243="Yes",I3243=0),"",H3243/I3243)</f>
        <v/>
      </c>
      <c r="N3243" s="21">
        <f>IF(J3243="Yes","",IF(H3243&gt;=I3243,1,0))</f>
        <v/>
      </c>
      <c r="O3243" s="21">
        <f>IF(I3243&lt;=5000000,"Under $5M",IF(I3243&lt;=20000000,"$5M-20M",IF(I3243&lt;=50000000,"$20M-50M",IF(I3243&lt;=100000000,"$50M-100M","$100M+"))))</f>
        <v/>
      </c>
      <c r="P3243" s="21">
        <f>IF(E3243&lt;=90,"90 or less",IF(E3243&lt;=105,"91-105",IF(E3243&lt;=120,"106-120",IF(E3243&lt;=140,"121-140","Over 140"))))</f>
        <v/>
      </c>
      <c r="Q3243" s="28">
        <f>INT(C3243/10)*10</f>
        <v/>
      </c>
    </row>
    <row r="3244">
      <c r="A3244" s="21" t="n">
        <v>3310</v>
      </c>
      <c r="B3244" s="21" t="inlineStr">
        <is>
          <t>Next Day Air</t>
        </is>
      </c>
      <c r="C3244" s="21" t="n">
        <v>2009</v>
      </c>
      <c r="D3244" s="21" t="inlineStr">
        <is>
          <t>USA</t>
        </is>
      </c>
      <c r="E3244" s="21" t="n">
        <v>84</v>
      </c>
      <c r="F3244" s="21" t="inlineStr">
        <is>
          <t>English</t>
        </is>
      </c>
      <c r="G3244" s="21" t="inlineStr">
        <is>
          <t>R</t>
        </is>
      </c>
      <c r="H3244" s="22" t="n">
        <v>10017041</v>
      </c>
      <c r="I3244" s="22" t="n">
        <v>3000000</v>
      </c>
      <c r="J3244" s="21">
        <f>IF(OR(H3244="",H3244=25529689.5),"Yes","No")</f>
        <v/>
      </c>
      <c r="K3244" s="21">
        <f>IF(AND(D3244="USA",C3244&gt;=1980,J3244="No"),"Yes","No")</f>
        <v/>
      </c>
      <c r="L3244" s="26">
        <f>IF(J3244="Yes","",H3244-I3244)</f>
        <v/>
      </c>
      <c r="M3244" s="27">
        <f>IF(OR(J3244="Yes",I3244=0),"",H3244/I3244)</f>
        <v/>
      </c>
      <c r="N3244" s="21">
        <f>IF(J3244="Yes","",IF(H3244&gt;=I3244,1,0))</f>
        <v/>
      </c>
      <c r="O3244" s="21">
        <f>IF(I3244&lt;=5000000,"Under $5M",IF(I3244&lt;=20000000,"$5M-20M",IF(I3244&lt;=50000000,"$20M-50M",IF(I3244&lt;=100000000,"$50M-100M","$100M+"))))</f>
        <v/>
      </c>
      <c r="P3244" s="21">
        <f>IF(E3244&lt;=90,"90 or less",IF(E3244&lt;=105,"91-105",IF(E3244&lt;=120,"106-120",IF(E3244&lt;=140,"121-140","Over 140"))))</f>
        <v/>
      </c>
      <c r="Q3244" s="28">
        <f>INT(C3244/10)*10</f>
        <v/>
      </c>
    </row>
    <row r="3245">
      <c r="A3245" s="21" t="n">
        <v>3311</v>
      </c>
      <c r="B3245" s="21" t="inlineStr">
        <is>
          <t>Night at the Museum: Battle of the Smithsonian</t>
        </is>
      </c>
      <c r="C3245" s="21" t="n">
        <v>2009</v>
      </c>
      <c r="D3245" s="21" t="inlineStr">
        <is>
          <t>USA</t>
        </is>
      </c>
      <c r="E3245" s="21" t="n">
        <v>105</v>
      </c>
      <c r="F3245" s="21" t="inlineStr">
        <is>
          <t>English</t>
        </is>
      </c>
      <c r="G3245" s="21" t="inlineStr">
        <is>
          <t>PG</t>
        </is>
      </c>
      <c r="H3245" s="22" t="n">
        <v>177243721</v>
      </c>
      <c r="I3245" s="22" t="n">
        <v>150000000</v>
      </c>
      <c r="J3245" s="21">
        <f>IF(OR(H3245="",H3245=25529689.5),"Yes","No")</f>
        <v/>
      </c>
      <c r="K3245" s="21">
        <f>IF(AND(D3245="USA",C3245&gt;=1980,J3245="No"),"Yes","No")</f>
        <v/>
      </c>
      <c r="L3245" s="26">
        <f>IF(J3245="Yes","",H3245-I3245)</f>
        <v/>
      </c>
      <c r="M3245" s="27">
        <f>IF(OR(J3245="Yes",I3245=0),"",H3245/I3245)</f>
        <v/>
      </c>
      <c r="N3245" s="21">
        <f>IF(J3245="Yes","",IF(H3245&gt;=I3245,1,0))</f>
        <v/>
      </c>
      <c r="O3245" s="21">
        <f>IF(I3245&lt;=5000000,"Under $5M",IF(I3245&lt;=20000000,"$5M-20M",IF(I3245&lt;=50000000,"$20M-50M",IF(I3245&lt;=100000000,"$50M-100M","$100M+"))))</f>
        <v/>
      </c>
      <c r="P3245" s="21">
        <f>IF(E3245&lt;=90,"90 or less",IF(E3245&lt;=105,"91-105",IF(E3245&lt;=120,"106-120",IF(E3245&lt;=140,"121-140","Over 140"))))</f>
        <v/>
      </c>
      <c r="Q3245" s="28">
        <f>INT(C3245/10)*10</f>
        <v/>
      </c>
    </row>
    <row r="3246">
      <c r="A3246" s="21" t="n">
        <v>3312</v>
      </c>
      <c r="B3246" s="21" t="inlineStr">
        <is>
          <t>Nine</t>
        </is>
      </c>
      <c r="C3246" s="21" t="n">
        <v>2009</v>
      </c>
      <c r="D3246" s="21" t="inlineStr">
        <is>
          <t>USA</t>
        </is>
      </c>
      <c r="E3246" s="21" t="n">
        <v>118</v>
      </c>
      <c r="F3246" s="21" t="inlineStr">
        <is>
          <t>English</t>
        </is>
      </c>
      <c r="G3246" s="21" t="inlineStr">
        <is>
          <t>PG-13</t>
        </is>
      </c>
      <c r="H3246" s="22" t="n">
        <v>19673424</v>
      </c>
      <c r="I3246" s="22" t="n">
        <v>80000000</v>
      </c>
      <c r="J3246" s="21">
        <f>IF(OR(H3246="",H3246=25529689.5),"Yes","No")</f>
        <v/>
      </c>
      <c r="K3246" s="21">
        <f>IF(AND(D3246="USA",C3246&gt;=1980,J3246="No"),"Yes","No")</f>
        <v/>
      </c>
      <c r="L3246" s="26">
        <f>IF(J3246="Yes","",H3246-I3246)</f>
        <v/>
      </c>
      <c r="M3246" s="27">
        <f>IF(OR(J3246="Yes",I3246=0),"",H3246/I3246)</f>
        <v/>
      </c>
      <c r="N3246" s="21">
        <f>IF(J3246="Yes","",IF(H3246&gt;=I3246,1,0))</f>
        <v/>
      </c>
      <c r="O3246" s="21">
        <f>IF(I3246&lt;=5000000,"Under $5M",IF(I3246&lt;=20000000,"$5M-20M",IF(I3246&lt;=50000000,"$20M-50M",IF(I3246&lt;=100000000,"$50M-100M","$100M+"))))</f>
        <v/>
      </c>
      <c r="P3246" s="21">
        <f>IF(E3246&lt;=90,"90 or less",IF(E3246&lt;=105,"91-105",IF(E3246&lt;=120,"106-120",IF(E3246&lt;=140,"121-140","Over 140"))))</f>
        <v/>
      </c>
      <c r="Q3246" s="28">
        <f>INT(C3246/10)*10</f>
        <v/>
      </c>
    </row>
    <row r="3247">
      <c r="A3247" s="21" t="n">
        <v>3313</v>
      </c>
      <c r="B3247" s="21" t="inlineStr">
        <is>
          <t>Ninja Assassin</t>
        </is>
      </c>
      <c r="C3247" s="21" t="n">
        <v>2009</v>
      </c>
      <c r="D3247" s="21" t="inlineStr">
        <is>
          <t>USA</t>
        </is>
      </c>
      <c r="E3247" s="21" t="n">
        <v>99</v>
      </c>
      <c r="F3247" s="21" t="inlineStr">
        <is>
          <t>English</t>
        </is>
      </c>
      <c r="G3247" s="21" t="inlineStr">
        <is>
          <t>R</t>
        </is>
      </c>
      <c r="H3247" s="22" t="n">
        <v>38105077</v>
      </c>
      <c r="I3247" s="22" t="n">
        <v>40000000</v>
      </c>
      <c r="J3247" s="21">
        <f>IF(OR(H3247="",H3247=25529689.5),"Yes","No")</f>
        <v/>
      </c>
      <c r="K3247" s="21">
        <f>IF(AND(D3247="USA",C3247&gt;=1980,J3247="No"),"Yes","No")</f>
        <v/>
      </c>
      <c r="L3247" s="26">
        <f>IF(J3247="Yes","",H3247-I3247)</f>
        <v/>
      </c>
      <c r="M3247" s="27">
        <f>IF(OR(J3247="Yes",I3247=0),"",H3247/I3247)</f>
        <v/>
      </c>
      <c r="N3247" s="21">
        <f>IF(J3247="Yes","",IF(H3247&gt;=I3247,1,0))</f>
        <v/>
      </c>
      <c r="O3247" s="21">
        <f>IF(I3247&lt;=5000000,"Under $5M",IF(I3247&lt;=20000000,"$5M-20M",IF(I3247&lt;=50000000,"$20M-50M",IF(I3247&lt;=100000000,"$50M-100M","$100M+"))))</f>
        <v/>
      </c>
      <c r="P3247" s="21">
        <f>IF(E3247&lt;=90,"90 or less",IF(E3247&lt;=105,"91-105",IF(E3247&lt;=120,"106-120",IF(E3247&lt;=140,"121-140","Over 140"))))</f>
        <v/>
      </c>
      <c r="Q3247" s="28">
        <f>INT(C3247/10)*10</f>
        <v/>
      </c>
    </row>
    <row r="3248">
      <c r="A3248" s="21" t="n">
        <v>3314</v>
      </c>
      <c r="B3248" s="21" t="inlineStr">
        <is>
          <t>Not Easily Broken</t>
        </is>
      </c>
      <c r="C3248" s="21" t="n">
        <v>2009</v>
      </c>
      <c r="D3248" s="21" t="inlineStr">
        <is>
          <t>USA</t>
        </is>
      </c>
      <c r="E3248" s="21" t="n">
        <v>99</v>
      </c>
      <c r="F3248" s="21" t="inlineStr">
        <is>
          <t>English</t>
        </is>
      </c>
      <c r="G3248" s="21" t="inlineStr">
        <is>
          <t>PG-13</t>
        </is>
      </c>
      <c r="H3248" s="22" t="n">
        <v>10572742</v>
      </c>
      <c r="I3248" s="22" t="n">
        <v>8000000</v>
      </c>
      <c r="J3248" s="21">
        <f>IF(OR(H3248="",H3248=25529689.5),"Yes","No")</f>
        <v/>
      </c>
      <c r="K3248" s="21">
        <f>IF(AND(D3248="USA",C3248&gt;=1980,J3248="No"),"Yes","No")</f>
        <v/>
      </c>
      <c r="L3248" s="26">
        <f>IF(J3248="Yes","",H3248-I3248)</f>
        <v/>
      </c>
      <c r="M3248" s="27">
        <f>IF(OR(J3248="Yes",I3248=0),"",H3248/I3248)</f>
        <v/>
      </c>
      <c r="N3248" s="21">
        <f>IF(J3248="Yes","",IF(H3248&gt;=I3248,1,0))</f>
        <v/>
      </c>
      <c r="O3248" s="21">
        <f>IF(I3248&lt;=5000000,"Under $5M",IF(I3248&lt;=20000000,"$5M-20M",IF(I3248&lt;=50000000,"$20M-50M",IF(I3248&lt;=100000000,"$50M-100M","$100M+"))))</f>
        <v/>
      </c>
      <c r="P3248" s="21">
        <f>IF(E3248&lt;=90,"90 or less",IF(E3248&lt;=105,"91-105",IF(E3248&lt;=120,"106-120",IF(E3248&lt;=140,"121-140","Over 140"))))</f>
        <v/>
      </c>
      <c r="Q3248" s="28">
        <f>INT(C3248/10)*10</f>
        <v/>
      </c>
    </row>
    <row r="3249">
      <c r="A3249" s="21" t="n">
        <v>3315</v>
      </c>
      <c r="B3249" s="21" t="inlineStr">
        <is>
          <t>Nowhere Boy</t>
        </is>
      </c>
      <c r="C3249" s="21" t="n">
        <v>2009</v>
      </c>
      <c r="D3249" s="21" t="inlineStr">
        <is>
          <t>UK</t>
        </is>
      </c>
      <c r="E3249" s="21" t="n">
        <v>98</v>
      </c>
      <c r="F3249" s="21" t="inlineStr">
        <is>
          <t>English</t>
        </is>
      </c>
      <c r="G3249" s="21" t="inlineStr">
        <is>
          <t>R</t>
        </is>
      </c>
      <c r="H3249" s="22" t="n">
        <v>1445366</v>
      </c>
      <c r="I3249" s="22" t="n">
        <v>20000000</v>
      </c>
      <c r="J3249" s="21">
        <f>IF(OR(H3249="",H3249=25529689.5),"Yes","No")</f>
        <v/>
      </c>
      <c r="K3249" s="21">
        <f>IF(AND(D3249="USA",C3249&gt;=1980,J3249="No"),"Yes","No")</f>
        <v/>
      </c>
      <c r="L3249" s="26">
        <f>IF(J3249="Yes","",H3249-I3249)</f>
        <v/>
      </c>
      <c r="M3249" s="27">
        <f>IF(OR(J3249="Yes",I3249=0),"",H3249/I3249)</f>
        <v/>
      </c>
      <c r="N3249" s="21">
        <f>IF(J3249="Yes","",IF(H3249&gt;=I3249,1,0))</f>
        <v/>
      </c>
      <c r="O3249" s="21">
        <f>IF(I3249&lt;=5000000,"Under $5M",IF(I3249&lt;=20000000,"$5M-20M",IF(I3249&lt;=50000000,"$20M-50M",IF(I3249&lt;=100000000,"$50M-100M","$100M+"))))</f>
        <v/>
      </c>
      <c r="P3249" s="21">
        <f>IF(E3249&lt;=90,"90 or less",IF(E3249&lt;=105,"91-105",IF(E3249&lt;=120,"106-120",IF(E3249&lt;=140,"121-140","Over 140"))))</f>
        <v/>
      </c>
      <c r="Q3249" s="28">
        <f>INT(C3249/10)*10</f>
        <v/>
      </c>
    </row>
    <row r="3250">
      <c r="A3250" s="21" t="n">
        <v>3316</v>
      </c>
      <c r="B3250" s="21" t="inlineStr">
        <is>
          <t>Obitaemyy ostrov</t>
        </is>
      </c>
      <c r="C3250" s="21" t="n">
        <v>2009</v>
      </c>
      <c r="D3250" s="21" t="inlineStr">
        <is>
          <t>Russia</t>
        </is>
      </c>
      <c r="E3250" s="21" t="n">
        <v>115</v>
      </c>
      <c r="F3250" s="21" t="inlineStr">
        <is>
          <t>Russian</t>
        </is>
      </c>
      <c r="G3250" s="21" t="n"/>
      <c r="H3250" s="22" t="n">
        <v>25529689.5</v>
      </c>
      <c r="I3250" s="22" t="n">
        <v>29500000</v>
      </c>
      <c r="J3250" s="21">
        <f>IF(OR(H3250="",H3250=25529689.5),"Yes","No")</f>
        <v/>
      </c>
      <c r="K3250" s="21">
        <f>IF(AND(D3250="USA",C3250&gt;=1980,J3250="No"),"Yes","No")</f>
        <v/>
      </c>
      <c r="L3250" s="26">
        <f>IF(J3250="Yes","",H3250-I3250)</f>
        <v/>
      </c>
      <c r="M3250" s="27">
        <f>IF(OR(J3250="Yes",I3250=0),"",H3250/I3250)</f>
        <v/>
      </c>
      <c r="N3250" s="21">
        <f>IF(J3250="Yes","",IF(H3250&gt;=I3250,1,0))</f>
        <v/>
      </c>
      <c r="O3250" s="21">
        <f>IF(I3250&lt;=5000000,"Under $5M",IF(I3250&lt;=20000000,"$5M-20M",IF(I3250&lt;=50000000,"$20M-50M",IF(I3250&lt;=100000000,"$50M-100M","$100M+"))))</f>
        <v/>
      </c>
      <c r="P3250" s="21">
        <f>IF(E3250&lt;=90,"90 or less",IF(E3250&lt;=105,"91-105",IF(E3250&lt;=120,"106-120",IF(E3250&lt;=140,"121-140","Over 140"))))</f>
        <v/>
      </c>
      <c r="Q3250" s="28">
        <f>INT(C3250/10)*10</f>
        <v/>
      </c>
    </row>
    <row r="3251">
      <c r="A3251" s="21" t="n">
        <v>3317</v>
      </c>
      <c r="B3251" s="21" t="inlineStr">
        <is>
          <t>Observe and Report</t>
        </is>
      </c>
      <c r="C3251" s="21" t="n">
        <v>2009</v>
      </c>
      <c r="D3251" s="21" t="inlineStr">
        <is>
          <t>USA</t>
        </is>
      </c>
      <c r="E3251" s="21" t="n">
        <v>86</v>
      </c>
      <c r="F3251" s="21" t="inlineStr">
        <is>
          <t>English</t>
        </is>
      </c>
      <c r="G3251" s="21" t="inlineStr">
        <is>
          <t>R</t>
        </is>
      </c>
      <c r="H3251" s="22" t="n">
        <v>23993605</v>
      </c>
      <c r="I3251" s="22" t="n">
        <v>18000000</v>
      </c>
      <c r="J3251" s="21">
        <f>IF(OR(H3251="",H3251=25529689.5),"Yes","No")</f>
        <v/>
      </c>
      <c r="K3251" s="21">
        <f>IF(AND(D3251="USA",C3251&gt;=1980,J3251="No"),"Yes","No")</f>
        <v/>
      </c>
      <c r="L3251" s="26">
        <f>IF(J3251="Yes","",H3251-I3251)</f>
        <v/>
      </c>
      <c r="M3251" s="27">
        <f>IF(OR(J3251="Yes",I3251=0),"",H3251/I3251)</f>
        <v/>
      </c>
      <c r="N3251" s="21">
        <f>IF(J3251="Yes","",IF(H3251&gt;=I3251,1,0))</f>
        <v/>
      </c>
      <c r="O3251" s="21">
        <f>IF(I3251&lt;=5000000,"Under $5M",IF(I3251&lt;=20000000,"$5M-20M",IF(I3251&lt;=50000000,"$20M-50M",IF(I3251&lt;=100000000,"$50M-100M","$100M+"))))</f>
        <v/>
      </c>
      <c r="P3251" s="21">
        <f>IF(E3251&lt;=90,"90 or less",IF(E3251&lt;=105,"91-105",IF(E3251&lt;=120,"106-120",IF(E3251&lt;=140,"121-140","Over 140"))))</f>
        <v/>
      </c>
      <c r="Q3251" s="28">
        <f>INT(C3251/10)*10</f>
        <v/>
      </c>
    </row>
    <row r="3252">
      <c r="A3252" s="21" t="n">
        <v>3318</v>
      </c>
      <c r="B3252" s="21" t="inlineStr">
        <is>
          <t>Oceans</t>
        </is>
      </c>
      <c r="C3252" s="21" t="n">
        <v>2009</v>
      </c>
      <c r="D3252" s="21" t="inlineStr">
        <is>
          <t>France</t>
        </is>
      </c>
      <c r="E3252" s="21" t="n">
        <v>104</v>
      </c>
      <c r="F3252" s="21" t="inlineStr">
        <is>
          <t>French</t>
        </is>
      </c>
      <c r="G3252" s="21" t="inlineStr">
        <is>
          <t>G</t>
        </is>
      </c>
      <c r="H3252" s="22" t="n">
        <v>19406406</v>
      </c>
      <c r="I3252" s="22" t="n">
        <v>40000000</v>
      </c>
      <c r="J3252" s="21">
        <f>IF(OR(H3252="",H3252=25529689.5),"Yes","No")</f>
        <v/>
      </c>
      <c r="K3252" s="21">
        <f>IF(AND(D3252="USA",C3252&gt;=1980,J3252="No"),"Yes","No")</f>
        <v/>
      </c>
      <c r="L3252" s="26">
        <f>IF(J3252="Yes","",H3252-I3252)</f>
        <v/>
      </c>
      <c r="M3252" s="27">
        <f>IF(OR(J3252="Yes",I3252=0),"",H3252/I3252)</f>
        <v/>
      </c>
      <c r="N3252" s="21">
        <f>IF(J3252="Yes","",IF(H3252&gt;=I3252,1,0))</f>
        <v/>
      </c>
      <c r="O3252" s="21">
        <f>IF(I3252&lt;=5000000,"Under $5M",IF(I3252&lt;=20000000,"$5M-20M",IF(I3252&lt;=50000000,"$20M-50M",IF(I3252&lt;=100000000,"$50M-100M","$100M+"))))</f>
        <v/>
      </c>
      <c r="P3252" s="21">
        <f>IF(E3252&lt;=90,"90 or less",IF(E3252&lt;=105,"91-105",IF(E3252&lt;=120,"106-120",IF(E3252&lt;=140,"121-140","Over 140"))))</f>
        <v/>
      </c>
      <c r="Q3252" s="28">
        <f>INT(C3252/10)*10</f>
        <v/>
      </c>
    </row>
    <row r="3253">
      <c r="A3253" s="21" t="n">
        <v>3319</v>
      </c>
      <c r="B3253" s="21" t="inlineStr">
        <is>
          <t>Old Dogs</t>
        </is>
      </c>
      <c r="C3253" s="21" t="n">
        <v>2009</v>
      </c>
      <c r="D3253" s="21" t="inlineStr">
        <is>
          <t>USA</t>
        </is>
      </c>
      <c r="E3253" s="21" t="n">
        <v>88</v>
      </c>
      <c r="F3253" s="21" t="inlineStr">
        <is>
          <t>English</t>
        </is>
      </c>
      <c r="G3253" s="21" t="inlineStr">
        <is>
          <t>PG</t>
        </is>
      </c>
      <c r="H3253" s="22" t="n">
        <v>49474048</v>
      </c>
      <c r="I3253" s="22" t="n">
        <v>35000000</v>
      </c>
      <c r="J3253" s="21">
        <f>IF(OR(H3253="",H3253=25529689.5),"Yes","No")</f>
        <v/>
      </c>
      <c r="K3253" s="21">
        <f>IF(AND(D3253="USA",C3253&gt;=1980,J3253="No"),"Yes","No")</f>
        <v/>
      </c>
      <c r="L3253" s="26">
        <f>IF(J3253="Yes","",H3253-I3253)</f>
        <v/>
      </c>
      <c r="M3253" s="27">
        <f>IF(OR(J3253="Yes",I3253=0),"",H3253/I3253)</f>
        <v/>
      </c>
      <c r="N3253" s="21">
        <f>IF(J3253="Yes","",IF(H3253&gt;=I3253,1,0))</f>
        <v/>
      </c>
      <c r="O3253" s="21">
        <f>IF(I3253&lt;=5000000,"Under $5M",IF(I3253&lt;=20000000,"$5M-20M",IF(I3253&lt;=50000000,"$20M-50M",IF(I3253&lt;=100000000,"$50M-100M","$100M+"))))</f>
        <v/>
      </c>
      <c r="P3253" s="21">
        <f>IF(E3253&lt;=90,"90 or less",IF(E3253&lt;=105,"91-105",IF(E3253&lt;=120,"106-120",IF(E3253&lt;=140,"121-140","Over 140"))))</f>
        <v/>
      </c>
      <c r="Q3253" s="28">
        <f>INT(C3253/10)*10</f>
        <v/>
      </c>
    </row>
    <row r="3254">
      <c r="A3254" s="21" t="n">
        <v>3320</v>
      </c>
      <c r="B3254" s="21" t="inlineStr">
        <is>
          <t>Ondine</t>
        </is>
      </c>
      <c r="C3254" s="21" t="n">
        <v>2009</v>
      </c>
      <c r="D3254" s="21" t="inlineStr">
        <is>
          <t>Ireland</t>
        </is>
      </c>
      <c r="E3254" s="21" t="n">
        <v>111</v>
      </c>
      <c r="F3254" s="21" t="inlineStr">
        <is>
          <t>English</t>
        </is>
      </c>
      <c r="G3254" s="21" t="inlineStr">
        <is>
          <t>PG-13</t>
        </is>
      </c>
      <c r="H3254" s="22" t="n">
        <v>548934</v>
      </c>
      <c r="I3254" s="22" t="n">
        <v>12000000</v>
      </c>
      <c r="J3254" s="21">
        <f>IF(OR(H3254="",H3254=25529689.5),"Yes","No")</f>
        <v/>
      </c>
      <c r="K3254" s="21">
        <f>IF(AND(D3254="USA",C3254&gt;=1980,J3254="No"),"Yes","No")</f>
        <v/>
      </c>
      <c r="L3254" s="26">
        <f>IF(J3254="Yes","",H3254-I3254)</f>
        <v/>
      </c>
      <c r="M3254" s="27">
        <f>IF(OR(J3254="Yes",I3254=0),"",H3254/I3254)</f>
        <v/>
      </c>
      <c r="N3254" s="21">
        <f>IF(J3254="Yes","",IF(H3254&gt;=I3254,1,0))</f>
        <v/>
      </c>
      <c r="O3254" s="21">
        <f>IF(I3254&lt;=5000000,"Under $5M",IF(I3254&lt;=20000000,"$5M-20M",IF(I3254&lt;=50000000,"$20M-50M",IF(I3254&lt;=100000000,"$50M-100M","$100M+"))))</f>
        <v/>
      </c>
      <c r="P3254" s="21">
        <f>IF(E3254&lt;=90,"90 or less",IF(E3254&lt;=105,"91-105",IF(E3254&lt;=120,"106-120",IF(E3254&lt;=140,"121-140","Over 140"))))</f>
        <v/>
      </c>
      <c r="Q3254" s="28">
        <f>INT(C3254/10)*10</f>
        <v/>
      </c>
    </row>
    <row r="3255">
      <c r="A3255" s="21" t="n">
        <v>3321</v>
      </c>
      <c r="B3255" s="21" t="inlineStr">
        <is>
          <t>Orphan</t>
        </is>
      </c>
      <c r="C3255" s="21" t="n">
        <v>2009</v>
      </c>
      <c r="D3255" s="21" t="inlineStr">
        <is>
          <t>USA</t>
        </is>
      </c>
      <c r="E3255" s="21" t="n">
        <v>123</v>
      </c>
      <c r="F3255" s="21" t="inlineStr">
        <is>
          <t>English</t>
        </is>
      </c>
      <c r="G3255" s="21" t="inlineStr">
        <is>
          <t>R</t>
        </is>
      </c>
      <c r="H3255" s="22" t="n">
        <v>41573740</v>
      </c>
      <c r="I3255" s="22" t="n">
        <v>20000000</v>
      </c>
      <c r="J3255" s="21">
        <f>IF(OR(H3255="",H3255=25529689.5),"Yes","No")</f>
        <v/>
      </c>
      <c r="K3255" s="21">
        <f>IF(AND(D3255="USA",C3255&gt;=1980,J3255="No"),"Yes","No")</f>
        <v/>
      </c>
      <c r="L3255" s="26">
        <f>IF(J3255="Yes","",H3255-I3255)</f>
        <v/>
      </c>
      <c r="M3255" s="27">
        <f>IF(OR(J3255="Yes",I3255=0),"",H3255/I3255)</f>
        <v/>
      </c>
      <c r="N3255" s="21">
        <f>IF(J3255="Yes","",IF(H3255&gt;=I3255,1,0))</f>
        <v/>
      </c>
      <c r="O3255" s="21">
        <f>IF(I3255&lt;=5000000,"Under $5M",IF(I3255&lt;=20000000,"$5M-20M",IF(I3255&lt;=50000000,"$20M-50M",IF(I3255&lt;=100000000,"$50M-100M","$100M+"))))</f>
        <v/>
      </c>
      <c r="P3255" s="21">
        <f>IF(E3255&lt;=90,"90 or less",IF(E3255&lt;=105,"91-105",IF(E3255&lt;=120,"106-120",IF(E3255&lt;=140,"121-140","Over 140"))))</f>
        <v/>
      </c>
      <c r="Q3255" s="28">
        <f>INT(C3255/10)*10</f>
        <v/>
      </c>
    </row>
    <row r="3256">
      <c r="A3256" s="21" t="n">
        <v>3322</v>
      </c>
      <c r="B3256" s="21" t="inlineStr">
        <is>
          <t>Paa</t>
        </is>
      </c>
      <c r="C3256" s="21" t="n">
        <v>2009</v>
      </c>
      <c r="D3256" s="21" t="inlineStr">
        <is>
          <t>India</t>
        </is>
      </c>
      <c r="E3256" s="21" t="n">
        <v>133</v>
      </c>
      <c r="F3256" s="21" t="inlineStr">
        <is>
          <t>Hindi</t>
        </is>
      </c>
      <c r="G3256" s="21" t="n"/>
      <c r="H3256" s="22" t="n">
        <v>199228</v>
      </c>
      <c r="I3256" s="22" t="n">
        <v>150000000</v>
      </c>
      <c r="J3256" s="21">
        <f>IF(OR(H3256="",H3256=25529689.5),"Yes","No")</f>
        <v/>
      </c>
      <c r="K3256" s="21">
        <f>IF(AND(D3256="USA",C3256&gt;=1980,J3256="No"),"Yes","No")</f>
        <v/>
      </c>
      <c r="L3256" s="26">
        <f>IF(J3256="Yes","",H3256-I3256)</f>
        <v/>
      </c>
      <c r="M3256" s="27">
        <f>IF(OR(J3256="Yes",I3256=0),"",H3256/I3256)</f>
        <v/>
      </c>
      <c r="N3256" s="21">
        <f>IF(J3256="Yes","",IF(H3256&gt;=I3256,1,0))</f>
        <v/>
      </c>
      <c r="O3256" s="21">
        <f>IF(I3256&lt;=5000000,"Under $5M",IF(I3256&lt;=20000000,"$5M-20M",IF(I3256&lt;=50000000,"$20M-50M",IF(I3256&lt;=100000000,"$50M-100M","$100M+"))))</f>
        <v/>
      </c>
      <c r="P3256" s="21">
        <f>IF(E3256&lt;=90,"90 or less",IF(E3256&lt;=105,"91-105",IF(E3256&lt;=120,"106-120",IF(E3256&lt;=140,"121-140","Over 140"))))</f>
        <v/>
      </c>
      <c r="Q3256" s="28">
        <f>INT(C3256/10)*10</f>
        <v/>
      </c>
    </row>
    <row r="3257">
      <c r="A3257" s="21" t="n">
        <v>3323</v>
      </c>
      <c r="B3257" s="21" t="inlineStr">
        <is>
          <t>Pandorum</t>
        </is>
      </c>
      <c r="C3257" s="21" t="n">
        <v>2009</v>
      </c>
      <c r="D3257" s="21" t="inlineStr">
        <is>
          <t>Germany</t>
        </is>
      </c>
      <c r="E3257" s="21" t="n">
        <v>108</v>
      </c>
      <c r="F3257" s="21" t="inlineStr">
        <is>
          <t>English</t>
        </is>
      </c>
      <c r="G3257" s="21" t="inlineStr">
        <is>
          <t>R</t>
        </is>
      </c>
      <c r="H3257" s="22" t="n">
        <v>10326062</v>
      </c>
      <c r="I3257" s="22" t="n">
        <v>33000000</v>
      </c>
      <c r="J3257" s="21">
        <f>IF(OR(H3257="",H3257=25529689.5),"Yes","No")</f>
        <v/>
      </c>
      <c r="K3257" s="21">
        <f>IF(AND(D3257="USA",C3257&gt;=1980,J3257="No"),"Yes","No")</f>
        <v/>
      </c>
      <c r="L3257" s="26">
        <f>IF(J3257="Yes","",H3257-I3257)</f>
        <v/>
      </c>
      <c r="M3257" s="27">
        <f>IF(OR(J3257="Yes",I3257=0),"",H3257/I3257)</f>
        <v/>
      </c>
      <c r="N3257" s="21">
        <f>IF(J3257="Yes","",IF(H3257&gt;=I3257,1,0))</f>
        <v/>
      </c>
      <c r="O3257" s="21">
        <f>IF(I3257&lt;=5000000,"Under $5M",IF(I3257&lt;=20000000,"$5M-20M",IF(I3257&lt;=50000000,"$20M-50M",IF(I3257&lt;=100000000,"$50M-100M","$100M+"))))</f>
        <v/>
      </c>
      <c r="P3257" s="21">
        <f>IF(E3257&lt;=90,"90 or less",IF(E3257&lt;=105,"91-105",IF(E3257&lt;=120,"106-120",IF(E3257&lt;=140,"121-140","Over 140"))))</f>
        <v/>
      </c>
      <c r="Q3257" s="28">
        <f>INT(C3257/10)*10</f>
        <v/>
      </c>
    </row>
    <row r="3258">
      <c r="A3258" s="21" t="n">
        <v>3324</v>
      </c>
      <c r="B3258" s="21" t="inlineStr">
        <is>
          <t>Paul Blart: Mall Cop</t>
        </is>
      </c>
      <c r="C3258" s="21" t="n">
        <v>2009</v>
      </c>
      <c r="D3258" s="21" t="inlineStr">
        <is>
          <t>USA</t>
        </is>
      </c>
      <c r="E3258" s="21" t="n">
        <v>91</v>
      </c>
      <c r="F3258" s="21" t="inlineStr">
        <is>
          <t>English</t>
        </is>
      </c>
      <c r="G3258" s="21" t="inlineStr">
        <is>
          <t>PG</t>
        </is>
      </c>
      <c r="H3258" s="22" t="n">
        <v>20819129</v>
      </c>
      <c r="I3258" s="22" t="n">
        <v>26000000</v>
      </c>
      <c r="J3258" s="21">
        <f>IF(OR(H3258="",H3258=25529689.5),"Yes","No")</f>
        <v/>
      </c>
      <c r="K3258" s="21">
        <f>IF(AND(D3258="USA",C3258&gt;=1980,J3258="No"),"Yes","No")</f>
        <v/>
      </c>
      <c r="L3258" s="26">
        <f>IF(J3258="Yes","",H3258-I3258)</f>
        <v/>
      </c>
      <c r="M3258" s="27">
        <f>IF(OR(J3258="Yes",I3258=0),"",H3258/I3258)</f>
        <v/>
      </c>
      <c r="N3258" s="21">
        <f>IF(J3258="Yes","",IF(H3258&gt;=I3258,1,0))</f>
        <v/>
      </c>
      <c r="O3258" s="21">
        <f>IF(I3258&lt;=5000000,"Under $5M",IF(I3258&lt;=20000000,"$5M-20M",IF(I3258&lt;=50000000,"$20M-50M",IF(I3258&lt;=100000000,"$50M-100M","$100M+"))))</f>
        <v/>
      </c>
      <c r="P3258" s="21">
        <f>IF(E3258&lt;=90,"90 or less",IF(E3258&lt;=105,"91-105",IF(E3258&lt;=120,"106-120",IF(E3258&lt;=140,"121-140","Over 140"))))</f>
        <v/>
      </c>
      <c r="Q3258" s="28">
        <f>INT(C3258/10)*10</f>
        <v/>
      </c>
    </row>
    <row r="3259">
      <c r="A3259" s="21" t="n">
        <v>3325</v>
      </c>
      <c r="B3259" s="21" t="inlineStr">
        <is>
          <t>Perrier's Bounty</t>
        </is>
      </c>
      <c r="C3259" s="21" t="n">
        <v>2009</v>
      </c>
      <c r="D3259" s="21" t="inlineStr">
        <is>
          <t>Ireland</t>
        </is>
      </c>
      <c r="E3259" s="21" t="n">
        <v>88</v>
      </c>
      <c r="F3259" s="21" t="inlineStr">
        <is>
          <t>English</t>
        </is>
      </c>
      <c r="G3259" s="21" t="inlineStr">
        <is>
          <t>R</t>
        </is>
      </c>
      <c r="H3259" s="22" t="n">
        <v>828</v>
      </c>
      <c r="I3259" s="22" t="n">
        <v>20000000</v>
      </c>
      <c r="J3259" s="21">
        <f>IF(OR(H3259="",H3259=25529689.5),"Yes","No")</f>
        <v/>
      </c>
      <c r="K3259" s="21">
        <f>IF(AND(D3259="USA",C3259&gt;=1980,J3259="No"),"Yes","No")</f>
        <v/>
      </c>
      <c r="L3259" s="26">
        <f>IF(J3259="Yes","",H3259-I3259)</f>
        <v/>
      </c>
      <c r="M3259" s="27">
        <f>IF(OR(J3259="Yes",I3259=0),"",H3259/I3259)</f>
        <v/>
      </c>
      <c r="N3259" s="21">
        <f>IF(J3259="Yes","",IF(H3259&gt;=I3259,1,0))</f>
        <v/>
      </c>
      <c r="O3259" s="21">
        <f>IF(I3259&lt;=5000000,"Under $5M",IF(I3259&lt;=20000000,"$5M-20M",IF(I3259&lt;=50000000,"$20M-50M",IF(I3259&lt;=100000000,"$50M-100M","$100M+"))))</f>
        <v/>
      </c>
      <c r="P3259" s="21">
        <f>IF(E3259&lt;=90,"90 or less",IF(E3259&lt;=105,"91-105",IF(E3259&lt;=120,"106-120",IF(E3259&lt;=140,"121-140","Over 140"))))</f>
        <v/>
      </c>
      <c r="Q3259" s="28">
        <f>INT(C3259/10)*10</f>
        <v/>
      </c>
    </row>
    <row r="3260">
      <c r="A3260" s="21" t="n">
        <v>3326</v>
      </c>
      <c r="B3260" s="21" t="inlineStr">
        <is>
          <t>Pirate Radio</t>
        </is>
      </c>
      <c r="C3260" s="21" t="n">
        <v>2009</v>
      </c>
      <c r="D3260" s="21" t="inlineStr">
        <is>
          <t>UK</t>
        </is>
      </c>
      <c r="E3260" s="21" t="n">
        <v>135</v>
      </c>
      <c r="F3260" s="21" t="inlineStr">
        <is>
          <t>English</t>
        </is>
      </c>
      <c r="G3260" s="21" t="inlineStr">
        <is>
          <t>R</t>
        </is>
      </c>
      <c r="H3260" s="22" t="n">
        <v>7994115</v>
      </c>
      <c r="I3260" s="22" t="n">
        <v>20000000</v>
      </c>
      <c r="J3260" s="21">
        <f>IF(OR(H3260="",H3260=25529689.5),"Yes","No")</f>
        <v/>
      </c>
      <c r="K3260" s="21">
        <f>IF(AND(D3260="USA",C3260&gt;=1980,J3260="No"),"Yes","No")</f>
        <v/>
      </c>
      <c r="L3260" s="26">
        <f>IF(J3260="Yes","",H3260-I3260)</f>
        <v/>
      </c>
      <c r="M3260" s="27">
        <f>IF(OR(J3260="Yes",I3260=0),"",H3260/I3260)</f>
        <v/>
      </c>
      <c r="N3260" s="21">
        <f>IF(J3260="Yes","",IF(H3260&gt;=I3260,1,0))</f>
        <v/>
      </c>
      <c r="O3260" s="21">
        <f>IF(I3260&lt;=5000000,"Under $5M",IF(I3260&lt;=20000000,"$5M-20M",IF(I3260&lt;=50000000,"$20M-50M",IF(I3260&lt;=100000000,"$50M-100M","$100M+"))))</f>
        <v/>
      </c>
      <c r="P3260" s="21">
        <f>IF(E3260&lt;=90,"90 or less",IF(E3260&lt;=105,"91-105",IF(E3260&lt;=120,"106-120",IF(E3260&lt;=140,"121-140","Over 140"))))</f>
        <v/>
      </c>
      <c r="Q3260" s="28">
        <f>INT(C3260/10)*10</f>
        <v/>
      </c>
    </row>
    <row r="3261">
      <c r="A3261" s="21" t="n">
        <v>3327</v>
      </c>
      <c r="B3261" s="21" t="inlineStr">
        <is>
          <t>Planet 51</t>
        </is>
      </c>
      <c r="C3261" s="21" t="n">
        <v>2009</v>
      </c>
      <c r="D3261" s="21" t="inlineStr">
        <is>
          <t>Spain</t>
        </is>
      </c>
      <c r="E3261" s="21" t="n">
        <v>91</v>
      </c>
      <c r="F3261" s="21" t="inlineStr">
        <is>
          <t>English</t>
        </is>
      </c>
      <c r="G3261" s="21" t="inlineStr">
        <is>
          <t>PG</t>
        </is>
      </c>
      <c r="H3261" s="22" t="n">
        <v>42194060</v>
      </c>
      <c r="I3261" s="22" t="n">
        <v>70000000</v>
      </c>
      <c r="J3261" s="21">
        <f>IF(OR(H3261="",H3261=25529689.5),"Yes","No")</f>
        <v/>
      </c>
      <c r="K3261" s="21">
        <f>IF(AND(D3261="USA",C3261&gt;=1980,J3261="No"),"Yes","No")</f>
        <v/>
      </c>
      <c r="L3261" s="26">
        <f>IF(J3261="Yes","",H3261-I3261)</f>
        <v/>
      </c>
      <c r="M3261" s="27">
        <f>IF(OR(J3261="Yes",I3261=0),"",H3261/I3261)</f>
        <v/>
      </c>
      <c r="N3261" s="21">
        <f>IF(J3261="Yes","",IF(H3261&gt;=I3261,1,0))</f>
        <v/>
      </c>
      <c r="O3261" s="21">
        <f>IF(I3261&lt;=5000000,"Under $5M",IF(I3261&lt;=20000000,"$5M-20M",IF(I3261&lt;=50000000,"$20M-50M",IF(I3261&lt;=100000000,"$50M-100M","$100M+"))))</f>
        <v/>
      </c>
      <c r="P3261" s="21">
        <f>IF(E3261&lt;=90,"90 or less",IF(E3261&lt;=105,"91-105",IF(E3261&lt;=120,"106-120",IF(E3261&lt;=140,"121-140","Over 140"))))</f>
        <v/>
      </c>
      <c r="Q3261" s="28">
        <f>INT(C3261/10)*10</f>
        <v/>
      </c>
    </row>
    <row r="3262">
      <c r="A3262" s="21" t="n">
        <v>3328</v>
      </c>
      <c r="B3262" s="21" t="inlineStr">
        <is>
          <t>Post Grad</t>
        </is>
      </c>
      <c r="C3262" s="21" t="n">
        <v>2009</v>
      </c>
      <c r="D3262" s="21" t="inlineStr">
        <is>
          <t>USA</t>
        </is>
      </c>
      <c r="E3262" s="21" t="n">
        <v>88</v>
      </c>
      <c r="F3262" s="21" t="inlineStr">
        <is>
          <t>English</t>
        </is>
      </c>
      <c r="G3262" s="21" t="inlineStr">
        <is>
          <t>PG-13</t>
        </is>
      </c>
      <c r="H3262" s="22" t="n">
        <v>6373693</v>
      </c>
      <c r="I3262" s="22" t="n">
        <v>15000000</v>
      </c>
      <c r="J3262" s="21">
        <f>IF(OR(H3262="",H3262=25529689.5),"Yes","No")</f>
        <v/>
      </c>
      <c r="K3262" s="21">
        <f>IF(AND(D3262="USA",C3262&gt;=1980,J3262="No"),"Yes","No")</f>
        <v/>
      </c>
      <c r="L3262" s="26">
        <f>IF(J3262="Yes","",H3262-I3262)</f>
        <v/>
      </c>
      <c r="M3262" s="27">
        <f>IF(OR(J3262="Yes",I3262=0),"",H3262/I3262)</f>
        <v/>
      </c>
      <c r="N3262" s="21">
        <f>IF(J3262="Yes","",IF(H3262&gt;=I3262,1,0))</f>
        <v/>
      </c>
      <c r="O3262" s="21">
        <f>IF(I3262&lt;=5000000,"Under $5M",IF(I3262&lt;=20000000,"$5M-20M",IF(I3262&lt;=50000000,"$20M-50M",IF(I3262&lt;=100000000,"$50M-100M","$100M+"))))</f>
        <v/>
      </c>
      <c r="P3262" s="21">
        <f>IF(E3262&lt;=90,"90 or less",IF(E3262&lt;=105,"91-105",IF(E3262&lt;=120,"106-120",IF(E3262&lt;=140,"121-140","Over 140"))))</f>
        <v/>
      </c>
      <c r="Q3262" s="28">
        <f>INT(C3262/10)*10</f>
        <v/>
      </c>
    </row>
    <row r="3263">
      <c r="A3263" s="21" t="n">
        <v>3329</v>
      </c>
      <c r="B3263" s="21" t="inlineStr">
        <is>
          <t>Precious</t>
        </is>
      </c>
      <c r="C3263" s="21" t="n">
        <v>2009</v>
      </c>
      <c r="D3263" s="21" t="inlineStr">
        <is>
          <t>USA</t>
        </is>
      </c>
      <c r="E3263" s="21" t="n">
        <v>109</v>
      </c>
      <c r="F3263" s="21" t="inlineStr">
        <is>
          <t>English</t>
        </is>
      </c>
      <c r="G3263" s="21" t="inlineStr">
        <is>
          <t>R</t>
        </is>
      </c>
      <c r="H3263" s="22" t="n">
        <v>47536959</v>
      </c>
      <c r="I3263" s="22" t="n">
        <v>10000000</v>
      </c>
      <c r="J3263" s="21">
        <f>IF(OR(H3263="",H3263=25529689.5),"Yes","No")</f>
        <v/>
      </c>
      <c r="K3263" s="21">
        <f>IF(AND(D3263="USA",C3263&gt;=1980,J3263="No"),"Yes","No")</f>
        <v/>
      </c>
      <c r="L3263" s="26">
        <f>IF(J3263="Yes","",H3263-I3263)</f>
        <v/>
      </c>
      <c r="M3263" s="27">
        <f>IF(OR(J3263="Yes",I3263=0),"",H3263/I3263)</f>
        <v/>
      </c>
      <c r="N3263" s="21">
        <f>IF(J3263="Yes","",IF(H3263&gt;=I3263,1,0))</f>
        <v/>
      </c>
      <c r="O3263" s="21">
        <f>IF(I3263&lt;=5000000,"Under $5M",IF(I3263&lt;=20000000,"$5M-20M",IF(I3263&lt;=50000000,"$20M-50M",IF(I3263&lt;=100000000,"$50M-100M","$100M+"))))</f>
        <v/>
      </c>
      <c r="P3263" s="21">
        <f>IF(E3263&lt;=90,"90 or less",IF(E3263&lt;=105,"91-105",IF(E3263&lt;=120,"106-120",IF(E3263&lt;=140,"121-140","Over 140"))))</f>
        <v/>
      </c>
      <c r="Q3263" s="28">
        <f>INT(C3263/10)*10</f>
        <v/>
      </c>
    </row>
    <row r="3264">
      <c r="A3264" s="21" t="n">
        <v>3331</v>
      </c>
      <c r="B3264" s="21" t="inlineStr">
        <is>
          <t>Princess Kaiulani</t>
        </is>
      </c>
      <c r="C3264" s="21" t="n">
        <v>2009</v>
      </c>
      <c r="D3264" s="21" t="inlineStr">
        <is>
          <t>USA</t>
        </is>
      </c>
      <c r="E3264" s="21" t="n">
        <v>97</v>
      </c>
      <c r="F3264" s="21" t="inlineStr">
        <is>
          <t>English</t>
        </is>
      </c>
      <c r="G3264" s="21" t="inlineStr">
        <is>
          <t>PG</t>
        </is>
      </c>
      <c r="H3264" s="22" t="n">
        <v>883887</v>
      </c>
      <c r="I3264" s="22" t="n">
        <v>9000000</v>
      </c>
      <c r="J3264" s="21">
        <f>IF(OR(H3264="",H3264=25529689.5),"Yes","No")</f>
        <v/>
      </c>
      <c r="K3264" s="21">
        <f>IF(AND(D3264="USA",C3264&gt;=1980,J3264="No"),"Yes","No")</f>
        <v/>
      </c>
      <c r="L3264" s="26">
        <f>IF(J3264="Yes","",H3264-I3264)</f>
        <v/>
      </c>
      <c r="M3264" s="27">
        <f>IF(OR(J3264="Yes",I3264=0),"",H3264/I3264)</f>
        <v/>
      </c>
      <c r="N3264" s="21">
        <f>IF(J3264="Yes","",IF(H3264&gt;=I3264,1,0))</f>
        <v/>
      </c>
      <c r="O3264" s="21">
        <f>IF(I3264&lt;=5000000,"Under $5M",IF(I3264&lt;=20000000,"$5M-20M",IF(I3264&lt;=50000000,"$20M-50M",IF(I3264&lt;=100000000,"$50M-100M","$100M+"))))</f>
        <v/>
      </c>
      <c r="P3264" s="21">
        <f>IF(E3264&lt;=90,"90 or less",IF(E3264&lt;=105,"91-105",IF(E3264&lt;=120,"106-120",IF(E3264&lt;=140,"121-140","Over 140"))))</f>
        <v/>
      </c>
      <c r="Q3264" s="28">
        <f>INT(C3264/10)*10</f>
        <v/>
      </c>
    </row>
    <row r="3265">
      <c r="A3265" s="21" t="n">
        <v>3332</v>
      </c>
      <c r="B3265" s="21" t="inlineStr">
        <is>
          <t>Public Enemies</t>
        </is>
      </c>
      <c r="C3265" s="21" t="n">
        <v>2009</v>
      </c>
      <c r="D3265" s="21" t="inlineStr">
        <is>
          <t>USA</t>
        </is>
      </c>
      <c r="E3265" s="21" t="n">
        <v>140</v>
      </c>
      <c r="F3265" s="21" t="inlineStr">
        <is>
          <t>English</t>
        </is>
      </c>
      <c r="G3265" s="21" t="inlineStr">
        <is>
          <t>R</t>
        </is>
      </c>
      <c r="H3265" s="22" t="n">
        <v>97030725</v>
      </c>
      <c r="I3265" s="22" t="n">
        <v>100000000</v>
      </c>
      <c r="J3265" s="21">
        <f>IF(OR(H3265="",H3265=25529689.5),"Yes","No")</f>
        <v/>
      </c>
      <c r="K3265" s="21">
        <f>IF(AND(D3265="USA",C3265&gt;=1980,J3265="No"),"Yes","No")</f>
        <v/>
      </c>
      <c r="L3265" s="26">
        <f>IF(J3265="Yes","",H3265-I3265)</f>
        <v/>
      </c>
      <c r="M3265" s="27">
        <f>IF(OR(J3265="Yes",I3265=0),"",H3265/I3265)</f>
        <v/>
      </c>
      <c r="N3265" s="21">
        <f>IF(J3265="Yes","",IF(H3265&gt;=I3265,1,0))</f>
        <v/>
      </c>
      <c r="O3265" s="21">
        <f>IF(I3265&lt;=5000000,"Under $5M",IF(I3265&lt;=20000000,"$5M-20M",IF(I3265&lt;=50000000,"$20M-50M",IF(I3265&lt;=100000000,"$50M-100M","$100M+"))))</f>
        <v/>
      </c>
      <c r="P3265" s="21">
        <f>IF(E3265&lt;=90,"90 or less",IF(E3265&lt;=105,"91-105",IF(E3265&lt;=120,"106-120",IF(E3265&lt;=140,"121-140","Over 140"))))</f>
        <v/>
      </c>
      <c r="Q3265" s="28">
        <f>INT(C3265/10)*10</f>
        <v/>
      </c>
    </row>
    <row r="3266">
      <c r="A3266" s="21" t="n">
        <v>3333</v>
      </c>
      <c r="B3266" s="21" t="inlineStr">
        <is>
          <t>Race to Witch Mountain</t>
        </is>
      </c>
      <c r="C3266" s="21" t="n">
        <v>2009</v>
      </c>
      <c r="D3266" s="21" t="inlineStr">
        <is>
          <t>USA</t>
        </is>
      </c>
      <c r="E3266" s="21" t="n">
        <v>98</v>
      </c>
      <c r="F3266" s="21" t="inlineStr">
        <is>
          <t>English</t>
        </is>
      </c>
      <c r="G3266" s="21" t="inlineStr">
        <is>
          <t>PG</t>
        </is>
      </c>
      <c r="H3266" s="22" t="n">
        <v>67128202</v>
      </c>
      <c r="I3266" s="22" t="n">
        <v>65000000</v>
      </c>
      <c r="J3266" s="21">
        <f>IF(OR(H3266="",H3266=25529689.5),"Yes","No")</f>
        <v/>
      </c>
      <c r="K3266" s="21">
        <f>IF(AND(D3266="USA",C3266&gt;=1980,J3266="No"),"Yes","No")</f>
        <v/>
      </c>
      <c r="L3266" s="26">
        <f>IF(J3266="Yes","",H3266-I3266)</f>
        <v/>
      </c>
      <c r="M3266" s="27">
        <f>IF(OR(J3266="Yes",I3266=0),"",H3266/I3266)</f>
        <v/>
      </c>
      <c r="N3266" s="21">
        <f>IF(J3266="Yes","",IF(H3266&gt;=I3266,1,0))</f>
        <v/>
      </c>
      <c r="O3266" s="21">
        <f>IF(I3266&lt;=5000000,"Under $5M",IF(I3266&lt;=20000000,"$5M-20M",IF(I3266&lt;=50000000,"$20M-50M",IF(I3266&lt;=100000000,"$50M-100M","$100M+"))))</f>
        <v/>
      </c>
      <c r="P3266" s="21">
        <f>IF(E3266&lt;=90,"90 or less",IF(E3266&lt;=105,"91-105",IF(E3266&lt;=120,"106-120",IF(E3266&lt;=140,"121-140","Over 140"))))</f>
        <v/>
      </c>
      <c r="Q3266" s="28">
        <f>INT(C3266/10)*10</f>
        <v/>
      </c>
    </row>
    <row r="3267">
      <c r="A3267" s="21" t="n">
        <v>3334</v>
      </c>
      <c r="B3267" s="21" t="inlineStr">
        <is>
          <t>Rampage</t>
        </is>
      </c>
      <c r="C3267" s="21" t="n">
        <v>2009</v>
      </c>
      <c r="D3267" s="21" t="inlineStr">
        <is>
          <t>Canada</t>
        </is>
      </c>
      <c r="E3267" s="21" t="n">
        <v>80</v>
      </c>
      <c r="F3267" s="21" t="inlineStr">
        <is>
          <t>English</t>
        </is>
      </c>
      <c r="G3267" s="21" t="inlineStr">
        <is>
          <t>R</t>
        </is>
      </c>
      <c r="H3267" s="22" t="n">
        <v>25529689.5</v>
      </c>
      <c r="I3267" s="22" t="n">
        <v>20000000</v>
      </c>
      <c r="J3267" s="21">
        <f>IF(OR(H3267="",H3267=25529689.5),"Yes","No")</f>
        <v/>
      </c>
      <c r="K3267" s="21">
        <f>IF(AND(D3267="USA",C3267&gt;=1980,J3267="No"),"Yes","No")</f>
        <v/>
      </c>
      <c r="L3267" s="26">
        <f>IF(J3267="Yes","",H3267-I3267)</f>
        <v/>
      </c>
      <c r="M3267" s="27">
        <f>IF(OR(J3267="Yes",I3267=0),"",H3267/I3267)</f>
        <v/>
      </c>
      <c r="N3267" s="21">
        <f>IF(J3267="Yes","",IF(H3267&gt;=I3267,1,0))</f>
        <v/>
      </c>
      <c r="O3267" s="21">
        <f>IF(I3267&lt;=5000000,"Under $5M",IF(I3267&lt;=20000000,"$5M-20M",IF(I3267&lt;=50000000,"$20M-50M",IF(I3267&lt;=100000000,"$50M-100M","$100M+"))))</f>
        <v/>
      </c>
      <c r="P3267" s="21">
        <f>IF(E3267&lt;=90,"90 or less",IF(E3267&lt;=105,"91-105",IF(E3267&lt;=120,"106-120",IF(E3267&lt;=140,"121-140","Over 140"))))</f>
        <v/>
      </c>
      <c r="Q3267" s="28">
        <f>INT(C3267/10)*10</f>
        <v/>
      </c>
    </row>
    <row r="3268">
      <c r="A3268" s="21" t="n">
        <v>3335</v>
      </c>
      <c r="B3268" s="21" t="inlineStr">
        <is>
          <t>Red Riding: In the Year of Our Lord 1974</t>
        </is>
      </c>
      <c r="C3268" s="21" t="n">
        <v>2009</v>
      </c>
      <c r="D3268" s="21" t="inlineStr">
        <is>
          <t>UK</t>
        </is>
      </c>
      <c r="E3268" s="21" t="n">
        <v>102</v>
      </c>
      <c r="F3268" s="21" t="inlineStr">
        <is>
          <t>English</t>
        </is>
      </c>
      <c r="G3268" s="21" t="inlineStr">
        <is>
          <t>Not Rated</t>
        </is>
      </c>
      <c r="H3268" s="22" t="n">
        <v>25529689.5</v>
      </c>
      <c r="I3268" s="22" t="n">
        <v>20000000</v>
      </c>
      <c r="J3268" s="21">
        <f>IF(OR(H3268="",H3268=25529689.5),"Yes","No")</f>
        <v/>
      </c>
      <c r="K3268" s="21">
        <f>IF(AND(D3268="USA",C3268&gt;=1980,J3268="No"),"Yes","No")</f>
        <v/>
      </c>
      <c r="L3268" s="26">
        <f>IF(J3268="Yes","",H3268-I3268)</f>
        <v/>
      </c>
      <c r="M3268" s="27">
        <f>IF(OR(J3268="Yes",I3268=0),"",H3268/I3268)</f>
        <v/>
      </c>
      <c r="N3268" s="21">
        <f>IF(J3268="Yes","",IF(H3268&gt;=I3268,1,0))</f>
        <v/>
      </c>
      <c r="O3268" s="21">
        <f>IF(I3268&lt;=5000000,"Under $5M",IF(I3268&lt;=20000000,"$5M-20M",IF(I3268&lt;=50000000,"$20M-50M",IF(I3268&lt;=100000000,"$50M-100M","$100M+"))))</f>
        <v/>
      </c>
      <c r="P3268" s="21">
        <f>IF(E3268&lt;=90,"90 or less",IF(E3268&lt;=105,"91-105",IF(E3268&lt;=120,"106-120",IF(E3268&lt;=140,"121-140","Over 140"))))</f>
        <v/>
      </c>
      <c r="Q3268" s="28">
        <f>INT(C3268/10)*10</f>
        <v/>
      </c>
    </row>
    <row r="3269">
      <c r="A3269" s="21" t="n">
        <v>3336</v>
      </c>
      <c r="B3269" s="21" t="inlineStr">
        <is>
          <t>Rocket Singh: Salesman of the Year</t>
        </is>
      </c>
      <c r="C3269" s="21" t="n">
        <v>2009</v>
      </c>
      <c r="D3269" s="21" t="inlineStr">
        <is>
          <t>India</t>
        </is>
      </c>
      <c r="E3269" s="21" t="n">
        <v>150</v>
      </c>
      <c r="F3269" s="21" t="inlineStr">
        <is>
          <t>Hindi</t>
        </is>
      </c>
      <c r="G3269" s="21" t="n"/>
      <c r="H3269" s="22" t="n">
        <v>25529689.5</v>
      </c>
      <c r="I3269" s="22" t="n">
        <v>20000000</v>
      </c>
      <c r="J3269" s="21">
        <f>IF(OR(H3269="",H3269=25529689.5),"Yes","No")</f>
        <v/>
      </c>
      <c r="K3269" s="21">
        <f>IF(AND(D3269="USA",C3269&gt;=1980,J3269="No"),"Yes","No")</f>
        <v/>
      </c>
      <c r="L3269" s="26">
        <f>IF(J3269="Yes","",H3269-I3269)</f>
        <v/>
      </c>
      <c r="M3269" s="27">
        <f>IF(OR(J3269="Yes",I3269=0),"",H3269/I3269)</f>
        <v/>
      </c>
      <c r="N3269" s="21">
        <f>IF(J3269="Yes","",IF(H3269&gt;=I3269,1,0))</f>
        <v/>
      </c>
      <c r="O3269" s="21">
        <f>IF(I3269&lt;=5000000,"Under $5M",IF(I3269&lt;=20000000,"$5M-20M",IF(I3269&lt;=50000000,"$20M-50M",IF(I3269&lt;=100000000,"$50M-100M","$100M+"))))</f>
        <v/>
      </c>
      <c r="P3269" s="21">
        <f>IF(E3269&lt;=90,"90 or less",IF(E3269&lt;=105,"91-105",IF(E3269&lt;=120,"106-120",IF(E3269&lt;=140,"121-140","Over 140"))))</f>
        <v/>
      </c>
      <c r="Q3269" s="28">
        <f>INT(C3269/10)*10</f>
        <v/>
      </c>
    </row>
    <row r="3270">
      <c r="A3270" s="21" t="n">
        <v>3337</v>
      </c>
      <c r="B3270" s="21" t="inlineStr">
        <is>
          <t>Royal Kill</t>
        </is>
      </c>
      <c r="C3270" s="21" t="n">
        <v>2009</v>
      </c>
      <c r="D3270" s="21" t="inlineStr">
        <is>
          <t>USA</t>
        </is>
      </c>
      <c r="E3270" s="21" t="n">
        <v>90</v>
      </c>
      <c r="F3270" s="21" t="inlineStr">
        <is>
          <t>English</t>
        </is>
      </c>
      <c r="G3270" s="21" t="inlineStr">
        <is>
          <t>PG-13</t>
        </is>
      </c>
      <c r="H3270" s="22" t="n">
        <v>25529689.5</v>
      </c>
      <c r="I3270" s="22" t="n">
        <v>350000</v>
      </c>
      <c r="J3270" s="21">
        <f>IF(OR(H3270="",H3270=25529689.5),"Yes","No")</f>
        <v/>
      </c>
      <c r="K3270" s="21">
        <f>IF(AND(D3270="USA",C3270&gt;=1980,J3270="No"),"Yes","No")</f>
        <v/>
      </c>
      <c r="L3270" s="26">
        <f>IF(J3270="Yes","",H3270-I3270)</f>
        <v/>
      </c>
      <c r="M3270" s="27">
        <f>IF(OR(J3270="Yes",I3270=0),"",H3270/I3270)</f>
        <v/>
      </c>
      <c r="N3270" s="21">
        <f>IF(J3270="Yes","",IF(H3270&gt;=I3270,1,0))</f>
        <v/>
      </c>
      <c r="O3270" s="21">
        <f>IF(I3270&lt;=5000000,"Under $5M",IF(I3270&lt;=20000000,"$5M-20M",IF(I3270&lt;=50000000,"$20M-50M",IF(I3270&lt;=100000000,"$50M-100M","$100M+"))))</f>
        <v/>
      </c>
      <c r="P3270" s="21">
        <f>IF(E3270&lt;=90,"90 or less",IF(E3270&lt;=105,"91-105",IF(E3270&lt;=120,"106-120",IF(E3270&lt;=140,"121-140","Over 140"))))</f>
        <v/>
      </c>
      <c r="Q3270" s="28">
        <f>INT(C3270/10)*10</f>
        <v/>
      </c>
    </row>
    <row r="3271">
      <c r="A3271" s="21" t="n">
        <v>3338</v>
      </c>
      <c r="B3271" s="21" t="inlineStr">
        <is>
          <t>Saint John of Las Vegas</t>
        </is>
      </c>
      <c r="C3271" s="21" t="n">
        <v>2009</v>
      </c>
      <c r="D3271" s="21" t="inlineStr">
        <is>
          <t>USA</t>
        </is>
      </c>
      <c r="E3271" s="21" t="n">
        <v>85</v>
      </c>
      <c r="F3271" s="21" t="inlineStr">
        <is>
          <t>English</t>
        </is>
      </c>
      <c r="G3271" s="21" t="inlineStr">
        <is>
          <t>R</t>
        </is>
      </c>
      <c r="H3271" s="22" t="n">
        <v>100669</v>
      </c>
      <c r="I3271" s="22" t="n">
        <v>3800000</v>
      </c>
      <c r="J3271" s="21">
        <f>IF(OR(H3271="",H3271=25529689.5),"Yes","No")</f>
        <v/>
      </c>
      <c r="K3271" s="21">
        <f>IF(AND(D3271="USA",C3271&gt;=1980,J3271="No"),"Yes","No")</f>
        <v/>
      </c>
      <c r="L3271" s="26">
        <f>IF(J3271="Yes","",H3271-I3271)</f>
        <v/>
      </c>
      <c r="M3271" s="27">
        <f>IF(OR(J3271="Yes",I3271=0),"",H3271/I3271)</f>
        <v/>
      </c>
      <c r="N3271" s="21">
        <f>IF(J3271="Yes","",IF(H3271&gt;=I3271,1,0))</f>
        <v/>
      </c>
      <c r="O3271" s="21">
        <f>IF(I3271&lt;=5000000,"Under $5M",IF(I3271&lt;=20000000,"$5M-20M",IF(I3271&lt;=50000000,"$20M-50M",IF(I3271&lt;=100000000,"$50M-100M","$100M+"))))</f>
        <v/>
      </c>
      <c r="P3271" s="21">
        <f>IF(E3271&lt;=90,"90 or less",IF(E3271&lt;=105,"91-105",IF(E3271&lt;=120,"106-120",IF(E3271&lt;=140,"121-140","Over 140"))))</f>
        <v/>
      </c>
      <c r="Q3271" s="28">
        <f>INT(C3271/10)*10</f>
        <v/>
      </c>
    </row>
    <row r="3272">
      <c r="A3272" s="21" t="n">
        <v>3339</v>
      </c>
      <c r="B3272" s="21" t="inlineStr">
        <is>
          <t>Saw VI</t>
        </is>
      </c>
      <c r="C3272" s="21" t="n">
        <v>2009</v>
      </c>
      <c r="D3272" s="21" t="inlineStr">
        <is>
          <t>Canada</t>
        </is>
      </c>
      <c r="E3272" s="21" t="n">
        <v>92</v>
      </c>
      <c r="F3272" s="21" t="inlineStr">
        <is>
          <t>English</t>
        </is>
      </c>
      <c r="G3272" s="21" t="inlineStr">
        <is>
          <t>R</t>
        </is>
      </c>
      <c r="H3272" s="22" t="n">
        <v>27669413</v>
      </c>
      <c r="I3272" s="22" t="n">
        <v>11000000</v>
      </c>
      <c r="J3272" s="21">
        <f>IF(OR(H3272="",H3272=25529689.5),"Yes","No")</f>
        <v/>
      </c>
      <c r="K3272" s="21">
        <f>IF(AND(D3272="USA",C3272&gt;=1980,J3272="No"),"Yes","No")</f>
        <v/>
      </c>
      <c r="L3272" s="26">
        <f>IF(J3272="Yes","",H3272-I3272)</f>
        <v/>
      </c>
      <c r="M3272" s="27">
        <f>IF(OR(J3272="Yes",I3272=0),"",H3272/I3272)</f>
        <v/>
      </c>
      <c r="N3272" s="21">
        <f>IF(J3272="Yes","",IF(H3272&gt;=I3272,1,0))</f>
        <v/>
      </c>
      <c r="O3272" s="21">
        <f>IF(I3272&lt;=5000000,"Under $5M",IF(I3272&lt;=20000000,"$5M-20M",IF(I3272&lt;=50000000,"$20M-50M",IF(I3272&lt;=100000000,"$50M-100M","$100M+"))))</f>
        <v/>
      </c>
      <c r="P3272" s="21">
        <f>IF(E3272&lt;=90,"90 or less",IF(E3272&lt;=105,"91-105",IF(E3272&lt;=120,"106-120",IF(E3272&lt;=140,"121-140","Over 140"))))</f>
        <v/>
      </c>
      <c r="Q3272" s="28">
        <f>INT(C3272/10)*10</f>
        <v/>
      </c>
    </row>
    <row r="3273">
      <c r="A3273" s="21" t="n">
        <v>3340</v>
      </c>
      <c r="B3273" s="21" t="inlineStr">
        <is>
          <t>Sherlock Holmes</t>
        </is>
      </c>
      <c r="C3273" s="21" t="n">
        <v>2009</v>
      </c>
      <c r="D3273" s="21" t="inlineStr">
        <is>
          <t>USA</t>
        </is>
      </c>
      <c r="E3273" s="21" t="n">
        <v>128</v>
      </c>
      <c r="F3273" s="21" t="inlineStr">
        <is>
          <t>English</t>
        </is>
      </c>
      <c r="G3273" s="21" t="inlineStr">
        <is>
          <t>PG-13</t>
        </is>
      </c>
      <c r="H3273" s="22" t="n">
        <v>209019489</v>
      </c>
      <c r="I3273" s="22" t="n">
        <v>90000000</v>
      </c>
      <c r="J3273" s="21">
        <f>IF(OR(H3273="",H3273=25529689.5),"Yes","No")</f>
        <v/>
      </c>
      <c r="K3273" s="21">
        <f>IF(AND(D3273="USA",C3273&gt;=1980,J3273="No"),"Yes","No")</f>
        <v/>
      </c>
      <c r="L3273" s="26">
        <f>IF(J3273="Yes","",H3273-I3273)</f>
        <v/>
      </c>
      <c r="M3273" s="27">
        <f>IF(OR(J3273="Yes",I3273=0),"",H3273/I3273)</f>
        <v/>
      </c>
      <c r="N3273" s="21">
        <f>IF(J3273="Yes","",IF(H3273&gt;=I3273,1,0))</f>
        <v/>
      </c>
      <c r="O3273" s="21">
        <f>IF(I3273&lt;=5000000,"Under $5M",IF(I3273&lt;=20000000,"$5M-20M",IF(I3273&lt;=50000000,"$20M-50M",IF(I3273&lt;=100000000,"$50M-100M","$100M+"))))</f>
        <v/>
      </c>
      <c r="P3273" s="21">
        <f>IF(E3273&lt;=90,"90 or less",IF(E3273&lt;=105,"91-105",IF(E3273&lt;=120,"106-120",IF(E3273&lt;=140,"121-140","Over 140"))))</f>
        <v/>
      </c>
      <c r="Q3273" s="28">
        <f>INT(C3273/10)*10</f>
        <v/>
      </c>
    </row>
    <row r="3274">
      <c r="A3274" s="21" t="n">
        <v>3341</v>
      </c>
      <c r="B3274" s="21" t="inlineStr">
        <is>
          <t>Shinjuku Incident</t>
        </is>
      </c>
      <c r="C3274" s="21" t="n">
        <v>2009</v>
      </c>
      <c r="D3274" s="21" t="inlineStr">
        <is>
          <t>Hong Kong</t>
        </is>
      </c>
      <c r="E3274" s="21" t="n">
        <v>119</v>
      </c>
      <c r="F3274" s="21" t="inlineStr">
        <is>
          <t>Mandarin</t>
        </is>
      </c>
      <c r="G3274" s="21" t="inlineStr">
        <is>
          <t>R</t>
        </is>
      </c>
      <c r="H3274" s="22" t="n">
        <v>25529689.5</v>
      </c>
      <c r="I3274" s="22" t="n">
        <v>15000000</v>
      </c>
      <c r="J3274" s="21">
        <f>IF(OR(H3274="",H3274=25529689.5),"Yes","No")</f>
        <v/>
      </c>
      <c r="K3274" s="21">
        <f>IF(AND(D3274="USA",C3274&gt;=1980,J3274="No"),"Yes","No")</f>
        <v/>
      </c>
      <c r="L3274" s="26">
        <f>IF(J3274="Yes","",H3274-I3274)</f>
        <v/>
      </c>
      <c r="M3274" s="27">
        <f>IF(OR(J3274="Yes",I3274=0),"",H3274/I3274)</f>
        <v/>
      </c>
      <c r="N3274" s="21">
        <f>IF(J3274="Yes","",IF(H3274&gt;=I3274,1,0))</f>
        <v/>
      </c>
      <c r="O3274" s="21">
        <f>IF(I3274&lt;=5000000,"Under $5M",IF(I3274&lt;=20000000,"$5M-20M",IF(I3274&lt;=50000000,"$20M-50M",IF(I3274&lt;=100000000,"$50M-100M","$100M+"))))</f>
        <v/>
      </c>
      <c r="P3274" s="21">
        <f>IF(E3274&lt;=90,"90 or less",IF(E3274&lt;=105,"91-105",IF(E3274&lt;=120,"106-120",IF(E3274&lt;=140,"121-140","Over 140"))))</f>
        <v/>
      </c>
      <c r="Q3274" s="28">
        <f>INT(C3274/10)*10</f>
        <v/>
      </c>
    </row>
    <row r="3275">
      <c r="A3275" s="21" t="n">
        <v>3342</v>
      </c>
      <c r="B3275" s="21" t="inlineStr">
        <is>
          <t>Shorts</t>
        </is>
      </c>
      <c r="C3275" s="21" t="n">
        <v>2009</v>
      </c>
      <c r="D3275" s="21" t="inlineStr">
        <is>
          <t>USA</t>
        </is>
      </c>
      <c r="E3275" s="21" t="n">
        <v>89</v>
      </c>
      <c r="F3275" s="21" t="inlineStr">
        <is>
          <t>English</t>
        </is>
      </c>
      <c r="G3275" s="21" t="inlineStr">
        <is>
          <t>PG</t>
        </is>
      </c>
      <c r="H3275" s="22" t="n">
        <v>20916309</v>
      </c>
      <c r="I3275" s="22" t="n">
        <v>40000000</v>
      </c>
      <c r="J3275" s="21">
        <f>IF(OR(H3275="",H3275=25529689.5),"Yes","No")</f>
        <v/>
      </c>
      <c r="K3275" s="21">
        <f>IF(AND(D3275="USA",C3275&gt;=1980,J3275="No"),"Yes","No")</f>
        <v/>
      </c>
      <c r="L3275" s="26">
        <f>IF(J3275="Yes","",H3275-I3275)</f>
        <v/>
      </c>
      <c r="M3275" s="27">
        <f>IF(OR(J3275="Yes",I3275=0),"",H3275/I3275)</f>
        <v/>
      </c>
      <c r="N3275" s="21">
        <f>IF(J3275="Yes","",IF(H3275&gt;=I3275,1,0))</f>
        <v/>
      </c>
      <c r="O3275" s="21">
        <f>IF(I3275&lt;=5000000,"Under $5M",IF(I3275&lt;=20000000,"$5M-20M",IF(I3275&lt;=50000000,"$20M-50M",IF(I3275&lt;=100000000,"$50M-100M","$100M+"))))</f>
        <v/>
      </c>
      <c r="P3275" s="21">
        <f>IF(E3275&lt;=90,"90 or less",IF(E3275&lt;=105,"91-105",IF(E3275&lt;=120,"106-120",IF(E3275&lt;=140,"121-140","Over 140"))))</f>
        <v/>
      </c>
      <c r="Q3275" s="28">
        <f>INT(C3275/10)*10</f>
        <v/>
      </c>
    </row>
    <row r="3276">
      <c r="A3276" s="21" t="n">
        <v>3343</v>
      </c>
      <c r="B3276" s="21" t="inlineStr">
        <is>
          <t>Silver Medallist</t>
        </is>
      </c>
      <c r="C3276" s="21" t="n">
        <v>2009</v>
      </c>
      <c r="D3276" s="21" t="inlineStr">
        <is>
          <t>China</t>
        </is>
      </c>
      <c r="E3276" s="21" t="n">
        <v>99</v>
      </c>
      <c r="F3276" s="21" t="inlineStr">
        <is>
          <t>Mandarin</t>
        </is>
      </c>
      <c r="G3276" s="21" t="n"/>
      <c r="H3276" s="22" t="n">
        <v>25529689.5</v>
      </c>
      <c r="I3276" s="22" t="n">
        <v>15000000</v>
      </c>
      <c r="J3276" s="21">
        <f>IF(OR(H3276="",H3276=25529689.5),"Yes","No")</f>
        <v/>
      </c>
      <c r="K3276" s="21">
        <f>IF(AND(D3276="USA",C3276&gt;=1980,J3276="No"),"Yes","No")</f>
        <v/>
      </c>
      <c r="L3276" s="26">
        <f>IF(J3276="Yes","",H3276-I3276)</f>
        <v/>
      </c>
      <c r="M3276" s="27">
        <f>IF(OR(J3276="Yes",I3276=0),"",H3276/I3276)</f>
        <v/>
      </c>
      <c r="N3276" s="21">
        <f>IF(J3276="Yes","",IF(H3276&gt;=I3276,1,0))</f>
        <v/>
      </c>
      <c r="O3276" s="21">
        <f>IF(I3276&lt;=5000000,"Under $5M",IF(I3276&lt;=20000000,"$5M-20M",IF(I3276&lt;=50000000,"$20M-50M",IF(I3276&lt;=100000000,"$50M-100M","$100M+"))))</f>
        <v/>
      </c>
      <c r="P3276" s="21">
        <f>IF(E3276&lt;=90,"90 or less",IF(E3276&lt;=105,"91-105",IF(E3276&lt;=120,"106-120",IF(E3276&lt;=140,"121-140","Over 140"))))</f>
        <v/>
      </c>
      <c r="Q3276" s="28">
        <f>INT(C3276/10)*10</f>
        <v/>
      </c>
    </row>
    <row r="3277">
      <c r="A3277" s="21" t="n">
        <v>3344</v>
      </c>
      <c r="B3277" s="21" t="inlineStr">
        <is>
          <t>Solitary Man</t>
        </is>
      </c>
      <c r="C3277" s="21" t="n">
        <v>2009</v>
      </c>
      <c r="D3277" s="21" t="inlineStr">
        <is>
          <t>USA</t>
        </is>
      </c>
      <c r="E3277" s="21" t="n">
        <v>90</v>
      </c>
      <c r="F3277" s="21" t="inlineStr">
        <is>
          <t>English</t>
        </is>
      </c>
      <c r="G3277" s="21" t="inlineStr">
        <is>
          <t>R</t>
        </is>
      </c>
      <c r="H3277" s="22" t="n">
        <v>4360548</v>
      </c>
      <c r="I3277" s="22" t="n">
        <v>15000000</v>
      </c>
      <c r="J3277" s="21">
        <f>IF(OR(H3277="",H3277=25529689.5),"Yes","No")</f>
        <v/>
      </c>
      <c r="K3277" s="21">
        <f>IF(AND(D3277="USA",C3277&gt;=1980,J3277="No"),"Yes","No")</f>
        <v/>
      </c>
      <c r="L3277" s="26">
        <f>IF(J3277="Yes","",H3277-I3277)</f>
        <v/>
      </c>
      <c r="M3277" s="27">
        <f>IF(OR(J3277="Yes",I3277=0),"",H3277/I3277)</f>
        <v/>
      </c>
      <c r="N3277" s="21">
        <f>IF(J3277="Yes","",IF(H3277&gt;=I3277,1,0))</f>
        <v/>
      </c>
      <c r="O3277" s="21">
        <f>IF(I3277&lt;=5000000,"Under $5M",IF(I3277&lt;=20000000,"$5M-20M",IF(I3277&lt;=50000000,"$20M-50M",IF(I3277&lt;=100000000,"$50M-100M","$100M+"))))</f>
        <v/>
      </c>
      <c r="P3277" s="21">
        <f>IF(E3277&lt;=90,"90 or less",IF(E3277&lt;=105,"91-105",IF(E3277&lt;=120,"106-120",IF(E3277&lt;=140,"121-140","Over 140"))))</f>
        <v/>
      </c>
      <c r="Q3277" s="28">
        <f>INT(C3277/10)*10</f>
        <v/>
      </c>
    </row>
    <row r="3278">
      <c r="A3278" s="21" t="n">
        <v>3345</v>
      </c>
      <c r="B3278" s="21" t="inlineStr">
        <is>
          <t>Sorority Row</t>
        </is>
      </c>
      <c r="C3278" s="21" t="n">
        <v>2009</v>
      </c>
      <c r="D3278" s="21" t="inlineStr">
        <is>
          <t>USA</t>
        </is>
      </c>
      <c r="E3278" s="21" t="n">
        <v>101</v>
      </c>
      <c r="F3278" s="21" t="inlineStr">
        <is>
          <t>English</t>
        </is>
      </c>
      <c r="G3278" s="21" t="inlineStr">
        <is>
          <t>R</t>
        </is>
      </c>
      <c r="H3278" s="22" t="n">
        <v>11956207</v>
      </c>
      <c r="I3278" s="22" t="n">
        <v>16000000</v>
      </c>
      <c r="J3278" s="21">
        <f>IF(OR(H3278="",H3278=25529689.5),"Yes","No")</f>
        <v/>
      </c>
      <c r="K3278" s="21">
        <f>IF(AND(D3278="USA",C3278&gt;=1980,J3278="No"),"Yes","No")</f>
        <v/>
      </c>
      <c r="L3278" s="26">
        <f>IF(J3278="Yes","",H3278-I3278)</f>
        <v/>
      </c>
      <c r="M3278" s="27">
        <f>IF(OR(J3278="Yes",I3278=0),"",H3278/I3278)</f>
        <v/>
      </c>
      <c r="N3278" s="21">
        <f>IF(J3278="Yes","",IF(H3278&gt;=I3278,1,0))</f>
        <v/>
      </c>
      <c r="O3278" s="21">
        <f>IF(I3278&lt;=5000000,"Under $5M",IF(I3278&lt;=20000000,"$5M-20M",IF(I3278&lt;=50000000,"$20M-50M",IF(I3278&lt;=100000000,"$50M-100M","$100M+"))))</f>
        <v/>
      </c>
      <c r="P3278" s="21">
        <f>IF(E3278&lt;=90,"90 or less",IF(E3278&lt;=105,"91-105",IF(E3278&lt;=120,"106-120",IF(E3278&lt;=140,"121-140","Over 140"))))</f>
        <v/>
      </c>
      <c r="Q3278" s="28">
        <f>INT(C3278/10)*10</f>
        <v/>
      </c>
    </row>
    <row r="3279">
      <c r="A3279" s="21" t="n">
        <v>3346</v>
      </c>
      <c r="B3279" s="21" t="inlineStr">
        <is>
          <t>Soul Kitchen</t>
        </is>
      </c>
      <c r="C3279" s="21" t="n">
        <v>2009</v>
      </c>
      <c r="D3279" s="21" t="inlineStr">
        <is>
          <t>Germany</t>
        </is>
      </c>
      <c r="E3279" s="21" t="n">
        <v>99</v>
      </c>
      <c r="F3279" s="21" t="inlineStr">
        <is>
          <t>German</t>
        </is>
      </c>
      <c r="G3279" s="21" t="n"/>
      <c r="H3279" s="22" t="n">
        <v>274385</v>
      </c>
      <c r="I3279" s="22" t="n">
        <v>4000000</v>
      </c>
      <c r="J3279" s="21">
        <f>IF(OR(H3279="",H3279=25529689.5),"Yes","No")</f>
        <v/>
      </c>
      <c r="K3279" s="21">
        <f>IF(AND(D3279="USA",C3279&gt;=1980,J3279="No"),"Yes","No")</f>
        <v/>
      </c>
      <c r="L3279" s="26">
        <f>IF(J3279="Yes","",H3279-I3279)</f>
        <v/>
      </c>
      <c r="M3279" s="27">
        <f>IF(OR(J3279="Yes",I3279=0),"",H3279/I3279)</f>
        <v/>
      </c>
      <c r="N3279" s="21">
        <f>IF(J3279="Yes","",IF(H3279&gt;=I3279,1,0))</f>
        <v/>
      </c>
      <c r="O3279" s="21">
        <f>IF(I3279&lt;=5000000,"Under $5M",IF(I3279&lt;=20000000,"$5M-20M",IF(I3279&lt;=50000000,"$20M-50M",IF(I3279&lt;=100000000,"$50M-100M","$100M+"))))</f>
        <v/>
      </c>
      <c r="P3279" s="21">
        <f>IF(E3279&lt;=90,"90 or less",IF(E3279&lt;=105,"91-105",IF(E3279&lt;=120,"106-120",IF(E3279&lt;=140,"121-140","Over 140"))))</f>
        <v/>
      </c>
      <c r="Q3279" s="28">
        <f>INT(C3279/10)*10</f>
        <v/>
      </c>
    </row>
    <row r="3280">
      <c r="A3280" s="21" t="n">
        <v>3347</v>
      </c>
      <c r="B3280" s="21" t="inlineStr">
        <is>
          <t>Splice</t>
        </is>
      </c>
      <c r="C3280" s="21" t="n">
        <v>2009</v>
      </c>
      <c r="D3280" s="21" t="inlineStr">
        <is>
          <t>Canada</t>
        </is>
      </c>
      <c r="E3280" s="21" t="n">
        <v>104</v>
      </c>
      <c r="F3280" s="21" t="inlineStr">
        <is>
          <t>English</t>
        </is>
      </c>
      <c r="G3280" s="21" t="inlineStr">
        <is>
          <t>R</t>
        </is>
      </c>
      <c r="H3280" s="22" t="n">
        <v>16999046</v>
      </c>
      <c r="I3280" s="22" t="n">
        <v>26000000</v>
      </c>
      <c r="J3280" s="21">
        <f>IF(OR(H3280="",H3280=25529689.5),"Yes","No")</f>
        <v/>
      </c>
      <c r="K3280" s="21">
        <f>IF(AND(D3280="USA",C3280&gt;=1980,J3280="No"),"Yes","No")</f>
        <v/>
      </c>
      <c r="L3280" s="26">
        <f>IF(J3280="Yes","",H3280-I3280)</f>
        <v/>
      </c>
      <c r="M3280" s="27">
        <f>IF(OR(J3280="Yes",I3280=0),"",H3280/I3280)</f>
        <v/>
      </c>
      <c r="N3280" s="21">
        <f>IF(J3280="Yes","",IF(H3280&gt;=I3280,1,0))</f>
        <v/>
      </c>
      <c r="O3280" s="21">
        <f>IF(I3280&lt;=5000000,"Under $5M",IF(I3280&lt;=20000000,"$5M-20M",IF(I3280&lt;=50000000,"$20M-50M",IF(I3280&lt;=100000000,"$50M-100M","$100M+"))))</f>
        <v/>
      </c>
      <c r="P3280" s="21">
        <f>IF(E3280&lt;=90,"90 or less",IF(E3280&lt;=105,"91-105",IF(E3280&lt;=120,"106-120",IF(E3280&lt;=140,"121-140","Over 140"))))</f>
        <v/>
      </c>
      <c r="Q3280" s="28">
        <f>INT(C3280/10)*10</f>
        <v/>
      </c>
    </row>
    <row r="3281">
      <c r="A3281" s="21" t="n">
        <v>3348</v>
      </c>
      <c r="B3281" s="21" t="inlineStr">
        <is>
          <t>Stan Helsing</t>
        </is>
      </c>
      <c r="C3281" s="21" t="n">
        <v>2009</v>
      </c>
      <c r="D3281" s="21" t="inlineStr">
        <is>
          <t>Canada</t>
        </is>
      </c>
      <c r="E3281" s="21" t="n">
        <v>90</v>
      </c>
      <c r="F3281" s="21" t="inlineStr">
        <is>
          <t>English</t>
        </is>
      </c>
      <c r="G3281" s="21" t="inlineStr">
        <is>
          <t>R</t>
        </is>
      </c>
      <c r="H3281" s="22" t="n">
        <v>25529689.5</v>
      </c>
      <c r="I3281" s="22" t="n">
        <v>20000000</v>
      </c>
      <c r="J3281" s="21">
        <f>IF(OR(H3281="",H3281=25529689.5),"Yes","No")</f>
        <v/>
      </c>
      <c r="K3281" s="21">
        <f>IF(AND(D3281="USA",C3281&gt;=1980,J3281="No"),"Yes","No")</f>
        <v/>
      </c>
      <c r="L3281" s="26">
        <f>IF(J3281="Yes","",H3281-I3281)</f>
        <v/>
      </c>
      <c r="M3281" s="27">
        <f>IF(OR(J3281="Yes",I3281=0),"",H3281/I3281)</f>
        <v/>
      </c>
      <c r="N3281" s="21">
        <f>IF(J3281="Yes","",IF(H3281&gt;=I3281,1,0))</f>
        <v/>
      </c>
      <c r="O3281" s="21">
        <f>IF(I3281&lt;=5000000,"Under $5M",IF(I3281&lt;=20000000,"$5M-20M",IF(I3281&lt;=50000000,"$20M-50M",IF(I3281&lt;=100000000,"$50M-100M","$100M+"))))</f>
        <v/>
      </c>
      <c r="P3281" s="21">
        <f>IF(E3281&lt;=90,"90 or less",IF(E3281&lt;=105,"91-105",IF(E3281&lt;=120,"106-120",IF(E3281&lt;=140,"121-140","Over 140"))))</f>
        <v/>
      </c>
      <c r="Q3281" s="28">
        <f>INT(C3281/10)*10</f>
        <v/>
      </c>
    </row>
    <row r="3282">
      <c r="A3282" s="21" t="n">
        <v>3349</v>
      </c>
      <c r="B3282" s="21" t="inlineStr">
        <is>
          <t>Star Trek</t>
        </is>
      </c>
      <c r="C3282" s="21" t="n">
        <v>2009</v>
      </c>
      <c r="D3282" s="21" t="inlineStr">
        <is>
          <t>USA</t>
        </is>
      </c>
      <c r="E3282" s="21" t="n">
        <v>127</v>
      </c>
      <c r="F3282" s="21" t="inlineStr">
        <is>
          <t>English</t>
        </is>
      </c>
      <c r="G3282" s="21" t="inlineStr">
        <is>
          <t>PG-13</t>
        </is>
      </c>
      <c r="H3282" s="22" t="n">
        <v>257704099</v>
      </c>
      <c r="I3282" s="22" t="n">
        <v>150000000</v>
      </c>
      <c r="J3282" s="21">
        <f>IF(OR(H3282="",H3282=25529689.5),"Yes","No")</f>
        <v/>
      </c>
      <c r="K3282" s="21">
        <f>IF(AND(D3282="USA",C3282&gt;=1980,J3282="No"),"Yes","No")</f>
        <v/>
      </c>
      <c r="L3282" s="26">
        <f>IF(J3282="Yes","",H3282-I3282)</f>
        <v/>
      </c>
      <c r="M3282" s="27">
        <f>IF(OR(J3282="Yes",I3282=0),"",H3282/I3282)</f>
        <v/>
      </c>
      <c r="N3282" s="21">
        <f>IF(J3282="Yes","",IF(H3282&gt;=I3282,1,0))</f>
        <v/>
      </c>
      <c r="O3282" s="21">
        <f>IF(I3282&lt;=5000000,"Under $5M",IF(I3282&lt;=20000000,"$5M-20M",IF(I3282&lt;=50000000,"$20M-50M",IF(I3282&lt;=100000000,"$50M-100M","$100M+"))))</f>
        <v/>
      </c>
      <c r="P3282" s="21">
        <f>IF(E3282&lt;=90,"90 or less",IF(E3282&lt;=105,"91-105",IF(E3282&lt;=120,"106-120",IF(E3282&lt;=140,"121-140","Over 140"))))</f>
        <v/>
      </c>
      <c r="Q3282" s="28">
        <f>INT(C3282/10)*10</f>
        <v/>
      </c>
    </row>
    <row r="3283">
      <c r="A3283" s="21" t="n">
        <v>3350</v>
      </c>
      <c r="B3283" s="21" t="inlineStr">
        <is>
          <t>Starsuckers</t>
        </is>
      </c>
      <c r="C3283" s="21" t="n">
        <v>2009</v>
      </c>
      <c r="D3283" s="21" t="inlineStr">
        <is>
          <t>UK</t>
        </is>
      </c>
      <c r="E3283" s="21" t="n">
        <v>103</v>
      </c>
      <c r="F3283" s="21" t="inlineStr">
        <is>
          <t>English</t>
        </is>
      </c>
      <c r="G3283" s="21" t="n"/>
      <c r="H3283" s="22" t="n">
        <v>25529689.5</v>
      </c>
      <c r="I3283" s="22" t="n">
        <v>400000</v>
      </c>
      <c r="J3283" s="21">
        <f>IF(OR(H3283="",H3283=25529689.5),"Yes","No")</f>
        <v/>
      </c>
      <c r="K3283" s="21">
        <f>IF(AND(D3283="USA",C3283&gt;=1980,J3283="No"),"Yes","No")</f>
        <v/>
      </c>
      <c r="L3283" s="26">
        <f>IF(J3283="Yes","",H3283-I3283)</f>
        <v/>
      </c>
      <c r="M3283" s="27">
        <f>IF(OR(J3283="Yes",I3283=0),"",H3283/I3283)</f>
        <v/>
      </c>
      <c r="N3283" s="21">
        <f>IF(J3283="Yes","",IF(H3283&gt;=I3283,1,0))</f>
        <v/>
      </c>
      <c r="O3283" s="21">
        <f>IF(I3283&lt;=5000000,"Under $5M",IF(I3283&lt;=20000000,"$5M-20M",IF(I3283&lt;=50000000,"$20M-50M",IF(I3283&lt;=100000000,"$50M-100M","$100M+"))))</f>
        <v/>
      </c>
      <c r="P3283" s="21">
        <f>IF(E3283&lt;=90,"90 or less",IF(E3283&lt;=105,"91-105",IF(E3283&lt;=120,"106-120",IF(E3283&lt;=140,"121-140","Over 140"))))</f>
        <v/>
      </c>
      <c r="Q3283" s="28">
        <f>INT(C3283/10)*10</f>
        <v/>
      </c>
    </row>
    <row r="3284">
      <c r="A3284" s="21" t="n">
        <v>3351</v>
      </c>
      <c r="B3284" s="21" t="inlineStr">
        <is>
          <t>State of Play</t>
        </is>
      </c>
      <c r="C3284" s="21" t="n">
        <v>2009</v>
      </c>
      <c r="D3284" s="21" t="inlineStr">
        <is>
          <t>USA</t>
        </is>
      </c>
      <c r="E3284" s="21" t="n">
        <v>127</v>
      </c>
      <c r="F3284" s="21" t="inlineStr">
        <is>
          <t>English</t>
        </is>
      </c>
      <c r="G3284" s="21" t="inlineStr">
        <is>
          <t>PG-13</t>
        </is>
      </c>
      <c r="H3284" s="22" t="n">
        <v>36965395</v>
      </c>
      <c r="I3284" s="22" t="n">
        <v>20000000</v>
      </c>
      <c r="J3284" s="21">
        <f>IF(OR(H3284="",H3284=25529689.5),"Yes","No")</f>
        <v/>
      </c>
      <c r="K3284" s="21">
        <f>IF(AND(D3284="USA",C3284&gt;=1980,J3284="No"),"Yes","No")</f>
        <v/>
      </c>
      <c r="L3284" s="26">
        <f>IF(J3284="Yes","",H3284-I3284)</f>
        <v/>
      </c>
      <c r="M3284" s="27">
        <f>IF(OR(J3284="Yes",I3284=0),"",H3284/I3284)</f>
        <v/>
      </c>
      <c r="N3284" s="21">
        <f>IF(J3284="Yes","",IF(H3284&gt;=I3284,1,0))</f>
        <v/>
      </c>
      <c r="O3284" s="21">
        <f>IF(I3284&lt;=5000000,"Under $5M",IF(I3284&lt;=20000000,"$5M-20M",IF(I3284&lt;=50000000,"$20M-50M",IF(I3284&lt;=100000000,"$50M-100M","$100M+"))))</f>
        <v/>
      </c>
      <c r="P3284" s="21">
        <f>IF(E3284&lt;=90,"90 or less",IF(E3284&lt;=105,"91-105",IF(E3284&lt;=120,"106-120",IF(E3284&lt;=140,"121-140","Over 140"))))</f>
        <v/>
      </c>
      <c r="Q3284" s="28">
        <f>INT(C3284/10)*10</f>
        <v/>
      </c>
    </row>
    <row r="3285">
      <c r="A3285" s="21" t="n">
        <v>3352</v>
      </c>
      <c r="B3285" s="21" t="inlineStr">
        <is>
          <t>Steppin: The Movie</t>
        </is>
      </c>
      <c r="C3285" s="21" t="n">
        <v>2009</v>
      </c>
      <c r="D3285" s="21" t="inlineStr">
        <is>
          <t>USA</t>
        </is>
      </c>
      <c r="E3285" s="21" t="n">
        <v>138</v>
      </c>
      <c r="F3285" s="21" t="inlineStr">
        <is>
          <t>English</t>
        </is>
      </c>
      <c r="G3285" s="21" t="inlineStr">
        <is>
          <t>PG-13</t>
        </is>
      </c>
      <c r="H3285" s="22" t="n">
        <v>25529689.5</v>
      </c>
      <c r="I3285" s="22" t="n">
        <v>1000000</v>
      </c>
      <c r="J3285" s="21">
        <f>IF(OR(H3285="",H3285=25529689.5),"Yes","No")</f>
        <v/>
      </c>
      <c r="K3285" s="21">
        <f>IF(AND(D3285="USA",C3285&gt;=1980,J3285="No"),"Yes","No")</f>
        <v/>
      </c>
      <c r="L3285" s="26">
        <f>IF(J3285="Yes","",H3285-I3285)</f>
        <v/>
      </c>
      <c r="M3285" s="27">
        <f>IF(OR(J3285="Yes",I3285=0),"",H3285/I3285)</f>
        <v/>
      </c>
      <c r="N3285" s="21">
        <f>IF(J3285="Yes","",IF(H3285&gt;=I3285,1,0))</f>
        <v/>
      </c>
      <c r="O3285" s="21">
        <f>IF(I3285&lt;=5000000,"Under $5M",IF(I3285&lt;=20000000,"$5M-20M",IF(I3285&lt;=50000000,"$20M-50M",IF(I3285&lt;=100000000,"$50M-100M","$100M+"))))</f>
        <v/>
      </c>
      <c r="P3285" s="21">
        <f>IF(E3285&lt;=90,"90 or less",IF(E3285&lt;=105,"91-105",IF(E3285&lt;=120,"106-120",IF(E3285&lt;=140,"121-140","Over 140"))))</f>
        <v/>
      </c>
      <c r="Q3285" s="28">
        <f>INT(C3285/10)*10</f>
        <v/>
      </c>
    </row>
    <row r="3286">
      <c r="A3286" s="21" t="n">
        <v>3353</v>
      </c>
      <c r="B3286" s="21" t="inlineStr">
        <is>
          <t>Street Fighter: The Legend of Chun-Li</t>
        </is>
      </c>
      <c r="C3286" s="21" t="n">
        <v>2009</v>
      </c>
      <c r="D3286" s="21" t="inlineStr">
        <is>
          <t>Canada</t>
        </is>
      </c>
      <c r="E3286" s="21" t="n">
        <v>96</v>
      </c>
      <c r="F3286" s="21" t="inlineStr">
        <is>
          <t>English</t>
        </is>
      </c>
      <c r="G3286" s="21" t="inlineStr">
        <is>
          <t>PG-13</t>
        </is>
      </c>
      <c r="H3286" s="22" t="n">
        <v>8742261</v>
      </c>
      <c r="I3286" s="22" t="n">
        <v>18000000</v>
      </c>
      <c r="J3286" s="21">
        <f>IF(OR(H3286="",H3286=25529689.5),"Yes","No")</f>
        <v/>
      </c>
      <c r="K3286" s="21">
        <f>IF(AND(D3286="USA",C3286&gt;=1980,J3286="No"),"Yes","No")</f>
        <v/>
      </c>
      <c r="L3286" s="26">
        <f>IF(J3286="Yes","",H3286-I3286)</f>
        <v/>
      </c>
      <c r="M3286" s="27">
        <f>IF(OR(J3286="Yes",I3286=0),"",H3286/I3286)</f>
        <v/>
      </c>
      <c r="N3286" s="21">
        <f>IF(J3286="Yes","",IF(H3286&gt;=I3286,1,0))</f>
        <v/>
      </c>
      <c r="O3286" s="21">
        <f>IF(I3286&lt;=5000000,"Under $5M",IF(I3286&lt;=20000000,"$5M-20M",IF(I3286&lt;=50000000,"$20M-50M",IF(I3286&lt;=100000000,"$50M-100M","$100M+"))))</f>
        <v/>
      </c>
      <c r="P3286" s="21">
        <f>IF(E3286&lt;=90,"90 or less",IF(E3286&lt;=105,"91-105",IF(E3286&lt;=120,"106-120",IF(E3286&lt;=140,"121-140","Over 140"))))</f>
        <v/>
      </c>
      <c r="Q3286" s="28">
        <f>INT(C3286/10)*10</f>
        <v/>
      </c>
    </row>
    <row r="3287">
      <c r="A3287" s="21" t="n">
        <v>3354</v>
      </c>
      <c r="B3287" s="21" t="inlineStr">
        <is>
          <t>Surrogates</t>
        </is>
      </c>
      <c r="C3287" s="21" t="n">
        <v>2009</v>
      </c>
      <c r="D3287" s="21" t="inlineStr">
        <is>
          <t>USA</t>
        </is>
      </c>
      <c r="E3287" s="21" t="n">
        <v>89</v>
      </c>
      <c r="F3287" s="21" t="inlineStr">
        <is>
          <t>English</t>
        </is>
      </c>
      <c r="G3287" s="21" t="inlineStr">
        <is>
          <t>PG-13</t>
        </is>
      </c>
      <c r="H3287" s="22" t="n">
        <v>38542418</v>
      </c>
      <c r="I3287" s="22" t="n">
        <v>80000000</v>
      </c>
      <c r="J3287" s="21">
        <f>IF(OR(H3287="",H3287=25529689.5),"Yes","No")</f>
        <v/>
      </c>
      <c r="K3287" s="21">
        <f>IF(AND(D3287="USA",C3287&gt;=1980,J3287="No"),"Yes","No")</f>
        <v/>
      </c>
      <c r="L3287" s="26">
        <f>IF(J3287="Yes","",H3287-I3287)</f>
        <v/>
      </c>
      <c r="M3287" s="27">
        <f>IF(OR(J3287="Yes",I3287=0),"",H3287/I3287)</f>
        <v/>
      </c>
      <c r="N3287" s="21">
        <f>IF(J3287="Yes","",IF(H3287&gt;=I3287,1,0))</f>
        <v/>
      </c>
      <c r="O3287" s="21">
        <f>IF(I3287&lt;=5000000,"Under $5M",IF(I3287&lt;=20000000,"$5M-20M",IF(I3287&lt;=50000000,"$20M-50M",IF(I3287&lt;=100000000,"$50M-100M","$100M+"))))</f>
        <v/>
      </c>
      <c r="P3287" s="21">
        <f>IF(E3287&lt;=90,"90 or less",IF(E3287&lt;=105,"91-105",IF(E3287&lt;=120,"106-120",IF(E3287&lt;=140,"121-140","Over 140"))))</f>
        <v/>
      </c>
      <c r="Q3287" s="28">
        <f>INT(C3287/10)*10</f>
        <v/>
      </c>
    </row>
    <row r="3288">
      <c r="A3288" s="21" t="n">
        <v>3355</v>
      </c>
      <c r="B3288" s="21" t="inlineStr">
        <is>
          <t>Survival of the Dead</t>
        </is>
      </c>
      <c r="C3288" s="21" t="n">
        <v>2009</v>
      </c>
      <c r="D3288" s="21" t="inlineStr">
        <is>
          <t>USA</t>
        </is>
      </c>
      <c r="E3288" s="21" t="n">
        <v>90</v>
      </c>
      <c r="F3288" s="21" t="inlineStr">
        <is>
          <t>English</t>
        </is>
      </c>
      <c r="G3288" s="21" t="inlineStr">
        <is>
          <t>R</t>
        </is>
      </c>
      <c r="H3288" s="22" t="n">
        <v>101055</v>
      </c>
      <c r="I3288" s="22" t="n">
        <v>4000000</v>
      </c>
      <c r="J3288" s="21">
        <f>IF(OR(H3288="",H3288=25529689.5),"Yes","No")</f>
        <v/>
      </c>
      <c r="K3288" s="21">
        <f>IF(AND(D3288="USA",C3288&gt;=1980,J3288="No"),"Yes","No")</f>
        <v/>
      </c>
      <c r="L3288" s="26">
        <f>IF(J3288="Yes","",H3288-I3288)</f>
        <v/>
      </c>
      <c r="M3288" s="27">
        <f>IF(OR(J3288="Yes",I3288=0),"",H3288/I3288)</f>
        <v/>
      </c>
      <c r="N3288" s="21">
        <f>IF(J3288="Yes","",IF(H3288&gt;=I3288,1,0))</f>
        <v/>
      </c>
      <c r="O3288" s="21">
        <f>IF(I3288&lt;=5000000,"Under $5M",IF(I3288&lt;=20000000,"$5M-20M",IF(I3288&lt;=50000000,"$20M-50M",IF(I3288&lt;=100000000,"$50M-100M","$100M+"))))</f>
        <v/>
      </c>
      <c r="P3288" s="21">
        <f>IF(E3288&lt;=90,"90 or less",IF(E3288&lt;=105,"91-105",IF(E3288&lt;=120,"106-120",IF(E3288&lt;=140,"121-140","Over 140"))))</f>
        <v/>
      </c>
      <c r="Q3288" s="28">
        <f>INT(C3288/10)*10</f>
        <v/>
      </c>
    </row>
    <row r="3289">
      <c r="A3289" s="21" t="n">
        <v>3356</v>
      </c>
      <c r="B3289" s="21" t="inlineStr">
        <is>
          <t>Taking Woodstock</t>
        </is>
      </c>
      <c r="C3289" s="21" t="n">
        <v>2009</v>
      </c>
      <c r="D3289" s="21" t="inlineStr">
        <is>
          <t>USA</t>
        </is>
      </c>
      <c r="E3289" s="21" t="n">
        <v>120</v>
      </c>
      <c r="F3289" s="21" t="inlineStr">
        <is>
          <t>English</t>
        </is>
      </c>
      <c r="G3289" s="21" t="inlineStr">
        <is>
          <t>R</t>
        </is>
      </c>
      <c r="H3289" s="22" t="n">
        <v>7443007</v>
      </c>
      <c r="I3289" s="22" t="n">
        <v>30000000</v>
      </c>
      <c r="J3289" s="21">
        <f>IF(OR(H3289="",H3289=25529689.5),"Yes","No")</f>
        <v/>
      </c>
      <c r="K3289" s="21">
        <f>IF(AND(D3289="USA",C3289&gt;=1980,J3289="No"),"Yes","No")</f>
        <v/>
      </c>
      <c r="L3289" s="26">
        <f>IF(J3289="Yes","",H3289-I3289)</f>
        <v/>
      </c>
      <c r="M3289" s="27">
        <f>IF(OR(J3289="Yes",I3289=0),"",H3289/I3289)</f>
        <v/>
      </c>
      <c r="N3289" s="21">
        <f>IF(J3289="Yes","",IF(H3289&gt;=I3289,1,0))</f>
        <v/>
      </c>
      <c r="O3289" s="21">
        <f>IF(I3289&lt;=5000000,"Under $5M",IF(I3289&lt;=20000000,"$5M-20M",IF(I3289&lt;=50000000,"$20M-50M",IF(I3289&lt;=100000000,"$50M-100M","$100M+"))))</f>
        <v/>
      </c>
      <c r="P3289" s="21">
        <f>IF(E3289&lt;=90,"90 or less",IF(E3289&lt;=105,"91-105",IF(E3289&lt;=120,"106-120",IF(E3289&lt;=140,"121-140","Over 140"))))</f>
        <v/>
      </c>
      <c r="Q3289" s="28">
        <f>INT(C3289/10)*10</f>
        <v/>
      </c>
    </row>
    <row r="3290">
      <c r="A3290" s="21" t="n">
        <v>3357</v>
      </c>
      <c r="B3290" s="21" t="inlineStr">
        <is>
          <t>Tanner Hall</t>
        </is>
      </c>
      <c r="C3290" s="21" t="n">
        <v>2009</v>
      </c>
      <c r="D3290" s="21" t="inlineStr">
        <is>
          <t>USA</t>
        </is>
      </c>
      <c r="E3290" s="21" t="n">
        <v>96</v>
      </c>
      <c r="F3290" s="21" t="inlineStr">
        <is>
          <t>English</t>
        </is>
      </c>
      <c r="G3290" s="21" t="inlineStr">
        <is>
          <t>R</t>
        </is>
      </c>
      <c r="H3290" s="22" t="n">
        <v>5005</v>
      </c>
      <c r="I3290" s="22" t="n">
        <v>3000000</v>
      </c>
      <c r="J3290" s="21">
        <f>IF(OR(H3290="",H3290=25529689.5),"Yes","No")</f>
        <v/>
      </c>
      <c r="K3290" s="21">
        <f>IF(AND(D3290="USA",C3290&gt;=1980,J3290="No"),"Yes","No")</f>
        <v/>
      </c>
      <c r="L3290" s="26">
        <f>IF(J3290="Yes","",H3290-I3290)</f>
        <v/>
      </c>
      <c r="M3290" s="27">
        <f>IF(OR(J3290="Yes",I3290=0),"",H3290/I3290)</f>
        <v/>
      </c>
      <c r="N3290" s="21">
        <f>IF(J3290="Yes","",IF(H3290&gt;=I3290,1,0))</f>
        <v/>
      </c>
      <c r="O3290" s="21">
        <f>IF(I3290&lt;=5000000,"Under $5M",IF(I3290&lt;=20000000,"$5M-20M",IF(I3290&lt;=50000000,"$20M-50M",IF(I3290&lt;=100000000,"$50M-100M","$100M+"))))</f>
        <v/>
      </c>
      <c r="P3290" s="21">
        <f>IF(E3290&lt;=90,"90 or less",IF(E3290&lt;=105,"91-105",IF(E3290&lt;=120,"106-120",IF(E3290&lt;=140,"121-140","Over 140"))))</f>
        <v/>
      </c>
      <c r="Q3290" s="28">
        <f>INT(C3290/10)*10</f>
        <v/>
      </c>
    </row>
    <row r="3291">
      <c r="A3291" s="21" t="n">
        <v>3358</v>
      </c>
      <c r="B3291" s="21" t="inlineStr">
        <is>
          <t>Terminator Salvation</t>
        </is>
      </c>
      <c r="C3291" s="21" t="n">
        <v>2009</v>
      </c>
      <c r="D3291" s="21" t="inlineStr">
        <is>
          <t>USA</t>
        </is>
      </c>
      <c r="E3291" s="21" t="n">
        <v>118</v>
      </c>
      <c r="F3291" s="21" t="inlineStr">
        <is>
          <t>English</t>
        </is>
      </c>
      <c r="G3291" s="21" t="inlineStr">
        <is>
          <t>PG-13</t>
        </is>
      </c>
      <c r="H3291" s="22" t="n">
        <v>125320003</v>
      </c>
      <c r="I3291" s="22" t="n">
        <v>200000000</v>
      </c>
      <c r="J3291" s="21">
        <f>IF(OR(H3291="",H3291=25529689.5),"Yes","No")</f>
        <v/>
      </c>
      <c r="K3291" s="21">
        <f>IF(AND(D3291="USA",C3291&gt;=1980,J3291="No"),"Yes","No")</f>
        <v/>
      </c>
      <c r="L3291" s="26">
        <f>IF(J3291="Yes","",H3291-I3291)</f>
        <v/>
      </c>
      <c r="M3291" s="27">
        <f>IF(OR(J3291="Yes",I3291=0),"",H3291/I3291)</f>
        <v/>
      </c>
      <c r="N3291" s="21">
        <f>IF(J3291="Yes","",IF(H3291&gt;=I3291,1,0))</f>
        <v/>
      </c>
      <c r="O3291" s="21">
        <f>IF(I3291&lt;=5000000,"Under $5M",IF(I3291&lt;=20000000,"$5M-20M",IF(I3291&lt;=50000000,"$20M-50M",IF(I3291&lt;=100000000,"$50M-100M","$100M+"))))</f>
        <v/>
      </c>
      <c r="P3291" s="21">
        <f>IF(E3291&lt;=90,"90 or less",IF(E3291&lt;=105,"91-105",IF(E3291&lt;=120,"106-120",IF(E3291&lt;=140,"121-140","Over 140"))))</f>
        <v/>
      </c>
      <c r="Q3291" s="28">
        <f>INT(C3291/10)*10</f>
        <v/>
      </c>
    </row>
    <row r="3292">
      <c r="A3292" s="21" t="n">
        <v>3359</v>
      </c>
      <c r="B3292" s="21" t="inlineStr">
        <is>
          <t>The Blind Side</t>
        </is>
      </c>
      <c r="C3292" s="21" t="n">
        <v>2009</v>
      </c>
      <c r="D3292" s="21" t="inlineStr">
        <is>
          <t>USA</t>
        </is>
      </c>
      <c r="E3292" s="21" t="n">
        <v>129</v>
      </c>
      <c r="F3292" s="21" t="inlineStr">
        <is>
          <t>English</t>
        </is>
      </c>
      <c r="G3292" s="21" t="inlineStr">
        <is>
          <t>PG-13</t>
        </is>
      </c>
      <c r="H3292" s="22" t="n">
        <v>255950375</v>
      </c>
      <c r="I3292" s="22" t="n">
        <v>29000000</v>
      </c>
      <c r="J3292" s="21">
        <f>IF(OR(H3292="",H3292=25529689.5),"Yes","No")</f>
        <v/>
      </c>
      <c r="K3292" s="21">
        <f>IF(AND(D3292="USA",C3292&gt;=1980,J3292="No"),"Yes","No")</f>
        <v/>
      </c>
      <c r="L3292" s="26">
        <f>IF(J3292="Yes","",H3292-I3292)</f>
        <v/>
      </c>
      <c r="M3292" s="27">
        <f>IF(OR(J3292="Yes",I3292=0),"",H3292/I3292)</f>
        <v/>
      </c>
      <c r="N3292" s="21">
        <f>IF(J3292="Yes","",IF(H3292&gt;=I3292,1,0))</f>
        <v/>
      </c>
      <c r="O3292" s="21">
        <f>IF(I3292&lt;=5000000,"Under $5M",IF(I3292&lt;=20000000,"$5M-20M",IF(I3292&lt;=50000000,"$20M-50M",IF(I3292&lt;=100000000,"$50M-100M","$100M+"))))</f>
        <v/>
      </c>
      <c r="P3292" s="21">
        <f>IF(E3292&lt;=90,"90 or less",IF(E3292&lt;=105,"91-105",IF(E3292&lt;=120,"106-120",IF(E3292&lt;=140,"121-140","Over 140"))))</f>
        <v/>
      </c>
      <c r="Q3292" s="28">
        <f>INT(C3292/10)*10</f>
        <v/>
      </c>
    </row>
    <row r="3293">
      <c r="A3293" s="21" t="n">
        <v>3360</v>
      </c>
      <c r="B3293" s="21" t="inlineStr">
        <is>
          <t>The Boondock Saints II: All Saints Day</t>
        </is>
      </c>
      <c r="C3293" s="21" t="n">
        <v>2009</v>
      </c>
      <c r="D3293" s="21" t="inlineStr">
        <is>
          <t>USA</t>
        </is>
      </c>
      <c r="E3293" s="21" t="n">
        <v>138</v>
      </c>
      <c r="F3293" s="21" t="inlineStr">
        <is>
          <t>English</t>
        </is>
      </c>
      <c r="G3293" s="21" t="inlineStr">
        <is>
          <t>R</t>
        </is>
      </c>
      <c r="H3293" s="22" t="n">
        <v>10269307</v>
      </c>
      <c r="I3293" s="22" t="n">
        <v>8000000</v>
      </c>
      <c r="J3293" s="21">
        <f>IF(OR(H3293="",H3293=25529689.5),"Yes","No")</f>
        <v/>
      </c>
      <c r="K3293" s="21">
        <f>IF(AND(D3293="USA",C3293&gt;=1980,J3293="No"),"Yes","No")</f>
        <v/>
      </c>
      <c r="L3293" s="26">
        <f>IF(J3293="Yes","",H3293-I3293)</f>
        <v/>
      </c>
      <c r="M3293" s="27">
        <f>IF(OR(J3293="Yes",I3293=0),"",H3293/I3293)</f>
        <v/>
      </c>
      <c r="N3293" s="21">
        <f>IF(J3293="Yes","",IF(H3293&gt;=I3293,1,0))</f>
        <v/>
      </c>
      <c r="O3293" s="21">
        <f>IF(I3293&lt;=5000000,"Under $5M",IF(I3293&lt;=20000000,"$5M-20M",IF(I3293&lt;=50000000,"$20M-50M",IF(I3293&lt;=100000000,"$50M-100M","$100M+"))))</f>
        <v/>
      </c>
      <c r="P3293" s="21">
        <f>IF(E3293&lt;=90,"90 or less",IF(E3293&lt;=105,"91-105",IF(E3293&lt;=120,"106-120",IF(E3293&lt;=140,"121-140","Over 140"))))</f>
        <v/>
      </c>
      <c r="Q3293" s="28">
        <f>INT(C3293/10)*10</f>
        <v/>
      </c>
    </row>
    <row r="3294">
      <c r="A3294" s="21" t="n">
        <v>3361</v>
      </c>
      <c r="B3294" s="21" t="inlineStr">
        <is>
          <t>The Box</t>
        </is>
      </c>
      <c r="C3294" s="21" t="n">
        <v>2009</v>
      </c>
      <c r="D3294" s="21" t="inlineStr">
        <is>
          <t>USA</t>
        </is>
      </c>
      <c r="E3294" s="21" t="n">
        <v>115</v>
      </c>
      <c r="F3294" s="21" t="inlineStr">
        <is>
          <t>English</t>
        </is>
      </c>
      <c r="G3294" s="21" t="inlineStr">
        <is>
          <t>PG-13</t>
        </is>
      </c>
      <c r="H3294" s="22" t="n">
        <v>15045676</v>
      </c>
      <c r="I3294" s="22" t="n">
        <v>16000000</v>
      </c>
      <c r="J3294" s="21">
        <f>IF(OR(H3294="",H3294=25529689.5),"Yes","No")</f>
        <v/>
      </c>
      <c r="K3294" s="21">
        <f>IF(AND(D3294="USA",C3294&gt;=1980,J3294="No"),"Yes","No")</f>
        <v/>
      </c>
      <c r="L3294" s="26">
        <f>IF(J3294="Yes","",H3294-I3294)</f>
        <v/>
      </c>
      <c r="M3294" s="27">
        <f>IF(OR(J3294="Yes",I3294=0),"",H3294/I3294)</f>
        <v/>
      </c>
      <c r="N3294" s="21">
        <f>IF(J3294="Yes","",IF(H3294&gt;=I3294,1,0))</f>
        <v/>
      </c>
      <c r="O3294" s="21">
        <f>IF(I3294&lt;=5000000,"Under $5M",IF(I3294&lt;=20000000,"$5M-20M",IF(I3294&lt;=50000000,"$20M-50M",IF(I3294&lt;=100000000,"$50M-100M","$100M+"))))</f>
        <v/>
      </c>
      <c r="P3294" s="21">
        <f>IF(E3294&lt;=90,"90 or less",IF(E3294&lt;=105,"91-105",IF(E3294&lt;=120,"106-120",IF(E3294&lt;=140,"121-140","Over 140"))))</f>
        <v/>
      </c>
      <c r="Q3294" s="28">
        <f>INT(C3294/10)*10</f>
        <v/>
      </c>
    </row>
    <row r="3295">
      <c r="A3295" s="21" t="n">
        <v>3362</v>
      </c>
      <c r="B3295" s="21" t="inlineStr">
        <is>
          <t>The City of Your Final Destination</t>
        </is>
      </c>
      <c r="C3295" s="21" t="n">
        <v>2009</v>
      </c>
      <c r="D3295" s="21" t="inlineStr">
        <is>
          <t>USA</t>
        </is>
      </c>
      <c r="E3295" s="21" t="n">
        <v>117</v>
      </c>
      <c r="F3295" s="21" t="inlineStr">
        <is>
          <t>English</t>
        </is>
      </c>
      <c r="G3295" s="21" t="inlineStr">
        <is>
          <t>PG-13</t>
        </is>
      </c>
      <c r="H3295" s="22" t="n">
        <v>25529689.5</v>
      </c>
      <c r="I3295" s="22" t="n">
        <v>8300000</v>
      </c>
      <c r="J3295" s="21">
        <f>IF(OR(H3295="",H3295=25529689.5),"Yes","No")</f>
        <v/>
      </c>
      <c r="K3295" s="21">
        <f>IF(AND(D3295="USA",C3295&gt;=1980,J3295="No"),"Yes","No")</f>
        <v/>
      </c>
      <c r="L3295" s="26">
        <f>IF(J3295="Yes","",H3295-I3295)</f>
        <v/>
      </c>
      <c r="M3295" s="27">
        <f>IF(OR(J3295="Yes",I3295=0),"",H3295/I3295)</f>
        <v/>
      </c>
      <c r="N3295" s="21">
        <f>IF(J3295="Yes","",IF(H3295&gt;=I3295,1,0))</f>
        <v/>
      </c>
      <c r="O3295" s="21">
        <f>IF(I3295&lt;=5000000,"Under $5M",IF(I3295&lt;=20000000,"$5M-20M",IF(I3295&lt;=50000000,"$20M-50M",IF(I3295&lt;=100000000,"$50M-100M","$100M+"))))</f>
        <v/>
      </c>
      <c r="P3295" s="21">
        <f>IF(E3295&lt;=90,"90 or less",IF(E3295&lt;=105,"91-105",IF(E3295&lt;=120,"106-120",IF(E3295&lt;=140,"121-140","Over 140"))))</f>
        <v/>
      </c>
      <c r="Q3295" s="28">
        <f>INT(C3295/10)*10</f>
        <v/>
      </c>
    </row>
    <row r="3296">
      <c r="A3296" s="21" t="n">
        <v>3363</v>
      </c>
      <c r="B3296" s="21" t="inlineStr">
        <is>
          <t>The Cry of the Owl</t>
        </is>
      </c>
      <c r="C3296" s="21" t="n">
        <v>2009</v>
      </c>
      <c r="D3296" s="21" t="inlineStr">
        <is>
          <t>UK</t>
        </is>
      </c>
      <c r="E3296" s="21" t="n">
        <v>100</v>
      </c>
      <c r="F3296" s="21" t="inlineStr">
        <is>
          <t>English</t>
        </is>
      </c>
      <c r="G3296" s="21" t="inlineStr">
        <is>
          <t>R</t>
        </is>
      </c>
      <c r="H3296" s="22" t="n">
        <v>25529689.5</v>
      </c>
      <c r="I3296" s="22" t="n">
        <v>11500000</v>
      </c>
      <c r="J3296" s="21">
        <f>IF(OR(H3296="",H3296=25529689.5),"Yes","No")</f>
        <v/>
      </c>
      <c r="K3296" s="21">
        <f>IF(AND(D3296="USA",C3296&gt;=1980,J3296="No"),"Yes","No")</f>
        <v/>
      </c>
      <c r="L3296" s="26">
        <f>IF(J3296="Yes","",H3296-I3296)</f>
        <v/>
      </c>
      <c r="M3296" s="27">
        <f>IF(OR(J3296="Yes",I3296=0),"",H3296/I3296)</f>
        <v/>
      </c>
      <c r="N3296" s="21">
        <f>IF(J3296="Yes","",IF(H3296&gt;=I3296,1,0))</f>
        <v/>
      </c>
      <c r="O3296" s="21">
        <f>IF(I3296&lt;=5000000,"Under $5M",IF(I3296&lt;=20000000,"$5M-20M",IF(I3296&lt;=50000000,"$20M-50M",IF(I3296&lt;=100000000,"$50M-100M","$100M+"))))</f>
        <v/>
      </c>
      <c r="P3296" s="21">
        <f>IF(E3296&lt;=90,"90 or less",IF(E3296&lt;=105,"91-105",IF(E3296&lt;=120,"106-120",IF(E3296&lt;=140,"121-140","Over 140"))))</f>
        <v/>
      </c>
      <c r="Q3296" s="28">
        <f>INT(C3296/10)*10</f>
        <v/>
      </c>
    </row>
    <row r="3297">
      <c r="A3297" s="21" t="n">
        <v>3364</v>
      </c>
      <c r="B3297" s="21" t="inlineStr">
        <is>
          <t>The Damned United</t>
        </is>
      </c>
      <c r="C3297" s="21" t="n">
        <v>2009</v>
      </c>
      <c r="D3297" s="21" t="inlineStr">
        <is>
          <t>UK</t>
        </is>
      </c>
      <c r="E3297" s="21" t="n">
        <v>98</v>
      </c>
      <c r="F3297" s="21" t="inlineStr">
        <is>
          <t>English</t>
        </is>
      </c>
      <c r="G3297" s="21" t="inlineStr">
        <is>
          <t>R</t>
        </is>
      </c>
      <c r="H3297" s="22" t="n">
        <v>449558</v>
      </c>
      <c r="I3297" s="22" t="n">
        <v>10000000</v>
      </c>
      <c r="J3297" s="21">
        <f>IF(OR(H3297="",H3297=25529689.5),"Yes","No")</f>
        <v/>
      </c>
      <c r="K3297" s="21">
        <f>IF(AND(D3297="USA",C3297&gt;=1980,J3297="No"),"Yes","No")</f>
        <v/>
      </c>
      <c r="L3297" s="26">
        <f>IF(J3297="Yes","",H3297-I3297)</f>
        <v/>
      </c>
      <c r="M3297" s="27">
        <f>IF(OR(J3297="Yes",I3297=0),"",H3297/I3297)</f>
        <v/>
      </c>
      <c r="N3297" s="21">
        <f>IF(J3297="Yes","",IF(H3297&gt;=I3297,1,0))</f>
        <v/>
      </c>
      <c r="O3297" s="21">
        <f>IF(I3297&lt;=5000000,"Under $5M",IF(I3297&lt;=20000000,"$5M-20M",IF(I3297&lt;=50000000,"$20M-50M",IF(I3297&lt;=100000000,"$50M-100M","$100M+"))))</f>
        <v/>
      </c>
      <c r="P3297" s="21">
        <f>IF(E3297&lt;=90,"90 or less",IF(E3297&lt;=105,"91-105",IF(E3297&lt;=120,"106-120",IF(E3297&lt;=140,"121-140","Over 140"))))</f>
        <v/>
      </c>
      <c r="Q3297" s="28">
        <f>INT(C3297/10)*10</f>
        <v/>
      </c>
    </row>
    <row r="3298">
      <c r="A3298" s="21" t="n">
        <v>3365</v>
      </c>
      <c r="B3298" s="21" t="inlineStr">
        <is>
          <t>The Deported</t>
        </is>
      </c>
      <c r="C3298" s="21" t="n">
        <v>2009</v>
      </c>
      <c r="D3298" s="21" t="inlineStr">
        <is>
          <t>USA</t>
        </is>
      </c>
      <c r="E3298" s="21" t="n">
        <v>90</v>
      </c>
      <c r="F3298" s="21" t="inlineStr">
        <is>
          <t>English</t>
        </is>
      </c>
      <c r="G3298" s="21" t="inlineStr">
        <is>
          <t>PG-13</t>
        </is>
      </c>
      <c r="H3298" s="22" t="n">
        <v>25529689.5</v>
      </c>
      <c r="I3298" s="22" t="n">
        <v>3000000</v>
      </c>
      <c r="J3298" s="21">
        <f>IF(OR(H3298="",H3298=25529689.5),"Yes","No")</f>
        <v/>
      </c>
      <c r="K3298" s="21">
        <f>IF(AND(D3298="USA",C3298&gt;=1980,J3298="No"),"Yes","No")</f>
        <v/>
      </c>
      <c r="L3298" s="26">
        <f>IF(J3298="Yes","",H3298-I3298)</f>
        <v/>
      </c>
      <c r="M3298" s="27">
        <f>IF(OR(J3298="Yes",I3298=0),"",H3298/I3298)</f>
        <v/>
      </c>
      <c r="N3298" s="21">
        <f>IF(J3298="Yes","",IF(H3298&gt;=I3298,1,0))</f>
        <v/>
      </c>
      <c r="O3298" s="21">
        <f>IF(I3298&lt;=5000000,"Under $5M",IF(I3298&lt;=20000000,"$5M-20M",IF(I3298&lt;=50000000,"$20M-50M",IF(I3298&lt;=100000000,"$50M-100M","$100M+"))))</f>
        <v/>
      </c>
      <c r="P3298" s="21">
        <f>IF(E3298&lt;=90,"90 or less",IF(E3298&lt;=105,"91-105",IF(E3298&lt;=120,"106-120",IF(E3298&lt;=140,"121-140","Over 140"))))</f>
        <v/>
      </c>
      <c r="Q3298" s="28">
        <f>INT(C3298/10)*10</f>
        <v/>
      </c>
    </row>
    <row r="3299">
      <c r="A3299" s="21" t="n">
        <v>3366</v>
      </c>
      <c r="B3299" s="21" t="inlineStr">
        <is>
          <t>The Devil's Tomb</t>
        </is>
      </c>
      <c r="C3299" s="21" t="n">
        <v>2009</v>
      </c>
      <c r="D3299" s="21" t="inlineStr">
        <is>
          <t>USA</t>
        </is>
      </c>
      <c r="E3299" s="21" t="n">
        <v>90</v>
      </c>
      <c r="F3299" s="21" t="inlineStr">
        <is>
          <t>English</t>
        </is>
      </c>
      <c r="G3299" s="21" t="inlineStr">
        <is>
          <t>R</t>
        </is>
      </c>
      <c r="H3299" s="22" t="n">
        <v>25529689.5</v>
      </c>
      <c r="I3299" s="22" t="n">
        <v>10000000</v>
      </c>
      <c r="J3299" s="21">
        <f>IF(OR(H3299="",H3299=25529689.5),"Yes","No")</f>
        <v/>
      </c>
      <c r="K3299" s="21">
        <f>IF(AND(D3299="USA",C3299&gt;=1980,J3299="No"),"Yes","No")</f>
        <v/>
      </c>
      <c r="L3299" s="26">
        <f>IF(J3299="Yes","",H3299-I3299)</f>
        <v/>
      </c>
      <c r="M3299" s="27">
        <f>IF(OR(J3299="Yes",I3299=0),"",H3299/I3299)</f>
        <v/>
      </c>
      <c r="N3299" s="21">
        <f>IF(J3299="Yes","",IF(H3299&gt;=I3299,1,0))</f>
        <v/>
      </c>
      <c r="O3299" s="21">
        <f>IF(I3299&lt;=5000000,"Under $5M",IF(I3299&lt;=20000000,"$5M-20M",IF(I3299&lt;=50000000,"$20M-50M",IF(I3299&lt;=100000000,"$50M-100M","$100M+"))))</f>
        <v/>
      </c>
      <c r="P3299" s="21">
        <f>IF(E3299&lt;=90,"90 or less",IF(E3299&lt;=105,"91-105",IF(E3299&lt;=120,"106-120",IF(E3299&lt;=140,"121-140","Over 140"))))</f>
        <v/>
      </c>
      <c r="Q3299" s="28">
        <f>INT(C3299/10)*10</f>
        <v/>
      </c>
    </row>
    <row r="3300">
      <c r="A3300" s="21" t="n">
        <v>3367</v>
      </c>
      <c r="B3300" s="21" t="inlineStr">
        <is>
          <t>The Eclipse</t>
        </is>
      </c>
      <c r="C3300" s="21" t="n">
        <v>2009</v>
      </c>
      <c r="D3300" s="21" t="inlineStr">
        <is>
          <t>Ireland</t>
        </is>
      </c>
      <c r="E3300" s="21" t="n">
        <v>86</v>
      </c>
      <c r="F3300" s="21" t="inlineStr">
        <is>
          <t>English</t>
        </is>
      </c>
      <c r="G3300" s="21" t="inlineStr">
        <is>
          <t>R</t>
        </is>
      </c>
      <c r="H3300" s="22" t="n">
        <v>128937</v>
      </c>
      <c r="I3300" s="22" t="n">
        <v>20000000</v>
      </c>
      <c r="J3300" s="21">
        <f>IF(OR(H3300="",H3300=25529689.5),"Yes","No")</f>
        <v/>
      </c>
      <c r="K3300" s="21">
        <f>IF(AND(D3300="USA",C3300&gt;=1980,J3300="No"),"Yes","No")</f>
        <v/>
      </c>
      <c r="L3300" s="26">
        <f>IF(J3300="Yes","",H3300-I3300)</f>
        <v/>
      </c>
      <c r="M3300" s="27">
        <f>IF(OR(J3300="Yes",I3300=0),"",H3300/I3300)</f>
        <v/>
      </c>
      <c r="N3300" s="21">
        <f>IF(J3300="Yes","",IF(H3300&gt;=I3300,1,0))</f>
        <v/>
      </c>
      <c r="O3300" s="21">
        <f>IF(I3300&lt;=5000000,"Under $5M",IF(I3300&lt;=20000000,"$5M-20M",IF(I3300&lt;=50000000,"$20M-50M",IF(I3300&lt;=100000000,"$50M-100M","$100M+"))))</f>
        <v/>
      </c>
      <c r="P3300" s="21">
        <f>IF(E3300&lt;=90,"90 or less",IF(E3300&lt;=105,"91-105",IF(E3300&lt;=120,"106-120",IF(E3300&lt;=140,"121-140","Over 140"))))</f>
        <v/>
      </c>
      <c r="Q3300" s="28">
        <f>INT(C3300/10)*10</f>
        <v/>
      </c>
    </row>
    <row r="3301">
      <c r="A3301" s="21" t="n">
        <v>3368</v>
      </c>
      <c r="B3301" s="21" t="inlineStr">
        <is>
          <t>The Exploding Girl</t>
        </is>
      </c>
      <c r="C3301" s="21" t="n">
        <v>2009</v>
      </c>
      <c r="D3301" s="21" t="inlineStr">
        <is>
          <t>USA</t>
        </is>
      </c>
      <c r="E3301" s="21" t="n">
        <v>79</v>
      </c>
      <c r="F3301" s="21" t="inlineStr">
        <is>
          <t>English</t>
        </is>
      </c>
      <c r="G3301" s="21" t="inlineStr">
        <is>
          <t>Unrated</t>
        </is>
      </c>
      <c r="H3301" s="22" t="n">
        <v>24705</v>
      </c>
      <c r="I3301" s="22" t="n">
        <v>20000000</v>
      </c>
      <c r="J3301" s="21">
        <f>IF(OR(H3301="",H3301=25529689.5),"Yes","No")</f>
        <v/>
      </c>
      <c r="K3301" s="21">
        <f>IF(AND(D3301="USA",C3301&gt;=1980,J3301="No"),"Yes","No")</f>
        <v/>
      </c>
      <c r="L3301" s="26">
        <f>IF(J3301="Yes","",H3301-I3301)</f>
        <v/>
      </c>
      <c r="M3301" s="27">
        <f>IF(OR(J3301="Yes",I3301=0),"",H3301/I3301)</f>
        <v/>
      </c>
      <c r="N3301" s="21">
        <f>IF(J3301="Yes","",IF(H3301&gt;=I3301,1,0))</f>
        <v/>
      </c>
      <c r="O3301" s="21">
        <f>IF(I3301&lt;=5000000,"Under $5M",IF(I3301&lt;=20000000,"$5M-20M",IF(I3301&lt;=50000000,"$20M-50M",IF(I3301&lt;=100000000,"$50M-100M","$100M+"))))</f>
        <v/>
      </c>
      <c r="P3301" s="21">
        <f>IF(E3301&lt;=90,"90 or less",IF(E3301&lt;=105,"91-105",IF(E3301&lt;=120,"106-120",IF(E3301&lt;=140,"121-140","Over 140"))))</f>
        <v/>
      </c>
      <c r="Q3301" s="28">
        <f>INT(C3301/10)*10</f>
        <v/>
      </c>
    </row>
    <row r="3302">
      <c r="A3302" s="21" t="n">
        <v>3369</v>
      </c>
      <c r="B3302" s="21" t="inlineStr">
        <is>
          <t>The Final Destination</t>
        </is>
      </c>
      <c r="C3302" s="21" t="n">
        <v>2009</v>
      </c>
      <c r="D3302" s="21" t="inlineStr">
        <is>
          <t>USA</t>
        </is>
      </c>
      <c r="E3302" s="21" t="n">
        <v>82</v>
      </c>
      <c r="F3302" s="21" t="inlineStr">
        <is>
          <t>English</t>
        </is>
      </c>
      <c r="G3302" s="21" t="inlineStr">
        <is>
          <t>R</t>
        </is>
      </c>
      <c r="H3302" s="22" t="n">
        <v>66466372</v>
      </c>
      <c r="I3302" s="22" t="n">
        <v>40000000</v>
      </c>
      <c r="J3302" s="21">
        <f>IF(OR(H3302="",H3302=25529689.5),"Yes","No")</f>
        <v/>
      </c>
      <c r="K3302" s="21">
        <f>IF(AND(D3302="USA",C3302&gt;=1980,J3302="No"),"Yes","No")</f>
        <v/>
      </c>
      <c r="L3302" s="26">
        <f>IF(J3302="Yes","",H3302-I3302)</f>
        <v/>
      </c>
      <c r="M3302" s="27">
        <f>IF(OR(J3302="Yes",I3302=0),"",H3302/I3302)</f>
        <v/>
      </c>
      <c r="N3302" s="21">
        <f>IF(J3302="Yes","",IF(H3302&gt;=I3302,1,0))</f>
        <v/>
      </c>
      <c r="O3302" s="21">
        <f>IF(I3302&lt;=5000000,"Under $5M",IF(I3302&lt;=20000000,"$5M-20M",IF(I3302&lt;=50000000,"$20M-50M",IF(I3302&lt;=100000000,"$50M-100M","$100M+"))))</f>
        <v/>
      </c>
      <c r="P3302" s="21">
        <f>IF(E3302&lt;=90,"90 or less",IF(E3302&lt;=105,"91-105",IF(E3302&lt;=120,"106-120",IF(E3302&lt;=140,"121-140","Over 140"))))</f>
        <v/>
      </c>
      <c r="Q3302" s="28">
        <f>INT(C3302/10)*10</f>
        <v/>
      </c>
    </row>
    <row r="3303">
      <c r="A3303" s="21" t="n">
        <v>3370</v>
      </c>
      <c r="B3303" s="21" t="inlineStr">
        <is>
          <t>The Fourth Kind</t>
        </is>
      </c>
      <c r="C3303" s="21" t="n">
        <v>2009</v>
      </c>
      <c r="D3303" s="21" t="inlineStr">
        <is>
          <t>USA</t>
        </is>
      </c>
      <c r="E3303" s="21" t="n">
        <v>98</v>
      </c>
      <c r="F3303" s="21" t="inlineStr">
        <is>
          <t>English</t>
        </is>
      </c>
      <c r="G3303" s="21" t="inlineStr">
        <is>
          <t>PG-13</t>
        </is>
      </c>
      <c r="H3303" s="22" t="n">
        <v>25464480</v>
      </c>
      <c r="I3303" s="22" t="n">
        <v>10000000</v>
      </c>
      <c r="J3303" s="21">
        <f>IF(OR(H3303="",H3303=25529689.5),"Yes","No")</f>
        <v/>
      </c>
      <c r="K3303" s="21">
        <f>IF(AND(D3303="USA",C3303&gt;=1980,J3303="No"),"Yes","No")</f>
        <v/>
      </c>
      <c r="L3303" s="26">
        <f>IF(J3303="Yes","",H3303-I3303)</f>
        <v/>
      </c>
      <c r="M3303" s="27">
        <f>IF(OR(J3303="Yes",I3303=0),"",H3303/I3303)</f>
        <v/>
      </c>
      <c r="N3303" s="21">
        <f>IF(J3303="Yes","",IF(H3303&gt;=I3303,1,0))</f>
        <v/>
      </c>
      <c r="O3303" s="21">
        <f>IF(I3303&lt;=5000000,"Under $5M",IF(I3303&lt;=20000000,"$5M-20M",IF(I3303&lt;=50000000,"$20M-50M",IF(I3303&lt;=100000000,"$50M-100M","$100M+"))))</f>
        <v/>
      </c>
      <c r="P3303" s="21">
        <f>IF(E3303&lt;=90,"90 or less",IF(E3303&lt;=105,"91-105",IF(E3303&lt;=120,"106-120",IF(E3303&lt;=140,"121-140","Over 140"))))</f>
        <v/>
      </c>
      <c r="Q3303" s="28">
        <f>INT(C3303/10)*10</f>
        <v/>
      </c>
    </row>
    <row r="3304">
      <c r="A3304" s="21" t="n">
        <v>3371</v>
      </c>
      <c r="B3304" s="21" t="inlineStr">
        <is>
          <t>The Girl on the Train</t>
        </is>
      </c>
      <c r="C3304" s="21" t="n">
        <v>2009</v>
      </c>
      <c r="D3304" s="21" t="inlineStr">
        <is>
          <t>France</t>
        </is>
      </c>
      <c r="E3304" s="21" t="n">
        <v>105</v>
      </c>
      <c r="F3304" s="21" t="inlineStr">
        <is>
          <t>French</t>
        </is>
      </c>
      <c r="G3304" s="21" t="inlineStr">
        <is>
          <t>Unrated</t>
        </is>
      </c>
      <c r="H3304" s="22" t="n">
        <v>2874</v>
      </c>
      <c r="I3304" s="22" t="n">
        <v>20000000</v>
      </c>
      <c r="J3304" s="21">
        <f>IF(OR(H3304="",H3304=25529689.5),"Yes","No")</f>
        <v/>
      </c>
      <c r="K3304" s="21">
        <f>IF(AND(D3304="USA",C3304&gt;=1980,J3304="No"),"Yes","No")</f>
        <v/>
      </c>
      <c r="L3304" s="26">
        <f>IF(J3304="Yes","",H3304-I3304)</f>
        <v/>
      </c>
      <c r="M3304" s="27">
        <f>IF(OR(J3304="Yes",I3304=0),"",H3304/I3304)</f>
        <v/>
      </c>
      <c r="N3304" s="21">
        <f>IF(J3304="Yes","",IF(H3304&gt;=I3304,1,0))</f>
        <v/>
      </c>
      <c r="O3304" s="21">
        <f>IF(I3304&lt;=5000000,"Under $5M",IF(I3304&lt;=20000000,"$5M-20M",IF(I3304&lt;=50000000,"$20M-50M",IF(I3304&lt;=100000000,"$50M-100M","$100M+"))))</f>
        <v/>
      </c>
      <c r="P3304" s="21">
        <f>IF(E3304&lt;=90,"90 or less",IF(E3304&lt;=105,"91-105",IF(E3304&lt;=120,"106-120",IF(E3304&lt;=140,"121-140","Over 140"))))</f>
        <v/>
      </c>
      <c r="Q3304" s="28">
        <f>INT(C3304/10)*10</f>
        <v/>
      </c>
    </row>
    <row r="3305">
      <c r="A3305" s="21" t="n">
        <v>3372</v>
      </c>
      <c r="B3305" s="21" t="inlineStr">
        <is>
          <t>The Good Guy</t>
        </is>
      </c>
      <c r="C3305" s="21" t="n">
        <v>2009</v>
      </c>
      <c r="D3305" s="21" t="inlineStr">
        <is>
          <t>USA</t>
        </is>
      </c>
      <c r="E3305" s="21" t="n">
        <v>90</v>
      </c>
      <c r="F3305" s="21" t="inlineStr">
        <is>
          <t>English</t>
        </is>
      </c>
      <c r="G3305" s="21" t="inlineStr">
        <is>
          <t>R</t>
        </is>
      </c>
      <c r="H3305" s="22" t="n">
        <v>100503</v>
      </c>
      <c r="I3305" s="22" t="n">
        <v>8000000</v>
      </c>
      <c r="J3305" s="21">
        <f>IF(OR(H3305="",H3305=25529689.5),"Yes","No")</f>
        <v/>
      </c>
      <c r="K3305" s="21">
        <f>IF(AND(D3305="USA",C3305&gt;=1980,J3305="No"),"Yes","No")</f>
        <v/>
      </c>
      <c r="L3305" s="26">
        <f>IF(J3305="Yes","",H3305-I3305)</f>
        <v/>
      </c>
      <c r="M3305" s="27">
        <f>IF(OR(J3305="Yes",I3305=0),"",H3305/I3305)</f>
        <v/>
      </c>
      <c r="N3305" s="21">
        <f>IF(J3305="Yes","",IF(H3305&gt;=I3305,1,0))</f>
        <v/>
      </c>
      <c r="O3305" s="21">
        <f>IF(I3305&lt;=5000000,"Under $5M",IF(I3305&lt;=20000000,"$5M-20M",IF(I3305&lt;=50000000,"$20M-50M",IF(I3305&lt;=100000000,"$50M-100M","$100M+"))))</f>
        <v/>
      </c>
      <c r="P3305" s="21">
        <f>IF(E3305&lt;=90,"90 or less",IF(E3305&lt;=105,"91-105",IF(E3305&lt;=120,"106-120",IF(E3305&lt;=140,"121-140","Over 140"))))</f>
        <v/>
      </c>
      <c r="Q3305" s="28">
        <f>INT(C3305/10)*10</f>
        <v/>
      </c>
    </row>
    <row r="3306">
      <c r="A3306" s="21" t="n">
        <v>3373</v>
      </c>
      <c r="B3306" s="21" t="inlineStr">
        <is>
          <t>The Good Heart</t>
        </is>
      </c>
      <c r="C3306" s="21" t="n">
        <v>2009</v>
      </c>
      <c r="D3306" s="21" t="inlineStr">
        <is>
          <t>Iceland</t>
        </is>
      </c>
      <c r="E3306" s="21" t="n">
        <v>99</v>
      </c>
      <c r="F3306" s="21" t="inlineStr">
        <is>
          <t>English</t>
        </is>
      </c>
      <c r="G3306" s="21" t="inlineStr">
        <is>
          <t>R</t>
        </is>
      </c>
      <c r="H3306" s="22" t="n">
        <v>19959</v>
      </c>
      <c r="I3306" s="22" t="n">
        <v>3800000</v>
      </c>
      <c r="J3306" s="21">
        <f>IF(OR(H3306="",H3306=25529689.5),"Yes","No")</f>
        <v/>
      </c>
      <c r="K3306" s="21">
        <f>IF(AND(D3306="USA",C3306&gt;=1980,J3306="No"),"Yes","No")</f>
        <v/>
      </c>
      <c r="L3306" s="26">
        <f>IF(J3306="Yes","",H3306-I3306)</f>
        <v/>
      </c>
      <c r="M3306" s="27">
        <f>IF(OR(J3306="Yes",I3306=0),"",H3306/I3306)</f>
        <v/>
      </c>
      <c r="N3306" s="21">
        <f>IF(J3306="Yes","",IF(H3306&gt;=I3306,1,0))</f>
        <v/>
      </c>
      <c r="O3306" s="21">
        <f>IF(I3306&lt;=5000000,"Under $5M",IF(I3306&lt;=20000000,"$5M-20M",IF(I3306&lt;=50000000,"$20M-50M",IF(I3306&lt;=100000000,"$50M-100M","$100M+"))))</f>
        <v/>
      </c>
      <c r="P3306" s="21">
        <f>IF(E3306&lt;=90,"90 or less",IF(E3306&lt;=105,"91-105",IF(E3306&lt;=120,"106-120",IF(E3306&lt;=140,"121-140","Over 140"))))</f>
        <v/>
      </c>
      <c r="Q3306" s="28">
        <f>INT(C3306/10)*10</f>
        <v/>
      </c>
    </row>
    <row r="3307">
      <c r="A3307" s="21" t="n">
        <v>3374</v>
      </c>
      <c r="B3307" s="21" t="inlineStr">
        <is>
          <t>The Goods: Live Hard, Sell Hard</t>
        </is>
      </c>
      <c r="C3307" s="21" t="n">
        <v>2009</v>
      </c>
      <c r="D3307" s="21" t="inlineStr">
        <is>
          <t>USA</t>
        </is>
      </c>
      <c r="E3307" s="21" t="n">
        <v>89</v>
      </c>
      <c r="F3307" s="21" t="inlineStr">
        <is>
          <t>English</t>
        </is>
      </c>
      <c r="G3307" s="21" t="inlineStr">
        <is>
          <t>R</t>
        </is>
      </c>
      <c r="H3307" s="22" t="n">
        <v>15102127</v>
      </c>
      <c r="I3307" s="22" t="n">
        <v>20000000</v>
      </c>
      <c r="J3307" s="21">
        <f>IF(OR(H3307="",H3307=25529689.5),"Yes","No")</f>
        <v/>
      </c>
      <c r="K3307" s="21">
        <f>IF(AND(D3307="USA",C3307&gt;=1980,J3307="No"),"Yes","No")</f>
        <v/>
      </c>
      <c r="L3307" s="26">
        <f>IF(J3307="Yes","",H3307-I3307)</f>
        <v/>
      </c>
      <c r="M3307" s="27">
        <f>IF(OR(J3307="Yes",I3307=0),"",H3307/I3307)</f>
        <v/>
      </c>
      <c r="N3307" s="21">
        <f>IF(J3307="Yes","",IF(H3307&gt;=I3307,1,0))</f>
        <v/>
      </c>
      <c r="O3307" s="21">
        <f>IF(I3307&lt;=5000000,"Under $5M",IF(I3307&lt;=20000000,"$5M-20M",IF(I3307&lt;=50000000,"$20M-50M",IF(I3307&lt;=100000000,"$50M-100M","$100M+"))))</f>
        <v/>
      </c>
      <c r="P3307" s="21">
        <f>IF(E3307&lt;=90,"90 or less",IF(E3307&lt;=105,"91-105",IF(E3307&lt;=120,"106-120",IF(E3307&lt;=140,"121-140","Over 140"))))</f>
        <v/>
      </c>
      <c r="Q3307" s="28">
        <f>INT(C3307/10)*10</f>
        <v/>
      </c>
    </row>
    <row r="3308">
      <c r="A3308" s="21" t="n">
        <v>3375</v>
      </c>
      <c r="B3308" s="21" t="inlineStr">
        <is>
          <t>The Greatest</t>
        </is>
      </c>
      <c r="C3308" s="21" t="n">
        <v>2009</v>
      </c>
      <c r="D3308" s="21" t="inlineStr">
        <is>
          <t>USA</t>
        </is>
      </c>
      <c r="E3308" s="21" t="n">
        <v>96</v>
      </c>
      <c r="F3308" s="21" t="inlineStr">
        <is>
          <t>English</t>
        </is>
      </c>
      <c r="G3308" s="21" t="inlineStr">
        <is>
          <t>R</t>
        </is>
      </c>
      <c r="H3308" s="22" t="n">
        <v>115862</v>
      </c>
      <c r="I3308" s="22" t="n">
        <v>6000000</v>
      </c>
      <c r="J3308" s="21">
        <f>IF(OR(H3308="",H3308=25529689.5),"Yes","No")</f>
        <v/>
      </c>
      <c r="K3308" s="21">
        <f>IF(AND(D3308="USA",C3308&gt;=1980,J3308="No"),"Yes","No")</f>
        <v/>
      </c>
      <c r="L3308" s="26">
        <f>IF(J3308="Yes","",H3308-I3308)</f>
        <v/>
      </c>
      <c r="M3308" s="27">
        <f>IF(OR(J3308="Yes",I3308=0),"",H3308/I3308)</f>
        <v/>
      </c>
      <c r="N3308" s="21">
        <f>IF(J3308="Yes","",IF(H3308&gt;=I3308,1,0))</f>
        <v/>
      </c>
      <c r="O3308" s="21">
        <f>IF(I3308&lt;=5000000,"Under $5M",IF(I3308&lt;=20000000,"$5M-20M",IF(I3308&lt;=50000000,"$20M-50M",IF(I3308&lt;=100000000,"$50M-100M","$100M+"))))</f>
        <v/>
      </c>
      <c r="P3308" s="21">
        <f>IF(E3308&lt;=90,"90 or less",IF(E3308&lt;=105,"91-105",IF(E3308&lt;=120,"106-120",IF(E3308&lt;=140,"121-140","Over 140"))))</f>
        <v/>
      </c>
      <c r="Q3308" s="28">
        <f>INT(C3308/10)*10</f>
        <v/>
      </c>
    </row>
    <row r="3309">
      <c r="A3309" s="21" t="n">
        <v>3376</v>
      </c>
      <c r="B3309" s="21" t="inlineStr">
        <is>
          <t>The Hangover</t>
        </is>
      </c>
      <c r="C3309" s="21" t="n">
        <v>2009</v>
      </c>
      <c r="D3309" s="21" t="inlineStr">
        <is>
          <t>USA</t>
        </is>
      </c>
      <c r="E3309" s="21" t="n">
        <v>108</v>
      </c>
      <c r="F3309" s="21" t="inlineStr">
        <is>
          <t>English</t>
        </is>
      </c>
      <c r="G3309" s="21" t="inlineStr">
        <is>
          <t>R</t>
        </is>
      </c>
      <c r="H3309" s="22" t="n">
        <v>277313371</v>
      </c>
      <c r="I3309" s="22" t="n">
        <v>35000000</v>
      </c>
      <c r="J3309" s="21">
        <f>IF(OR(H3309="",H3309=25529689.5),"Yes","No")</f>
        <v/>
      </c>
      <c r="K3309" s="21">
        <f>IF(AND(D3309="USA",C3309&gt;=1980,J3309="No"),"Yes","No")</f>
        <v/>
      </c>
      <c r="L3309" s="26">
        <f>IF(J3309="Yes","",H3309-I3309)</f>
        <v/>
      </c>
      <c r="M3309" s="27">
        <f>IF(OR(J3309="Yes",I3309=0),"",H3309/I3309)</f>
        <v/>
      </c>
      <c r="N3309" s="21">
        <f>IF(J3309="Yes","",IF(H3309&gt;=I3309,1,0))</f>
        <v/>
      </c>
      <c r="O3309" s="21">
        <f>IF(I3309&lt;=5000000,"Under $5M",IF(I3309&lt;=20000000,"$5M-20M",IF(I3309&lt;=50000000,"$20M-50M",IF(I3309&lt;=100000000,"$50M-100M","$100M+"))))</f>
        <v/>
      </c>
      <c r="P3309" s="21">
        <f>IF(E3309&lt;=90,"90 or less",IF(E3309&lt;=105,"91-105",IF(E3309&lt;=120,"106-120",IF(E3309&lt;=140,"121-140","Over 140"))))</f>
        <v/>
      </c>
      <c r="Q3309" s="28">
        <f>INT(C3309/10)*10</f>
        <v/>
      </c>
    </row>
    <row r="3310">
      <c r="A3310" s="21" t="n">
        <v>3377</v>
      </c>
      <c r="B3310" s="21" t="inlineStr">
        <is>
          <t>The Hole</t>
        </is>
      </c>
      <c r="C3310" s="21" t="n">
        <v>2009</v>
      </c>
      <c r="D3310" s="21" t="inlineStr">
        <is>
          <t>USA</t>
        </is>
      </c>
      <c r="E3310" s="21" t="n">
        <v>92</v>
      </c>
      <c r="F3310" s="21" t="inlineStr">
        <is>
          <t>English</t>
        </is>
      </c>
      <c r="G3310" s="21" t="inlineStr">
        <is>
          <t>PG-13</t>
        </is>
      </c>
      <c r="H3310" s="22" t="n">
        <v>25529689.5</v>
      </c>
      <c r="I3310" s="22" t="n">
        <v>12000000</v>
      </c>
      <c r="J3310" s="21">
        <f>IF(OR(H3310="",H3310=25529689.5),"Yes","No")</f>
        <v/>
      </c>
      <c r="K3310" s="21">
        <f>IF(AND(D3310="USA",C3310&gt;=1980,J3310="No"),"Yes","No")</f>
        <v/>
      </c>
      <c r="L3310" s="26">
        <f>IF(J3310="Yes","",H3310-I3310)</f>
        <v/>
      </c>
      <c r="M3310" s="27">
        <f>IF(OR(J3310="Yes",I3310=0),"",H3310/I3310)</f>
        <v/>
      </c>
      <c r="N3310" s="21">
        <f>IF(J3310="Yes","",IF(H3310&gt;=I3310,1,0))</f>
        <v/>
      </c>
      <c r="O3310" s="21">
        <f>IF(I3310&lt;=5000000,"Under $5M",IF(I3310&lt;=20000000,"$5M-20M",IF(I3310&lt;=50000000,"$20M-50M",IF(I3310&lt;=100000000,"$50M-100M","$100M+"))))</f>
        <v/>
      </c>
      <c r="P3310" s="21">
        <f>IF(E3310&lt;=90,"90 or less",IF(E3310&lt;=105,"91-105",IF(E3310&lt;=120,"106-120",IF(E3310&lt;=140,"121-140","Over 140"))))</f>
        <v/>
      </c>
      <c r="Q3310" s="28">
        <f>INT(C3310/10)*10</f>
        <v/>
      </c>
    </row>
    <row r="3311">
      <c r="A3311" s="21" t="n">
        <v>3378</v>
      </c>
      <c r="B3311" s="21" t="inlineStr">
        <is>
          <t>The Horse Boy</t>
        </is>
      </c>
      <c r="C3311" s="21" t="n">
        <v>2009</v>
      </c>
      <c r="D3311" s="21" t="inlineStr">
        <is>
          <t>USA</t>
        </is>
      </c>
      <c r="E3311" s="21" t="n">
        <v>93</v>
      </c>
      <c r="F3311" s="21" t="inlineStr">
        <is>
          <t>English</t>
        </is>
      </c>
      <c r="G3311" s="21" t="inlineStr">
        <is>
          <t>Unrated</t>
        </is>
      </c>
      <c r="H3311" s="22" t="n">
        <v>155984</v>
      </c>
      <c r="I3311" s="22" t="n">
        <v>160000</v>
      </c>
      <c r="J3311" s="21">
        <f>IF(OR(H3311="",H3311=25529689.5),"Yes","No")</f>
        <v/>
      </c>
      <c r="K3311" s="21">
        <f>IF(AND(D3311="USA",C3311&gt;=1980,J3311="No"),"Yes","No")</f>
        <v/>
      </c>
      <c r="L3311" s="26">
        <f>IF(J3311="Yes","",H3311-I3311)</f>
        <v/>
      </c>
      <c r="M3311" s="27">
        <f>IF(OR(J3311="Yes",I3311=0),"",H3311/I3311)</f>
        <v/>
      </c>
      <c r="N3311" s="21">
        <f>IF(J3311="Yes","",IF(H3311&gt;=I3311,1,0))</f>
        <v/>
      </c>
      <c r="O3311" s="21">
        <f>IF(I3311&lt;=5000000,"Under $5M",IF(I3311&lt;=20000000,"$5M-20M",IF(I3311&lt;=50000000,"$20M-50M",IF(I3311&lt;=100000000,"$50M-100M","$100M+"))))</f>
        <v/>
      </c>
      <c r="P3311" s="21">
        <f>IF(E3311&lt;=90,"90 or less",IF(E3311&lt;=105,"91-105",IF(E3311&lt;=120,"106-120",IF(E3311&lt;=140,"121-140","Over 140"))))</f>
        <v/>
      </c>
      <c r="Q3311" s="28">
        <f>INT(C3311/10)*10</f>
        <v/>
      </c>
    </row>
    <row r="3312">
      <c r="A3312" s="21" t="n">
        <v>3379</v>
      </c>
      <c r="B3312" s="21" t="inlineStr">
        <is>
          <t>The House of the Devil</t>
        </is>
      </c>
      <c r="C3312" s="21" t="n">
        <v>2009</v>
      </c>
      <c r="D3312" s="21" t="inlineStr">
        <is>
          <t>USA</t>
        </is>
      </c>
      <c r="E3312" s="21" t="n">
        <v>95</v>
      </c>
      <c r="F3312" s="21" t="inlineStr">
        <is>
          <t>English</t>
        </is>
      </c>
      <c r="G3312" s="21" t="inlineStr">
        <is>
          <t>R</t>
        </is>
      </c>
      <c r="H3312" s="22" t="n">
        <v>100659</v>
      </c>
      <c r="I3312" s="22" t="n">
        <v>900000</v>
      </c>
      <c r="J3312" s="21">
        <f>IF(OR(H3312="",H3312=25529689.5),"Yes","No")</f>
        <v/>
      </c>
      <c r="K3312" s="21">
        <f>IF(AND(D3312="USA",C3312&gt;=1980,J3312="No"),"Yes","No")</f>
        <v/>
      </c>
      <c r="L3312" s="26">
        <f>IF(J3312="Yes","",H3312-I3312)</f>
        <v/>
      </c>
      <c r="M3312" s="27">
        <f>IF(OR(J3312="Yes",I3312=0),"",H3312/I3312)</f>
        <v/>
      </c>
      <c r="N3312" s="21">
        <f>IF(J3312="Yes","",IF(H3312&gt;=I3312,1,0))</f>
        <v/>
      </c>
      <c r="O3312" s="21">
        <f>IF(I3312&lt;=5000000,"Under $5M",IF(I3312&lt;=20000000,"$5M-20M",IF(I3312&lt;=50000000,"$20M-50M",IF(I3312&lt;=100000000,"$50M-100M","$100M+"))))</f>
        <v/>
      </c>
      <c r="P3312" s="21">
        <f>IF(E3312&lt;=90,"90 or less",IF(E3312&lt;=105,"91-105",IF(E3312&lt;=120,"106-120",IF(E3312&lt;=140,"121-140","Over 140"))))</f>
        <v/>
      </c>
      <c r="Q3312" s="28">
        <f>INT(C3312/10)*10</f>
        <v/>
      </c>
    </row>
    <row r="3313">
      <c r="A3313" s="21" t="n">
        <v>3380</v>
      </c>
      <c r="B3313" s="21" t="inlineStr">
        <is>
          <t>The Imaginarium of Doctor Parnassus</t>
        </is>
      </c>
      <c r="C3313" s="21" t="n">
        <v>2009</v>
      </c>
      <c r="D3313" s="21" t="inlineStr">
        <is>
          <t>UK</t>
        </is>
      </c>
      <c r="E3313" s="21" t="n">
        <v>123</v>
      </c>
      <c r="F3313" s="21" t="inlineStr">
        <is>
          <t>English</t>
        </is>
      </c>
      <c r="G3313" s="21" t="inlineStr">
        <is>
          <t>PG-13</t>
        </is>
      </c>
      <c r="H3313" s="22" t="n">
        <v>7689458</v>
      </c>
      <c r="I3313" s="22" t="n">
        <v>40000000</v>
      </c>
      <c r="J3313" s="21">
        <f>IF(OR(H3313="",H3313=25529689.5),"Yes","No")</f>
        <v/>
      </c>
      <c r="K3313" s="21">
        <f>IF(AND(D3313="USA",C3313&gt;=1980,J3313="No"),"Yes","No")</f>
        <v/>
      </c>
      <c r="L3313" s="26">
        <f>IF(J3313="Yes","",H3313-I3313)</f>
        <v/>
      </c>
      <c r="M3313" s="27">
        <f>IF(OR(J3313="Yes",I3313=0),"",H3313/I3313)</f>
        <v/>
      </c>
      <c r="N3313" s="21">
        <f>IF(J3313="Yes","",IF(H3313&gt;=I3313,1,0))</f>
        <v/>
      </c>
      <c r="O3313" s="21">
        <f>IF(I3313&lt;=5000000,"Under $5M",IF(I3313&lt;=20000000,"$5M-20M",IF(I3313&lt;=50000000,"$20M-50M",IF(I3313&lt;=100000000,"$50M-100M","$100M+"))))</f>
        <v/>
      </c>
      <c r="P3313" s="21">
        <f>IF(E3313&lt;=90,"90 or less",IF(E3313&lt;=105,"91-105",IF(E3313&lt;=120,"106-120",IF(E3313&lt;=140,"121-140","Over 140"))))</f>
        <v/>
      </c>
      <c r="Q3313" s="28">
        <f>INT(C3313/10)*10</f>
        <v/>
      </c>
    </row>
    <row r="3314">
      <c r="A3314" s="21" t="n">
        <v>3381</v>
      </c>
      <c r="B3314" s="21" t="inlineStr">
        <is>
          <t>The Informant!</t>
        </is>
      </c>
      <c r="C3314" s="21" t="n">
        <v>2009</v>
      </c>
      <c r="D3314" s="21" t="inlineStr">
        <is>
          <t>USA</t>
        </is>
      </c>
      <c r="E3314" s="21" t="n">
        <v>108</v>
      </c>
      <c r="F3314" s="21" t="inlineStr">
        <is>
          <t>English</t>
        </is>
      </c>
      <c r="G3314" s="21" t="inlineStr">
        <is>
          <t>R</t>
        </is>
      </c>
      <c r="H3314" s="22" t="n">
        <v>33313582</v>
      </c>
      <c r="I3314" s="22" t="n">
        <v>21000000</v>
      </c>
      <c r="J3314" s="21">
        <f>IF(OR(H3314="",H3314=25529689.5),"Yes","No")</f>
        <v/>
      </c>
      <c r="K3314" s="21">
        <f>IF(AND(D3314="USA",C3314&gt;=1980,J3314="No"),"Yes","No")</f>
        <v/>
      </c>
      <c r="L3314" s="26">
        <f>IF(J3314="Yes","",H3314-I3314)</f>
        <v/>
      </c>
      <c r="M3314" s="27">
        <f>IF(OR(J3314="Yes",I3314=0),"",H3314/I3314)</f>
        <v/>
      </c>
      <c r="N3314" s="21">
        <f>IF(J3314="Yes","",IF(H3314&gt;=I3314,1,0))</f>
        <v/>
      </c>
      <c r="O3314" s="21">
        <f>IF(I3314&lt;=5000000,"Under $5M",IF(I3314&lt;=20000000,"$5M-20M",IF(I3314&lt;=50000000,"$20M-50M",IF(I3314&lt;=100000000,"$50M-100M","$100M+"))))</f>
        <v/>
      </c>
      <c r="P3314" s="21">
        <f>IF(E3314&lt;=90,"90 or less",IF(E3314&lt;=105,"91-105",IF(E3314&lt;=120,"106-120",IF(E3314&lt;=140,"121-140","Over 140"))))</f>
        <v/>
      </c>
      <c r="Q3314" s="28">
        <f>INT(C3314/10)*10</f>
        <v/>
      </c>
    </row>
    <row r="3315">
      <c r="A3315" s="21" t="n">
        <v>3382</v>
      </c>
      <c r="B3315" s="21" t="inlineStr">
        <is>
          <t>The International</t>
        </is>
      </c>
      <c r="C3315" s="21" t="n">
        <v>2009</v>
      </c>
      <c r="D3315" s="21" t="inlineStr">
        <is>
          <t>USA</t>
        </is>
      </c>
      <c r="E3315" s="21" t="n">
        <v>118</v>
      </c>
      <c r="F3315" s="21" t="inlineStr">
        <is>
          <t>English</t>
        </is>
      </c>
      <c r="G3315" s="21" t="inlineStr">
        <is>
          <t>R</t>
        </is>
      </c>
      <c r="H3315" s="22" t="n">
        <v>25450527</v>
      </c>
      <c r="I3315" s="22" t="n">
        <v>50000000</v>
      </c>
      <c r="J3315" s="21">
        <f>IF(OR(H3315="",H3315=25529689.5),"Yes","No")</f>
        <v/>
      </c>
      <c r="K3315" s="21">
        <f>IF(AND(D3315="USA",C3315&gt;=1980,J3315="No"),"Yes","No")</f>
        <v/>
      </c>
      <c r="L3315" s="26">
        <f>IF(J3315="Yes","",H3315-I3315)</f>
        <v/>
      </c>
      <c r="M3315" s="27">
        <f>IF(OR(J3315="Yes",I3315=0),"",H3315/I3315)</f>
        <v/>
      </c>
      <c r="N3315" s="21">
        <f>IF(J3315="Yes","",IF(H3315&gt;=I3315,1,0))</f>
        <v/>
      </c>
      <c r="O3315" s="21">
        <f>IF(I3315&lt;=5000000,"Under $5M",IF(I3315&lt;=20000000,"$5M-20M",IF(I3315&lt;=50000000,"$20M-50M",IF(I3315&lt;=100000000,"$50M-100M","$100M+"))))</f>
        <v/>
      </c>
      <c r="P3315" s="21">
        <f>IF(E3315&lt;=90,"90 or less",IF(E3315&lt;=105,"91-105",IF(E3315&lt;=120,"106-120",IF(E3315&lt;=140,"121-140","Over 140"))))</f>
        <v/>
      </c>
      <c r="Q3315" s="28">
        <f>INT(C3315/10)*10</f>
        <v/>
      </c>
    </row>
    <row r="3316">
      <c r="A3316" s="21" t="n">
        <v>3383</v>
      </c>
      <c r="B3316" s="21" t="inlineStr">
        <is>
          <t>The Invention of Lying</t>
        </is>
      </c>
      <c r="C3316" s="21" t="n">
        <v>2009</v>
      </c>
      <c r="D3316" s="21" t="inlineStr">
        <is>
          <t>USA</t>
        </is>
      </c>
      <c r="E3316" s="21" t="n">
        <v>100</v>
      </c>
      <c r="F3316" s="21" t="inlineStr">
        <is>
          <t>English</t>
        </is>
      </c>
      <c r="G3316" s="21" t="inlineStr">
        <is>
          <t>PG-13</t>
        </is>
      </c>
      <c r="H3316" s="22" t="n">
        <v>18439082</v>
      </c>
      <c r="I3316" s="22" t="n">
        <v>18500000</v>
      </c>
      <c r="J3316" s="21">
        <f>IF(OR(H3316="",H3316=25529689.5),"Yes","No")</f>
        <v/>
      </c>
      <c r="K3316" s="21">
        <f>IF(AND(D3316="USA",C3316&gt;=1980,J3316="No"),"Yes","No")</f>
        <v/>
      </c>
      <c r="L3316" s="26">
        <f>IF(J3316="Yes","",H3316-I3316)</f>
        <v/>
      </c>
      <c r="M3316" s="27">
        <f>IF(OR(J3316="Yes",I3316=0),"",H3316/I3316)</f>
        <v/>
      </c>
      <c r="N3316" s="21">
        <f>IF(J3316="Yes","",IF(H3316&gt;=I3316,1,0))</f>
        <v/>
      </c>
      <c r="O3316" s="21">
        <f>IF(I3316&lt;=5000000,"Under $5M",IF(I3316&lt;=20000000,"$5M-20M",IF(I3316&lt;=50000000,"$20M-50M",IF(I3316&lt;=100000000,"$50M-100M","$100M+"))))</f>
        <v/>
      </c>
      <c r="P3316" s="21">
        <f>IF(E3316&lt;=90,"90 or less",IF(E3316&lt;=105,"91-105",IF(E3316&lt;=120,"106-120",IF(E3316&lt;=140,"121-140","Over 140"))))</f>
        <v/>
      </c>
      <c r="Q3316" s="28">
        <f>INT(C3316/10)*10</f>
        <v/>
      </c>
    </row>
    <row r="3317">
      <c r="A3317" s="21" t="n">
        <v>3384</v>
      </c>
      <c r="B3317" s="21" t="inlineStr">
        <is>
          <t>The Janky Promoters</t>
        </is>
      </c>
      <c r="C3317" s="21" t="n">
        <v>2009</v>
      </c>
      <c r="D3317" s="21" t="inlineStr">
        <is>
          <t>USA</t>
        </is>
      </c>
      <c r="E3317" s="21" t="n">
        <v>85</v>
      </c>
      <c r="F3317" s="21" t="inlineStr">
        <is>
          <t>English</t>
        </is>
      </c>
      <c r="G3317" s="21" t="inlineStr">
        <is>
          <t>R</t>
        </is>
      </c>
      <c r="H3317" s="22" t="n">
        <v>25529689.5</v>
      </c>
      <c r="I3317" s="22" t="n">
        <v>20000000</v>
      </c>
      <c r="J3317" s="21">
        <f>IF(OR(H3317="",H3317=25529689.5),"Yes","No")</f>
        <v/>
      </c>
      <c r="K3317" s="21">
        <f>IF(AND(D3317="USA",C3317&gt;=1980,J3317="No"),"Yes","No")</f>
        <v/>
      </c>
      <c r="L3317" s="26">
        <f>IF(J3317="Yes","",H3317-I3317)</f>
        <v/>
      </c>
      <c r="M3317" s="27">
        <f>IF(OR(J3317="Yes",I3317=0),"",H3317/I3317)</f>
        <v/>
      </c>
      <c r="N3317" s="21">
        <f>IF(J3317="Yes","",IF(H3317&gt;=I3317,1,0))</f>
        <v/>
      </c>
      <c r="O3317" s="21">
        <f>IF(I3317&lt;=5000000,"Under $5M",IF(I3317&lt;=20000000,"$5M-20M",IF(I3317&lt;=50000000,"$20M-50M",IF(I3317&lt;=100000000,"$50M-100M","$100M+"))))</f>
        <v/>
      </c>
      <c r="P3317" s="21">
        <f>IF(E3317&lt;=90,"90 or less",IF(E3317&lt;=105,"91-105",IF(E3317&lt;=120,"106-120",IF(E3317&lt;=140,"121-140","Over 140"))))</f>
        <v/>
      </c>
      <c r="Q3317" s="28">
        <f>INT(C3317/10)*10</f>
        <v/>
      </c>
    </row>
    <row r="3318">
      <c r="A3318" s="21" t="n">
        <v>3385</v>
      </c>
      <c r="B3318" s="21" t="inlineStr">
        <is>
          <t>The Joneses</t>
        </is>
      </c>
      <c r="C3318" s="21" t="n">
        <v>2009</v>
      </c>
      <c r="D3318" s="21" t="inlineStr">
        <is>
          <t>USA</t>
        </is>
      </c>
      <c r="E3318" s="21" t="n">
        <v>96</v>
      </c>
      <c r="F3318" s="21" t="inlineStr">
        <is>
          <t>English</t>
        </is>
      </c>
      <c r="G3318" s="21" t="inlineStr">
        <is>
          <t>R</t>
        </is>
      </c>
      <c r="H3318" s="22" t="n">
        <v>1474508</v>
      </c>
      <c r="I3318" s="22" t="n">
        <v>5000000</v>
      </c>
      <c r="J3318" s="21">
        <f>IF(OR(H3318="",H3318=25529689.5),"Yes","No")</f>
        <v/>
      </c>
      <c r="K3318" s="21">
        <f>IF(AND(D3318="USA",C3318&gt;=1980,J3318="No"),"Yes","No")</f>
        <v/>
      </c>
      <c r="L3318" s="26">
        <f>IF(J3318="Yes","",H3318-I3318)</f>
        <v/>
      </c>
      <c r="M3318" s="27">
        <f>IF(OR(J3318="Yes",I3318=0),"",H3318/I3318)</f>
        <v/>
      </c>
      <c r="N3318" s="21">
        <f>IF(J3318="Yes","",IF(H3318&gt;=I3318,1,0))</f>
        <v/>
      </c>
      <c r="O3318" s="21">
        <f>IF(I3318&lt;=5000000,"Under $5M",IF(I3318&lt;=20000000,"$5M-20M",IF(I3318&lt;=50000000,"$20M-50M",IF(I3318&lt;=100000000,"$50M-100M","$100M+"))))</f>
        <v/>
      </c>
      <c r="P3318" s="21">
        <f>IF(E3318&lt;=90,"90 or less",IF(E3318&lt;=105,"91-105",IF(E3318&lt;=120,"106-120",IF(E3318&lt;=140,"121-140","Over 140"))))</f>
        <v/>
      </c>
      <c r="Q3318" s="28">
        <f>INT(C3318/10)*10</f>
        <v/>
      </c>
    </row>
    <row r="3319">
      <c r="A3319" s="21" t="n">
        <v>3386</v>
      </c>
      <c r="B3319" s="21" t="inlineStr">
        <is>
          <t>The Last House on the Left</t>
        </is>
      </c>
      <c r="C3319" s="21" t="n">
        <v>2009</v>
      </c>
      <c r="D3319" s="21" t="inlineStr">
        <is>
          <t>USA</t>
        </is>
      </c>
      <c r="E3319" s="21" t="n">
        <v>114</v>
      </c>
      <c r="F3319" s="21" t="inlineStr">
        <is>
          <t>English</t>
        </is>
      </c>
      <c r="G3319" s="21" t="inlineStr">
        <is>
          <t>R</t>
        </is>
      </c>
      <c r="H3319" s="22" t="n">
        <v>32721635</v>
      </c>
      <c r="I3319" s="22" t="n">
        <v>15000000</v>
      </c>
      <c r="J3319" s="21">
        <f>IF(OR(H3319="",H3319=25529689.5),"Yes","No")</f>
        <v/>
      </c>
      <c r="K3319" s="21">
        <f>IF(AND(D3319="USA",C3319&gt;=1980,J3319="No"),"Yes","No")</f>
        <v/>
      </c>
      <c r="L3319" s="26">
        <f>IF(J3319="Yes","",H3319-I3319)</f>
        <v/>
      </c>
      <c r="M3319" s="27">
        <f>IF(OR(J3319="Yes",I3319=0),"",H3319/I3319)</f>
        <v/>
      </c>
      <c r="N3319" s="21">
        <f>IF(J3319="Yes","",IF(H3319&gt;=I3319,1,0))</f>
        <v/>
      </c>
      <c r="O3319" s="21">
        <f>IF(I3319&lt;=5000000,"Under $5M",IF(I3319&lt;=20000000,"$5M-20M",IF(I3319&lt;=50000000,"$20M-50M",IF(I3319&lt;=100000000,"$50M-100M","$100M+"))))</f>
        <v/>
      </c>
      <c r="P3319" s="21">
        <f>IF(E3319&lt;=90,"90 or less",IF(E3319&lt;=105,"91-105",IF(E3319&lt;=120,"106-120",IF(E3319&lt;=140,"121-140","Over 140"))))</f>
        <v/>
      </c>
      <c r="Q3319" s="28">
        <f>INT(C3319/10)*10</f>
        <v/>
      </c>
    </row>
    <row r="3320">
      <c r="A3320" s="21" t="n">
        <v>3388</v>
      </c>
      <c r="B3320" s="21" t="inlineStr">
        <is>
          <t>The Last Station</t>
        </is>
      </c>
      <c r="C3320" s="21" t="n">
        <v>2009</v>
      </c>
      <c r="D3320" s="21" t="inlineStr">
        <is>
          <t>Germany</t>
        </is>
      </c>
      <c r="E3320" s="21" t="n">
        <v>112</v>
      </c>
      <c r="F3320" s="21" t="inlineStr">
        <is>
          <t>English</t>
        </is>
      </c>
      <c r="G3320" s="21" t="inlineStr">
        <is>
          <t>R</t>
        </is>
      </c>
      <c r="H3320" s="22" t="n">
        <v>6615578</v>
      </c>
      <c r="I3320" s="22" t="n">
        <v>13000000</v>
      </c>
      <c r="J3320" s="21">
        <f>IF(OR(H3320="",H3320=25529689.5),"Yes","No")</f>
        <v/>
      </c>
      <c r="K3320" s="21">
        <f>IF(AND(D3320="USA",C3320&gt;=1980,J3320="No"),"Yes","No")</f>
        <v/>
      </c>
      <c r="L3320" s="26">
        <f>IF(J3320="Yes","",H3320-I3320)</f>
        <v/>
      </c>
      <c r="M3320" s="27">
        <f>IF(OR(J3320="Yes",I3320=0),"",H3320/I3320)</f>
        <v/>
      </c>
      <c r="N3320" s="21">
        <f>IF(J3320="Yes","",IF(H3320&gt;=I3320,1,0))</f>
        <v/>
      </c>
      <c r="O3320" s="21">
        <f>IF(I3320&lt;=5000000,"Under $5M",IF(I3320&lt;=20000000,"$5M-20M",IF(I3320&lt;=50000000,"$20M-50M",IF(I3320&lt;=100000000,"$50M-100M","$100M+"))))</f>
        <v/>
      </c>
      <c r="P3320" s="21">
        <f>IF(E3320&lt;=90,"90 or less",IF(E3320&lt;=105,"91-105",IF(E3320&lt;=120,"106-120",IF(E3320&lt;=140,"121-140","Over 140"))))</f>
        <v/>
      </c>
      <c r="Q3320" s="28">
        <f>INT(C3320/10)*10</f>
        <v/>
      </c>
    </row>
    <row r="3321">
      <c r="A3321" s="21" t="n">
        <v>3389</v>
      </c>
      <c r="B3321" s="21" t="inlineStr">
        <is>
          <t>The Loved Ones</t>
        </is>
      </c>
      <c r="C3321" s="21" t="n">
        <v>2009</v>
      </c>
      <c r="D3321" s="21" t="inlineStr">
        <is>
          <t>Australia</t>
        </is>
      </c>
      <c r="E3321" s="21" t="n">
        <v>84</v>
      </c>
      <c r="F3321" s="21" t="inlineStr">
        <is>
          <t>English</t>
        </is>
      </c>
      <c r="G3321" s="21" t="inlineStr">
        <is>
          <t>R</t>
        </is>
      </c>
      <c r="H3321" s="22" t="n">
        <v>25529689.5</v>
      </c>
      <c r="I3321" s="22" t="n">
        <v>20000000</v>
      </c>
      <c r="J3321" s="21">
        <f>IF(OR(H3321="",H3321=25529689.5),"Yes","No")</f>
        <v/>
      </c>
      <c r="K3321" s="21">
        <f>IF(AND(D3321="USA",C3321&gt;=1980,J3321="No"),"Yes","No")</f>
        <v/>
      </c>
      <c r="L3321" s="26">
        <f>IF(J3321="Yes","",H3321-I3321)</f>
        <v/>
      </c>
      <c r="M3321" s="27">
        <f>IF(OR(J3321="Yes",I3321=0),"",H3321/I3321)</f>
        <v/>
      </c>
      <c r="N3321" s="21">
        <f>IF(J3321="Yes","",IF(H3321&gt;=I3321,1,0))</f>
        <v/>
      </c>
      <c r="O3321" s="21">
        <f>IF(I3321&lt;=5000000,"Under $5M",IF(I3321&lt;=20000000,"$5M-20M",IF(I3321&lt;=50000000,"$20M-50M",IF(I3321&lt;=100000000,"$50M-100M","$100M+"))))</f>
        <v/>
      </c>
      <c r="P3321" s="21">
        <f>IF(E3321&lt;=90,"90 or less",IF(E3321&lt;=105,"91-105",IF(E3321&lt;=120,"106-120",IF(E3321&lt;=140,"121-140","Over 140"))))</f>
        <v/>
      </c>
      <c r="Q3321" s="28">
        <f>INT(C3321/10)*10</f>
        <v/>
      </c>
    </row>
    <row r="3322">
      <c r="A3322" s="21" t="n">
        <v>3390</v>
      </c>
      <c r="B3322" s="21" t="inlineStr">
        <is>
          <t>The Lovely Bones</t>
        </is>
      </c>
      <c r="C3322" s="21" t="n">
        <v>2009</v>
      </c>
      <c r="D3322" s="21" t="inlineStr">
        <is>
          <t>USA</t>
        </is>
      </c>
      <c r="E3322" s="21" t="n">
        <v>135</v>
      </c>
      <c r="F3322" s="21" t="inlineStr">
        <is>
          <t>English</t>
        </is>
      </c>
      <c r="G3322" s="21" t="inlineStr">
        <is>
          <t>PG-13</t>
        </is>
      </c>
      <c r="H3322" s="22" t="n">
        <v>43982842</v>
      </c>
      <c r="I3322" s="22" t="n">
        <v>65000000</v>
      </c>
      <c r="J3322" s="21">
        <f>IF(OR(H3322="",H3322=25529689.5),"Yes","No")</f>
        <v/>
      </c>
      <c r="K3322" s="21">
        <f>IF(AND(D3322="USA",C3322&gt;=1980,J3322="No"),"Yes","No")</f>
        <v/>
      </c>
      <c r="L3322" s="26">
        <f>IF(J3322="Yes","",H3322-I3322)</f>
        <v/>
      </c>
      <c r="M3322" s="27">
        <f>IF(OR(J3322="Yes",I3322=0),"",H3322/I3322)</f>
        <v/>
      </c>
      <c r="N3322" s="21">
        <f>IF(J3322="Yes","",IF(H3322&gt;=I3322,1,0))</f>
        <v/>
      </c>
      <c r="O3322" s="21">
        <f>IF(I3322&lt;=5000000,"Under $5M",IF(I3322&lt;=20000000,"$5M-20M",IF(I3322&lt;=50000000,"$20M-50M",IF(I3322&lt;=100000000,"$50M-100M","$100M+"))))</f>
        <v/>
      </c>
      <c r="P3322" s="21">
        <f>IF(E3322&lt;=90,"90 or less",IF(E3322&lt;=105,"91-105",IF(E3322&lt;=120,"106-120",IF(E3322&lt;=140,"121-140","Over 140"))))</f>
        <v/>
      </c>
      <c r="Q3322" s="28">
        <f>INT(C3322/10)*10</f>
        <v/>
      </c>
    </row>
    <row r="3323">
      <c r="A3323" s="21" t="n">
        <v>3392</v>
      </c>
      <c r="B3323" s="21" t="inlineStr">
        <is>
          <t>The Men Who Stare at Goats</t>
        </is>
      </c>
      <c r="C3323" s="21" t="n">
        <v>2009</v>
      </c>
      <c r="D3323" s="21" t="inlineStr">
        <is>
          <t>USA</t>
        </is>
      </c>
      <c r="E3323" s="21" t="n">
        <v>94</v>
      </c>
      <c r="F3323" s="21" t="inlineStr">
        <is>
          <t>English</t>
        </is>
      </c>
      <c r="G3323" s="21" t="inlineStr">
        <is>
          <t>R</t>
        </is>
      </c>
      <c r="H3323" s="22" t="n">
        <v>32416109</v>
      </c>
      <c r="I3323" s="22" t="n">
        <v>25000000</v>
      </c>
      <c r="J3323" s="21">
        <f>IF(OR(H3323="",H3323=25529689.5),"Yes","No")</f>
        <v/>
      </c>
      <c r="K3323" s="21">
        <f>IF(AND(D3323="USA",C3323&gt;=1980,J3323="No"),"Yes","No")</f>
        <v/>
      </c>
      <c r="L3323" s="26">
        <f>IF(J3323="Yes","",H3323-I3323)</f>
        <v/>
      </c>
      <c r="M3323" s="27">
        <f>IF(OR(J3323="Yes",I3323=0),"",H3323/I3323)</f>
        <v/>
      </c>
      <c r="N3323" s="21">
        <f>IF(J3323="Yes","",IF(H3323&gt;=I3323,1,0))</f>
        <v/>
      </c>
      <c r="O3323" s="21">
        <f>IF(I3323&lt;=5000000,"Under $5M",IF(I3323&lt;=20000000,"$5M-20M",IF(I3323&lt;=50000000,"$20M-50M",IF(I3323&lt;=100000000,"$50M-100M","$100M+"))))</f>
        <v/>
      </c>
      <c r="P3323" s="21">
        <f>IF(E3323&lt;=90,"90 or less",IF(E3323&lt;=105,"91-105",IF(E3323&lt;=120,"106-120",IF(E3323&lt;=140,"121-140","Over 140"))))</f>
        <v/>
      </c>
      <c r="Q3323" s="28">
        <f>INT(C3323/10)*10</f>
        <v/>
      </c>
    </row>
    <row r="3324">
      <c r="A3324" s="21" t="n">
        <v>3393</v>
      </c>
      <c r="B3324" s="21" t="inlineStr">
        <is>
          <t>The Messenger</t>
        </is>
      </c>
      <c r="C3324" s="21" t="n">
        <v>2009</v>
      </c>
      <c r="D3324" s="21" t="inlineStr">
        <is>
          <t>USA</t>
        </is>
      </c>
      <c r="E3324" s="21" t="n">
        <v>105</v>
      </c>
      <c r="F3324" s="21" t="inlineStr">
        <is>
          <t>English</t>
        </is>
      </c>
      <c r="G3324" s="21" t="inlineStr">
        <is>
          <t>R</t>
        </is>
      </c>
      <c r="H3324" s="22" t="n">
        <v>66637</v>
      </c>
      <c r="I3324" s="22" t="n">
        <v>6500000</v>
      </c>
      <c r="J3324" s="21">
        <f>IF(OR(H3324="",H3324=25529689.5),"Yes","No")</f>
        <v/>
      </c>
      <c r="K3324" s="21">
        <f>IF(AND(D3324="USA",C3324&gt;=1980,J3324="No"),"Yes","No")</f>
        <v/>
      </c>
      <c r="L3324" s="26">
        <f>IF(J3324="Yes","",H3324-I3324)</f>
        <v/>
      </c>
      <c r="M3324" s="27">
        <f>IF(OR(J3324="Yes",I3324=0),"",H3324/I3324)</f>
        <v/>
      </c>
      <c r="N3324" s="21">
        <f>IF(J3324="Yes","",IF(H3324&gt;=I3324,1,0))</f>
        <v/>
      </c>
      <c r="O3324" s="21">
        <f>IF(I3324&lt;=5000000,"Under $5M",IF(I3324&lt;=20000000,"$5M-20M",IF(I3324&lt;=50000000,"$20M-50M",IF(I3324&lt;=100000000,"$50M-100M","$100M+"))))</f>
        <v/>
      </c>
      <c r="P3324" s="21">
        <f>IF(E3324&lt;=90,"90 or less",IF(E3324&lt;=105,"91-105",IF(E3324&lt;=120,"106-120",IF(E3324&lt;=140,"121-140","Over 140"))))</f>
        <v/>
      </c>
      <c r="Q3324" s="28">
        <f>INT(C3324/10)*10</f>
        <v/>
      </c>
    </row>
    <row r="3325">
      <c r="A3325" s="21" t="n">
        <v>3394</v>
      </c>
      <c r="B3325" s="21" t="inlineStr">
        <is>
          <t>The Mighty Macs</t>
        </is>
      </c>
      <c r="C3325" s="21" t="n">
        <v>2009</v>
      </c>
      <c r="D3325" s="21" t="inlineStr">
        <is>
          <t>USA</t>
        </is>
      </c>
      <c r="E3325" s="21" t="n">
        <v>99</v>
      </c>
      <c r="F3325" s="21" t="inlineStr">
        <is>
          <t>English</t>
        </is>
      </c>
      <c r="G3325" s="21" t="inlineStr">
        <is>
          <t>G</t>
        </is>
      </c>
      <c r="H3325" s="22" t="n">
        <v>1889522</v>
      </c>
      <c r="I3325" s="22" t="n">
        <v>7000000</v>
      </c>
      <c r="J3325" s="21">
        <f>IF(OR(H3325="",H3325=25529689.5),"Yes","No")</f>
        <v/>
      </c>
      <c r="K3325" s="21">
        <f>IF(AND(D3325="USA",C3325&gt;=1980,J3325="No"),"Yes","No")</f>
        <v/>
      </c>
      <c r="L3325" s="26">
        <f>IF(J3325="Yes","",H3325-I3325)</f>
        <v/>
      </c>
      <c r="M3325" s="27">
        <f>IF(OR(J3325="Yes",I3325=0),"",H3325/I3325)</f>
        <v/>
      </c>
      <c r="N3325" s="21">
        <f>IF(J3325="Yes","",IF(H3325&gt;=I3325,1,0))</f>
        <v/>
      </c>
      <c r="O3325" s="21">
        <f>IF(I3325&lt;=5000000,"Under $5M",IF(I3325&lt;=20000000,"$5M-20M",IF(I3325&lt;=50000000,"$20M-50M",IF(I3325&lt;=100000000,"$50M-100M","$100M+"))))</f>
        <v/>
      </c>
      <c r="P3325" s="21">
        <f>IF(E3325&lt;=90,"90 or less",IF(E3325&lt;=105,"91-105",IF(E3325&lt;=120,"106-120",IF(E3325&lt;=140,"121-140","Over 140"))))</f>
        <v/>
      </c>
      <c r="Q3325" s="28">
        <f>INT(C3325/10)*10</f>
        <v/>
      </c>
    </row>
    <row r="3326">
      <c r="A3326" s="21" t="n">
        <v>3395</v>
      </c>
      <c r="B3326" s="21" t="inlineStr">
        <is>
          <t>The Missing Person</t>
        </is>
      </c>
      <c r="C3326" s="21" t="n">
        <v>2009</v>
      </c>
      <c r="D3326" s="21" t="inlineStr">
        <is>
          <t>USA</t>
        </is>
      </c>
      <c r="E3326" s="21" t="n">
        <v>95</v>
      </c>
      <c r="F3326" s="21" t="inlineStr">
        <is>
          <t>English</t>
        </is>
      </c>
      <c r="G3326" s="21" t="n"/>
      <c r="H3326" s="22" t="n">
        <v>17580</v>
      </c>
      <c r="I3326" s="22" t="n">
        <v>1500000</v>
      </c>
      <c r="J3326" s="21">
        <f>IF(OR(H3326="",H3326=25529689.5),"Yes","No")</f>
        <v/>
      </c>
      <c r="K3326" s="21">
        <f>IF(AND(D3326="USA",C3326&gt;=1980,J3326="No"),"Yes","No")</f>
        <v/>
      </c>
      <c r="L3326" s="26">
        <f>IF(J3326="Yes","",H3326-I3326)</f>
        <v/>
      </c>
      <c r="M3326" s="27">
        <f>IF(OR(J3326="Yes",I3326=0),"",H3326/I3326)</f>
        <v/>
      </c>
      <c r="N3326" s="21">
        <f>IF(J3326="Yes","",IF(H3326&gt;=I3326,1,0))</f>
        <v/>
      </c>
      <c r="O3326" s="21">
        <f>IF(I3326&lt;=5000000,"Under $5M",IF(I3326&lt;=20000000,"$5M-20M",IF(I3326&lt;=50000000,"$20M-50M",IF(I3326&lt;=100000000,"$50M-100M","$100M+"))))</f>
        <v/>
      </c>
      <c r="P3326" s="21">
        <f>IF(E3326&lt;=90,"90 or less",IF(E3326&lt;=105,"91-105",IF(E3326&lt;=120,"106-120",IF(E3326&lt;=140,"121-140","Over 140"))))</f>
        <v/>
      </c>
      <c r="Q3326" s="28">
        <f>INT(C3326/10)*10</f>
        <v/>
      </c>
    </row>
    <row r="3327">
      <c r="A3327" s="21" t="n">
        <v>3396</v>
      </c>
      <c r="B3327" s="21" t="inlineStr">
        <is>
          <t>The Open Road</t>
        </is>
      </c>
      <c r="C3327" s="21" t="n">
        <v>2009</v>
      </c>
      <c r="D3327" s="21" t="inlineStr">
        <is>
          <t>USA</t>
        </is>
      </c>
      <c r="E3327" s="21" t="n">
        <v>91</v>
      </c>
      <c r="F3327" s="21" t="inlineStr">
        <is>
          <t>English</t>
        </is>
      </c>
      <c r="G3327" s="21" t="inlineStr">
        <is>
          <t>PG-13</t>
        </is>
      </c>
      <c r="H3327" s="22" t="n">
        <v>19348</v>
      </c>
      <c r="I3327" s="22" t="n">
        <v>10000000</v>
      </c>
      <c r="J3327" s="21">
        <f>IF(OR(H3327="",H3327=25529689.5),"Yes","No")</f>
        <v/>
      </c>
      <c r="K3327" s="21">
        <f>IF(AND(D3327="USA",C3327&gt;=1980,J3327="No"),"Yes","No")</f>
        <v/>
      </c>
      <c r="L3327" s="26">
        <f>IF(J3327="Yes","",H3327-I3327)</f>
        <v/>
      </c>
      <c r="M3327" s="27">
        <f>IF(OR(J3327="Yes",I3327=0),"",H3327/I3327)</f>
        <v/>
      </c>
      <c r="N3327" s="21">
        <f>IF(J3327="Yes","",IF(H3327&gt;=I3327,1,0))</f>
        <v/>
      </c>
      <c r="O3327" s="21">
        <f>IF(I3327&lt;=5000000,"Under $5M",IF(I3327&lt;=20000000,"$5M-20M",IF(I3327&lt;=50000000,"$20M-50M",IF(I3327&lt;=100000000,"$50M-100M","$100M+"))))</f>
        <v/>
      </c>
      <c r="P3327" s="21">
        <f>IF(E3327&lt;=90,"90 or less",IF(E3327&lt;=105,"91-105",IF(E3327&lt;=120,"106-120",IF(E3327&lt;=140,"121-140","Over 140"))))</f>
        <v/>
      </c>
      <c r="Q3327" s="28">
        <f>INT(C3327/10)*10</f>
        <v/>
      </c>
    </row>
    <row r="3328">
      <c r="A3328" s="21" t="n">
        <v>3397</v>
      </c>
      <c r="B3328" s="21" t="inlineStr">
        <is>
          <t>The Perfect Game</t>
        </is>
      </c>
      <c r="C3328" s="21" t="n">
        <v>2009</v>
      </c>
      <c r="D3328" s="21" t="inlineStr">
        <is>
          <t>Canada</t>
        </is>
      </c>
      <c r="E3328" s="21" t="n">
        <v>118</v>
      </c>
      <c r="F3328" s="21" t="inlineStr">
        <is>
          <t>English</t>
        </is>
      </c>
      <c r="G3328" s="21" t="inlineStr">
        <is>
          <t>PG</t>
        </is>
      </c>
      <c r="H3328" s="22" t="n">
        <v>1089445</v>
      </c>
      <c r="I3328" s="22" t="n">
        <v>12500000</v>
      </c>
      <c r="J3328" s="21">
        <f>IF(OR(H3328="",H3328=25529689.5),"Yes","No")</f>
        <v/>
      </c>
      <c r="K3328" s="21">
        <f>IF(AND(D3328="USA",C3328&gt;=1980,J3328="No"),"Yes","No")</f>
        <v/>
      </c>
      <c r="L3328" s="26">
        <f>IF(J3328="Yes","",H3328-I3328)</f>
        <v/>
      </c>
      <c r="M3328" s="27">
        <f>IF(OR(J3328="Yes",I3328=0),"",H3328/I3328)</f>
        <v/>
      </c>
      <c r="N3328" s="21">
        <f>IF(J3328="Yes","",IF(H3328&gt;=I3328,1,0))</f>
        <v/>
      </c>
      <c r="O3328" s="21">
        <f>IF(I3328&lt;=5000000,"Under $5M",IF(I3328&lt;=20000000,"$5M-20M",IF(I3328&lt;=50000000,"$20M-50M",IF(I3328&lt;=100000000,"$50M-100M","$100M+"))))</f>
        <v/>
      </c>
      <c r="P3328" s="21">
        <f>IF(E3328&lt;=90,"90 or less",IF(E3328&lt;=105,"91-105",IF(E3328&lt;=120,"106-120",IF(E3328&lt;=140,"121-140","Over 140"))))</f>
        <v/>
      </c>
      <c r="Q3328" s="28">
        <f>INT(C3328/10)*10</f>
        <v/>
      </c>
    </row>
    <row r="3329">
      <c r="A3329" s="21" t="n">
        <v>3398</v>
      </c>
      <c r="B3329" s="21" t="inlineStr">
        <is>
          <t>The Princess and the Frog</t>
        </is>
      </c>
      <c r="C3329" s="21" t="n">
        <v>2009</v>
      </c>
      <c r="D3329" s="21" t="inlineStr">
        <is>
          <t>USA</t>
        </is>
      </c>
      <c r="E3329" s="21" t="n">
        <v>97</v>
      </c>
      <c r="F3329" s="21" t="inlineStr">
        <is>
          <t>English</t>
        </is>
      </c>
      <c r="G3329" s="21" t="inlineStr">
        <is>
          <t>G</t>
        </is>
      </c>
      <c r="H3329" s="22" t="n">
        <v>104374107</v>
      </c>
      <c r="I3329" s="22" t="n">
        <v>105000000</v>
      </c>
      <c r="J3329" s="21">
        <f>IF(OR(H3329="",H3329=25529689.5),"Yes","No")</f>
        <v/>
      </c>
      <c r="K3329" s="21">
        <f>IF(AND(D3329="USA",C3329&gt;=1980,J3329="No"),"Yes","No")</f>
        <v/>
      </c>
      <c r="L3329" s="26">
        <f>IF(J3329="Yes","",H3329-I3329)</f>
        <v/>
      </c>
      <c r="M3329" s="27">
        <f>IF(OR(J3329="Yes",I3329=0),"",H3329/I3329)</f>
        <v/>
      </c>
      <c r="N3329" s="21">
        <f>IF(J3329="Yes","",IF(H3329&gt;=I3329,1,0))</f>
        <v/>
      </c>
      <c r="O3329" s="21">
        <f>IF(I3329&lt;=5000000,"Under $5M",IF(I3329&lt;=20000000,"$5M-20M",IF(I3329&lt;=50000000,"$20M-50M",IF(I3329&lt;=100000000,"$50M-100M","$100M+"))))</f>
        <v/>
      </c>
      <c r="P3329" s="21">
        <f>IF(E3329&lt;=90,"90 or less",IF(E3329&lt;=105,"91-105",IF(E3329&lt;=120,"106-120",IF(E3329&lt;=140,"121-140","Over 140"))))</f>
        <v/>
      </c>
      <c r="Q3329" s="28">
        <f>INT(C3329/10)*10</f>
        <v/>
      </c>
    </row>
    <row r="3330">
      <c r="A3330" s="21" t="n">
        <v>3399</v>
      </c>
      <c r="B3330" s="21" t="inlineStr">
        <is>
          <t>The Proposal</t>
        </is>
      </c>
      <c r="C3330" s="21" t="n">
        <v>2009</v>
      </c>
      <c r="D3330" s="21" t="inlineStr">
        <is>
          <t>USA</t>
        </is>
      </c>
      <c r="E3330" s="21" t="n">
        <v>108</v>
      </c>
      <c r="F3330" s="21" t="inlineStr">
        <is>
          <t>English</t>
        </is>
      </c>
      <c r="G3330" s="21" t="inlineStr">
        <is>
          <t>PG-13</t>
        </is>
      </c>
      <c r="H3330" s="22" t="n">
        <v>163947053</v>
      </c>
      <c r="I3330" s="22" t="n">
        <v>40000000</v>
      </c>
      <c r="J3330" s="21">
        <f>IF(OR(H3330="",H3330=25529689.5),"Yes","No")</f>
        <v/>
      </c>
      <c r="K3330" s="21">
        <f>IF(AND(D3330="USA",C3330&gt;=1980,J3330="No"),"Yes","No")</f>
        <v/>
      </c>
      <c r="L3330" s="26">
        <f>IF(J3330="Yes","",H3330-I3330)</f>
        <v/>
      </c>
      <c r="M3330" s="27">
        <f>IF(OR(J3330="Yes",I3330=0),"",H3330/I3330)</f>
        <v/>
      </c>
      <c r="N3330" s="21">
        <f>IF(J3330="Yes","",IF(H3330&gt;=I3330,1,0))</f>
        <v/>
      </c>
      <c r="O3330" s="21">
        <f>IF(I3330&lt;=5000000,"Under $5M",IF(I3330&lt;=20000000,"$5M-20M",IF(I3330&lt;=50000000,"$20M-50M",IF(I3330&lt;=100000000,"$50M-100M","$100M+"))))</f>
        <v/>
      </c>
      <c r="P3330" s="21">
        <f>IF(E3330&lt;=90,"90 or less",IF(E3330&lt;=105,"91-105",IF(E3330&lt;=120,"106-120",IF(E3330&lt;=140,"121-140","Over 140"))))</f>
        <v/>
      </c>
      <c r="Q3330" s="28">
        <f>INT(C3330/10)*10</f>
        <v/>
      </c>
    </row>
    <row r="3331">
      <c r="A3331" s="21" t="n">
        <v>3400</v>
      </c>
      <c r="B3331" s="21" t="inlineStr">
        <is>
          <t>The Road</t>
        </is>
      </c>
      <c r="C3331" s="21" t="n">
        <v>2009</v>
      </c>
      <c r="D3331" s="21" t="inlineStr">
        <is>
          <t>USA</t>
        </is>
      </c>
      <c r="E3331" s="21" t="n">
        <v>111</v>
      </c>
      <c r="F3331" s="21" t="inlineStr">
        <is>
          <t>English</t>
        </is>
      </c>
      <c r="G3331" s="21" t="inlineStr">
        <is>
          <t>R</t>
        </is>
      </c>
      <c r="H3331" s="22" t="n">
        <v>56692</v>
      </c>
      <c r="I3331" s="22" t="n">
        <v>25000000</v>
      </c>
      <c r="J3331" s="21">
        <f>IF(OR(H3331="",H3331=25529689.5),"Yes","No")</f>
        <v/>
      </c>
      <c r="K3331" s="21">
        <f>IF(AND(D3331="USA",C3331&gt;=1980,J3331="No"),"Yes","No")</f>
        <v/>
      </c>
      <c r="L3331" s="26">
        <f>IF(J3331="Yes","",H3331-I3331)</f>
        <v/>
      </c>
      <c r="M3331" s="27">
        <f>IF(OR(J3331="Yes",I3331=0),"",H3331/I3331)</f>
        <v/>
      </c>
      <c r="N3331" s="21">
        <f>IF(J3331="Yes","",IF(H3331&gt;=I3331,1,0))</f>
        <v/>
      </c>
      <c r="O3331" s="21">
        <f>IF(I3331&lt;=5000000,"Under $5M",IF(I3331&lt;=20000000,"$5M-20M",IF(I3331&lt;=50000000,"$20M-50M",IF(I3331&lt;=100000000,"$50M-100M","$100M+"))))</f>
        <v/>
      </c>
      <c r="P3331" s="21">
        <f>IF(E3331&lt;=90,"90 or less",IF(E3331&lt;=105,"91-105",IF(E3331&lt;=120,"106-120",IF(E3331&lt;=140,"121-140","Over 140"))))</f>
        <v/>
      </c>
      <c r="Q3331" s="28">
        <f>INT(C3331/10)*10</f>
        <v/>
      </c>
    </row>
    <row r="3332">
      <c r="A3332" s="21" t="n">
        <v>3401</v>
      </c>
      <c r="B3332" s="21" t="inlineStr">
        <is>
          <t>The Secret in Their Eyes</t>
        </is>
      </c>
      <c r="C3332" s="21" t="n">
        <v>2009</v>
      </c>
      <c r="D3332" s="21" t="inlineStr">
        <is>
          <t>Argentina</t>
        </is>
      </c>
      <c r="E3332" s="21" t="n">
        <v>129</v>
      </c>
      <c r="F3332" s="21" t="inlineStr">
        <is>
          <t>Spanish</t>
        </is>
      </c>
      <c r="G3332" s="21" t="inlineStr">
        <is>
          <t>R</t>
        </is>
      </c>
      <c r="H3332" s="22" t="n">
        <v>20167424</v>
      </c>
      <c r="I3332" s="22" t="n">
        <v>2000000</v>
      </c>
      <c r="J3332" s="21">
        <f>IF(OR(H3332="",H3332=25529689.5),"Yes","No")</f>
        <v/>
      </c>
      <c r="K3332" s="21">
        <f>IF(AND(D3332="USA",C3332&gt;=1980,J3332="No"),"Yes","No")</f>
        <v/>
      </c>
      <c r="L3332" s="26">
        <f>IF(J3332="Yes","",H3332-I3332)</f>
        <v/>
      </c>
      <c r="M3332" s="27">
        <f>IF(OR(J3332="Yes",I3332=0),"",H3332/I3332)</f>
        <v/>
      </c>
      <c r="N3332" s="21">
        <f>IF(J3332="Yes","",IF(H3332&gt;=I3332,1,0))</f>
        <v/>
      </c>
      <c r="O3332" s="21">
        <f>IF(I3332&lt;=5000000,"Under $5M",IF(I3332&lt;=20000000,"$5M-20M",IF(I3332&lt;=50000000,"$20M-50M",IF(I3332&lt;=100000000,"$50M-100M","$100M+"))))</f>
        <v/>
      </c>
      <c r="P3332" s="21">
        <f>IF(E3332&lt;=90,"90 or less",IF(E3332&lt;=105,"91-105",IF(E3332&lt;=120,"106-120",IF(E3332&lt;=140,"121-140","Over 140"))))</f>
        <v/>
      </c>
      <c r="Q3332" s="28">
        <f>INT(C3332/10)*10</f>
        <v/>
      </c>
    </row>
    <row r="3333">
      <c r="A3333" s="21" t="n">
        <v>3402</v>
      </c>
      <c r="B3333" s="21" t="inlineStr">
        <is>
          <t>The Secret of Kells</t>
        </is>
      </c>
      <c r="C3333" s="21" t="n">
        <v>2009</v>
      </c>
      <c r="D3333" s="21" t="inlineStr">
        <is>
          <t>France</t>
        </is>
      </c>
      <c r="E3333" s="21" t="n">
        <v>75</v>
      </c>
      <c r="F3333" s="21" t="inlineStr">
        <is>
          <t>English</t>
        </is>
      </c>
      <c r="G3333" s="21" t="inlineStr">
        <is>
          <t>Not Rated</t>
        </is>
      </c>
      <c r="H3333" s="22" t="n">
        <v>686383</v>
      </c>
      <c r="I3333" s="22" t="n">
        <v>6500000</v>
      </c>
      <c r="J3333" s="21">
        <f>IF(OR(H3333="",H3333=25529689.5),"Yes","No")</f>
        <v/>
      </c>
      <c r="K3333" s="21">
        <f>IF(AND(D3333="USA",C3333&gt;=1980,J3333="No"),"Yes","No")</f>
        <v/>
      </c>
      <c r="L3333" s="26">
        <f>IF(J3333="Yes","",H3333-I3333)</f>
        <v/>
      </c>
      <c r="M3333" s="27">
        <f>IF(OR(J3333="Yes",I3333=0),"",H3333/I3333)</f>
        <v/>
      </c>
      <c r="N3333" s="21">
        <f>IF(J3333="Yes","",IF(H3333&gt;=I3333,1,0))</f>
        <v/>
      </c>
      <c r="O3333" s="21">
        <f>IF(I3333&lt;=5000000,"Under $5M",IF(I3333&lt;=20000000,"$5M-20M",IF(I3333&lt;=50000000,"$20M-50M",IF(I3333&lt;=100000000,"$50M-100M","$100M+"))))</f>
        <v/>
      </c>
      <c r="P3333" s="21">
        <f>IF(E3333&lt;=90,"90 or less",IF(E3333&lt;=105,"91-105",IF(E3333&lt;=120,"106-120",IF(E3333&lt;=140,"121-140","Over 140"))))</f>
        <v/>
      </c>
      <c r="Q3333" s="28">
        <f>INT(C3333/10)*10</f>
        <v/>
      </c>
    </row>
    <row r="3334">
      <c r="A3334" s="21" t="n">
        <v>3403</v>
      </c>
      <c r="B3334" s="21" t="inlineStr">
        <is>
          <t>The Soloist</t>
        </is>
      </c>
      <c r="C3334" s="21" t="n">
        <v>2009</v>
      </c>
      <c r="D3334" s="21" t="inlineStr">
        <is>
          <t>UK</t>
        </is>
      </c>
      <c r="E3334" s="21" t="n">
        <v>117</v>
      </c>
      <c r="F3334" s="21" t="inlineStr">
        <is>
          <t>English</t>
        </is>
      </c>
      <c r="G3334" s="21" t="inlineStr">
        <is>
          <t>PG-13</t>
        </is>
      </c>
      <c r="H3334" s="22" t="n">
        <v>31670931</v>
      </c>
      <c r="I3334" s="22" t="n">
        <v>60000000</v>
      </c>
      <c r="J3334" s="21">
        <f>IF(OR(H3334="",H3334=25529689.5),"Yes","No")</f>
        <v/>
      </c>
      <c r="K3334" s="21">
        <f>IF(AND(D3334="USA",C3334&gt;=1980,J3334="No"),"Yes","No")</f>
        <v/>
      </c>
      <c r="L3334" s="26">
        <f>IF(J3334="Yes","",H3334-I3334)</f>
        <v/>
      </c>
      <c r="M3334" s="27">
        <f>IF(OR(J3334="Yes",I3334=0),"",H3334/I3334)</f>
        <v/>
      </c>
      <c r="N3334" s="21">
        <f>IF(J3334="Yes","",IF(H3334&gt;=I3334,1,0))</f>
        <v/>
      </c>
      <c r="O3334" s="21">
        <f>IF(I3334&lt;=5000000,"Under $5M",IF(I3334&lt;=20000000,"$5M-20M",IF(I3334&lt;=50000000,"$20M-50M",IF(I3334&lt;=100000000,"$50M-100M","$100M+"))))</f>
        <v/>
      </c>
      <c r="P3334" s="21">
        <f>IF(E3334&lt;=90,"90 or less",IF(E3334&lt;=105,"91-105",IF(E3334&lt;=120,"106-120",IF(E3334&lt;=140,"121-140","Over 140"))))</f>
        <v/>
      </c>
      <c r="Q3334" s="28">
        <f>INT(C3334/10)*10</f>
        <v/>
      </c>
    </row>
    <row r="3335">
      <c r="A3335" s="21" t="n">
        <v>3404</v>
      </c>
      <c r="B3335" s="21" t="inlineStr">
        <is>
          <t>The Stepfather</t>
        </is>
      </c>
      <c r="C3335" s="21" t="n">
        <v>2009</v>
      </c>
      <c r="D3335" s="21" t="inlineStr">
        <is>
          <t>USA</t>
        </is>
      </c>
      <c r="E3335" s="21" t="n">
        <v>101</v>
      </c>
      <c r="F3335" s="21" t="inlineStr">
        <is>
          <t>English</t>
        </is>
      </c>
      <c r="G3335" s="21" t="inlineStr">
        <is>
          <t>PG-13</t>
        </is>
      </c>
      <c r="H3335" s="22" t="n">
        <v>29062561</v>
      </c>
      <c r="I3335" s="22" t="n">
        <v>20000000</v>
      </c>
      <c r="J3335" s="21">
        <f>IF(OR(H3335="",H3335=25529689.5),"Yes","No")</f>
        <v/>
      </c>
      <c r="K3335" s="21">
        <f>IF(AND(D3335="USA",C3335&gt;=1980,J3335="No"),"Yes","No")</f>
        <v/>
      </c>
      <c r="L3335" s="26">
        <f>IF(J3335="Yes","",H3335-I3335)</f>
        <v/>
      </c>
      <c r="M3335" s="27">
        <f>IF(OR(J3335="Yes",I3335=0),"",H3335/I3335)</f>
        <v/>
      </c>
      <c r="N3335" s="21">
        <f>IF(J3335="Yes","",IF(H3335&gt;=I3335,1,0))</f>
        <v/>
      </c>
      <c r="O3335" s="21">
        <f>IF(I3335&lt;=5000000,"Under $5M",IF(I3335&lt;=20000000,"$5M-20M",IF(I3335&lt;=50000000,"$20M-50M",IF(I3335&lt;=100000000,"$50M-100M","$100M+"))))</f>
        <v/>
      </c>
      <c r="P3335" s="21">
        <f>IF(E3335&lt;=90,"90 or less",IF(E3335&lt;=105,"91-105",IF(E3335&lt;=120,"106-120",IF(E3335&lt;=140,"121-140","Over 140"))))</f>
        <v/>
      </c>
      <c r="Q3335" s="28">
        <f>INT(C3335/10)*10</f>
        <v/>
      </c>
    </row>
    <row r="3336">
      <c r="A3336" s="21" t="n">
        <v>3405</v>
      </c>
      <c r="B3336" s="21" t="inlineStr">
        <is>
          <t>The Taking of Pelham 1 2 3</t>
        </is>
      </c>
      <c r="C3336" s="21" t="n">
        <v>2009</v>
      </c>
      <c r="D3336" s="21" t="inlineStr">
        <is>
          <t>USA</t>
        </is>
      </c>
      <c r="E3336" s="21" t="n">
        <v>106</v>
      </c>
      <c r="F3336" s="21" t="inlineStr">
        <is>
          <t>English</t>
        </is>
      </c>
      <c r="G3336" s="21" t="inlineStr">
        <is>
          <t>R</t>
        </is>
      </c>
      <c r="H3336" s="22" t="n">
        <v>65452312</v>
      </c>
      <c r="I3336" s="22" t="n">
        <v>100000000</v>
      </c>
      <c r="J3336" s="21">
        <f>IF(OR(H3336="",H3336=25529689.5),"Yes","No")</f>
        <v/>
      </c>
      <c r="K3336" s="21">
        <f>IF(AND(D3336="USA",C3336&gt;=1980,J3336="No"),"Yes","No")</f>
        <v/>
      </c>
      <c r="L3336" s="26">
        <f>IF(J3336="Yes","",H3336-I3336)</f>
        <v/>
      </c>
      <c r="M3336" s="27">
        <f>IF(OR(J3336="Yes",I3336=0),"",H3336/I3336)</f>
        <v/>
      </c>
      <c r="N3336" s="21">
        <f>IF(J3336="Yes","",IF(H3336&gt;=I3336,1,0))</f>
        <v/>
      </c>
      <c r="O3336" s="21">
        <f>IF(I3336&lt;=5000000,"Under $5M",IF(I3336&lt;=20000000,"$5M-20M",IF(I3336&lt;=50000000,"$20M-50M",IF(I3336&lt;=100000000,"$50M-100M","$100M+"))))</f>
        <v/>
      </c>
      <c r="P3336" s="21">
        <f>IF(E3336&lt;=90,"90 or less",IF(E3336&lt;=105,"91-105",IF(E3336&lt;=120,"106-120",IF(E3336&lt;=140,"121-140","Over 140"))))</f>
        <v/>
      </c>
      <c r="Q3336" s="28">
        <f>INT(C3336/10)*10</f>
        <v/>
      </c>
    </row>
    <row r="3337">
      <c r="A3337" s="21" t="n">
        <v>3406</v>
      </c>
      <c r="B3337" s="21" t="inlineStr">
        <is>
          <t>The Time Traveler's Wife</t>
        </is>
      </c>
      <c r="C3337" s="21" t="n">
        <v>2009</v>
      </c>
      <c r="D3337" s="21" t="inlineStr">
        <is>
          <t>USA</t>
        </is>
      </c>
      <c r="E3337" s="21" t="n">
        <v>107</v>
      </c>
      <c r="F3337" s="21" t="inlineStr">
        <is>
          <t>English</t>
        </is>
      </c>
      <c r="G3337" s="21" t="inlineStr">
        <is>
          <t>PG-13</t>
        </is>
      </c>
      <c r="H3337" s="22" t="n">
        <v>63411478</v>
      </c>
      <c r="I3337" s="22" t="n">
        <v>39000000</v>
      </c>
      <c r="J3337" s="21">
        <f>IF(OR(H3337="",H3337=25529689.5),"Yes","No")</f>
        <v/>
      </c>
      <c r="K3337" s="21">
        <f>IF(AND(D3337="USA",C3337&gt;=1980,J3337="No"),"Yes","No")</f>
        <v/>
      </c>
      <c r="L3337" s="26">
        <f>IF(J3337="Yes","",H3337-I3337)</f>
        <v/>
      </c>
      <c r="M3337" s="27">
        <f>IF(OR(J3337="Yes",I3337=0),"",H3337/I3337)</f>
        <v/>
      </c>
      <c r="N3337" s="21">
        <f>IF(J3337="Yes","",IF(H3337&gt;=I3337,1,0))</f>
        <v/>
      </c>
      <c r="O3337" s="21">
        <f>IF(I3337&lt;=5000000,"Under $5M",IF(I3337&lt;=20000000,"$5M-20M",IF(I3337&lt;=50000000,"$20M-50M",IF(I3337&lt;=100000000,"$50M-100M","$100M+"))))</f>
        <v/>
      </c>
      <c r="P3337" s="21">
        <f>IF(E3337&lt;=90,"90 or less",IF(E3337&lt;=105,"91-105",IF(E3337&lt;=120,"106-120",IF(E3337&lt;=140,"121-140","Over 140"))))</f>
        <v/>
      </c>
      <c r="Q3337" s="28">
        <f>INT(C3337/10)*10</f>
        <v/>
      </c>
    </row>
    <row r="3338">
      <c r="A3338" s="21" t="n">
        <v>3407</v>
      </c>
      <c r="B3338" s="21" t="inlineStr">
        <is>
          <t>The True Story of Puss'N Boots</t>
        </is>
      </c>
      <c r="C3338" s="21" t="n">
        <v>2009</v>
      </c>
      <c r="D3338" s="21" t="inlineStr">
        <is>
          <t>France</t>
        </is>
      </c>
      <c r="E3338" s="21" t="n">
        <v>80</v>
      </c>
      <c r="F3338" s="21" t="inlineStr">
        <is>
          <t>English</t>
        </is>
      </c>
      <c r="G3338" s="21" t="inlineStr">
        <is>
          <t>G</t>
        </is>
      </c>
      <c r="H3338" s="22" t="n">
        <v>25529689.5</v>
      </c>
      <c r="I3338" s="22" t="n">
        <v>25000000</v>
      </c>
      <c r="J3338" s="21">
        <f>IF(OR(H3338="",H3338=25529689.5),"Yes","No")</f>
        <v/>
      </c>
      <c r="K3338" s="21">
        <f>IF(AND(D3338="USA",C3338&gt;=1980,J3338="No"),"Yes","No")</f>
        <v/>
      </c>
      <c r="L3338" s="26">
        <f>IF(J3338="Yes","",H3338-I3338)</f>
        <v/>
      </c>
      <c r="M3338" s="27">
        <f>IF(OR(J3338="Yes",I3338=0),"",H3338/I3338)</f>
        <v/>
      </c>
      <c r="N3338" s="21">
        <f>IF(J3338="Yes","",IF(H3338&gt;=I3338,1,0))</f>
        <v/>
      </c>
      <c r="O3338" s="21">
        <f>IF(I3338&lt;=5000000,"Under $5M",IF(I3338&lt;=20000000,"$5M-20M",IF(I3338&lt;=50000000,"$20M-50M",IF(I3338&lt;=100000000,"$50M-100M","$100M+"))))</f>
        <v/>
      </c>
      <c r="P3338" s="21">
        <f>IF(E3338&lt;=90,"90 or less",IF(E3338&lt;=105,"91-105",IF(E3338&lt;=120,"106-120",IF(E3338&lt;=140,"121-140","Over 140"))))</f>
        <v/>
      </c>
      <c r="Q3338" s="28">
        <f>INT(C3338/10)*10</f>
        <v/>
      </c>
    </row>
    <row r="3339">
      <c r="A3339" s="21" t="n">
        <v>3408</v>
      </c>
      <c r="B3339" s="21" t="inlineStr">
        <is>
          <t>The Twilight Saga: New Moon</t>
        </is>
      </c>
      <c r="C3339" s="21" t="n">
        <v>2009</v>
      </c>
      <c r="D3339" s="21" t="inlineStr">
        <is>
          <t>USA</t>
        </is>
      </c>
      <c r="E3339" s="21" t="n">
        <v>130</v>
      </c>
      <c r="F3339" s="21" t="inlineStr">
        <is>
          <t>English</t>
        </is>
      </c>
      <c r="G3339" s="21" t="inlineStr">
        <is>
          <t>PG-13</t>
        </is>
      </c>
      <c r="H3339" s="22" t="n">
        <v>296623634</v>
      </c>
      <c r="I3339" s="22" t="n">
        <v>50000000</v>
      </c>
      <c r="J3339" s="21">
        <f>IF(OR(H3339="",H3339=25529689.5),"Yes","No")</f>
        <v/>
      </c>
      <c r="K3339" s="21">
        <f>IF(AND(D3339="USA",C3339&gt;=1980,J3339="No"),"Yes","No")</f>
        <v/>
      </c>
      <c r="L3339" s="26">
        <f>IF(J3339="Yes","",H3339-I3339)</f>
        <v/>
      </c>
      <c r="M3339" s="27">
        <f>IF(OR(J3339="Yes",I3339=0),"",H3339/I3339)</f>
        <v/>
      </c>
      <c r="N3339" s="21">
        <f>IF(J3339="Yes","",IF(H3339&gt;=I3339,1,0))</f>
        <v/>
      </c>
      <c r="O3339" s="21">
        <f>IF(I3339&lt;=5000000,"Under $5M",IF(I3339&lt;=20000000,"$5M-20M",IF(I3339&lt;=50000000,"$20M-50M",IF(I3339&lt;=100000000,"$50M-100M","$100M+"))))</f>
        <v/>
      </c>
      <c r="P3339" s="21">
        <f>IF(E3339&lt;=90,"90 or less",IF(E3339&lt;=105,"91-105",IF(E3339&lt;=120,"106-120",IF(E3339&lt;=140,"121-140","Over 140"))))</f>
        <v/>
      </c>
      <c r="Q3339" s="28">
        <f>INT(C3339/10)*10</f>
        <v/>
      </c>
    </row>
    <row r="3340">
      <c r="A3340" s="21" t="n">
        <v>3409</v>
      </c>
      <c r="B3340" s="21" t="inlineStr">
        <is>
          <t>The Ugly Truth</t>
        </is>
      </c>
      <c r="C3340" s="21" t="n">
        <v>2009</v>
      </c>
      <c r="D3340" s="21" t="inlineStr">
        <is>
          <t>USA</t>
        </is>
      </c>
      <c r="E3340" s="21" t="n">
        <v>96</v>
      </c>
      <c r="F3340" s="21" t="inlineStr">
        <is>
          <t>English</t>
        </is>
      </c>
      <c r="G3340" s="21" t="inlineStr">
        <is>
          <t>R</t>
        </is>
      </c>
      <c r="H3340" s="22" t="n">
        <v>88915214</v>
      </c>
      <c r="I3340" s="22" t="n">
        <v>38000000</v>
      </c>
      <c r="J3340" s="21">
        <f>IF(OR(H3340="",H3340=25529689.5),"Yes","No")</f>
        <v/>
      </c>
      <c r="K3340" s="21">
        <f>IF(AND(D3340="USA",C3340&gt;=1980,J3340="No"),"Yes","No")</f>
        <v/>
      </c>
      <c r="L3340" s="26">
        <f>IF(J3340="Yes","",H3340-I3340)</f>
        <v/>
      </c>
      <c r="M3340" s="27">
        <f>IF(OR(J3340="Yes",I3340=0),"",H3340/I3340)</f>
        <v/>
      </c>
      <c r="N3340" s="21">
        <f>IF(J3340="Yes","",IF(H3340&gt;=I3340,1,0))</f>
        <v/>
      </c>
      <c r="O3340" s="21">
        <f>IF(I3340&lt;=5000000,"Under $5M",IF(I3340&lt;=20000000,"$5M-20M",IF(I3340&lt;=50000000,"$20M-50M",IF(I3340&lt;=100000000,"$50M-100M","$100M+"))))</f>
        <v/>
      </c>
      <c r="P3340" s="21">
        <f>IF(E3340&lt;=90,"90 or less",IF(E3340&lt;=105,"91-105",IF(E3340&lt;=120,"106-120",IF(E3340&lt;=140,"121-140","Over 140"))))</f>
        <v/>
      </c>
      <c r="Q3340" s="28">
        <f>INT(C3340/10)*10</f>
        <v/>
      </c>
    </row>
    <row r="3341">
      <c r="A3341" s="21" t="n">
        <v>3410</v>
      </c>
      <c r="B3341" s="21" t="inlineStr">
        <is>
          <t>The Unborn</t>
        </is>
      </c>
      <c r="C3341" s="21" t="n">
        <v>2009</v>
      </c>
      <c r="D3341" s="21" t="inlineStr">
        <is>
          <t>USA</t>
        </is>
      </c>
      <c r="E3341" s="21" t="n">
        <v>89</v>
      </c>
      <c r="F3341" s="21" t="inlineStr">
        <is>
          <t>English</t>
        </is>
      </c>
      <c r="G3341" s="21" t="inlineStr">
        <is>
          <t>PG-13</t>
        </is>
      </c>
      <c r="H3341" s="22" t="n">
        <v>42638165</v>
      </c>
      <c r="I3341" s="22" t="n">
        <v>16000000</v>
      </c>
      <c r="J3341" s="21">
        <f>IF(OR(H3341="",H3341=25529689.5),"Yes","No")</f>
        <v/>
      </c>
      <c r="K3341" s="21">
        <f>IF(AND(D3341="USA",C3341&gt;=1980,J3341="No"),"Yes","No")</f>
        <v/>
      </c>
      <c r="L3341" s="26">
        <f>IF(J3341="Yes","",H3341-I3341)</f>
        <v/>
      </c>
      <c r="M3341" s="27">
        <f>IF(OR(J3341="Yes",I3341=0),"",H3341/I3341)</f>
        <v/>
      </c>
      <c r="N3341" s="21">
        <f>IF(J3341="Yes","",IF(H3341&gt;=I3341,1,0))</f>
        <v/>
      </c>
      <c r="O3341" s="21">
        <f>IF(I3341&lt;=5000000,"Under $5M",IF(I3341&lt;=20000000,"$5M-20M",IF(I3341&lt;=50000000,"$20M-50M",IF(I3341&lt;=100000000,"$50M-100M","$100M+"))))</f>
        <v/>
      </c>
      <c r="P3341" s="21">
        <f>IF(E3341&lt;=90,"90 or less",IF(E3341&lt;=105,"91-105",IF(E3341&lt;=120,"106-120",IF(E3341&lt;=140,"121-140","Over 140"))))</f>
        <v/>
      </c>
      <c r="Q3341" s="28">
        <f>INT(C3341/10)*10</f>
        <v/>
      </c>
    </row>
    <row r="3342">
      <c r="A3342" s="21" t="n">
        <v>3412</v>
      </c>
      <c r="B3342" s="21" t="inlineStr">
        <is>
          <t>The White Ribbon</t>
        </is>
      </c>
      <c r="C3342" s="21" t="n">
        <v>2009</v>
      </c>
      <c r="D3342" s="21" t="inlineStr">
        <is>
          <t>Germany</t>
        </is>
      </c>
      <c r="E3342" s="21" t="n">
        <v>144</v>
      </c>
      <c r="F3342" s="21" t="inlineStr">
        <is>
          <t>German</t>
        </is>
      </c>
      <c r="G3342" s="21" t="inlineStr">
        <is>
          <t>R</t>
        </is>
      </c>
      <c r="H3342" s="22" t="n">
        <v>2222647</v>
      </c>
      <c r="I3342" s="22" t="n">
        <v>12000000</v>
      </c>
      <c r="J3342" s="21">
        <f>IF(OR(H3342="",H3342=25529689.5),"Yes","No")</f>
        <v/>
      </c>
      <c r="K3342" s="21">
        <f>IF(AND(D3342="USA",C3342&gt;=1980,J3342="No"),"Yes","No")</f>
        <v/>
      </c>
      <c r="L3342" s="26">
        <f>IF(J3342="Yes","",H3342-I3342)</f>
        <v/>
      </c>
      <c r="M3342" s="27">
        <f>IF(OR(J3342="Yes",I3342=0),"",H3342/I3342)</f>
        <v/>
      </c>
      <c r="N3342" s="21">
        <f>IF(J3342="Yes","",IF(H3342&gt;=I3342,1,0))</f>
        <v/>
      </c>
      <c r="O3342" s="21">
        <f>IF(I3342&lt;=5000000,"Under $5M",IF(I3342&lt;=20000000,"$5M-20M",IF(I3342&lt;=50000000,"$20M-50M",IF(I3342&lt;=100000000,"$50M-100M","$100M+"))))</f>
        <v/>
      </c>
      <c r="P3342" s="21">
        <f>IF(E3342&lt;=90,"90 or less",IF(E3342&lt;=105,"91-105",IF(E3342&lt;=120,"106-120",IF(E3342&lt;=140,"121-140","Over 140"))))</f>
        <v/>
      </c>
      <c r="Q3342" s="28">
        <f>INT(C3342/10)*10</f>
        <v/>
      </c>
    </row>
    <row r="3343">
      <c r="A3343" s="21" t="n">
        <v>3413</v>
      </c>
      <c r="B3343" s="21" t="inlineStr">
        <is>
          <t>The Young Victoria</t>
        </is>
      </c>
      <c r="C3343" s="21" t="n">
        <v>2009</v>
      </c>
      <c r="D3343" s="21" t="inlineStr">
        <is>
          <t>UK</t>
        </is>
      </c>
      <c r="E3343" s="21" t="n">
        <v>100</v>
      </c>
      <c r="F3343" s="21" t="inlineStr">
        <is>
          <t>English</t>
        </is>
      </c>
      <c r="G3343" s="21" t="inlineStr">
        <is>
          <t>PG</t>
        </is>
      </c>
      <c r="H3343" s="22" t="n">
        <v>10991381</v>
      </c>
      <c r="I3343" s="22" t="n">
        <v>35000000</v>
      </c>
      <c r="J3343" s="21">
        <f>IF(OR(H3343="",H3343=25529689.5),"Yes","No")</f>
        <v/>
      </c>
      <c r="K3343" s="21">
        <f>IF(AND(D3343="USA",C3343&gt;=1980,J3343="No"),"Yes","No")</f>
        <v/>
      </c>
      <c r="L3343" s="26">
        <f>IF(J3343="Yes","",H3343-I3343)</f>
        <v/>
      </c>
      <c r="M3343" s="27">
        <f>IF(OR(J3343="Yes",I3343=0),"",H3343/I3343)</f>
        <v/>
      </c>
      <c r="N3343" s="21">
        <f>IF(J3343="Yes","",IF(H3343&gt;=I3343,1,0))</f>
        <v/>
      </c>
      <c r="O3343" s="21">
        <f>IF(I3343&lt;=5000000,"Under $5M",IF(I3343&lt;=20000000,"$5M-20M",IF(I3343&lt;=50000000,"$20M-50M",IF(I3343&lt;=100000000,"$50M-100M","$100M+"))))</f>
        <v/>
      </c>
      <c r="P3343" s="21">
        <f>IF(E3343&lt;=90,"90 or less",IF(E3343&lt;=105,"91-105",IF(E3343&lt;=120,"106-120",IF(E3343&lt;=140,"121-140","Over 140"))))</f>
        <v/>
      </c>
      <c r="Q3343" s="28">
        <f>INT(C3343/10)*10</f>
        <v/>
      </c>
    </row>
    <row r="3344">
      <c r="A3344" s="21" t="n">
        <v>3414</v>
      </c>
      <c r="B3344" s="21" t="inlineStr">
        <is>
          <t>This Is It</t>
        </is>
      </c>
      <c r="C3344" s="21" t="n">
        <v>2009</v>
      </c>
      <c r="D3344" s="21" t="inlineStr">
        <is>
          <t>USA</t>
        </is>
      </c>
      <c r="E3344" s="21" t="n">
        <v>111</v>
      </c>
      <c r="F3344" s="21" t="inlineStr">
        <is>
          <t>English</t>
        </is>
      </c>
      <c r="G3344" s="21" t="inlineStr">
        <is>
          <t>PG</t>
        </is>
      </c>
      <c r="H3344" s="22" t="n">
        <v>71844424</v>
      </c>
      <c r="I3344" s="22" t="n">
        <v>60000000</v>
      </c>
      <c r="J3344" s="21">
        <f>IF(OR(H3344="",H3344=25529689.5),"Yes","No")</f>
        <v/>
      </c>
      <c r="K3344" s="21">
        <f>IF(AND(D3344="USA",C3344&gt;=1980,J3344="No"),"Yes","No")</f>
        <v/>
      </c>
      <c r="L3344" s="26">
        <f>IF(J3344="Yes","",H3344-I3344)</f>
        <v/>
      </c>
      <c r="M3344" s="27">
        <f>IF(OR(J3344="Yes",I3344=0),"",H3344/I3344)</f>
        <v/>
      </c>
      <c r="N3344" s="21">
        <f>IF(J3344="Yes","",IF(H3344&gt;=I3344,1,0))</f>
        <v/>
      </c>
      <c r="O3344" s="21">
        <f>IF(I3344&lt;=5000000,"Under $5M",IF(I3344&lt;=20000000,"$5M-20M",IF(I3344&lt;=50000000,"$20M-50M",IF(I3344&lt;=100000000,"$50M-100M","$100M+"))))</f>
        <v/>
      </c>
      <c r="P3344" s="21">
        <f>IF(E3344&lt;=90,"90 or less",IF(E3344&lt;=105,"91-105",IF(E3344&lt;=120,"106-120",IF(E3344&lt;=140,"121-140","Over 140"))))</f>
        <v/>
      </c>
      <c r="Q3344" s="28">
        <f>INT(C3344/10)*10</f>
        <v/>
      </c>
    </row>
    <row r="3345">
      <c r="A3345" s="21" t="n">
        <v>3415</v>
      </c>
      <c r="B3345" s="21" t="inlineStr">
        <is>
          <t>Tidal Wave</t>
        </is>
      </c>
      <c r="C3345" s="21" t="n">
        <v>2009</v>
      </c>
      <c r="D3345" s="21" t="inlineStr">
        <is>
          <t>South Korea</t>
        </is>
      </c>
      <c r="E3345" s="21" t="n">
        <v>103</v>
      </c>
      <c r="F3345" s="21" t="inlineStr">
        <is>
          <t>Korean</t>
        </is>
      </c>
      <c r="G3345" s="21" t="inlineStr">
        <is>
          <t>R</t>
        </is>
      </c>
      <c r="H3345" s="22" t="n">
        <v>25529689.5</v>
      </c>
      <c r="I3345" s="22" t="n">
        <v>20000000</v>
      </c>
      <c r="J3345" s="21">
        <f>IF(OR(H3345="",H3345=25529689.5),"Yes","No")</f>
        <v/>
      </c>
      <c r="K3345" s="21">
        <f>IF(AND(D3345="USA",C3345&gt;=1980,J3345="No"),"Yes","No")</f>
        <v/>
      </c>
      <c r="L3345" s="26">
        <f>IF(J3345="Yes","",H3345-I3345)</f>
        <v/>
      </c>
      <c r="M3345" s="27">
        <f>IF(OR(J3345="Yes",I3345=0),"",H3345/I3345)</f>
        <v/>
      </c>
      <c r="N3345" s="21">
        <f>IF(J3345="Yes","",IF(H3345&gt;=I3345,1,0))</f>
        <v/>
      </c>
      <c r="O3345" s="21">
        <f>IF(I3345&lt;=5000000,"Under $5M",IF(I3345&lt;=20000000,"$5M-20M",IF(I3345&lt;=50000000,"$20M-50M",IF(I3345&lt;=100000000,"$50M-100M","$100M+"))))</f>
        <v/>
      </c>
      <c r="P3345" s="21">
        <f>IF(E3345&lt;=90,"90 or less",IF(E3345&lt;=105,"91-105",IF(E3345&lt;=120,"106-120",IF(E3345&lt;=140,"121-140","Over 140"))))</f>
        <v/>
      </c>
      <c r="Q3345" s="28">
        <f>INT(C3345/10)*10</f>
        <v/>
      </c>
    </row>
    <row r="3346">
      <c r="A3346" s="21" t="n">
        <v>3416</v>
      </c>
      <c r="B3346" s="21" t="inlineStr">
        <is>
          <t>To Save a Life</t>
        </is>
      </c>
      <c r="C3346" s="21" t="n">
        <v>2009</v>
      </c>
      <c r="D3346" s="21" t="inlineStr">
        <is>
          <t>USA</t>
        </is>
      </c>
      <c r="E3346" s="21" t="n">
        <v>120</v>
      </c>
      <c r="F3346" s="21" t="inlineStr">
        <is>
          <t>English</t>
        </is>
      </c>
      <c r="G3346" s="21" t="inlineStr">
        <is>
          <t>PG-13</t>
        </is>
      </c>
      <c r="H3346" s="22" t="n">
        <v>3773863</v>
      </c>
      <c r="I3346" s="22" t="n">
        <v>1000000</v>
      </c>
      <c r="J3346" s="21">
        <f>IF(OR(H3346="",H3346=25529689.5),"Yes","No")</f>
        <v/>
      </c>
      <c r="K3346" s="21">
        <f>IF(AND(D3346="USA",C3346&gt;=1980,J3346="No"),"Yes","No")</f>
        <v/>
      </c>
      <c r="L3346" s="26">
        <f>IF(J3346="Yes","",H3346-I3346)</f>
        <v/>
      </c>
      <c r="M3346" s="27">
        <f>IF(OR(J3346="Yes",I3346=0),"",H3346/I3346)</f>
        <v/>
      </c>
      <c r="N3346" s="21">
        <f>IF(J3346="Yes","",IF(H3346&gt;=I3346,1,0))</f>
        <v/>
      </c>
      <c r="O3346" s="21">
        <f>IF(I3346&lt;=5000000,"Under $5M",IF(I3346&lt;=20000000,"$5M-20M",IF(I3346&lt;=50000000,"$20M-50M",IF(I3346&lt;=100000000,"$50M-100M","$100M+"))))</f>
        <v/>
      </c>
      <c r="P3346" s="21">
        <f>IF(E3346&lt;=90,"90 or less",IF(E3346&lt;=105,"91-105",IF(E3346&lt;=120,"106-120",IF(E3346&lt;=140,"121-140","Over 140"))))</f>
        <v/>
      </c>
      <c r="Q3346" s="28">
        <f>INT(C3346/10)*10</f>
        <v/>
      </c>
    </row>
    <row r="3347">
      <c r="A3347" s="21" t="n">
        <v>3417</v>
      </c>
      <c r="B3347" s="21" t="inlineStr">
        <is>
          <t>Transformers: Revenge of the Fallen</t>
        </is>
      </c>
      <c r="C3347" s="21" t="n">
        <v>2009</v>
      </c>
      <c r="D3347" s="21" t="inlineStr">
        <is>
          <t>USA</t>
        </is>
      </c>
      <c r="E3347" s="21" t="n">
        <v>150</v>
      </c>
      <c r="F3347" s="21" t="inlineStr">
        <is>
          <t>English</t>
        </is>
      </c>
      <c r="G3347" s="21" t="inlineStr">
        <is>
          <t>PG-13</t>
        </is>
      </c>
      <c r="H3347" s="22" t="n">
        <v>402076689</v>
      </c>
      <c r="I3347" s="22" t="n">
        <v>200000000</v>
      </c>
      <c r="J3347" s="21">
        <f>IF(OR(H3347="",H3347=25529689.5),"Yes","No")</f>
        <v/>
      </c>
      <c r="K3347" s="21">
        <f>IF(AND(D3347="USA",C3347&gt;=1980,J3347="No"),"Yes","No")</f>
        <v/>
      </c>
      <c r="L3347" s="26">
        <f>IF(J3347="Yes","",H3347-I3347)</f>
        <v/>
      </c>
      <c r="M3347" s="27">
        <f>IF(OR(J3347="Yes",I3347=0),"",H3347/I3347)</f>
        <v/>
      </c>
      <c r="N3347" s="21">
        <f>IF(J3347="Yes","",IF(H3347&gt;=I3347,1,0))</f>
        <v/>
      </c>
      <c r="O3347" s="21">
        <f>IF(I3347&lt;=5000000,"Under $5M",IF(I3347&lt;=20000000,"$5M-20M",IF(I3347&lt;=50000000,"$20M-50M",IF(I3347&lt;=100000000,"$50M-100M","$100M+"))))</f>
        <v/>
      </c>
      <c r="P3347" s="21">
        <f>IF(E3347&lt;=90,"90 or less",IF(E3347&lt;=105,"91-105",IF(E3347&lt;=120,"106-120",IF(E3347&lt;=140,"121-140","Over 140"))))</f>
        <v/>
      </c>
      <c r="Q3347" s="28">
        <f>INT(C3347/10)*10</f>
        <v/>
      </c>
    </row>
    <row r="3348">
      <c r="A3348" s="21" t="n">
        <v>3418</v>
      </c>
      <c r="B3348" s="21" t="inlineStr">
        <is>
          <t>Triangle</t>
        </is>
      </c>
      <c r="C3348" s="21" t="n">
        <v>2009</v>
      </c>
      <c r="D3348" s="21" t="inlineStr">
        <is>
          <t>UK</t>
        </is>
      </c>
      <c r="E3348" s="21" t="n">
        <v>99</v>
      </c>
      <c r="F3348" s="21" t="inlineStr">
        <is>
          <t>English</t>
        </is>
      </c>
      <c r="G3348" s="21" t="inlineStr">
        <is>
          <t>R</t>
        </is>
      </c>
      <c r="H3348" s="22" t="n">
        <v>25529689.5</v>
      </c>
      <c r="I3348" s="22" t="n">
        <v>12000000</v>
      </c>
      <c r="J3348" s="21">
        <f>IF(OR(H3348="",H3348=25529689.5),"Yes","No")</f>
        <v/>
      </c>
      <c r="K3348" s="21">
        <f>IF(AND(D3348="USA",C3348&gt;=1980,J3348="No"),"Yes","No")</f>
        <v/>
      </c>
      <c r="L3348" s="26">
        <f>IF(J3348="Yes","",H3348-I3348)</f>
        <v/>
      </c>
      <c r="M3348" s="27">
        <f>IF(OR(J3348="Yes",I3348=0),"",H3348/I3348)</f>
        <v/>
      </c>
      <c r="N3348" s="21">
        <f>IF(J3348="Yes","",IF(H3348&gt;=I3348,1,0))</f>
        <v/>
      </c>
      <c r="O3348" s="21">
        <f>IF(I3348&lt;=5000000,"Under $5M",IF(I3348&lt;=20000000,"$5M-20M",IF(I3348&lt;=50000000,"$20M-50M",IF(I3348&lt;=100000000,"$50M-100M","$100M+"))))</f>
        <v/>
      </c>
      <c r="P3348" s="21">
        <f>IF(E3348&lt;=90,"90 or less",IF(E3348&lt;=105,"91-105",IF(E3348&lt;=120,"106-120",IF(E3348&lt;=140,"121-140","Over 140"))))</f>
        <v/>
      </c>
      <c r="Q3348" s="28">
        <f>INT(C3348/10)*10</f>
        <v/>
      </c>
    </row>
    <row r="3349">
      <c r="A3349" s="21" t="n">
        <v>3419</v>
      </c>
      <c r="B3349" s="21" t="inlineStr">
        <is>
          <t>Underworld: Rise of the Lycans</t>
        </is>
      </c>
      <c r="C3349" s="21" t="n">
        <v>2009</v>
      </c>
      <c r="D3349" s="21" t="inlineStr">
        <is>
          <t>USA</t>
        </is>
      </c>
      <c r="E3349" s="21" t="n">
        <v>92</v>
      </c>
      <c r="F3349" s="21" t="inlineStr">
        <is>
          <t>English</t>
        </is>
      </c>
      <c r="G3349" s="21" t="inlineStr">
        <is>
          <t>R</t>
        </is>
      </c>
      <c r="H3349" s="22" t="n">
        <v>45802315</v>
      </c>
      <c r="I3349" s="22" t="n">
        <v>35000000</v>
      </c>
      <c r="J3349" s="21">
        <f>IF(OR(H3349="",H3349=25529689.5),"Yes","No")</f>
        <v/>
      </c>
      <c r="K3349" s="21">
        <f>IF(AND(D3349="USA",C3349&gt;=1980,J3349="No"),"Yes","No")</f>
        <v/>
      </c>
      <c r="L3349" s="26">
        <f>IF(J3349="Yes","",H3349-I3349)</f>
        <v/>
      </c>
      <c r="M3349" s="27">
        <f>IF(OR(J3349="Yes",I3349=0),"",H3349/I3349)</f>
        <v/>
      </c>
      <c r="N3349" s="21">
        <f>IF(J3349="Yes","",IF(H3349&gt;=I3349,1,0))</f>
        <v/>
      </c>
      <c r="O3349" s="21">
        <f>IF(I3349&lt;=5000000,"Under $5M",IF(I3349&lt;=20000000,"$5M-20M",IF(I3349&lt;=50000000,"$20M-50M",IF(I3349&lt;=100000000,"$50M-100M","$100M+"))))</f>
        <v/>
      </c>
      <c r="P3349" s="21">
        <f>IF(E3349&lt;=90,"90 or less",IF(E3349&lt;=105,"91-105",IF(E3349&lt;=120,"106-120",IF(E3349&lt;=140,"121-140","Over 140"))))</f>
        <v/>
      </c>
      <c r="Q3349" s="28">
        <f>INT(C3349/10)*10</f>
        <v/>
      </c>
    </row>
    <row r="3350">
      <c r="A3350" s="21" t="n">
        <v>3420</v>
      </c>
      <c r="B3350" s="21" t="inlineStr">
        <is>
          <t>Up</t>
        </is>
      </c>
      <c r="C3350" s="21" t="n">
        <v>2009</v>
      </c>
      <c r="D3350" s="21" t="inlineStr">
        <is>
          <t>USA</t>
        </is>
      </c>
      <c r="E3350" s="21" t="n">
        <v>96</v>
      </c>
      <c r="F3350" s="21" t="inlineStr">
        <is>
          <t>English</t>
        </is>
      </c>
      <c r="G3350" s="21" t="inlineStr">
        <is>
          <t>PG</t>
        </is>
      </c>
      <c r="H3350" s="22" t="n">
        <v>292979556</v>
      </c>
      <c r="I3350" s="22" t="n">
        <v>175000000</v>
      </c>
      <c r="J3350" s="21">
        <f>IF(OR(H3350="",H3350=25529689.5),"Yes","No")</f>
        <v/>
      </c>
      <c r="K3350" s="21">
        <f>IF(AND(D3350="USA",C3350&gt;=1980,J3350="No"),"Yes","No")</f>
        <v/>
      </c>
      <c r="L3350" s="26">
        <f>IF(J3350="Yes","",H3350-I3350)</f>
        <v/>
      </c>
      <c r="M3350" s="27">
        <f>IF(OR(J3350="Yes",I3350=0),"",H3350/I3350)</f>
        <v/>
      </c>
      <c r="N3350" s="21">
        <f>IF(J3350="Yes","",IF(H3350&gt;=I3350,1,0))</f>
        <v/>
      </c>
      <c r="O3350" s="21">
        <f>IF(I3350&lt;=5000000,"Under $5M",IF(I3350&lt;=20000000,"$5M-20M",IF(I3350&lt;=50000000,"$20M-50M",IF(I3350&lt;=100000000,"$50M-100M","$100M+"))))</f>
        <v/>
      </c>
      <c r="P3350" s="21">
        <f>IF(E3350&lt;=90,"90 or less",IF(E3350&lt;=105,"91-105",IF(E3350&lt;=120,"106-120",IF(E3350&lt;=140,"121-140","Over 140"))))</f>
        <v/>
      </c>
      <c r="Q3350" s="28">
        <f>INT(C3350/10)*10</f>
        <v/>
      </c>
    </row>
    <row r="3351">
      <c r="A3351" s="21" t="n">
        <v>3421</v>
      </c>
      <c r="B3351" s="21" t="inlineStr">
        <is>
          <t>Up in the Air</t>
        </is>
      </c>
      <c r="C3351" s="21" t="n">
        <v>2009</v>
      </c>
      <c r="D3351" s="21" t="inlineStr">
        <is>
          <t>USA</t>
        </is>
      </c>
      <c r="E3351" s="21" t="n">
        <v>108</v>
      </c>
      <c r="F3351" s="21" t="inlineStr">
        <is>
          <t>English</t>
        </is>
      </c>
      <c r="G3351" s="21" t="inlineStr">
        <is>
          <t>R</t>
        </is>
      </c>
      <c r="H3351" s="22" t="n">
        <v>83813460</v>
      </c>
      <c r="I3351" s="22" t="n">
        <v>25000000</v>
      </c>
      <c r="J3351" s="21">
        <f>IF(OR(H3351="",H3351=25529689.5),"Yes","No")</f>
        <v/>
      </c>
      <c r="K3351" s="21">
        <f>IF(AND(D3351="USA",C3351&gt;=1980,J3351="No"),"Yes","No")</f>
        <v/>
      </c>
      <c r="L3351" s="26">
        <f>IF(J3351="Yes","",H3351-I3351)</f>
        <v/>
      </c>
      <c r="M3351" s="27">
        <f>IF(OR(J3351="Yes",I3351=0),"",H3351/I3351)</f>
        <v/>
      </c>
      <c r="N3351" s="21">
        <f>IF(J3351="Yes","",IF(H3351&gt;=I3351,1,0))</f>
        <v/>
      </c>
      <c r="O3351" s="21">
        <f>IF(I3351&lt;=5000000,"Under $5M",IF(I3351&lt;=20000000,"$5M-20M",IF(I3351&lt;=50000000,"$20M-50M",IF(I3351&lt;=100000000,"$50M-100M","$100M+"))))</f>
        <v/>
      </c>
      <c r="P3351" s="21">
        <f>IF(E3351&lt;=90,"90 or less",IF(E3351&lt;=105,"91-105",IF(E3351&lt;=120,"106-120",IF(E3351&lt;=140,"121-140","Over 140"))))</f>
        <v/>
      </c>
      <c r="Q3351" s="28">
        <f>INT(C3351/10)*10</f>
        <v/>
      </c>
    </row>
    <row r="3352">
      <c r="A3352" s="21" t="n">
        <v>3422</v>
      </c>
      <c r="B3352" s="21" t="inlineStr">
        <is>
          <t>Vampire Killers</t>
        </is>
      </c>
      <c r="C3352" s="21" t="n">
        <v>2009</v>
      </c>
      <c r="D3352" s="21" t="inlineStr">
        <is>
          <t>UK</t>
        </is>
      </c>
      <c r="E3352" s="21" t="n">
        <v>88</v>
      </c>
      <c r="F3352" s="21" t="inlineStr">
        <is>
          <t>English</t>
        </is>
      </c>
      <c r="G3352" s="21" t="inlineStr">
        <is>
          <t>R</t>
        </is>
      </c>
      <c r="H3352" s="22" t="n">
        <v>25529689.5</v>
      </c>
      <c r="I3352" s="22" t="n">
        <v>20000000</v>
      </c>
      <c r="J3352" s="21">
        <f>IF(OR(H3352="",H3352=25529689.5),"Yes","No")</f>
        <v/>
      </c>
      <c r="K3352" s="21">
        <f>IF(AND(D3352="USA",C3352&gt;=1980,J3352="No"),"Yes","No")</f>
        <v/>
      </c>
      <c r="L3352" s="26">
        <f>IF(J3352="Yes","",H3352-I3352)</f>
        <v/>
      </c>
      <c r="M3352" s="27">
        <f>IF(OR(J3352="Yes",I3352=0),"",H3352/I3352)</f>
        <v/>
      </c>
      <c r="N3352" s="21">
        <f>IF(J3352="Yes","",IF(H3352&gt;=I3352,1,0))</f>
        <v/>
      </c>
      <c r="O3352" s="21">
        <f>IF(I3352&lt;=5000000,"Under $5M",IF(I3352&lt;=20000000,"$5M-20M",IF(I3352&lt;=50000000,"$20M-50M",IF(I3352&lt;=100000000,"$50M-100M","$100M+"))))</f>
        <v/>
      </c>
      <c r="P3352" s="21">
        <f>IF(E3352&lt;=90,"90 or less",IF(E3352&lt;=105,"91-105",IF(E3352&lt;=120,"106-120",IF(E3352&lt;=140,"121-140","Over 140"))))</f>
        <v/>
      </c>
      <c r="Q3352" s="28">
        <f>INT(C3352/10)*10</f>
        <v/>
      </c>
    </row>
    <row r="3353">
      <c r="A3353" s="21" t="n">
        <v>3423</v>
      </c>
      <c r="B3353" s="21" t="inlineStr">
        <is>
          <t>Veronika Decides to Die</t>
        </is>
      </c>
      <c r="C3353" s="21" t="n">
        <v>2009</v>
      </c>
      <c r="D3353" s="21" t="inlineStr">
        <is>
          <t>USA</t>
        </is>
      </c>
      <c r="E3353" s="21" t="n">
        <v>103</v>
      </c>
      <c r="F3353" s="21" t="inlineStr">
        <is>
          <t>English</t>
        </is>
      </c>
      <c r="G3353" s="21" t="inlineStr">
        <is>
          <t>R</t>
        </is>
      </c>
      <c r="H3353" s="22" t="n">
        <v>25529689.5</v>
      </c>
      <c r="I3353" s="22" t="n">
        <v>9000000</v>
      </c>
      <c r="J3353" s="21">
        <f>IF(OR(H3353="",H3353=25529689.5),"Yes","No")</f>
        <v/>
      </c>
      <c r="K3353" s="21">
        <f>IF(AND(D3353="USA",C3353&gt;=1980,J3353="No"),"Yes","No")</f>
        <v/>
      </c>
      <c r="L3353" s="26">
        <f>IF(J3353="Yes","",H3353-I3353)</f>
        <v/>
      </c>
      <c r="M3353" s="27">
        <f>IF(OR(J3353="Yes",I3353=0),"",H3353/I3353)</f>
        <v/>
      </c>
      <c r="N3353" s="21">
        <f>IF(J3353="Yes","",IF(H3353&gt;=I3353,1,0))</f>
        <v/>
      </c>
      <c r="O3353" s="21">
        <f>IF(I3353&lt;=5000000,"Under $5M",IF(I3353&lt;=20000000,"$5M-20M",IF(I3353&lt;=50000000,"$20M-50M",IF(I3353&lt;=100000000,"$50M-100M","$100M+"))))</f>
        <v/>
      </c>
      <c r="P3353" s="21">
        <f>IF(E3353&lt;=90,"90 or less",IF(E3353&lt;=105,"91-105",IF(E3353&lt;=120,"106-120",IF(E3353&lt;=140,"121-140","Over 140"))))</f>
        <v/>
      </c>
      <c r="Q3353" s="28">
        <f>INT(C3353/10)*10</f>
        <v/>
      </c>
    </row>
    <row r="3354">
      <c r="A3354" s="21" t="n">
        <v>3424</v>
      </c>
      <c r="B3354" s="21" t="inlineStr">
        <is>
          <t>Watchmen</t>
        </is>
      </c>
      <c r="C3354" s="21" t="n">
        <v>2009</v>
      </c>
      <c r="D3354" s="21" t="inlineStr">
        <is>
          <t>USA</t>
        </is>
      </c>
      <c r="E3354" s="21" t="n">
        <v>215</v>
      </c>
      <c r="F3354" s="21" t="inlineStr">
        <is>
          <t>English</t>
        </is>
      </c>
      <c r="G3354" s="21" t="inlineStr">
        <is>
          <t>R</t>
        </is>
      </c>
      <c r="H3354" s="22" t="n">
        <v>107503316</v>
      </c>
      <c r="I3354" s="22" t="n">
        <v>130000000</v>
      </c>
      <c r="J3354" s="21">
        <f>IF(OR(H3354="",H3354=25529689.5),"Yes","No")</f>
        <v/>
      </c>
      <c r="K3354" s="21">
        <f>IF(AND(D3354="USA",C3354&gt;=1980,J3354="No"),"Yes","No")</f>
        <v/>
      </c>
      <c r="L3354" s="26">
        <f>IF(J3354="Yes","",H3354-I3354)</f>
        <v/>
      </c>
      <c r="M3354" s="27">
        <f>IF(OR(J3354="Yes",I3354=0),"",H3354/I3354)</f>
        <v/>
      </c>
      <c r="N3354" s="21">
        <f>IF(J3354="Yes","",IF(H3354&gt;=I3354,1,0))</f>
        <v/>
      </c>
      <c r="O3354" s="21">
        <f>IF(I3354&lt;=5000000,"Under $5M",IF(I3354&lt;=20000000,"$5M-20M",IF(I3354&lt;=50000000,"$20M-50M",IF(I3354&lt;=100000000,"$50M-100M","$100M+"))))</f>
        <v/>
      </c>
      <c r="P3354" s="21">
        <f>IF(E3354&lt;=90,"90 or less",IF(E3354&lt;=105,"91-105",IF(E3354&lt;=120,"106-120",IF(E3354&lt;=140,"121-140","Over 140"))))</f>
        <v/>
      </c>
      <c r="Q3354" s="28">
        <f>INT(C3354/10)*10</f>
        <v/>
      </c>
    </row>
    <row r="3355">
      <c r="A3355" s="21" t="n">
        <v>3425</v>
      </c>
      <c r="B3355" s="21" t="inlineStr">
        <is>
          <t>Whatever Works</t>
        </is>
      </c>
      <c r="C3355" s="21" t="n">
        <v>2009</v>
      </c>
      <c r="D3355" s="21" t="inlineStr">
        <is>
          <t>USA</t>
        </is>
      </c>
      <c r="E3355" s="21" t="n">
        <v>92</v>
      </c>
      <c r="F3355" s="21" t="inlineStr">
        <is>
          <t>English</t>
        </is>
      </c>
      <c r="G3355" s="21" t="inlineStr">
        <is>
          <t>PG-13</t>
        </is>
      </c>
      <c r="H3355" s="22" t="n">
        <v>5306447</v>
      </c>
      <c r="I3355" s="22" t="n">
        <v>15000000</v>
      </c>
      <c r="J3355" s="21">
        <f>IF(OR(H3355="",H3355=25529689.5),"Yes","No")</f>
        <v/>
      </c>
      <c r="K3355" s="21">
        <f>IF(AND(D3355="USA",C3355&gt;=1980,J3355="No"),"Yes","No")</f>
        <v/>
      </c>
      <c r="L3355" s="26">
        <f>IF(J3355="Yes","",H3355-I3355)</f>
        <v/>
      </c>
      <c r="M3355" s="27">
        <f>IF(OR(J3355="Yes",I3355=0),"",H3355/I3355)</f>
        <v/>
      </c>
      <c r="N3355" s="21">
        <f>IF(J3355="Yes","",IF(H3355&gt;=I3355,1,0))</f>
        <v/>
      </c>
      <c r="O3355" s="21">
        <f>IF(I3355&lt;=5000000,"Under $5M",IF(I3355&lt;=20000000,"$5M-20M",IF(I3355&lt;=50000000,"$20M-50M",IF(I3355&lt;=100000000,"$50M-100M","$100M+"))))</f>
        <v/>
      </c>
      <c r="P3355" s="21">
        <f>IF(E3355&lt;=90,"90 or less",IF(E3355&lt;=105,"91-105",IF(E3355&lt;=120,"106-120",IF(E3355&lt;=140,"121-140","Over 140"))))</f>
        <v/>
      </c>
      <c r="Q3355" s="28">
        <f>INT(C3355/10)*10</f>
        <v/>
      </c>
    </row>
    <row r="3356">
      <c r="A3356" s="21" t="n">
        <v>3426</v>
      </c>
      <c r="B3356" s="21" t="inlineStr">
        <is>
          <t>Where the Wild Things Are</t>
        </is>
      </c>
      <c r="C3356" s="21" t="n">
        <v>2009</v>
      </c>
      <c r="D3356" s="21" t="inlineStr">
        <is>
          <t>Germany</t>
        </is>
      </c>
      <c r="E3356" s="21" t="n">
        <v>101</v>
      </c>
      <c r="F3356" s="21" t="inlineStr">
        <is>
          <t>English</t>
        </is>
      </c>
      <c r="G3356" s="21" t="inlineStr">
        <is>
          <t>PG</t>
        </is>
      </c>
      <c r="H3356" s="22" t="n">
        <v>77222184</v>
      </c>
      <c r="I3356" s="22" t="n">
        <v>100000000</v>
      </c>
      <c r="J3356" s="21">
        <f>IF(OR(H3356="",H3356=25529689.5),"Yes","No")</f>
        <v/>
      </c>
      <c r="K3356" s="21">
        <f>IF(AND(D3356="USA",C3356&gt;=1980,J3356="No"),"Yes","No")</f>
        <v/>
      </c>
      <c r="L3356" s="26">
        <f>IF(J3356="Yes","",H3356-I3356)</f>
        <v/>
      </c>
      <c r="M3356" s="27">
        <f>IF(OR(J3356="Yes",I3356=0),"",H3356/I3356)</f>
        <v/>
      </c>
      <c r="N3356" s="21">
        <f>IF(J3356="Yes","",IF(H3356&gt;=I3356,1,0))</f>
        <v/>
      </c>
      <c r="O3356" s="21">
        <f>IF(I3356&lt;=5000000,"Under $5M",IF(I3356&lt;=20000000,"$5M-20M",IF(I3356&lt;=50000000,"$20M-50M",IF(I3356&lt;=100000000,"$50M-100M","$100M+"))))</f>
        <v/>
      </c>
      <c r="P3356" s="21">
        <f>IF(E3356&lt;=90,"90 or less",IF(E3356&lt;=105,"91-105",IF(E3356&lt;=120,"106-120",IF(E3356&lt;=140,"121-140","Over 140"))))</f>
        <v/>
      </c>
      <c r="Q3356" s="28">
        <f>INT(C3356/10)*10</f>
        <v/>
      </c>
    </row>
    <row r="3357">
      <c r="A3357" s="21" t="n">
        <v>3427</v>
      </c>
      <c r="B3357" s="21" t="inlineStr">
        <is>
          <t>Whip It</t>
        </is>
      </c>
      <c r="C3357" s="21" t="n">
        <v>2009</v>
      </c>
      <c r="D3357" s="21" t="inlineStr">
        <is>
          <t>USA</t>
        </is>
      </c>
      <c r="E3357" s="21" t="n">
        <v>111</v>
      </c>
      <c r="F3357" s="21" t="inlineStr">
        <is>
          <t>English</t>
        </is>
      </c>
      <c r="G3357" s="21" t="inlineStr">
        <is>
          <t>PG-13</t>
        </is>
      </c>
      <c r="H3357" s="22" t="n">
        <v>13034417</v>
      </c>
      <c r="I3357" s="22" t="n">
        <v>15000000</v>
      </c>
      <c r="J3357" s="21">
        <f>IF(OR(H3357="",H3357=25529689.5),"Yes","No")</f>
        <v/>
      </c>
      <c r="K3357" s="21">
        <f>IF(AND(D3357="USA",C3357&gt;=1980,J3357="No"),"Yes","No")</f>
        <v/>
      </c>
      <c r="L3357" s="26">
        <f>IF(J3357="Yes","",H3357-I3357)</f>
        <v/>
      </c>
      <c r="M3357" s="27">
        <f>IF(OR(J3357="Yes",I3357=0),"",H3357/I3357)</f>
        <v/>
      </c>
      <c r="N3357" s="21">
        <f>IF(J3357="Yes","",IF(H3357&gt;=I3357,1,0))</f>
        <v/>
      </c>
      <c r="O3357" s="21">
        <f>IF(I3357&lt;=5000000,"Under $5M",IF(I3357&lt;=20000000,"$5M-20M",IF(I3357&lt;=50000000,"$20M-50M",IF(I3357&lt;=100000000,"$50M-100M","$100M+"))))</f>
        <v/>
      </c>
      <c r="P3357" s="21">
        <f>IF(E3357&lt;=90,"90 or less",IF(E3357&lt;=105,"91-105",IF(E3357&lt;=120,"106-120",IF(E3357&lt;=140,"121-140","Over 140"))))</f>
        <v/>
      </c>
      <c r="Q3357" s="28">
        <f>INT(C3357/10)*10</f>
        <v/>
      </c>
    </row>
    <row r="3358">
      <c r="A3358" s="21" t="n">
        <v>3428</v>
      </c>
      <c r="B3358" s="21" t="inlineStr">
        <is>
          <t>Whiteout</t>
        </is>
      </c>
      <c r="C3358" s="21" t="n">
        <v>2009</v>
      </c>
      <c r="D3358" s="21" t="inlineStr">
        <is>
          <t>USA</t>
        </is>
      </c>
      <c r="E3358" s="21" t="n">
        <v>101</v>
      </c>
      <c r="F3358" s="21" t="inlineStr">
        <is>
          <t>English</t>
        </is>
      </c>
      <c r="G3358" s="21" t="inlineStr">
        <is>
          <t>R</t>
        </is>
      </c>
      <c r="H3358" s="22" t="n">
        <v>10268846</v>
      </c>
      <c r="I3358" s="22" t="n">
        <v>35000000</v>
      </c>
      <c r="J3358" s="21">
        <f>IF(OR(H3358="",H3358=25529689.5),"Yes","No")</f>
        <v/>
      </c>
      <c r="K3358" s="21">
        <f>IF(AND(D3358="USA",C3358&gt;=1980,J3358="No"),"Yes","No")</f>
        <v/>
      </c>
      <c r="L3358" s="26">
        <f>IF(J3358="Yes","",H3358-I3358)</f>
        <v/>
      </c>
      <c r="M3358" s="27">
        <f>IF(OR(J3358="Yes",I3358=0),"",H3358/I3358)</f>
        <v/>
      </c>
      <c r="N3358" s="21">
        <f>IF(J3358="Yes","",IF(H3358&gt;=I3358,1,0))</f>
        <v/>
      </c>
      <c r="O3358" s="21">
        <f>IF(I3358&lt;=5000000,"Under $5M",IF(I3358&lt;=20000000,"$5M-20M",IF(I3358&lt;=50000000,"$20M-50M",IF(I3358&lt;=100000000,"$50M-100M","$100M+"))))</f>
        <v/>
      </c>
      <c r="P3358" s="21">
        <f>IF(E3358&lt;=90,"90 or less",IF(E3358&lt;=105,"91-105",IF(E3358&lt;=120,"106-120",IF(E3358&lt;=140,"121-140","Over 140"))))</f>
        <v/>
      </c>
      <c r="Q3358" s="28">
        <f>INT(C3358/10)*10</f>
        <v/>
      </c>
    </row>
    <row r="3359">
      <c r="A3359" s="21" t="n">
        <v>3429</v>
      </c>
      <c r="B3359" s="21" t="inlineStr">
        <is>
          <t>Wild Grass</t>
        </is>
      </c>
      <c r="C3359" s="21" t="n">
        <v>2009</v>
      </c>
      <c r="D3359" s="21" t="inlineStr">
        <is>
          <t>France</t>
        </is>
      </c>
      <c r="E3359" s="21" t="n">
        <v>104</v>
      </c>
      <c r="F3359" s="21" t="inlineStr">
        <is>
          <t>French</t>
        </is>
      </c>
      <c r="G3359" s="21" t="inlineStr">
        <is>
          <t>PG</t>
        </is>
      </c>
      <c r="H3359" s="22" t="n">
        <v>403649</v>
      </c>
      <c r="I3359" s="22" t="n">
        <v>20000000</v>
      </c>
      <c r="J3359" s="21">
        <f>IF(OR(H3359="",H3359=25529689.5),"Yes","No")</f>
        <v/>
      </c>
      <c r="K3359" s="21">
        <f>IF(AND(D3359="USA",C3359&gt;=1980,J3359="No"),"Yes","No")</f>
        <v/>
      </c>
      <c r="L3359" s="26">
        <f>IF(J3359="Yes","",H3359-I3359)</f>
        <v/>
      </c>
      <c r="M3359" s="27">
        <f>IF(OR(J3359="Yes",I3359=0),"",H3359/I3359)</f>
        <v/>
      </c>
      <c r="N3359" s="21">
        <f>IF(J3359="Yes","",IF(H3359&gt;=I3359,1,0))</f>
        <v/>
      </c>
      <c r="O3359" s="21">
        <f>IF(I3359&lt;=5000000,"Under $5M",IF(I3359&lt;=20000000,"$5M-20M",IF(I3359&lt;=50000000,"$20M-50M",IF(I3359&lt;=100000000,"$50M-100M","$100M+"))))</f>
        <v/>
      </c>
      <c r="P3359" s="21">
        <f>IF(E3359&lt;=90,"90 or less",IF(E3359&lt;=105,"91-105",IF(E3359&lt;=120,"106-120",IF(E3359&lt;=140,"121-140","Over 140"))))</f>
        <v/>
      </c>
      <c r="Q3359" s="28">
        <f>INT(C3359/10)*10</f>
        <v/>
      </c>
    </row>
    <row r="3360">
      <c r="A3360" s="21" t="n">
        <v>3430</v>
      </c>
      <c r="B3360" s="21" t="inlineStr">
        <is>
          <t>World's Greatest Dad</t>
        </is>
      </c>
      <c r="C3360" s="21" t="n">
        <v>2009</v>
      </c>
      <c r="D3360" s="21" t="inlineStr">
        <is>
          <t>USA</t>
        </is>
      </c>
      <c r="E3360" s="21" t="n">
        <v>99</v>
      </c>
      <c r="F3360" s="21" t="inlineStr">
        <is>
          <t>English</t>
        </is>
      </c>
      <c r="G3360" s="21" t="inlineStr">
        <is>
          <t>R</t>
        </is>
      </c>
      <c r="H3360" s="22" t="n">
        <v>221210</v>
      </c>
      <c r="I3360" s="22" t="n">
        <v>20000000</v>
      </c>
      <c r="J3360" s="21">
        <f>IF(OR(H3360="",H3360=25529689.5),"Yes","No")</f>
        <v/>
      </c>
      <c r="K3360" s="21">
        <f>IF(AND(D3360="USA",C3360&gt;=1980,J3360="No"),"Yes","No")</f>
        <v/>
      </c>
      <c r="L3360" s="26">
        <f>IF(J3360="Yes","",H3360-I3360)</f>
        <v/>
      </c>
      <c r="M3360" s="27">
        <f>IF(OR(J3360="Yes",I3360=0),"",H3360/I3360)</f>
        <v/>
      </c>
      <c r="N3360" s="21">
        <f>IF(J3360="Yes","",IF(H3360&gt;=I3360,1,0))</f>
        <v/>
      </c>
      <c r="O3360" s="21">
        <f>IF(I3360&lt;=5000000,"Under $5M",IF(I3360&lt;=20000000,"$5M-20M",IF(I3360&lt;=50000000,"$20M-50M",IF(I3360&lt;=100000000,"$50M-100M","$100M+"))))</f>
        <v/>
      </c>
      <c r="P3360" s="21">
        <f>IF(E3360&lt;=90,"90 or less",IF(E3360&lt;=105,"91-105",IF(E3360&lt;=120,"106-120",IF(E3360&lt;=140,"121-140","Over 140"))))</f>
        <v/>
      </c>
      <c r="Q3360" s="28">
        <f>INT(C3360/10)*10</f>
        <v/>
      </c>
    </row>
    <row r="3361">
      <c r="A3361" s="21" t="n">
        <v>3431</v>
      </c>
      <c r="B3361" s="21" t="inlineStr">
        <is>
          <t>X-Men Origins: Wolverine</t>
        </is>
      </c>
      <c r="C3361" s="21" t="n">
        <v>2009</v>
      </c>
      <c r="D3361" s="21" t="inlineStr">
        <is>
          <t>USA</t>
        </is>
      </c>
      <c r="E3361" s="21" t="n">
        <v>119</v>
      </c>
      <c r="F3361" s="21" t="inlineStr">
        <is>
          <t>English</t>
        </is>
      </c>
      <c r="G3361" s="21" t="inlineStr">
        <is>
          <t>PG-13</t>
        </is>
      </c>
      <c r="H3361" s="22" t="n">
        <v>179883016</v>
      </c>
      <c r="I3361" s="22" t="n">
        <v>150000000</v>
      </c>
      <c r="J3361" s="21">
        <f>IF(OR(H3361="",H3361=25529689.5),"Yes","No")</f>
        <v/>
      </c>
      <c r="K3361" s="21">
        <f>IF(AND(D3361="USA",C3361&gt;=1980,J3361="No"),"Yes","No")</f>
        <v/>
      </c>
      <c r="L3361" s="26">
        <f>IF(J3361="Yes","",H3361-I3361)</f>
        <v/>
      </c>
      <c r="M3361" s="27">
        <f>IF(OR(J3361="Yes",I3361=0),"",H3361/I3361)</f>
        <v/>
      </c>
      <c r="N3361" s="21">
        <f>IF(J3361="Yes","",IF(H3361&gt;=I3361,1,0))</f>
        <v/>
      </c>
      <c r="O3361" s="21">
        <f>IF(I3361&lt;=5000000,"Under $5M",IF(I3361&lt;=20000000,"$5M-20M",IF(I3361&lt;=50000000,"$20M-50M",IF(I3361&lt;=100000000,"$50M-100M","$100M+"))))</f>
        <v/>
      </c>
      <c r="P3361" s="21">
        <f>IF(E3361&lt;=90,"90 or less",IF(E3361&lt;=105,"91-105",IF(E3361&lt;=120,"106-120",IF(E3361&lt;=140,"121-140","Over 140"))))</f>
        <v/>
      </c>
      <c r="Q3361" s="28">
        <f>INT(C3361/10)*10</f>
        <v/>
      </c>
    </row>
    <row r="3362">
      <c r="A3362" s="21" t="n">
        <v>3432</v>
      </c>
      <c r="B3362" s="21" t="inlineStr">
        <is>
          <t>Year One</t>
        </is>
      </c>
      <c r="C3362" s="21" t="n">
        <v>2009</v>
      </c>
      <c r="D3362" s="21" t="inlineStr">
        <is>
          <t>USA</t>
        </is>
      </c>
      <c r="E3362" s="21" t="n">
        <v>100</v>
      </c>
      <c r="F3362" s="21" t="inlineStr">
        <is>
          <t>English</t>
        </is>
      </c>
      <c r="G3362" s="21" t="inlineStr">
        <is>
          <t>PG-13</t>
        </is>
      </c>
      <c r="H3362" s="22" t="n">
        <v>43337279</v>
      </c>
      <c r="I3362" s="22" t="n">
        <v>60000000</v>
      </c>
      <c r="J3362" s="21">
        <f>IF(OR(H3362="",H3362=25529689.5),"Yes","No")</f>
        <v/>
      </c>
      <c r="K3362" s="21">
        <f>IF(AND(D3362="USA",C3362&gt;=1980,J3362="No"),"Yes","No")</f>
        <v/>
      </c>
      <c r="L3362" s="26">
        <f>IF(J3362="Yes","",H3362-I3362)</f>
        <v/>
      </c>
      <c r="M3362" s="27">
        <f>IF(OR(J3362="Yes",I3362=0),"",H3362/I3362)</f>
        <v/>
      </c>
      <c r="N3362" s="21">
        <f>IF(J3362="Yes","",IF(H3362&gt;=I3362,1,0))</f>
        <v/>
      </c>
      <c r="O3362" s="21">
        <f>IF(I3362&lt;=5000000,"Under $5M",IF(I3362&lt;=20000000,"$5M-20M",IF(I3362&lt;=50000000,"$20M-50M",IF(I3362&lt;=100000000,"$50M-100M","$100M+"))))</f>
        <v/>
      </c>
      <c r="P3362" s="21">
        <f>IF(E3362&lt;=90,"90 or less",IF(E3362&lt;=105,"91-105",IF(E3362&lt;=120,"106-120",IF(E3362&lt;=140,"121-140","Over 140"))))</f>
        <v/>
      </c>
      <c r="Q3362" s="28">
        <f>INT(C3362/10)*10</f>
        <v/>
      </c>
    </row>
    <row r="3363">
      <c r="A3363" s="21" t="n">
        <v>3433</v>
      </c>
      <c r="B3363" s="21" t="inlineStr">
        <is>
          <t>Youth in Revolt</t>
        </is>
      </c>
      <c r="C3363" s="21" t="n">
        <v>2009</v>
      </c>
      <c r="D3363" s="21" t="inlineStr">
        <is>
          <t>USA</t>
        </is>
      </c>
      <c r="E3363" s="21" t="n">
        <v>90</v>
      </c>
      <c r="F3363" s="21" t="inlineStr">
        <is>
          <t>English</t>
        </is>
      </c>
      <c r="G3363" s="21" t="inlineStr">
        <is>
          <t>R</t>
        </is>
      </c>
      <c r="H3363" s="22" t="n">
        <v>15281286</v>
      </c>
      <c r="I3363" s="22" t="n">
        <v>18000000</v>
      </c>
      <c r="J3363" s="21">
        <f>IF(OR(H3363="",H3363=25529689.5),"Yes","No")</f>
        <v/>
      </c>
      <c r="K3363" s="21">
        <f>IF(AND(D3363="USA",C3363&gt;=1980,J3363="No"),"Yes","No")</f>
        <v/>
      </c>
      <c r="L3363" s="26">
        <f>IF(J3363="Yes","",H3363-I3363)</f>
        <v/>
      </c>
      <c r="M3363" s="27">
        <f>IF(OR(J3363="Yes",I3363=0),"",H3363/I3363)</f>
        <v/>
      </c>
      <c r="N3363" s="21">
        <f>IF(J3363="Yes","",IF(H3363&gt;=I3363,1,0))</f>
        <v/>
      </c>
      <c r="O3363" s="21">
        <f>IF(I3363&lt;=5000000,"Under $5M",IF(I3363&lt;=20000000,"$5M-20M",IF(I3363&lt;=50000000,"$20M-50M",IF(I3363&lt;=100000000,"$50M-100M","$100M+"))))</f>
        <v/>
      </c>
      <c r="P3363" s="21">
        <f>IF(E3363&lt;=90,"90 or less",IF(E3363&lt;=105,"91-105",IF(E3363&lt;=120,"106-120",IF(E3363&lt;=140,"121-140","Over 140"))))</f>
        <v/>
      </c>
      <c r="Q3363" s="28">
        <f>INT(C3363/10)*10</f>
        <v/>
      </c>
    </row>
    <row r="3364">
      <c r="A3364" s="21" t="n">
        <v>3434</v>
      </c>
      <c r="B3364" s="21" t="inlineStr">
        <is>
          <t>ZMD: Zombies of Mass Destruction</t>
        </is>
      </c>
      <c r="C3364" s="21" t="n">
        <v>2009</v>
      </c>
      <c r="D3364" s="21" t="inlineStr">
        <is>
          <t>USA</t>
        </is>
      </c>
      <c r="E3364" s="21" t="n">
        <v>89</v>
      </c>
      <c r="F3364" s="21" t="inlineStr">
        <is>
          <t>English</t>
        </is>
      </c>
      <c r="G3364" s="21" t="inlineStr">
        <is>
          <t>R</t>
        </is>
      </c>
      <c r="H3364" s="22" t="n">
        <v>25529689.5</v>
      </c>
      <c r="I3364" s="22" t="n">
        <v>500000</v>
      </c>
      <c r="J3364" s="21">
        <f>IF(OR(H3364="",H3364=25529689.5),"Yes","No")</f>
        <v/>
      </c>
      <c r="K3364" s="21">
        <f>IF(AND(D3364="USA",C3364&gt;=1980,J3364="No"),"Yes","No")</f>
        <v/>
      </c>
      <c r="L3364" s="26">
        <f>IF(J3364="Yes","",H3364-I3364)</f>
        <v/>
      </c>
      <c r="M3364" s="27">
        <f>IF(OR(J3364="Yes",I3364=0),"",H3364/I3364)</f>
        <v/>
      </c>
      <c r="N3364" s="21">
        <f>IF(J3364="Yes","",IF(H3364&gt;=I3364,1,0))</f>
        <v/>
      </c>
      <c r="O3364" s="21">
        <f>IF(I3364&lt;=5000000,"Under $5M",IF(I3364&lt;=20000000,"$5M-20M",IF(I3364&lt;=50000000,"$20M-50M",IF(I3364&lt;=100000000,"$50M-100M","$100M+"))))</f>
        <v/>
      </c>
      <c r="P3364" s="21">
        <f>IF(E3364&lt;=90,"90 or less",IF(E3364&lt;=105,"91-105",IF(E3364&lt;=120,"106-120",IF(E3364&lt;=140,"121-140","Over 140"))))</f>
        <v/>
      </c>
      <c r="Q3364" s="28">
        <f>INT(C3364/10)*10</f>
        <v/>
      </c>
    </row>
    <row r="3365">
      <c r="A3365" s="21" t="n">
        <v>3435</v>
      </c>
      <c r="B3365" s="21" t="inlineStr">
        <is>
          <t>Zombieland</t>
        </is>
      </c>
      <c r="C3365" s="21" t="n">
        <v>2009</v>
      </c>
      <c r="D3365" s="21" t="inlineStr">
        <is>
          <t>USA</t>
        </is>
      </c>
      <c r="E3365" s="21" t="n">
        <v>88</v>
      </c>
      <c r="F3365" s="21" t="inlineStr">
        <is>
          <t>English</t>
        </is>
      </c>
      <c r="G3365" s="21" t="inlineStr">
        <is>
          <t>R</t>
        </is>
      </c>
      <c r="H3365" s="22" t="n">
        <v>75590286</v>
      </c>
      <c r="I3365" s="22" t="n">
        <v>23600000</v>
      </c>
      <c r="J3365" s="21">
        <f>IF(OR(H3365="",H3365=25529689.5),"Yes","No")</f>
        <v/>
      </c>
      <c r="K3365" s="21">
        <f>IF(AND(D3365="USA",C3365&gt;=1980,J3365="No"),"Yes","No")</f>
        <v/>
      </c>
      <c r="L3365" s="26">
        <f>IF(J3365="Yes","",H3365-I3365)</f>
        <v/>
      </c>
      <c r="M3365" s="27">
        <f>IF(OR(J3365="Yes",I3365=0),"",H3365/I3365)</f>
        <v/>
      </c>
      <c r="N3365" s="21">
        <f>IF(J3365="Yes","",IF(H3365&gt;=I3365,1,0))</f>
        <v/>
      </c>
      <c r="O3365" s="21">
        <f>IF(I3365&lt;=5000000,"Under $5M",IF(I3365&lt;=20000000,"$5M-20M",IF(I3365&lt;=50000000,"$20M-50M",IF(I3365&lt;=100000000,"$50M-100M","$100M+"))))</f>
        <v/>
      </c>
      <c r="P3365" s="21">
        <f>IF(E3365&lt;=90,"90 or less",IF(E3365&lt;=105,"91-105",IF(E3365&lt;=120,"106-120",IF(E3365&lt;=140,"121-140","Over 140"))))</f>
        <v/>
      </c>
      <c r="Q3365" s="28">
        <f>INT(C3365/10)*10</f>
        <v/>
      </c>
    </row>
    <row r="3366">
      <c r="A3366" s="21" t="n">
        <v>3436</v>
      </c>
      <c r="B3366" s="21" t="inlineStr">
        <is>
          <t>127 Hours</t>
        </is>
      </c>
      <c r="C3366" s="21" t="n">
        <v>2010</v>
      </c>
      <c r="D3366" s="21" t="inlineStr">
        <is>
          <t>USA</t>
        </is>
      </c>
      <c r="E3366" s="21" t="n">
        <v>94</v>
      </c>
      <c r="F3366" s="21" t="inlineStr">
        <is>
          <t>English</t>
        </is>
      </c>
      <c r="G3366" s="21" t="inlineStr">
        <is>
          <t>R</t>
        </is>
      </c>
      <c r="H3366" s="22" t="n">
        <v>18329466</v>
      </c>
      <c r="I3366" s="22" t="n">
        <v>18000000</v>
      </c>
      <c r="J3366" s="21">
        <f>IF(OR(H3366="",H3366=25529689.5),"Yes","No")</f>
        <v/>
      </c>
      <c r="K3366" s="21">
        <f>IF(AND(D3366="USA",C3366&gt;=1980,J3366="No"),"Yes","No")</f>
        <v/>
      </c>
      <c r="L3366" s="26">
        <f>IF(J3366="Yes","",H3366-I3366)</f>
        <v/>
      </c>
      <c r="M3366" s="27">
        <f>IF(OR(J3366="Yes",I3366=0),"",H3366/I3366)</f>
        <v/>
      </c>
      <c r="N3366" s="21">
        <f>IF(J3366="Yes","",IF(H3366&gt;=I3366,1,0))</f>
        <v/>
      </c>
      <c r="O3366" s="21">
        <f>IF(I3366&lt;=5000000,"Under $5M",IF(I3366&lt;=20000000,"$5M-20M",IF(I3366&lt;=50000000,"$20M-50M",IF(I3366&lt;=100000000,"$50M-100M","$100M+"))))</f>
        <v/>
      </c>
      <c r="P3366" s="21">
        <f>IF(E3366&lt;=90,"90 or less",IF(E3366&lt;=105,"91-105",IF(E3366&lt;=120,"106-120",IF(E3366&lt;=140,"121-140","Over 140"))))</f>
        <v/>
      </c>
      <c r="Q3366" s="28">
        <f>INT(C3366/10)*10</f>
        <v/>
      </c>
    </row>
    <row r="3367">
      <c r="A3367" s="21" t="n">
        <v>3437</v>
      </c>
      <c r="B3367" s="21" t="inlineStr">
        <is>
          <t>3</t>
        </is>
      </c>
      <c r="C3367" s="21" t="n">
        <v>2010</v>
      </c>
      <c r="D3367" s="21" t="inlineStr">
        <is>
          <t>Germany</t>
        </is>
      </c>
      <c r="E3367" s="21" t="n">
        <v>119</v>
      </c>
      <c r="F3367" s="21" t="inlineStr">
        <is>
          <t>German</t>
        </is>
      </c>
      <c r="G3367" s="21" t="inlineStr">
        <is>
          <t>Unrated</t>
        </is>
      </c>
      <c r="H3367" s="22" t="n">
        <v>59774</v>
      </c>
      <c r="I3367" s="22" t="n">
        <v>20000000</v>
      </c>
      <c r="J3367" s="21">
        <f>IF(OR(H3367="",H3367=25529689.5),"Yes","No")</f>
        <v/>
      </c>
      <c r="K3367" s="21">
        <f>IF(AND(D3367="USA",C3367&gt;=1980,J3367="No"),"Yes","No")</f>
        <v/>
      </c>
      <c r="L3367" s="26">
        <f>IF(J3367="Yes","",H3367-I3367)</f>
        <v/>
      </c>
      <c r="M3367" s="27">
        <f>IF(OR(J3367="Yes",I3367=0),"",H3367/I3367)</f>
        <v/>
      </c>
      <c r="N3367" s="21">
        <f>IF(J3367="Yes","",IF(H3367&gt;=I3367,1,0))</f>
        <v/>
      </c>
      <c r="O3367" s="21">
        <f>IF(I3367&lt;=5000000,"Under $5M",IF(I3367&lt;=20000000,"$5M-20M",IF(I3367&lt;=50000000,"$20M-50M",IF(I3367&lt;=100000000,"$50M-100M","$100M+"))))</f>
        <v/>
      </c>
      <c r="P3367" s="21">
        <f>IF(E3367&lt;=90,"90 or less",IF(E3367&lt;=105,"91-105",IF(E3367&lt;=120,"106-120",IF(E3367&lt;=140,"121-140","Over 140"))))</f>
        <v/>
      </c>
      <c r="Q3367" s="28">
        <f>INT(C3367/10)*10</f>
        <v/>
      </c>
    </row>
    <row r="3368">
      <c r="A3368" s="21" t="n">
        <v>3438</v>
      </c>
      <c r="B3368" s="21" t="inlineStr">
        <is>
          <t>3 Backyards</t>
        </is>
      </c>
      <c r="C3368" s="21" t="n">
        <v>2010</v>
      </c>
      <c r="D3368" s="21" t="inlineStr">
        <is>
          <t>USA</t>
        </is>
      </c>
      <c r="E3368" s="21" t="n">
        <v>88</v>
      </c>
      <c r="F3368" s="21" t="inlineStr">
        <is>
          <t>English</t>
        </is>
      </c>
      <c r="G3368" s="21" t="inlineStr">
        <is>
          <t>R</t>
        </is>
      </c>
      <c r="H3368" s="22" t="n">
        <v>25529689.5</v>
      </c>
      <c r="I3368" s="22" t="n">
        <v>300000</v>
      </c>
      <c r="J3368" s="21">
        <f>IF(OR(H3368="",H3368=25529689.5),"Yes","No")</f>
        <v/>
      </c>
      <c r="K3368" s="21">
        <f>IF(AND(D3368="USA",C3368&gt;=1980,J3368="No"),"Yes","No")</f>
        <v/>
      </c>
      <c r="L3368" s="26">
        <f>IF(J3368="Yes","",H3368-I3368)</f>
        <v/>
      </c>
      <c r="M3368" s="27">
        <f>IF(OR(J3368="Yes",I3368=0),"",H3368/I3368)</f>
        <v/>
      </c>
      <c r="N3368" s="21">
        <f>IF(J3368="Yes","",IF(H3368&gt;=I3368,1,0))</f>
        <v/>
      </c>
      <c r="O3368" s="21">
        <f>IF(I3368&lt;=5000000,"Under $5M",IF(I3368&lt;=20000000,"$5M-20M",IF(I3368&lt;=50000000,"$20M-50M",IF(I3368&lt;=100000000,"$50M-100M","$100M+"))))</f>
        <v/>
      </c>
      <c r="P3368" s="21">
        <f>IF(E3368&lt;=90,"90 or less",IF(E3368&lt;=105,"91-105",IF(E3368&lt;=120,"106-120",IF(E3368&lt;=140,"121-140","Over 140"))))</f>
        <v/>
      </c>
      <c r="Q3368" s="28">
        <f>INT(C3368/10)*10</f>
        <v/>
      </c>
    </row>
    <row r="3369">
      <c r="A3369" s="21" t="n">
        <v>3439</v>
      </c>
      <c r="B3369" s="21" t="inlineStr">
        <is>
          <t>8: The Mormon Proposition</t>
        </is>
      </c>
      <c r="C3369" s="21" t="n">
        <v>2010</v>
      </c>
      <c r="D3369" s="21" t="inlineStr">
        <is>
          <t>USA</t>
        </is>
      </c>
      <c r="E3369" s="21" t="n">
        <v>80</v>
      </c>
      <c r="F3369" s="21" t="inlineStr">
        <is>
          <t>English</t>
        </is>
      </c>
      <c r="G3369" s="21" t="inlineStr">
        <is>
          <t>R</t>
        </is>
      </c>
      <c r="H3369" s="22" t="n">
        <v>99851</v>
      </c>
      <c r="I3369" s="22" t="n">
        <v>2500000</v>
      </c>
      <c r="J3369" s="21">
        <f>IF(OR(H3369="",H3369=25529689.5),"Yes","No")</f>
        <v/>
      </c>
      <c r="K3369" s="21">
        <f>IF(AND(D3369="USA",C3369&gt;=1980,J3369="No"),"Yes","No")</f>
        <v/>
      </c>
      <c r="L3369" s="26">
        <f>IF(J3369="Yes","",H3369-I3369)</f>
        <v/>
      </c>
      <c r="M3369" s="27">
        <f>IF(OR(J3369="Yes",I3369=0),"",H3369/I3369)</f>
        <v/>
      </c>
      <c r="N3369" s="21">
        <f>IF(J3369="Yes","",IF(H3369&gt;=I3369,1,0))</f>
        <v/>
      </c>
      <c r="O3369" s="21">
        <f>IF(I3369&lt;=5000000,"Under $5M",IF(I3369&lt;=20000000,"$5M-20M",IF(I3369&lt;=50000000,"$20M-50M",IF(I3369&lt;=100000000,"$50M-100M","$100M+"))))</f>
        <v/>
      </c>
      <c r="P3369" s="21">
        <f>IF(E3369&lt;=90,"90 or less",IF(E3369&lt;=105,"91-105",IF(E3369&lt;=120,"106-120",IF(E3369&lt;=140,"121-140","Over 140"))))</f>
        <v/>
      </c>
      <c r="Q3369" s="28">
        <f>INT(C3369/10)*10</f>
        <v/>
      </c>
    </row>
    <row r="3370">
      <c r="A3370" s="21" t="n">
        <v>3440</v>
      </c>
      <c r="B3370" s="21" t="inlineStr">
        <is>
          <t>A Turtle's Tale: Sammy's Adventures</t>
        </is>
      </c>
      <c r="C3370" s="21" t="n">
        <v>2010</v>
      </c>
      <c r="D3370" s="21" t="inlineStr">
        <is>
          <t>France</t>
        </is>
      </c>
      <c r="E3370" s="21" t="n">
        <v>88</v>
      </c>
      <c r="F3370" s="21" t="inlineStr">
        <is>
          <t>English</t>
        </is>
      </c>
      <c r="G3370" s="21" t="inlineStr">
        <is>
          <t>PG</t>
        </is>
      </c>
      <c r="H3370" s="22" t="n">
        <v>25529689.5</v>
      </c>
      <c r="I3370" s="22" t="n">
        <v>20000000</v>
      </c>
      <c r="J3370" s="21">
        <f>IF(OR(H3370="",H3370=25529689.5),"Yes","No")</f>
        <v/>
      </c>
      <c r="K3370" s="21">
        <f>IF(AND(D3370="USA",C3370&gt;=1980,J3370="No"),"Yes","No")</f>
        <v/>
      </c>
      <c r="L3370" s="26">
        <f>IF(J3370="Yes","",H3370-I3370)</f>
        <v/>
      </c>
      <c r="M3370" s="27">
        <f>IF(OR(J3370="Yes",I3370=0),"",H3370/I3370)</f>
        <v/>
      </c>
      <c r="N3370" s="21">
        <f>IF(J3370="Yes","",IF(H3370&gt;=I3370,1,0))</f>
        <v/>
      </c>
      <c r="O3370" s="21">
        <f>IF(I3370&lt;=5000000,"Under $5M",IF(I3370&lt;=20000000,"$5M-20M",IF(I3370&lt;=50000000,"$20M-50M",IF(I3370&lt;=100000000,"$50M-100M","$100M+"))))</f>
        <v/>
      </c>
      <c r="P3370" s="21">
        <f>IF(E3370&lt;=90,"90 or less",IF(E3370&lt;=105,"91-105",IF(E3370&lt;=120,"106-120",IF(E3370&lt;=140,"121-140","Over 140"))))</f>
        <v/>
      </c>
      <c r="Q3370" s="28">
        <f>INT(C3370/10)*10</f>
        <v/>
      </c>
    </row>
    <row r="3371">
      <c r="A3371" s="21" t="n">
        <v>3441</v>
      </c>
      <c r="B3371" s="21" t="inlineStr">
        <is>
          <t>Alice in Wonderland</t>
        </is>
      </c>
      <c r="C3371" s="21" t="n">
        <v>2010</v>
      </c>
      <c r="D3371" s="21" t="inlineStr">
        <is>
          <t>USA</t>
        </is>
      </c>
      <c r="E3371" s="21" t="n">
        <v>108</v>
      </c>
      <c r="F3371" s="21" t="inlineStr">
        <is>
          <t>English</t>
        </is>
      </c>
      <c r="G3371" s="21" t="inlineStr">
        <is>
          <t>PG</t>
        </is>
      </c>
      <c r="H3371" s="22" t="n">
        <v>334185206</v>
      </c>
      <c r="I3371" s="22" t="n">
        <v>200000000</v>
      </c>
      <c r="J3371" s="21">
        <f>IF(OR(H3371="",H3371=25529689.5),"Yes","No")</f>
        <v/>
      </c>
      <c r="K3371" s="21">
        <f>IF(AND(D3371="USA",C3371&gt;=1980,J3371="No"),"Yes","No")</f>
        <v/>
      </c>
      <c r="L3371" s="26">
        <f>IF(J3371="Yes","",H3371-I3371)</f>
        <v/>
      </c>
      <c r="M3371" s="27">
        <f>IF(OR(J3371="Yes",I3371=0),"",H3371/I3371)</f>
        <v/>
      </c>
      <c r="N3371" s="21">
        <f>IF(J3371="Yes","",IF(H3371&gt;=I3371,1,0))</f>
        <v/>
      </c>
      <c r="O3371" s="21">
        <f>IF(I3371&lt;=5000000,"Under $5M",IF(I3371&lt;=20000000,"$5M-20M",IF(I3371&lt;=50000000,"$20M-50M",IF(I3371&lt;=100000000,"$50M-100M","$100M+"))))</f>
        <v/>
      </c>
      <c r="P3371" s="21">
        <f>IF(E3371&lt;=90,"90 or less",IF(E3371&lt;=105,"91-105",IF(E3371&lt;=120,"106-120",IF(E3371&lt;=140,"121-140","Over 140"))))</f>
        <v/>
      </c>
      <c r="Q3371" s="28">
        <f>INT(C3371/10)*10</f>
        <v/>
      </c>
    </row>
    <row r="3372">
      <c r="A3372" s="21" t="n">
        <v>3443</v>
      </c>
      <c r="B3372" s="21" t="inlineStr">
        <is>
          <t>All Good Things</t>
        </is>
      </c>
      <c r="C3372" s="21" t="n">
        <v>2010</v>
      </c>
      <c r="D3372" s="21" t="inlineStr">
        <is>
          <t>USA</t>
        </is>
      </c>
      <c r="E3372" s="21" t="n">
        <v>101</v>
      </c>
      <c r="F3372" s="21" t="inlineStr">
        <is>
          <t>English</t>
        </is>
      </c>
      <c r="G3372" s="21" t="inlineStr">
        <is>
          <t>R</t>
        </is>
      </c>
      <c r="H3372" s="22" t="n">
        <v>578382</v>
      </c>
      <c r="I3372" s="22" t="n">
        <v>20000000</v>
      </c>
      <c r="J3372" s="21">
        <f>IF(OR(H3372="",H3372=25529689.5),"Yes","No")</f>
        <v/>
      </c>
      <c r="K3372" s="21">
        <f>IF(AND(D3372="USA",C3372&gt;=1980,J3372="No"),"Yes","No")</f>
        <v/>
      </c>
      <c r="L3372" s="26">
        <f>IF(J3372="Yes","",H3372-I3372)</f>
        <v/>
      </c>
      <c r="M3372" s="27">
        <f>IF(OR(J3372="Yes",I3372=0),"",H3372/I3372)</f>
        <v/>
      </c>
      <c r="N3372" s="21">
        <f>IF(J3372="Yes","",IF(H3372&gt;=I3372,1,0))</f>
        <v/>
      </c>
      <c r="O3372" s="21">
        <f>IF(I3372&lt;=5000000,"Under $5M",IF(I3372&lt;=20000000,"$5M-20M",IF(I3372&lt;=50000000,"$20M-50M",IF(I3372&lt;=100000000,"$50M-100M","$100M+"))))</f>
        <v/>
      </c>
      <c r="P3372" s="21">
        <f>IF(E3372&lt;=90,"90 or less",IF(E3372&lt;=105,"91-105",IF(E3372&lt;=120,"106-120",IF(E3372&lt;=140,"121-140","Over 140"))))</f>
        <v/>
      </c>
      <c r="Q3372" s="28">
        <f>INT(C3372/10)*10</f>
        <v/>
      </c>
    </row>
    <row r="3373">
      <c r="A3373" s="21" t="n">
        <v>3444</v>
      </c>
      <c r="B3373" s="21" t="inlineStr">
        <is>
          <t>Alpha and Omega</t>
        </is>
      </c>
      <c r="C3373" s="21" t="n">
        <v>2010</v>
      </c>
      <c r="D3373" s="21" t="inlineStr">
        <is>
          <t>USA</t>
        </is>
      </c>
      <c r="E3373" s="21" t="n">
        <v>90</v>
      </c>
      <c r="F3373" s="21" t="inlineStr">
        <is>
          <t>English</t>
        </is>
      </c>
      <c r="G3373" s="21" t="inlineStr">
        <is>
          <t>PG</t>
        </is>
      </c>
      <c r="H3373" s="22" t="n">
        <v>25077977</v>
      </c>
      <c r="I3373" s="22" t="n">
        <v>20000000</v>
      </c>
      <c r="J3373" s="21">
        <f>IF(OR(H3373="",H3373=25529689.5),"Yes","No")</f>
        <v/>
      </c>
      <c r="K3373" s="21">
        <f>IF(AND(D3373="USA",C3373&gt;=1980,J3373="No"),"Yes","No")</f>
        <v/>
      </c>
      <c r="L3373" s="26">
        <f>IF(J3373="Yes","",H3373-I3373)</f>
        <v/>
      </c>
      <c r="M3373" s="27">
        <f>IF(OR(J3373="Yes",I3373=0),"",H3373/I3373)</f>
        <v/>
      </c>
      <c r="N3373" s="21">
        <f>IF(J3373="Yes","",IF(H3373&gt;=I3373,1,0))</f>
        <v/>
      </c>
      <c r="O3373" s="21">
        <f>IF(I3373&lt;=5000000,"Under $5M",IF(I3373&lt;=20000000,"$5M-20M",IF(I3373&lt;=50000000,"$20M-50M",IF(I3373&lt;=100000000,"$50M-100M","$100M+"))))</f>
        <v/>
      </c>
      <c r="P3373" s="21">
        <f>IF(E3373&lt;=90,"90 or less",IF(E3373&lt;=105,"91-105",IF(E3373&lt;=120,"106-120",IF(E3373&lt;=140,"121-140","Over 140"))))</f>
        <v/>
      </c>
      <c r="Q3373" s="28">
        <f>INT(C3373/10)*10</f>
        <v/>
      </c>
    </row>
    <row r="3374">
      <c r="A3374" s="21" t="n">
        <v>3445</v>
      </c>
      <c r="B3374" s="21" t="inlineStr">
        <is>
          <t>Amigo</t>
        </is>
      </c>
      <c r="C3374" s="21" t="n">
        <v>2010</v>
      </c>
      <c r="D3374" s="21" t="inlineStr">
        <is>
          <t>USA</t>
        </is>
      </c>
      <c r="E3374" s="21" t="n">
        <v>124</v>
      </c>
      <c r="F3374" s="21" t="inlineStr">
        <is>
          <t>English</t>
        </is>
      </c>
      <c r="G3374" s="21" t="inlineStr">
        <is>
          <t>R</t>
        </is>
      </c>
      <c r="H3374" s="22" t="n">
        <v>183490</v>
      </c>
      <c r="I3374" s="22" t="n">
        <v>1700000</v>
      </c>
      <c r="J3374" s="21">
        <f>IF(OR(H3374="",H3374=25529689.5),"Yes","No")</f>
        <v/>
      </c>
      <c r="K3374" s="21">
        <f>IF(AND(D3374="USA",C3374&gt;=1980,J3374="No"),"Yes","No")</f>
        <v/>
      </c>
      <c r="L3374" s="26">
        <f>IF(J3374="Yes","",H3374-I3374)</f>
        <v/>
      </c>
      <c r="M3374" s="27">
        <f>IF(OR(J3374="Yes",I3374=0),"",H3374/I3374)</f>
        <v/>
      </c>
      <c r="N3374" s="21">
        <f>IF(J3374="Yes","",IF(H3374&gt;=I3374,1,0))</f>
        <v/>
      </c>
      <c r="O3374" s="21">
        <f>IF(I3374&lt;=5000000,"Under $5M",IF(I3374&lt;=20000000,"$5M-20M",IF(I3374&lt;=50000000,"$20M-50M",IF(I3374&lt;=100000000,"$50M-100M","$100M+"))))</f>
        <v/>
      </c>
      <c r="P3374" s="21">
        <f>IF(E3374&lt;=90,"90 or less",IF(E3374&lt;=105,"91-105",IF(E3374&lt;=120,"106-120",IF(E3374&lt;=140,"121-140","Over 140"))))</f>
        <v/>
      </c>
      <c r="Q3374" s="28">
        <f>INT(C3374/10)*10</f>
        <v/>
      </c>
    </row>
    <row r="3375">
      <c r="A3375" s="21" t="n">
        <v>3446</v>
      </c>
      <c r="B3375" s="21" t="inlineStr">
        <is>
          <t>Anderson's Cross</t>
        </is>
      </c>
      <c r="C3375" s="21" t="n">
        <v>2010</v>
      </c>
      <c r="D3375" s="21" t="inlineStr">
        <is>
          <t>USA</t>
        </is>
      </c>
      <c r="E3375" s="21" t="n">
        <v>98</v>
      </c>
      <c r="F3375" s="21" t="inlineStr">
        <is>
          <t>English</t>
        </is>
      </c>
      <c r="G3375" s="21" t="inlineStr">
        <is>
          <t>R</t>
        </is>
      </c>
      <c r="H3375" s="22" t="n">
        <v>25529689.5</v>
      </c>
      <c r="I3375" s="22" t="n">
        <v>300000</v>
      </c>
      <c r="J3375" s="21">
        <f>IF(OR(H3375="",H3375=25529689.5),"Yes","No")</f>
        <v/>
      </c>
      <c r="K3375" s="21">
        <f>IF(AND(D3375="USA",C3375&gt;=1980,J3375="No"),"Yes","No")</f>
        <v/>
      </c>
      <c r="L3375" s="26">
        <f>IF(J3375="Yes","",H3375-I3375)</f>
        <v/>
      </c>
      <c r="M3375" s="27">
        <f>IF(OR(J3375="Yes",I3375=0),"",H3375/I3375)</f>
        <v/>
      </c>
      <c r="N3375" s="21">
        <f>IF(J3375="Yes","",IF(H3375&gt;=I3375,1,0))</f>
        <v/>
      </c>
      <c r="O3375" s="21">
        <f>IF(I3375&lt;=5000000,"Under $5M",IF(I3375&lt;=20000000,"$5M-20M",IF(I3375&lt;=50000000,"$20M-50M",IF(I3375&lt;=100000000,"$50M-100M","$100M+"))))</f>
        <v/>
      </c>
      <c r="P3375" s="21">
        <f>IF(E3375&lt;=90,"90 or less",IF(E3375&lt;=105,"91-105",IF(E3375&lt;=120,"106-120",IF(E3375&lt;=140,"121-140","Over 140"))))</f>
        <v/>
      </c>
      <c r="Q3375" s="28">
        <f>INT(C3375/10)*10</f>
        <v/>
      </c>
    </row>
    <row r="3376">
      <c r="A3376" s="21" t="n">
        <v>3447</v>
      </c>
      <c r="B3376" s="21" t="inlineStr">
        <is>
          <t>Animals United</t>
        </is>
      </c>
      <c r="C3376" s="21" t="n">
        <v>2010</v>
      </c>
      <c r="D3376" s="21" t="inlineStr">
        <is>
          <t>Germany</t>
        </is>
      </c>
      <c r="E3376" s="21" t="n">
        <v>93</v>
      </c>
      <c r="F3376" s="21" t="inlineStr">
        <is>
          <t>German</t>
        </is>
      </c>
      <c r="G3376" s="21" t="inlineStr">
        <is>
          <t>PG</t>
        </is>
      </c>
      <c r="H3376" s="22" t="n">
        <v>25529689.5</v>
      </c>
      <c r="I3376" s="22" t="n">
        <v>20000000</v>
      </c>
      <c r="J3376" s="21">
        <f>IF(OR(H3376="",H3376=25529689.5),"Yes","No")</f>
        <v/>
      </c>
      <c r="K3376" s="21">
        <f>IF(AND(D3376="USA",C3376&gt;=1980,J3376="No"),"Yes","No")</f>
        <v/>
      </c>
      <c r="L3376" s="26">
        <f>IF(J3376="Yes","",H3376-I3376)</f>
        <v/>
      </c>
      <c r="M3376" s="27">
        <f>IF(OR(J3376="Yes",I3376=0),"",H3376/I3376)</f>
        <v/>
      </c>
      <c r="N3376" s="21">
        <f>IF(J3376="Yes","",IF(H3376&gt;=I3376,1,0))</f>
        <v/>
      </c>
      <c r="O3376" s="21">
        <f>IF(I3376&lt;=5000000,"Under $5M",IF(I3376&lt;=20000000,"$5M-20M",IF(I3376&lt;=50000000,"$20M-50M",IF(I3376&lt;=100000000,"$50M-100M","$100M+"))))</f>
        <v/>
      </c>
      <c r="P3376" s="21">
        <f>IF(E3376&lt;=90,"90 or less",IF(E3376&lt;=105,"91-105",IF(E3376&lt;=120,"106-120",IF(E3376&lt;=140,"121-140","Over 140"))))</f>
        <v/>
      </c>
      <c r="Q3376" s="28">
        <f>INT(C3376/10)*10</f>
        <v/>
      </c>
    </row>
    <row r="3377">
      <c r="A3377" s="21" t="n">
        <v>3448</v>
      </c>
      <c r="B3377" s="21" t="inlineStr">
        <is>
          <t>Another Year</t>
        </is>
      </c>
      <c r="C3377" s="21" t="n">
        <v>2010</v>
      </c>
      <c r="D3377" s="21" t="inlineStr">
        <is>
          <t>UK</t>
        </is>
      </c>
      <c r="E3377" s="21" t="n">
        <v>129</v>
      </c>
      <c r="F3377" s="21" t="inlineStr">
        <is>
          <t>English</t>
        </is>
      </c>
      <c r="G3377" s="21" t="inlineStr">
        <is>
          <t>PG-13</t>
        </is>
      </c>
      <c r="H3377" s="22" t="n">
        <v>3205244</v>
      </c>
      <c r="I3377" s="22" t="n">
        <v>10000000</v>
      </c>
      <c r="J3377" s="21">
        <f>IF(OR(H3377="",H3377=25529689.5),"Yes","No")</f>
        <v/>
      </c>
      <c r="K3377" s="21">
        <f>IF(AND(D3377="USA",C3377&gt;=1980,J3377="No"),"Yes","No")</f>
        <v/>
      </c>
      <c r="L3377" s="26">
        <f>IF(J3377="Yes","",H3377-I3377)</f>
        <v/>
      </c>
      <c r="M3377" s="27">
        <f>IF(OR(J3377="Yes",I3377=0),"",H3377/I3377)</f>
        <v/>
      </c>
      <c r="N3377" s="21">
        <f>IF(J3377="Yes","",IF(H3377&gt;=I3377,1,0))</f>
        <v/>
      </c>
      <c r="O3377" s="21">
        <f>IF(I3377&lt;=5000000,"Under $5M",IF(I3377&lt;=20000000,"$5M-20M",IF(I3377&lt;=50000000,"$20M-50M",IF(I3377&lt;=100000000,"$50M-100M","$100M+"))))</f>
        <v/>
      </c>
      <c r="P3377" s="21">
        <f>IF(E3377&lt;=90,"90 or less",IF(E3377&lt;=105,"91-105",IF(E3377&lt;=120,"106-120",IF(E3377&lt;=140,"121-140","Over 140"))))</f>
        <v/>
      </c>
      <c r="Q3377" s="28">
        <f>INT(C3377/10)*10</f>
        <v/>
      </c>
    </row>
    <row r="3378">
      <c r="A3378" s="21" t="n">
        <v>3449</v>
      </c>
      <c r="B3378" s="21" t="inlineStr">
        <is>
          <t>Barney's Version</t>
        </is>
      </c>
      <c r="C3378" s="21" t="n">
        <v>2010</v>
      </c>
      <c r="D3378" s="21" t="inlineStr">
        <is>
          <t>Canada</t>
        </is>
      </c>
      <c r="E3378" s="21" t="n">
        <v>134</v>
      </c>
      <c r="F3378" s="21" t="inlineStr">
        <is>
          <t>English</t>
        </is>
      </c>
      <c r="G3378" s="21" t="inlineStr">
        <is>
          <t>R</t>
        </is>
      </c>
      <c r="H3378" s="22" t="n">
        <v>7501404</v>
      </c>
      <c r="I3378" s="22" t="n">
        <v>20000000</v>
      </c>
      <c r="J3378" s="21">
        <f>IF(OR(H3378="",H3378=25529689.5),"Yes","No")</f>
        <v/>
      </c>
      <c r="K3378" s="21">
        <f>IF(AND(D3378="USA",C3378&gt;=1980,J3378="No"),"Yes","No")</f>
        <v/>
      </c>
      <c r="L3378" s="26">
        <f>IF(J3378="Yes","",H3378-I3378)</f>
        <v/>
      </c>
      <c r="M3378" s="27">
        <f>IF(OR(J3378="Yes",I3378=0),"",H3378/I3378)</f>
        <v/>
      </c>
      <c r="N3378" s="21">
        <f>IF(J3378="Yes","",IF(H3378&gt;=I3378,1,0))</f>
        <v/>
      </c>
      <c r="O3378" s="21">
        <f>IF(I3378&lt;=5000000,"Under $5M",IF(I3378&lt;=20000000,"$5M-20M",IF(I3378&lt;=50000000,"$20M-50M",IF(I3378&lt;=100000000,"$50M-100M","$100M+"))))</f>
        <v/>
      </c>
      <c r="P3378" s="21">
        <f>IF(E3378&lt;=90,"90 or less",IF(E3378&lt;=105,"91-105",IF(E3378&lt;=120,"106-120",IF(E3378&lt;=140,"121-140","Over 140"))))</f>
        <v/>
      </c>
      <c r="Q3378" s="28">
        <f>INT(C3378/10)*10</f>
        <v/>
      </c>
    </row>
    <row r="3379">
      <c r="A3379" s="21" t="n">
        <v>3450</v>
      </c>
      <c r="B3379" s="21" t="inlineStr">
        <is>
          <t>Barry Munday</t>
        </is>
      </c>
      <c r="C3379" s="21" t="n">
        <v>2010</v>
      </c>
      <c r="D3379" s="21" t="inlineStr">
        <is>
          <t>USA</t>
        </is>
      </c>
      <c r="E3379" s="21" t="n">
        <v>95</v>
      </c>
      <c r="F3379" s="21" t="inlineStr">
        <is>
          <t>English</t>
        </is>
      </c>
      <c r="G3379" s="21" t="inlineStr">
        <is>
          <t>R</t>
        </is>
      </c>
      <c r="H3379" s="22" t="n">
        <v>25529689.5</v>
      </c>
      <c r="I3379" s="22" t="n">
        <v>20000000</v>
      </c>
      <c r="J3379" s="21">
        <f>IF(OR(H3379="",H3379=25529689.5),"Yes","No")</f>
        <v/>
      </c>
      <c r="K3379" s="21">
        <f>IF(AND(D3379="USA",C3379&gt;=1980,J3379="No"),"Yes","No")</f>
        <v/>
      </c>
      <c r="L3379" s="26">
        <f>IF(J3379="Yes","",H3379-I3379)</f>
        <v/>
      </c>
      <c r="M3379" s="27">
        <f>IF(OR(J3379="Yes",I3379=0),"",H3379/I3379)</f>
        <v/>
      </c>
      <c r="N3379" s="21">
        <f>IF(J3379="Yes","",IF(H3379&gt;=I3379,1,0))</f>
        <v/>
      </c>
      <c r="O3379" s="21">
        <f>IF(I3379&lt;=5000000,"Under $5M",IF(I3379&lt;=20000000,"$5M-20M",IF(I3379&lt;=50000000,"$20M-50M",IF(I3379&lt;=100000000,"$50M-100M","$100M+"))))</f>
        <v/>
      </c>
      <c r="P3379" s="21">
        <f>IF(E3379&lt;=90,"90 or less",IF(E3379&lt;=105,"91-105",IF(E3379&lt;=120,"106-120",IF(E3379&lt;=140,"121-140","Over 140"))))</f>
        <v/>
      </c>
      <c r="Q3379" s="28">
        <f>INT(C3379/10)*10</f>
        <v/>
      </c>
    </row>
    <row r="3380">
      <c r="A3380" s="21" t="n">
        <v>3451</v>
      </c>
      <c r="B3380" s="21" t="inlineStr">
        <is>
          <t>Beginners</t>
        </is>
      </c>
      <c r="C3380" s="21" t="n">
        <v>2010</v>
      </c>
      <c r="D3380" s="21" t="inlineStr">
        <is>
          <t>USA</t>
        </is>
      </c>
      <c r="E3380" s="21" t="n">
        <v>105</v>
      </c>
      <c r="F3380" s="21" t="inlineStr">
        <is>
          <t>English</t>
        </is>
      </c>
      <c r="G3380" s="21" t="inlineStr">
        <is>
          <t>R</t>
        </is>
      </c>
      <c r="H3380" s="22" t="n">
        <v>5776314</v>
      </c>
      <c r="I3380" s="22" t="n">
        <v>3200000</v>
      </c>
      <c r="J3380" s="21">
        <f>IF(OR(H3380="",H3380=25529689.5),"Yes","No")</f>
        <v/>
      </c>
      <c r="K3380" s="21">
        <f>IF(AND(D3380="USA",C3380&gt;=1980,J3380="No"),"Yes","No")</f>
        <v/>
      </c>
      <c r="L3380" s="26">
        <f>IF(J3380="Yes","",H3380-I3380)</f>
        <v/>
      </c>
      <c r="M3380" s="27">
        <f>IF(OR(J3380="Yes",I3380=0),"",H3380/I3380)</f>
        <v/>
      </c>
      <c r="N3380" s="21">
        <f>IF(J3380="Yes","",IF(H3380&gt;=I3380,1,0))</f>
        <v/>
      </c>
      <c r="O3380" s="21">
        <f>IF(I3380&lt;=5000000,"Under $5M",IF(I3380&lt;=20000000,"$5M-20M",IF(I3380&lt;=50000000,"$20M-50M",IF(I3380&lt;=100000000,"$50M-100M","$100M+"))))</f>
        <v/>
      </c>
      <c r="P3380" s="21">
        <f>IF(E3380&lt;=90,"90 or less",IF(E3380&lt;=105,"91-105",IF(E3380&lt;=120,"106-120",IF(E3380&lt;=140,"121-140","Over 140"))))</f>
        <v/>
      </c>
      <c r="Q3380" s="28">
        <f>INT(C3380/10)*10</f>
        <v/>
      </c>
    </row>
    <row r="3381">
      <c r="A3381" s="21" t="n">
        <v>3452</v>
      </c>
      <c r="B3381" s="21" t="inlineStr">
        <is>
          <t>Beneath Hill 60</t>
        </is>
      </c>
      <c r="C3381" s="21" t="n">
        <v>2010</v>
      </c>
      <c r="D3381" s="21" t="inlineStr">
        <is>
          <t>Australia</t>
        </is>
      </c>
      <c r="E3381" s="21" t="n">
        <v>122</v>
      </c>
      <c r="F3381" s="21" t="inlineStr">
        <is>
          <t>English</t>
        </is>
      </c>
      <c r="G3381" s="21" t="inlineStr">
        <is>
          <t>R</t>
        </is>
      </c>
      <c r="H3381" s="22" t="n">
        <v>25529689.5</v>
      </c>
      <c r="I3381" s="22" t="n">
        <v>9000000</v>
      </c>
      <c r="J3381" s="21">
        <f>IF(OR(H3381="",H3381=25529689.5),"Yes","No")</f>
        <v/>
      </c>
      <c r="K3381" s="21">
        <f>IF(AND(D3381="USA",C3381&gt;=1980,J3381="No"),"Yes","No")</f>
        <v/>
      </c>
      <c r="L3381" s="26">
        <f>IF(J3381="Yes","",H3381-I3381)</f>
        <v/>
      </c>
      <c r="M3381" s="27">
        <f>IF(OR(J3381="Yes",I3381=0),"",H3381/I3381)</f>
        <v/>
      </c>
      <c r="N3381" s="21">
        <f>IF(J3381="Yes","",IF(H3381&gt;=I3381,1,0))</f>
        <v/>
      </c>
      <c r="O3381" s="21">
        <f>IF(I3381&lt;=5000000,"Under $5M",IF(I3381&lt;=20000000,"$5M-20M",IF(I3381&lt;=50000000,"$20M-50M",IF(I3381&lt;=100000000,"$50M-100M","$100M+"))))</f>
        <v/>
      </c>
      <c r="P3381" s="21">
        <f>IF(E3381&lt;=90,"90 or less",IF(E3381&lt;=105,"91-105",IF(E3381&lt;=120,"106-120",IF(E3381&lt;=140,"121-140","Over 140"))))</f>
        <v/>
      </c>
      <c r="Q3381" s="28">
        <f>INT(C3381/10)*10</f>
        <v/>
      </c>
    </row>
    <row r="3382">
      <c r="A3382" s="21" t="n">
        <v>3453</v>
      </c>
      <c r="B3382" s="21" t="inlineStr">
        <is>
          <t>Beyond the Black Rainbow</t>
        </is>
      </c>
      <c r="C3382" s="21" t="n">
        <v>2010</v>
      </c>
      <c r="D3382" s="21" t="inlineStr">
        <is>
          <t>Canada</t>
        </is>
      </c>
      <c r="E3382" s="21" t="n">
        <v>110</v>
      </c>
      <c r="F3382" s="21" t="inlineStr">
        <is>
          <t>English</t>
        </is>
      </c>
      <c r="G3382" s="21" t="inlineStr">
        <is>
          <t>R</t>
        </is>
      </c>
      <c r="H3382" s="22" t="n">
        <v>56129</v>
      </c>
      <c r="I3382" s="22" t="n">
        <v>1100000</v>
      </c>
      <c r="J3382" s="21">
        <f>IF(OR(H3382="",H3382=25529689.5),"Yes","No")</f>
        <v/>
      </c>
      <c r="K3382" s="21">
        <f>IF(AND(D3382="USA",C3382&gt;=1980,J3382="No"),"Yes","No")</f>
        <v/>
      </c>
      <c r="L3382" s="26">
        <f>IF(J3382="Yes","",H3382-I3382)</f>
        <v/>
      </c>
      <c r="M3382" s="27">
        <f>IF(OR(J3382="Yes",I3382=0),"",H3382/I3382)</f>
        <v/>
      </c>
      <c r="N3382" s="21">
        <f>IF(J3382="Yes","",IF(H3382&gt;=I3382,1,0))</f>
        <v/>
      </c>
      <c r="O3382" s="21">
        <f>IF(I3382&lt;=5000000,"Under $5M",IF(I3382&lt;=20000000,"$5M-20M",IF(I3382&lt;=50000000,"$20M-50M",IF(I3382&lt;=100000000,"$50M-100M","$100M+"))))</f>
        <v/>
      </c>
      <c r="P3382" s="21">
        <f>IF(E3382&lt;=90,"90 or less",IF(E3382&lt;=105,"91-105",IF(E3382&lt;=120,"106-120",IF(E3382&lt;=140,"121-140","Over 140"))))</f>
        <v/>
      </c>
      <c r="Q3382" s="28">
        <f>INT(C3382/10)*10</f>
        <v/>
      </c>
    </row>
    <row r="3383">
      <c r="A3383" s="21" t="n">
        <v>3454</v>
      </c>
      <c r="B3383" s="21" t="inlineStr">
        <is>
          <t>Biutiful</t>
        </is>
      </c>
      <c r="C3383" s="21" t="n">
        <v>2010</v>
      </c>
      <c r="D3383" s="21" t="inlineStr">
        <is>
          <t>Mexico</t>
        </is>
      </c>
      <c r="E3383" s="21" t="n">
        <v>148</v>
      </c>
      <c r="F3383" s="21" t="inlineStr">
        <is>
          <t>Spanish</t>
        </is>
      </c>
      <c r="G3383" s="21" t="inlineStr">
        <is>
          <t>R</t>
        </is>
      </c>
      <c r="H3383" s="22" t="n">
        <v>5100937</v>
      </c>
      <c r="I3383" s="22" t="n">
        <v>20000000</v>
      </c>
      <c r="J3383" s="21">
        <f>IF(OR(H3383="",H3383=25529689.5),"Yes","No")</f>
        <v/>
      </c>
      <c r="K3383" s="21">
        <f>IF(AND(D3383="USA",C3383&gt;=1980,J3383="No"),"Yes","No")</f>
        <v/>
      </c>
      <c r="L3383" s="26">
        <f>IF(J3383="Yes","",H3383-I3383)</f>
        <v/>
      </c>
      <c r="M3383" s="27">
        <f>IF(OR(J3383="Yes",I3383=0),"",H3383/I3383)</f>
        <v/>
      </c>
      <c r="N3383" s="21">
        <f>IF(J3383="Yes","",IF(H3383&gt;=I3383,1,0))</f>
        <v/>
      </c>
      <c r="O3383" s="21">
        <f>IF(I3383&lt;=5000000,"Under $5M",IF(I3383&lt;=20000000,"$5M-20M",IF(I3383&lt;=50000000,"$20M-50M",IF(I3383&lt;=100000000,"$50M-100M","$100M+"))))</f>
        <v/>
      </c>
      <c r="P3383" s="21">
        <f>IF(E3383&lt;=90,"90 or less",IF(E3383&lt;=105,"91-105",IF(E3383&lt;=120,"106-120",IF(E3383&lt;=140,"121-140","Over 140"))))</f>
        <v/>
      </c>
      <c r="Q3383" s="28">
        <f>INT(C3383/10)*10</f>
        <v/>
      </c>
    </row>
    <row r="3384">
      <c r="A3384" s="21" t="n">
        <v>3455</v>
      </c>
      <c r="B3384" s="21" t="inlineStr">
        <is>
          <t>Black Swan</t>
        </is>
      </c>
      <c r="C3384" s="21" t="n">
        <v>2010</v>
      </c>
      <c r="D3384" s="21" t="inlineStr">
        <is>
          <t>USA</t>
        </is>
      </c>
      <c r="E3384" s="21" t="n">
        <v>108</v>
      </c>
      <c r="F3384" s="21" t="inlineStr">
        <is>
          <t>English</t>
        </is>
      </c>
      <c r="G3384" s="21" t="inlineStr">
        <is>
          <t>R</t>
        </is>
      </c>
      <c r="H3384" s="22" t="n">
        <v>106952327</v>
      </c>
      <c r="I3384" s="22" t="n">
        <v>13000000</v>
      </c>
      <c r="J3384" s="21">
        <f>IF(OR(H3384="",H3384=25529689.5),"Yes","No")</f>
        <v/>
      </c>
      <c r="K3384" s="21">
        <f>IF(AND(D3384="USA",C3384&gt;=1980,J3384="No"),"Yes","No")</f>
        <v/>
      </c>
      <c r="L3384" s="26">
        <f>IF(J3384="Yes","",H3384-I3384)</f>
        <v/>
      </c>
      <c r="M3384" s="27">
        <f>IF(OR(J3384="Yes",I3384=0),"",H3384/I3384)</f>
        <v/>
      </c>
      <c r="N3384" s="21">
        <f>IF(J3384="Yes","",IF(H3384&gt;=I3384,1,0))</f>
        <v/>
      </c>
      <c r="O3384" s="21">
        <f>IF(I3384&lt;=5000000,"Under $5M",IF(I3384&lt;=20000000,"$5M-20M",IF(I3384&lt;=50000000,"$20M-50M",IF(I3384&lt;=100000000,"$50M-100M","$100M+"))))</f>
        <v/>
      </c>
      <c r="P3384" s="21">
        <f>IF(E3384&lt;=90,"90 or less",IF(E3384&lt;=105,"91-105",IF(E3384&lt;=120,"106-120",IF(E3384&lt;=140,"121-140","Over 140"))))</f>
        <v/>
      </c>
      <c r="Q3384" s="28">
        <f>INT(C3384/10)*10</f>
        <v/>
      </c>
    </row>
    <row r="3385">
      <c r="A3385" s="21" t="n">
        <v>3456</v>
      </c>
      <c r="B3385" s="21" t="inlineStr">
        <is>
          <t>Blood Done Sign My Name</t>
        </is>
      </c>
      <c r="C3385" s="21" t="n">
        <v>2010</v>
      </c>
      <c r="D3385" s="21" t="inlineStr">
        <is>
          <t>USA</t>
        </is>
      </c>
      <c r="E3385" s="21" t="n">
        <v>128</v>
      </c>
      <c r="F3385" s="21" t="inlineStr">
        <is>
          <t>English</t>
        </is>
      </c>
      <c r="G3385" s="21" t="inlineStr">
        <is>
          <t>PG-13</t>
        </is>
      </c>
      <c r="H3385" s="22" t="n">
        <v>82739</v>
      </c>
      <c r="I3385" s="22" t="n">
        <v>20000000</v>
      </c>
      <c r="J3385" s="21">
        <f>IF(OR(H3385="",H3385=25529689.5),"Yes","No")</f>
        <v/>
      </c>
      <c r="K3385" s="21">
        <f>IF(AND(D3385="USA",C3385&gt;=1980,J3385="No"),"Yes","No")</f>
        <v/>
      </c>
      <c r="L3385" s="26">
        <f>IF(J3385="Yes","",H3385-I3385)</f>
        <v/>
      </c>
      <c r="M3385" s="27">
        <f>IF(OR(J3385="Yes",I3385=0),"",H3385/I3385)</f>
        <v/>
      </c>
      <c r="N3385" s="21">
        <f>IF(J3385="Yes","",IF(H3385&gt;=I3385,1,0))</f>
        <v/>
      </c>
      <c r="O3385" s="21">
        <f>IF(I3385&lt;=5000000,"Under $5M",IF(I3385&lt;=20000000,"$5M-20M",IF(I3385&lt;=50000000,"$20M-50M",IF(I3385&lt;=100000000,"$50M-100M","$100M+"))))</f>
        <v/>
      </c>
      <c r="P3385" s="21">
        <f>IF(E3385&lt;=90,"90 or less",IF(E3385&lt;=105,"91-105",IF(E3385&lt;=120,"106-120",IF(E3385&lt;=140,"121-140","Over 140"))))</f>
        <v/>
      </c>
      <c r="Q3385" s="28">
        <f>INT(C3385/10)*10</f>
        <v/>
      </c>
    </row>
    <row r="3386">
      <c r="A3386" s="21" t="n">
        <v>3457</v>
      </c>
      <c r="B3386" s="21" t="inlineStr">
        <is>
          <t>Blue Valentine</t>
        </is>
      </c>
      <c r="C3386" s="21" t="n">
        <v>2010</v>
      </c>
      <c r="D3386" s="21" t="inlineStr">
        <is>
          <t>USA</t>
        </is>
      </c>
      <c r="E3386" s="21" t="n">
        <v>112</v>
      </c>
      <c r="F3386" s="21" t="inlineStr">
        <is>
          <t>English</t>
        </is>
      </c>
      <c r="G3386" s="21" t="inlineStr">
        <is>
          <t>R</t>
        </is>
      </c>
      <c r="H3386" s="22" t="n">
        <v>9701559</v>
      </c>
      <c r="I3386" s="22" t="n">
        <v>3500000</v>
      </c>
      <c r="J3386" s="21">
        <f>IF(OR(H3386="",H3386=25529689.5),"Yes","No")</f>
        <v/>
      </c>
      <c r="K3386" s="21">
        <f>IF(AND(D3386="USA",C3386&gt;=1980,J3386="No"),"Yes","No")</f>
        <v/>
      </c>
      <c r="L3386" s="26">
        <f>IF(J3386="Yes","",H3386-I3386)</f>
        <v/>
      </c>
      <c r="M3386" s="27">
        <f>IF(OR(J3386="Yes",I3386=0),"",H3386/I3386)</f>
        <v/>
      </c>
      <c r="N3386" s="21">
        <f>IF(J3386="Yes","",IF(H3386&gt;=I3386,1,0))</f>
        <v/>
      </c>
      <c r="O3386" s="21">
        <f>IF(I3386&lt;=5000000,"Under $5M",IF(I3386&lt;=20000000,"$5M-20M",IF(I3386&lt;=50000000,"$20M-50M",IF(I3386&lt;=100000000,"$50M-100M","$100M+"))))</f>
        <v/>
      </c>
      <c r="P3386" s="21">
        <f>IF(E3386&lt;=90,"90 or less",IF(E3386&lt;=105,"91-105",IF(E3386&lt;=120,"106-120",IF(E3386&lt;=140,"121-140","Over 140"))))</f>
        <v/>
      </c>
      <c r="Q3386" s="28">
        <f>INT(C3386/10)*10</f>
        <v/>
      </c>
    </row>
    <row r="3387">
      <c r="A3387" s="21" t="n">
        <v>3458</v>
      </c>
      <c r="B3387" s="21" t="inlineStr">
        <is>
          <t>Brighton Rock</t>
        </is>
      </c>
      <c r="C3387" s="21" t="n">
        <v>2010</v>
      </c>
      <c r="D3387" s="21" t="inlineStr">
        <is>
          <t>UK</t>
        </is>
      </c>
      <c r="E3387" s="21" t="n">
        <v>111</v>
      </c>
      <c r="F3387" s="21" t="inlineStr">
        <is>
          <t>English</t>
        </is>
      </c>
      <c r="G3387" s="21" t="inlineStr">
        <is>
          <t>R</t>
        </is>
      </c>
      <c r="H3387" s="22" t="n">
        <v>25529689.5</v>
      </c>
      <c r="I3387" s="22" t="n">
        <v>12000000</v>
      </c>
      <c r="J3387" s="21">
        <f>IF(OR(H3387="",H3387=25529689.5),"Yes","No")</f>
        <v/>
      </c>
      <c r="K3387" s="21">
        <f>IF(AND(D3387="USA",C3387&gt;=1980,J3387="No"),"Yes","No")</f>
        <v/>
      </c>
      <c r="L3387" s="26">
        <f>IF(J3387="Yes","",H3387-I3387)</f>
        <v/>
      </c>
      <c r="M3387" s="27">
        <f>IF(OR(J3387="Yes",I3387=0),"",H3387/I3387)</f>
        <v/>
      </c>
      <c r="N3387" s="21">
        <f>IF(J3387="Yes","",IF(H3387&gt;=I3387,1,0))</f>
        <v/>
      </c>
      <c r="O3387" s="21">
        <f>IF(I3387&lt;=5000000,"Under $5M",IF(I3387&lt;=20000000,"$5M-20M",IF(I3387&lt;=50000000,"$20M-50M",IF(I3387&lt;=100000000,"$50M-100M","$100M+"))))</f>
        <v/>
      </c>
      <c r="P3387" s="21">
        <f>IF(E3387&lt;=90,"90 or less",IF(E3387&lt;=105,"91-105",IF(E3387&lt;=120,"106-120",IF(E3387&lt;=140,"121-140","Over 140"))))</f>
        <v/>
      </c>
      <c r="Q3387" s="28">
        <f>INT(C3387/10)*10</f>
        <v/>
      </c>
    </row>
    <row r="3388">
      <c r="A3388" s="21" t="n">
        <v>3459</v>
      </c>
      <c r="B3388" s="21" t="inlineStr">
        <is>
          <t>Buried</t>
        </is>
      </c>
      <c r="C3388" s="21" t="n">
        <v>2010</v>
      </c>
      <c r="D3388" s="21" t="inlineStr">
        <is>
          <t>Spain</t>
        </is>
      </c>
      <c r="E3388" s="21" t="n">
        <v>95</v>
      </c>
      <c r="F3388" s="21" t="inlineStr">
        <is>
          <t>English</t>
        </is>
      </c>
      <c r="G3388" s="21" t="inlineStr">
        <is>
          <t>R</t>
        </is>
      </c>
      <c r="H3388" s="22" t="n">
        <v>1028658</v>
      </c>
      <c r="I3388" s="22" t="n">
        <v>3000000</v>
      </c>
      <c r="J3388" s="21">
        <f>IF(OR(H3388="",H3388=25529689.5),"Yes","No")</f>
        <v/>
      </c>
      <c r="K3388" s="21">
        <f>IF(AND(D3388="USA",C3388&gt;=1980,J3388="No"),"Yes","No")</f>
        <v/>
      </c>
      <c r="L3388" s="26">
        <f>IF(J3388="Yes","",H3388-I3388)</f>
        <v/>
      </c>
      <c r="M3388" s="27">
        <f>IF(OR(J3388="Yes",I3388=0),"",H3388/I3388)</f>
        <v/>
      </c>
      <c r="N3388" s="21">
        <f>IF(J3388="Yes","",IF(H3388&gt;=I3388,1,0))</f>
        <v/>
      </c>
      <c r="O3388" s="21">
        <f>IF(I3388&lt;=5000000,"Under $5M",IF(I3388&lt;=20000000,"$5M-20M",IF(I3388&lt;=50000000,"$20M-50M",IF(I3388&lt;=100000000,"$50M-100M","$100M+"))))</f>
        <v/>
      </c>
      <c r="P3388" s="21">
        <f>IF(E3388&lt;=90,"90 or less",IF(E3388&lt;=105,"91-105",IF(E3388&lt;=120,"106-120",IF(E3388&lt;=140,"121-140","Over 140"))))</f>
        <v/>
      </c>
      <c r="Q3388" s="28">
        <f>INT(C3388/10)*10</f>
        <v/>
      </c>
    </row>
    <row r="3389">
      <c r="A3389" s="21" t="n">
        <v>3460</v>
      </c>
      <c r="B3389" s="21" t="inlineStr">
        <is>
          <t>Burlesque</t>
        </is>
      </c>
      <c r="C3389" s="21" t="n">
        <v>2010</v>
      </c>
      <c r="D3389" s="21" t="inlineStr">
        <is>
          <t>USA</t>
        </is>
      </c>
      <c r="E3389" s="21" t="n">
        <v>119</v>
      </c>
      <c r="F3389" s="21" t="inlineStr">
        <is>
          <t>English</t>
        </is>
      </c>
      <c r="G3389" s="21" t="inlineStr">
        <is>
          <t>PG-13</t>
        </is>
      </c>
      <c r="H3389" s="22" t="n">
        <v>39440655</v>
      </c>
      <c r="I3389" s="22" t="n">
        <v>55000000</v>
      </c>
      <c r="J3389" s="21">
        <f>IF(OR(H3389="",H3389=25529689.5),"Yes","No")</f>
        <v/>
      </c>
      <c r="K3389" s="21">
        <f>IF(AND(D3389="USA",C3389&gt;=1980,J3389="No"),"Yes","No")</f>
        <v/>
      </c>
      <c r="L3389" s="26">
        <f>IF(J3389="Yes","",H3389-I3389)</f>
        <v/>
      </c>
      <c r="M3389" s="27">
        <f>IF(OR(J3389="Yes",I3389=0),"",H3389/I3389)</f>
        <v/>
      </c>
      <c r="N3389" s="21">
        <f>IF(J3389="Yes","",IF(H3389&gt;=I3389,1,0))</f>
        <v/>
      </c>
      <c r="O3389" s="21">
        <f>IF(I3389&lt;=5000000,"Under $5M",IF(I3389&lt;=20000000,"$5M-20M",IF(I3389&lt;=50000000,"$20M-50M",IF(I3389&lt;=100000000,"$50M-100M","$100M+"))))</f>
        <v/>
      </c>
      <c r="P3389" s="21">
        <f>IF(E3389&lt;=90,"90 or less",IF(E3389&lt;=105,"91-105",IF(E3389&lt;=120,"106-120",IF(E3389&lt;=140,"121-140","Over 140"))))</f>
        <v/>
      </c>
      <c r="Q3389" s="28">
        <f>INT(C3389/10)*10</f>
        <v/>
      </c>
    </row>
    <row r="3390">
      <c r="A3390" s="21" t="n">
        <v>3461</v>
      </c>
      <c r="B3390" s="21" t="inlineStr">
        <is>
          <t>Ca$h</t>
        </is>
      </c>
      <c r="C3390" s="21" t="n">
        <v>2010</v>
      </c>
      <c r="D3390" s="21" t="inlineStr">
        <is>
          <t>USA</t>
        </is>
      </c>
      <c r="E3390" s="21" t="n">
        <v>118</v>
      </c>
      <c r="F3390" s="21" t="inlineStr">
        <is>
          <t>English</t>
        </is>
      </c>
      <c r="G3390" s="21" t="inlineStr">
        <is>
          <t>R</t>
        </is>
      </c>
      <c r="H3390" s="22" t="n">
        <v>46451</v>
      </c>
      <c r="I3390" s="22" t="n">
        <v>7000000</v>
      </c>
      <c r="J3390" s="21">
        <f>IF(OR(H3390="",H3390=25529689.5),"Yes","No")</f>
        <v/>
      </c>
      <c r="K3390" s="21">
        <f>IF(AND(D3390="USA",C3390&gt;=1980,J3390="No"),"Yes","No")</f>
        <v/>
      </c>
      <c r="L3390" s="26">
        <f>IF(J3390="Yes","",H3390-I3390)</f>
        <v/>
      </c>
      <c r="M3390" s="27">
        <f>IF(OR(J3390="Yes",I3390=0),"",H3390/I3390)</f>
        <v/>
      </c>
      <c r="N3390" s="21">
        <f>IF(J3390="Yes","",IF(H3390&gt;=I3390,1,0))</f>
        <v/>
      </c>
      <c r="O3390" s="21">
        <f>IF(I3390&lt;=5000000,"Under $5M",IF(I3390&lt;=20000000,"$5M-20M",IF(I3390&lt;=50000000,"$20M-50M",IF(I3390&lt;=100000000,"$50M-100M","$100M+"))))</f>
        <v/>
      </c>
      <c r="P3390" s="21">
        <f>IF(E3390&lt;=90,"90 or less",IF(E3390&lt;=105,"91-105",IF(E3390&lt;=120,"106-120",IF(E3390&lt;=140,"121-140","Over 140"))))</f>
        <v/>
      </c>
      <c r="Q3390" s="28">
        <f>INT(C3390/10)*10</f>
        <v/>
      </c>
    </row>
    <row r="3391">
      <c r="A3391" s="21" t="n">
        <v>3462</v>
      </c>
      <c r="B3391" s="21" t="inlineStr">
        <is>
          <t>Casino Jack</t>
        </is>
      </c>
      <c r="C3391" s="21" t="n">
        <v>2010</v>
      </c>
      <c r="D3391" s="21" t="inlineStr">
        <is>
          <t>Canada</t>
        </is>
      </c>
      <c r="E3391" s="21" t="n">
        <v>108</v>
      </c>
      <c r="F3391" s="21" t="inlineStr">
        <is>
          <t>English</t>
        </is>
      </c>
      <c r="G3391" s="21" t="inlineStr">
        <is>
          <t>R</t>
        </is>
      </c>
      <c r="H3391" s="22" t="n">
        <v>1039869</v>
      </c>
      <c r="I3391" s="22" t="n">
        <v>15000000</v>
      </c>
      <c r="J3391" s="21">
        <f>IF(OR(H3391="",H3391=25529689.5),"Yes","No")</f>
        <v/>
      </c>
      <c r="K3391" s="21">
        <f>IF(AND(D3391="USA",C3391&gt;=1980,J3391="No"),"Yes","No")</f>
        <v/>
      </c>
      <c r="L3391" s="26">
        <f>IF(J3391="Yes","",H3391-I3391)</f>
        <v/>
      </c>
      <c r="M3391" s="27">
        <f>IF(OR(J3391="Yes",I3391=0),"",H3391/I3391)</f>
        <v/>
      </c>
      <c r="N3391" s="21">
        <f>IF(J3391="Yes","",IF(H3391&gt;=I3391,1,0))</f>
        <v/>
      </c>
      <c r="O3391" s="21">
        <f>IF(I3391&lt;=5000000,"Under $5M",IF(I3391&lt;=20000000,"$5M-20M",IF(I3391&lt;=50000000,"$20M-50M",IF(I3391&lt;=100000000,"$50M-100M","$100M+"))))</f>
        <v/>
      </c>
      <c r="P3391" s="21">
        <f>IF(E3391&lt;=90,"90 or less",IF(E3391&lt;=105,"91-105",IF(E3391&lt;=120,"106-120",IF(E3391&lt;=140,"121-140","Over 140"))))</f>
        <v/>
      </c>
      <c r="Q3391" s="28">
        <f>INT(C3391/10)*10</f>
        <v/>
      </c>
    </row>
    <row r="3392">
      <c r="A3392" s="21" t="n">
        <v>3463</v>
      </c>
      <c r="B3392" s="21" t="inlineStr">
        <is>
          <t>Cats &amp; Dogs: The Revenge of Kitty Galore</t>
        </is>
      </c>
      <c r="C3392" s="21" t="n">
        <v>2010</v>
      </c>
      <c r="D3392" s="21" t="inlineStr">
        <is>
          <t>USA</t>
        </is>
      </c>
      <c r="E3392" s="21" t="n">
        <v>82</v>
      </c>
      <c r="F3392" s="21" t="inlineStr">
        <is>
          <t>English</t>
        </is>
      </c>
      <c r="G3392" s="21" t="inlineStr">
        <is>
          <t>PG</t>
        </is>
      </c>
      <c r="H3392" s="22" t="n">
        <v>43575716</v>
      </c>
      <c r="I3392" s="22" t="n">
        <v>85000000</v>
      </c>
      <c r="J3392" s="21">
        <f>IF(OR(H3392="",H3392=25529689.5),"Yes","No")</f>
        <v/>
      </c>
      <c r="K3392" s="21">
        <f>IF(AND(D3392="USA",C3392&gt;=1980,J3392="No"),"Yes","No")</f>
        <v/>
      </c>
      <c r="L3392" s="26">
        <f>IF(J3392="Yes","",H3392-I3392)</f>
        <v/>
      </c>
      <c r="M3392" s="27">
        <f>IF(OR(J3392="Yes",I3392=0),"",H3392/I3392)</f>
        <v/>
      </c>
      <c r="N3392" s="21">
        <f>IF(J3392="Yes","",IF(H3392&gt;=I3392,1,0))</f>
        <v/>
      </c>
      <c r="O3392" s="21">
        <f>IF(I3392&lt;=5000000,"Under $5M",IF(I3392&lt;=20000000,"$5M-20M",IF(I3392&lt;=50000000,"$20M-50M",IF(I3392&lt;=100000000,"$50M-100M","$100M+"))))</f>
        <v/>
      </c>
      <c r="P3392" s="21">
        <f>IF(E3392&lt;=90,"90 or less",IF(E3392&lt;=105,"91-105",IF(E3392&lt;=120,"106-120",IF(E3392&lt;=140,"121-140","Over 140"))))</f>
        <v/>
      </c>
      <c r="Q3392" s="28">
        <f>INT(C3392/10)*10</f>
        <v/>
      </c>
    </row>
    <row r="3393">
      <c r="A3393" s="21" t="n">
        <v>3464</v>
      </c>
      <c r="B3393" s="21" t="inlineStr">
        <is>
          <t>Centurion</t>
        </is>
      </c>
      <c r="C3393" s="21" t="n">
        <v>2010</v>
      </c>
      <c r="D3393" s="21" t="inlineStr">
        <is>
          <t>UK</t>
        </is>
      </c>
      <c r="E3393" s="21" t="n">
        <v>97</v>
      </c>
      <c r="F3393" s="21" t="inlineStr">
        <is>
          <t>English</t>
        </is>
      </c>
      <c r="G3393" s="21" t="inlineStr">
        <is>
          <t>R</t>
        </is>
      </c>
      <c r="H3393" s="22" t="n">
        <v>122288</v>
      </c>
      <c r="I3393" s="22" t="n">
        <v>20000000</v>
      </c>
      <c r="J3393" s="21">
        <f>IF(OR(H3393="",H3393=25529689.5),"Yes","No")</f>
        <v/>
      </c>
      <c r="K3393" s="21">
        <f>IF(AND(D3393="USA",C3393&gt;=1980,J3393="No"),"Yes","No")</f>
        <v/>
      </c>
      <c r="L3393" s="26">
        <f>IF(J3393="Yes","",H3393-I3393)</f>
        <v/>
      </c>
      <c r="M3393" s="27">
        <f>IF(OR(J3393="Yes",I3393=0),"",H3393/I3393)</f>
        <v/>
      </c>
      <c r="N3393" s="21">
        <f>IF(J3393="Yes","",IF(H3393&gt;=I3393,1,0))</f>
        <v/>
      </c>
      <c r="O3393" s="21">
        <f>IF(I3393&lt;=5000000,"Under $5M",IF(I3393&lt;=20000000,"$5M-20M",IF(I3393&lt;=50000000,"$20M-50M",IF(I3393&lt;=100000000,"$50M-100M","$100M+"))))</f>
        <v/>
      </c>
      <c r="P3393" s="21">
        <f>IF(E3393&lt;=90,"90 or less",IF(E3393&lt;=105,"91-105",IF(E3393&lt;=120,"106-120",IF(E3393&lt;=140,"121-140","Over 140"))))</f>
        <v/>
      </c>
      <c r="Q3393" s="28">
        <f>INT(C3393/10)*10</f>
        <v/>
      </c>
    </row>
    <row r="3394">
      <c r="A3394" s="21" t="n">
        <v>3465</v>
      </c>
      <c r="B3394" s="21" t="inlineStr">
        <is>
          <t>Charlie St. Cloud</t>
        </is>
      </c>
      <c r="C3394" s="21" t="n">
        <v>2010</v>
      </c>
      <c r="D3394" s="21" t="inlineStr">
        <is>
          <t>USA</t>
        </is>
      </c>
      <c r="E3394" s="21" t="n">
        <v>99</v>
      </c>
      <c r="F3394" s="21" t="inlineStr">
        <is>
          <t>English</t>
        </is>
      </c>
      <c r="G3394" s="21" t="inlineStr">
        <is>
          <t>PG-13</t>
        </is>
      </c>
      <c r="H3394" s="22" t="n">
        <v>31136950</v>
      </c>
      <c r="I3394" s="22" t="n">
        <v>44000000</v>
      </c>
      <c r="J3394" s="21">
        <f>IF(OR(H3394="",H3394=25529689.5),"Yes","No")</f>
        <v/>
      </c>
      <c r="K3394" s="21">
        <f>IF(AND(D3394="USA",C3394&gt;=1980,J3394="No"),"Yes","No")</f>
        <v/>
      </c>
      <c r="L3394" s="26">
        <f>IF(J3394="Yes","",H3394-I3394)</f>
        <v/>
      </c>
      <c r="M3394" s="27">
        <f>IF(OR(J3394="Yes",I3394=0),"",H3394/I3394)</f>
        <v/>
      </c>
      <c r="N3394" s="21">
        <f>IF(J3394="Yes","",IF(H3394&gt;=I3394,1,0))</f>
        <v/>
      </c>
      <c r="O3394" s="21">
        <f>IF(I3394&lt;=5000000,"Under $5M",IF(I3394&lt;=20000000,"$5M-20M",IF(I3394&lt;=50000000,"$20M-50M",IF(I3394&lt;=100000000,"$50M-100M","$100M+"))))</f>
        <v/>
      </c>
      <c r="P3394" s="21">
        <f>IF(E3394&lt;=90,"90 or less",IF(E3394&lt;=105,"91-105",IF(E3394&lt;=120,"106-120",IF(E3394&lt;=140,"121-140","Over 140"))))</f>
        <v/>
      </c>
      <c r="Q3394" s="28">
        <f>INT(C3394/10)*10</f>
        <v/>
      </c>
    </row>
    <row r="3395">
      <c r="A3395" s="21" t="n">
        <v>3466</v>
      </c>
      <c r="B3395" s="21" t="inlineStr">
        <is>
          <t>Clash of the Titans</t>
        </is>
      </c>
      <c r="C3395" s="21" t="n">
        <v>2010</v>
      </c>
      <c r="D3395" s="21" t="inlineStr">
        <is>
          <t>USA</t>
        </is>
      </c>
      <c r="E3395" s="21" t="n">
        <v>106</v>
      </c>
      <c r="F3395" s="21" t="inlineStr">
        <is>
          <t>English</t>
        </is>
      </c>
      <c r="G3395" s="21" t="inlineStr">
        <is>
          <t>PG-13</t>
        </is>
      </c>
      <c r="H3395" s="22" t="n">
        <v>163192114</v>
      </c>
      <c r="I3395" s="22" t="n">
        <v>125000000</v>
      </c>
      <c r="J3395" s="21">
        <f>IF(OR(H3395="",H3395=25529689.5),"Yes","No")</f>
        <v/>
      </c>
      <c r="K3395" s="21">
        <f>IF(AND(D3395="USA",C3395&gt;=1980,J3395="No"),"Yes","No")</f>
        <v/>
      </c>
      <c r="L3395" s="26">
        <f>IF(J3395="Yes","",H3395-I3395)</f>
        <v/>
      </c>
      <c r="M3395" s="27">
        <f>IF(OR(J3395="Yes",I3395=0),"",H3395/I3395)</f>
        <v/>
      </c>
      <c r="N3395" s="21">
        <f>IF(J3395="Yes","",IF(H3395&gt;=I3395,1,0))</f>
        <v/>
      </c>
      <c r="O3395" s="21">
        <f>IF(I3395&lt;=5000000,"Under $5M",IF(I3395&lt;=20000000,"$5M-20M",IF(I3395&lt;=50000000,"$20M-50M",IF(I3395&lt;=100000000,"$50M-100M","$100M+"))))</f>
        <v/>
      </c>
      <c r="P3395" s="21">
        <f>IF(E3395&lt;=90,"90 or less",IF(E3395&lt;=105,"91-105",IF(E3395&lt;=120,"106-120",IF(E3395&lt;=140,"121-140","Over 140"))))</f>
        <v/>
      </c>
      <c r="Q3395" s="28">
        <f>INT(C3395/10)*10</f>
        <v/>
      </c>
    </row>
    <row r="3396">
      <c r="A3396" s="21" t="n">
        <v>3468</v>
      </c>
      <c r="B3396" s="21" t="inlineStr">
        <is>
          <t>Cop Out</t>
        </is>
      </c>
      <c r="C3396" s="21" t="n">
        <v>2010</v>
      </c>
      <c r="D3396" s="21" t="inlineStr">
        <is>
          <t>USA</t>
        </is>
      </c>
      <c r="E3396" s="21" t="n">
        <v>107</v>
      </c>
      <c r="F3396" s="21" t="inlineStr">
        <is>
          <t>English</t>
        </is>
      </c>
      <c r="G3396" s="21" t="inlineStr">
        <is>
          <t>R</t>
        </is>
      </c>
      <c r="H3396" s="22" t="n">
        <v>44867349</v>
      </c>
      <c r="I3396" s="22" t="n">
        <v>37000000</v>
      </c>
      <c r="J3396" s="21">
        <f>IF(OR(H3396="",H3396=25529689.5),"Yes","No")</f>
        <v/>
      </c>
      <c r="K3396" s="21">
        <f>IF(AND(D3396="USA",C3396&gt;=1980,J3396="No"),"Yes","No")</f>
        <v/>
      </c>
      <c r="L3396" s="26">
        <f>IF(J3396="Yes","",H3396-I3396)</f>
        <v/>
      </c>
      <c r="M3396" s="27">
        <f>IF(OR(J3396="Yes",I3396=0),"",H3396/I3396)</f>
        <v/>
      </c>
      <c r="N3396" s="21">
        <f>IF(J3396="Yes","",IF(H3396&gt;=I3396,1,0))</f>
        <v/>
      </c>
      <c r="O3396" s="21">
        <f>IF(I3396&lt;=5000000,"Under $5M",IF(I3396&lt;=20000000,"$5M-20M",IF(I3396&lt;=50000000,"$20M-50M",IF(I3396&lt;=100000000,"$50M-100M","$100M+"))))</f>
        <v/>
      </c>
      <c r="P3396" s="21">
        <f>IF(E3396&lt;=90,"90 or less",IF(E3396&lt;=105,"91-105",IF(E3396&lt;=120,"106-120",IF(E3396&lt;=140,"121-140","Over 140"))))</f>
        <v/>
      </c>
      <c r="Q3396" s="28">
        <f>INT(C3396/10)*10</f>
        <v/>
      </c>
    </row>
    <row r="3397">
      <c r="A3397" s="21" t="n">
        <v>3469</v>
      </c>
      <c r="B3397" s="21" t="inlineStr">
        <is>
          <t>Country Strong</t>
        </is>
      </c>
      <c r="C3397" s="21" t="n">
        <v>2010</v>
      </c>
      <c r="D3397" s="21" t="inlineStr">
        <is>
          <t>USA</t>
        </is>
      </c>
      <c r="E3397" s="21" t="n">
        <v>117</v>
      </c>
      <c r="F3397" s="21" t="inlineStr">
        <is>
          <t>English</t>
        </is>
      </c>
      <c r="G3397" s="21" t="inlineStr">
        <is>
          <t>PG-13</t>
        </is>
      </c>
      <c r="H3397" s="22" t="n">
        <v>20218921</v>
      </c>
      <c r="I3397" s="22" t="n">
        <v>15000000</v>
      </c>
      <c r="J3397" s="21">
        <f>IF(OR(H3397="",H3397=25529689.5),"Yes","No")</f>
        <v/>
      </c>
      <c r="K3397" s="21">
        <f>IF(AND(D3397="USA",C3397&gt;=1980,J3397="No"),"Yes","No")</f>
        <v/>
      </c>
      <c r="L3397" s="26">
        <f>IF(J3397="Yes","",H3397-I3397)</f>
        <v/>
      </c>
      <c r="M3397" s="27">
        <f>IF(OR(J3397="Yes",I3397=0),"",H3397/I3397)</f>
        <v/>
      </c>
      <c r="N3397" s="21">
        <f>IF(J3397="Yes","",IF(H3397&gt;=I3397,1,0))</f>
        <v/>
      </c>
      <c r="O3397" s="21">
        <f>IF(I3397&lt;=5000000,"Under $5M",IF(I3397&lt;=20000000,"$5M-20M",IF(I3397&lt;=50000000,"$20M-50M",IF(I3397&lt;=100000000,"$50M-100M","$100M+"))))</f>
        <v/>
      </c>
      <c r="P3397" s="21">
        <f>IF(E3397&lt;=90,"90 or less",IF(E3397&lt;=105,"91-105",IF(E3397&lt;=120,"106-120",IF(E3397&lt;=140,"121-140","Over 140"))))</f>
        <v/>
      </c>
      <c r="Q3397" s="28">
        <f>INT(C3397/10)*10</f>
        <v/>
      </c>
    </row>
    <row r="3398">
      <c r="A3398" s="21" t="n">
        <v>3470</v>
      </c>
      <c r="B3398" s="21" t="inlineStr">
        <is>
          <t>Cyrus</t>
        </is>
      </c>
      <c r="C3398" s="21" t="n">
        <v>2010</v>
      </c>
      <c r="D3398" s="21" t="inlineStr">
        <is>
          <t>USA</t>
        </is>
      </c>
      <c r="E3398" s="21" t="n">
        <v>91</v>
      </c>
      <c r="F3398" s="21" t="inlineStr">
        <is>
          <t>English</t>
        </is>
      </c>
      <c r="G3398" s="21" t="inlineStr">
        <is>
          <t>R</t>
        </is>
      </c>
      <c r="H3398" s="22" t="n">
        <v>7455447</v>
      </c>
      <c r="I3398" s="22" t="n">
        <v>7000000</v>
      </c>
      <c r="J3398" s="21">
        <f>IF(OR(H3398="",H3398=25529689.5),"Yes","No")</f>
        <v/>
      </c>
      <c r="K3398" s="21">
        <f>IF(AND(D3398="USA",C3398&gt;=1980,J3398="No"),"Yes","No")</f>
        <v/>
      </c>
      <c r="L3398" s="26">
        <f>IF(J3398="Yes","",H3398-I3398)</f>
        <v/>
      </c>
      <c r="M3398" s="27">
        <f>IF(OR(J3398="Yes",I3398=0),"",H3398/I3398)</f>
        <v/>
      </c>
      <c r="N3398" s="21">
        <f>IF(J3398="Yes","",IF(H3398&gt;=I3398,1,0))</f>
        <v/>
      </c>
      <c r="O3398" s="21">
        <f>IF(I3398&lt;=5000000,"Under $5M",IF(I3398&lt;=20000000,"$5M-20M",IF(I3398&lt;=50000000,"$20M-50M",IF(I3398&lt;=100000000,"$50M-100M","$100M+"))))</f>
        <v/>
      </c>
      <c r="P3398" s="21">
        <f>IF(E3398&lt;=90,"90 or less",IF(E3398&lt;=105,"91-105",IF(E3398&lt;=120,"106-120",IF(E3398&lt;=140,"121-140","Over 140"))))</f>
        <v/>
      </c>
      <c r="Q3398" s="28">
        <f>INT(C3398/10)*10</f>
        <v/>
      </c>
    </row>
    <row r="3399">
      <c r="A3399" s="21" t="n">
        <v>3471</v>
      </c>
      <c r="B3399" s="21" t="inlineStr">
        <is>
          <t>Date Night</t>
        </is>
      </c>
      <c r="C3399" s="21" t="n">
        <v>2010</v>
      </c>
      <c r="D3399" s="21" t="inlineStr">
        <is>
          <t>USA</t>
        </is>
      </c>
      <c r="E3399" s="21" t="n">
        <v>101</v>
      </c>
      <c r="F3399" s="21" t="inlineStr">
        <is>
          <t>English</t>
        </is>
      </c>
      <c r="G3399" s="21" t="inlineStr">
        <is>
          <t>PG-13</t>
        </is>
      </c>
      <c r="H3399" s="22" t="n">
        <v>98711404</v>
      </c>
      <c r="I3399" s="22" t="n">
        <v>55000000</v>
      </c>
      <c r="J3399" s="21">
        <f>IF(OR(H3399="",H3399=25529689.5),"Yes","No")</f>
        <v/>
      </c>
      <c r="K3399" s="21">
        <f>IF(AND(D3399="USA",C3399&gt;=1980,J3399="No"),"Yes","No")</f>
        <v/>
      </c>
      <c r="L3399" s="26">
        <f>IF(J3399="Yes","",H3399-I3399)</f>
        <v/>
      </c>
      <c r="M3399" s="27">
        <f>IF(OR(J3399="Yes",I3399=0),"",H3399/I3399)</f>
        <v/>
      </c>
      <c r="N3399" s="21">
        <f>IF(J3399="Yes","",IF(H3399&gt;=I3399,1,0))</f>
        <v/>
      </c>
      <c r="O3399" s="21">
        <f>IF(I3399&lt;=5000000,"Under $5M",IF(I3399&lt;=20000000,"$5M-20M",IF(I3399&lt;=50000000,"$20M-50M",IF(I3399&lt;=100000000,"$50M-100M","$100M+"))))</f>
        <v/>
      </c>
      <c r="P3399" s="21">
        <f>IF(E3399&lt;=90,"90 or less",IF(E3399&lt;=105,"91-105",IF(E3399&lt;=120,"106-120",IF(E3399&lt;=140,"121-140","Over 140"))))</f>
        <v/>
      </c>
      <c r="Q3399" s="28">
        <f>INT(C3399/10)*10</f>
        <v/>
      </c>
    </row>
    <row r="3400">
      <c r="A3400" s="21" t="n">
        <v>3472</v>
      </c>
      <c r="B3400" s="21" t="inlineStr">
        <is>
          <t>Dear John</t>
        </is>
      </c>
      <c r="C3400" s="21" t="n">
        <v>2010</v>
      </c>
      <c r="D3400" s="21" t="inlineStr">
        <is>
          <t>USA</t>
        </is>
      </c>
      <c r="E3400" s="21" t="n">
        <v>108</v>
      </c>
      <c r="F3400" s="21" t="inlineStr">
        <is>
          <t>English</t>
        </is>
      </c>
      <c r="G3400" s="21" t="inlineStr">
        <is>
          <t>PG-13</t>
        </is>
      </c>
      <c r="H3400" s="22" t="n">
        <v>80014842</v>
      </c>
      <c r="I3400" s="22" t="n">
        <v>25000000</v>
      </c>
      <c r="J3400" s="21">
        <f>IF(OR(H3400="",H3400=25529689.5),"Yes","No")</f>
        <v/>
      </c>
      <c r="K3400" s="21">
        <f>IF(AND(D3400="USA",C3400&gt;=1980,J3400="No"),"Yes","No")</f>
        <v/>
      </c>
      <c r="L3400" s="26">
        <f>IF(J3400="Yes","",H3400-I3400)</f>
        <v/>
      </c>
      <c r="M3400" s="27">
        <f>IF(OR(J3400="Yes",I3400=0),"",H3400/I3400)</f>
        <v/>
      </c>
      <c r="N3400" s="21">
        <f>IF(J3400="Yes","",IF(H3400&gt;=I3400,1,0))</f>
        <v/>
      </c>
      <c r="O3400" s="21">
        <f>IF(I3400&lt;=5000000,"Under $5M",IF(I3400&lt;=20000000,"$5M-20M",IF(I3400&lt;=50000000,"$20M-50M",IF(I3400&lt;=100000000,"$50M-100M","$100M+"))))</f>
        <v/>
      </c>
      <c r="P3400" s="21">
        <f>IF(E3400&lt;=90,"90 or less",IF(E3400&lt;=105,"91-105",IF(E3400&lt;=120,"106-120",IF(E3400&lt;=140,"121-140","Over 140"))))</f>
        <v/>
      </c>
      <c r="Q3400" s="28">
        <f>INT(C3400/10)*10</f>
        <v/>
      </c>
    </row>
    <row r="3401">
      <c r="A3401" s="21" t="n">
        <v>3473</v>
      </c>
      <c r="B3401" s="21" t="inlineStr">
        <is>
          <t>Death Calls</t>
        </is>
      </c>
      <c r="C3401" s="21" t="n">
        <v>2010</v>
      </c>
      <c r="D3401" s="21" t="inlineStr">
        <is>
          <t>USA</t>
        </is>
      </c>
      <c r="E3401" s="21" t="n">
        <v>90</v>
      </c>
      <c r="F3401" s="21" t="inlineStr">
        <is>
          <t>English</t>
        </is>
      </c>
      <c r="G3401" s="21" t="inlineStr">
        <is>
          <t>R</t>
        </is>
      </c>
      <c r="H3401" s="22" t="n">
        <v>25529689.5</v>
      </c>
      <c r="I3401" s="22" t="n">
        <v>290000</v>
      </c>
      <c r="J3401" s="21">
        <f>IF(OR(H3401="",H3401=25529689.5),"Yes","No")</f>
        <v/>
      </c>
      <c r="K3401" s="21">
        <f>IF(AND(D3401="USA",C3401&gt;=1980,J3401="No"),"Yes","No")</f>
        <v/>
      </c>
      <c r="L3401" s="26">
        <f>IF(J3401="Yes","",H3401-I3401)</f>
        <v/>
      </c>
      <c r="M3401" s="27">
        <f>IF(OR(J3401="Yes",I3401=0),"",H3401/I3401)</f>
        <v/>
      </c>
      <c r="N3401" s="21">
        <f>IF(J3401="Yes","",IF(H3401&gt;=I3401,1,0))</f>
        <v/>
      </c>
      <c r="O3401" s="21">
        <f>IF(I3401&lt;=5000000,"Under $5M",IF(I3401&lt;=20000000,"$5M-20M",IF(I3401&lt;=50000000,"$20M-50M",IF(I3401&lt;=100000000,"$50M-100M","$100M+"))))</f>
        <v/>
      </c>
      <c r="P3401" s="21">
        <f>IF(E3401&lt;=90,"90 or less",IF(E3401&lt;=105,"91-105",IF(E3401&lt;=120,"106-120",IF(E3401&lt;=140,"121-140","Over 140"))))</f>
        <v/>
      </c>
      <c r="Q3401" s="28">
        <f>INT(C3401/10)*10</f>
        <v/>
      </c>
    </row>
    <row r="3402">
      <c r="A3402" s="21" t="n">
        <v>3474</v>
      </c>
      <c r="B3402" s="21" t="inlineStr">
        <is>
          <t>Despicable Me</t>
        </is>
      </c>
      <c r="C3402" s="21" t="n">
        <v>2010</v>
      </c>
      <c r="D3402" s="21" t="inlineStr">
        <is>
          <t>USA</t>
        </is>
      </c>
      <c r="E3402" s="21" t="n">
        <v>87</v>
      </c>
      <c r="F3402" s="21" t="inlineStr">
        <is>
          <t>English</t>
        </is>
      </c>
      <c r="G3402" s="21" t="inlineStr">
        <is>
          <t>PG</t>
        </is>
      </c>
      <c r="H3402" s="22" t="n">
        <v>251501645</v>
      </c>
      <c r="I3402" s="22" t="n">
        <v>69000000</v>
      </c>
      <c r="J3402" s="21">
        <f>IF(OR(H3402="",H3402=25529689.5),"Yes","No")</f>
        <v/>
      </c>
      <c r="K3402" s="21">
        <f>IF(AND(D3402="USA",C3402&gt;=1980,J3402="No"),"Yes","No")</f>
        <v/>
      </c>
      <c r="L3402" s="26">
        <f>IF(J3402="Yes","",H3402-I3402)</f>
        <v/>
      </c>
      <c r="M3402" s="27">
        <f>IF(OR(J3402="Yes",I3402=0),"",H3402/I3402)</f>
        <v/>
      </c>
      <c r="N3402" s="21">
        <f>IF(J3402="Yes","",IF(H3402&gt;=I3402,1,0))</f>
        <v/>
      </c>
      <c r="O3402" s="21">
        <f>IF(I3402&lt;=5000000,"Under $5M",IF(I3402&lt;=20000000,"$5M-20M",IF(I3402&lt;=50000000,"$20M-50M",IF(I3402&lt;=100000000,"$50M-100M","$100M+"))))</f>
        <v/>
      </c>
      <c r="P3402" s="21">
        <f>IF(E3402&lt;=90,"90 or less",IF(E3402&lt;=105,"91-105",IF(E3402&lt;=120,"106-120",IF(E3402&lt;=140,"121-140","Over 140"))))</f>
        <v/>
      </c>
      <c r="Q3402" s="28">
        <f>INT(C3402/10)*10</f>
        <v/>
      </c>
    </row>
    <row r="3403">
      <c r="A3403" s="21" t="n">
        <v>3475</v>
      </c>
      <c r="B3403" s="21" t="inlineStr">
        <is>
          <t>Devil</t>
        </is>
      </c>
      <c r="C3403" s="21" t="n">
        <v>2010</v>
      </c>
      <c r="D3403" s="21" t="inlineStr">
        <is>
          <t>USA</t>
        </is>
      </c>
      <c r="E3403" s="21" t="n">
        <v>80</v>
      </c>
      <c r="F3403" s="21" t="inlineStr">
        <is>
          <t>English</t>
        </is>
      </c>
      <c r="G3403" s="21" t="inlineStr">
        <is>
          <t>PG-13</t>
        </is>
      </c>
      <c r="H3403" s="22" t="n">
        <v>33583175</v>
      </c>
      <c r="I3403" s="22" t="n">
        <v>10000000</v>
      </c>
      <c r="J3403" s="21">
        <f>IF(OR(H3403="",H3403=25529689.5),"Yes","No")</f>
        <v/>
      </c>
      <c r="K3403" s="21">
        <f>IF(AND(D3403="USA",C3403&gt;=1980,J3403="No"),"Yes","No")</f>
        <v/>
      </c>
      <c r="L3403" s="26">
        <f>IF(J3403="Yes","",H3403-I3403)</f>
        <v/>
      </c>
      <c r="M3403" s="27">
        <f>IF(OR(J3403="Yes",I3403=0),"",H3403/I3403)</f>
        <v/>
      </c>
      <c r="N3403" s="21">
        <f>IF(J3403="Yes","",IF(H3403&gt;=I3403,1,0))</f>
        <v/>
      </c>
      <c r="O3403" s="21">
        <f>IF(I3403&lt;=5000000,"Under $5M",IF(I3403&lt;=20000000,"$5M-20M",IF(I3403&lt;=50000000,"$20M-50M",IF(I3403&lt;=100000000,"$50M-100M","$100M+"))))</f>
        <v/>
      </c>
      <c r="P3403" s="21">
        <f>IF(E3403&lt;=90,"90 or less",IF(E3403&lt;=105,"91-105",IF(E3403&lt;=120,"106-120",IF(E3403&lt;=140,"121-140","Over 140"))))</f>
        <v/>
      </c>
      <c r="Q3403" s="28">
        <f>INT(C3403/10)*10</f>
        <v/>
      </c>
    </row>
    <row r="3404">
      <c r="A3404" s="21" t="n">
        <v>3476</v>
      </c>
      <c r="B3404" s="21" t="inlineStr">
        <is>
          <t>Diary of a Wimpy Kid</t>
        </is>
      </c>
      <c r="C3404" s="21" t="n">
        <v>2010</v>
      </c>
      <c r="D3404" s="21" t="inlineStr">
        <is>
          <t>USA</t>
        </is>
      </c>
      <c r="E3404" s="21" t="n">
        <v>94</v>
      </c>
      <c r="F3404" s="21" t="inlineStr">
        <is>
          <t>English</t>
        </is>
      </c>
      <c r="G3404" s="21" t="inlineStr">
        <is>
          <t>PG</t>
        </is>
      </c>
      <c r="H3404" s="22" t="n">
        <v>64001297</v>
      </c>
      <c r="I3404" s="22" t="n">
        <v>15000000</v>
      </c>
      <c r="J3404" s="21">
        <f>IF(OR(H3404="",H3404=25529689.5),"Yes","No")</f>
        <v/>
      </c>
      <c r="K3404" s="21">
        <f>IF(AND(D3404="USA",C3404&gt;=1980,J3404="No"),"Yes","No")</f>
        <v/>
      </c>
      <c r="L3404" s="26">
        <f>IF(J3404="Yes","",H3404-I3404)</f>
        <v/>
      </c>
      <c r="M3404" s="27">
        <f>IF(OR(J3404="Yes",I3404=0),"",H3404/I3404)</f>
        <v/>
      </c>
      <c r="N3404" s="21">
        <f>IF(J3404="Yes","",IF(H3404&gt;=I3404,1,0))</f>
        <v/>
      </c>
      <c r="O3404" s="21">
        <f>IF(I3404&lt;=5000000,"Under $5M",IF(I3404&lt;=20000000,"$5M-20M",IF(I3404&lt;=50000000,"$20M-50M",IF(I3404&lt;=100000000,"$50M-100M","$100M+"))))</f>
        <v/>
      </c>
      <c r="P3404" s="21">
        <f>IF(E3404&lt;=90,"90 or less",IF(E3404&lt;=105,"91-105",IF(E3404&lt;=120,"106-120",IF(E3404&lt;=140,"121-140","Over 140"))))</f>
        <v/>
      </c>
      <c r="Q3404" s="28">
        <f>INT(C3404/10)*10</f>
        <v/>
      </c>
    </row>
    <row r="3405">
      <c r="A3405" s="21" t="n">
        <v>3477</v>
      </c>
      <c r="B3405" s="21" t="inlineStr">
        <is>
          <t>Dinner for Schmucks</t>
        </is>
      </c>
      <c r="C3405" s="21" t="n">
        <v>2010</v>
      </c>
      <c r="D3405" s="21" t="inlineStr">
        <is>
          <t>USA</t>
        </is>
      </c>
      <c r="E3405" s="21" t="n">
        <v>114</v>
      </c>
      <c r="F3405" s="21" t="inlineStr">
        <is>
          <t>English</t>
        </is>
      </c>
      <c r="G3405" s="21" t="inlineStr">
        <is>
          <t>PG-13</t>
        </is>
      </c>
      <c r="H3405" s="22" t="n">
        <v>72980108</v>
      </c>
      <c r="I3405" s="22" t="n">
        <v>20000000</v>
      </c>
      <c r="J3405" s="21">
        <f>IF(OR(H3405="",H3405=25529689.5),"Yes","No")</f>
        <v/>
      </c>
      <c r="K3405" s="21">
        <f>IF(AND(D3405="USA",C3405&gt;=1980,J3405="No"),"Yes","No")</f>
        <v/>
      </c>
      <c r="L3405" s="26">
        <f>IF(J3405="Yes","",H3405-I3405)</f>
        <v/>
      </c>
      <c r="M3405" s="27">
        <f>IF(OR(J3405="Yes",I3405=0),"",H3405/I3405)</f>
        <v/>
      </c>
      <c r="N3405" s="21">
        <f>IF(J3405="Yes","",IF(H3405&gt;=I3405,1,0))</f>
        <v/>
      </c>
      <c r="O3405" s="21">
        <f>IF(I3405&lt;=5000000,"Under $5M",IF(I3405&lt;=20000000,"$5M-20M",IF(I3405&lt;=50000000,"$20M-50M",IF(I3405&lt;=100000000,"$50M-100M","$100M+"))))</f>
        <v/>
      </c>
      <c r="P3405" s="21">
        <f>IF(E3405&lt;=90,"90 or less",IF(E3405&lt;=105,"91-105",IF(E3405&lt;=120,"106-120",IF(E3405&lt;=140,"121-140","Over 140"))))</f>
        <v/>
      </c>
      <c r="Q3405" s="28">
        <f>INT(C3405/10)*10</f>
        <v/>
      </c>
    </row>
    <row r="3406">
      <c r="A3406" s="21" t="n">
        <v>3478</v>
      </c>
      <c r="B3406" s="21" t="inlineStr">
        <is>
          <t>Don't Be Afraid of the Dark</t>
        </is>
      </c>
      <c r="C3406" s="21" t="n">
        <v>2010</v>
      </c>
      <c r="D3406" s="21" t="inlineStr">
        <is>
          <t>USA</t>
        </is>
      </c>
      <c r="E3406" s="21" t="n">
        <v>99</v>
      </c>
      <c r="F3406" s="21" t="inlineStr">
        <is>
          <t>English</t>
        </is>
      </c>
      <c r="G3406" s="21" t="inlineStr">
        <is>
          <t>R</t>
        </is>
      </c>
      <c r="H3406" s="22" t="n">
        <v>24042490</v>
      </c>
      <c r="I3406" s="22" t="n">
        <v>25000000</v>
      </c>
      <c r="J3406" s="21">
        <f>IF(OR(H3406="",H3406=25529689.5),"Yes","No")</f>
        <v/>
      </c>
      <c r="K3406" s="21">
        <f>IF(AND(D3406="USA",C3406&gt;=1980,J3406="No"),"Yes","No")</f>
        <v/>
      </c>
      <c r="L3406" s="26">
        <f>IF(J3406="Yes","",H3406-I3406)</f>
        <v/>
      </c>
      <c r="M3406" s="27">
        <f>IF(OR(J3406="Yes",I3406=0),"",H3406/I3406)</f>
        <v/>
      </c>
      <c r="N3406" s="21">
        <f>IF(J3406="Yes","",IF(H3406&gt;=I3406,1,0))</f>
        <v/>
      </c>
      <c r="O3406" s="21">
        <f>IF(I3406&lt;=5000000,"Under $5M",IF(I3406&lt;=20000000,"$5M-20M",IF(I3406&lt;=50000000,"$20M-50M",IF(I3406&lt;=100000000,"$50M-100M","$100M+"))))</f>
        <v/>
      </c>
      <c r="P3406" s="21">
        <f>IF(E3406&lt;=90,"90 or less",IF(E3406&lt;=105,"91-105",IF(E3406&lt;=120,"106-120",IF(E3406&lt;=140,"121-140","Over 140"))))</f>
        <v/>
      </c>
      <c r="Q3406" s="28">
        <f>INT(C3406/10)*10</f>
        <v/>
      </c>
    </row>
    <row r="3407">
      <c r="A3407" s="21" t="n">
        <v>3479</v>
      </c>
      <c r="B3407" s="21" t="inlineStr">
        <is>
          <t>Due Date</t>
        </is>
      </c>
      <c r="C3407" s="21" t="n">
        <v>2010</v>
      </c>
      <c r="D3407" s="21" t="inlineStr">
        <is>
          <t>USA</t>
        </is>
      </c>
      <c r="E3407" s="21" t="n">
        <v>95</v>
      </c>
      <c r="F3407" s="21" t="inlineStr">
        <is>
          <t>English</t>
        </is>
      </c>
      <c r="G3407" s="21" t="inlineStr">
        <is>
          <t>R</t>
        </is>
      </c>
      <c r="H3407" s="22" t="n">
        <v>100448498</v>
      </c>
      <c r="I3407" s="22" t="n">
        <v>65000000</v>
      </c>
      <c r="J3407" s="21">
        <f>IF(OR(H3407="",H3407=25529689.5),"Yes","No")</f>
        <v/>
      </c>
      <c r="K3407" s="21">
        <f>IF(AND(D3407="USA",C3407&gt;=1980,J3407="No"),"Yes","No")</f>
        <v/>
      </c>
      <c r="L3407" s="26">
        <f>IF(J3407="Yes","",H3407-I3407)</f>
        <v/>
      </c>
      <c r="M3407" s="27">
        <f>IF(OR(J3407="Yes",I3407=0),"",H3407/I3407)</f>
        <v/>
      </c>
      <c r="N3407" s="21">
        <f>IF(J3407="Yes","",IF(H3407&gt;=I3407,1,0))</f>
        <v/>
      </c>
      <c r="O3407" s="21">
        <f>IF(I3407&lt;=5000000,"Under $5M",IF(I3407&lt;=20000000,"$5M-20M",IF(I3407&lt;=50000000,"$20M-50M",IF(I3407&lt;=100000000,"$50M-100M","$100M+"))))</f>
        <v/>
      </c>
      <c r="P3407" s="21">
        <f>IF(E3407&lt;=90,"90 or less",IF(E3407&lt;=105,"91-105",IF(E3407&lt;=120,"106-120",IF(E3407&lt;=140,"121-140","Over 140"))))</f>
        <v/>
      </c>
      <c r="Q3407" s="28">
        <f>INT(C3407/10)*10</f>
        <v/>
      </c>
    </row>
    <row r="3408">
      <c r="A3408" s="21" t="n">
        <v>3480</v>
      </c>
      <c r="B3408" s="21" t="inlineStr">
        <is>
          <t>Dylan Dog: Dead of Night</t>
        </is>
      </c>
      <c r="C3408" s="21" t="n">
        <v>2010</v>
      </c>
      <c r="D3408" s="21" t="inlineStr">
        <is>
          <t>USA</t>
        </is>
      </c>
      <c r="E3408" s="21" t="n">
        <v>107</v>
      </c>
      <c r="F3408" s="21" t="inlineStr">
        <is>
          <t>English</t>
        </is>
      </c>
      <c r="G3408" s="21" t="inlineStr">
        <is>
          <t>PG-13</t>
        </is>
      </c>
      <c r="H3408" s="22" t="n">
        <v>1183354</v>
      </c>
      <c r="I3408" s="22" t="n">
        <v>20000000</v>
      </c>
      <c r="J3408" s="21">
        <f>IF(OR(H3408="",H3408=25529689.5),"Yes","No")</f>
        <v/>
      </c>
      <c r="K3408" s="21">
        <f>IF(AND(D3408="USA",C3408&gt;=1980,J3408="No"),"Yes","No")</f>
        <v/>
      </c>
      <c r="L3408" s="26">
        <f>IF(J3408="Yes","",H3408-I3408)</f>
        <v/>
      </c>
      <c r="M3408" s="27">
        <f>IF(OR(J3408="Yes",I3408=0),"",H3408/I3408)</f>
        <v/>
      </c>
      <c r="N3408" s="21">
        <f>IF(J3408="Yes","",IF(H3408&gt;=I3408,1,0))</f>
        <v/>
      </c>
      <c r="O3408" s="21">
        <f>IF(I3408&lt;=5000000,"Under $5M",IF(I3408&lt;=20000000,"$5M-20M",IF(I3408&lt;=50000000,"$20M-50M",IF(I3408&lt;=100000000,"$50M-100M","$100M+"))))</f>
        <v/>
      </c>
      <c r="P3408" s="21">
        <f>IF(E3408&lt;=90,"90 or less",IF(E3408&lt;=105,"91-105",IF(E3408&lt;=120,"106-120",IF(E3408&lt;=140,"121-140","Over 140"))))</f>
        <v/>
      </c>
      <c r="Q3408" s="28">
        <f>INT(C3408/10)*10</f>
        <v/>
      </c>
    </row>
    <row r="3409">
      <c r="A3409" s="21" t="n">
        <v>3481</v>
      </c>
      <c r="B3409" s="21" t="inlineStr">
        <is>
          <t>Easy A</t>
        </is>
      </c>
      <c r="C3409" s="21" t="n">
        <v>2010</v>
      </c>
      <c r="D3409" s="21" t="inlineStr">
        <is>
          <t>USA</t>
        </is>
      </c>
      <c r="E3409" s="21" t="n">
        <v>92</v>
      </c>
      <c r="F3409" s="21" t="inlineStr">
        <is>
          <t>English</t>
        </is>
      </c>
      <c r="G3409" s="21" t="inlineStr">
        <is>
          <t>PG-13</t>
        </is>
      </c>
      <c r="H3409" s="22" t="n">
        <v>58401464</v>
      </c>
      <c r="I3409" s="22" t="n">
        <v>8000000</v>
      </c>
      <c r="J3409" s="21">
        <f>IF(OR(H3409="",H3409=25529689.5),"Yes","No")</f>
        <v/>
      </c>
      <c r="K3409" s="21">
        <f>IF(AND(D3409="USA",C3409&gt;=1980,J3409="No"),"Yes","No")</f>
        <v/>
      </c>
      <c r="L3409" s="26">
        <f>IF(J3409="Yes","",H3409-I3409)</f>
        <v/>
      </c>
      <c r="M3409" s="27">
        <f>IF(OR(J3409="Yes",I3409=0),"",H3409/I3409)</f>
        <v/>
      </c>
      <c r="N3409" s="21">
        <f>IF(J3409="Yes","",IF(H3409&gt;=I3409,1,0))</f>
        <v/>
      </c>
      <c r="O3409" s="21">
        <f>IF(I3409&lt;=5000000,"Under $5M",IF(I3409&lt;=20000000,"$5M-20M",IF(I3409&lt;=50000000,"$20M-50M",IF(I3409&lt;=100000000,"$50M-100M","$100M+"))))</f>
        <v/>
      </c>
      <c r="P3409" s="21">
        <f>IF(E3409&lt;=90,"90 or less",IF(E3409&lt;=105,"91-105",IF(E3409&lt;=120,"106-120",IF(E3409&lt;=140,"121-140","Over 140"))))</f>
        <v/>
      </c>
      <c r="Q3409" s="28">
        <f>INT(C3409/10)*10</f>
        <v/>
      </c>
    </row>
    <row r="3410">
      <c r="A3410" s="21" t="n">
        <v>3482</v>
      </c>
      <c r="B3410" s="21" t="inlineStr">
        <is>
          <t>Easy Money</t>
        </is>
      </c>
      <c r="C3410" s="21" t="n">
        <v>2010</v>
      </c>
      <c r="D3410" s="21" t="inlineStr">
        <is>
          <t>Sweden</t>
        </is>
      </c>
      <c r="E3410" s="21" t="n">
        <v>124</v>
      </c>
      <c r="F3410" s="21" t="inlineStr">
        <is>
          <t>Swedish</t>
        </is>
      </c>
      <c r="G3410" s="21" t="inlineStr">
        <is>
          <t>R</t>
        </is>
      </c>
      <c r="H3410" s="22" t="n">
        <v>188870</v>
      </c>
      <c r="I3410" s="22" t="n">
        <v>20000000</v>
      </c>
      <c r="J3410" s="21">
        <f>IF(OR(H3410="",H3410=25529689.5),"Yes","No")</f>
        <v/>
      </c>
      <c r="K3410" s="21">
        <f>IF(AND(D3410="USA",C3410&gt;=1980,J3410="No"),"Yes","No")</f>
        <v/>
      </c>
      <c r="L3410" s="26">
        <f>IF(J3410="Yes","",H3410-I3410)</f>
        <v/>
      </c>
      <c r="M3410" s="27">
        <f>IF(OR(J3410="Yes",I3410=0),"",H3410/I3410)</f>
        <v/>
      </c>
      <c r="N3410" s="21">
        <f>IF(J3410="Yes","",IF(H3410&gt;=I3410,1,0))</f>
        <v/>
      </c>
      <c r="O3410" s="21">
        <f>IF(I3410&lt;=5000000,"Under $5M",IF(I3410&lt;=20000000,"$5M-20M",IF(I3410&lt;=50000000,"$20M-50M",IF(I3410&lt;=100000000,"$50M-100M","$100M+"))))</f>
        <v/>
      </c>
      <c r="P3410" s="21">
        <f>IF(E3410&lt;=90,"90 or less",IF(E3410&lt;=105,"91-105",IF(E3410&lt;=120,"106-120",IF(E3410&lt;=140,"121-140","Over 140"))))</f>
        <v/>
      </c>
      <c r="Q3410" s="28">
        <f>INT(C3410/10)*10</f>
        <v/>
      </c>
    </row>
    <row r="3411">
      <c r="A3411" s="21" t="n">
        <v>3483</v>
      </c>
      <c r="B3411" s="21" t="inlineStr">
        <is>
          <t>Eat Pray Love</t>
        </is>
      </c>
      <c r="C3411" s="21" t="n">
        <v>2010</v>
      </c>
      <c r="D3411" s="21" t="inlineStr">
        <is>
          <t>USA</t>
        </is>
      </c>
      <c r="E3411" s="21" t="n">
        <v>140</v>
      </c>
      <c r="F3411" s="21" t="inlineStr">
        <is>
          <t>English</t>
        </is>
      </c>
      <c r="G3411" s="21" t="inlineStr">
        <is>
          <t>PG-13</t>
        </is>
      </c>
      <c r="H3411" s="22" t="n">
        <v>80574010</v>
      </c>
      <c r="I3411" s="22" t="n">
        <v>60000000</v>
      </c>
      <c r="J3411" s="21">
        <f>IF(OR(H3411="",H3411=25529689.5),"Yes","No")</f>
        <v/>
      </c>
      <c r="K3411" s="21">
        <f>IF(AND(D3411="USA",C3411&gt;=1980,J3411="No"),"Yes","No")</f>
        <v/>
      </c>
      <c r="L3411" s="26">
        <f>IF(J3411="Yes","",H3411-I3411)</f>
        <v/>
      </c>
      <c r="M3411" s="27">
        <f>IF(OR(J3411="Yes",I3411=0),"",H3411/I3411)</f>
        <v/>
      </c>
      <c r="N3411" s="21">
        <f>IF(J3411="Yes","",IF(H3411&gt;=I3411,1,0))</f>
        <v/>
      </c>
      <c r="O3411" s="21">
        <f>IF(I3411&lt;=5000000,"Under $5M",IF(I3411&lt;=20000000,"$5M-20M",IF(I3411&lt;=50000000,"$20M-50M",IF(I3411&lt;=100000000,"$50M-100M","$100M+"))))</f>
        <v/>
      </c>
      <c r="P3411" s="21">
        <f>IF(E3411&lt;=90,"90 or less",IF(E3411&lt;=105,"91-105",IF(E3411&lt;=120,"106-120",IF(E3411&lt;=140,"121-140","Over 140"))))</f>
        <v/>
      </c>
      <c r="Q3411" s="28">
        <f>INT(C3411/10)*10</f>
        <v/>
      </c>
    </row>
    <row r="3412">
      <c r="A3412" s="21" t="n">
        <v>3484</v>
      </c>
      <c r="B3412" s="21" t="inlineStr">
        <is>
          <t>Edge of Darkness</t>
        </is>
      </c>
      <c r="C3412" s="21" t="n">
        <v>2010</v>
      </c>
      <c r="D3412" s="21" t="inlineStr">
        <is>
          <t>UK</t>
        </is>
      </c>
      <c r="E3412" s="21" t="n">
        <v>117</v>
      </c>
      <c r="F3412" s="21" t="inlineStr">
        <is>
          <t>English</t>
        </is>
      </c>
      <c r="G3412" s="21" t="inlineStr">
        <is>
          <t>R</t>
        </is>
      </c>
      <c r="H3412" s="22" t="n">
        <v>43290977</v>
      </c>
      <c r="I3412" s="22" t="n">
        <v>80000000</v>
      </c>
      <c r="J3412" s="21">
        <f>IF(OR(H3412="",H3412=25529689.5),"Yes","No")</f>
        <v/>
      </c>
      <c r="K3412" s="21">
        <f>IF(AND(D3412="USA",C3412&gt;=1980,J3412="No"),"Yes","No")</f>
        <v/>
      </c>
      <c r="L3412" s="26">
        <f>IF(J3412="Yes","",H3412-I3412)</f>
        <v/>
      </c>
      <c r="M3412" s="27">
        <f>IF(OR(J3412="Yes",I3412=0),"",H3412/I3412)</f>
        <v/>
      </c>
      <c r="N3412" s="21">
        <f>IF(J3412="Yes","",IF(H3412&gt;=I3412,1,0))</f>
        <v/>
      </c>
      <c r="O3412" s="21">
        <f>IF(I3412&lt;=5000000,"Under $5M",IF(I3412&lt;=20000000,"$5M-20M",IF(I3412&lt;=50000000,"$20M-50M",IF(I3412&lt;=100000000,"$50M-100M","$100M+"))))</f>
        <v/>
      </c>
      <c r="P3412" s="21">
        <f>IF(E3412&lt;=90,"90 or less",IF(E3412&lt;=105,"91-105",IF(E3412&lt;=120,"106-120",IF(E3412&lt;=140,"121-140","Over 140"))))</f>
        <v/>
      </c>
      <c r="Q3412" s="28">
        <f>INT(C3412/10)*10</f>
        <v/>
      </c>
    </row>
    <row r="3413">
      <c r="A3413" s="21" t="n">
        <v>3485</v>
      </c>
      <c r="B3413" s="21" t="inlineStr">
        <is>
          <t>Everything Must Go</t>
        </is>
      </c>
      <c r="C3413" s="21" t="n">
        <v>2010</v>
      </c>
      <c r="D3413" s="21" t="inlineStr">
        <is>
          <t>USA</t>
        </is>
      </c>
      <c r="E3413" s="21" t="n">
        <v>97</v>
      </c>
      <c r="F3413" s="21" t="inlineStr">
        <is>
          <t>English</t>
        </is>
      </c>
      <c r="G3413" s="21" t="inlineStr">
        <is>
          <t>R</t>
        </is>
      </c>
      <c r="H3413" s="22" t="n">
        <v>2711210</v>
      </c>
      <c r="I3413" s="22" t="n">
        <v>5000000</v>
      </c>
      <c r="J3413" s="21">
        <f>IF(OR(H3413="",H3413=25529689.5),"Yes","No")</f>
        <v/>
      </c>
      <c r="K3413" s="21">
        <f>IF(AND(D3413="USA",C3413&gt;=1980,J3413="No"),"Yes","No")</f>
        <v/>
      </c>
      <c r="L3413" s="26">
        <f>IF(J3413="Yes","",H3413-I3413)</f>
        <v/>
      </c>
      <c r="M3413" s="27">
        <f>IF(OR(J3413="Yes",I3413=0),"",H3413/I3413)</f>
        <v/>
      </c>
      <c r="N3413" s="21">
        <f>IF(J3413="Yes","",IF(H3413&gt;=I3413,1,0))</f>
        <v/>
      </c>
      <c r="O3413" s="21">
        <f>IF(I3413&lt;=5000000,"Under $5M",IF(I3413&lt;=20000000,"$5M-20M",IF(I3413&lt;=50000000,"$20M-50M",IF(I3413&lt;=100000000,"$50M-100M","$100M+"))))</f>
        <v/>
      </c>
      <c r="P3413" s="21">
        <f>IF(E3413&lt;=90,"90 or less",IF(E3413&lt;=105,"91-105",IF(E3413&lt;=120,"106-120",IF(E3413&lt;=140,"121-140","Over 140"))))</f>
        <v/>
      </c>
      <c r="Q3413" s="28">
        <f>INT(C3413/10)*10</f>
        <v/>
      </c>
    </row>
    <row r="3414">
      <c r="A3414" s="21" t="n">
        <v>3486</v>
      </c>
      <c r="B3414" s="21" t="inlineStr">
        <is>
          <t>Extraordinary Measures</t>
        </is>
      </c>
      <c r="C3414" s="21" t="n">
        <v>2010</v>
      </c>
      <c r="D3414" s="21" t="inlineStr">
        <is>
          <t>USA</t>
        </is>
      </c>
      <c r="E3414" s="21" t="n">
        <v>106</v>
      </c>
      <c r="F3414" s="21" t="inlineStr">
        <is>
          <t>English</t>
        </is>
      </c>
      <c r="G3414" s="21" t="inlineStr">
        <is>
          <t>PG</t>
        </is>
      </c>
      <c r="H3414" s="22" t="n">
        <v>11854694</v>
      </c>
      <c r="I3414" s="22" t="n">
        <v>31000000</v>
      </c>
      <c r="J3414" s="21">
        <f>IF(OR(H3414="",H3414=25529689.5),"Yes","No")</f>
        <v/>
      </c>
      <c r="K3414" s="21">
        <f>IF(AND(D3414="USA",C3414&gt;=1980,J3414="No"),"Yes","No")</f>
        <v/>
      </c>
      <c r="L3414" s="26">
        <f>IF(J3414="Yes","",H3414-I3414)</f>
        <v/>
      </c>
      <c r="M3414" s="27">
        <f>IF(OR(J3414="Yes",I3414=0),"",H3414/I3414)</f>
        <v/>
      </c>
      <c r="N3414" s="21">
        <f>IF(J3414="Yes","",IF(H3414&gt;=I3414,1,0))</f>
        <v/>
      </c>
      <c r="O3414" s="21">
        <f>IF(I3414&lt;=5000000,"Under $5M",IF(I3414&lt;=20000000,"$5M-20M",IF(I3414&lt;=50000000,"$20M-50M",IF(I3414&lt;=100000000,"$50M-100M","$100M+"))))</f>
        <v/>
      </c>
      <c r="P3414" s="21">
        <f>IF(E3414&lt;=90,"90 or less",IF(E3414&lt;=105,"91-105",IF(E3414&lt;=120,"106-120",IF(E3414&lt;=140,"121-140","Over 140"))))</f>
        <v/>
      </c>
      <c r="Q3414" s="28">
        <f>INT(C3414/10)*10</f>
        <v/>
      </c>
    </row>
    <row r="3415">
      <c r="A3415" s="21" t="n">
        <v>3487</v>
      </c>
      <c r="B3415" s="21" t="inlineStr">
        <is>
          <t>Fair Game</t>
        </is>
      </c>
      <c r="C3415" s="21" t="n">
        <v>2010</v>
      </c>
      <c r="D3415" s="21" t="inlineStr">
        <is>
          <t>USA</t>
        </is>
      </c>
      <c r="E3415" s="21" t="n">
        <v>108</v>
      </c>
      <c r="F3415" s="21" t="inlineStr">
        <is>
          <t>English</t>
        </is>
      </c>
      <c r="G3415" s="21" t="inlineStr">
        <is>
          <t>PG-13</t>
        </is>
      </c>
      <c r="H3415" s="22" t="n">
        <v>9528092</v>
      </c>
      <c r="I3415" s="22" t="n">
        <v>22000000</v>
      </c>
      <c r="J3415" s="21">
        <f>IF(OR(H3415="",H3415=25529689.5),"Yes","No")</f>
        <v/>
      </c>
      <c r="K3415" s="21">
        <f>IF(AND(D3415="USA",C3415&gt;=1980,J3415="No"),"Yes","No")</f>
        <v/>
      </c>
      <c r="L3415" s="26">
        <f>IF(J3415="Yes","",H3415-I3415)</f>
        <v/>
      </c>
      <c r="M3415" s="27">
        <f>IF(OR(J3415="Yes",I3415=0),"",H3415/I3415)</f>
        <v/>
      </c>
      <c r="N3415" s="21">
        <f>IF(J3415="Yes","",IF(H3415&gt;=I3415,1,0))</f>
        <v/>
      </c>
      <c r="O3415" s="21">
        <f>IF(I3415&lt;=5000000,"Under $5M",IF(I3415&lt;=20000000,"$5M-20M",IF(I3415&lt;=50000000,"$20M-50M",IF(I3415&lt;=100000000,"$50M-100M","$100M+"))))</f>
        <v/>
      </c>
      <c r="P3415" s="21">
        <f>IF(E3415&lt;=90,"90 or less",IF(E3415&lt;=105,"91-105",IF(E3415&lt;=120,"106-120",IF(E3415&lt;=140,"121-140","Over 140"))))</f>
        <v/>
      </c>
      <c r="Q3415" s="28">
        <f>INT(C3415/10)*10</f>
        <v/>
      </c>
    </row>
    <row r="3416">
      <c r="A3416" s="21" t="n">
        <v>3488</v>
      </c>
      <c r="B3416" s="21" t="inlineStr">
        <is>
          <t>Faster</t>
        </is>
      </c>
      <c r="C3416" s="21" t="n">
        <v>2010</v>
      </c>
      <c r="D3416" s="21" t="inlineStr">
        <is>
          <t>USA</t>
        </is>
      </c>
      <c r="E3416" s="21" t="n">
        <v>98</v>
      </c>
      <c r="F3416" s="21" t="inlineStr">
        <is>
          <t>English</t>
        </is>
      </c>
      <c r="G3416" s="21" t="inlineStr">
        <is>
          <t>R</t>
        </is>
      </c>
      <c r="H3416" s="22" t="n">
        <v>23225911</v>
      </c>
      <c r="I3416" s="22" t="n">
        <v>24000000</v>
      </c>
      <c r="J3416" s="21">
        <f>IF(OR(H3416="",H3416=25529689.5),"Yes","No")</f>
        <v/>
      </c>
      <c r="K3416" s="21">
        <f>IF(AND(D3416="USA",C3416&gt;=1980,J3416="No"),"Yes","No")</f>
        <v/>
      </c>
      <c r="L3416" s="26">
        <f>IF(J3416="Yes","",H3416-I3416)</f>
        <v/>
      </c>
      <c r="M3416" s="27">
        <f>IF(OR(J3416="Yes",I3416=0),"",H3416/I3416)</f>
        <v/>
      </c>
      <c r="N3416" s="21">
        <f>IF(J3416="Yes","",IF(H3416&gt;=I3416,1,0))</f>
        <v/>
      </c>
      <c r="O3416" s="21">
        <f>IF(I3416&lt;=5000000,"Under $5M",IF(I3416&lt;=20000000,"$5M-20M",IF(I3416&lt;=50000000,"$20M-50M",IF(I3416&lt;=100000000,"$50M-100M","$100M+"))))</f>
        <v/>
      </c>
      <c r="P3416" s="21">
        <f>IF(E3416&lt;=90,"90 or less",IF(E3416&lt;=105,"91-105",IF(E3416&lt;=120,"106-120",IF(E3416&lt;=140,"121-140","Over 140"))))</f>
        <v/>
      </c>
      <c r="Q3416" s="28">
        <f>INT(C3416/10)*10</f>
        <v/>
      </c>
    </row>
    <row r="3417">
      <c r="A3417" s="21" t="n">
        <v>3489</v>
      </c>
      <c r="B3417" s="21" t="inlineStr">
        <is>
          <t>Fat, Sick &amp; Nearly Dead</t>
        </is>
      </c>
      <c r="C3417" s="21" t="n">
        <v>2010</v>
      </c>
      <c r="D3417" s="21" t="inlineStr">
        <is>
          <t>Australia</t>
        </is>
      </c>
      <c r="E3417" s="21" t="n">
        <v>97</v>
      </c>
      <c r="F3417" s="21" t="inlineStr">
        <is>
          <t>English</t>
        </is>
      </c>
      <c r="G3417" s="21" t="n"/>
      <c r="H3417" s="22" t="n">
        <v>25529689.5</v>
      </c>
      <c r="I3417" s="22" t="n">
        <v>2500000</v>
      </c>
      <c r="J3417" s="21">
        <f>IF(OR(H3417="",H3417=25529689.5),"Yes","No")</f>
        <v/>
      </c>
      <c r="K3417" s="21">
        <f>IF(AND(D3417="USA",C3417&gt;=1980,J3417="No"),"Yes","No")</f>
        <v/>
      </c>
      <c r="L3417" s="26">
        <f>IF(J3417="Yes","",H3417-I3417)</f>
        <v/>
      </c>
      <c r="M3417" s="27">
        <f>IF(OR(J3417="Yes",I3417=0),"",H3417/I3417)</f>
        <v/>
      </c>
      <c r="N3417" s="21">
        <f>IF(J3417="Yes","",IF(H3417&gt;=I3417,1,0))</f>
        <v/>
      </c>
      <c r="O3417" s="21">
        <f>IF(I3417&lt;=5000000,"Under $5M",IF(I3417&lt;=20000000,"$5M-20M",IF(I3417&lt;=50000000,"$20M-50M",IF(I3417&lt;=100000000,"$50M-100M","$100M+"))))</f>
        <v/>
      </c>
      <c r="P3417" s="21">
        <f>IF(E3417&lt;=90,"90 or less",IF(E3417&lt;=105,"91-105",IF(E3417&lt;=120,"106-120",IF(E3417&lt;=140,"121-140","Over 140"))))</f>
        <v/>
      </c>
      <c r="Q3417" s="28">
        <f>INT(C3417/10)*10</f>
        <v/>
      </c>
    </row>
    <row r="3418">
      <c r="A3418" s="21" t="n">
        <v>3490</v>
      </c>
      <c r="B3418" s="21" t="inlineStr">
        <is>
          <t>Flipped</t>
        </is>
      </c>
      <c r="C3418" s="21" t="n">
        <v>2010</v>
      </c>
      <c r="D3418" s="21" t="inlineStr">
        <is>
          <t>USA</t>
        </is>
      </c>
      <c r="E3418" s="21" t="n">
        <v>90</v>
      </c>
      <c r="F3418" s="21" t="inlineStr">
        <is>
          <t>English</t>
        </is>
      </c>
      <c r="G3418" s="21" t="inlineStr">
        <is>
          <t>PG</t>
        </is>
      </c>
      <c r="H3418" s="22" t="n">
        <v>1752214</v>
      </c>
      <c r="I3418" s="22" t="n">
        <v>14000000</v>
      </c>
      <c r="J3418" s="21">
        <f>IF(OR(H3418="",H3418=25529689.5),"Yes","No")</f>
        <v/>
      </c>
      <c r="K3418" s="21">
        <f>IF(AND(D3418="USA",C3418&gt;=1980,J3418="No"),"Yes","No")</f>
        <v/>
      </c>
      <c r="L3418" s="26">
        <f>IF(J3418="Yes","",H3418-I3418)</f>
        <v/>
      </c>
      <c r="M3418" s="27">
        <f>IF(OR(J3418="Yes",I3418=0),"",H3418/I3418)</f>
        <v/>
      </c>
      <c r="N3418" s="21">
        <f>IF(J3418="Yes","",IF(H3418&gt;=I3418,1,0))</f>
        <v/>
      </c>
      <c r="O3418" s="21">
        <f>IF(I3418&lt;=5000000,"Under $5M",IF(I3418&lt;=20000000,"$5M-20M",IF(I3418&lt;=50000000,"$20M-50M",IF(I3418&lt;=100000000,"$50M-100M","$100M+"))))</f>
        <v/>
      </c>
      <c r="P3418" s="21">
        <f>IF(E3418&lt;=90,"90 or less",IF(E3418&lt;=105,"91-105",IF(E3418&lt;=120,"106-120",IF(E3418&lt;=140,"121-140","Over 140"))))</f>
        <v/>
      </c>
      <c r="Q3418" s="28">
        <f>INT(C3418/10)*10</f>
        <v/>
      </c>
    </row>
    <row r="3419">
      <c r="A3419" s="21" t="n">
        <v>3491</v>
      </c>
      <c r="B3419" s="21" t="inlineStr">
        <is>
          <t>For Colored Girls</t>
        </is>
      </c>
      <c r="C3419" s="21" t="n">
        <v>2010</v>
      </c>
      <c r="D3419" s="21" t="inlineStr">
        <is>
          <t>USA</t>
        </is>
      </c>
      <c r="E3419" s="21" t="n">
        <v>133</v>
      </c>
      <c r="F3419" s="21" t="inlineStr">
        <is>
          <t>English</t>
        </is>
      </c>
      <c r="G3419" s="21" t="inlineStr">
        <is>
          <t>R</t>
        </is>
      </c>
      <c r="H3419" s="22" t="n">
        <v>37721949</v>
      </c>
      <c r="I3419" s="22" t="n">
        <v>20000000</v>
      </c>
      <c r="J3419" s="21">
        <f>IF(OR(H3419="",H3419=25529689.5),"Yes","No")</f>
        <v/>
      </c>
      <c r="K3419" s="21">
        <f>IF(AND(D3419="USA",C3419&gt;=1980,J3419="No"),"Yes","No")</f>
        <v/>
      </c>
      <c r="L3419" s="26">
        <f>IF(J3419="Yes","",H3419-I3419)</f>
        <v/>
      </c>
      <c r="M3419" s="27">
        <f>IF(OR(J3419="Yes",I3419=0),"",H3419/I3419)</f>
        <v/>
      </c>
      <c r="N3419" s="21">
        <f>IF(J3419="Yes","",IF(H3419&gt;=I3419,1,0))</f>
        <v/>
      </c>
      <c r="O3419" s="21">
        <f>IF(I3419&lt;=5000000,"Under $5M",IF(I3419&lt;=20000000,"$5M-20M",IF(I3419&lt;=50000000,"$20M-50M",IF(I3419&lt;=100000000,"$50M-100M","$100M+"))))</f>
        <v/>
      </c>
      <c r="P3419" s="21">
        <f>IF(E3419&lt;=90,"90 or less",IF(E3419&lt;=105,"91-105",IF(E3419&lt;=120,"106-120",IF(E3419&lt;=140,"121-140","Over 140"))))</f>
        <v/>
      </c>
      <c r="Q3419" s="28">
        <f>INT(C3419/10)*10</f>
        <v/>
      </c>
    </row>
    <row r="3420">
      <c r="A3420" s="21" t="n">
        <v>3492</v>
      </c>
      <c r="B3420" s="21" t="inlineStr">
        <is>
          <t>Four Lions</t>
        </is>
      </c>
      <c r="C3420" s="21" t="n">
        <v>2010</v>
      </c>
      <c r="D3420" s="21" t="inlineStr">
        <is>
          <t>UK</t>
        </is>
      </c>
      <c r="E3420" s="21" t="n">
        <v>97</v>
      </c>
      <c r="F3420" s="21" t="inlineStr">
        <is>
          <t>English</t>
        </is>
      </c>
      <c r="G3420" s="21" t="inlineStr">
        <is>
          <t>R</t>
        </is>
      </c>
      <c r="H3420" s="22" t="n">
        <v>304137</v>
      </c>
      <c r="I3420" s="22" t="n">
        <v>20000000</v>
      </c>
      <c r="J3420" s="21">
        <f>IF(OR(H3420="",H3420=25529689.5),"Yes","No")</f>
        <v/>
      </c>
      <c r="K3420" s="21">
        <f>IF(AND(D3420="USA",C3420&gt;=1980,J3420="No"),"Yes","No")</f>
        <v/>
      </c>
      <c r="L3420" s="26">
        <f>IF(J3420="Yes","",H3420-I3420)</f>
        <v/>
      </c>
      <c r="M3420" s="27">
        <f>IF(OR(J3420="Yes",I3420=0),"",H3420/I3420)</f>
        <v/>
      </c>
      <c r="N3420" s="21">
        <f>IF(J3420="Yes","",IF(H3420&gt;=I3420,1,0))</f>
        <v/>
      </c>
      <c r="O3420" s="21">
        <f>IF(I3420&lt;=5000000,"Under $5M",IF(I3420&lt;=20000000,"$5M-20M",IF(I3420&lt;=50000000,"$20M-50M",IF(I3420&lt;=100000000,"$50M-100M","$100M+"))))</f>
        <v/>
      </c>
      <c r="P3420" s="21">
        <f>IF(E3420&lt;=90,"90 or less",IF(E3420&lt;=105,"91-105",IF(E3420&lt;=120,"106-120",IF(E3420&lt;=140,"121-140","Over 140"))))</f>
        <v/>
      </c>
      <c r="Q3420" s="28">
        <f>INT(C3420/10)*10</f>
        <v/>
      </c>
    </row>
    <row r="3421">
      <c r="A3421" s="21" t="n">
        <v>3493</v>
      </c>
      <c r="B3421" s="21" t="inlineStr">
        <is>
          <t>Freakonomics</t>
        </is>
      </c>
      <c r="C3421" s="21" t="n">
        <v>2010</v>
      </c>
      <c r="D3421" s="21" t="inlineStr">
        <is>
          <t>USA</t>
        </is>
      </c>
      <c r="E3421" s="21" t="n">
        <v>93</v>
      </c>
      <c r="F3421" s="21" t="inlineStr">
        <is>
          <t>English</t>
        </is>
      </c>
      <c r="G3421" s="21" t="inlineStr">
        <is>
          <t>PG-13</t>
        </is>
      </c>
      <c r="H3421" s="22" t="n">
        <v>100675</v>
      </c>
      <c r="I3421" s="22" t="n">
        <v>3000000</v>
      </c>
      <c r="J3421" s="21">
        <f>IF(OR(H3421="",H3421=25529689.5),"Yes","No")</f>
        <v/>
      </c>
      <c r="K3421" s="21">
        <f>IF(AND(D3421="USA",C3421&gt;=1980,J3421="No"),"Yes","No")</f>
        <v/>
      </c>
      <c r="L3421" s="26">
        <f>IF(J3421="Yes","",H3421-I3421)</f>
        <v/>
      </c>
      <c r="M3421" s="27">
        <f>IF(OR(J3421="Yes",I3421=0),"",H3421/I3421)</f>
        <v/>
      </c>
      <c r="N3421" s="21">
        <f>IF(J3421="Yes","",IF(H3421&gt;=I3421,1,0))</f>
        <v/>
      </c>
      <c r="O3421" s="21">
        <f>IF(I3421&lt;=5000000,"Under $5M",IF(I3421&lt;=20000000,"$5M-20M",IF(I3421&lt;=50000000,"$20M-50M",IF(I3421&lt;=100000000,"$50M-100M","$100M+"))))</f>
        <v/>
      </c>
      <c r="P3421" s="21">
        <f>IF(E3421&lt;=90,"90 or less",IF(E3421&lt;=105,"91-105",IF(E3421&lt;=120,"106-120",IF(E3421&lt;=140,"121-140","Over 140"))))</f>
        <v/>
      </c>
      <c r="Q3421" s="28">
        <f>INT(C3421/10)*10</f>
        <v/>
      </c>
    </row>
    <row r="3422">
      <c r="A3422" s="21" t="n">
        <v>3494</v>
      </c>
      <c r="B3422" s="21" t="inlineStr">
        <is>
          <t>From Paris with Love</t>
        </is>
      </c>
      <c r="C3422" s="21" t="n">
        <v>2010</v>
      </c>
      <c r="D3422" s="21" t="inlineStr">
        <is>
          <t>France</t>
        </is>
      </c>
      <c r="E3422" s="21" t="n">
        <v>92</v>
      </c>
      <c r="F3422" s="21" t="inlineStr">
        <is>
          <t>English</t>
        </is>
      </c>
      <c r="G3422" s="21" t="inlineStr">
        <is>
          <t>R</t>
        </is>
      </c>
      <c r="H3422" s="22" t="n">
        <v>23324666</v>
      </c>
      <c r="I3422" s="22" t="n">
        <v>52000000</v>
      </c>
      <c r="J3422" s="21">
        <f>IF(OR(H3422="",H3422=25529689.5),"Yes","No")</f>
        <v/>
      </c>
      <c r="K3422" s="21">
        <f>IF(AND(D3422="USA",C3422&gt;=1980,J3422="No"),"Yes","No")</f>
        <v/>
      </c>
      <c r="L3422" s="26">
        <f>IF(J3422="Yes","",H3422-I3422)</f>
        <v/>
      </c>
      <c r="M3422" s="27">
        <f>IF(OR(J3422="Yes",I3422=0),"",H3422/I3422)</f>
        <v/>
      </c>
      <c r="N3422" s="21">
        <f>IF(J3422="Yes","",IF(H3422&gt;=I3422,1,0))</f>
        <v/>
      </c>
      <c r="O3422" s="21">
        <f>IF(I3422&lt;=5000000,"Under $5M",IF(I3422&lt;=20000000,"$5M-20M",IF(I3422&lt;=50000000,"$20M-50M",IF(I3422&lt;=100000000,"$50M-100M","$100M+"))))</f>
        <v/>
      </c>
      <c r="P3422" s="21">
        <f>IF(E3422&lt;=90,"90 or less",IF(E3422&lt;=105,"91-105",IF(E3422&lt;=120,"106-120",IF(E3422&lt;=140,"121-140","Over 140"))))</f>
        <v/>
      </c>
      <c r="Q3422" s="28">
        <f>INT(C3422/10)*10</f>
        <v/>
      </c>
    </row>
    <row r="3423">
      <c r="A3423" s="21" t="n">
        <v>3495</v>
      </c>
      <c r="B3423" s="21" t="inlineStr">
        <is>
          <t>Furry Vengeance</t>
        </is>
      </c>
      <c r="C3423" s="21" t="n">
        <v>2010</v>
      </c>
      <c r="D3423" s="21" t="inlineStr">
        <is>
          <t>USA</t>
        </is>
      </c>
      <c r="E3423" s="21" t="n">
        <v>92</v>
      </c>
      <c r="F3423" s="21" t="inlineStr">
        <is>
          <t>English</t>
        </is>
      </c>
      <c r="G3423" s="21" t="inlineStr">
        <is>
          <t>PG</t>
        </is>
      </c>
      <c r="H3423" s="22" t="n">
        <v>17596256</v>
      </c>
      <c r="I3423" s="22" t="n">
        <v>35000000</v>
      </c>
      <c r="J3423" s="21">
        <f>IF(OR(H3423="",H3423=25529689.5),"Yes","No")</f>
        <v/>
      </c>
      <c r="K3423" s="21">
        <f>IF(AND(D3423="USA",C3423&gt;=1980,J3423="No"),"Yes","No")</f>
        <v/>
      </c>
      <c r="L3423" s="26">
        <f>IF(J3423="Yes","",H3423-I3423)</f>
        <v/>
      </c>
      <c r="M3423" s="27">
        <f>IF(OR(J3423="Yes",I3423=0),"",H3423/I3423)</f>
        <v/>
      </c>
      <c r="N3423" s="21">
        <f>IF(J3423="Yes","",IF(H3423&gt;=I3423,1,0))</f>
        <v/>
      </c>
      <c r="O3423" s="21">
        <f>IF(I3423&lt;=5000000,"Under $5M",IF(I3423&lt;=20000000,"$5M-20M",IF(I3423&lt;=50000000,"$20M-50M",IF(I3423&lt;=100000000,"$50M-100M","$100M+"))))</f>
        <v/>
      </c>
      <c r="P3423" s="21">
        <f>IF(E3423&lt;=90,"90 or less",IF(E3423&lt;=105,"91-105",IF(E3423&lt;=120,"106-120",IF(E3423&lt;=140,"121-140","Over 140"))))</f>
        <v/>
      </c>
      <c r="Q3423" s="28">
        <f>INT(C3423/10)*10</f>
        <v/>
      </c>
    </row>
    <row r="3424">
      <c r="A3424" s="21" t="n">
        <v>3496</v>
      </c>
      <c r="B3424" s="21" t="inlineStr">
        <is>
          <t>Get Him to the Greek</t>
        </is>
      </c>
      <c r="C3424" s="21" t="n">
        <v>2010</v>
      </c>
      <c r="D3424" s="21" t="inlineStr">
        <is>
          <t>USA</t>
        </is>
      </c>
      <c r="E3424" s="21" t="n">
        <v>114</v>
      </c>
      <c r="F3424" s="21" t="inlineStr">
        <is>
          <t>English</t>
        </is>
      </c>
      <c r="G3424" s="21" t="inlineStr">
        <is>
          <t>R</t>
        </is>
      </c>
      <c r="H3424" s="22" t="n">
        <v>60923325</v>
      </c>
      <c r="I3424" s="22" t="n">
        <v>20000000</v>
      </c>
      <c r="J3424" s="21">
        <f>IF(OR(H3424="",H3424=25529689.5),"Yes","No")</f>
        <v/>
      </c>
      <c r="K3424" s="21">
        <f>IF(AND(D3424="USA",C3424&gt;=1980,J3424="No"),"Yes","No")</f>
        <v/>
      </c>
      <c r="L3424" s="26">
        <f>IF(J3424="Yes","",H3424-I3424)</f>
        <v/>
      </c>
      <c r="M3424" s="27">
        <f>IF(OR(J3424="Yes",I3424=0),"",H3424/I3424)</f>
        <v/>
      </c>
      <c r="N3424" s="21">
        <f>IF(J3424="Yes","",IF(H3424&gt;=I3424,1,0))</f>
        <v/>
      </c>
      <c r="O3424" s="21">
        <f>IF(I3424&lt;=5000000,"Under $5M",IF(I3424&lt;=20000000,"$5M-20M",IF(I3424&lt;=50000000,"$20M-50M",IF(I3424&lt;=100000000,"$50M-100M","$100M+"))))</f>
        <v/>
      </c>
      <c r="P3424" s="21">
        <f>IF(E3424&lt;=90,"90 or less",IF(E3424&lt;=105,"91-105",IF(E3424&lt;=120,"106-120",IF(E3424&lt;=140,"121-140","Over 140"))))</f>
        <v/>
      </c>
      <c r="Q3424" s="28">
        <f>INT(C3424/10)*10</f>
        <v/>
      </c>
    </row>
    <row r="3425">
      <c r="A3425" s="21" t="n">
        <v>3497</v>
      </c>
      <c r="B3425" s="21" t="inlineStr">
        <is>
          <t>Going the Distance</t>
        </is>
      </c>
      <c r="C3425" s="21" t="n">
        <v>2010</v>
      </c>
      <c r="D3425" s="21" t="inlineStr">
        <is>
          <t>USA</t>
        </is>
      </c>
      <c r="E3425" s="21" t="n">
        <v>102</v>
      </c>
      <c r="F3425" s="21" t="inlineStr">
        <is>
          <t>English</t>
        </is>
      </c>
      <c r="G3425" s="21" t="inlineStr">
        <is>
          <t>R</t>
        </is>
      </c>
      <c r="H3425" s="22" t="n">
        <v>17797316</v>
      </c>
      <c r="I3425" s="22" t="n">
        <v>32000000</v>
      </c>
      <c r="J3425" s="21">
        <f>IF(OR(H3425="",H3425=25529689.5),"Yes","No")</f>
        <v/>
      </c>
      <c r="K3425" s="21">
        <f>IF(AND(D3425="USA",C3425&gt;=1980,J3425="No"),"Yes","No")</f>
        <v/>
      </c>
      <c r="L3425" s="26">
        <f>IF(J3425="Yes","",H3425-I3425)</f>
        <v/>
      </c>
      <c r="M3425" s="27">
        <f>IF(OR(J3425="Yes",I3425=0),"",H3425/I3425)</f>
        <v/>
      </c>
      <c r="N3425" s="21">
        <f>IF(J3425="Yes","",IF(H3425&gt;=I3425,1,0))</f>
        <v/>
      </c>
      <c r="O3425" s="21">
        <f>IF(I3425&lt;=5000000,"Under $5M",IF(I3425&lt;=20000000,"$5M-20M",IF(I3425&lt;=50000000,"$20M-50M",IF(I3425&lt;=100000000,"$50M-100M","$100M+"))))</f>
        <v/>
      </c>
      <c r="P3425" s="21">
        <f>IF(E3425&lt;=90,"90 or less",IF(E3425&lt;=105,"91-105",IF(E3425&lt;=120,"106-120",IF(E3425&lt;=140,"121-140","Over 140"))))</f>
        <v/>
      </c>
      <c r="Q3425" s="28">
        <f>INT(C3425/10)*10</f>
        <v/>
      </c>
    </row>
    <row r="3426">
      <c r="A3426" s="21" t="n">
        <v>3498</v>
      </c>
      <c r="B3426" s="21" t="inlineStr">
        <is>
          <t>Good Intentions</t>
        </is>
      </c>
      <c r="C3426" s="21" t="n">
        <v>2010</v>
      </c>
      <c r="D3426" s="21" t="inlineStr">
        <is>
          <t>USA</t>
        </is>
      </c>
      <c r="E3426" s="21" t="n">
        <v>84</v>
      </c>
      <c r="F3426" s="21" t="inlineStr">
        <is>
          <t>English</t>
        </is>
      </c>
      <c r="G3426" s="21" t="inlineStr">
        <is>
          <t>PG-13</t>
        </is>
      </c>
      <c r="H3426" s="22" t="n">
        <v>25529689.5</v>
      </c>
      <c r="I3426" s="22" t="n">
        <v>10000000</v>
      </c>
      <c r="J3426" s="21">
        <f>IF(OR(H3426="",H3426=25529689.5),"Yes","No")</f>
        <v/>
      </c>
      <c r="K3426" s="21">
        <f>IF(AND(D3426="USA",C3426&gt;=1980,J3426="No"),"Yes","No")</f>
        <v/>
      </c>
      <c r="L3426" s="26">
        <f>IF(J3426="Yes","",H3426-I3426)</f>
        <v/>
      </c>
      <c r="M3426" s="27">
        <f>IF(OR(J3426="Yes",I3426=0),"",H3426/I3426)</f>
        <v/>
      </c>
      <c r="N3426" s="21">
        <f>IF(J3426="Yes","",IF(H3426&gt;=I3426,1,0))</f>
        <v/>
      </c>
      <c r="O3426" s="21">
        <f>IF(I3426&lt;=5000000,"Under $5M",IF(I3426&lt;=20000000,"$5M-20M",IF(I3426&lt;=50000000,"$20M-50M",IF(I3426&lt;=100000000,"$50M-100M","$100M+"))))</f>
        <v/>
      </c>
      <c r="P3426" s="21">
        <f>IF(E3426&lt;=90,"90 or less",IF(E3426&lt;=105,"91-105",IF(E3426&lt;=120,"106-120",IF(E3426&lt;=140,"121-140","Over 140"))))</f>
        <v/>
      </c>
      <c r="Q3426" s="28">
        <f>INT(C3426/10)*10</f>
        <v/>
      </c>
    </row>
    <row r="3427">
      <c r="A3427" s="21" t="n">
        <v>3499</v>
      </c>
      <c r="B3427" s="21" t="inlineStr">
        <is>
          <t>Green Zone</t>
        </is>
      </c>
      <c r="C3427" s="21" t="n">
        <v>2010</v>
      </c>
      <c r="D3427" s="21" t="inlineStr">
        <is>
          <t>France</t>
        </is>
      </c>
      <c r="E3427" s="21" t="n">
        <v>115</v>
      </c>
      <c r="F3427" s="21" t="inlineStr">
        <is>
          <t>English</t>
        </is>
      </c>
      <c r="G3427" s="21" t="inlineStr">
        <is>
          <t>R</t>
        </is>
      </c>
      <c r="H3427" s="22" t="n">
        <v>35024475</v>
      </c>
      <c r="I3427" s="22" t="n">
        <v>100000000</v>
      </c>
      <c r="J3427" s="21">
        <f>IF(OR(H3427="",H3427=25529689.5),"Yes","No")</f>
        <v/>
      </c>
      <c r="K3427" s="21">
        <f>IF(AND(D3427="USA",C3427&gt;=1980,J3427="No"),"Yes","No")</f>
        <v/>
      </c>
      <c r="L3427" s="26">
        <f>IF(J3427="Yes","",H3427-I3427)</f>
        <v/>
      </c>
      <c r="M3427" s="27">
        <f>IF(OR(J3427="Yes",I3427=0),"",H3427/I3427)</f>
        <v/>
      </c>
      <c r="N3427" s="21">
        <f>IF(J3427="Yes","",IF(H3427&gt;=I3427,1,0))</f>
        <v/>
      </c>
      <c r="O3427" s="21">
        <f>IF(I3427&lt;=5000000,"Under $5M",IF(I3427&lt;=20000000,"$5M-20M",IF(I3427&lt;=50000000,"$20M-50M",IF(I3427&lt;=100000000,"$50M-100M","$100M+"))))</f>
        <v/>
      </c>
      <c r="P3427" s="21">
        <f>IF(E3427&lt;=90,"90 or less",IF(E3427&lt;=105,"91-105",IF(E3427&lt;=120,"106-120",IF(E3427&lt;=140,"121-140","Over 140"))))</f>
        <v/>
      </c>
      <c r="Q3427" s="28">
        <f>INT(C3427/10)*10</f>
        <v/>
      </c>
    </row>
    <row r="3428">
      <c r="A3428" s="21" t="n">
        <v>3500</v>
      </c>
      <c r="B3428" s="21" t="inlineStr">
        <is>
          <t>Griff the Invisible</t>
        </is>
      </c>
      <c r="C3428" s="21" t="n">
        <v>2010</v>
      </c>
      <c r="D3428" s="21" t="inlineStr">
        <is>
          <t>Australia</t>
        </is>
      </c>
      <c r="E3428" s="21" t="n">
        <v>90</v>
      </c>
      <c r="F3428" s="21" t="inlineStr">
        <is>
          <t>English</t>
        </is>
      </c>
      <c r="G3428" s="21" t="inlineStr">
        <is>
          <t>PG-13</t>
        </is>
      </c>
      <c r="H3428" s="22" t="n">
        <v>25529689.5</v>
      </c>
      <c r="I3428" s="22" t="n">
        <v>20000000</v>
      </c>
      <c r="J3428" s="21">
        <f>IF(OR(H3428="",H3428=25529689.5),"Yes","No")</f>
        <v/>
      </c>
      <c r="K3428" s="21">
        <f>IF(AND(D3428="USA",C3428&gt;=1980,J3428="No"),"Yes","No")</f>
        <v/>
      </c>
      <c r="L3428" s="26">
        <f>IF(J3428="Yes","",H3428-I3428)</f>
        <v/>
      </c>
      <c r="M3428" s="27">
        <f>IF(OR(J3428="Yes",I3428=0),"",H3428/I3428)</f>
        <v/>
      </c>
      <c r="N3428" s="21">
        <f>IF(J3428="Yes","",IF(H3428&gt;=I3428,1,0))</f>
        <v/>
      </c>
      <c r="O3428" s="21">
        <f>IF(I3428&lt;=5000000,"Under $5M",IF(I3428&lt;=20000000,"$5M-20M",IF(I3428&lt;=50000000,"$20M-50M",IF(I3428&lt;=100000000,"$50M-100M","$100M+"))))</f>
        <v/>
      </c>
      <c r="P3428" s="21">
        <f>IF(E3428&lt;=90,"90 or less",IF(E3428&lt;=105,"91-105",IF(E3428&lt;=120,"106-120",IF(E3428&lt;=140,"121-140","Over 140"))))</f>
        <v/>
      </c>
      <c r="Q3428" s="28">
        <f>INT(C3428/10)*10</f>
        <v/>
      </c>
    </row>
    <row r="3429">
      <c r="A3429" s="21" t="n">
        <v>3501</v>
      </c>
      <c r="B3429" s="21" t="inlineStr">
        <is>
          <t>Grown Ups</t>
        </is>
      </c>
      <c r="C3429" s="21" t="n">
        <v>2010</v>
      </c>
      <c r="D3429" s="21" t="inlineStr">
        <is>
          <t>USA</t>
        </is>
      </c>
      <c r="E3429" s="21" t="n">
        <v>102</v>
      </c>
      <c r="F3429" s="21" t="inlineStr">
        <is>
          <t>English</t>
        </is>
      </c>
      <c r="G3429" s="21" t="inlineStr">
        <is>
          <t>PG-13</t>
        </is>
      </c>
      <c r="H3429" s="22" t="n">
        <v>162001186</v>
      </c>
      <c r="I3429" s="22" t="n">
        <v>80000000</v>
      </c>
      <c r="J3429" s="21">
        <f>IF(OR(H3429="",H3429=25529689.5),"Yes","No")</f>
        <v/>
      </c>
      <c r="K3429" s="21">
        <f>IF(AND(D3429="USA",C3429&gt;=1980,J3429="No"),"Yes","No")</f>
        <v/>
      </c>
      <c r="L3429" s="26">
        <f>IF(J3429="Yes","",H3429-I3429)</f>
        <v/>
      </c>
      <c r="M3429" s="27">
        <f>IF(OR(J3429="Yes",I3429=0),"",H3429/I3429)</f>
        <v/>
      </c>
      <c r="N3429" s="21">
        <f>IF(J3429="Yes","",IF(H3429&gt;=I3429,1,0))</f>
        <v/>
      </c>
      <c r="O3429" s="21">
        <f>IF(I3429&lt;=5000000,"Under $5M",IF(I3429&lt;=20000000,"$5M-20M",IF(I3429&lt;=50000000,"$20M-50M",IF(I3429&lt;=100000000,"$50M-100M","$100M+"))))</f>
        <v/>
      </c>
      <c r="P3429" s="21">
        <f>IF(E3429&lt;=90,"90 or less",IF(E3429&lt;=105,"91-105",IF(E3429&lt;=120,"106-120",IF(E3429&lt;=140,"121-140","Over 140"))))</f>
        <v/>
      </c>
      <c r="Q3429" s="28">
        <f>INT(C3429/10)*10</f>
        <v/>
      </c>
    </row>
    <row r="3430">
      <c r="A3430" s="21" t="n">
        <v>3502</v>
      </c>
      <c r="B3430" s="21" t="inlineStr">
        <is>
          <t>Gulliver's Travels</t>
        </is>
      </c>
      <c r="C3430" s="21" t="n">
        <v>2010</v>
      </c>
      <c r="D3430" s="21" t="inlineStr">
        <is>
          <t>USA</t>
        </is>
      </c>
      <c r="E3430" s="21" t="n">
        <v>85</v>
      </c>
      <c r="F3430" s="21" t="inlineStr">
        <is>
          <t>English</t>
        </is>
      </c>
      <c r="G3430" s="21" t="inlineStr">
        <is>
          <t>PG</t>
        </is>
      </c>
      <c r="H3430" s="22" t="n">
        <v>42776259</v>
      </c>
      <c r="I3430" s="22" t="n">
        <v>112000000</v>
      </c>
      <c r="J3430" s="21">
        <f>IF(OR(H3430="",H3430=25529689.5),"Yes","No")</f>
        <v/>
      </c>
      <c r="K3430" s="21">
        <f>IF(AND(D3430="USA",C3430&gt;=1980,J3430="No"),"Yes","No")</f>
        <v/>
      </c>
      <c r="L3430" s="26">
        <f>IF(J3430="Yes","",H3430-I3430)</f>
        <v/>
      </c>
      <c r="M3430" s="27">
        <f>IF(OR(J3430="Yes",I3430=0),"",H3430/I3430)</f>
        <v/>
      </c>
      <c r="N3430" s="21">
        <f>IF(J3430="Yes","",IF(H3430&gt;=I3430,1,0))</f>
        <v/>
      </c>
      <c r="O3430" s="21">
        <f>IF(I3430&lt;=5000000,"Under $5M",IF(I3430&lt;=20000000,"$5M-20M",IF(I3430&lt;=50000000,"$20M-50M",IF(I3430&lt;=100000000,"$50M-100M","$100M+"))))</f>
        <v/>
      </c>
      <c r="P3430" s="21">
        <f>IF(E3430&lt;=90,"90 or less",IF(E3430&lt;=105,"91-105",IF(E3430&lt;=120,"106-120",IF(E3430&lt;=140,"121-140","Over 140"))))</f>
        <v/>
      </c>
      <c r="Q3430" s="28">
        <f>INT(C3430/10)*10</f>
        <v/>
      </c>
    </row>
    <row r="3431">
      <c r="A3431" s="21" t="n">
        <v>3503</v>
      </c>
      <c r="B3431" s="21" t="inlineStr">
        <is>
          <t>Gunless</t>
        </is>
      </c>
      <c r="C3431" s="21" t="n">
        <v>2010</v>
      </c>
      <c r="D3431" s="21" t="inlineStr">
        <is>
          <t>Canada</t>
        </is>
      </c>
      <c r="E3431" s="21" t="n">
        <v>89</v>
      </c>
      <c r="F3431" s="21" t="inlineStr">
        <is>
          <t>English</t>
        </is>
      </c>
      <c r="G3431" s="21" t="n"/>
      <c r="H3431" s="22" t="n">
        <v>25529689.5</v>
      </c>
      <c r="I3431" s="22" t="n">
        <v>10000000</v>
      </c>
      <c r="J3431" s="21">
        <f>IF(OR(H3431="",H3431=25529689.5),"Yes","No")</f>
        <v/>
      </c>
      <c r="K3431" s="21">
        <f>IF(AND(D3431="USA",C3431&gt;=1980,J3431="No"),"Yes","No")</f>
        <v/>
      </c>
      <c r="L3431" s="26">
        <f>IF(J3431="Yes","",H3431-I3431)</f>
        <v/>
      </c>
      <c r="M3431" s="27">
        <f>IF(OR(J3431="Yes",I3431=0),"",H3431/I3431)</f>
        <v/>
      </c>
      <c r="N3431" s="21">
        <f>IF(J3431="Yes","",IF(H3431&gt;=I3431,1,0))</f>
        <v/>
      </c>
      <c r="O3431" s="21">
        <f>IF(I3431&lt;=5000000,"Under $5M",IF(I3431&lt;=20000000,"$5M-20M",IF(I3431&lt;=50000000,"$20M-50M",IF(I3431&lt;=100000000,"$50M-100M","$100M+"))))</f>
        <v/>
      </c>
      <c r="P3431" s="21">
        <f>IF(E3431&lt;=90,"90 or less",IF(E3431&lt;=105,"91-105",IF(E3431&lt;=120,"106-120",IF(E3431&lt;=140,"121-140","Over 140"))))</f>
        <v/>
      </c>
      <c r="Q3431" s="28">
        <f>INT(C3431/10)*10</f>
        <v/>
      </c>
    </row>
    <row r="3432">
      <c r="A3432" s="21" t="n">
        <v>3504</v>
      </c>
      <c r="B3432" s="21" t="inlineStr">
        <is>
          <t>Harry Potter and the Deathly Hallows: Part I</t>
        </is>
      </c>
      <c r="C3432" s="21" t="n">
        <v>2010</v>
      </c>
      <c r="D3432" s="21" t="inlineStr">
        <is>
          <t>UK</t>
        </is>
      </c>
      <c r="E3432" s="21" t="n">
        <v>104</v>
      </c>
      <c r="F3432" s="21" t="inlineStr">
        <is>
          <t>English</t>
        </is>
      </c>
      <c r="G3432" s="21" t="n"/>
      <c r="H3432" s="22" t="n">
        <v>25529689.5</v>
      </c>
      <c r="I3432" s="22" t="n">
        <v>20000000</v>
      </c>
      <c r="J3432" s="21">
        <f>IF(OR(H3432="",H3432=25529689.5),"Yes","No")</f>
        <v/>
      </c>
      <c r="K3432" s="21">
        <f>IF(AND(D3432="USA",C3432&gt;=1980,J3432="No"),"Yes","No")</f>
        <v/>
      </c>
      <c r="L3432" s="26">
        <f>IF(J3432="Yes","",H3432-I3432)</f>
        <v/>
      </c>
      <c r="M3432" s="27">
        <f>IF(OR(J3432="Yes",I3432=0),"",H3432/I3432)</f>
        <v/>
      </c>
      <c r="N3432" s="21">
        <f>IF(J3432="Yes","",IF(H3432&gt;=I3432,1,0))</f>
        <v/>
      </c>
      <c r="O3432" s="21">
        <f>IF(I3432&lt;=5000000,"Under $5M",IF(I3432&lt;=20000000,"$5M-20M",IF(I3432&lt;=50000000,"$20M-50M",IF(I3432&lt;=100000000,"$50M-100M","$100M+"))))</f>
        <v/>
      </c>
      <c r="P3432" s="21">
        <f>IF(E3432&lt;=90,"90 or less",IF(E3432&lt;=105,"91-105",IF(E3432&lt;=120,"106-120",IF(E3432&lt;=140,"121-140","Over 140"))))</f>
        <v/>
      </c>
      <c r="Q3432" s="28">
        <f>INT(C3432/10)*10</f>
        <v/>
      </c>
    </row>
    <row r="3433">
      <c r="A3433" s="21" t="n">
        <v>3505</v>
      </c>
      <c r="B3433" s="21" t="inlineStr">
        <is>
          <t>Hereafter</t>
        </is>
      </c>
      <c r="C3433" s="21" t="n">
        <v>2010</v>
      </c>
      <c r="D3433" s="21" t="inlineStr">
        <is>
          <t>USA</t>
        </is>
      </c>
      <c r="E3433" s="21" t="n">
        <v>129</v>
      </c>
      <c r="F3433" s="21" t="inlineStr">
        <is>
          <t>English</t>
        </is>
      </c>
      <c r="G3433" s="21" t="inlineStr">
        <is>
          <t>PG-13</t>
        </is>
      </c>
      <c r="H3433" s="22" t="n">
        <v>32741596</v>
      </c>
      <c r="I3433" s="22" t="n">
        <v>50000000</v>
      </c>
      <c r="J3433" s="21">
        <f>IF(OR(H3433="",H3433=25529689.5),"Yes","No")</f>
        <v/>
      </c>
      <c r="K3433" s="21">
        <f>IF(AND(D3433="USA",C3433&gt;=1980,J3433="No"),"Yes","No")</f>
        <v/>
      </c>
      <c r="L3433" s="26">
        <f>IF(J3433="Yes","",H3433-I3433)</f>
        <v/>
      </c>
      <c r="M3433" s="27">
        <f>IF(OR(J3433="Yes",I3433=0),"",H3433/I3433)</f>
        <v/>
      </c>
      <c r="N3433" s="21">
        <f>IF(J3433="Yes","",IF(H3433&gt;=I3433,1,0))</f>
        <v/>
      </c>
      <c r="O3433" s="21">
        <f>IF(I3433&lt;=5000000,"Under $5M",IF(I3433&lt;=20000000,"$5M-20M",IF(I3433&lt;=50000000,"$20M-50M",IF(I3433&lt;=100000000,"$50M-100M","$100M+"))))</f>
        <v/>
      </c>
      <c r="P3433" s="21">
        <f>IF(E3433&lt;=90,"90 or less",IF(E3433&lt;=105,"91-105",IF(E3433&lt;=120,"106-120",IF(E3433&lt;=140,"121-140","Over 140"))))</f>
        <v/>
      </c>
      <c r="Q3433" s="28">
        <f>INT(C3433/10)*10</f>
        <v/>
      </c>
    </row>
    <row r="3434">
      <c r="A3434" s="21" t="n">
        <v>3506</v>
      </c>
      <c r="B3434" s="21" t="inlineStr">
        <is>
          <t>Hesher</t>
        </is>
      </c>
      <c r="C3434" s="21" t="n">
        <v>2010</v>
      </c>
      <c r="D3434" s="21" t="inlineStr">
        <is>
          <t>USA</t>
        </is>
      </c>
      <c r="E3434" s="21" t="n">
        <v>106</v>
      </c>
      <c r="F3434" s="21" t="inlineStr">
        <is>
          <t>English</t>
        </is>
      </c>
      <c r="G3434" s="21" t="inlineStr">
        <is>
          <t>R</t>
        </is>
      </c>
      <c r="H3434" s="22" t="n">
        <v>382946</v>
      </c>
      <c r="I3434" s="22" t="n">
        <v>7000000</v>
      </c>
      <c r="J3434" s="21">
        <f>IF(OR(H3434="",H3434=25529689.5),"Yes","No")</f>
        <v/>
      </c>
      <c r="K3434" s="21">
        <f>IF(AND(D3434="USA",C3434&gt;=1980,J3434="No"),"Yes","No")</f>
        <v/>
      </c>
      <c r="L3434" s="26">
        <f>IF(J3434="Yes","",H3434-I3434)</f>
        <v/>
      </c>
      <c r="M3434" s="27">
        <f>IF(OR(J3434="Yes",I3434=0),"",H3434/I3434)</f>
        <v/>
      </c>
      <c r="N3434" s="21">
        <f>IF(J3434="Yes","",IF(H3434&gt;=I3434,1,0))</f>
        <v/>
      </c>
      <c r="O3434" s="21">
        <f>IF(I3434&lt;=5000000,"Under $5M",IF(I3434&lt;=20000000,"$5M-20M",IF(I3434&lt;=50000000,"$20M-50M",IF(I3434&lt;=100000000,"$50M-100M","$100M+"))))</f>
        <v/>
      </c>
      <c r="P3434" s="21">
        <f>IF(E3434&lt;=90,"90 or less",IF(E3434&lt;=105,"91-105",IF(E3434&lt;=120,"106-120",IF(E3434&lt;=140,"121-140","Over 140"))))</f>
        <v/>
      </c>
      <c r="Q3434" s="28">
        <f>INT(C3434/10)*10</f>
        <v/>
      </c>
    </row>
    <row r="3435">
      <c r="A3435" s="21" t="n">
        <v>3507</v>
      </c>
      <c r="B3435" s="21" t="inlineStr">
        <is>
          <t>Hot Tub Time Machine</t>
        </is>
      </c>
      <c r="C3435" s="21" t="n">
        <v>2010</v>
      </c>
      <c r="D3435" s="21" t="inlineStr">
        <is>
          <t>USA</t>
        </is>
      </c>
      <c r="E3435" s="21" t="n">
        <v>101</v>
      </c>
      <c r="F3435" s="21" t="inlineStr">
        <is>
          <t>English</t>
        </is>
      </c>
      <c r="G3435" s="21" t="inlineStr">
        <is>
          <t>R</t>
        </is>
      </c>
      <c r="H3435" s="22" t="n">
        <v>50213619</v>
      </c>
      <c r="I3435" s="22" t="n">
        <v>36000000</v>
      </c>
      <c r="J3435" s="21">
        <f>IF(OR(H3435="",H3435=25529689.5),"Yes","No")</f>
        <v/>
      </c>
      <c r="K3435" s="21">
        <f>IF(AND(D3435="USA",C3435&gt;=1980,J3435="No"),"Yes","No")</f>
        <v/>
      </c>
      <c r="L3435" s="26">
        <f>IF(J3435="Yes","",H3435-I3435)</f>
        <v/>
      </c>
      <c r="M3435" s="27">
        <f>IF(OR(J3435="Yes",I3435=0),"",H3435/I3435)</f>
        <v/>
      </c>
      <c r="N3435" s="21">
        <f>IF(J3435="Yes","",IF(H3435&gt;=I3435,1,0))</f>
        <v/>
      </c>
      <c r="O3435" s="21">
        <f>IF(I3435&lt;=5000000,"Under $5M",IF(I3435&lt;=20000000,"$5M-20M",IF(I3435&lt;=50000000,"$20M-50M",IF(I3435&lt;=100000000,"$50M-100M","$100M+"))))</f>
        <v/>
      </c>
      <c r="P3435" s="21">
        <f>IF(E3435&lt;=90,"90 or less",IF(E3435&lt;=105,"91-105",IF(E3435&lt;=120,"106-120",IF(E3435&lt;=140,"121-140","Over 140"))))</f>
        <v/>
      </c>
      <c r="Q3435" s="28">
        <f>INT(C3435/10)*10</f>
        <v/>
      </c>
    </row>
    <row r="3436">
      <c r="A3436" s="21" t="n">
        <v>3508</v>
      </c>
      <c r="B3436" s="21" t="inlineStr">
        <is>
          <t>Housefull</t>
        </is>
      </c>
      <c r="C3436" s="21" t="n">
        <v>2010</v>
      </c>
      <c r="D3436" s="21" t="inlineStr">
        <is>
          <t>India</t>
        </is>
      </c>
      <c r="E3436" s="21" t="n">
        <v>144</v>
      </c>
      <c r="F3436" s="21" t="inlineStr">
        <is>
          <t>Hindi</t>
        </is>
      </c>
      <c r="G3436" s="21" t="n"/>
      <c r="H3436" s="22" t="n">
        <v>1165104</v>
      </c>
      <c r="I3436" s="22" t="n">
        <v>20000000</v>
      </c>
      <c r="J3436" s="21">
        <f>IF(OR(H3436="",H3436=25529689.5),"Yes","No")</f>
        <v/>
      </c>
      <c r="K3436" s="21">
        <f>IF(AND(D3436="USA",C3436&gt;=1980,J3436="No"),"Yes","No")</f>
        <v/>
      </c>
      <c r="L3436" s="26">
        <f>IF(J3436="Yes","",H3436-I3436)</f>
        <v/>
      </c>
      <c r="M3436" s="27">
        <f>IF(OR(J3436="Yes",I3436=0),"",H3436/I3436)</f>
        <v/>
      </c>
      <c r="N3436" s="21">
        <f>IF(J3436="Yes","",IF(H3436&gt;=I3436,1,0))</f>
        <v/>
      </c>
      <c r="O3436" s="21">
        <f>IF(I3436&lt;=5000000,"Under $5M",IF(I3436&lt;=20000000,"$5M-20M",IF(I3436&lt;=50000000,"$20M-50M",IF(I3436&lt;=100000000,"$50M-100M","$100M+"))))</f>
        <v/>
      </c>
      <c r="P3436" s="21">
        <f>IF(E3436&lt;=90,"90 or less",IF(E3436&lt;=105,"91-105",IF(E3436&lt;=120,"106-120",IF(E3436&lt;=140,"121-140","Over 140"))))</f>
        <v/>
      </c>
      <c r="Q3436" s="28">
        <f>INT(C3436/10)*10</f>
        <v/>
      </c>
    </row>
    <row r="3437">
      <c r="A3437" s="21" t="n">
        <v>3509</v>
      </c>
      <c r="B3437" s="21" t="inlineStr">
        <is>
          <t>How Do You Know</t>
        </is>
      </c>
      <c r="C3437" s="21" t="n">
        <v>2010</v>
      </c>
      <c r="D3437" s="21" t="inlineStr">
        <is>
          <t>USA</t>
        </is>
      </c>
      <c r="E3437" s="21" t="n">
        <v>121</v>
      </c>
      <c r="F3437" s="21" t="inlineStr">
        <is>
          <t>English</t>
        </is>
      </c>
      <c r="G3437" s="21" t="inlineStr">
        <is>
          <t>PG-13</t>
        </is>
      </c>
      <c r="H3437" s="22" t="n">
        <v>30212620</v>
      </c>
      <c r="I3437" s="22" t="n">
        <v>120000000</v>
      </c>
      <c r="J3437" s="21">
        <f>IF(OR(H3437="",H3437=25529689.5),"Yes","No")</f>
        <v/>
      </c>
      <c r="K3437" s="21">
        <f>IF(AND(D3437="USA",C3437&gt;=1980,J3437="No"),"Yes","No")</f>
        <v/>
      </c>
      <c r="L3437" s="26">
        <f>IF(J3437="Yes","",H3437-I3437)</f>
        <v/>
      </c>
      <c r="M3437" s="27">
        <f>IF(OR(J3437="Yes",I3437=0),"",H3437/I3437)</f>
        <v/>
      </c>
      <c r="N3437" s="21">
        <f>IF(J3437="Yes","",IF(H3437&gt;=I3437,1,0))</f>
        <v/>
      </c>
      <c r="O3437" s="21">
        <f>IF(I3437&lt;=5000000,"Under $5M",IF(I3437&lt;=20000000,"$5M-20M",IF(I3437&lt;=50000000,"$20M-50M",IF(I3437&lt;=100000000,"$50M-100M","$100M+"))))</f>
        <v/>
      </c>
      <c r="P3437" s="21">
        <f>IF(E3437&lt;=90,"90 or less",IF(E3437&lt;=105,"91-105",IF(E3437&lt;=120,"106-120",IF(E3437&lt;=140,"121-140","Over 140"))))</f>
        <v/>
      </c>
      <c r="Q3437" s="28">
        <f>INT(C3437/10)*10</f>
        <v/>
      </c>
    </row>
    <row r="3438">
      <c r="A3438" s="21" t="n">
        <v>3510</v>
      </c>
      <c r="B3438" s="21" t="inlineStr">
        <is>
          <t>How to Train Your Dragon</t>
        </is>
      </c>
      <c r="C3438" s="21" t="n">
        <v>2010</v>
      </c>
      <c r="D3438" s="21" t="inlineStr">
        <is>
          <t>USA</t>
        </is>
      </c>
      <c r="E3438" s="21" t="n">
        <v>98</v>
      </c>
      <c r="F3438" s="21" t="inlineStr">
        <is>
          <t>English</t>
        </is>
      </c>
      <c r="G3438" s="21" t="inlineStr">
        <is>
          <t>PG</t>
        </is>
      </c>
      <c r="H3438" s="22" t="n">
        <v>217387997</v>
      </c>
      <c r="I3438" s="22" t="n">
        <v>165000000</v>
      </c>
      <c r="J3438" s="21">
        <f>IF(OR(H3438="",H3438=25529689.5),"Yes","No")</f>
        <v/>
      </c>
      <c r="K3438" s="21">
        <f>IF(AND(D3438="USA",C3438&gt;=1980,J3438="No"),"Yes","No")</f>
        <v/>
      </c>
      <c r="L3438" s="26">
        <f>IF(J3438="Yes","",H3438-I3438)</f>
        <v/>
      </c>
      <c r="M3438" s="27">
        <f>IF(OR(J3438="Yes",I3438=0),"",H3438/I3438)</f>
        <v/>
      </c>
      <c r="N3438" s="21">
        <f>IF(J3438="Yes","",IF(H3438&gt;=I3438,1,0))</f>
        <v/>
      </c>
      <c r="O3438" s="21">
        <f>IF(I3438&lt;=5000000,"Under $5M",IF(I3438&lt;=20000000,"$5M-20M",IF(I3438&lt;=50000000,"$20M-50M",IF(I3438&lt;=100000000,"$50M-100M","$100M+"))))</f>
        <v/>
      </c>
      <c r="P3438" s="21">
        <f>IF(E3438&lt;=90,"90 or less",IF(E3438&lt;=105,"91-105",IF(E3438&lt;=120,"106-120",IF(E3438&lt;=140,"121-140","Over 140"))))</f>
        <v/>
      </c>
      <c r="Q3438" s="28">
        <f>INT(C3438/10)*10</f>
        <v/>
      </c>
    </row>
    <row r="3439">
      <c r="A3439" s="21" t="n">
        <v>3511</v>
      </c>
      <c r="B3439" s="21" t="inlineStr">
        <is>
          <t>I Spit on Your Grave</t>
        </is>
      </c>
      <c r="C3439" s="21" t="n">
        <v>2010</v>
      </c>
      <c r="D3439" s="21" t="inlineStr">
        <is>
          <t>USA</t>
        </is>
      </c>
      <c r="E3439" s="21" t="n">
        <v>105</v>
      </c>
      <c r="F3439" s="21" t="inlineStr">
        <is>
          <t>English</t>
        </is>
      </c>
      <c r="G3439" s="21" t="inlineStr">
        <is>
          <t>R</t>
        </is>
      </c>
      <c r="H3439" s="22" t="n">
        <v>92401</v>
      </c>
      <c r="I3439" s="22" t="n">
        <v>2000000</v>
      </c>
      <c r="J3439" s="21">
        <f>IF(OR(H3439="",H3439=25529689.5),"Yes","No")</f>
        <v/>
      </c>
      <c r="K3439" s="21">
        <f>IF(AND(D3439="USA",C3439&gt;=1980,J3439="No"),"Yes","No")</f>
        <v/>
      </c>
      <c r="L3439" s="26">
        <f>IF(J3439="Yes","",H3439-I3439)</f>
        <v/>
      </c>
      <c r="M3439" s="27">
        <f>IF(OR(J3439="Yes",I3439=0),"",H3439/I3439)</f>
        <v/>
      </c>
      <c r="N3439" s="21">
        <f>IF(J3439="Yes","",IF(H3439&gt;=I3439,1,0))</f>
        <v/>
      </c>
      <c r="O3439" s="21">
        <f>IF(I3439&lt;=5000000,"Under $5M",IF(I3439&lt;=20000000,"$5M-20M",IF(I3439&lt;=50000000,"$20M-50M",IF(I3439&lt;=100000000,"$50M-100M","$100M+"))))</f>
        <v/>
      </c>
      <c r="P3439" s="21">
        <f>IF(E3439&lt;=90,"90 or less",IF(E3439&lt;=105,"91-105",IF(E3439&lt;=120,"106-120",IF(E3439&lt;=140,"121-140","Over 140"))))</f>
        <v/>
      </c>
      <c r="Q3439" s="28">
        <f>INT(C3439/10)*10</f>
        <v/>
      </c>
    </row>
    <row r="3440">
      <c r="A3440" s="21" t="n">
        <v>3512</v>
      </c>
      <c r="B3440" s="21" t="inlineStr">
        <is>
          <t>I Want Your Money</t>
        </is>
      </c>
      <c r="C3440" s="21" t="n">
        <v>2010</v>
      </c>
      <c r="D3440" s="21" t="inlineStr">
        <is>
          <t>USA</t>
        </is>
      </c>
      <c r="E3440" s="21" t="n">
        <v>92</v>
      </c>
      <c r="F3440" s="21" t="inlineStr">
        <is>
          <t>English</t>
        </is>
      </c>
      <c r="G3440" s="21" t="inlineStr">
        <is>
          <t>PG</t>
        </is>
      </c>
      <c r="H3440" s="22" t="n">
        <v>425899</v>
      </c>
      <c r="I3440" s="22" t="n">
        <v>400000</v>
      </c>
      <c r="J3440" s="21">
        <f>IF(OR(H3440="",H3440=25529689.5),"Yes","No")</f>
        <v/>
      </c>
      <c r="K3440" s="21">
        <f>IF(AND(D3440="USA",C3440&gt;=1980,J3440="No"),"Yes","No")</f>
        <v/>
      </c>
      <c r="L3440" s="26">
        <f>IF(J3440="Yes","",H3440-I3440)</f>
        <v/>
      </c>
      <c r="M3440" s="27">
        <f>IF(OR(J3440="Yes",I3440=0),"",H3440/I3440)</f>
        <v/>
      </c>
      <c r="N3440" s="21">
        <f>IF(J3440="Yes","",IF(H3440&gt;=I3440,1,0))</f>
        <v/>
      </c>
      <c r="O3440" s="21">
        <f>IF(I3440&lt;=5000000,"Under $5M",IF(I3440&lt;=20000000,"$5M-20M",IF(I3440&lt;=50000000,"$20M-50M",IF(I3440&lt;=100000000,"$50M-100M","$100M+"))))</f>
        <v/>
      </c>
      <c r="P3440" s="21">
        <f>IF(E3440&lt;=90,"90 or less",IF(E3440&lt;=105,"91-105",IF(E3440&lt;=120,"106-120",IF(E3440&lt;=140,"121-140","Over 140"))))</f>
        <v/>
      </c>
      <c r="Q3440" s="28">
        <f>INT(C3440/10)*10</f>
        <v/>
      </c>
    </row>
    <row r="3441">
      <c r="A3441" s="21" t="n">
        <v>3513</v>
      </c>
      <c r="B3441" s="21" t="inlineStr">
        <is>
          <t>Incendies</t>
        </is>
      </c>
      <c r="C3441" s="21" t="n">
        <v>2010</v>
      </c>
      <c r="D3441" s="21" t="inlineStr">
        <is>
          <t>Canada</t>
        </is>
      </c>
      <c r="E3441" s="21" t="n">
        <v>139</v>
      </c>
      <c r="F3441" s="21" t="inlineStr">
        <is>
          <t>French</t>
        </is>
      </c>
      <c r="G3441" s="21" t="inlineStr">
        <is>
          <t>R</t>
        </is>
      </c>
      <c r="H3441" s="22" t="n">
        <v>6857096</v>
      </c>
      <c r="I3441" s="22" t="n">
        <v>6800000</v>
      </c>
      <c r="J3441" s="21">
        <f>IF(OR(H3441="",H3441=25529689.5),"Yes","No")</f>
        <v/>
      </c>
      <c r="K3441" s="21">
        <f>IF(AND(D3441="USA",C3441&gt;=1980,J3441="No"),"Yes","No")</f>
        <v/>
      </c>
      <c r="L3441" s="26">
        <f>IF(J3441="Yes","",H3441-I3441)</f>
        <v/>
      </c>
      <c r="M3441" s="27">
        <f>IF(OR(J3441="Yes",I3441=0),"",H3441/I3441)</f>
        <v/>
      </c>
      <c r="N3441" s="21">
        <f>IF(J3441="Yes","",IF(H3441&gt;=I3441,1,0))</f>
        <v/>
      </c>
      <c r="O3441" s="21">
        <f>IF(I3441&lt;=5000000,"Under $5M",IF(I3441&lt;=20000000,"$5M-20M",IF(I3441&lt;=50000000,"$20M-50M",IF(I3441&lt;=100000000,"$50M-100M","$100M+"))))</f>
        <v/>
      </c>
      <c r="P3441" s="21">
        <f>IF(E3441&lt;=90,"90 or less",IF(E3441&lt;=105,"91-105",IF(E3441&lt;=120,"106-120",IF(E3441&lt;=140,"121-140","Over 140"))))</f>
        <v/>
      </c>
      <c r="Q3441" s="28">
        <f>INT(C3441/10)*10</f>
        <v/>
      </c>
    </row>
    <row r="3442">
      <c r="A3442" s="21" t="n">
        <v>3514</v>
      </c>
      <c r="B3442" s="21" t="inlineStr">
        <is>
          <t>Inception</t>
        </is>
      </c>
      <c r="C3442" s="21" t="n">
        <v>2010</v>
      </c>
      <c r="D3442" s="21" t="inlineStr">
        <is>
          <t>USA</t>
        </is>
      </c>
      <c r="E3442" s="21" t="n">
        <v>148</v>
      </c>
      <c r="F3442" s="21" t="inlineStr">
        <is>
          <t>English</t>
        </is>
      </c>
      <c r="G3442" s="21" t="inlineStr">
        <is>
          <t>PG-13</t>
        </is>
      </c>
      <c r="H3442" s="22" t="n">
        <v>292568851</v>
      </c>
      <c r="I3442" s="22" t="n">
        <v>160000000</v>
      </c>
      <c r="J3442" s="21">
        <f>IF(OR(H3442="",H3442=25529689.5),"Yes","No")</f>
        <v/>
      </c>
      <c r="K3442" s="21">
        <f>IF(AND(D3442="USA",C3442&gt;=1980,J3442="No"),"Yes","No")</f>
        <v/>
      </c>
      <c r="L3442" s="26">
        <f>IF(J3442="Yes","",H3442-I3442)</f>
        <v/>
      </c>
      <c r="M3442" s="27">
        <f>IF(OR(J3442="Yes",I3442=0),"",H3442/I3442)</f>
        <v/>
      </c>
      <c r="N3442" s="21">
        <f>IF(J3442="Yes","",IF(H3442&gt;=I3442,1,0))</f>
        <v/>
      </c>
      <c r="O3442" s="21">
        <f>IF(I3442&lt;=5000000,"Under $5M",IF(I3442&lt;=20000000,"$5M-20M",IF(I3442&lt;=50000000,"$20M-50M",IF(I3442&lt;=100000000,"$50M-100M","$100M+"))))</f>
        <v/>
      </c>
      <c r="P3442" s="21">
        <f>IF(E3442&lt;=90,"90 or less",IF(E3442&lt;=105,"91-105",IF(E3442&lt;=120,"106-120",IF(E3442&lt;=140,"121-140","Over 140"))))</f>
        <v/>
      </c>
      <c r="Q3442" s="28">
        <f>INT(C3442/10)*10</f>
        <v/>
      </c>
    </row>
    <row r="3443">
      <c r="A3443" s="21" t="n">
        <v>3515</v>
      </c>
      <c r="B3443" s="21" t="inlineStr">
        <is>
          <t>Inside Job</t>
        </is>
      </c>
      <c r="C3443" s="21" t="n">
        <v>2010</v>
      </c>
      <c r="D3443" s="21" t="inlineStr">
        <is>
          <t>USA</t>
        </is>
      </c>
      <c r="E3443" s="21" t="n">
        <v>105</v>
      </c>
      <c r="F3443" s="21" t="inlineStr">
        <is>
          <t>English</t>
        </is>
      </c>
      <c r="G3443" s="21" t="inlineStr">
        <is>
          <t>PG-13</t>
        </is>
      </c>
      <c r="H3443" s="22" t="n">
        <v>4311834</v>
      </c>
      <c r="I3443" s="22" t="n">
        <v>20000000</v>
      </c>
      <c r="J3443" s="21">
        <f>IF(OR(H3443="",H3443=25529689.5),"Yes","No")</f>
        <v/>
      </c>
      <c r="K3443" s="21">
        <f>IF(AND(D3443="USA",C3443&gt;=1980,J3443="No"),"Yes","No")</f>
        <v/>
      </c>
      <c r="L3443" s="26">
        <f>IF(J3443="Yes","",H3443-I3443)</f>
        <v/>
      </c>
      <c r="M3443" s="27">
        <f>IF(OR(J3443="Yes",I3443=0),"",H3443/I3443)</f>
        <v/>
      </c>
      <c r="N3443" s="21">
        <f>IF(J3443="Yes","",IF(H3443&gt;=I3443,1,0))</f>
        <v/>
      </c>
      <c r="O3443" s="21">
        <f>IF(I3443&lt;=5000000,"Under $5M",IF(I3443&lt;=20000000,"$5M-20M",IF(I3443&lt;=50000000,"$20M-50M",IF(I3443&lt;=100000000,"$50M-100M","$100M+"))))</f>
        <v/>
      </c>
      <c r="P3443" s="21">
        <f>IF(E3443&lt;=90,"90 or less",IF(E3443&lt;=105,"91-105",IF(E3443&lt;=120,"106-120",IF(E3443&lt;=140,"121-140","Over 140"))))</f>
        <v/>
      </c>
      <c r="Q3443" s="28">
        <f>INT(C3443/10)*10</f>
        <v/>
      </c>
    </row>
    <row r="3444">
      <c r="A3444" s="21" t="n">
        <v>3516</v>
      </c>
      <c r="B3444" s="21" t="inlineStr">
        <is>
          <t>Insidious</t>
        </is>
      </c>
      <c r="C3444" s="21" t="n">
        <v>2010</v>
      </c>
      <c r="D3444" s="21" t="inlineStr">
        <is>
          <t>USA</t>
        </is>
      </c>
      <c r="E3444" s="21" t="n">
        <v>103</v>
      </c>
      <c r="F3444" s="21" t="inlineStr">
        <is>
          <t>English</t>
        </is>
      </c>
      <c r="G3444" s="21" t="inlineStr">
        <is>
          <t>PG-13</t>
        </is>
      </c>
      <c r="H3444" s="22" t="n">
        <v>53991137</v>
      </c>
      <c r="I3444" s="22" t="n">
        <v>1500000</v>
      </c>
      <c r="J3444" s="21">
        <f>IF(OR(H3444="",H3444=25529689.5),"Yes","No")</f>
        <v/>
      </c>
      <c r="K3444" s="21">
        <f>IF(AND(D3444="USA",C3444&gt;=1980,J3444="No"),"Yes","No")</f>
        <v/>
      </c>
      <c r="L3444" s="26">
        <f>IF(J3444="Yes","",H3444-I3444)</f>
        <v/>
      </c>
      <c r="M3444" s="27">
        <f>IF(OR(J3444="Yes",I3444=0),"",H3444/I3444)</f>
        <v/>
      </c>
      <c r="N3444" s="21">
        <f>IF(J3444="Yes","",IF(H3444&gt;=I3444,1,0))</f>
        <v/>
      </c>
      <c r="O3444" s="21">
        <f>IF(I3444&lt;=5000000,"Under $5M",IF(I3444&lt;=20000000,"$5M-20M",IF(I3444&lt;=50000000,"$20M-50M",IF(I3444&lt;=100000000,"$50M-100M","$100M+"))))</f>
        <v/>
      </c>
      <c r="P3444" s="21">
        <f>IF(E3444&lt;=90,"90 or less",IF(E3444&lt;=105,"91-105",IF(E3444&lt;=120,"106-120",IF(E3444&lt;=140,"121-140","Over 140"))))</f>
        <v/>
      </c>
      <c r="Q3444" s="28">
        <f>INT(C3444/10)*10</f>
        <v/>
      </c>
    </row>
    <row r="3445">
      <c r="A3445" s="21" t="n">
        <v>3517</v>
      </c>
      <c r="B3445" s="21" t="inlineStr">
        <is>
          <t>Iron Man 2</t>
        </is>
      </c>
      <c r="C3445" s="21" t="n">
        <v>2010</v>
      </c>
      <c r="D3445" s="21" t="inlineStr">
        <is>
          <t>USA</t>
        </is>
      </c>
      <c r="E3445" s="21" t="n">
        <v>124</v>
      </c>
      <c r="F3445" s="21" t="inlineStr">
        <is>
          <t>English</t>
        </is>
      </c>
      <c r="G3445" s="21" t="inlineStr">
        <is>
          <t>PG-13</t>
        </is>
      </c>
      <c r="H3445" s="22" t="n">
        <v>312057433</v>
      </c>
      <c r="I3445" s="22" t="n">
        <v>200000000</v>
      </c>
      <c r="J3445" s="21">
        <f>IF(OR(H3445="",H3445=25529689.5),"Yes","No")</f>
        <v/>
      </c>
      <c r="K3445" s="21">
        <f>IF(AND(D3445="USA",C3445&gt;=1980,J3445="No"),"Yes","No")</f>
        <v/>
      </c>
      <c r="L3445" s="26">
        <f>IF(J3445="Yes","",H3445-I3445)</f>
        <v/>
      </c>
      <c r="M3445" s="27">
        <f>IF(OR(J3445="Yes",I3445=0),"",H3445/I3445)</f>
        <v/>
      </c>
      <c r="N3445" s="21">
        <f>IF(J3445="Yes","",IF(H3445&gt;=I3445,1,0))</f>
        <v/>
      </c>
      <c r="O3445" s="21">
        <f>IF(I3445&lt;=5000000,"Under $5M",IF(I3445&lt;=20000000,"$5M-20M",IF(I3445&lt;=50000000,"$20M-50M",IF(I3445&lt;=100000000,"$50M-100M","$100M+"))))</f>
        <v/>
      </c>
      <c r="P3445" s="21">
        <f>IF(E3445&lt;=90,"90 or less",IF(E3445&lt;=105,"91-105",IF(E3445&lt;=120,"106-120",IF(E3445&lt;=140,"121-140","Over 140"))))</f>
        <v/>
      </c>
      <c r="Q3445" s="28">
        <f>INT(C3445/10)*10</f>
        <v/>
      </c>
    </row>
    <row r="3446">
      <c r="A3446" s="21" t="n">
        <v>3518</v>
      </c>
      <c r="B3446" s="21" t="inlineStr">
        <is>
          <t>It's a Wonderful Afterlife</t>
        </is>
      </c>
      <c r="C3446" s="21" t="n">
        <v>2010</v>
      </c>
      <c r="D3446" s="21" t="inlineStr">
        <is>
          <t>UK</t>
        </is>
      </c>
      <c r="E3446" s="21" t="n">
        <v>100</v>
      </c>
      <c r="F3446" s="21" t="inlineStr">
        <is>
          <t>English</t>
        </is>
      </c>
      <c r="G3446" s="21" t="inlineStr">
        <is>
          <t>PG-13</t>
        </is>
      </c>
      <c r="H3446" s="22" t="n">
        <v>25529689.5</v>
      </c>
      <c r="I3446" s="22" t="n">
        <v>10000000</v>
      </c>
      <c r="J3446" s="21">
        <f>IF(OR(H3446="",H3446=25529689.5),"Yes","No")</f>
        <v/>
      </c>
      <c r="K3446" s="21">
        <f>IF(AND(D3446="USA",C3446&gt;=1980,J3446="No"),"Yes","No")</f>
        <v/>
      </c>
      <c r="L3446" s="26">
        <f>IF(J3446="Yes","",H3446-I3446)</f>
        <v/>
      </c>
      <c r="M3446" s="27">
        <f>IF(OR(J3446="Yes",I3446=0),"",H3446/I3446)</f>
        <v/>
      </c>
      <c r="N3446" s="21">
        <f>IF(J3446="Yes","",IF(H3446&gt;=I3446,1,0))</f>
        <v/>
      </c>
      <c r="O3446" s="21">
        <f>IF(I3446&lt;=5000000,"Under $5M",IF(I3446&lt;=20000000,"$5M-20M",IF(I3446&lt;=50000000,"$20M-50M",IF(I3446&lt;=100000000,"$50M-100M","$100M+"))))</f>
        <v/>
      </c>
      <c r="P3446" s="21">
        <f>IF(E3446&lt;=90,"90 or less",IF(E3446&lt;=105,"91-105",IF(E3446&lt;=120,"106-120",IF(E3446&lt;=140,"121-140","Over 140"))))</f>
        <v/>
      </c>
      <c r="Q3446" s="28">
        <f>INT(C3446/10)*10</f>
        <v/>
      </c>
    </row>
    <row r="3447">
      <c r="A3447" s="21" t="n">
        <v>3519</v>
      </c>
      <c r="B3447" s="21" t="inlineStr">
        <is>
          <t>It's Kind of a Funny Story</t>
        </is>
      </c>
      <c r="C3447" s="21" t="n">
        <v>2010</v>
      </c>
      <c r="D3447" s="21" t="inlineStr">
        <is>
          <t>USA</t>
        </is>
      </c>
      <c r="E3447" s="21" t="n">
        <v>101</v>
      </c>
      <c r="F3447" s="21" t="inlineStr">
        <is>
          <t>English</t>
        </is>
      </c>
      <c r="G3447" s="21" t="inlineStr">
        <is>
          <t>PG-13</t>
        </is>
      </c>
      <c r="H3447" s="22" t="n">
        <v>6350058</v>
      </c>
      <c r="I3447" s="22" t="n">
        <v>8000000</v>
      </c>
      <c r="J3447" s="21">
        <f>IF(OR(H3447="",H3447=25529689.5),"Yes","No")</f>
        <v/>
      </c>
      <c r="K3447" s="21">
        <f>IF(AND(D3447="USA",C3447&gt;=1980,J3447="No"),"Yes","No")</f>
        <v/>
      </c>
      <c r="L3447" s="26">
        <f>IF(J3447="Yes","",H3447-I3447)</f>
        <v/>
      </c>
      <c r="M3447" s="27">
        <f>IF(OR(J3447="Yes",I3447=0),"",H3447/I3447)</f>
        <v/>
      </c>
      <c r="N3447" s="21">
        <f>IF(J3447="Yes","",IF(H3447&gt;=I3447,1,0))</f>
        <v/>
      </c>
      <c r="O3447" s="21">
        <f>IF(I3447&lt;=5000000,"Under $5M",IF(I3447&lt;=20000000,"$5M-20M",IF(I3447&lt;=50000000,"$20M-50M",IF(I3447&lt;=100000000,"$50M-100M","$100M+"))))</f>
        <v/>
      </c>
      <c r="P3447" s="21">
        <f>IF(E3447&lt;=90,"90 or less",IF(E3447&lt;=105,"91-105",IF(E3447&lt;=120,"106-120",IF(E3447&lt;=140,"121-140","Over 140"))))</f>
        <v/>
      </c>
      <c r="Q3447" s="28">
        <f>INT(C3447/10)*10</f>
        <v/>
      </c>
    </row>
    <row r="3448">
      <c r="A3448" s="21" t="n">
        <v>3520</v>
      </c>
      <c r="B3448" s="21" t="inlineStr">
        <is>
          <t>Jackass 3D</t>
        </is>
      </c>
      <c r="C3448" s="21" t="n">
        <v>2010</v>
      </c>
      <c r="D3448" s="21" t="inlineStr">
        <is>
          <t>USA</t>
        </is>
      </c>
      <c r="E3448" s="21" t="n">
        <v>101</v>
      </c>
      <c r="F3448" s="21" t="inlineStr">
        <is>
          <t>English</t>
        </is>
      </c>
      <c r="G3448" s="21" t="inlineStr">
        <is>
          <t>R</t>
        </is>
      </c>
      <c r="H3448" s="22" t="n">
        <v>117224271</v>
      </c>
      <c r="I3448" s="22" t="n">
        <v>20000000</v>
      </c>
      <c r="J3448" s="21">
        <f>IF(OR(H3448="",H3448=25529689.5),"Yes","No")</f>
        <v/>
      </c>
      <c r="K3448" s="21">
        <f>IF(AND(D3448="USA",C3448&gt;=1980,J3448="No"),"Yes","No")</f>
        <v/>
      </c>
      <c r="L3448" s="26">
        <f>IF(J3448="Yes","",H3448-I3448)</f>
        <v/>
      </c>
      <c r="M3448" s="27">
        <f>IF(OR(J3448="Yes",I3448=0),"",H3448/I3448)</f>
        <v/>
      </c>
      <c r="N3448" s="21">
        <f>IF(J3448="Yes","",IF(H3448&gt;=I3448,1,0))</f>
        <v/>
      </c>
      <c r="O3448" s="21">
        <f>IF(I3448&lt;=5000000,"Under $5M",IF(I3448&lt;=20000000,"$5M-20M",IF(I3448&lt;=50000000,"$20M-50M",IF(I3448&lt;=100000000,"$50M-100M","$100M+"))))</f>
        <v/>
      </c>
      <c r="P3448" s="21">
        <f>IF(E3448&lt;=90,"90 or less",IF(E3448&lt;=105,"91-105",IF(E3448&lt;=120,"106-120",IF(E3448&lt;=140,"121-140","Over 140"))))</f>
        <v/>
      </c>
      <c r="Q3448" s="28">
        <f>INT(C3448/10)*10</f>
        <v/>
      </c>
    </row>
    <row r="3449">
      <c r="A3449" s="21" t="n">
        <v>3521</v>
      </c>
      <c r="B3449" s="21" t="inlineStr">
        <is>
          <t>Jonah Hex</t>
        </is>
      </c>
      <c r="C3449" s="21" t="n">
        <v>2010</v>
      </c>
      <c r="D3449" s="21" t="inlineStr">
        <is>
          <t>USA</t>
        </is>
      </c>
      <c r="E3449" s="21" t="n">
        <v>81</v>
      </c>
      <c r="F3449" s="21" t="inlineStr">
        <is>
          <t>English</t>
        </is>
      </c>
      <c r="G3449" s="21" t="inlineStr">
        <is>
          <t>PG-13</t>
        </is>
      </c>
      <c r="H3449" s="22" t="n">
        <v>10539414</v>
      </c>
      <c r="I3449" s="22" t="n">
        <v>47000000</v>
      </c>
      <c r="J3449" s="21">
        <f>IF(OR(H3449="",H3449=25529689.5),"Yes","No")</f>
        <v/>
      </c>
      <c r="K3449" s="21">
        <f>IF(AND(D3449="USA",C3449&gt;=1980,J3449="No"),"Yes","No")</f>
        <v/>
      </c>
      <c r="L3449" s="26">
        <f>IF(J3449="Yes","",H3449-I3449)</f>
        <v/>
      </c>
      <c r="M3449" s="27">
        <f>IF(OR(J3449="Yes",I3449=0),"",H3449/I3449)</f>
        <v/>
      </c>
      <c r="N3449" s="21">
        <f>IF(J3449="Yes","",IF(H3449&gt;=I3449,1,0))</f>
        <v/>
      </c>
      <c r="O3449" s="21">
        <f>IF(I3449&lt;=5000000,"Under $5M",IF(I3449&lt;=20000000,"$5M-20M",IF(I3449&lt;=50000000,"$20M-50M",IF(I3449&lt;=100000000,"$50M-100M","$100M+"))))</f>
        <v/>
      </c>
      <c r="P3449" s="21">
        <f>IF(E3449&lt;=90,"90 or less",IF(E3449&lt;=105,"91-105",IF(E3449&lt;=120,"106-120",IF(E3449&lt;=140,"121-140","Over 140"))))</f>
        <v/>
      </c>
      <c r="Q3449" s="28">
        <f>INT(C3449/10)*10</f>
        <v/>
      </c>
    </row>
    <row r="3450">
      <c r="A3450" s="21" t="n">
        <v>3522</v>
      </c>
      <c r="B3450" s="21" t="inlineStr">
        <is>
          <t>Just Wright</t>
        </is>
      </c>
      <c r="C3450" s="21" t="n">
        <v>2010</v>
      </c>
      <c r="D3450" s="21" t="inlineStr">
        <is>
          <t>USA</t>
        </is>
      </c>
      <c r="E3450" s="21" t="n">
        <v>100</v>
      </c>
      <c r="F3450" s="21" t="inlineStr">
        <is>
          <t>English</t>
        </is>
      </c>
      <c r="G3450" s="21" t="inlineStr">
        <is>
          <t>PG</t>
        </is>
      </c>
      <c r="H3450" s="22" t="n">
        <v>21520719</v>
      </c>
      <c r="I3450" s="22" t="n">
        <v>20000000</v>
      </c>
      <c r="J3450" s="21">
        <f>IF(OR(H3450="",H3450=25529689.5),"Yes","No")</f>
        <v/>
      </c>
      <c r="K3450" s="21">
        <f>IF(AND(D3450="USA",C3450&gt;=1980,J3450="No"),"Yes","No")</f>
        <v/>
      </c>
      <c r="L3450" s="26">
        <f>IF(J3450="Yes","",H3450-I3450)</f>
        <v/>
      </c>
      <c r="M3450" s="27">
        <f>IF(OR(J3450="Yes",I3450=0),"",H3450/I3450)</f>
        <v/>
      </c>
      <c r="N3450" s="21">
        <f>IF(J3450="Yes","",IF(H3450&gt;=I3450,1,0))</f>
        <v/>
      </c>
      <c r="O3450" s="21">
        <f>IF(I3450&lt;=5000000,"Under $5M",IF(I3450&lt;=20000000,"$5M-20M",IF(I3450&lt;=50000000,"$20M-50M",IF(I3450&lt;=100000000,"$50M-100M","$100M+"))))</f>
        <v/>
      </c>
      <c r="P3450" s="21">
        <f>IF(E3450&lt;=90,"90 or less",IF(E3450&lt;=105,"91-105",IF(E3450&lt;=120,"106-120",IF(E3450&lt;=140,"121-140","Over 140"))))</f>
        <v/>
      </c>
      <c r="Q3450" s="28">
        <f>INT(C3450/10)*10</f>
        <v/>
      </c>
    </row>
    <row r="3451">
      <c r="A3451" s="21" t="n">
        <v>3523</v>
      </c>
      <c r="B3451" s="21" t="inlineStr">
        <is>
          <t>Kick-Ass</t>
        </is>
      </c>
      <c r="C3451" s="21" t="n">
        <v>2010</v>
      </c>
      <c r="D3451" s="21" t="inlineStr">
        <is>
          <t>UK</t>
        </is>
      </c>
      <c r="E3451" s="21" t="n">
        <v>117</v>
      </c>
      <c r="F3451" s="21" t="inlineStr">
        <is>
          <t>English</t>
        </is>
      </c>
      <c r="G3451" s="21" t="inlineStr">
        <is>
          <t>R</t>
        </is>
      </c>
      <c r="H3451" s="22" t="n">
        <v>48043505</v>
      </c>
      <c r="I3451" s="22" t="n">
        <v>30000000</v>
      </c>
      <c r="J3451" s="21">
        <f>IF(OR(H3451="",H3451=25529689.5),"Yes","No")</f>
        <v/>
      </c>
      <c r="K3451" s="21">
        <f>IF(AND(D3451="USA",C3451&gt;=1980,J3451="No"),"Yes","No")</f>
        <v/>
      </c>
      <c r="L3451" s="26">
        <f>IF(J3451="Yes","",H3451-I3451)</f>
        <v/>
      </c>
      <c r="M3451" s="27">
        <f>IF(OR(J3451="Yes",I3451=0),"",H3451/I3451)</f>
        <v/>
      </c>
      <c r="N3451" s="21">
        <f>IF(J3451="Yes","",IF(H3451&gt;=I3451,1,0))</f>
        <v/>
      </c>
      <c r="O3451" s="21">
        <f>IF(I3451&lt;=5000000,"Under $5M",IF(I3451&lt;=20000000,"$5M-20M",IF(I3451&lt;=50000000,"$20M-50M",IF(I3451&lt;=100000000,"$50M-100M","$100M+"))))</f>
        <v/>
      </c>
      <c r="P3451" s="21">
        <f>IF(E3451&lt;=90,"90 or less",IF(E3451&lt;=105,"91-105",IF(E3451&lt;=120,"106-120",IF(E3451&lt;=140,"121-140","Over 140"))))</f>
        <v/>
      </c>
      <c r="Q3451" s="28">
        <f>INT(C3451/10)*10</f>
        <v/>
      </c>
    </row>
    <row r="3452">
      <c r="A3452" s="21" t="n">
        <v>3524</v>
      </c>
      <c r="B3452" s="21" t="inlineStr">
        <is>
          <t>Killers</t>
        </is>
      </c>
      <c r="C3452" s="21" t="n">
        <v>2010</v>
      </c>
      <c r="D3452" s="21" t="inlineStr">
        <is>
          <t>USA</t>
        </is>
      </c>
      <c r="E3452" s="21" t="n">
        <v>100</v>
      </c>
      <c r="F3452" s="21" t="inlineStr">
        <is>
          <t>English</t>
        </is>
      </c>
      <c r="G3452" s="21" t="inlineStr">
        <is>
          <t>PG-13</t>
        </is>
      </c>
      <c r="H3452" s="22" t="n">
        <v>47000485</v>
      </c>
      <c r="I3452" s="22" t="n">
        <v>75000000</v>
      </c>
      <c r="J3452" s="21">
        <f>IF(OR(H3452="",H3452=25529689.5),"Yes","No")</f>
        <v/>
      </c>
      <c r="K3452" s="21">
        <f>IF(AND(D3452="USA",C3452&gt;=1980,J3452="No"),"Yes","No")</f>
        <v/>
      </c>
      <c r="L3452" s="26">
        <f>IF(J3452="Yes","",H3452-I3452)</f>
        <v/>
      </c>
      <c r="M3452" s="27">
        <f>IF(OR(J3452="Yes",I3452=0),"",H3452/I3452)</f>
        <v/>
      </c>
      <c r="N3452" s="21">
        <f>IF(J3452="Yes","",IF(H3452&gt;=I3452,1,0))</f>
        <v/>
      </c>
      <c r="O3452" s="21">
        <f>IF(I3452&lt;=5000000,"Under $5M",IF(I3452&lt;=20000000,"$5M-20M",IF(I3452&lt;=50000000,"$20M-50M",IF(I3452&lt;=100000000,"$50M-100M","$100M+"))))</f>
        <v/>
      </c>
      <c r="P3452" s="21">
        <f>IF(E3452&lt;=90,"90 or less",IF(E3452&lt;=105,"91-105",IF(E3452&lt;=120,"106-120",IF(E3452&lt;=140,"121-140","Over 140"))))</f>
        <v/>
      </c>
      <c r="Q3452" s="28">
        <f>INT(C3452/10)*10</f>
        <v/>
      </c>
    </row>
    <row r="3453">
      <c r="A3453" s="21" t="n">
        <v>3525</v>
      </c>
      <c r="B3453" s="21" t="inlineStr">
        <is>
          <t>Kites</t>
        </is>
      </c>
      <c r="C3453" s="21" t="n">
        <v>2010</v>
      </c>
      <c r="D3453" s="21" t="inlineStr">
        <is>
          <t>India</t>
        </is>
      </c>
      <c r="E3453" s="21" t="n">
        <v>90</v>
      </c>
      <c r="F3453" s="21" t="inlineStr">
        <is>
          <t>English</t>
        </is>
      </c>
      <c r="G3453" s="21" t="n"/>
      <c r="H3453" s="22" t="n">
        <v>1602466</v>
      </c>
      <c r="I3453" s="22" t="n">
        <v>600000000</v>
      </c>
      <c r="J3453" s="21">
        <f>IF(OR(H3453="",H3453=25529689.5),"Yes","No")</f>
        <v/>
      </c>
      <c r="K3453" s="21">
        <f>IF(AND(D3453="USA",C3453&gt;=1980,J3453="No"),"Yes","No")</f>
        <v/>
      </c>
      <c r="L3453" s="26">
        <f>IF(J3453="Yes","",H3453-I3453)</f>
        <v/>
      </c>
      <c r="M3453" s="27">
        <f>IF(OR(J3453="Yes",I3453=0),"",H3453/I3453)</f>
        <v/>
      </c>
      <c r="N3453" s="21">
        <f>IF(J3453="Yes","",IF(H3453&gt;=I3453,1,0))</f>
        <v/>
      </c>
      <c r="O3453" s="21">
        <f>IF(I3453&lt;=5000000,"Under $5M",IF(I3453&lt;=20000000,"$5M-20M",IF(I3453&lt;=50000000,"$20M-50M",IF(I3453&lt;=100000000,"$50M-100M","$100M+"))))</f>
        <v/>
      </c>
      <c r="P3453" s="21">
        <f>IF(E3453&lt;=90,"90 or less",IF(E3453&lt;=105,"91-105",IF(E3453&lt;=120,"106-120",IF(E3453&lt;=140,"121-140","Over 140"))))</f>
        <v/>
      </c>
      <c r="Q3453" s="28">
        <f>INT(C3453/10)*10</f>
        <v/>
      </c>
    </row>
    <row r="3454">
      <c r="A3454" s="21" t="n">
        <v>3526</v>
      </c>
      <c r="B3454" s="21" t="inlineStr">
        <is>
          <t>Knight and Day</t>
        </is>
      </c>
      <c r="C3454" s="21" t="n">
        <v>2010</v>
      </c>
      <c r="D3454" s="21" t="inlineStr">
        <is>
          <t>USA</t>
        </is>
      </c>
      <c r="E3454" s="21" t="n">
        <v>117</v>
      </c>
      <c r="F3454" s="21" t="inlineStr">
        <is>
          <t>English</t>
        </is>
      </c>
      <c r="G3454" s="21" t="inlineStr">
        <is>
          <t>PG-13</t>
        </is>
      </c>
      <c r="H3454" s="22" t="n">
        <v>76418654</v>
      </c>
      <c r="I3454" s="22" t="n">
        <v>117000000</v>
      </c>
      <c r="J3454" s="21">
        <f>IF(OR(H3454="",H3454=25529689.5),"Yes","No")</f>
        <v/>
      </c>
      <c r="K3454" s="21">
        <f>IF(AND(D3454="USA",C3454&gt;=1980,J3454="No"),"Yes","No")</f>
        <v/>
      </c>
      <c r="L3454" s="26">
        <f>IF(J3454="Yes","",H3454-I3454)</f>
        <v/>
      </c>
      <c r="M3454" s="27">
        <f>IF(OR(J3454="Yes",I3454=0),"",H3454/I3454)</f>
        <v/>
      </c>
      <c r="N3454" s="21">
        <f>IF(J3454="Yes","",IF(H3454&gt;=I3454,1,0))</f>
        <v/>
      </c>
      <c r="O3454" s="21">
        <f>IF(I3454&lt;=5000000,"Under $5M",IF(I3454&lt;=20000000,"$5M-20M",IF(I3454&lt;=50000000,"$20M-50M",IF(I3454&lt;=100000000,"$50M-100M","$100M+"))))</f>
        <v/>
      </c>
      <c r="P3454" s="21">
        <f>IF(E3454&lt;=90,"90 or less",IF(E3454&lt;=105,"91-105",IF(E3454&lt;=120,"106-120",IF(E3454&lt;=140,"121-140","Over 140"))))</f>
        <v/>
      </c>
      <c r="Q3454" s="28">
        <f>INT(C3454/10)*10</f>
        <v/>
      </c>
    </row>
    <row r="3455">
      <c r="A3455" s="21" t="n">
        <v>3527</v>
      </c>
      <c r="B3455" s="21" t="inlineStr">
        <is>
          <t>Leap Year</t>
        </is>
      </c>
      <c r="C3455" s="21" t="n">
        <v>2010</v>
      </c>
      <c r="D3455" s="21" t="inlineStr">
        <is>
          <t>USA</t>
        </is>
      </c>
      <c r="E3455" s="21" t="n">
        <v>100</v>
      </c>
      <c r="F3455" s="21" t="inlineStr">
        <is>
          <t>English</t>
        </is>
      </c>
      <c r="G3455" s="21" t="inlineStr">
        <is>
          <t>PG</t>
        </is>
      </c>
      <c r="H3455" s="22" t="n">
        <v>12561</v>
      </c>
      <c r="I3455" s="22" t="n">
        <v>19000000</v>
      </c>
      <c r="J3455" s="21">
        <f>IF(OR(H3455="",H3455=25529689.5),"Yes","No")</f>
        <v/>
      </c>
      <c r="K3455" s="21">
        <f>IF(AND(D3455="USA",C3455&gt;=1980,J3455="No"),"Yes","No")</f>
        <v/>
      </c>
      <c r="L3455" s="26">
        <f>IF(J3455="Yes","",H3455-I3455)</f>
        <v/>
      </c>
      <c r="M3455" s="27">
        <f>IF(OR(J3455="Yes",I3455=0),"",H3455/I3455)</f>
        <v/>
      </c>
      <c r="N3455" s="21">
        <f>IF(J3455="Yes","",IF(H3455&gt;=I3455,1,0))</f>
        <v/>
      </c>
      <c r="O3455" s="21">
        <f>IF(I3455&lt;=5000000,"Under $5M",IF(I3455&lt;=20000000,"$5M-20M",IF(I3455&lt;=50000000,"$20M-50M",IF(I3455&lt;=100000000,"$50M-100M","$100M+"))))</f>
        <v/>
      </c>
      <c r="P3455" s="21">
        <f>IF(E3455&lt;=90,"90 or less",IF(E3455&lt;=105,"91-105",IF(E3455&lt;=120,"106-120",IF(E3455&lt;=140,"121-140","Over 140"))))</f>
        <v/>
      </c>
      <c r="Q3455" s="28">
        <f>INT(C3455/10)*10</f>
        <v/>
      </c>
    </row>
    <row r="3456">
      <c r="A3456" s="21" t="n">
        <v>3528</v>
      </c>
      <c r="B3456" s="21" t="inlineStr">
        <is>
          <t>Legend of the Guardians: The Owls of Ga'Hoole</t>
        </is>
      </c>
      <c r="C3456" s="21" t="n">
        <v>2010</v>
      </c>
      <c r="D3456" s="21" t="inlineStr">
        <is>
          <t>USA</t>
        </is>
      </c>
      <c r="E3456" s="21" t="n">
        <v>101</v>
      </c>
      <c r="F3456" s="21" t="inlineStr">
        <is>
          <t>English</t>
        </is>
      </c>
      <c r="G3456" s="21" t="inlineStr">
        <is>
          <t>PG</t>
        </is>
      </c>
      <c r="H3456" s="22" t="n">
        <v>55673333</v>
      </c>
      <c r="I3456" s="22" t="n">
        <v>80000000</v>
      </c>
      <c r="J3456" s="21">
        <f>IF(OR(H3456="",H3456=25529689.5),"Yes","No")</f>
        <v/>
      </c>
      <c r="K3456" s="21">
        <f>IF(AND(D3456="USA",C3456&gt;=1980,J3456="No"),"Yes","No")</f>
        <v/>
      </c>
      <c r="L3456" s="26">
        <f>IF(J3456="Yes","",H3456-I3456)</f>
        <v/>
      </c>
      <c r="M3456" s="27">
        <f>IF(OR(J3456="Yes",I3456=0),"",H3456/I3456)</f>
        <v/>
      </c>
      <c r="N3456" s="21">
        <f>IF(J3456="Yes","",IF(H3456&gt;=I3456,1,0))</f>
        <v/>
      </c>
      <c r="O3456" s="21">
        <f>IF(I3456&lt;=5000000,"Under $5M",IF(I3456&lt;=20000000,"$5M-20M",IF(I3456&lt;=50000000,"$20M-50M",IF(I3456&lt;=100000000,"$50M-100M","$100M+"))))</f>
        <v/>
      </c>
      <c r="P3456" s="21">
        <f>IF(E3456&lt;=90,"90 or less",IF(E3456&lt;=105,"91-105",IF(E3456&lt;=120,"106-120",IF(E3456&lt;=140,"121-140","Over 140"))))</f>
        <v/>
      </c>
      <c r="Q3456" s="28">
        <f>INT(C3456/10)*10</f>
        <v/>
      </c>
    </row>
    <row r="3457">
      <c r="A3457" s="21" t="n">
        <v>3529</v>
      </c>
      <c r="B3457" s="21" t="inlineStr">
        <is>
          <t>Legion</t>
        </is>
      </c>
      <c r="C3457" s="21" t="n">
        <v>2010</v>
      </c>
      <c r="D3457" s="21" t="inlineStr">
        <is>
          <t>USA</t>
        </is>
      </c>
      <c r="E3457" s="21" t="n">
        <v>100</v>
      </c>
      <c r="F3457" s="21" t="inlineStr">
        <is>
          <t>English</t>
        </is>
      </c>
      <c r="G3457" s="21" t="inlineStr">
        <is>
          <t>R</t>
        </is>
      </c>
      <c r="H3457" s="22" t="n">
        <v>40168080</v>
      </c>
      <c r="I3457" s="22" t="n">
        <v>26000000</v>
      </c>
      <c r="J3457" s="21">
        <f>IF(OR(H3457="",H3457=25529689.5),"Yes","No")</f>
        <v/>
      </c>
      <c r="K3457" s="21">
        <f>IF(AND(D3457="USA",C3457&gt;=1980,J3457="No"),"Yes","No")</f>
        <v/>
      </c>
      <c r="L3457" s="26">
        <f>IF(J3457="Yes","",H3457-I3457)</f>
        <v/>
      </c>
      <c r="M3457" s="27">
        <f>IF(OR(J3457="Yes",I3457=0),"",H3457/I3457)</f>
        <v/>
      </c>
      <c r="N3457" s="21">
        <f>IF(J3457="Yes","",IF(H3457&gt;=I3457,1,0))</f>
        <v/>
      </c>
      <c r="O3457" s="21">
        <f>IF(I3457&lt;=5000000,"Under $5M",IF(I3457&lt;=20000000,"$5M-20M",IF(I3457&lt;=50000000,"$20M-50M",IF(I3457&lt;=100000000,"$50M-100M","$100M+"))))</f>
        <v/>
      </c>
      <c r="P3457" s="21">
        <f>IF(E3457&lt;=90,"90 or less",IF(E3457&lt;=105,"91-105",IF(E3457&lt;=120,"106-120",IF(E3457&lt;=140,"121-140","Over 140"))))</f>
        <v/>
      </c>
      <c r="Q3457" s="28">
        <f>INT(C3457/10)*10</f>
        <v/>
      </c>
    </row>
    <row r="3458">
      <c r="A3458" s="21" t="n">
        <v>3530</v>
      </c>
      <c r="B3458" s="21" t="inlineStr">
        <is>
          <t>Let Me In</t>
        </is>
      </c>
      <c r="C3458" s="21" t="n">
        <v>2010</v>
      </c>
      <c r="D3458" s="21" t="inlineStr">
        <is>
          <t>UK</t>
        </is>
      </c>
      <c r="E3458" s="21" t="n">
        <v>116</v>
      </c>
      <c r="F3458" s="21" t="inlineStr">
        <is>
          <t>English</t>
        </is>
      </c>
      <c r="G3458" s="21" t="inlineStr">
        <is>
          <t>R</t>
        </is>
      </c>
      <c r="H3458" s="22" t="n">
        <v>12134420</v>
      </c>
      <c r="I3458" s="22" t="n">
        <v>20000000</v>
      </c>
      <c r="J3458" s="21">
        <f>IF(OR(H3458="",H3458=25529689.5),"Yes","No")</f>
        <v/>
      </c>
      <c r="K3458" s="21">
        <f>IF(AND(D3458="USA",C3458&gt;=1980,J3458="No"),"Yes","No")</f>
        <v/>
      </c>
      <c r="L3458" s="26">
        <f>IF(J3458="Yes","",H3458-I3458)</f>
        <v/>
      </c>
      <c r="M3458" s="27">
        <f>IF(OR(J3458="Yes",I3458=0),"",H3458/I3458)</f>
        <v/>
      </c>
      <c r="N3458" s="21">
        <f>IF(J3458="Yes","",IF(H3458&gt;=I3458,1,0))</f>
        <v/>
      </c>
      <c r="O3458" s="21">
        <f>IF(I3458&lt;=5000000,"Under $5M",IF(I3458&lt;=20000000,"$5M-20M",IF(I3458&lt;=50000000,"$20M-50M",IF(I3458&lt;=100000000,"$50M-100M","$100M+"))))</f>
        <v/>
      </c>
      <c r="P3458" s="21">
        <f>IF(E3458&lt;=90,"90 or less",IF(E3458&lt;=105,"91-105",IF(E3458&lt;=120,"106-120",IF(E3458&lt;=140,"121-140","Over 140"))))</f>
        <v/>
      </c>
      <c r="Q3458" s="28">
        <f>INT(C3458/10)*10</f>
        <v/>
      </c>
    </row>
    <row r="3459">
      <c r="A3459" s="21" t="n">
        <v>3531</v>
      </c>
      <c r="B3459" s="21" t="inlineStr">
        <is>
          <t>Letters to God</t>
        </is>
      </c>
      <c r="C3459" s="21" t="n">
        <v>2010</v>
      </c>
      <c r="D3459" s="21" t="inlineStr">
        <is>
          <t>USA</t>
        </is>
      </c>
      <c r="E3459" s="21" t="n">
        <v>110</v>
      </c>
      <c r="F3459" s="21" t="inlineStr">
        <is>
          <t>English</t>
        </is>
      </c>
      <c r="G3459" s="21" t="inlineStr">
        <is>
          <t>PG</t>
        </is>
      </c>
      <c r="H3459" s="22" t="n">
        <v>2848578</v>
      </c>
      <c r="I3459" s="22" t="n">
        <v>3500000</v>
      </c>
      <c r="J3459" s="21">
        <f>IF(OR(H3459="",H3459=25529689.5),"Yes","No")</f>
        <v/>
      </c>
      <c r="K3459" s="21">
        <f>IF(AND(D3459="USA",C3459&gt;=1980,J3459="No"),"Yes","No")</f>
        <v/>
      </c>
      <c r="L3459" s="26">
        <f>IF(J3459="Yes","",H3459-I3459)</f>
        <v/>
      </c>
      <c r="M3459" s="27">
        <f>IF(OR(J3459="Yes",I3459=0),"",H3459/I3459)</f>
        <v/>
      </c>
      <c r="N3459" s="21">
        <f>IF(J3459="Yes","",IF(H3459&gt;=I3459,1,0))</f>
        <v/>
      </c>
      <c r="O3459" s="21">
        <f>IF(I3459&lt;=5000000,"Under $5M",IF(I3459&lt;=20000000,"$5M-20M",IF(I3459&lt;=50000000,"$20M-50M",IF(I3459&lt;=100000000,"$50M-100M","$100M+"))))</f>
        <v/>
      </c>
      <c r="P3459" s="21">
        <f>IF(E3459&lt;=90,"90 or less",IF(E3459&lt;=105,"91-105",IF(E3459&lt;=120,"106-120",IF(E3459&lt;=140,"121-140","Over 140"))))</f>
        <v/>
      </c>
      <c r="Q3459" s="28">
        <f>INT(C3459/10)*10</f>
        <v/>
      </c>
    </row>
    <row r="3460">
      <c r="A3460" s="21" t="n">
        <v>3532</v>
      </c>
      <c r="B3460" s="21" t="inlineStr">
        <is>
          <t>Letters to Juliet</t>
        </is>
      </c>
      <c r="C3460" s="21" t="n">
        <v>2010</v>
      </c>
      <c r="D3460" s="21" t="inlineStr">
        <is>
          <t>USA</t>
        </is>
      </c>
      <c r="E3460" s="21" t="n">
        <v>105</v>
      </c>
      <c r="F3460" s="21" t="inlineStr">
        <is>
          <t>English</t>
        </is>
      </c>
      <c r="G3460" s="21" t="inlineStr">
        <is>
          <t>PG</t>
        </is>
      </c>
      <c r="H3460" s="22" t="n">
        <v>53021560</v>
      </c>
      <c r="I3460" s="22" t="n">
        <v>30000000</v>
      </c>
      <c r="J3460" s="21">
        <f>IF(OR(H3460="",H3460=25529689.5),"Yes","No")</f>
        <v/>
      </c>
      <c r="K3460" s="21">
        <f>IF(AND(D3460="USA",C3460&gt;=1980,J3460="No"),"Yes","No")</f>
        <v/>
      </c>
      <c r="L3460" s="26">
        <f>IF(J3460="Yes","",H3460-I3460)</f>
        <v/>
      </c>
      <c r="M3460" s="27">
        <f>IF(OR(J3460="Yes",I3460=0),"",H3460/I3460)</f>
        <v/>
      </c>
      <c r="N3460" s="21">
        <f>IF(J3460="Yes","",IF(H3460&gt;=I3460,1,0))</f>
        <v/>
      </c>
      <c r="O3460" s="21">
        <f>IF(I3460&lt;=5000000,"Under $5M",IF(I3460&lt;=20000000,"$5M-20M",IF(I3460&lt;=50000000,"$20M-50M",IF(I3460&lt;=100000000,"$50M-100M","$100M+"))))</f>
        <v/>
      </c>
      <c r="P3460" s="21">
        <f>IF(E3460&lt;=90,"90 or less",IF(E3460&lt;=105,"91-105",IF(E3460&lt;=120,"106-120",IF(E3460&lt;=140,"121-140","Over 140"))))</f>
        <v/>
      </c>
      <c r="Q3460" s="28">
        <f>INT(C3460/10)*10</f>
        <v/>
      </c>
    </row>
    <row r="3461">
      <c r="A3461" s="21" t="n">
        <v>3533</v>
      </c>
      <c r="B3461" s="21" t="inlineStr">
        <is>
          <t>Little Fockers</t>
        </is>
      </c>
      <c r="C3461" s="21" t="n">
        <v>2010</v>
      </c>
      <c r="D3461" s="21" t="inlineStr">
        <is>
          <t>USA</t>
        </is>
      </c>
      <c r="E3461" s="21" t="n">
        <v>98</v>
      </c>
      <c r="F3461" s="21" t="inlineStr">
        <is>
          <t>English</t>
        </is>
      </c>
      <c r="G3461" s="21" t="inlineStr">
        <is>
          <t>PG-13</t>
        </is>
      </c>
      <c r="H3461" s="22" t="n">
        <v>148383780</v>
      </c>
      <c r="I3461" s="22" t="n">
        <v>100000000</v>
      </c>
      <c r="J3461" s="21">
        <f>IF(OR(H3461="",H3461=25529689.5),"Yes","No")</f>
        <v/>
      </c>
      <c r="K3461" s="21">
        <f>IF(AND(D3461="USA",C3461&gt;=1980,J3461="No"),"Yes","No")</f>
        <v/>
      </c>
      <c r="L3461" s="26">
        <f>IF(J3461="Yes","",H3461-I3461)</f>
        <v/>
      </c>
      <c r="M3461" s="27">
        <f>IF(OR(J3461="Yes",I3461=0),"",H3461/I3461)</f>
        <v/>
      </c>
      <c r="N3461" s="21">
        <f>IF(J3461="Yes","",IF(H3461&gt;=I3461,1,0))</f>
        <v/>
      </c>
      <c r="O3461" s="21">
        <f>IF(I3461&lt;=5000000,"Under $5M",IF(I3461&lt;=20000000,"$5M-20M",IF(I3461&lt;=50000000,"$20M-50M",IF(I3461&lt;=100000000,"$50M-100M","$100M+"))))</f>
        <v/>
      </c>
      <c r="P3461" s="21">
        <f>IF(E3461&lt;=90,"90 or less",IF(E3461&lt;=105,"91-105",IF(E3461&lt;=120,"106-120",IF(E3461&lt;=140,"121-140","Over 140"))))</f>
        <v/>
      </c>
      <c r="Q3461" s="28">
        <f>INT(C3461/10)*10</f>
        <v/>
      </c>
    </row>
    <row r="3462">
      <c r="A3462" s="21" t="n">
        <v>3534</v>
      </c>
      <c r="B3462" s="21" t="inlineStr">
        <is>
          <t>Little White Lies</t>
        </is>
      </c>
      <c r="C3462" s="21" t="n">
        <v>2010</v>
      </c>
      <c r="D3462" s="21" t="inlineStr">
        <is>
          <t>France</t>
        </is>
      </c>
      <c r="E3462" s="21" t="n">
        <v>134</v>
      </c>
      <c r="F3462" s="21" t="inlineStr">
        <is>
          <t>French</t>
        </is>
      </c>
      <c r="G3462" s="21" t="inlineStr">
        <is>
          <t>Not Rated</t>
        </is>
      </c>
      <c r="H3462" s="22" t="n">
        <v>183662</v>
      </c>
      <c r="I3462" s="22" t="n">
        <v>25000000</v>
      </c>
      <c r="J3462" s="21">
        <f>IF(OR(H3462="",H3462=25529689.5),"Yes","No")</f>
        <v/>
      </c>
      <c r="K3462" s="21">
        <f>IF(AND(D3462="USA",C3462&gt;=1980,J3462="No"),"Yes","No")</f>
        <v/>
      </c>
      <c r="L3462" s="26">
        <f>IF(J3462="Yes","",H3462-I3462)</f>
        <v/>
      </c>
      <c r="M3462" s="27">
        <f>IF(OR(J3462="Yes",I3462=0),"",H3462/I3462)</f>
        <v/>
      </c>
      <c r="N3462" s="21">
        <f>IF(J3462="Yes","",IF(H3462&gt;=I3462,1,0))</f>
        <v/>
      </c>
      <c r="O3462" s="21">
        <f>IF(I3462&lt;=5000000,"Under $5M",IF(I3462&lt;=20000000,"$5M-20M",IF(I3462&lt;=50000000,"$20M-50M",IF(I3462&lt;=100000000,"$50M-100M","$100M+"))))</f>
        <v/>
      </c>
      <c r="P3462" s="21">
        <f>IF(E3462&lt;=90,"90 or less",IF(E3462&lt;=105,"91-105",IF(E3462&lt;=120,"106-120",IF(E3462&lt;=140,"121-140","Over 140"))))</f>
        <v/>
      </c>
      <c r="Q3462" s="28">
        <f>INT(C3462/10)*10</f>
        <v/>
      </c>
    </row>
    <row r="3463">
      <c r="A3463" s="21" t="n">
        <v>3535</v>
      </c>
      <c r="B3463" s="21" t="inlineStr">
        <is>
          <t>Loose Cannons</t>
        </is>
      </c>
      <c r="C3463" s="21" t="n">
        <v>2010</v>
      </c>
      <c r="D3463" s="21" t="inlineStr">
        <is>
          <t>Italy</t>
        </is>
      </c>
      <c r="E3463" s="21" t="n">
        <v>110</v>
      </c>
      <c r="F3463" s="21" t="inlineStr">
        <is>
          <t>Italian</t>
        </is>
      </c>
      <c r="G3463" s="21" t="n"/>
      <c r="H3463" s="22" t="n">
        <v>25529689.5</v>
      </c>
      <c r="I3463" s="22" t="n">
        <v>20000000</v>
      </c>
      <c r="J3463" s="21">
        <f>IF(OR(H3463="",H3463=25529689.5),"Yes","No")</f>
        <v/>
      </c>
      <c r="K3463" s="21">
        <f>IF(AND(D3463="USA",C3463&gt;=1980,J3463="No"),"Yes","No")</f>
        <v/>
      </c>
      <c r="L3463" s="26">
        <f>IF(J3463="Yes","",H3463-I3463)</f>
        <v/>
      </c>
      <c r="M3463" s="27">
        <f>IF(OR(J3463="Yes",I3463=0),"",H3463/I3463)</f>
        <v/>
      </c>
      <c r="N3463" s="21">
        <f>IF(J3463="Yes","",IF(H3463&gt;=I3463,1,0))</f>
        <v/>
      </c>
      <c r="O3463" s="21">
        <f>IF(I3463&lt;=5000000,"Under $5M",IF(I3463&lt;=20000000,"$5M-20M",IF(I3463&lt;=50000000,"$20M-50M",IF(I3463&lt;=100000000,"$50M-100M","$100M+"))))</f>
        <v/>
      </c>
      <c r="P3463" s="21">
        <f>IF(E3463&lt;=90,"90 or less",IF(E3463&lt;=105,"91-105",IF(E3463&lt;=120,"106-120",IF(E3463&lt;=140,"121-140","Over 140"))))</f>
        <v/>
      </c>
      <c r="Q3463" s="28">
        <f>INT(C3463/10)*10</f>
        <v/>
      </c>
    </row>
    <row r="3464">
      <c r="A3464" s="21" t="n">
        <v>3536</v>
      </c>
      <c r="B3464" s="21" t="inlineStr">
        <is>
          <t>Lottery Ticket</t>
        </is>
      </c>
      <c r="C3464" s="21" t="n">
        <v>2010</v>
      </c>
      <c r="D3464" s="21" t="inlineStr">
        <is>
          <t>USA</t>
        </is>
      </c>
      <c r="E3464" s="21" t="n">
        <v>99</v>
      </c>
      <c r="F3464" s="21" t="inlineStr">
        <is>
          <t>English</t>
        </is>
      </c>
      <c r="G3464" s="21" t="inlineStr">
        <is>
          <t>PG-13</t>
        </is>
      </c>
      <c r="H3464" s="22" t="n">
        <v>24708699</v>
      </c>
      <c r="I3464" s="22" t="n">
        <v>20000000</v>
      </c>
      <c r="J3464" s="21">
        <f>IF(OR(H3464="",H3464=25529689.5),"Yes","No")</f>
        <v/>
      </c>
      <c r="K3464" s="21">
        <f>IF(AND(D3464="USA",C3464&gt;=1980,J3464="No"),"Yes","No")</f>
        <v/>
      </c>
      <c r="L3464" s="26">
        <f>IF(J3464="Yes","",H3464-I3464)</f>
        <v/>
      </c>
      <c r="M3464" s="27">
        <f>IF(OR(J3464="Yes",I3464=0),"",H3464/I3464)</f>
        <v/>
      </c>
      <c r="N3464" s="21">
        <f>IF(J3464="Yes","",IF(H3464&gt;=I3464,1,0))</f>
        <v/>
      </c>
      <c r="O3464" s="21">
        <f>IF(I3464&lt;=5000000,"Under $5M",IF(I3464&lt;=20000000,"$5M-20M",IF(I3464&lt;=50000000,"$20M-50M",IF(I3464&lt;=100000000,"$50M-100M","$100M+"))))</f>
        <v/>
      </c>
      <c r="P3464" s="21">
        <f>IF(E3464&lt;=90,"90 or less",IF(E3464&lt;=105,"91-105",IF(E3464&lt;=120,"106-120",IF(E3464&lt;=140,"121-140","Over 140"))))</f>
        <v/>
      </c>
      <c r="Q3464" s="28">
        <f>INT(C3464/10)*10</f>
        <v/>
      </c>
    </row>
    <row r="3465">
      <c r="A3465" s="21" t="n">
        <v>3537</v>
      </c>
      <c r="B3465" s="21" t="inlineStr">
        <is>
          <t>Love &amp; Other Drugs</t>
        </is>
      </c>
      <c r="C3465" s="21" t="n">
        <v>2010</v>
      </c>
      <c r="D3465" s="21" t="inlineStr">
        <is>
          <t>USA</t>
        </is>
      </c>
      <c r="E3465" s="21" t="n">
        <v>112</v>
      </c>
      <c r="F3465" s="21" t="inlineStr">
        <is>
          <t>English</t>
        </is>
      </c>
      <c r="G3465" s="21" t="inlineStr">
        <is>
          <t>R</t>
        </is>
      </c>
      <c r="H3465" s="22" t="n">
        <v>32357532</v>
      </c>
      <c r="I3465" s="22" t="n">
        <v>30000000</v>
      </c>
      <c r="J3465" s="21">
        <f>IF(OR(H3465="",H3465=25529689.5),"Yes","No")</f>
        <v/>
      </c>
      <c r="K3465" s="21">
        <f>IF(AND(D3465="USA",C3465&gt;=1980,J3465="No"),"Yes","No")</f>
        <v/>
      </c>
      <c r="L3465" s="26">
        <f>IF(J3465="Yes","",H3465-I3465)</f>
        <v/>
      </c>
      <c r="M3465" s="27">
        <f>IF(OR(J3465="Yes",I3465=0),"",H3465/I3465)</f>
        <v/>
      </c>
      <c r="N3465" s="21">
        <f>IF(J3465="Yes","",IF(H3465&gt;=I3465,1,0))</f>
        <v/>
      </c>
      <c r="O3465" s="21">
        <f>IF(I3465&lt;=5000000,"Under $5M",IF(I3465&lt;=20000000,"$5M-20M",IF(I3465&lt;=50000000,"$20M-50M",IF(I3465&lt;=100000000,"$50M-100M","$100M+"))))</f>
        <v/>
      </c>
      <c r="P3465" s="21">
        <f>IF(E3465&lt;=90,"90 or less",IF(E3465&lt;=105,"91-105",IF(E3465&lt;=120,"106-120",IF(E3465&lt;=140,"121-140","Over 140"))))</f>
        <v/>
      </c>
      <c r="Q3465" s="28">
        <f>INT(C3465/10)*10</f>
        <v/>
      </c>
    </row>
    <row r="3466">
      <c r="A3466" s="21" t="n">
        <v>3538</v>
      </c>
      <c r="B3466" s="21" t="inlineStr">
        <is>
          <t>Love Ranch</t>
        </is>
      </c>
      <c r="C3466" s="21" t="n">
        <v>2010</v>
      </c>
      <c r="D3466" s="21" t="inlineStr">
        <is>
          <t>USA</t>
        </is>
      </c>
      <c r="E3466" s="21" t="n">
        <v>117</v>
      </c>
      <c r="F3466" s="21" t="inlineStr">
        <is>
          <t>English</t>
        </is>
      </c>
      <c r="G3466" s="21" t="inlineStr">
        <is>
          <t>R</t>
        </is>
      </c>
      <c r="H3466" s="22" t="n">
        <v>134904</v>
      </c>
      <c r="I3466" s="22" t="n">
        <v>25000000</v>
      </c>
      <c r="J3466" s="21">
        <f>IF(OR(H3466="",H3466=25529689.5),"Yes","No")</f>
        <v/>
      </c>
      <c r="K3466" s="21">
        <f>IF(AND(D3466="USA",C3466&gt;=1980,J3466="No"),"Yes","No")</f>
        <v/>
      </c>
      <c r="L3466" s="26">
        <f>IF(J3466="Yes","",H3466-I3466)</f>
        <v/>
      </c>
      <c r="M3466" s="27">
        <f>IF(OR(J3466="Yes",I3466=0),"",H3466/I3466)</f>
        <v/>
      </c>
      <c r="N3466" s="21">
        <f>IF(J3466="Yes","",IF(H3466&gt;=I3466,1,0))</f>
        <v/>
      </c>
      <c r="O3466" s="21">
        <f>IF(I3466&lt;=5000000,"Under $5M",IF(I3466&lt;=20000000,"$5M-20M",IF(I3466&lt;=50000000,"$20M-50M",IF(I3466&lt;=100000000,"$50M-100M","$100M+"))))</f>
        <v/>
      </c>
      <c r="P3466" s="21">
        <f>IF(E3466&lt;=90,"90 or less",IF(E3466&lt;=105,"91-105",IF(E3466&lt;=120,"106-120",IF(E3466&lt;=140,"121-140","Over 140"))))</f>
        <v/>
      </c>
      <c r="Q3466" s="28">
        <f>INT(C3466/10)*10</f>
        <v/>
      </c>
    </row>
    <row r="3467">
      <c r="A3467" s="21" t="n">
        <v>3539</v>
      </c>
      <c r="B3467" s="21" t="inlineStr">
        <is>
          <t>MacGruber</t>
        </is>
      </c>
      <c r="C3467" s="21" t="n">
        <v>2010</v>
      </c>
      <c r="D3467" s="21" t="inlineStr">
        <is>
          <t>USA</t>
        </is>
      </c>
      <c r="E3467" s="21" t="n">
        <v>95</v>
      </c>
      <c r="F3467" s="21" t="inlineStr">
        <is>
          <t>English</t>
        </is>
      </c>
      <c r="G3467" s="21" t="inlineStr">
        <is>
          <t>R</t>
        </is>
      </c>
      <c r="H3467" s="22" t="n">
        <v>8460995</v>
      </c>
      <c r="I3467" s="22" t="n">
        <v>10000000</v>
      </c>
      <c r="J3467" s="21">
        <f>IF(OR(H3467="",H3467=25529689.5),"Yes","No")</f>
        <v/>
      </c>
      <c r="K3467" s="21">
        <f>IF(AND(D3467="USA",C3467&gt;=1980,J3467="No"),"Yes","No")</f>
        <v/>
      </c>
      <c r="L3467" s="26">
        <f>IF(J3467="Yes","",H3467-I3467)</f>
        <v/>
      </c>
      <c r="M3467" s="27">
        <f>IF(OR(J3467="Yes",I3467=0),"",H3467/I3467)</f>
        <v/>
      </c>
      <c r="N3467" s="21">
        <f>IF(J3467="Yes","",IF(H3467&gt;=I3467,1,0))</f>
        <v/>
      </c>
      <c r="O3467" s="21">
        <f>IF(I3467&lt;=5000000,"Under $5M",IF(I3467&lt;=20000000,"$5M-20M",IF(I3467&lt;=50000000,"$20M-50M",IF(I3467&lt;=100000000,"$50M-100M","$100M+"))))</f>
        <v/>
      </c>
      <c r="P3467" s="21">
        <f>IF(E3467&lt;=90,"90 or less",IF(E3467&lt;=105,"91-105",IF(E3467&lt;=120,"106-120",IF(E3467&lt;=140,"121-140","Over 140"))))</f>
        <v/>
      </c>
      <c r="Q3467" s="28">
        <f>INT(C3467/10)*10</f>
        <v/>
      </c>
    </row>
    <row r="3468">
      <c r="A3468" s="21" t="n">
        <v>3540</v>
      </c>
      <c r="B3468" s="21" t="inlineStr">
        <is>
          <t>Machete</t>
        </is>
      </c>
      <c r="C3468" s="21" t="n">
        <v>2010</v>
      </c>
      <c r="D3468" s="21" t="inlineStr">
        <is>
          <t>USA</t>
        </is>
      </c>
      <c r="E3468" s="21" t="n">
        <v>105</v>
      </c>
      <c r="F3468" s="21" t="inlineStr">
        <is>
          <t>English</t>
        </is>
      </c>
      <c r="G3468" s="21" t="inlineStr">
        <is>
          <t>R</t>
        </is>
      </c>
      <c r="H3468" s="22" t="n">
        <v>26589953</v>
      </c>
      <c r="I3468" s="22" t="n">
        <v>10500000</v>
      </c>
      <c r="J3468" s="21">
        <f>IF(OR(H3468="",H3468=25529689.5),"Yes","No")</f>
        <v/>
      </c>
      <c r="K3468" s="21">
        <f>IF(AND(D3468="USA",C3468&gt;=1980,J3468="No"),"Yes","No")</f>
        <v/>
      </c>
      <c r="L3468" s="26">
        <f>IF(J3468="Yes","",H3468-I3468)</f>
        <v/>
      </c>
      <c r="M3468" s="27">
        <f>IF(OR(J3468="Yes",I3468=0),"",H3468/I3468)</f>
        <v/>
      </c>
      <c r="N3468" s="21">
        <f>IF(J3468="Yes","",IF(H3468&gt;=I3468,1,0))</f>
        <v/>
      </c>
      <c r="O3468" s="21">
        <f>IF(I3468&lt;=5000000,"Under $5M",IF(I3468&lt;=20000000,"$5M-20M",IF(I3468&lt;=50000000,"$20M-50M",IF(I3468&lt;=100000000,"$50M-100M","$100M+"))))</f>
        <v/>
      </c>
      <c r="P3468" s="21">
        <f>IF(E3468&lt;=90,"90 or less",IF(E3468&lt;=105,"91-105",IF(E3468&lt;=120,"106-120",IF(E3468&lt;=140,"121-140","Over 140"))))</f>
        <v/>
      </c>
      <c r="Q3468" s="28">
        <f>INT(C3468/10)*10</f>
        <v/>
      </c>
    </row>
    <row r="3469">
      <c r="A3469" s="21" t="n">
        <v>3541</v>
      </c>
      <c r="B3469" s="21" t="inlineStr">
        <is>
          <t>Made in Dagenham</t>
        </is>
      </c>
      <c r="C3469" s="21" t="n">
        <v>2010</v>
      </c>
      <c r="D3469" s="21" t="inlineStr">
        <is>
          <t>UK</t>
        </is>
      </c>
      <c r="E3469" s="21" t="n">
        <v>113</v>
      </c>
      <c r="F3469" s="21" t="inlineStr">
        <is>
          <t>English</t>
        </is>
      </c>
      <c r="G3469" s="21" t="inlineStr">
        <is>
          <t>R</t>
        </is>
      </c>
      <c r="H3469" s="22" t="n">
        <v>1094798</v>
      </c>
      <c r="I3469" s="22" t="n">
        <v>7200000</v>
      </c>
      <c r="J3469" s="21">
        <f>IF(OR(H3469="",H3469=25529689.5),"Yes","No")</f>
        <v/>
      </c>
      <c r="K3469" s="21">
        <f>IF(AND(D3469="USA",C3469&gt;=1980,J3469="No"),"Yes","No")</f>
        <v/>
      </c>
      <c r="L3469" s="26">
        <f>IF(J3469="Yes","",H3469-I3469)</f>
        <v/>
      </c>
      <c r="M3469" s="27">
        <f>IF(OR(J3469="Yes",I3469=0),"",H3469/I3469)</f>
        <v/>
      </c>
      <c r="N3469" s="21">
        <f>IF(J3469="Yes","",IF(H3469&gt;=I3469,1,0))</f>
        <v/>
      </c>
      <c r="O3469" s="21">
        <f>IF(I3469&lt;=5000000,"Under $5M",IF(I3469&lt;=20000000,"$5M-20M",IF(I3469&lt;=50000000,"$20M-50M",IF(I3469&lt;=100000000,"$50M-100M","$100M+"))))</f>
        <v/>
      </c>
      <c r="P3469" s="21">
        <f>IF(E3469&lt;=90,"90 or less",IF(E3469&lt;=105,"91-105",IF(E3469&lt;=120,"106-120",IF(E3469&lt;=140,"121-140","Over 140"))))</f>
        <v/>
      </c>
      <c r="Q3469" s="28">
        <f>INT(C3469/10)*10</f>
        <v/>
      </c>
    </row>
    <row r="3470">
      <c r="A3470" s="21" t="n">
        <v>3542</v>
      </c>
      <c r="B3470" s="21" t="inlineStr">
        <is>
          <t>Marmaduke</t>
        </is>
      </c>
      <c r="C3470" s="21" t="n">
        <v>2010</v>
      </c>
      <c r="D3470" s="21" t="inlineStr">
        <is>
          <t>USA</t>
        </is>
      </c>
      <c r="E3470" s="21" t="n">
        <v>87</v>
      </c>
      <c r="F3470" s="21" t="inlineStr">
        <is>
          <t>English</t>
        </is>
      </c>
      <c r="G3470" s="21" t="inlineStr">
        <is>
          <t>PG</t>
        </is>
      </c>
      <c r="H3470" s="22" t="n">
        <v>33643461</v>
      </c>
      <c r="I3470" s="22" t="n">
        <v>50000000</v>
      </c>
      <c r="J3470" s="21">
        <f>IF(OR(H3470="",H3470=25529689.5),"Yes","No")</f>
        <v/>
      </c>
      <c r="K3470" s="21">
        <f>IF(AND(D3470="USA",C3470&gt;=1980,J3470="No"),"Yes","No")</f>
        <v/>
      </c>
      <c r="L3470" s="26">
        <f>IF(J3470="Yes","",H3470-I3470)</f>
        <v/>
      </c>
      <c r="M3470" s="27">
        <f>IF(OR(J3470="Yes",I3470=0),"",H3470/I3470)</f>
        <v/>
      </c>
      <c r="N3470" s="21">
        <f>IF(J3470="Yes","",IF(H3470&gt;=I3470,1,0))</f>
        <v/>
      </c>
      <c r="O3470" s="21">
        <f>IF(I3470&lt;=5000000,"Under $5M",IF(I3470&lt;=20000000,"$5M-20M",IF(I3470&lt;=50000000,"$20M-50M",IF(I3470&lt;=100000000,"$50M-100M","$100M+"))))</f>
        <v/>
      </c>
      <c r="P3470" s="21">
        <f>IF(E3470&lt;=90,"90 or less",IF(E3470&lt;=105,"91-105",IF(E3470&lt;=120,"106-120",IF(E3470&lt;=140,"121-140","Over 140"))))</f>
        <v/>
      </c>
      <c r="Q3470" s="28">
        <f>INT(C3470/10)*10</f>
        <v/>
      </c>
    </row>
    <row r="3471">
      <c r="A3471" s="21" t="n">
        <v>3543</v>
      </c>
      <c r="B3471" s="21" t="inlineStr">
        <is>
          <t>Meek's Cutoff</t>
        </is>
      </c>
      <c r="C3471" s="21" t="n">
        <v>2010</v>
      </c>
      <c r="D3471" s="21" t="inlineStr">
        <is>
          <t>USA</t>
        </is>
      </c>
      <c r="E3471" s="21" t="n">
        <v>104</v>
      </c>
      <c r="F3471" s="21" t="inlineStr">
        <is>
          <t>English</t>
        </is>
      </c>
      <c r="G3471" s="21" t="inlineStr">
        <is>
          <t>PG</t>
        </is>
      </c>
      <c r="H3471" s="22" t="n">
        <v>977600</v>
      </c>
      <c r="I3471" s="22" t="n">
        <v>20000000</v>
      </c>
      <c r="J3471" s="21">
        <f>IF(OR(H3471="",H3471=25529689.5),"Yes","No")</f>
        <v/>
      </c>
      <c r="K3471" s="21">
        <f>IF(AND(D3471="USA",C3471&gt;=1980,J3471="No"),"Yes","No")</f>
        <v/>
      </c>
      <c r="L3471" s="26">
        <f>IF(J3471="Yes","",H3471-I3471)</f>
        <v/>
      </c>
      <c r="M3471" s="27">
        <f>IF(OR(J3471="Yes",I3471=0),"",H3471/I3471)</f>
        <v/>
      </c>
      <c r="N3471" s="21">
        <f>IF(J3471="Yes","",IF(H3471&gt;=I3471,1,0))</f>
        <v/>
      </c>
      <c r="O3471" s="21">
        <f>IF(I3471&lt;=5000000,"Under $5M",IF(I3471&lt;=20000000,"$5M-20M",IF(I3471&lt;=50000000,"$20M-50M",IF(I3471&lt;=100000000,"$50M-100M","$100M+"))))</f>
        <v/>
      </c>
      <c r="P3471" s="21">
        <f>IF(E3471&lt;=90,"90 or less",IF(E3471&lt;=105,"91-105",IF(E3471&lt;=120,"106-120",IF(E3471&lt;=140,"121-140","Over 140"))))</f>
        <v/>
      </c>
      <c r="Q3471" s="28">
        <f>INT(C3471/10)*10</f>
        <v/>
      </c>
    </row>
    <row r="3472">
      <c r="A3472" s="21" t="n">
        <v>3544</v>
      </c>
      <c r="B3472" s="21" t="inlineStr">
        <is>
          <t>Megamind</t>
        </is>
      </c>
      <c r="C3472" s="21" t="n">
        <v>2010</v>
      </c>
      <c r="D3472" s="21" t="inlineStr">
        <is>
          <t>USA</t>
        </is>
      </c>
      <c r="E3472" s="21" t="n">
        <v>95</v>
      </c>
      <c r="F3472" s="21" t="inlineStr">
        <is>
          <t>English</t>
        </is>
      </c>
      <c r="G3472" s="21" t="inlineStr">
        <is>
          <t>PG</t>
        </is>
      </c>
      <c r="H3472" s="22" t="n">
        <v>148337537</v>
      </c>
      <c r="I3472" s="22" t="n">
        <v>130000000</v>
      </c>
      <c r="J3472" s="21">
        <f>IF(OR(H3472="",H3472=25529689.5),"Yes","No")</f>
        <v/>
      </c>
      <c r="K3472" s="21">
        <f>IF(AND(D3472="USA",C3472&gt;=1980,J3472="No"),"Yes","No")</f>
        <v/>
      </c>
      <c r="L3472" s="26">
        <f>IF(J3472="Yes","",H3472-I3472)</f>
        <v/>
      </c>
      <c r="M3472" s="27">
        <f>IF(OR(J3472="Yes",I3472=0),"",H3472/I3472)</f>
        <v/>
      </c>
      <c r="N3472" s="21">
        <f>IF(J3472="Yes","",IF(H3472&gt;=I3472,1,0))</f>
        <v/>
      </c>
      <c r="O3472" s="21">
        <f>IF(I3472&lt;=5000000,"Under $5M",IF(I3472&lt;=20000000,"$5M-20M",IF(I3472&lt;=50000000,"$20M-50M",IF(I3472&lt;=100000000,"$50M-100M","$100M+"))))</f>
        <v/>
      </c>
      <c r="P3472" s="21">
        <f>IF(E3472&lt;=90,"90 or less",IF(E3472&lt;=105,"91-105",IF(E3472&lt;=120,"106-120",IF(E3472&lt;=140,"121-140","Over 140"))))</f>
        <v/>
      </c>
      <c r="Q3472" s="28">
        <f>INT(C3472/10)*10</f>
        <v/>
      </c>
    </row>
    <row r="3473">
      <c r="A3473" s="21" t="n">
        <v>3545</v>
      </c>
      <c r="B3473" s="21" t="inlineStr">
        <is>
          <t>Monsters</t>
        </is>
      </c>
      <c r="C3473" s="21" t="n">
        <v>2010</v>
      </c>
      <c r="D3473" s="21" t="inlineStr">
        <is>
          <t>UK</t>
        </is>
      </c>
      <c r="E3473" s="21" t="n">
        <v>94</v>
      </c>
      <c r="F3473" s="21" t="inlineStr">
        <is>
          <t>English</t>
        </is>
      </c>
      <c r="G3473" s="21" t="inlineStr">
        <is>
          <t>R</t>
        </is>
      </c>
      <c r="H3473" s="22" t="n">
        <v>237301</v>
      </c>
      <c r="I3473" s="22" t="n">
        <v>500000</v>
      </c>
      <c r="J3473" s="21">
        <f>IF(OR(H3473="",H3473=25529689.5),"Yes","No")</f>
        <v/>
      </c>
      <c r="K3473" s="21">
        <f>IF(AND(D3473="USA",C3473&gt;=1980,J3473="No"),"Yes","No")</f>
        <v/>
      </c>
      <c r="L3473" s="26">
        <f>IF(J3473="Yes","",H3473-I3473)</f>
        <v/>
      </c>
      <c r="M3473" s="27">
        <f>IF(OR(J3473="Yes",I3473=0),"",H3473/I3473)</f>
        <v/>
      </c>
      <c r="N3473" s="21">
        <f>IF(J3473="Yes","",IF(H3473&gt;=I3473,1,0))</f>
        <v/>
      </c>
      <c r="O3473" s="21">
        <f>IF(I3473&lt;=5000000,"Under $5M",IF(I3473&lt;=20000000,"$5M-20M",IF(I3473&lt;=50000000,"$20M-50M",IF(I3473&lt;=100000000,"$50M-100M","$100M+"))))</f>
        <v/>
      </c>
      <c r="P3473" s="21">
        <f>IF(E3473&lt;=90,"90 or less",IF(E3473&lt;=105,"91-105",IF(E3473&lt;=120,"106-120",IF(E3473&lt;=140,"121-140","Over 140"))))</f>
        <v/>
      </c>
      <c r="Q3473" s="28">
        <f>INT(C3473/10)*10</f>
        <v/>
      </c>
    </row>
    <row r="3474">
      <c r="A3474" s="21" t="n">
        <v>3546</v>
      </c>
      <c r="B3474" s="21" t="inlineStr">
        <is>
          <t>Mooz-Lum</t>
        </is>
      </c>
      <c r="C3474" s="21" t="n">
        <v>2010</v>
      </c>
      <c r="D3474" s="21" t="inlineStr">
        <is>
          <t>USA</t>
        </is>
      </c>
      <c r="E3474" s="21" t="n">
        <v>94</v>
      </c>
      <c r="F3474" s="21" t="inlineStr">
        <is>
          <t>English</t>
        </is>
      </c>
      <c r="G3474" s="21" t="inlineStr">
        <is>
          <t>PG-13</t>
        </is>
      </c>
      <c r="H3474" s="22" t="n">
        <v>25529689.5</v>
      </c>
      <c r="I3474" s="22" t="n">
        <v>20000000</v>
      </c>
      <c r="J3474" s="21">
        <f>IF(OR(H3474="",H3474=25529689.5),"Yes","No")</f>
        <v/>
      </c>
      <c r="K3474" s="21">
        <f>IF(AND(D3474="USA",C3474&gt;=1980,J3474="No"),"Yes","No")</f>
        <v/>
      </c>
      <c r="L3474" s="26">
        <f>IF(J3474="Yes","",H3474-I3474)</f>
        <v/>
      </c>
      <c r="M3474" s="27">
        <f>IF(OR(J3474="Yes",I3474=0),"",H3474/I3474)</f>
        <v/>
      </c>
      <c r="N3474" s="21">
        <f>IF(J3474="Yes","",IF(H3474&gt;=I3474,1,0))</f>
        <v/>
      </c>
      <c r="O3474" s="21">
        <f>IF(I3474&lt;=5000000,"Under $5M",IF(I3474&lt;=20000000,"$5M-20M",IF(I3474&lt;=50000000,"$20M-50M",IF(I3474&lt;=100000000,"$50M-100M","$100M+"))))</f>
        <v/>
      </c>
      <c r="P3474" s="21">
        <f>IF(E3474&lt;=90,"90 or less",IF(E3474&lt;=105,"91-105",IF(E3474&lt;=120,"106-120",IF(E3474&lt;=140,"121-140","Over 140"))))</f>
        <v/>
      </c>
      <c r="Q3474" s="28">
        <f>INT(C3474/10)*10</f>
        <v/>
      </c>
    </row>
    <row r="3475">
      <c r="A3475" s="21" t="n">
        <v>3547</v>
      </c>
      <c r="B3475" s="21" t="inlineStr">
        <is>
          <t>Morning Glory</t>
        </is>
      </c>
      <c r="C3475" s="21" t="n">
        <v>2010</v>
      </c>
      <c r="D3475" s="21" t="inlineStr">
        <is>
          <t>USA</t>
        </is>
      </c>
      <c r="E3475" s="21" t="n">
        <v>107</v>
      </c>
      <c r="F3475" s="21" t="inlineStr">
        <is>
          <t>English</t>
        </is>
      </c>
      <c r="G3475" s="21" t="inlineStr">
        <is>
          <t>PG-13</t>
        </is>
      </c>
      <c r="H3475" s="22" t="n">
        <v>30993544</v>
      </c>
      <c r="I3475" s="22" t="n">
        <v>40000000</v>
      </c>
      <c r="J3475" s="21">
        <f>IF(OR(H3475="",H3475=25529689.5),"Yes","No")</f>
        <v/>
      </c>
      <c r="K3475" s="21">
        <f>IF(AND(D3475="USA",C3475&gt;=1980,J3475="No"),"Yes","No")</f>
        <v/>
      </c>
      <c r="L3475" s="26">
        <f>IF(J3475="Yes","",H3475-I3475)</f>
        <v/>
      </c>
      <c r="M3475" s="27">
        <f>IF(OR(J3475="Yes",I3475=0),"",H3475/I3475)</f>
        <v/>
      </c>
      <c r="N3475" s="21">
        <f>IF(J3475="Yes","",IF(H3475&gt;=I3475,1,0))</f>
        <v/>
      </c>
      <c r="O3475" s="21">
        <f>IF(I3475&lt;=5000000,"Under $5M",IF(I3475&lt;=20000000,"$5M-20M",IF(I3475&lt;=50000000,"$20M-50M",IF(I3475&lt;=100000000,"$50M-100M","$100M+"))))</f>
        <v/>
      </c>
      <c r="P3475" s="21">
        <f>IF(E3475&lt;=90,"90 or less",IF(E3475&lt;=105,"91-105",IF(E3475&lt;=120,"106-120",IF(E3475&lt;=140,"121-140","Over 140"))))</f>
        <v/>
      </c>
      <c r="Q3475" s="28">
        <f>INT(C3475/10)*10</f>
        <v/>
      </c>
    </row>
    <row r="3476">
      <c r="A3476" s="21" t="n">
        <v>3548</v>
      </c>
      <c r="B3476" s="21" t="inlineStr">
        <is>
          <t>Mozart's Sister</t>
        </is>
      </c>
      <c r="C3476" s="21" t="n">
        <v>2010</v>
      </c>
      <c r="D3476" s="21" t="inlineStr">
        <is>
          <t>France</t>
        </is>
      </c>
      <c r="E3476" s="21" t="n">
        <v>120</v>
      </c>
      <c r="F3476" s="21" t="inlineStr">
        <is>
          <t>French</t>
        </is>
      </c>
      <c r="G3476" s="21" t="n"/>
      <c r="H3476" s="22" t="n">
        <v>706622</v>
      </c>
      <c r="I3476" s="22" t="n">
        <v>20000000</v>
      </c>
      <c r="J3476" s="21">
        <f>IF(OR(H3476="",H3476=25529689.5),"Yes","No")</f>
        <v/>
      </c>
      <c r="K3476" s="21">
        <f>IF(AND(D3476="USA",C3476&gt;=1980,J3476="No"),"Yes","No")</f>
        <v/>
      </c>
      <c r="L3476" s="26">
        <f>IF(J3476="Yes","",H3476-I3476)</f>
        <v/>
      </c>
      <c r="M3476" s="27">
        <f>IF(OR(J3476="Yes",I3476=0),"",H3476/I3476)</f>
        <v/>
      </c>
      <c r="N3476" s="21">
        <f>IF(J3476="Yes","",IF(H3476&gt;=I3476,1,0))</f>
        <v/>
      </c>
      <c r="O3476" s="21">
        <f>IF(I3476&lt;=5000000,"Under $5M",IF(I3476&lt;=20000000,"$5M-20M",IF(I3476&lt;=50000000,"$20M-50M",IF(I3476&lt;=100000000,"$50M-100M","$100M+"))))</f>
        <v/>
      </c>
      <c r="P3476" s="21">
        <f>IF(E3476&lt;=90,"90 or less",IF(E3476&lt;=105,"91-105",IF(E3476&lt;=120,"106-120",IF(E3476&lt;=140,"121-140","Over 140"))))</f>
        <v/>
      </c>
      <c r="Q3476" s="28">
        <f>INT(C3476/10)*10</f>
        <v/>
      </c>
    </row>
    <row r="3477">
      <c r="A3477" s="21" t="n">
        <v>3549</v>
      </c>
      <c r="B3477" s="21" t="inlineStr">
        <is>
          <t>My Name Is Khan</t>
        </is>
      </c>
      <c r="C3477" s="21" t="n">
        <v>2010</v>
      </c>
      <c r="D3477" s="21" t="inlineStr">
        <is>
          <t>India</t>
        </is>
      </c>
      <c r="E3477" s="21" t="n">
        <v>128</v>
      </c>
      <c r="F3477" s="21" t="inlineStr">
        <is>
          <t>Hindi</t>
        </is>
      </c>
      <c r="G3477" s="21" t="inlineStr">
        <is>
          <t>PG-13</t>
        </is>
      </c>
      <c r="H3477" s="22" t="n">
        <v>4018695</v>
      </c>
      <c r="I3477" s="22" t="n">
        <v>12000000</v>
      </c>
      <c r="J3477" s="21">
        <f>IF(OR(H3477="",H3477=25529689.5),"Yes","No")</f>
        <v/>
      </c>
      <c r="K3477" s="21">
        <f>IF(AND(D3477="USA",C3477&gt;=1980,J3477="No"),"Yes","No")</f>
        <v/>
      </c>
      <c r="L3477" s="26">
        <f>IF(J3477="Yes","",H3477-I3477)</f>
        <v/>
      </c>
      <c r="M3477" s="27">
        <f>IF(OR(J3477="Yes",I3477=0),"",H3477/I3477)</f>
        <v/>
      </c>
      <c r="N3477" s="21">
        <f>IF(J3477="Yes","",IF(H3477&gt;=I3477,1,0))</f>
        <v/>
      </c>
      <c r="O3477" s="21">
        <f>IF(I3477&lt;=5000000,"Under $5M",IF(I3477&lt;=20000000,"$5M-20M",IF(I3477&lt;=50000000,"$20M-50M",IF(I3477&lt;=100000000,"$50M-100M","$100M+"))))</f>
        <v/>
      </c>
      <c r="P3477" s="21">
        <f>IF(E3477&lt;=90,"90 or less",IF(E3477&lt;=105,"91-105",IF(E3477&lt;=120,"106-120",IF(E3477&lt;=140,"121-140","Over 140"))))</f>
        <v/>
      </c>
      <c r="Q3477" s="28">
        <f>INT(C3477/10)*10</f>
        <v/>
      </c>
    </row>
    <row r="3478">
      <c r="A3478" s="21" t="n">
        <v>3550</v>
      </c>
      <c r="B3478" s="21" t="inlineStr">
        <is>
          <t>My Soul to Take</t>
        </is>
      </c>
      <c r="C3478" s="21" t="n">
        <v>2010</v>
      </c>
      <c r="D3478" s="21" t="inlineStr">
        <is>
          <t>USA</t>
        </is>
      </c>
      <c r="E3478" s="21" t="n">
        <v>107</v>
      </c>
      <c r="F3478" s="21" t="inlineStr">
        <is>
          <t>English</t>
        </is>
      </c>
      <c r="G3478" s="21" t="inlineStr">
        <is>
          <t>R</t>
        </is>
      </c>
      <c r="H3478" s="22" t="n">
        <v>14637490</v>
      </c>
      <c r="I3478" s="22" t="n">
        <v>25000000</v>
      </c>
      <c r="J3478" s="21">
        <f>IF(OR(H3478="",H3478=25529689.5),"Yes","No")</f>
        <v/>
      </c>
      <c r="K3478" s="21">
        <f>IF(AND(D3478="USA",C3478&gt;=1980,J3478="No"),"Yes","No")</f>
        <v/>
      </c>
      <c r="L3478" s="26">
        <f>IF(J3478="Yes","",H3478-I3478)</f>
        <v/>
      </c>
      <c r="M3478" s="27">
        <f>IF(OR(J3478="Yes",I3478=0),"",H3478/I3478)</f>
        <v/>
      </c>
      <c r="N3478" s="21">
        <f>IF(J3478="Yes","",IF(H3478&gt;=I3478,1,0))</f>
        <v/>
      </c>
      <c r="O3478" s="21">
        <f>IF(I3478&lt;=5000000,"Under $5M",IF(I3478&lt;=20000000,"$5M-20M",IF(I3478&lt;=50000000,"$20M-50M",IF(I3478&lt;=100000000,"$50M-100M","$100M+"))))</f>
        <v/>
      </c>
      <c r="P3478" s="21">
        <f>IF(E3478&lt;=90,"90 or less",IF(E3478&lt;=105,"91-105",IF(E3478&lt;=120,"106-120",IF(E3478&lt;=140,"121-140","Over 140"))))</f>
        <v/>
      </c>
      <c r="Q3478" s="28">
        <f>INT(C3478/10)*10</f>
        <v/>
      </c>
    </row>
    <row r="3479">
      <c r="A3479" s="21" t="n">
        <v>3552</v>
      </c>
      <c r="B3479" s="21" t="inlineStr">
        <is>
          <t>N-Secure</t>
        </is>
      </c>
      <c r="C3479" s="21" t="n">
        <v>2010</v>
      </c>
      <c r="D3479" s="21" t="inlineStr">
        <is>
          <t>USA</t>
        </is>
      </c>
      <c r="E3479" s="21" t="n">
        <v>104</v>
      </c>
      <c r="F3479" s="21" t="inlineStr">
        <is>
          <t>English</t>
        </is>
      </c>
      <c r="G3479" s="21" t="inlineStr">
        <is>
          <t>R</t>
        </is>
      </c>
      <c r="H3479" s="22" t="n">
        <v>2592808</v>
      </c>
      <c r="I3479" s="22" t="n">
        <v>20000000</v>
      </c>
      <c r="J3479" s="21">
        <f>IF(OR(H3479="",H3479=25529689.5),"Yes","No")</f>
        <v/>
      </c>
      <c r="K3479" s="21">
        <f>IF(AND(D3479="USA",C3479&gt;=1980,J3479="No"),"Yes","No")</f>
        <v/>
      </c>
      <c r="L3479" s="26">
        <f>IF(J3479="Yes","",H3479-I3479)</f>
        <v/>
      </c>
      <c r="M3479" s="27">
        <f>IF(OR(J3479="Yes",I3479=0),"",H3479/I3479)</f>
        <v/>
      </c>
      <c r="N3479" s="21">
        <f>IF(J3479="Yes","",IF(H3479&gt;=I3479,1,0))</f>
        <v/>
      </c>
      <c r="O3479" s="21">
        <f>IF(I3479&lt;=5000000,"Under $5M",IF(I3479&lt;=20000000,"$5M-20M",IF(I3479&lt;=50000000,"$20M-50M",IF(I3479&lt;=100000000,"$50M-100M","$100M+"))))</f>
        <v/>
      </c>
      <c r="P3479" s="21">
        <f>IF(E3479&lt;=90,"90 or less",IF(E3479&lt;=105,"91-105",IF(E3479&lt;=120,"106-120",IF(E3479&lt;=140,"121-140","Over 140"))))</f>
        <v/>
      </c>
      <c r="Q3479" s="28">
        <f>INT(C3479/10)*10</f>
        <v/>
      </c>
    </row>
    <row r="3480">
      <c r="A3480" s="21" t="n">
        <v>3553</v>
      </c>
      <c r="B3480" s="21" t="inlineStr">
        <is>
          <t>Nanny McPhee Returns</t>
        </is>
      </c>
      <c r="C3480" s="21" t="n">
        <v>2010</v>
      </c>
      <c r="D3480" s="21" t="inlineStr">
        <is>
          <t>UK</t>
        </is>
      </c>
      <c r="E3480" s="21" t="n">
        <v>109</v>
      </c>
      <c r="F3480" s="21" t="inlineStr">
        <is>
          <t>English</t>
        </is>
      </c>
      <c r="G3480" s="21" t="inlineStr">
        <is>
          <t>PG</t>
        </is>
      </c>
      <c r="H3480" s="22" t="n">
        <v>28995450</v>
      </c>
      <c r="I3480" s="22" t="n">
        <v>35000000</v>
      </c>
      <c r="J3480" s="21">
        <f>IF(OR(H3480="",H3480=25529689.5),"Yes","No")</f>
        <v/>
      </c>
      <c r="K3480" s="21">
        <f>IF(AND(D3480="USA",C3480&gt;=1980,J3480="No"),"Yes","No")</f>
        <v/>
      </c>
      <c r="L3480" s="26">
        <f>IF(J3480="Yes","",H3480-I3480)</f>
        <v/>
      </c>
      <c r="M3480" s="27">
        <f>IF(OR(J3480="Yes",I3480=0),"",H3480/I3480)</f>
        <v/>
      </c>
      <c r="N3480" s="21">
        <f>IF(J3480="Yes","",IF(H3480&gt;=I3480,1,0))</f>
        <v/>
      </c>
      <c r="O3480" s="21">
        <f>IF(I3480&lt;=5000000,"Under $5M",IF(I3480&lt;=20000000,"$5M-20M",IF(I3480&lt;=50000000,"$20M-50M",IF(I3480&lt;=100000000,"$50M-100M","$100M+"))))</f>
        <v/>
      </c>
      <c r="P3480" s="21">
        <f>IF(E3480&lt;=90,"90 or less",IF(E3480&lt;=105,"91-105",IF(E3480&lt;=120,"106-120",IF(E3480&lt;=140,"121-140","Over 140"))))</f>
        <v/>
      </c>
      <c r="Q3480" s="28">
        <f>INT(C3480/10)*10</f>
        <v/>
      </c>
    </row>
    <row r="3481">
      <c r="A3481" s="21" t="n">
        <v>3554</v>
      </c>
      <c r="B3481" s="21" t="inlineStr">
        <is>
          <t>Never Let Me Go</t>
        </is>
      </c>
      <c r="C3481" s="21" t="n">
        <v>2010</v>
      </c>
      <c r="D3481" s="21" t="inlineStr">
        <is>
          <t>UK</t>
        </is>
      </c>
      <c r="E3481" s="21" t="n">
        <v>103</v>
      </c>
      <c r="F3481" s="21" t="inlineStr">
        <is>
          <t>English</t>
        </is>
      </c>
      <c r="G3481" s="21" t="inlineStr">
        <is>
          <t>R</t>
        </is>
      </c>
      <c r="H3481" s="22" t="n">
        <v>2412045</v>
      </c>
      <c r="I3481" s="22" t="n">
        <v>15000000</v>
      </c>
      <c r="J3481" s="21">
        <f>IF(OR(H3481="",H3481=25529689.5),"Yes","No")</f>
        <v/>
      </c>
      <c r="K3481" s="21">
        <f>IF(AND(D3481="USA",C3481&gt;=1980,J3481="No"),"Yes","No")</f>
        <v/>
      </c>
      <c r="L3481" s="26">
        <f>IF(J3481="Yes","",H3481-I3481)</f>
        <v/>
      </c>
      <c r="M3481" s="27">
        <f>IF(OR(J3481="Yes",I3481=0),"",H3481/I3481)</f>
        <v/>
      </c>
      <c r="N3481" s="21">
        <f>IF(J3481="Yes","",IF(H3481&gt;=I3481,1,0))</f>
        <v/>
      </c>
      <c r="O3481" s="21">
        <f>IF(I3481&lt;=5000000,"Under $5M",IF(I3481&lt;=20000000,"$5M-20M",IF(I3481&lt;=50000000,"$20M-50M",IF(I3481&lt;=100000000,"$50M-100M","$100M+"))))</f>
        <v/>
      </c>
      <c r="P3481" s="21">
        <f>IF(E3481&lt;=90,"90 or less",IF(E3481&lt;=105,"91-105",IF(E3481&lt;=120,"106-120",IF(E3481&lt;=140,"121-140","Over 140"))))</f>
        <v/>
      </c>
      <c r="Q3481" s="28">
        <f>INT(C3481/10)*10</f>
        <v/>
      </c>
    </row>
    <row r="3482">
      <c r="A3482" s="21" t="n">
        <v>3555</v>
      </c>
      <c r="B3482" s="21" t="inlineStr">
        <is>
          <t>Nine Dead</t>
        </is>
      </c>
      <c r="C3482" s="21" t="n">
        <v>2010</v>
      </c>
      <c r="D3482" s="21" t="inlineStr">
        <is>
          <t>USA</t>
        </is>
      </c>
      <c r="E3482" s="21" t="n">
        <v>83</v>
      </c>
      <c r="F3482" s="21" t="inlineStr">
        <is>
          <t>English</t>
        </is>
      </c>
      <c r="G3482" s="21" t="inlineStr">
        <is>
          <t>R</t>
        </is>
      </c>
      <c r="H3482" s="22" t="n">
        <v>25529689.5</v>
      </c>
      <c r="I3482" s="22" t="n">
        <v>2000000</v>
      </c>
      <c r="J3482" s="21">
        <f>IF(OR(H3482="",H3482=25529689.5),"Yes","No")</f>
        <v/>
      </c>
      <c r="K3482" s="21">
        <f>IF(AND(D3482="USA",C3482&gt;=1980,J3482="No"),"Yes","No")</f>
        <v/>
      </c>
      <c r="L3482" s="26">
        <f>IF(J3482="Yes","",H3482-I3482)</f>
        <v/>
      </c>
      <c r="M3482" s="27">
        <f>IF(OR(J3482="Yes",I3482=0),"",H3482/I3482)</f>
        <v/>
      </c>
      <c r="N3482" s="21">
        <f>IF(J3482="Yes","",IF(H3482&gt;=I3482,1,0))</f>
        <v/>
      </c>
      <c r="O3482" s="21">
        <f>IF(I3482&lt;=5000000,"Under $5M",IF(I3482&lt;=20000000,"$5M-20M",IF(I3482&lt;=50000000,"$20M-50M",IF(I3482&lt;=100000000,"$50M-100M","$100M+"))))</f>
        <v/>
      </c>
      <c r="P3482" s="21">
        <f>IF(E3482&lt;=90,"90 or less",IF(E3482&lt;=105,"91-105",IF(E3482&lt;=120,"106-120",IF(E3482&lt;=140,"121-140","Over 140"))))</f>
        <v/>
      </c>
      <c r="Q3482" s="28">
        <f>INT(C3482/10)*10</f>
        <v/>
      </c>
    </row>
    <row r="3483">
      <c r="A3483" s="21" t="n">
        <v>3556</v>
      </c>
      <c r="B3483" s="21" t="inlineStr">
        <is>
          <t>Of Gods and Men</t>
        </is>
      </c>
      <c r="C3483" s="21" t="n">
        <v>2010</v>
      </c>
      <c r="D3483" s="21" t="inlineStr">
        <is>
          <t>France</t>
        </is>
      </c>
      <c r="E3483" s="21" t="n">
        <v>122</v>
      </c>
      <c r="F3483" s="21" t="inlineStr">
        <is>
          <t>French</t>
        </is>
      </c>
      <c r="G3483" s="21" t="inlineStr">
        <is>
          <t>PG-13</t>
        </is>
      </c>
      <c r="H3483" s="22" t="n">
        <v>3950029</v>
      </c>
      <c r="I3483" s="22" t="n">
        <v>4000000</v>
      </c>
      <c r="J3483" s="21">
        <f>IF(OR(H3483="",H3483=25529689.5),"Yes","No")</f>
        <v/>
      </c>
      <c r="K3483" s="21">
        <f>IF(AND(D3483="USA",C3483&gt;=1980,J3483="No"),"Yes","No")</f>
        <v/>
      </c>
      <c r="L3483" s="26">
        <f>IF(J3483="Yes","",H3483-I3483)</f>
        <v/>
      </c>
      <c r="M3483" s="27">
        <f>IF(OR(J3483="Yes",I3483=0),"",H3483/I3483)</f>
        <v/>
      </c>
      <c r="N3483" s="21">
        <f>IF(J3483="Yes","",IF(H3483&gt;=I3483,1,0))</f>
        <v/>
      </c>
      <c r="O3483" s="21">
        <f>IF(I3483&lt;=5000000,"Under $5M",IF(I3483&lt;=20000000,"$5M-20M",IF(I3483&lt;=50000000,"$20M-50M",IF(I3483&lt;=100000000,"$50M-100M","$100M+"))))</f>
        <v/>
      </c>
      <c r="P3483" s="21">
        <f>IF(E3483&lt;=90,"90 or less",IF(E3483&lt;=105,"91-105",IF(E3483&lt;=120,"106-120",IF(E3483&lt;=140,"121-140","Over 140"))))</f>
        <v/>
      </c>
      <c r="Q3483" s="28">
        <f>INT(C3483/10)*10</f>
        <v/>
      </c>
    </row>
    <row r="3484">
      <c r="A3484" s="21" t="n">
        <v>3557</v>
      </c>
      <c r="B3484" s="21" t="inlineStr">
        <is>
          <t>Our Family Wedding</t>
        </is>
      </c>
      <c r="C3484" s="21" t="n">
        <v>2010</v>
      </c>
      <c r="D3484" s="21" t="inlineStr">
        <is>
          <t>USA</t>
        </is>
      </c>
      <c r="E3484" s="21" t="n">
        <v>103</v>
      </c>
      <c r="F3484" s="21" t="inlineStr">
        <is>
          <t>English</t>
        </is>
      </c>
      <c r="G3484" s="21" t="inlineStr">
        <is>
          <t>PG-13</t>
        </is>
      </c>
      <c r="H3484" s="22" t="n">
        <v>20246959</v>
      </c>
      <c r="I3484" s="22" t="n">
        <v>14000000</v>
      </c>
      <c r="J3484" s="21">
        <f>IF(OR(H3484="",H3484=25529689.5),"Yes","No")</f>
        <v/>
      </c>
      <c r="K3484" s="21">
        <f>IF(AND(D3484="USA",C3484&gt;=1980,J3484="No"),"Yes","No")</f>
        <v/>
      </c>
      <c r="L3484" s="26">
        <f>IF(J3484="Yes","",H3484-I3484)</f>
        <v/>
      </c>
      <c r="M3484" s="27">
        <f>IF(OR(J3484="Yes",I3484=0),"",H3484/I3484)</f>
        <v/>
      </c>
      <c r="N3484" s="21">
        <f>IF(J3484="Yes","",IF(H3484&gt;=I3484,1,0))</f>
        <v/>
      </c>
      <c r="O3484" s="21">
        <f>IF(I3484&lt;=5000000,"Under $5M",IF(I3484&lt;=20000000,"$5M-20M",IF(I3484&lt;=50000000,"$20M-50M",IF(I3484&lt;=100000000,"$50M-100M","$100M+"))))</f>
        <v/>
      </c>
      <c r="P3484" s="21">
        <f>IF(E3484&lt;=90,"90 or less",IF(E3484&lt;=105,"91-105",IF(E3484&lt;=120,"106-120",IF(E3484&lt;=140,"121-140","Over 140"))))</f>
        <v/>
      </c>
      <c r="Q3484" s="28">
        <f>INT(C3484/10)*10</f>
        <v/>
      </c>
    </row>
    <row r="3485">
      <c r="A3485" s="21" t="n">
        <v>3558</v>
      </c>
      <c r="B3485" s="21" t="inlineStr">
        <is>
          <t>Paranormal Activity 2</t>
        </is>
      </c>
      <c r="C3485" s="21" t="n">
        <v>2010</v>
      </c>
      <c r="D3485" s="21" t="inlineStr">
        <is>
          <t>USA</t>
        </is>
      </c>
      <c r="E3485" s="21" t="n">
        <v>98</v>
      </c>
      <c r="F3485" s="21" t="inlineStr">
        <is>
          <t>English</t>
        </is>
      </c>
      <c r="G3485" s="21" t="inlineStr">
        <is>
          <t>R</t>
        </is>
      </c>
      <c r="H3485" s="22" t="n">
        <v>84749884</v>
      </c>
      <c r="I3485" s="22" t="n">
        <v>3000000</v>
      </c>
      <c r="J3485" s="21">
        <f>IF(OR(H3485="",H3485=25529689.5),"Yes","No")</f>
        <v/>
      </c>
      <c r="K3485" s="21">
        <f>IF(AND(D3485="USA",C3485&gt;=1980,J3485="No"),"Yes","No")</f>
        <v/>
      </c>
      <c r="L3485" s="26">
        <f>IF(J3485="Yes","",H3485-I3485)</f>
        <v/>
      </c>
      <c r="M3485" s="27">
        <f>IF(OR(J3485="Yes",I3485=0),"",H3485/I3485)</f>
        <v/>
      </c>
      <c r="N3485" s="21">
        <f>IF(J3485="Yes","",IF(H3485&gt;=I3485,1,0))</f>
        <v/>
      </c>
      <c r="O3485" s="21">
        <f>IF(I3485&lt;=5000000,"Under $5M",IF(I3485&lt;=20000000,"$5M-20M",IF(I3485&lt;=50000000,"$20M-50M",IF(I3485&lt;=100000000,"$50M-100M","$100M+"))))</f>
        <v/>
      </c>
      <c r="P3485" s="21">
        <f>IF(E3485&lt;=90,"90 or less",IF(E3485&lt;=105,"91-105",IF(E3485&lt;=120,"106-120",IF(E3485&lt;=140,"121-140","Over 140"))))</f>
        <v/>
      </c>
      <c r="Q3485" s="28">
        <f>INT(C3485/10)*10</f>
        <v/>
      </c>
    </row>
    <row r="3486">
      <c r="A3486" s="21" t="n">
        <v>3559</v>
      </c>
      <c r="B3486" s="21" t="inlineStr">
        <is>
          <t>Percy Jackson &amp; the Olympians: The Lightning Thief</t>
        </is>
      </c>
      <c r="C3486" s="21" t="n">
        <v>2010</v>
      </c>
      <c r="D3486" s="21" t="inlineStr">
        <is>
          <t>UK</t>
        </is>
      </c>
      <c r="E3486" s="21" t="n">
        <v>118</v>
      </c>
      <c r="F3486" s="21" t="inlineStr">
        <is>
          <t>English</t>
        </is>
      </c>
      <c r="G3486" s="21" t="inlineStr">
        <is>
          <t>PG</t>
        </is>
      </c>
      <c r="H3486" s="22" t="n">
        <v>88761720</v>
      </c>
      <c r="I3486" s="22" t="n">
        <v>95000000</v>
      </c>
      <c r="J3486" s="21">
        <f>IF(OR(H3486="",H3486=25529689.5),"Yes","No")</f>
        <v/>
      </c>
      <c r="K3486" s="21">
        <f>IF(AND(D3486="USA",C3486&gt;=1980,J3486="No"),"Yes","No")</f>
        <v/>
      </c>
      <c r="L3486" s="26">
        <f>IF(J3486="Yes","",H3486-I3486)</f>
        <v/>
      </c>
      <c r="M3486" s="27">
        <f>IF(OR(J3486="Yes",I3486=0),"",H3486/I3486)</f>
        <v/>
      </c>
      <c r="N3486" s="21">
        <f>IF(J3486="Yes","",IF(H3486&gt;=I3486,1,0))</f>
        <v/>
      </c>
      <c r="O3486" s="21">
        <f>IF(I3486&lt;=5000000,"Under $5M",IF(I3486&lt;=20000000,"$5M-20M",IF(I3486&lt;=50000000,"$20M-50M",IF(I3486&lt;=100000000,"$50M-100M","$100M+"))))</f>
        <v/>
      </c>
      <c r="P3486" s="21">
        <f>IF(E3486&lt;=90,"90 or less",IF(E3486&lt;=105,"91-105",IF(E3486&lt;=120,"106-120",IF(E3486&lt;=140,"121-140","Over 140"))))</f>
        <v/>
      </c>
      <c r="Q3486" s="28">
        <f>INT(C3486/10)*10</f>
        <v/>
      </c>
    </row>
    <row r="3487">
      <c r="A3487" s="21" t="n">
        <v>3560</v>
      </c>
      <c r="B3487" s="21" t="inlineStr">
        <is>
          <t>Piranha 3D</t>
        </is>
      </c>
      <c r="C3487" s="21" t="n">
        <v>2010</v>
      </c>
      <c r="D3487" s="21" t="inlineStr">
        <is>
          <t>USA</t>
        </is>
      </c>
      <c r="E3487" s="21" t="n">
        <v>88</v>
      </c>
      <c r="F3487" s="21" t="inlineStr">
        <is>
          <t>English</t>
        </is>
      </c>
      <c r="G3487" s="21" t="inlineStr">
        <is>
          <t>R</t>
        </is>
      </c>
      <c r="H3487" s="22" t="n">
        <v>25003072</v>
      </c>
      <c r="I3487" s="22" t="n">
        <v>24000000</v>
      </c>
      <c r="J3487" s="21">
        <f>IF(OR(H3487="",H3487=25529689.5),"Yes","No")</f>
        <v/>
      </c>
      <c r="K3487" s="21">
        <f>IF(AND(D3487="USA",C3487&gt;=1980,J3487="No"),"Yes","No")</f>
        <v/>
      </c>
      <c r="L3487" s="26">
        <f>IF(J3487="Yes","",H3487-I3487)</f>
        <v/>
      </c>
      <c r="M3487" s="27">
        <f>IF(OR(J3487="Yes",I3487=0),"",H3487/I3487)</f>
        <v/>
      </c>
      <c r="N3487" s="21">
        <f>IF(J3487="Yes","",IF(H3487&gt;=I3487,1,0))</f>
        <v/>
      </c>
      <c r="O3487" s="21">
        <f>IF(I3487&lt;=5000000,"Under $5M",IF(I3487&lt;=20000000,"$5M-20M",IF(I3487&lt;=50000000,"$20M-50M",IF(I3487&lt;=100000000,"$50M-100M","$100M+"))))</f>
        <v/>
      </c>
      <c r="P3487" s="21">
        <f>IF(E3487&lt;=90,"90 or less",IF(E3487&lt;=105,"91-105",IF(E3487&lt;=120,"106-120",IF(E3487&lt;=140,"121-140","Over 140"))))</f>
        <v/>
      </c>
      <c r="Q3487" s="28">
        <f>INT(C3487/10)*10</f>
        <v/>
      </c>
    </row>
    <row r="3488">
      <c r="A3488" s="21" t="n">
        <v>3561</v>
      </c>
      <c r="B3488" s="21" t="inlineStr">
        <is>
          <t>Please Give</t>
        </is>
      </c>
      <c r="C3488" s="21" t="n">
        <v>2010</v>
      </c>
      <c r="D3488" s="21" t="inlineStr">
        <is>
          <t>USA</t>
        </is>
      </c>
      <c r="E3488" s="21" t="n">
        <v>90</v>
      </c>
      <c r="F3488" s="21" t="inlineStr">
        <is>
          <t>English</t>
        </is>
      </c>
      <c r="G3488" s="21" t="inlineStr">
        <is>
          <t>R</t>
        </is>
      </c>
      <c r="H3488" s="22" t="n">
        <v>4033268</v>
      </c>
      <c r="I3488" s="22" t="n">
        <v>20000000</v>
      </c>
      <c r="J3488" s="21">
        <f>IF(OR(H3488="",H3488=25529689.5),"Yes","No")</f>
        <v/>
      </c>
      <c r="K3488" s="21">
        <f>IF(AND(D3488="USA",C3488&gt;=1980,J3488="No"),"Yes","No")</f>
        <v/>
      </c>
      <c r="L3488" s="26">
        <f>IF(J3488="Yes","",H3488-I3488)</f>
        <v/>
      </c>
      <c r="M3488" s="27">
        <f>IF(OR(J3488="Yes",I3488=0),"",H3488/I3488)</f>
        <v/>
      </c>
      <c r="N3488" s="21">
        <f>IF(J3488="Yes","",IF(H3488&gt;=I3488,1,0))</f>
        <v/>
      </c>
      <c r="O3488" s="21">
        <f>IF(I3488&lt;=5000000,"Under $5M",IF(I3488&lt;=20000000,"$5M-20M",IF(I3488&lt;=50000000,"$20M-50M",IF(I3488&lt;=100000000,"$50M-100M","$100M+"))))</f>
        <v/>
      </c>
      <c r="P3488" s="21">
        <f>IF(E3488&lt;=90,"90 or less",IF(E3488&lt;=105,"91-105",IF(E3488&lt;=120,"106-120",IF(E3488&lt;=140,"121-140","Over 140"))))</f>
        <v/>
      </c>
      <c r="Q3488" s="28">
        <f>INT(C3488/10)*10</f>
        <v/>
      </c>
    </row>
    <row r="3489">
      <c r="A3489" s="21" t="n">
        <v>3562</v>
      </c>
      <c r="B3489" s="21" t="inlineStr">
        <is>
          <t>Predators</t>
        </is>
      </c>
      <c r="C3489" s="21" t="n">
        <v>2010</v>
      </c>
      <c r="D3489" s="21" t="inlineStr">
        <is>
          <t>USA</t>
        </is>
      </c>
      <c r="E3489" s="21" t="n">
        <v>107</v>
      </c>
      <c r="F3489" s="21" t="inlineStr">
        <is>
          <t>English</t>
        </is>
      </c>
      <c r="G3489" s="21" t="inlineStr">
        <is>
          <t>R</t>
        </is>
      </c>
      <c r="H3489" s="22" t="n">
        <v>52000688</v>
      </c>
      <c r="I3489" s="22" t="n">
        <v>40000000</v>
      </c>
      <c r="J3489" s="21">
        <f>IF(OR(H3489="",H3489=25529689.5),"Yes","No")</f>
        <v/>
      </c>
      <c r="K3489" s="21">
        <f>IF(AND(D3489="USA",C3489&gt;=1980,J3489="No"),"Yes","No")</f>
        <v/>
      </c>
      <c r="L3489" s="26">
        <f>IF(J3489="Yes","",H3489-I3489)</f>
        <v/>
      </c>
      <c r="M3489" s="27">
        <f>IF(OR(J3489="Yes",I3489=0),"",H3489/I3489)</f>
        <v/>
      </c>
      <c r="N3489" s="21">
        <f>IF(J3489="Yes","",IF(H3489&gt;=I3489,1,0))</f>
        <v/>
      </c>
      <c r="O3489" s="21">
        <f>IF(I3489&lt;=5000000,"Under $5M",IF(I3489&lt;=20000000,"$5M-20M",IF(I3489&lt;=50000000,"$20M-50M",IF(I3489&lt;=100000000,"$50M-100M","$100M+"))))</f>
        <v/>
      </c>
      <c r="P3489" s="21">
        <f>IF(E3489&lt;=90,"90 or less",IF(E3489&lt;=105,"91-105",IF(E3489&lt;=120,"106-120",IF(E3489&lt;=140,"121-140","Over 140"))))</f>
        <v/>
      </c>
      <c r="Q3489" s="28">
        <f>INT(C3489/10)*10</f>
        <v/>
      </c>
    </row>
    <row r="3490">
      <c r="A3490" s="21" t="n">
        <v>3563</v>
      </c>
      <c r="B3490" s="21" t="inlineStr">
        <is>
          <t>Prince of Persia: The Sands of Time</t>
        </is>
      </c>
      <c r="C3490" s="21" t="n">
        <v>2010</v>
      </c>
      <c r="D3490" s="21" t="inlineStr">
        <is>
          <t>USA</t>
        </is>
      </c>
      <c r="E3490" s="21" t="n">
        <v>116</v>
      </c>
      <c r="F3490" s="21" t="inlineStr">
        <is>
          <t>English</t>
        </is>
      </c>
      <c r="G3490" s="21" t="inlineStr">
        <is>
          <t>PG-13</t>
        </is>
      </c>
      <c r="H3490" s="22" t="n">
        <v>90755643</v>
      </c>
      <c r="I3490" s="22" t="n">
        <v>200000000</v>
      </c>
      <c r="J3490" s="21">
        <f>IF(OR(H3490="",H3490=25529689.5),"Yes","No")</f>
        <v/>
      </c>
      <c r="K3490" s="21">
        <f>IF(AND(D3490="USA",C3490&gt;=1980,J3490="No"),"Yes","No")</f>
        <v/>
      </c>
      <c r="L3490" s="26">
        <f>IF(J3490="Yes","",H3490-I3490)</f>
        <v/>
      </c>
      <c r="M3490" s="27">
        <f>IF(OR(J3490="Yes",I3490=0),"",H3490/I3490)</f>
        <v/>
      </c>
      <c r="N3490" s="21">
        <f>IF(J3490="Yes","",IF(H3490&gt;=I3490,1,0))</f>
        <v/>
      </c>
      <c r="O3490" s="21">
        <f>IF(I3490&lt;=5000000,"Under $5M",IF(I3490&lt;=20000000,"$5M-20M",IF(I3490&lt;=50000000,"$20M-50M",IF(I3490&lt;=100000000,"$50M-100M","$100M+"))))</f>
        <v/>
      </c>
      <c r="P3490" s="21">
        <f>IF(E3490&lt;=90,"90 or less",IF(E3490&lt;=105,"91-105",IF(E3490&lt;=120,"106-120",IF(E3490&lt;=140,"121-140","Over 140"))))</f>
        <v/>
      </c>
      <c r="Q3490" s="28">
        <f>INT(C3490/10)*10</f>
        <v/>
      </c>
    </row>
    <row r="3491">
      <c r="A3491" s="21" t="n">
        <v>3564</v>
      </c>
      <c r="B3491" s="21" t="inlineStr">
        <is>
          <t>Rabbit Hole</t>
        </is>
      </c>
      <c r="C3491" s="21" t="n">
        <v>2010</v>
      </c>
      <c r="D3491" s="21" t="inlineStr">
        <is>
          <t>USA</t>
        </is>
      </c>
      <c r="E3491" s="21" t="n">
        <v>91</v>
      </c>
      <c r="F3491" s="21" t="inlineStr">
        <is>
          <t>English</t>
        </is>
      </c>
      <c r="G3491" s="21" t="inlineStr">
        <is>
          <t>PG-13</t>
        </is>
      </c>
      <c r="H3491" s="22" t="n">
        <v>2221809</v>
      </c>
      <c r="I3491" s="22" t="n">
        <v>5000000</v>
      </c>
      <c r="J3491" s="21">
        <f>IF(OR(H3491="",H3491=25529689.5),"Yes","No")</f>
        <v/>
      </c>
      <c r="K3491" s="21">
        <f>IF(AND(D3491="USA",C3491&gt;=1980,J3491="No"),"Yes","No")</f>
        <v/>
      </c>
      <c r="L3491" s="26">
        <f>IF(J3491="Yes","",H3491-I3491)</f>
        <v/>
      </c>
      <c r="M3491" s="27">
        <f>IF(OR(J3491="Yes",I3491=0),"",H3491/I3491)</f>
        <v/>
      </c>
      <c r="N3491" s="21">
        <f>IF(J3491="Yes","",IF(H3491&gt;=I3491,1,0))</f>
        <v/>
      </c>
      <c r="O3491" s="21">
        <f>IF(I3491&lt;=5000000,"Under $5M",IF(I3491&lt;=20000000,"$5M-20M",IF(I3491&lt;=50000000,"$20M-50M",IF(I3491&lt;=100000000,"$50M-100M","$100M+"))))</f>
        <v/>
      </c>
      <c r="P3491" s="21">
        <f>IF(E3491&lt;=90,"90 or less",IF(E3491&lt;=105,"91-105",IF(E3491&lt;=120,"106-120",IF(E3491&lt;=140,"121-140","Over 140"))))</f>
        <v/>
      </c>
      <c r="Q3491" s="28">
        <f>INT(C3491/10)*10</f>
        <v/>
      </c>
    </row>
    <row r="3492">
      <c r="A3492" s="21" t="n">
        <v>3565</v>
      </c>
      <c r="B3492" s="21" t="inlineStr">
        <is>
          <t>Ramona and Beezus</t>
        </is>
      </c>
      <c r="C3492" s="21" t="n">
        <v>2010</v>
      </c>
      <c r="D3492" s="21" t="inlineStr">
        <is>
          <t>USA</t>
        </is>
      </c>
      <c r="E3492" s="21" t="n">
        <v>103</v>
      </c>
      <c r="F3492" s="21" t="inlineStr">
        <is>
          <t>English</t>
        </is>
      </c>
      <c r="G3492" s="21" t="inlineStr">
        <is>
          <t>G</t>
        </is>
      </c>
      <c r="H3492" s="22" t="n">
        <v>26161406</v>
      </c>
      <c r="I3492" s="22" t="n">
        <v>15000000</v>
      </c>
      <c r="J3492" s="21">
        <f>IF(OR(H3492="",H3492=25529689.5),"Yes","No")</f>
        <v/>
      </c>
      <c r="K3492" s="21">
        <f>IF(AND(D3492="USA",C3492&gt;=1980,J3492="No"),"Yes","No")</f>
        <v/>
      </c>
      <c r="L3492" s="26">
        <f>IF(J3492="Yes","",H3492-I3492)</f>
        <v/>
      </c>
      <c r="M3492" s="27">
        <f>IF(OR(J3492="Yes",I3492=0),"",H3492/I3492)</f>
        <v/>
      </c>
      <c r="N3492" s="21">
        <f>IF(J3492="Yes","",IF(H3492&gt;=I3492,1,0))</f>
        <v/>
      </c>
      <c r="O3492" s="21">
        <f>IF(I3492&lt;=5000000,"Under $5M",IF(I3492&lt;=20000000,"$5M-20M",IF(I3492&lt;=50000000,"$20M-50M",IF(I3492&lt;=100000000,"$50M-100M","$100M+"))))</f>
        <v/>
      </c>
      <c r="P3492" s="21">
        <f>IF(E3492&lt;=90,"90 or less",IF(E3492&lt;=105,"91-105",IF(E3492&lt;=120,"106-120",IF(E3492&lt;=140,"121-140","Over 140"))))</f>
        <v/>
      </c>
      <c r="Q3492" s="28">
        <f>INT(C3492/10)*10</f>
        <v/>
      </c>
    </row>
    <row r="3493">
      <c r="A3493" s="21" t="n">
        <v>3566</v>
      </c>
      <c r="B3493" s="21" t="inlineStr">
        <is>
          <t>RED</t>
        </is>
      </c>
      <c r="C3493" s="21" t="n">
        <v>2010</v>
      </c>
      <c r="D3493" s="21" t="inlineStr">
        <is>
          <t>USA</t>
        </is>
      </c>
      <c r="E3493" s="21" t="n">
        <v>111</v>
      </c>
      <c r="F3493" s="21" t="inlineStr">
        <is>
          <t>English</t>
        </is>
      </c>
      <c r="G3493" s="21" t="inlineStr">
        <is>
          <t>PG-13</t>
        </is>
      </c>
      <c r="H3493" s="22" t="n">
        <v>90356857</v>
      </c>
      <c r="I3493" s="22" t="n">
        <v>58000000</v>
      </c>
      <c r="J3493" s="21">
        <f>IF(OR(H3493="",H3493=25529689.5),"Yes","No")</f>
        <v/>
      </c>
      <c r="K3493" s="21">
        <f>IF(AND(D3493="USA",C3493&gt;=1980,J3493="No"),"Yes","No")</f>
        <v/>
      </c>
      <c r="L3493" s="26">
        <f>IF(J3493="Yes","",H3493-I3493)</f>
        <v/>
      </c>
      <c r="M3493" s="27">
        <f>IF(OR(J3493="Yes",I3493=0),"",H3493/I3493)</f>
        <v/>
      </c>
      <c r="N3493" s="21">
        <f>IF(J3493="Yes","",IF(H3493&gt;=I3493,1,0))</f>
        <v/>
      </c>
      <c r="O3493" s="21">
        <f>IF(I3493&lt;=5000000,"Under $5M",IF(I3493&lt;=20000000,"$5M-20M",IF(I3493&lt;=50000000,"$20M-50M",IF(I3493&lt;=100000000,"$50M-100M","$100M+"))))</f>
        <v/>
      </c>
      <c r="P3493" s="21">
        <f>IF(E3493&lt;=90,"90 or less",IF(E3493&lt;=105,"91-105",IF(E3493&lt;=120,"106-120",IF(E3493&lt;=140,"121-140","Over 140"))))</f>
        <v/>
      </c>
      <c r="Q3493" s="28">
        <f>INT(C3493/10)*10</f>
        <v/>
      </c>
    </row>
    <row r="3494">
      <c r="A3494" s="21" t="n">
        <v>3567</v>
      </c>
      <c r="B3494" s="21" t="inlineStr">
        <is>
          <t>Redemption Road</t>
        </is>
      </c>
      <c r="C3494" s="21" t="n">
        <v>2010</v>
      </c>
      <c r="D3494" s="21" t="inlineStr">
        <is>
          <t>USA</t>
        </is>
      </c>
      <c r="E3494" s="21" t="n">
        <v>95</v>
      </c>
      <c r="F3494" s="21" t="inlineStr">
        <is>
          <t>English</t>
        </is>
      </c>
      <c r="G3494" s="21" t="inlineStr">
        <is>
          <t>PG-13</t>
        </is>
      </c>
      <c r="H3494" s="22" t="n">
        <v>27012</v>
      </c>
      <c r="I3494" s="22" t="n">
        <v>20000000</v>
      </c>
      <c r="J3494" s="21">
        <f>IF(OR(H3494="",H3494=25529689.5),"Yes","No")</f>
        <v/>
      </c>
      <c r="K3494" s="21">
        <f>IF(AND(D3494="USA",C3494&gt;=1980,J3494="No"),"Yes","No")</f>
        <v/>
      </c>
      <c r="L3494" s="26">
        <f>IF(J3494="Yes","",H3494-I3494)</f>
        <v/>
      </c>
      <c r="M3494" s="27">
        <f>IF(OR(J3494="Yes",I3494=0),"",H3494/I3494)</f>
        <v/>
      </c>
      <c r="N3494" s="21">
        <f>IF(J3494="Yes","",IF(H3494&gt;=I3494,1,0))</f>
        <v/>
      </c>
      <c r="O3494" s="21">
        <f>IF(I3494&lt;=5000000,"Under $5M",IF(I3494&lt;=20000000,"$5M-20M",IF(I3494&lt;=50000000,"$20M-50M",IF(I3494&lt;=100000000,"$50M-100M","$100M+"))))</f>
        <v/>
      </c>
      <c r="P3494" s="21">
        <f>IF(E3494&lt;=90,"90 or less",IF(E3494&lt;=105,"91-105",IF(E3494&lt;=120,"106-120",IF(E3494&lt;=140,"121-140","Over 140"))))</f>
        <v/>
      </c>
      <c r="Q3494" s="28">
        <f>INT(C3494/10)*10</f>
        <v/>
      </c>
    </row>
    <row r="3495">
      <c r="A3495" s="21" t="n">
        <v>3568</v>
      </c>
      <c r="B3495" s="21" t="inlineStr">
        <is>
          <t>Reign of Assassins</t>
        </is>
      </c>
      <c r="C3495" s="21" t="n">
        <v>2010</v>
      </c>
      <c r="D3495" s="21" t="inlineStr">
        <is>
          <t>China</t>
        </is>
      </c>
      <c r="E3495" s="21" t="n">
        <v>117</v>
      </c>
      <c r="F3495" s="21" t="inlineStr">
        <is>
          <t>Mandarin</t>
        </is>
      </c>
      <c r="G3495" s="21" t="inlineStr">
        <is>
          <t>R</t>
        </is>
      </c>
      <c r="H3495" s="22" t="n">
        <v>25529689.5</v>
      </c>
      <c r="I3495" s="22" t="n">
        <v>12000000</v>
      </c>
      <c r="J3495" s="21">
        <f>IF(OR(H3495="",H3495=25529689.5),"Yes","No")</f>
        <v/>
      </c>
      <c r="K3495" s="21">
        <f>IF(AND(D3495="USA",C3495&gt;=1980,J3495="No"),"Yes","No")</f>
        <v/>
      </c>
      <c r="L3495" s="26">
        <f>IF(J3495="Yes","",H3495-I3495)</f>
        <v/>
      </c>
      <c r="M3495" s="27">
        <f>IF(OR(J3495="Yes",I3495=0),"",H3495/I3495)</f>
        <v/>
      </c>
      <c r="N3495" s="21">
        <f>IF(J3495="Yes","",IF(H3495&gt;=I3495,1,0))</f>
        <v/>
      </c>
      <c r="O3495" s="21">
        <f>IF(I3495&lt;=5000000,"Under $5M",IF(I3495&lt;=20000000,"$5M-20M",IF(I3495&lt;=50000000,"$20M-50M",IF(I3495&lt;=100000000,"$50M-100M","$100M+"))))</f>
        <v/>
      </c>
      <c r="P3495" s="21">
        <f>IF(E3495&lt;=90,"90 or less",IF(E3495&lt;=105,"91-105",IF(E3495&lt;=120,"106-120",IF(E3495&lt;=140,"121-140","Over 140"))))</f>
        <v/>
      </c>
      <c r="Q3495" s="28">
        <f>INT(C3495/10)*10</f>
        <v/>
      </c>
    </row>
    <row r="3496">
      <c r="A3496" s="21" t="n">
        <v>3569</v>
      </c>
      <c r="B3496" s="21" t="inlineStr">
        <is>
          <t>Remember Me</t>
        </is>
      </c>
      <c r="C3496" s="21" t="n">
        <v>2010</v>
      </c>
      <c r="D3496" s="21" t="inlineStr">
        <is>
          <t>USA</t>
        </is>
      </c>
      <c r="E3496" s="21" t="n">
        <v>113</v>
      </c>
      <c r="F3496" s="21" t="inlineStr">
        <is>
          <t>English</t>
        </is>
      </c>
      <c r="G3496" s="21" t="inlineStr">
        <is>
          <t>PG-13</t>
        </is>
      </c>
      <c r="H3496" s="22" t="n">
        <v>19057024</v>
      </c>
      <c r="I3496" s="22" t="n">
        <v>16000000</v>
      </c>
      <c r="J3496" s="21">
        <f>IF(OR(H3496="",H3496=25529689.5),"Yes","No")</f>
        <v/>
      </c>
      <c r="K3496" s="21">
        <f>IF(AND(D3496="USA",C3496&gt;=1980,J3496="No"),"Yes","No")</f>
        <v/>
      </c>
      <c r="L3496" s="26">
        <f>IF(J3496="Yes","",H3496-I3496)</f>
        <v/>
      </c>
      <c r="M3496" s="27">
        <f>IF(OR(J3496="Yes",I3496=0),"",H3496/I3496)</f>
        <v/>
      </c>
      <c r="N3496" s="21">
        <f>IF(J3496="Yes","",IF(H3496&gt;=I3496,1,0))</f>
        <v/>
      </c>
      <c r="O3496" s="21">
        <f>IF(I3496&lt;=5000000,"Under $5M",IF(I3496&lt;=20000000,"$5M-20M",IF(I3496&lt;=50000000,"$20M-50M",IF(I3496&lt;=100000000,"$50M-100M","$100M+"))))</f>
        <v/>
      </c>
      <c r="P3496" s="21">
        <f>IF(E3496&lt;=90,"90 or less",IF(E3496&lt;=105,"91-105",IF(E3496&lt;=120,"106-120",IF(E3496&lt;=140,"121-140","Over 140"))))</f>
        <v/>
      </c>
      <c r="Q3496" s="28">
        <f>INT(C3496/10)*10</f>
        <v/>
      </c>
    </row>
    <row r="3497">
      <c r="A3497" s="21" t="n">
        <v>3570</v>
      </c>
      <c r="B3497" s="21" t="inlineStr">
        <is>
          <t>Repo Men</t>
        </is>
      </c>
      <c r="C3497" s="21" t="n">
        <v>2010</v>
      </c>
      <c r="D3497" s="21" t="inlineStr">
        <is>
          <t>USA</t>
        </is>
      </c>
      <c r="E3497" s="21" t="n">
        <v>119</v>
      </c>
      <c r="F3497" s="21" t="inlineStr">
        <is>
          <t>English</t>
        </is>
      </c>
      <c r="G3497" s="21" t="inlineStr">
        <is>
          <t>R</t>
        </is>
      </c>
      <c r="H3497" s="22" t="n">
        <v>13763130</v>
      </c>
      <c r="I3497" s="22" t="n">
        <v>32000000</v>
      </c>
      <c r="J3497" s="21">
        <f>IF(OR(H3497="",H3497=25529689.5),"Yes","No")</f>
        <v/>
      </c>
      <c r="K3497" s="21">
        <f>IF(AND(D3497="USA",C3497&gt;=1980,J3497="No"),"Yes","No")</f>
        <v/>
      </c>
      <c r="L3497" s="26">
        <f>IF(J3497="Yes","",H3497-I3497)</f>
        <v/>
      </c>
      <c r="M3497" s="27">
        <f>IF(OR(J3497="Yes",I3497=0),"",H3497/I3497)</f>
        <v/>
      </c>
      <c r="N3497" s="21">
        <f>IF(J3497="Yes","",IF(H3497&gt;=I3497,1,0))</f>
        <v/>
      </c>
      <c r="O3497" s="21">
        <f>IF(I3497&lt;=5000000,"Under $5M",IF(I3497&lt;=20000000,"$5M-20M",IF(I3497&lt;=50000000,"$20M-50M",IF(I3497&lt;=100000000,"$50M-100M","$100M+"))))</f>
        <v/>
      </c>
      <c r="P3497" s="21">
        <f>IF(E3497&lt;=90,"90 or less",IF(E3497&lt;=105,"91-105",IF(E3497&lt;=120,"106-120",IF(E3497&lt;=140,"121-140","Over 140"))))</f>
        <v/>
      </c>
      <c r="Q3497" s="28">
        <f>INT(C3497/10)*10</f>
        <v/>
      </c>
    </row>
    <row r="3498">
      <c r="A3498" s="21" t="n">
        <v>3571</v>
      </c>
      <c r="B3498" s="21" t="inlineStr">
        <is>
          <t>Resident Evil: Afterlife</t>
        </is>
      </c>
      <c r="C3498" s="21" t="n">
        <v>2010</v>
      </c>
      <c r="D3498" s="21" t="inlineStr">
        <is>
          <t>Germany</t>
        </is>
      </c>
      <c r="E3498" s="21" t="n">
        <v>97</v>
      </c>
      <c r="F3498" s="21" t="inlineStr">
        <is>
          <t>English</t>
        </is>
      </c>
      <c r="G3498" s="21" t="inlineStr">
        <is>
          <t>R</t>
        </is>
      </c>
      <c r="H3498" s="22" t="n">
        <v>60128566</v>
      </c>
      <c r="I3498" s="22" t="n">
        <v>60000000</v>
      </c>
      <c r="J3498" s="21">
        <f>IF(OR(H3498="",H3498=25529689.5),"Yes","No")</f>
        <v/>
      </c>
      <c r="K3498" s="21">
        <f>IF(AND(D3498="USA",C3498&gt;=1980,J3498="No"),"Yes","No")</f>
        <v/>
      </c>
      <c r="L3498" s="26">
        <f>IF(J3498="Yes","",H3498-I3498)</f>
        <v/>
      </c>
      <c r="M3498" s="27">
        <f>IF(OR(J3498="Yes",I3498=0),"",H3498/I3498)</f>
        <v/>
      </c>
      <c r="N3498" s="21">
        <f>IF(J3498="Yes","",IF(H3498&gt;=I3498,1,0))</f>
        <v/>
      </c>
      <c r="O3498" s="21">
        <f>IF(I3498&lt;=5000000,"Under $5M",IF(I3498&lt;=20000000,"$5M-20M",IF(I3498&lt;=50000000,"$20M-50M",IF(I3498&lt;=100000000,"$50M-100M","$100M+"))))</f>
        <v/>
      </c>
      <c r="P3498" s="21">
        <f>IF(E3498&lt;=90,"90 or less",IF(E3498&lt;=105,"91-105",IF(E3498&lt;=120,"106-120",IF(E3498&lt;=140,"121-140","Over 140"))))</f>
        <v/>
      </c>
      <c r="Q3498" s="28">
        <f>INT(C3498/10)*10</f>
        <v/>
      </c>
    </row>
    <row r="3499">
      <c r="A3499" s="21" t="n">
        <v>3572</v>
      </c>
      <c r="B3499" s="21" t="inlineStr">
        <is>
          <t>Robin Hood</t>
        </is>
      </c>
      <c r="C3499" s="21" t="n">
        <v>2010</v>
      </c>
      <c r="D3499" s="21" t="inlineStr">
        <is>
          <t>USA</t>
        </is>
      </c>
      <c r="E3499" s="21" t="n">
        <v>156</v>
      </c>
      <c r="F3499" s="21" t="inlineStr">
        <is>
          <t>English</t>
        </is>
      </c>
      <c r="G3499" s="21" t="inlineStr">
        <is>
          <t>PG-13</t>
        </is>
      </c>
      <c r="H3499" s="22" t="n">
        <v>105219735</v>
      </c>
      <c r="I3499" s="22" t="n">
        <v>200000000</v>
      </c>
      <c r="J3499" s="21">
        <f>IF(OR(H3499="",H3499=25529689.5),"Yes","No")</f>
        <v/>
      </c>
      <c r="K3499" s="21">
        <f>IF(AND(D3499="USA",C3499&gt;=1980,J3499="No"),"Yes","No")</f>
        <v/>
      </c>
      <c r="L3499" s="26">
        <f>IF(J3499="Yes","",H3499-I3499)</f>
        <v/>
      </c>
      <c r="M3499" s="27">
        <f>IF(OR(J3499="Yes",I3499=0),"",H3499/I3499)</f>
        <v/>
      </c>
      <c r="N3499" s="21">
        <f>IF(J3499="Yes","",IF(H3499&gt;=I3499,1,0))</f>
        <v/>
      </c>
      <c r="O3499" s="21">
        <f>IF(I3499&lt;=5000000,"Under $5M",IF(I3499&lt;=20000000,"$5M-20M",IF(I3499&lt;=50000000,"$20M-50M",IF(I3499&lt;=100000000,"$50M-100M","$100M+"))))</f>
        <v/>
      </c>
      <c r="P3499" s="21">
        <f>IF(E3499&lt;=90,"90 or less",IF(E3499&lt;=105,"91-105",IF(E3499&lt;=120,"106-120",IF(E3499&lt;=140,"121-140","Over 140"))))</f>
        <v/>
      </c>
      <c r="Q3499" s="28">
        <f>INT(C3499/10)*10</f>
        <v/>
      </c>
    </row>
    <row r="3500">
      <c r="A3500" s="21" t="n">
        <v>3573</v>
      </c>
      <c r="B3500" s="21" t="inlineStr">
        <is>
          <t>Rubber</t>
        </is>
      </c>
      <c r="C3500" s="21" t="n">
        <v>2010</v>
      </c>
      <c r="D3500" s="21" t="inlineStr">
        <is>
          <t>France</t>
        </is>
      </c>
      <c r="E3500" s="21" t="n">
        <v>82</v>
      </c>
      <c r="F3500" s="21" t="inlineStr">
        <is>
          <t>English</t>
        </is>
      </c>
      <c r="G3500" s="21" t="inlineStr">
        <is>
          <t>R</t>
        </is>
      </c>
      <c r="H3500" s="22" t="n">
        <v>98017</v>
      </c>
      <c r="I3500" s="22" t="n">
        <v>500000</v>
      </c>
      <c r="J3500" s="21">
        <f>IF(OR(H3500="",H3500=25529689.5),"Yes","No")</f>
        <v/>
      </c>
      <c r="K3500" s="21">
        <f>IF(AND(D3500="USA",C3500&gt;=1980,J3500="No"),"Yes","No")</f>
        <v/>
      </c>
      <c r="L3500" s="26">
        <f>IF(J3500="Yes","",H3500-I3500)</f>
        <v/>
      </c>
      <c r="M3500" s="27">
        <f>IF(OR(J3500="Yes",I3500=0),"",H3500/I3500)</f>
        <v/>
      </c>
      <c r="N3500" s="21">
        <f>IF(J3500="Yes","",IF(H3500&gt;=I3500,1,0))</f>
        <v/>
      </c>
      <c r="O3500" s="21">
        <f>IF(I3500&lt;=5000000,"Under $5M",IF(I3500&lt;=20000000,"$5M-20M",IF(I3500&lt;=50000000,"$20M-50M",IF(I3500&lt;=100000000,"$50M-100M","$100M+"))))</f>
        <v/>
      </c>
      <c r="P3500" s="21">
        <f>IF(E3500&lt;=90,"90 or less",IF(E3500&lt;=105,"91-105",IF(E3500&lt;=120,"106-120",IF(E3500&lt;=140,"121-140","Over 140"))))</f>
        <v/>
      </c>
      <c r="Q3500" s="28">
        <f>INT(C3500/10)*10</f>
        <v/>
      </c>
    </row>
    <row r="3501">
      <c r="A3501" s="21" t="n">
        <v>3574</v>
      </c>
      <c r="B3501" s="21" t="inlineStr">
        <is>
          <t>Rust</t>
        </is>
      </c>
      <c r="C3501" s="21" t="n">
        <v>2010</v>
      </c>
      <c r="D3501" s="21" t="inlineStr">
        <is>
          <t>Canada</t>
        </is>
      </c>
      <c r="E3501" s="21" t="n">
        <v>95</v>
      </c>
      <c r="F3501" s="21" t="inlineStr">
        <is>
          <t>English</t>
        </is>
      </c>
      <c r="G3501" s="21" t="inlineStr">
        <is>
          <t>PG</t>
        </is>
      </c>
      <c r="H3501" s="22" t="n">
        <v>25529689.5</v>
      </c>
      <c r="I3501" s="22" t="n">
        <v>250000</v>
      </c>
      <c r="J3501" s="21">
        <f>IF(OR(H3501="",H3501=25529689.5),"Yes","No")</f>
        <v/>
      </c>
      <c r="K3501" s="21">
        <f>IF(AND(D3501="USA",C3501&gt;=1980,J3501="No"),"Yes","No")</f>
        <v/>
      </c>
      <c r="L3501" s="26">
        <f>IF(J3501="Yes","",H3501-I3501)</f>
        <v/>
      </c>
      <c r="M3501" s="27">
        <f>IF(OR(J3501="Yes",I3501=0),"",H3501/I3501)</f>
        <v/>
      </c>
      <c r="N3501" s="21">
        <f>IF(J3501="Yes","",IF(H3501&gt;=I3501,1,0))</f>
        <v/>
      </c>
      <c r="O3501" s="21">
        <f>IF(I3501&lt;=5000000,"Under $5M",IF(I3501&lt;=20000000,"$5M-20M",IF(I3501&lt;=50000000,"$20M-50M",IF(I3501&lt;=100000000,"$50M-100M","$100M+"))))</f>
        <v/>
      </c>
      <c r="P3501" s="21">
        <f>IF(E3501&lt;=90,"90 or less",IF(E3501&lt;=105,"91-105",IF(E3501&lt;=120,"106-120",IF(E3501&lt;=140,"121-140","Over 140"))))</f>
        <v/>
      </c>
      <c r="Q3501" s="28">
        <f>INT(C3501/10)*10</f>
        <v/>
      </c>
    </row>
    <row r="3502">
      <c r="A3502" s="21" t="n">
        <v>3575</v>
      </c>
      <c r="B3502" s="21" t="inlineStr">
        <is>
          <t>Salt</t>
        </is>
      </c>
      <c r="C3502" s="21" t="n">
        <v>2010</v>
      </c>
      <c r="D3502" s="21" t="inlineStr">
        <is>
          <t>USA</t>
        </is>
      </c>
      <c r="E3502" s="21" t="n">
        <v>101</v>
      </c>
      <c r="F3502" s="21" t="inlineStr">
        <is>
          <t>English</t>
        </is>
      </c>
      <c r="G3502" s="21" t="inlineStr">
        <is>
          <t>PG-13</t>
        </is>
      </c>
      <c r="H3502" s="22" t="n">
        <v>118311368</v>
      </c>
      <c r="I3502" s="22" t="n">
        <v>110000000</v>
      </c>
      <c r="J3502" s="21">
        <f>IF(OR(H3502="",H3502=25529689.5),"Yes","No")</f>
        <v/>
      </c>
      <c r="K3502" s="21">
        <f>IF(AND(D3502="USA",C3502&gt;=1980,J3502="No"),"Yes","No")</f>
        <v/>
      </c>
      <c r="L3502" s="26">
        <f>IF(J3502="Yes","",H3502-I3502)</f>
        <v/>
      </c>
      <c r="M3502" s="27">
        <f>IF(OR(J3502="Yes",I3502=0),"",H3502/I3502)</f>
        <v/>
      </c>
      <c r="N3502" s="21">
        <f>IF(J3502="Yes","",IF(H3502&gt;=I3502,1,0))</f>
        <v/>
      </c>
      <c r="O3502" s="21">
        <f>IF(I3502&lt;=5000000,"Under $5M",IF(I3502&lt;=20000000,"$5M-20M",IF(I3502&lt;=50000000,"$20M-50M",IF(I3502&lt;=100000000,"$50M-100M","$100M+"))))</f>
        <v/>
      </c>
      <c r="P3502" s="21">
        <f>IF(E3502&lt;=90,"90 or less",IF(E3502&lt;=105,"91-105",IF(E3502&lt;=120,"106-120",IF(E3502&lt;=140,"121-140","Over 140"))))</f>
        <v/>
      </c>
      <c r="Q3502" s="28">
        <f>INT(C3502/10)*10</f>
        <v/>
      </c>
    </row>
    <row r="3503">
      <c r="A3503" s="21" t="n">
        <v>3576</v>
      </c>
      <c r="B3503" s="21" t="inlineStr">
        <is>
          <t>Sarah's Key</t>
        </is>
      </c>
      <c r="C3503" s="21" t="n">
        <v>2010</v>
      </c>
      <c r="D3503" s="21" t="inlineStr">
        <is>
          <t>France</t>
        </is>
      </c>
      <c r="E3503" s="21" t="n">
        <v>111</v>
      </c>
      <c r="F3503" s="21" t="inlineStr">
        <is>
          <t>French</t>
        </is>
      </c>
      <c r="G3503" s="21" t="inlineStr">
        <is>
          <t>PG-13</t>
        </is>
      </c>
      <c r="H3503" s="22" t="n">
        <v>7691700</v>
      </c>
      <c r="I3503" s="22" t="n">
        <v>10000000</v>
      </c>
      <c r="J3503" s="21">
        <f>IF(OR(H3503="",H3503=25529689.5),"Yes","No")</f>
        <v/>
      </c>
      <c r="K3503" s="21">
        <f>IF(AND(D3503="USA",C3503&gt;=1980,J3503="No"),"Yes","No")</f>
        <v/>
      </c>
      <c r="L3503" s="26">
        <f>IF(J3503="Yes","",H3503-I3503)</f>
        <v/>
      </c>
      <c r="M3503" s="27">
        <f>IF(OR(J3503="Yes",I3503=0),"",H3503/I3503)</f>
        <v/>
      </c>
      <c r="N3503" s="21">
        <f>IF(J3503="Yes","",IF(H3503&gt;=I3503,1,0))</f>
        <v/>
      </c>
      <c r="O3503" s="21">
        <f>IF(I3503&lt;=5000000,"Under $5M",IF(I3503&lt;=20000000,"$5M-20M",IF(I3503&lt;=50000000,"$20M-50M",IF(I3503&lt;=100000000,"$50M-100M","$100M+"))))</f>
        <v/>
      </c>
      <c r="P3503" s="21">
        <f>IF(E3503&lt;=90,"90 or less",IF(E3503&lt;=105,"91-105",IF(E3503&lt;=120,"106-120",IF(E3503&lt;=140,"121-140","Over 140"))))</f>
        <v/>
      </c>
      <c r="Q3503" s="28">
        <f>INT(C3503/10)*10</f>
        <v/>
      </c>
    </row>
    <row r="3504">
      <c r="A3504" s="21" t="n">
        <v>3577</v>
      </c>
      <c r="B3504" s="21" t="inlineStr">
        <is>
          <t>Saw 3D: The Final Chapter</t>
        </is>
      </c>
      <c r="C3504" s="21" t="n">
        <v>2010</v>
      </c>
      <c r="D3504" s="21" t="inlineStr">
        <is>
          <t>Canada</t>
        </is>
      </c>
      <c r="E3504" s="21" t="n">
        <v>90</v>
      </c>
      <c r="F3504" s="21" t="inlineStr">
        <is>
          <t>English</t>
        </is>
      </c>
      <c r="G3504" s="21" t="inlineStr">
        <is>
          <t>R</t>
        </is>
      </c>
      <c r="H3504" s="22" t="n">
        <v>45670855</v>
      </c>
      <c r="I3504" s="22" t="n">
        <v>20000000</v>
      </c>
      <c r="J3504" s="21">
        <f>IF(OR(H3504="",H3504=25529689.5),"Yes","No")</f>
        <v/>
      </c>
      <c r="K3504" s="21">
        <f>IF(AND(D3504="USA",C3504&gt;=1980,J3504="No"),"Yes","No")</f>
        <v/>
      </c>
      <c r="L3504" s="26">
        <f>IF(J3504="Yes","",H3504-I3504)</f>
        <v/>
      </c>
      <c r="M3504" s="27">
        <f>IF(OR(J3504="Yes",I3504=0),"",H3504/I3504)</f>
        <v/>
      </c>
      <c r="N3504" s="21">
        <f>IF(J3504="Yes","",IF(H3504&gt;=I3504,1,0))</f>
        <v/>
      </c>
      <c r="O3504" s="21">
        <f>IF(I3504&lt;=5000000,"Under $5M",IF(I3504&lt;=20000000,"$5M-20M",IF(I3504&lt;=50000000,"$20M-50M",IF(I3504&lt;=100000000,"$50M-100M","$100M+"))))</f>
        <v/>
      </c>
      <c r="P3504" s="21">
        <f>IF(E3504&lt;=90,"90 or less",IF(E3504&lt;=105,"91-105",IF(E3504&lt;=120,"106-120",IF(E3504&lt;=140,"121-140","Over 140"))))</f>
        <v/>
      </c>
      <c r="Q3504" s="28">
        <f>INT(C3504/10)*10</f>
        <v/>
      </c>
    </row>
    <row r="3505">
      <c r="A3505" s="21" t="n">
        <v>3578</v>
      </c>
      <c r="B3505" s="21" t="inlineStr">
        <is>
          <t>Scott Pilgrim vs. the World</t>
        </is>
      </c>
      <c r="C3505" s="21" t="n">
        <v>2010</v>
      </c>
      <c r="D3505" s="21" t="inlineStr">
        <is>
          <t>USA</t>
        </is>
      </c>
      <c r="E3505" s="21" t="n">
        <v>112</v>
      </c>
      <c r="F3505" s="21" t="inlineStr">
        <is>
          <t>English</t>
        </is>
      </c>
      <c r="G3505" s="21" t="inlineStr">
        <is>
          <t>PG-13</t>
        </is>
      </c>
      <c r="H3505" s="22" t="n">
        <v>31494270</v>
      </c>
      <c r="I3505" s="22" t="n">
        <v>60000000</v>
      </c>
      <c r="J3505" s="21">
        <f>IF(OR(H3505="",H3505=25529689.5),"Yes","No")</f>
        <v/>
      </c>
      <c r="K3505" s="21">
        <f>IF(AND(D3505="USA",C3505&gt;=1980,J3505="No"),"Yes","No")</f>
        <v/>
      </c>
      <c r="L3505" s="26">
        <f>IF(J3505="Yes","",H3505-I3505)</f>
        <v/>
      </c>
      <c r="M3505" s="27">
        <f>IF(OR(J3505="Yes",I3505=0),"",H3505/I3505)</f>
        <v/>
      </c>
      <c r="N3505" s="21">
        <f>IF(J3505="Yes","",IF(H3505&gt;=I3505,1,0))</f>
        <v/>
      </c>
      <c r="O3505" s="21">
        <f>IF(I3505&lt;=5000000,"Under $5M",IF(I3505&lt;=20000000,"$5M-20M",IF(I3505&lt;=50000000,"$20M-50M",IF(I3505&lt;=100000000,"$50M-100M","$100M+"))))</f>
        <v/>
      </c>
      <c r="P3505" s="21">
        <f>IF(E3505&lt;=90,"90 or less",IF(E3505&lt;=105,"91-105",IF(E3505&lt;=120,"106-120",IF(E3505&lt;=140,"121-140","Over 140"))))</f>
        <v/>
      </c>
      <c r="Q3505" s="28">
        <f>INT(C3505/10)*10</f>
        <v/>
      </c>
    </row>
    <row r="3506">
      <c r="A3506" s="21" t="n">
        <v>3579</v>
      </c>
      <c r="B3506" s="21" t="inlineStr">
        <is>
          <t>Sea Rex 3D: Journey to a Prehistoric World</t>
        </is>
      </c>
      <c r="C3506" s="21" t="n">
        <v>2010</v>
      </c>
      <c r="D3506" s="21" t="inlineStr">
        <is>
          <t>UK</t>
        </is>
      </c>
      <c r="E3506" s="21" t="n">
        <v>41</v>
      </c>
      <c r="F3506" s="21" t="inlineStr">
        <is>
          <t>English</t>
        </is>
      </c>
      <c r="G3506" s="21" t="n"/>
      <c r="H3506" s="22" t="n">
        <v>4074023</v>
      </c>
      <c r="I3506" s="22" t="n">
        <v>5000000</v>
      </c>
      <c r="J3506" s="21">
        <f>IF(OR(H3506="",H3506=25529689.5),"Yes","No")</f>
        <v/>
      </c>
      <c r="K3506" s="21">
        <f>IF(AND(D3506="USA",C3506&gt;=1980,J3506="No"),"Yes","No")</f>
        <v/>
      </c>
      <c r="L3506" s="26">
        <f>IF(J3506="Yes","",H3506-I3506)</f>
        <v/>
      </c>
      <c r="M3506" s="27">
        <f>IF(OR(J3506="Yes",I3506=0),"",H3506/I3506)</f>
        <v/>
      </c>
      <c r="N3506" s="21">
        <f>IF(J3506="Yes","",IF(H3506&gt;=I3506,1,0))</f>
        <v/>
      </c>
      <c r="O3506" s="21">
        <f>IF(I3506&lt;=5000000,"Under $5M",IF(I3506&lt;=20000000,"$5M-20M",IF(I3506&lt;=50000000,"$20M-50M",IF(I3506&lt;=100000000,"$50M-100M","$100M+"))))</f>
        <v/>
      </c>
      <c r="P3506" s="21">
        <f>IF(E3506&lt;=90,"90 or less",IF(E3506&lt;=105,"91-105",IF(E3506&lt;=120,"106-120",IF(E3506&lt;=140,"121-140","Over 140"))))</f>
        <v/>
      </c>
      <c r="Q3506" s="28">
        <f>INT(C3506/10)*10</f>
        <v/>
      </c>
    </row>
    <row r="3507">
      <c r="A3507" s="21" t="n">
        <v>3580</v>
      </c>
      <c r="B3507" s="21" t="inlineStr">
        <is>
          <t>Secretariat</t>
        </is>
      </c>
      <c r="C3507" s="21" t="n">
        <v>2010</v>
      </c>
      <c r="D3507" s="21" t="inlineStr">
        <is>
          <t>USA</t>
        </is>
      </c>
      <c r="E3507" s="21" t="n">
        <v>123</v>
      </c>
      <c r="F3507" s="21" t="inlineStr">
        <is>
          <t>English</t>
        </is>
      </c>
      <c r="G3507" s="21" t="inlineStr">
        <is>
          <t>PG</t>
        </is>
      </c>
      <c r="H3507" s="22" t="n">
        <v>59699513</v>
      </c>
      <c r="I3507" s="22" t="n">
        <v>35000000</v>
      </c>
      <c r="J3507" s="21">
        <f>IF(OR(H3507="",H3507=25529689.5),"Yes","No")</f>
        <v/>
      </c>
      <c r="K3507" s="21">
        <f>IF(AND(D3507="USA",C3507&gt;=1980,J3507="No"),"Yes","No")</f>
        <v/>
      </c>
      <c r="L3507" s="26">
        <f>IF(J3507="Yes","",H3507-I3507)</f>
        <v/>
      </c>
      <c r="M3507" s="27">
        <f>IF(OR(J3507="Yes",I3507=0),"",H3507/I3507)</f>
        <v/>
      </c>
      <c r="N3507" s="21">
        <f>IF(J3507="Yes","",IF(H3507&gt;=I3507,1,0))</f>
        <v/>
      </c>
      <c r="O3507" s="21">
        <f>IF(I3507&lt;=5000000,"Under $5M",IF(I3507&lt;=20000000,"$5M-20M",IF(I3507&lt;=50000000,"$20M-50M",IF(I3507&lt;=100000000,"$50M-100M","$100M+"))))</f>
        <v/>
      </c>
      <c r="P3507" s="21">
        <f>IF(E3507&lt;=90,"90 or less",IF(E3507&lt;=105,"91-105",IF(E3507&lt;=120,"106-120",IF(E3507&lt;=140,"121-140","Over 140"))))</f>
        <v/>
      </c>
      <c r="Q3507" s="28">
        <f>INT(C3507/10)*10</f>
        <v/>
      </c>
    </row>
    <row r="3508">
      <c r="A3508" s="21" t="n">
        <v>3581</v>
      </c>
      <c r="B3508" s="21" t="inlineStr">
        <is>
          <t>Sex and the City 2</t>
        </is>
      </c>
      <c r="C3508" s="21" t="n">
        <v>2010</v>
      </c>
      <c r="D3508" s="21" t="inlineStr">
        <is>
          <t>USA</t>
        </is>
      </c>
      <c r="E3508" s="21" t="n">
        <v>146</v>
      </c>
      <c r="F3508" s="21" t="inlineStr">
        <is>
          <t>English</t>
        </is>
      </c>
      <c r="G3508" s="21" t="inlineStr">
        <is>
          <t>R</t>
        </is>
      </c>
      <c r="H3508" s="22" t="n">
        <v>95328937</v>
      </c>
      <c r="I3508" s="22" t="n">
        <v>100000000</v>
      </c>
      <c r="J3508" s="21">
        <f>IF(OR(H3508="",H3508=25529689.5),"Yes","No")</f>
        <v/>
      </c>
      <c r="K3508" s="21">
        <f>IF(AND(D3508="USA",C3508&gt;=1980,J3508="No"),"Yes","No")</f>
        <v/>
      </c>
      <c r="L3508" s="26">
        <f>IF(J3508="Yes","",H3508-I3508)</f>
        <v/>
      </c>
      <c r="M3508" s="27">
        <f>IF(OR(J3508="Yes",I3508=0),"",H3508/I3508)</f>
        <v/>
      </c>
      <c r="N3508" s="21">
        <f>IF(J3508="Yes","",IF(H3508&gt;=I3508,1,0))</f>
        <v/>
      </c>
      <c r="O3508" s="21">
        <f>IF(I3508&lt;=5000000,"Under $5M",IF(I3508&lt;=20000000,"$5M-20M",IF(I3508&lt;=50000000,"$20M-50M",IF(I3508&lt;=100000000,"$50M-100M","$100M+"))))</f>
        <v/>
      </c>
      <c r="P3508" s="21">
        <f>IF(E3508&lt;=90,"90 or less",IF(E3508&lt;=105,"91-105",IF(E3508&lt;=120,"106-120",IF(E3508&lt;=140,"121-140","Over 140"))))</f>
        <v/>
      </c>
      <c r="Q3508" s="28">
        <f>INT(C3508/10)*10</f>
        <v/>
      </c>
    </row>
    <row r="3509">
      <c r="A3509" s="21" t="n">
        <v>3582</v>
      </c>
      <c r="B3509" s="21" t="inlineStr">
        <is>
          <t>She's Out of My League</t>
        </is>
      </c>
      <c r="C3509" s="21" t="n">
        <v>2010</v>
      </c>
      <c r="D3509" s="21" t="inlineStr">
        <is>
          <t>USA</t>
        </is>
      </c>
      <c r="E3509" s="21" t="n">
        <v>104</v>
      </c>
      <c r="F3509" s="21" t="inlineStr">
        <is>
          <t>English</t>
        </is>
      </c>
      <c r="G3509" s="21" t="inlineStr">
        <is>
          <t>R</t>
        </is>
      </c>
      <c r="H3509" s="22" t="n">
        <v>31584722</v>
      </c>
      <c r="I3509" s="22" t="n">
        <v>20000000</v>
      </c>
      <c r="J3509" s="21">
        <f>IF(OR(H3509="",H3509=25529689.5),"Yes","No")</f>
        <v/>
      </c>
      <c r="K3509" s="21">
        <f>IF(AND(D3509="USA",C3509&gt;=1980,J3509="No"),"Yes","No")</f>
        <v/>
      </c>
      <c r="L3509" s="26">
        <f>IF(J3509="Yes","",H3509-I3509)</f>
        <v/>
      </c>
      <c r="M3509" s="27">
        <f>IF(OR(J3509="Yes",I3509=0),"",H3509/I3509)</f>
        <v/>
      </c>
      <c r="N3509" s="21">
        <f>IF(J3509="Yes","",IF(H3509&gt;=I3509,1,0))</f>
        <v/>
      </c>
      <c r="O3509" s="21">
        <f>IF(I3509&lt;=5000000,"Under $5M",IF(I3509&lt;=20000000,"$5M-20M",IF(I3509&lt;=50000000,"$20M-50M",IF(I3509&lt;=100000000,"$50M-100M","$100M+"))))</f>
        <v/>
      </c>
      <c r="P3509" s="21">
        <f>IF(E3509&lt;=90,"90 or less",IF(E3509&lt;=105,"91-105",IF(E3509&lt;=120,"106-120",IF(E3509&lt;=140,"121-140","Over 140"))))</f>
        <v/>
      </c>
      <c r="Q3509" s="28">
        <f>INT(C3509/10)*10</f>
        <v/>
      </c>
    </row>
    <row r="3510">
      <c r="A3510" s="21" t="n">
        <v>3583</v>
      </c>
      <c r="B3510" s="21" t="inlineStr">
        <is>
          <t>Shrek Forever After</t>
        </is>
      </c>
      <c r="C3510" s="21" t="n">
        <v>2010</v>
      </c>
      <c r="D3510" s="21" t="inlineStr">
        <is>
          <t>USA</t>
        </is>
      </c>
      <c r="E3510" s="21" t="n">
        <v>93</v>
      </c>
      <c r="F3510" s="21" t="inlineStr">
        <is>
          <t>English</t>
        </is>
      </c>
      <c r="G3510" s="21" t="inlineStr">
        <is>
          <t>PG</t>
        </is>
      </c>
      <c r="H3510" s="22" t="n">
        <v>238371987</v>
      </c>
      <c r="I3510" s="22" t="n">
        <v>165000000</v>
      </c>
      <c r="J3510" s="21">
        <f>IF(OR(H3510="",H3510=25529689.5),"Yes","No")</f>
        <v/>
      </c>
      <c r="K3510" s="21">
        <f>IF(AND(D3510="USA",C3510&gt;=1980,J3510="No"),"Yes","No")</f>
        <v/>
      </c>
      <c r="L3510" s="26">
        <f>IF(J3510="Yes","",H3510-I3510)</f>
        <v/>
      </c>
      <c r="M3510" s="27">
        <f>IF(OR(J3510="Yes",I3510=0),"",H3510/I3510)</f>
        <v/>
      </c>
      <c r="N3510" s="21">
        <f>IF(J3510="Yes","",IF(H3510&gt;=I3510,1,0))</f>
        <v/>
      </c>
      <c r="O3510" s="21">
        <f>IF(I3510&lt;=5000000,"Under $5M",IF(I3510&lt;=20000000,"$5M-20M",IF(I3510&lt;=50000000,"$20M-50M",IF(I3510&lt;=100000000,"$50M-100M","$100M+"))))</f>
        <v/>
      </c>
      <c r="P3510" s="21">
        <f>IF(E3510&lt;=90,"90 or less",IF(E3510&lt;=105,"91-105",IF(E3510&lt;=120,"106-120",IF(E3510&lt;=140,"121-140","Over 140"))))</f>
        <v/>
      </c>
      <c r="Q3510" s="28">
        <f>INT(C3510/10)*10</f>
        <v/>
      </c>
    </row>
    <row r="3511">
      <c r="A3511" s="21" t="n">
        <v>3584</v>
      </c>
      <c r="B3511" s="21" t="inlineStr">
        <is>
          <t>Shutter Island</t>
        </is>
      </c>
      <c r="C3511" s="21" t="n">
        <v>2010</v>
      </c>
      <c r="D3511" s="21" t="inlineStr">
        <is>
          <t>USA</t>
        </is>
      </c>
      <c r="E3511" s="21" t="n">
        <v>138</v>
      </c>
      <c r="F3511" s="21" t="inlineStr">
        <is>
          <t>English</t>
        </is>
      </c>
      <c r="G3511" s="21" t="inlineStr">
        <is>
          <t>R</t>
        </is>
      </c>
      <c r="H3511" s="22" t="n">
        <v>127968405</v>
      </c>
      <c r="I3511" s="22" t="n">
        <v>80000000</v>
      </c>
      <c r="J3511" s="21">
        <f>IF(OR(H3511="",H3511=25529689.5),"Yes","No")</f>
        <v/>
      </c>
      <c r="K3511" s="21">
        <f>IF(AND(D3511="USA",C3511&gt;=1980,J3511="No"),"Yes","No")</f>
        <v/>
      </c>
      <c r="L3511" s="26">
        <f>IF(J3511="Yes","",H3511-I3511)</f>
        <v/>
      </c>
      <c r="M3511" s="27">
        <f>IF(OR(J3511="Yes",I3511=0),"",H3511/I3511)</f>
        <v/>
      </c>
      <c r="N3511" s="21">
        <f>IF(J3511="Yes","",IF(H3511&gt;=I3511,1,0))</f>
        <v/>
      </c>
      <c r="O3511" s="21">
        <f>IF(I3511&lt;=5000000,"Under $5M",IF(I3511&lt;=20000000,"$5M-20M",IF(I3511&lt;=50000000,"$20M-50M",IF(I3511&lt;=100000000,"$50M-100M","$100M+"))))</f>
        <v/>
      </c>
      <c r="P3511" s="21">
        <f>IF(E3511&lt;=90,"90 or less",IF(E3511&lt;=105,"91-105",IF(E3511&lt;=120,"106-120",IF(E3511&lt;=140,"121-140","Over 140"))))</f>
        <v/>
      </c>
      <c r="Q3511" s="28">
        <f>INT(C3511/10)*10</f>
        <v/>
      </c>
    </row>
    <row r="3512">
      <c r="A3512" s="21" t="n">
        <v>3585</v>
      </c>
      <c r="B3512" s="21" t="inlineStr">
        <is>
          <t>Skyline</t>
        </is>
      </c>
      <c r="C3512" s="21" t="n">
        <v>2010</v>
      </c>
      <c r="D3512" s="21" t="inlineStr">
        <is>
          <t>USA</t>
        </is>
      </c>
      <c r="E3512" s="21" t="n">
        <v>97</v>
      </c>
      <c r="F3512" s="21" t="inlineStr">
        <is>
          <t>English</t>
        </is>
      </c>
      <c r="G3512" s="21" t="inlineStr">
        <is>
          <t>PG-13</t>
        </is>
      </c>
      <c r="H3512" s="22" t="n">
        <v>21371425</v>
      </c>
      <c r="I3512" s="22" t="n">
        <v>10000000</v>
      </c>
      <c r="J3512" s="21">
        <f>IF(OR(H3512="",H3512=25529689.5),"Yes","No")</f>
        <v/>
      </c>
      <c r="K3512" s="21">
        <f>IF(AND(D3512="USA",C3512&gt;=1980,J3512="No"),"Yes","No")</f>
        <v/>
      </c>
      <c r="L3512" s="26">
        <f>IF(J3512="Yes","",H3512-I3512)</f>
        <v/>
      </c>
      <c r="M3512" s="27">
        <f>IF(OR(J3512="Yes",I3512=0),"",H3512/I3512)</f>
        <v/>
      </c>
      <c r="N3512" s="21">
        <f>IF(J3512="Yes","",IF(H3512&gt;=I3512,1,0))</f>
        <v/>
      </c>
      <c r="O3512" s="21">
        <f>IF(I3512&lt;=5000000,"Under $5M",IF(I3512&lt;=20000000,"$5M-20M",IF(I3512&lt;=50000000,"$20M-50M",IF(I3512&lt;=100000000,"$50M-100M","$100M+"))))</f>
        <v/>
      </c>
      <c r="P3512" s="21">
        <f>IF(E3512&lt;=90,"90 or less",IF(E3512&lt;=105,"91-105",IF(E3512&lt;=120,"106-120",IF(E3512&lt;=140,"121-140","Over 140"))))</f>
        <v/>
      </c>
      <c r="Q3512" s="28">
        <f>INT(C3512/10)*10</f>
        <v/>
      </c>
    </row>
    <row r="3513">
      <c r="A3513" s="21" t="n">
        <v>3586</v>
      </c>
      <c r="B3513" s="21" t="inlineStr">
        <is>
          <t>Somewhere</t>
        </is>
      </c>
      <c r="C3513" s="21" t="n">
        <v>2010</v>
      </c>
      <c r="D3513" s="21" t="inlineStr">
        <is>
          <t>USA</t>
        </is>
      </c>
      <c r="E3513" s="21" t="n">
        <v>97</v>
      </c>
      <c r="F3513" s="21" t="inlineStr">
        <is>
          <t>English</t>
        </is>
      </c>
      <c r="G3513" s="21" t="inlineStr">
        <is>
          <t>R</t>
        </is>
      </c>
      <c r="H3513" s="22" t="n">
        <v>1768416</v>
      </c>
      <c r="I3513" s="22" t="n">
        <v>7000000</v>
      </c>
      <c r="J3513" s="21">
        <f>IF(OR(H3513="",H3513=25529689.5),"Yes","No")</f>
        <v/>
      </c>
      <c r="K3513" s="21">
        <f>IF(AND(D3513="USA",C3513&gt;=1980,J3513="No"),"Yes","No")</f>
        <v/>
      </c>
      <c r="L3513" s="26">
        <f>IF(J3513="Yes","",H3513-I3513)</f>
        <v/>
      </c>
      <c r="M3513" s="27">
        <f>IF(OR(J3513="Yes",I3513=0),"",H3513/I3513)</f>
        <v/>
      </c>
      <c r="N3513" s="21">
        <f>IF(J3513="Yes","",IF(H3513&gt;=I3513,1,0))</f>
        <v/>
      </c>
      <c r="O3513" s="21">
        <f>IF(I3513&lt;=5000000,"Under $5M",IF(I3513&lt;=20000000,"$5M-20M",IF(I3513&lt;=50000000,"$20M-50M",IF(I3513&lt;=100000000,"$50M-100M","$100M+"))))</f>
        <v/>
      </c>
      <c r="P3513" s="21">
        <f>IF(E3513&lt;=90,"90 or less",IF(E3513&lt;=105,"91-105",IF(E3513&lt;=120,"106-120",IF(E3513&lt;=140,"121-140","Over 140"))))</f>
        <v/>
      </c>
      <c r="Q3513" s="28">
        <f>INT(C3513/10)*10</f>
        <v/>
      </c>
    </row>
    <row r="3514">
      <c r="A3514" s="21" t="n">
        <v>3587</v>
      </c>
      <c r="B3514" s="21" t="inlineStr">
        <is>
          <t>Space Dogs</t>
        </is>
      </c>
      <c r="C3514" s="21" t="n">
        <v>2010</v>
      </c>
      <c r="D3514" s="21" t="inlineStr">
        <is>
          <t>Russia</t>
        </is>
      </c>
      <c r="E3514" s="21" t="n">
        <v>85</v>
      </c>
      <c r="F3514" s="21" t="inlineStr">
        <is>
          <t>Russian</t>
        </is>
      </c>
      <c r="G3514" s="21" t="inlineStr">
        <is>
          <t>G</t>
        </is>
      </c>
      <c r="H3514" s="22" t="n">
        <v>25529689.5</v>
      </c>
      <c r="I3514" s="22" t="n">
        <v>25000000</v>
      </c>
      <c r="J3514" s="21">
        <f>IF(OR(H3514="",H3514=25529689.5),"Yes","No")</f>
        <v/>
      </c>
      <c r="K3514" s="21">
        <f>IF(AND(D3514="USA",C3514&gt;=1980,J3514="No"),"Yes","No")</f>
        <v/>
      </c>
      <c r="L3514" s="26">
        <f>IF(J3514="Yes","",H3514-I3514)</f>
        <v/>
      </c>
      <c r="M3514" s="27">
        <f>IF(OR(J3514="Yes",I3514=0),"",H3514/I3514)</f>
        <v/>
      </c>
      <c r="N3514" s="21">
        <f>IF(J3514="Yes","",IF(H3514&gt;=I3514,1,0))</f>
        <v/>
      </c>
      <c r="O3514" s="21">
        <f>IF(I3514&lt;=5000000,"Under $5M",IF(I3514&lt;=20000000,"$5M-20M",IF(I3514&lt;=50000000,"$20M-50M",IF(I3514&lt;=100000000,"$50M-100M","$100M+"))))</f>
        <v/>
      </c>
      <c r="P3514" s="21">
        <f>IF(E3514&lt;=90,"90 or less",IF(E3514&lt;=105,"91-105",IF(E3514&lt;=120,"106-120",IF(E3514&lt;=140,"121-140","Over 140"))))</f>
        <v/>
      </c>
      <c r="Q3514" s="28">
        <f>INT(C3514/10)*10</f>
        <v/>
      </c>
    </row>
    <row r="3515">
      <c r="A3515" s="21" t="n">
        <v>3588</v>
      </c>
      <c r="B3515" s="21" t="inlineStr">
        <is>
          <t>Stake Land</t>
        </is>
      </c>
      <c r="C3515" s="21" t="n">
        <v>2010</v>
      </c>
      <c r="D3515" s="21" t="inlineStr">
        <is>
          <t>USA</t>
        </is>
      </c>
      <c r="E3515" s="21" t="n">
        <v>98</v>
      </c>
      <c r="F3515" s="21" t="inlineStr">
        <is>
          <t>English</t>
        </is>
      </c>
      <c r="G3515" s="21" t="inlineStr">
        <is>
          <t>R</t>
        </is>
      </c>
      <c r="H3515" s="22" t="n">
        <v>18469</v>
      </c>
      <c r="I3515" s="22" t="n">
        <v>650000</v>
      </c>
      <c r="J3515" s="21">
        <f>IF(OR(H3515="",H3515=25529689.5),"Yes","No")</f>
        <v/>
      </c>
      <c r="K3515" s="21">
        <f>IF(AND(D3515="USA",C3515&gt;=1980,J3515="No"),"Yes","No")</f>
        <v/>
      </c>
      <c r="L3515" s="26">
        <f>IF(J3515="Yes","",H3515-I3515)</f>
        <v/>
      </c>
      <c r="M3515" s="27">
        <f>IF(OR(J3515="Yes",I3515=0),"",H3515/I3515)</f>
        <v/>
      </c>
      <c r="N3515" s="21">
        <f>IF(J3515="Yes","",IF(H3515&gt;=I3515,1,0))</f>
        <v/>
      </c>
      <c r="O3515" s="21">
        <f>IF(I3515&lt;=5000000,"Under $5M",IF(I3515&lt;=20000000,"$5M-20M",IF(I3515&lt;=50000000,"$20M-50M",IF(I3515&lt;=100000000,"$50M-100M","$100M+"))))</f>
        <v/>
      </c>
      <c r="P3515" s="21">
        <f>IF(E3515&lt;=90,"90 or less",IF(E3515&lt;=105,"91-105",IF(E3515&lt;=120,"106-120",IF(E3515&lt;=140,"121-140","Over 140"))))</f>
        <v/>
      </c>
      <c r="Q3515" s="28">
        <f>INT(C3515/10)*10</f>
        <v/>
      </c>
    </row>
    <row r="3516">
      <c r="A3516" s="21" t="n">
        <v>3589</v>
      </c>
      <c r="B3516" s="21" t="inlineStr">
        <is>
          <t>Standing Ovation</t>
        </is>
      </c>
      <c r="C3516" s="21" t="n">
        <v>2010</v>
      </c>
      <c r="D3516" s="21" t="inlineStr">
        <is>
          <t>USA</t>
        </is>
      </c>
      <c r="E3516" s="21" t="n">
        <v>105</v>
      </c>
      <c r="F3516" s="21" t="inlineStr">
        <is>
          <t>English</t>
        </is>
      </c>
      <c r="G3516" s="21" t="inlineStr">
        <is>
          <t>PG</t>
        </is>
      </c>
      <c r="H3516" s="22" t="n">
        <v>531806</v>
      </c>
      <c r="I3516" s="22" t="n">
        <v>20000000</v>
      </c>
      <c r="J3516" s="21">
        <f>IF(OR(H3516="",H3516=25529689.5),"Yes","No")</f>
        <v/>
      </c>
      <c r="K3516" s="21">
        <f>IF(AND(D3516="USA",C3516&gt;=1980,J3516="No"),"Yes","No")</f>
        <v/>
      </c>
      <c r="L3516" s="26">
        <f>IF(J3516="Yes","",H3516-I3516)</f>
        <v/>
      </c>
      <c r="M3516" s="27">
        <f>IF(OR(J3516="Yes",I3516=0),"",H3516/I3516)</f>
        <v/>
      </c>
      <c r="N3516" s="21">
        <f>IF(J3516="Yes","",IF(H3516&gt;=I3516,1,0))</f>
        <v/>
      </c>
      <c r="O3516" s="21">
        <f>IF(I3516&lt;=5000000,"Under $5M",IF(I3516&lt;=20000000,"$5M-20M",IF(I3516&lt;=50000000,"$20M-50M",IF(I3516&lt;=100000000,"$50M-100M","$100M+"))))</f>
        <v/>
      </c>
      <c r="P3516" s="21">
        <f>IF(E3516&lt;=90,"90 or less",IF(E3516&lt;=105,"91-105",IF(E3516&lt;=120,"106-120",IF(E3516&lt;=140,"121-140","Over 140"))))</f>
        <v/>
      </c>
      <c r="Q3516" s="28">
        <f>INT(C3516/10)*10</f>
        <v/>
      </c>
    </row>
    <row r="3517">
      <c r="A3517" s="21" t="n">
        <v>3590</v>
      </c>
      <c r="B3517" s="21" t="inlineStr">
        <is>
          <t>Step Up 3D</t>
        </is>
      </c>
      <c r="C3517" s="21" t="n">
        <v>2010</v>
      </c>
      <c r="D3517" s="21" t="inlineStr">
        <is>
          <t>USA</t>
        </is>
      </c>
      <c r="E3517" s="21" t="n">
        <v>107</v>
      </c>
      <c r="F3517" s="21" t="inlineStr">
        <is>
          <t>English</t>
        </is>
      </c>
      <c r="G3517" s="21" t="inlineStr">
        <is>
          <t>PG-13</t>
        </is>
      </c>
      <c r="H3517" s="22" t="n">
        <v>42385520</v>
      </c>
      <c r="I3517" s="22" t="n">
        <v>30000000</v>
      </c>
      <c r="J3517" s="21">
        <f>IF(OR(H3517="",H3517=25529689.5),"Yes","No")</f>
        <v/>
      </c>
      <c r="K3517" s="21">
        <f>IF(AND(D3517="USA",C3517&gt;=1980,J3517="No"),"Yes","No")</f>
        <v/>
      </c>
      <c r="L3517" s="26">
        <f>IF(J3517="Yes","",H3517-I3517)</f>
        <v/>
      </c>
      <c r="M3517" s="27">
        <f>IF(OR(J3517="Yes",I3517=0),"",H3517/I3517)</f>
        <v/>
      </c>
      <c r="N3517" s="21">
        <f>IF(J3517="Yes","",IF(H3517&gt;=I3517,1,0))</f>
        <v/>
      </c>
      <c r="O3517" s="21">
        <f>IF(I3517&lt;=5000000,"Under $5M",IF(I3517&lt;=20000000,"$5M-20M",IF(I3517&lt;=50000000,"$20M-50M",IF(I3517&lt;=100000000,"$50M-100M","$100M+"))))</f>
        <v/>
      </c>
      <c r="P3517" s="21">
        <f>IF(E3517&lt;=90,"90 or less",IF(E3517&lt;=105,"91-105",IF(E3517&lt;=120,"106-120",IF(E3517&lt;=140,"121-140","Over 140"))))</f>
        <v/>
      </c>
      <c r="Q3517" s="28">
        <f>INT(C3517/10)*10</f>
        <v/>
      </c>
    </row>
    <row r="3518">
      <c r="A3518" s="21" t="n">
        <v>3591</v>
      </c>
      <c r="B3518" s="21" t="inlineStr">
        <is>
          <t>Stone</t>
        </is>
      </c>
      <c r="C3518" s="21" t="n">
        <v>2010</v>
      </c>
      <c r="D3518" s="21" t="inlineStr">
        <is>
          <t>USA</t>
        </is>
      </c>
      <c r="E3518" s="21" t="n">
        <v>105</v>
      </c>
      <c r="F3518" s="21" t="inlineStr">
        <is>
          <t>English</t>
        </is>
      </c>
      <c r="G3518" s="21" t="inlineStr">
        <is>
          <t>R</t>
        </is>
      </c>
      <c r="H3518" s="22" t="n">
        <v>1796024</v>
      </c>
      <c r="I3518" s="22" t="n">
        <v>22000000</v>
      </c>
      <c r="J3518" s="21">
        <f>IF(OR(H3518="",H3518=25529689.5),"Yes","No")</f>
        <v/>
      </c>
      <c r="K3518" s="21">
        <f>IF(AND(D3518="USA",C3518&gt;=1980,J3518="No"),"Yes","No")</f>
        <v/>
      </c>
      <c r="L3518" s="26">
        <f>IF(J3518="Yes","",H3518-I3518)</f>
        <v/>
      </c>
      <c r="M3518" s="27">
        <f>IF(OR(J3518="Yes",I3518=0),"",H3518/I3518)</f>
        <v/>
      </c>
      <c r="N3518" s="21">
        <f>IF(J3518="Yes","",IF(H3518&gt;=I3518,1,0))</f>
        <v/>
      </c>
      <c r="O3518" s="21">
        <f>IF(I3518&lt;=5000000,"Under $5M",IF(I3518&lt;=20000000,"$5M-20M",IF(I3518&lt;=50000000,"$20M-50M",IF(I3518&lt;=100000000,"$50M-100M","$100M+"))))</f>
        <v/>
      </c>
      <c r="P3518" s="21">
        <f>IF(E3518&lt;=90,"90 or less",IF(E3518&lt;=105,"91-105",IF(E3518&lt;=120,"106-120",IF(E3518&lt;=140,"121-140","Over 140"))))</f>
        <v/>
      </c>
      <c r="Q3518" s="28">
        <f>INT(C3518/10)*10</f>
        <v/>
      </c>
    </row>
    <row r="3519">
      <c r="A3519" s="21" t="n">
        <v>3592</v>
      </c>
      <c r="B3519" s="21" t="inlineStr">
        <is>
          <t>Submarine</t>
        </is>
      </c>
      <c r="C3519" s="21" t="n">
        <v>2010</v>
      </c>
      <c r="D3519" s="21" t="inlineStr">
        <is>
          <t>UK</t>
        </is>
      </c>
      <c r="E3519" s="21" t="n">
        <v>97</v>
      </c>
      <c r="F3519" s="21" t="inlineStr">
        <is>
          <t>English</t>
        </is>
      </c>
      <c r="G3519" s="21" t="inlineStr">
        <is>
          <t>R</t>
        </is>
      </c>
      <c r="H3519" s="22" t="n">
        <v>466702</v>
      </c>
      <c r="I3519" s="22" t="n">
        <v>20000000</v>
      </c>
      <c r="J3519" s="21">
        <f>IF(OR(H3519="",H3519=25529689.5),"Yes","No")</f>
        <v/>
      </c>
      <c r="K3519" s="21">
        <f>IF(AND(D3519="USA",C3519&gt;=1980,J3519="No"),"Yes","No")</f>
        <v/>
      </c>
      <c r="L3519" s="26">
        <f>IF(J3519="Yes","",H3519-I3519)</f>
        <v/>
      </c>
      <c r="M3519" s="27">
        <f>IF(OR(J3519="Yes",I3519=0),"",H3519/I3519)</f>
        <v/>
      </c>
      <c r="N3519" s="21">
        <f>IF(J3519="Yes","",IF(H3519&gt;=I3519,1,0))</f>
        <v/>
      </c>
      <c r="O3519" s="21">
        <f>IF(I3519&lt;=5000000,"Under $5M",IF(I3519&lt;=20000000,"$5M-20M",IF(I3519&lt;=50000000,"$20M-50M",IF(I3519&lt;=100000000,"$50M-100M","$100M+"))))</f>
        <v/>
      </c>
      <c r="P3519" s="21">
        <f>IF(E3519&lt;=90,"90 or less",IF(E3519&lt;=105,"91-105",IF(E3519&lt;=120,"106-120",IF(E3519&lt;=140,"121-140","Over 140"))))</f>
        <v/>
      </c>
      <c r="Q3519" s="28">
        <f>INT(C3519/10)*10</f>
        <v/>
      </c>
    </row>
    <row r="3520">
      <c r="A3520" s="21" t="n">
        <v>3593</v>
      </c>
      <c r="B3520" s="21" t="inlineStr">
        <is>
          <t>Super</t>
        </is>
      </c>
      <c r="C3520" s="21" t="n">
        <v>2010</v>
      </c>
      <c r="D3520" s="21" t="inlineStr">
        <is>
          <t>USA</t>
        </is>
      </c>
      <c r="E3520" s="21" t="n">
        <v>96</v>
      </c>
      <c r="F3520" s="21" t="inlineStr">
        <is>
          <t>English</t>
        </is>
      </c>
      <c r="G3520" s="21" t="inlineStr">
        <is>
          <t>R</t>
        </is>
      </c>
      <c r="H3520" s="22" t="n">
        <v>322157</v>
      </c>
      <c r="I3520" s="22" t="n">
        <v>2500000</v>
      </c>
      <c r="J3520" s="21">
        <f>IF(OR(H3520="",H3520=25529689.5),"Yes","No")</f>
        <v/>
      </c>
      <c r="K3520" s="21">
        <f>IF(AND(D3520="USA",C3520&gt;=1980,J3520="No"),"Yes","No")</f>
        <v/>
      </c>
      <c r="L3520" s="26">
        <f>IF(J3520="Yes","",H3520-I3520)</f>
        <v/>
      </c>
      <c r="M3520" s="27">
        <f>IF(OR(J3520="Yes",I3520=0),"",H3520/I3520)</f>
        <v/>
      </c>
      <c r="N3520" s="21">
        <f>IF(J3520="Yes","",IF(H3520&gt;=I3520,1,0))</f>
        <v/>
      </c>
      <c r="O3520" s="21">
        <f>IF(I3520&lt;=5000000,"Under $5M",IF(I3520&lt;=20000000,"$5M-20M",IF(I3520&lt;=50000000,"$20M-50M",IF(I3520&lt;=100000000,"$50M-100M","$100M+"))))</f>
        <v/>
      </c>
      <c r="P3520" s="21">
        <f>IF(E3520&lt;=90,"90 or less",IF(E3520&lt;=105,"91-105",IF(E3520&lt;=120,"106-120",IF(E3520&lt;=140,"121-140","Over 140"))))</f>
        <v/>
      </c>
      <c r="Q3520" s="28">
        <f>INT(C3520/10)*10</f>
        <v/>
      </c>
    </row>
    <row r="3521">
      <c r="A3521" s="21" t="n">
        <v>3594</v>
      </c>
      <c r="B3521" s="21" t="inlineStr">
        <is>
          <t>Super Hybrid</t>
        </is>
      </c>
      <c r="C3521" s="21" t="n">
        <v>2010</v>
      </c>
      <c r="D3521" s="21" t="inlineStr">
        <is>
          <t>USA</t>
        </is>
      </c>
      <c r="E3521" s="21" t="n">
        <v>94</v>
      </c>
      <c r="F3521" s="21" t="inlineStr">
        <is>
          <t>English</t>
        </is>
      </c>
      <c r="G3521" s="21" t="inlineStr">
        <is>
          <t>PG-13</t>
        </is>
      </c>
      <c r="H3521" s="22" t="n">
        <v>25529689.5</v>
      </c>
      <c r="I3521" s="22" t="n">
        <v>13000000</v>
      </c>
      <c r="J3521" s="21">
        <f>IF(OR(H3521="",H3521=25529689.5),"Yes","No")</f>
        <v/>
      </c>
      <c r="K3521" s="21">
        <f>IF(AND(D3521="USA",C3521&gt;=1980,J3521="No"),"Yes","No")</f>
        <v/>
      </c>
      <c r="L3521" s="26">
        <f>IF(J3521="Yes","",H3521-I3521)</f>
        <v/>
      </c>
      <c r="M3521" s="27">
        <f>IF(OR(J3521="Yes",I3521=0),"",H3521/I3521)</f>
        <v/>
      </c>
      <c r="N3521" s="21">
        <f>IF(J3521="Yes","",IF(H3521&gt;=I3521,1,0))</f>
        <v/>
      </c>
      <c r="O3521" s="21">
        <f>IF(I3521&lt;=5000000,"Under $5M",IF(I3521&lt;=20000000,"$5M-20M",IF(I3521&lt;=50000000,"$20M-50M",IF(I3521&lt;=100000000,"$50M-100M","$100M+"))))</f>
        <v/>
      </c>
      <c r="P3521" s="21">
        <f>IF(E3521&lt;=90,"90 or less",IF(E3521&lt;=105,"91-105",IF(E3521&lt;=120,"106-120",IF(E3521&lt;=140,"121-140","Over 140"))))</f>
        <v/>
      </c>
      <c r="Q3521" s="28">
        <f>INT(C3521/10)*10</f>
        <v/>
      </c>
    </row>
    <row r="3522">
      <c r="A3522" s="21" t="n">
        <v>3595</v>
      </c>
      <c r="B3522" s="21" t="inlineStr">
        <is>
          <t>Takers</t>
        </is>
      </c>
      <c r="C3522" s="21" t="n">
        <v>2010</v>
      </c>
      <c r="D3522" s="21" t="inlineStr">
        <is>
          <t>USA</t>
        </is>
      </c>
      <c r="E3522" s="21" t="n">
        <v>107</v>
      </c>
      <c r="F3522" s="21" t="inlineStr">
        <is>
          <t>English</t>
        </is>
      </c>
      <c r="G3522" s="21" t="inlineStr">
        <is>
          <t>PG-13</t>
        </is>
      </c>
      <c r="H3522" s="22" t="n">
        <v>57744720</v>
      </c>
      <c r="I3522" s="22" t="n">
        <v>20000000</v>
      </c>
      <c r="J3522" s="21">
        <f>IF(OR(H3522="",H3522=25529689.5),"Yes","No")</f>
        <v/>
      </c>
      <c r="K3522" s="21">
        <f>IF(AND(D3522="USA",C3522&gt;=1980,J3522="No"),"Yes","No")</f>
        <v/>
      </c>
      <c r="L3522" s="26">
        <f>IF(J3522="Yes","",H3522-I3522)</f>
        <v/>
      </c>
      <c r="M3522" s="27">
        <f>IF(OR(J3522="Yes",I3522=0),"",H3522/I3522)</f>
        <v/>
      </c>
      <c r="N3522" s="21">
        <f>IF(J3522="Yes","",IF(H3522&gt;=I3522,1,0))</f>
        <v/>
      </c>
      <c r="O3522" s="21">
        <f>IF(I3522&lt;=5000000,"Under $5M",IF(I3522&lt;=20000000,"$5M-20M",IF(I3522&lt;=50000000,"$20M-50M",IF(I3522&lt;=100000000,"$50M-100M","$100M+"))))</f>
        <v/>
      </c>
      <c r="P3522" s="21">
        <f>IF(E3522&lt;=90,"90 or less",IF(E3522&lt;=105,"91-105",IF(E3522&lt;=120,"106-120",IF(E3522&lt;=140,"121-140","Over 140"))))</f>
        <v/>
      </c>
      <c r="Q3522" s="28">
        <f>INT(C3522/10)*10</f>
        <v/>
      </c>
    </row>
    <row r="3523">
      <c r="A3523" s="21" t="n">
        <v>3596</v>
      </c>
      <c r="B3523" s="21" t="inlineStr">
        <is>
          <t>Tangled</t>
        </is>
      </c>
      <c r="C3523" s="21" t="n">
        <v>2010</v>
      </c>
      <c r="D3523" s="21" t="inlineStr">
        <is>
          <t>USA</t>
        </is>
      </c>
      <c r="E3523" s="21" t="n">
        <v>100</v>
      </c>
      <c r="F3523" s="21" t="inlineStr">
        <is>
          <t>English</t>
        </is>
      </c>
      <c r="G3523" s="21" t="inlineStr">
        <is>
          <t>PG</t>
        </is>
      </c>
      <c r="H3523" s="22" t="n">
        <v>200807262</v>
      </c>
      <c r="I3523" s="22" t="n">
        <v>260000000</v>
      </c>
      <c r="J3523" s="21">
        <f>IF(OR(H3523="",H3523=25529689.5),"Yes","No")</f>
        <v/>
      </c>
      <c r="K3523" s="21">
        <f>IF(AND(D3523="USA",C3523&gt;=1980,J3523="No"),"Yes","No")</f>
        <v/>
      </c>
      <c r="L3523" s="26">
        <f>IF(J3523="Yes","",H3523-I3523)</f>
        <v/>
      </c>
      <c r="M3523" s="27">
        <f>IF(OR(J3523="Yes",I3523=0),"",H3523/I3523)</f>
        <v/>
      </c>
      <c r="N3523" s="21">
        <f>IF(J3523="Yes","",IF(H3523&gt;=I3523,1,0))</f>
        <v/>
      </c>
      <c r="O3523" s="21">
        <f>IF(I3523&lt;=5000000,"Under $5M",IF(I3523&lt;=20000000,"$5M-20M",IF(I3523&lt;=50000000,"$20M-50M",IF(I3523&lt;=100000000,"$50M-100M","$100M+"))))</f>
        <v/>
      </c>
      <c r="P3523" s="21">
        <f>IF(E3523&lt;=90,"90 or less",IF(E3523&lt;=105,"91-105",IF(E3523&lt;=120,"106-120",IF(E3523&lt;=140,"121-140","Over 140"))))</f>
        <v/>
      </c>
      <c r="Q3523" s="28">
        <f>INT(C3523/10)*10</f>
        <v/>
      </c>
    </row>
    <row r="3524">
      <c r="A3524" s="21" t="n">
        <v>3597</v>
      </c>
      <c r="B3524" s="21" t="inlineStr">
        <is>
          <t>The 41-Year-Old Virgin Who Knocked Up Sarah Marshall and Felt Superbad About It</t>
        </is>
      </c>
      <c r="C3524" s="21" t="n">
        <v>2010</v>
      </c>
      <c r="D3524" s="21" t="inlineStr">
        <is>
          <t>USA</t>
        </is>
      </c>
      <c r="E3524" s="21" t="n">
        <v>82</v>
      </c>
      <c r="F3524" s="21" t="inlineStr">
        <is>
          <t>English</t>
        </is>
      </c>
      <c r="G3524" s="21" t="inlineStr">
        <is>
          <t>R</t>
        </is>
      </c>
      <c r="H3524" s="22" t="n">
        <v>25529689.5</v>
      </c>
      <c r="I3524" s="22" t="n">
        <v>1300000</v>
      </c>
      <c r="J3524" s="21">
        <f>IF(OR(H3524="",H3524=25529689.5),"Yes","No")</f>
        <v/>
      </c>
      <c r="K3524" s="21">
        <f>IF(AND(D3524="USA",C3524&gt;=1980,J3524="No"),"Yes","No")</f>
        <v/>
      </c>
      <c r="L3524" s="26">
        <f>IF(J3524="Yes","",H3524-I3524)</f>
        <v/>
      </c>
      <c r="M3524" s="27">
        <f>IF(OR(J3524="Yes",I3524=0),"",H3524/I3524)</f>
        <v/>
      </c>
      <c r="N3524" s="21">
        <f>IF(J3524="Yes","",IF(H3524&gt;=I3524,1,0))</f>
        <v/>
      </c>
      <c r="O3524" s="21">
        <f>IF(I3524&lt;=5000000,"Under $5M",IF(I3524&lt;=20000000,"$5M-20M",IF(I3524&lt;=50000000,"$20M-50M",IF(I3524&lt;=100000000,"$50M-100M","$100M+"))))</f>
        <v/>
      </c>
      <c r="P3524" s="21">
        <f>IF(E3524&lt;=90,"90 or less",IF(E3524&lt;=105,"91-105",IF(E3524&lt;=120,"106-120",IF(E3524&lt;=140,"121-140","Over 140"))))</f>
        <v/>
      </c>
      <c r="Q3524" s="28">
        <f>INT(C3524/10)*10</f>
        <v/>
      </c>
    </row>
    <row r="3525">
      <c r="A3525" s="21" t="n">
        <v>3598</v>
      </c>
      <c r="B3525" s="21" t="inlineStr">
        <is>
          <t>The 5th Quarter</t>
        </is>
      </c>
      <c r="C3525" s="21" t="n">
        <v>2010</v>
      </c>
      <c r="D3525" s="21" t="inlineStr">
        <is>
          <t>USA</t>
        </is>
      </c>
      <c r="E3525" s="21" t="n">
        <v>90</v>
      </c>
      <c r="F3525" s="21" t="inlineStr">
        <is>
          <t>English</t>
        </is>
      </c>
      <c r="G3525" s="21" t="inlineStr">
        <is>
          <t>PG</t>
        </is>
      </c>
      <c r="H3525" s="22" t="n">
        <v>399611</v>
      </c>
      <c r="I3525" s="22" t="n">
        <v>6000000</v>
      </c>
      <c r="J3525" s="21">
        <f>IF(OR(H3525="",H3525=25529689.5),"Yes","No")</f>
        <v/>
      </c>
      <c r="K3525" s="21">
        <f>IF(AND(D3525="USA",C3525&gt;=1980,J3525="No"),"Yes","No")</f>
        <v/>
      </c>
      <c r="L3525" s="26">
        <f>IF(J3525="Yes","",H3525-I3525)</f>
        <v/>
      </c>
      <c r="M3525" s="27">
        <f>IF(OR(J3525="Yes",I3525=0),"",H3525/I3525)</f>
        <v/>
      </c>
      <c r="N3525" s="21">
        <f>IF(J3525="Yes","",IF(H3525&gt;=I3525,1,0))</f>
        <v/>
      </c>
      <c r="O3525" s="21">
        <f>IF(I3525&lt;=5000000,"Under $5M",IF(I3525&lt;=20000000,"$5M-20M",IF(I3525&lt;=50000000,"$20M-50M",IF(I3525&lt;=100000000,"$50M-100M","$100M+"))))</f>
        <v/>
      </c>
      <c r="P3525" s="21">
        <f>IF(E3525&lt;=90,"90 or less",IF(E3525&lt;=105,"91-105",IF(E3525&lt;=120,"106-120",IF(E3525&lt;=140,"121-140","Over 140"))))</f>
        <v/>
      </c>
      <c r="Q3525" s="28">
        <f>INT(C3525/10)*10</f>
        <v/>
      </c>
    </row>
    <row r="3526">
      <c r="A3526" s="21" t="n">
        <v>3599</v>
      </c>
      <c r="B3526" s="21" t="inlineStr">
        <is>
          <t>The American</t>
        </is>
      </c>
      <c r="C3526" s="21" t="n">
        <v>2010</v>
      </c>
      <c r="D3526" s="21" t="inlineStr">
        <is>
          <t>USA</t>
        </is>
      </c>
      <c r="E3526" s="21" t="n">
        <v>105</v>
      </c>
      <c r="F3526" s="21" t="inlineStr">
        <is>
          <t>English</t>
        </is>
      </c>
      <c r="G3526" s="21" t="inlineStr">
        <is>
          <t>R</t>
        </is>
      </c>
      <c r="H3526" s="22" t="n">
        <v>35596227</v>
      </c>
      <c r="I3526" s="22" t="n">
        <v>20000000</v>
      </c>
      <c r="J3526" s="21">
        <f>IF(OR(H3526="",H3526=25529689.5),"Yes","No")</f>
        <v/>
      </c>
      <c r="K3526" s="21">
        <f>IF(AND(D3526="USA",C3526&gt;=1980,J3526="No"),"Yes","No")</f>
        <v/>
      </c>
      <c r="L3526" s="26">
        <f>IF(J3526="Yes","",H3526-I3526)</f>
        <v/>
      </c>
      <c r="M3526" s="27">
        <f>IF(OR(J3526="Yes",I3526=0),"",H3526/I3526)</f>
        <v/>
      </c>
      <c r="N3526" s="21">
        <f>IF(J3526="Yes","",IF(H3526&gt;=I3526,1,0))</f>
        <v/>
      </c>
      <c r="O3526" s="21">
        <f>IF(I3526&lt;=5000000,"Under $5M",IF(I3526&lt;=20000000,"$5M-20M",IF(I3526&lt;=50000000,"$20M-50M",IF(I3526&lt;=100000000,"$50M-100M","$100M+"))))</f>
        <v/>
      </c>
      <c r="P3526" s="21">
        <f>IF(E3526&lt;=90,"90 or less",IF(E3526&lt;=105,"91-105",IF(E3526&lt;=120,"106-120",IF(E3526&lt;=140,"121-140","Over 140"))))</f>
        <v/>
      </c>
      <c r="Q3526" s="28">
        <f>INT(C3526/10)*10</f>
        <v/>
      </c>
    </row>
    <row r="3527">
      <c r="A3527" s="21" t="n">
        <v>3600</v>
      </c>
      <c r="B3527" s="21" t="inlineStr">
        <is>
          <t>The Back-up Plan</t>
        </is>
      </c>
      <c r="C3527" s="21" t="n">
        <v>2010</v>
      </c>
      <c r="D3527" s="21" t="inlineStr">
        <is>
          <t>USA</t>
        </is>
      </c>
      <c r="E3527" s="21" t="n">
        <v>104</v>
      </c>
      <c r="F3527" s="21" t="inlineStr">
        <is>
          <t>English</t>
        </is>
      </c>
      <c r="G3527" s="21" t="inlineStr">
        <is>
          <t>PG-13</t>
        </is>
      </c>
      <c r="H3527" s="22" t="n">
        <v>37481242</v>
      </c>
      <c r="I3527" s="22" t="n">
        <v>35000000</v>
      </c>
      <c r="J3527" s="21">
        <f>IF(OR(H3527="",H3527=25529689.5),"Yes","No")</f>
        <v/>
      </c>
      <c r="K3527" s="21">
        <f>IF(AND(D3527="USA",C3527&gt;=1980,J3527="No"),"Yes","No")</f>
        <v/>
      </c>
      <c r="L3527" s="26">
        <f>IF(J3527="Yes","",H3527-I3527)</f>
        <v/>
      </c>
      <c r="M3527" s="27">
        <f>IF(OR(J3527="Yes",I3527=0),"",H3527/I3527)</f>
        <v/>
      </c>
      <c r="N3527" s="21">
        <f>IF(J3527="Yes","",IF(H3527&gt;=I3527,1,0))</f>
        <v/>
      </c>
      <c r="O3527" s="21">
        <f>IF(I3527&lt;=5000000,"Under $5M",IF(I3527&lt;=20000000,"$5M-20M",IF(I3527&lt;=50000000,"$20M-50M",IF(I3527&lt;=100000000,"$50M-100M","$100M+"))))</f>
        <v/>
      </c>
      <c r="P3527" s="21">
        <f>IF(E3527&lt;=90,"90 or less",IF(E3527&lt;=105,"91-105",IF(E3527&lt;=120,"106-120",IF(E3527&lt;=140,"121-140","Over 140"))))</f>
        <v/>
      </c>
      <c r="Q3527" s="28">
        <f>INT(C3527/10)*10</f>
        <v/>
      </c>
    </row>
    <row r="3528">
      <c r="A3528" s="21" t="n">
        <v>3601</v>
      </c>
      <c r="B3528" s="21" t="inlineStr">
        <is>
          <t>The Book of Eli</t>
        </is>
      </c>
      <c r="C3528" s="21" t="n">
        <v>2010</v>
      </c>
      <c r="D3528" s="21" t="inlineStr">
        <is>
          <t>USA</t>
        </is>
      </c>
      <c r="E3528" s="21" t="n">
        <v>118</v>
      </c>
      <c r="F3528" s="21" t="inlineStr">
        <is>
          <t>English</t>
        </is>
      </c>
      <c r="G3528" s="21" t="inlineStr">
        <is>
          <t>R</t>
        </is>
      </c>
      <c r="H3528" s="22" t="n">
        <v>94822707</v>
      </c>
      <c r="I3528" s="22" t="n">
        <v>80000000</v>
      </c>
      <c r="J3528" s="21">
        <f>IF(OR(H3528="",H3528=25529689.5),"Yes","No")</f>
        <v/>
      </c>
      <c r="K3528" s="21">
        <f>IF(AND(D3528="USA",C3528&gt;=1980,J3528="No"),"Yes","No")</f>
        <v/>
      </c>
      <c r="L3528" s="26">
        <f>IF(J3528="Yes","",H3528-I3528)</f>
        <v/>
      </c>
      <c r="M3528" s="27">
        <f>IF(OR(J3528="Yes",I3528=0),"",H3528/I3528)</f>
        <v/>
      </c>
      <c r="N3528" s="21">
        <f>IF(J3528="Yes","",IF(H3528&gt;=I3528,1,0))</f>
        <v/>
      </c>
      <c r="O3528" s="21">
        <f>IF(I3528&lt;=5000000,"Under $5M",IF(I3528&lt;=20000000,"$5M-20M",IF(I3528&lt;=50000000,"$20M-50M",IF(I3528&lt;=100000000,"$50M-100M","$100M+"))))</f>
        <v/>
      </c>
      <c r="P3528" s="21">
        <f>IF(E3528&lt;=90,"90 or less",IF(E3528&lt;=105,"91-105",IF(E3528&lt;=120,"106-120",IF(E3528&lt;=140,"121-140","Over 140"))))</f>
        <v/>
      </c>
      <c r="Q3528" s="28">
        <f>INT(C3528/10)*10</f>
        <v/>
      </c>
    </row>
    <row r="3529">
      <c r="A3529" s="21" t="n">
        <v>3602</v>
      </c>
      <c r="B3529" s="21" t="inlineStr">
        <is>
          <t>The Bounty Hunter</t>
        </is>
      </c>
      <c r="C3529" s="21" t="n">
        <v>2010</v>
      </c>
      <c r="D3529" s="21" t="inlineStr">
        <is>
          <t>USA</t>
        </is>
      </c>
      <c r="E3529" s="21" t="n">
        <v>110</v>
      </c>
      <c r="F3529" s="21" t="inlineStr">
        <is>
          <t>English</t>
        </is>
      </c>
      <c r="G3529" s="21" t="inlineStr">
        <is>
          <t>PG-13</t>
        </is>
      </c>
      <c r="H3529" s="22" t="n">
        <v>67061228</v>
      </c>
      <c r="I3529" s="22" t="n">
        <v>40000000</v>
      </c>
      <c r="J3529" s="21">
        <f>IF(OR(H3529="",H3529=25529689.5),"Yes","No")</f>
        <v/>
      </c>
      <c r="K3529" s="21">
        <f>IF(AND(D3529="USA",C3529&gt;=1980,J3529="No"),"Yes","No")</f>
        <v/>
      </c>
      <c r="L3529" s="26">
        <f>IF(J3529="Yes","",H3529-I3529)</f>
        <v/>
      </c>
      <c r="M3529" s="27">
        <f>IF(OR(J3529="Yes",I3529=0),"",H3529/I3529)</f>
        <v/>
      </c>
      <c r="N3529" s="21">
        <f>IF(J3529="Yes","",IF(H3529&gt;=I3529,1,0))</f>
        <v/>
      </c>
      <c r="O3529" s="21">
        <f>IF(I3529&lt;=5000000,"Under $5M",IF(I3529&lt;=20000000,"$5M-20M",IF(I3529&lt;=50000000,"$20M-50M",IF(I3529&lt;=100000000,"$50M-100M","$100M+"))))</f>
        <v/>
      </c>
      <c r="P3529" s="21">
        <f>IF(E3529&lt;=90,"90 or less",IF(E3529&lt;=105,"91-105",IF(E3529&lt;=120,"106-120",IF(E3529&lt;=140,"121-140","Over 140"))))</f>
        <v/>
      </c>
      <c r="Q3529" s="28">
        <f>INT(C3529/10)*10</f>
        <v/>
      </c>
    </row>
    <row r="3530">
      <c r="A3530" s="21" t="n">
        <v>3603</v>
      </c>
      <c r="B3530" s="21" t="inlineStr">
        <is>
          <t>The Christmas Bunny</t>
        </is>
      </c>
      <c r="C3530" s="21" t="n">
        <v>2010</v>
      </c>
      <c r="D3530" s="21" t="inlineStr">
        <is>
          <t>USA</t>
        </is>
      </c>
      <c r="E3530" s="21" t="n">
        <v>98</v>
      </c>
      <c r="F3530" s="21" t="inlineStr">
        <is>
          <t>English</t>
        </is>
      </c>
      <c r="G3530" s="21" t="inlineStr">
        <is>
          <t>PG</t>
        </is>
      </c>
      <c r="H3530" s="22" t="n">
        <v>25529689.5</v>
      </c>
      <c r="I3530" s="22" t="n">
        <v>250000</v>
      </c>
      <c r="J3530" s="21">
        <f>IF(OR(H3530="",H3530=25529689.5),"Yes","No")</f>
        <v/>
      </c>
      <c r="K3530" s="21">
        <f>IF(AND(D3530="USA",C3530&gt;=1980,J3530="No"),"Yes","No")</f>
        <v/>
      </c>
      <c r="L3530" s="26">
        <f>IF(J3530="Yes","",H3530-I3530)</f>
        <v/>
      </c>
      <c r="M3530" s="27">
        <f>IF(OR(J3530="Yes",I3530=0),"",H3530/I3530)</f>
        <v/>
      </c>
      <c r="N3530" s="21">
        <f>IF(J3530="Yes","",IF(H3530&gt;=I3530,1,0))</f>
        <v/>
      </c>
      <c r="O3530" s="21">
        <f>IF(I3530&lt;=5000000,"Under $5M",IF(I3530&lt;=20000000,"$5M-20M",IF(I3530&lt;=50000000,"$20M-50M",IF(I3530&lt;=100000000,"$50M-100M","$100M+"))))</f>
        <v/>
      </c>
      <c r="P3530" s="21">
        <f>IF(E3530&lt;=90,"90 or less",IF(E3530&lt;=105,"91-105",IF(E3530&lt;=120,"106-120",IF(E3530&lt;=140,"121-140","Over 140"))))</f>
        <v/>
      </c>
      <c r="Q3530" s="28">
        <f>INT(C3530/10)*10</f>
        <v/>
      </c>
    </row>
    <row r="3531">
      <c r="A3531" s="21" t="n">
        <v>3604</v>
      </c>
      <c r="B3531" s="21" t="inlineStr">
        <is>
          <t>The Chronicles of Narnia: The Voyage of the Dawn Treader</t>
        </is>
      </c>
      <c r="C3531" s="21" t="n">
        <v>2010</v>
      </c>
      <c r="D3531" s="21" t="inlineStr">
        <is>
          <t>USA</t>
        </is>
      </c>
      <c r="E3531" s="21" t="n">
        <v>113</v>
      </c>
      <c r="F3531" s="21" t="inlineStr">
        <is>
          <t>English</t>
        </is>
      </c>
      <c r="G3531" s="21" t="inlineStr">
        <is>
          <t>PG</t>
        </is>
      </c>
      <c r="H3531" s="22" t="n">
        <v>104383624</v>
      </c>
      <c r="I3531" s="22" t="n">
        <v>155000000</v>
      </c>
      <c r="J3531" s="21">
        <f>IF(OR(H3531="",H3531=25529689.5),"Yes","No")</f>
        <v/>
      </c>
      <c r="K3531" s="21">
        <f>IF(AND(D3531="USA",C3531&gt;=1980,J3531="No"),"Yes","No")</f>
        <v/>
      </c>
      <c r="L3531" s="26">
        <f>IF(J3531="Yes","",H3531-I3531)</f>
        <v/>
      </c>
      <c r="M3531" s="27">
        <f>IF(OR(J3531="Yes",I3531=0),"",H3531/I3531)</f>
        <v/>
      </c>
      <c r="N3531" s="21">
        <f>IF(J3531="Yes","",IF(H3531&gt;=I3531,1,0))</f>
        <v/>
      </c>
      <c r="O3531" s="21">
        <f>IF(I3531&lt;=5000000,"Under $5M",IF(I3531&lt;=20000000,"$5M-20M",IF(I3531&lt;=50000000,"$20M-50M",IF(I3531&lt;=100000000,"$50M-100M","$100M+"))))</f>
        <v/>
      </c>
      <c r="P3531" s="21">
        <f>IF(E3531&lt;=90,"90 or less",IF(E3531&lt;=105,"91-105",IF(E3531&lt;=120,"106-120",IF(E3531&lt;=140,"121-140","Over 140"))))</f>
        <v/>
      </c>
      <c r="Q3531" s="28">
        <f>INT(C3531/10)*10</f>
        <v/>
      </c>
    </row>
    <row r="3532">
      <c r="A3532" s="21" t="n">
        <v>3605</v>
      </c>
      <c r="B3532" s="21" t="inlineStr">
        <is>
          <t>The Conspirator</t>
        </is>
      </c>
      <c r="C3532" s="21" t="n">
        <v>2010</v>
      </c>
      <c r="D3532" s="21" t="inlineStr">
        <is>
          <t>USA</t>
        </is>
      </c>
      <c r="E3532" s="21" t="n">
        <v>122</v>
      </c>
      <c r="F3532" s="21" t="inlineStr">
        <is>
          <t>English</t>
        </is>
      </c>
      <c r="G3532" s="21" t="inlineStr">
        <is>
          <t>PG-13</t>
        </is>
      </c>
      <c r="H3532" s="22" t="n">
        <v>11538204</v>
      </c>
      <c r="I3532" s="22" t="n">
        <v>25000000</v>
      </c>
      <c r="J3532" s="21">
        <f>IF(OR(H3532="",H3532=25529689.5),"Yes","No")</f>
        <v/>
      </c>
      <c r="K3532" s="21">
        <f>IF(AND(D3532="USA",C3532&gt;=1980,J3532="No"),"Yes","No")</f>
        <v/>
      </c>
      <c r="L3532" s="26">
        <f>IF(J3532="Yes","",H3532-I3532)</f>
        <v/>
      </c>
      <c r="M3532" s="27">
        <f>IF(OR(J3532="Yes",I3532=0),"",H3532/I3532)</f>
        <v/>
      </c>
      <c r="N3532" s="21">
        <f>IF(J3532="Yes","",IF(H3532&gt;=I3532,1,0))</f>
        <v/>
      </c>
      <c r="O3532" s="21">
        <f>IF(I3532&lt;=5000000,"Under $5M",IF(I3532&lt;=20000000,"$5M-20M",IF(I3532&lt;=50000000,"$20M-50M",IF(I3532&lt;=100000000,"$50M-100M","$100M+"))))</f>
        <v/>
      </c>
      <c r="P3532" s="21">
        <f>IF(E3532&lt;=90,"90 or less",IF(E3532&lt;=105,"91-105",IF(E3532&lt;=120,"106-120",IF(E3532&lt;=140,"121-140","Over 140"))))</f>
        <v/>
      </c>
      <c r="Q3532" s="28">
        <f>INT(C3532/10)*10</f>
        <v/>
      </c>
    </row>
    <row r="3533">
      <c r="A3533" s="21" t="n">
        <v>3606</v>
      </c>
      <c r="B3533" s="21" t="inlineStr">
        <is>
          <t>The Crazies</t>
        </is>
      </c>
      <c r="C3533" s="21" t="n">
        <v>2010</v>
      </c>
      <c r="D3533" s="21" t="inlineStr">
        <is>
          <t>USA</t>
        </is>
      </c>
      <c r="E3533" s="21" t="n">
        <v>101</v>
      </c>
      <c r="F3533" s="21" t="inlineStr">
        <is>
          <t>English</t>
        </is>
      </c>
      <c r="G3533" s="21" t="inlineStr">
        <is>
          <t>R</t>
        </is>
      </c>
      <c r="H3533" s="22" t="n">
        <v>39103378</v>
      </c>
      <c r="I3533" s="22" t="n">
        <v>20000000</v>
      </c>
      <c r="J3533" s="21">
        <f>IF(OR(H3533="",H3533=25529689.5),"Yes","No")</f>
        <v/>
      </c>
      <c r="K3533" s="21">
        <f>IF(AND(D3533="USA",C3533&gt;=1980,J3533="No"),"Yes","No")</f>
        <v/>
      </c>
      <c r="L3533" s="26">
        <f>IF(J3533="Yes","",H3533-I3533)</f>
        <v/>
      </c>
      <c r="M3533" s="27">
        <f>IF(OR(J3533="Yes",I3533=0),"",H3533/I3533)</f>
        <v/>
      </c>
      <c r="N3533" s="21">
        <f>IF(J3533="Yes","",IF(H3533&gt;=I3533,1,0))</f>
        <v/>
      </c>
      <c r="O3533" s="21">
        <f>IF(I3533&lt;=5000000,"Under $5M",IF(I3533&lt;=20000000,"$5M-20M",IF(I3533&lt;=50000000,"$20M-50M",IF(I3533&lt;=100000000,"$50M-100M","$100M+"))))</f>
        <v/>
      </c>
      <c r="P3533" s="21">
        <f>IF(E3533&lt;=90,"90 or less",IF(E3533&lt;=105,"91-105",IF(E3533&lt;=120,"106-120",IF(E3533&lt;=140,"121-140","Over 140"))))</f>
        <v/>
      </c>
      <c r="Q3533" s="28">
        <f>INT(C3533/10)*10</f>
        <v/>
      </c>
    </row>
    <row r="3534">
      <c r="A3534" s="21" t="n">
        <v>3607</v>
      </c>
      <c r="B3534" s="21" t="inlineStr">
        <is>
          <t>The Dead Undead</t>
        </is>
      </c>
      <c r="C3534" s="21" t="n">
        <v>2010</v>
      </c>
      <c r="D3534" s="21" t="inlineStr">
        <is>
          <t>USA</t>
        </is>
      </c>
      <c r="E3534" s="21" t="n">
        <v>89</v>
      </c>
      <c r="F3534" s="21" t="inlineStr">
        <is>
          <t>English</t>
        </is>
      </c>
      <c r="G3534" s="21" t="inlineStr">
        <is>
          <t>R</t>
        </is>
      </c>
      <c r="H3534" s="22" t="n">
        <v>25529689.5</v>
      </c>
      <c r="I3534" s="22" t="n">
        <v>1100000</v>
      </c>
      <c r="J3534" s="21">
        <f>IF(OR(H3534="",H3534=25529689.5),"Yes","No")</f>
        <v/>
      </c>
      <c r="K3534" s="21">
        <f>IF(AND(D3534="USA",C3534&gt;=1980,J3534="No"),"Yes","No")</f>
        <v/>
      </c>
      <c r="L3534" s="26">
        <f>IF(J3534="Yes","",H3534-I3534)</f>
        <v/>
      </c>
      <c r="M3534" s="27">
        <f>IF(OR(J3534="Yes",I3534=0),"",H3534/I3534)</f>
        <v/>
      </c>
      <c r="N3534" s="21">
        <f>IF(J3534="Yes","",IF(H3534&gt;=I3534,1,0))</f>
        <v/>
      </c>
      <c r="O3534" s="21">
        <f>IF(I3534&lt;=5000000,"Under $5M",IF(I3534&lt;=20000000,"$5M-20M",IF(I3534&lt;=50000000,"$20M-50M",IF(I3534&lt;=100000000,"$50M-100M","$100M+"))))</f>
        <v/>
      </c>
      <c r="P3534" s="21">
        <f>IF(E3534&lt;=90,"90 or less",IF(E3534&lt;=105,"91-105",IF(E3534&lt;=120,"106-120",IF(E3534&lt;=140,"121-140","Over 140"))))</f>
        <v/>
      </c>
      <c r="Q3534" s="28">
        <f>INT(C3534/10)*10</f>
        <v/>
      </c>
    </row>
    <row r="3535">
      <c r="A3535" s="21" t="n">
        <v>3608</v>
      </c>
      <c r="B3535" s="21" t="inlineStr">
        <is>
          <t>The Debt</t>
        </is>
      </c>
      <c r="C3535" s="21" t="n">
        <v>2010</v>
      </c>
      <c r="D3535" s="21" t="inlineStr">
        <is>
          <t>USA</t>
        </is>
      </c>
      <c r="E3535" s="21" t="n">
        <v>113</v>
      </c>
      <c r="F3535" s="21" t="inlineStr">
        <is>
          <t>English</t>
        </is>
      </c>
      <c r="G3535" s="21" t="inlineStr">
        <is>
          <t>R</t>
        </is>
      </c>
      <c r="H3535" s="22" t="n">
        <v>31146570</v>
      </c>
      <c r="I3535" s="22" t="n">
        <v>20000000</v>
      </c>
      <c r="J3535" s="21">
        <f>IF(OR(H3535="",H3535=25529689.5),"Yes","No")</f>
        <v/>
      </c>
      <c r="K3535" s="21">
        <f>IF(AND(D3535="USA",C3535&gt;=1980,J3535="No"),"Yes","No")</f>
        <v/>
      </c>
      <c r="L3535" s="26">
        <f>IF(J3535="Yes","",H3535-I3535)</f>
        <v/>
      </c>
      <c r="M3535" s="27">
        <f>IF(OR(J3535="Yes",I3535=0),"",H3535/I3535)</f>
        <v/>
      </c>
      <c r="N3535" s="21">
        <f>IF(J3535="Yes","",IF(H3535&gt;=I3535,1,0))</f>
        <v/>
      </c>
      <c r="O3535" s="21">
        <f>IF(I3535&lt;=5000000,"Under $5M",IF(I3535&lt;=20000000,"$5M-20M",IF(I3535&lt;=50000000,"$20M-50M",IF(I3535&lt;=100000000,"$50M-100M","$100M+"))))</f>
        <v/>
      </c>
      <c r="P3535" s="21">
        <f>IF(E3535&lt;=90,"90 or less",IF(E3535&lt;=105,"91-105",IF(E3535&lt;=120,"106-120",IF(E3535&lt;=140,"121-140","Over 140"))))</f>
        <v/>
      </c>
      <c r="Q3535" s="28">
        <f>INT(C3535/10)*10</f>
        <v/>
      </c>
    </row>
    <row r="3536">
      <c r="A3536" s="21" t="n">
        <v>3609</v>
      </c>
      <c r="B3536" s="21" t="inlineStr">
        <is>
          <t>The Expendables</t>
        </is>
      </c>
      <c r="C3536" s="21" t="n">
        <v>2010</v>
      </c>
      <c r="D3536" s="21" t="inlineStr">
        <is>
          <t>USA</t>
        </is>
      </c>
      <c r="E3536" s="21" t="n">
        <v>113</v>
      </c>
      <c r="F3536" s="21" t="inlineStr">
        <is>
          <t>English</t>
        </is>
      </c>
      <c r="G3536" s="21" t="inlineStr">
        <is>
          <t>R</t>
        </is>
      </c>
      <c r="H3536" s="22" t="n">
        <v>102981571</v>
      </c>
      <c r="I3536" s="22" t="n">
        <v>80000000</v>
      </c>
      <c r="J3536" s="21">
        <f>IF(OR(H3536="",H3536=25529689.5),"Yes","No")</f>
        <v/>
      </c>
      <c r="K3536" s="21">
        <f>IF(AND(D3536="USA",C3536&gt;=1980,J3536="No"),"Yes","No")</f>
        <v/>
      </c>
      <c r="L3536" s="26">
        <f>IF(J3536="Yes","",H3536-I3536)</f>
        <v/>
      </c>
      <c r="M3536" s="27">
        <f>IF(OR(J3536="Yes",I3536=0),"",H3536/I3536)</f>
        <v/>
      </c>
      <c r="N3536" s="21">
        <f>IF(J3536="Yes","",IF(H3536&gt;=I3536,1,0))</f>
        <v/>
      </c>
      <c r="O3536" s="21">
        <f>IF(I3536&lt;=5000000,"Under $5M",IF(I3536&lt;=20000000,"$5M-20M",IF(I3536&lt;=50000000,"$20M-50M",IF(I3536&lt;=100000000,"$50M-100M","$100M+"))))</f>
        <v/>
      </c>
      <c r="P3536" s="21">
        <f>IF(E3536&lt;=90,"90 or less",IF(E3536&lt;=105,"91-105",IF(E3536&lt;=120,"106-120",IF(E3536&lt;=140,"121-140","Over 140"))))</f>
        <v/>
      </c>
      <c r="Q3536" s="28">
        <f>INT(C3536/10)*10</f>
        <v/>
      </c>
    </row>
    <row r="3537">
      <c r="A3537" s="21" t="n">
        <v>3610</v>
      </c>
      <c r="B3537" s="21" t="inlineStr">
        <is>
          <t>The Extra Man</t>
        </is>
      </c>
      <c r="C3537" s="21" t="n">
        <v>2010</v>
      </c>
      <c r="D3537" s="21" t="inlineStr">
        <is>
          <t>USA</t>
        </is>
      </c>
      <c r="E3537" s="21" t="n">
        <v>108</v>
      </c>
      <c r="F3537" s="21" t="inlineStr">
        <is>
          <t>English</t>
        </is>
      </c>
      <c r="G3537" s="21" t="inlineStr">
        <is>
          <t>R</t>
        </is>
      </c>
      <c r="H3537" s="22" t="n">
        <v>453079</v>
      </c>
      <c r="I3537" s="22" t="n">
        <v>7000000</v>
      </c>
      <c r="J3537" s="21">
        <f>IF(OR(H3537="",H3537=25529689.5),"Yes","No")</f>
        <v/>
      </c>
      <c r="K3537" s="21">
        <f>IF(AND(D3537="USA",C3537&gt;=1980,J3537="No"),"Yes","No")</f>
        <v/>
      </c>
      <c r="L3537" s="26">
        <f>IF(J3537="Yes","",H3537-I3537)</f>
        <v/>
      </c>
      <c r="M3537" s="27">
        <f>IF(OR(J3537="Yes",I3537=0),"",H3537/I3537)</f>
        <v/>
      </c>
      <c r="N3537" s="21">
        <f>IF(J3537="Yes","",IF(H3537&gt;=I3537,1,0))</f>
        <v/>
      </c>
      <c r="O3537" s="21">
        <f>IF(I3537&lt;=5000000,"Under $5M",IF(I3537&lt;=20000000,"$5M-20M",IF(I3537&lt;=50000000,"$20M-50M",IF(I3537&lt;=100000000,"$50M-100M","$100M+"))))</f>
        <v/>
      </c>
      <c r="P3537" s="21">
        <f>IF(E3537&lt;=90,"90 or less",IF(E3537&lt;=105,"91-105",IF(E3537&lt;=120,"106-120",IF(E3537&lt;=140,"121-140","Over 140"))))</f>
        <v/>
      </c>
      <c r="Q3537" s="28">
        <f>INT(C3537/10)*10</f>
        <v/>
      </c>
    </row>
    <row r="3538">
      <c r="A3538" s="21" t="n">
        <v>3611</v>
      </c>
      <c r="B3538" s="21" t="inlineStr">
        <is>
          <t>The Fighter</t>
        </is>
      </c>
      <c r="C3538" s="21" t="n">
        <v>2010</v>
      </c>
      <c r="D3538" s="21" t="inlineStr">
        <is>
          <t>USA</t>
        </is>
      </c>
      <c r="E3538" s="21" t="n">
        <v>116</v>
      </c>
      <c r="F3538" s="21" t="inlineStr">
        <is>
          <t>English</t>
        </is>
      </c>
      <c r="G3538" s="21" t="inlineStr">
        <is>
          <t>R</t>
        </is>
      </c>
      <c r="H3538" s="22" t="n">
        <v>93571803</v>
      </c>
      <c r="I3538" s="22" t="n">
        <v>25000000</v>
      </c>
      <c r="J3538" s="21">
        <f>IF(OR(H3538="",H3538=25529689.5),"Yes","No")</f>
        <v/>
      </c>
      <c r="K3538" s="21">
        <f>IF(AND(D3538="USA",C3538&gt;=1980,J3538="No"),"Yes","No")</f>
        <v/>
      </c>
      <c r="L3538" s="26">
        <f>IF(J3538="Yes","",H3538-I3538)</f>
        <v/>
      </c>
      <c r="M3538" s="27">
        <f>IF(OR(J3538="Yes",I3538=0),"",H3538/I3538)</f>
        <v/>
      </c>
      <c r="N3538" s="21">
        <f>IF(J3538="Yes","",IF(H3538&gt;=I3538,1,0))</f>
        <v/>
      </c>
      <c r="O3538" s="21">
        <f>IF(I3538&lt;=5000000,"Under $5M",IF(I3538&lt;=20000000,"$5M-20M",IF(I3538&lt;=50000000,"$20M-50M",IF(I3538&lt;=100000000,"$50M-100M","$100M+"))))</f>
        <v/>
      </c>
      <c r="P3538" s="21">
        <f>IF(E3538&lt;=90,"90 or less",IF(E3538&lt;=105,"91-105",IF(E3538&lt;=120,"106-120",IF(E3538&lt;=140,"121-140","Over 140"))))</f>
        <v/>
      </c>
      <c r="Q3538" s="28">
        <f>INT(C3538/10)*10</f>
        <v/>
      </c>
    </row>
    <row r="3539">
      <c r="A3539" s="21" t="n">
        <v>3612</v>
      </c>
      <c r="B3539" s="21" t="inlineStr">
        <is>
          <t>The Ghost Writer</t>
        </is>
      </c>
      <c r="C3539" s="21" t="n">
        <v>2010</v>
      </c>
      <c r="D3539" s="21" t="inlineStr">
        <is>
          <t>France</t>
        </is>
      </c>
      <c r="E3539" s="21" t="n">
        <v>128</v>
      </c>
      <c r="F3539" s="21" t="inlineStr">
        <is>
          <t>English</t>
        </is>
      </c>
      <c r="G3539" s="21" t="inlineStr">
        <is>
          <t>PG-13</t>
        </is>
      </c>
      <c r="H3539" s="22" t="n">
        <v>15523168</v>
      </c>
      <c r="I3539" s="22" t="n">
        <v>45000000</v>
      </c>
      <c r="J3539" s="21">
        <f>IF(OR(H3539="",H3539=25529689.5),"Yes","No")</f>
        <v/>
      </c>
      <c r="K3539" s="21">
        <f>IF(AND(D3539="USA",C3539&gt;=1980,J3539="No"),"Yes","No")</f>
        <v/>
      </c>
      <c r="L3539" s="26">
        <f>IF(J3539="Yes","",H3539-I3539)</f>
        <v/>
      </c>
      <c r="M3539" s="27">
        <f>IF(OR(J3539="Yes",I3539=0),"",H3539/I3539)</f>
        <v/>
      </c>
      <c r="N3539" s="21">
        <f>IF(J3539="Yes","",IF(H3539&gt;=I3539,1,0))</f>
        <v/>
      </c>
      <c r="O3539" s="21">
        <f>IF(I3539&lt;=5000000,"Under $5M",IF(I3539&lt;=20000000,"$5M-20M",IF(I3539&lt;=50000000,"$20M-50M",IF(I3539&lt;=100000000,"$50M-100M","$100M+"))))</f>
        <v/>
      </c>
      <c r="P3539" s="21">
        <f>IF(E3539&lt;=90,"90 or less",IF(E3539&lt;=105,"91-105",IF(E3539&lt;=120,"106-120",IF(E3539&lt;=140,"121-140","Over 140"))))</f>
        <v/>
      </c>
      <c r="Q3539" s="28">
        <f>INT(C3539/10)*10</f>
        <v/>
      </c>
    </row>
    <row r="3540">
      <c r="A3540" s="21" t="n">
        <v>3613</v>
      </c>
      <c r="B3540" s="21" t="inlineStr">
        <is>
          <t>The Grace Card</t>
        </is>
      </c>
      <c r="C3540" s="21" t="n">
        <v>2010</v>
      </c>
      <c r="D3540" s="21" t="inlineStr">
        <is>
          <t>USA</t>
        </is>
      </c>
      <c r="E3540" s="21" t="n">
        <v>101</v>
      </c>
      <c r="F3540" s="21" t="inlineStr">
        <is>
          <t>English</t>
        </is>
      </c>
      <c r="G3540" s="21" t="inlineStr">
        <is>
          <t>PG-13</t>
        </is>
      </c>
      <c r="H3540" s="22" t="n">
        <v>2428241</v>
      </c>
      <c r="I3540" s="22" t="n">
        <v>200000</v>
      </c>
      <c r="J3540" s="21">
        <f>IF(OR(H3540="",H3540=25529689.5),"Yes","No")</f>
        <v/>
      </c>
      <c r="K3540" s="21">
        <f>IF(AND(D3540="USA",C3540&gt;=1980,J3540="No"),"Yes","No")</f>
        <v/>
      </c>
      <c r="L3540" s="26">
        <f>IF(J3540="Yes","",H3540-I3540)</f>
        <v/>
      </c>
      <c r="M3540" s="27">
        <f>IF(OR(J3540="Yes",I3540=0),"",H3540/I3540)</f>
        <v/>
      </c>
      <c r="N3540" s="21">
        <f>IF(J3540="Yes","",IF(H3540&gt;=I3540,1,0))</f>
        <v/>
      </c>
      <c r="O3540" s="21">
        <f>IF(I3540&lt;=5000000,"Under $5M",IF(I3540&lt;=20000000,"$5M-20M",IF(I3540&lt;=50000000,"$20M-50M",IF(I3540&lt;=100000000,"$50M-100M","$100M+"))))</f>
        <v/>
      </c>
      <c r="P3540" s="21">
        <f>IF(E3540&lt;=90,"90 or less",IF(E3540&lt;=105,"91-105",IF(E3540&lt;=120,"106-120",IF(E3540&lt;=140,"121-140","Over 140"))))</f>
        <v/>
      </c>
      <c r="Q3540" s="28">
        <f>INT(C3540/10)*10</f>
        <v/>
      </c>
    </row>
    <row r="3541">
      <c r="A3541" s="21" t="n">
        <v>3614</v>
      </c>
      <c r="B3541" s="21" t="inlineStr">
        <is>
          <t>The Kids Are All Right</t>
        </is>
      </c>
      <c r="C3541" s="21" t="n">
        <v>2010</v>
      </c>
      <c r="D3541" s="21" t="inlineStr">
        <is>
          <t>USA</t>
        </is>
      </c>
      <c r="E3541" s="21" t="n">
        <v>106</v>
      </c>
      <c r="F3541" s="21" t="inlineStr">
        <is>
          <t>English</t>
        </is>
      </c>
      <c r="G3541" s="21" t="inlineStr">
        <is>
          <t>R</t>
        </is>
      </c>
      <c r="H3541" s="22" t="n">
        <v>20803237</v>
      </c>
      <c r="I3541" s="22" t="n">
        <v>3500000</v>
      </c>
      <c r="J3541" s="21">
        <f>IF(OR(H3541="",H3541=25529689.5),"Yes","No")</f>
        <v/>
      </c>
      <c r="K3541" s="21">
        <f>IF(AND(D3541="USA",C3541&gt;=1980,J3541="No"),"Yes","No")</f>
        <v/>
      </c>
      <c r="L3541" s="26">
        <f>IF(J3541="Yes","",H3541-I3541)</f>
        <v/>
      </c>
      <c r="M3541" s="27">
        <f>IF(OR(J3541="Yes",I3541=0),"",H3541/I3541)</f>
        <v/>
      </c>
      <c r="N3541" s="21">
        <f>IF(J3541="Yes","",IF(H3541&gt;=I3541,1,0))</f>
        <v/>
      </c>
      <c r="O3541" s="21">
        <f>IF(I3541&lt;=5000000,"Under $5M",IF(I3541&lt;=20000000,"$5M-20M",IF(I3541&lt;=50000000,"$20M-50M",IF(I3541&lt;=100000000,"$50M-100M","$100M+"))))</f>
        <v/>
      </c>
      <c r="P3541" s="21">
        <f>IF(E3541&lt;=90,"90 or less",IF(E3541&lt;=105,"91-105",IF(E3541&lt;=120,"106-120",IF(E3541&lt;=140,"121-140","Over 140"))))</f>
        <v/>
      </c>
      <c r="Q3541" s="28">
        <f>INT(C3541/10)*10</f>
        <v/>
      </c>
    </row>
    <row r="3542">
      <c r="A3542" s="21" t="n">
        <v>3615</v>
      </c>
      <c r="B3542" s="21" t="inlineStr">
        <is>
          <t>The Killer Inside Me</t>
        </is>
      </c>
      <c r="C3542" s="21" t="n">
        <v>2010</v>
      </c>
      <c r="D3542" s="21" t="inlineStr">
        <is>
          <t>USA</t>
        </is>
      </c>
      <c r="E3542" s="21" t="n">
        <v>109</v>
      </c>
      <c r="F3542" s="21" t="inlineStr">
        <is>
          <t>English</t>
        </is>
      </c>
      <c r="G3542" s="21" t="inlineStr">
        <is>
          <t>R</t>
        </is>
      </c>
      <c r="H3542" s="22" t="n">
        <v>214966</v>
      </c>
      <c r="I3542" s="22" t="n">
        <v>13000000</v>
      </c>
      <c r="J3542" s="21">
        <f>IF(OR(H3542="",H3542=25529689.5),"Yes","No")</f>
        <v/>
      </c>
      <c r="K3542" s="21">
        <f>IF(AND(D3542="USA",C3542&gt;=1980,J3542="No"),"Yes","No")</f>
        <v/>
      </c>
      <c r="L3542" s="26">
        <f>IF(J3542="Yes","",H3542-I3542)</f>
        <v/>
      </c>
      <c r="M3542" s="27">
        <f>IF(OR(J3542="Yes",I3542=0),"",H3542/I3542)</f>
        <v/>
      </c>
      <c r="N3542" s="21">
        <f>IF(J3542="Yes","",IF(H3542&gt;=I3542,1,0))</f>
        <v/>
      </c>
      <c r="O3542" s="21">
        <f>IF(I3542&lt;=5000000,"Under $5M",IF(I3542&lt;=20000000,"$5M-20M",IF(I3542&lt;=50000000,"$20M-50M",IF(I3542&lt;=100000000,"$50M-100M","$100M+"))))</f>
        <v/>
      </c>
      <c r="P3542" s="21">
        <f>IF(E3542&lt;=90,"90 or less",IF(E3542&lt;=105,"91-105",IF(E3542&lt;=120,"106-120",IF(E3542&lt;=140,"121-140","Over 140"))))</f>
        <v/>
      </c>
      <c r="Q3542" s="28">
        <f>INT(C3542/10)*10</f>
        <v/>
      </c>
    </row>
    <row r="3543">
      <c r="A3543" s="21" t="n">
        <v>3616</v>
      </c>
      <c r="B3543" s="21" t="inlineStr">
        <is>
          <t>The King's Speech</t>
        </is>
      </c>
      <c r="C3543" s="21" t="n">
        <v>2010</v>
      </c>
      <c r="D3543" s="21" t="inlineStr">
        <is>
          <t>UK</t>
        </is>
      </c>
      <c r="E3543" s="21" t="n">
        <v>118</v>
      </c>
      <c r="F3543" s="21" t="inlineStr">
        <is>
          <t>English</t>
        </is>
      </c>
      <c r="G3543" s="21" t="inlineStr">
        <is>
          <t>R</t>
        </is>
      </c>
      <c r="H3543" s="22" t="n">
        <v>138795342</v>
      </c>
      <c r="I3543" s="22" t="n">
        <v>15000000</v>
      </c>
      <c r="J3543" s="21">
        <f>IF(OR(H3543="",H3543=25529689.5),"Yes","No")</f>
        <v/>
      </c>
      <c r="K3543" s="21">
        <f>IF(AND(D3543="USA",C3543&gt;=1980,J3543="No"),"Yes","No")</f>
        <v/>
      </c>
      <c r="L3543" s="26">
        <f>IF(J3543="Yes","",H3543-I3543)</f>
        <v/>
      </c>
      <c r="M3543" s="27">
        <f>IF(OR(J3543="Yes",I3543=0),"",H3543/I3543)</f>
        <v/>
      </c>
      <c r="N3543" s="21">
        <f>IF(J3543="Yes","",IF(H3543&gt;=I3543,1,0))</f>
        <v/>
      </c>
      <c r="O3543" s="21">
        <f>IF(I3543&lt;=5000000,"Under $5M",IF(I3543&lt;=20000000,"$5M-20M",IF(I3543&lt;=50000000,"$20M-50M",IF(I3543&lt;=100000000,"$50M-100M","$100M+"))))</f>
        <v/>
      </c>
      <c r="P3543" s="21">
        <f>IF(E3543&lt;=90,"90 or less",IF(E3543&lt;=105,"91-105",IF(E3543&lt;=120,"106-120",IF(E3543&lt;=140,"121-140","Over 140"))))</f>
        <v/>
      </c>
      <c r="Q3543" s="28">
        <f>INT(C3543/10)*10</f>
        <v/>
      </c>
    </row>
    <row r="3544">
      <c r="A3544" s="21" t="n">
        <v>3617</v>
      </c>
      <c r="B3544" s="21" t="inlineStr">
        <is>
          <t>The Last Airbender</t>
        </is>
      </c>
      <c r="C3544" s="21" t="n">
        <v>2010</v>
      </c>
      <c r="D3544" s="21" t="inlineStr">
        <is>
          <t>USA</t>
        </is>
      </c>
      <c r="E3544" s="21" t="n">
        <v>103</v>
      </c>
      <c r="F3544" s="21" t="inlineStr">
        <is>
          <t>English</t>
        </is>
      </c>
      <c r="G3544" s="21" t="inlineStr">
        <is>
          <t>PG</t>
        </is>
      </c>
      <c r="H3544" s="22" t="n">
        <v>131564731</v>
      </c>
      <c r="I3544" s="22" t="n">
        <v>150000000</v>
      </c>
      <c r="J3544" s="21">
        <f>IF(OR(H3544="",H3544=25529689.5),"Yes","No")</f>
        <v/>
      </c>
      <c r="K3544" s="21">
        <f>IF(AND(D3544="USA",C3544&gt;=1980,J3544="No"),"Yes","No")</f>
        <v/>
      </c>
      <c r="L3544" s="26">
        <f>IF(J3544="Yes","",H3544-I3544)</f>
        <v/>
      </c>
      <c r="M3544" s="27">
        <f>IF(OR(J3544="Yes",I3544=0),"",H3544/I3544)</f>
        <v/>
      </c>
      <c r="N3544" s="21">
        <f>IF(J3544="Yes","",IF(H3544&gt;=I3544,1,0))</f>
        <v/>
      </c>
      <c r="O3544" s="21">
        <f>IF(I3544&lt;=5000000,"Under $5M",IF(I3544&lt;=20000000,"$5M-20M",IF(I3544&lt;=50000000,"$20M-50M",IF(I3544&lt;=100000000,"$50M-100M","$100M+"))))</f>
        <v/>
      </c>
      <c r="P3544" s="21">
        <f>IF(E3544&lt;=90,"90 or less",IF(E3544&lt;=105,"91-105",IF(E3544&lt;=120,"106-120",IF(E3544&lt;=140,"121-140","Over 140"))))</f>
        <v/>
      </c>
      <c r="Q3544" s="28">
        <f>INT(C3544/10)*10</f>
        <v/>
      </c>
    </row>
    <row r="3545">
      <c r="A3545" s="21" t="n">
        <v>3618</v>
      </c>
      <c r="B3545" s="21" t="inlineStr">
        <is>
          <t>The Last Exorcism</t>
        </is>
      </c>
      <c r="C3545" s="21" t="n">
        <v>2010</v>
      </c>
      <c r="D3545" s="21" t="inlineStr">
        <is>
          <t>France</t>
        </is>
      </c>
      <c r="E3545" s="21" t="n">
        <v>87</v>
      </c>
      <c r="F3545" s="21" t="inlineStr">
        <is>
          <t>English</t>
        </is>
      </c>
      <c r="G3545" s="21" t="inlineStr">
        <is>
          <t>PG-13</t>
        </is>
      </c>
      <c r="H3545" s="22" t="n">
        <v>40990055</v>
      </c>
      <c r="I3545" s="22" t="n">
        <v>1800000</v>
      </c>
      <c r="J3545" s="21">
        <f>IF(OR(H3545="",H3545=25529689.5),"Yes","No")</f>
        <v/>
      </c>
      <c r="K3545" s="21">
        <f>IF(AND(D3545="USA",C3545&gt;=1980,J3545="No"),"Yes","No")</f>
        <v/>
      </c>
      <c r="L3545" s="26">
        <f>IF(J3545="Yes","",H3545-I3545)</f>
        <v/>
      </c>
      <c r="M3545" s="27">
        <f>IF(OR(J3545="Yes",I3545=0),"",H3545/I3545)</f>
        <v/>
      </c>
      <c r="N3545" s="21">
        <f>IF(J3545="Yes","",IF(H3545&gt;=I3545,1,0))</f>
        <v/>
      </c>
      <c r="O3545" s="21">
        <f>IF(I3545&lt;=5000000,"Under $5M",IF(I3545&lt;=20000000,"$5M-20M",IF(I3545&lt;=50000000,"$20M-50M",IF(I3545&lt;=100000000,"$50M-100M","$100M+"))))</f>
        <v/>
      </c>
      <c r="P3545" s="21">
        <f>IF(E3545&lt;=90,"90 or less",IF(E3545&lt;=105,"91-105",IF(E3545&lt;=120,"106-120",IF(E3545&lt;=140,"121-140","Over 140"))))</f>
        <v/>
      </c>
      <c r="Q3545" s="28">
        <f>INT(C3545/10)*10</f>
        <v/>
      </c>
    </row>
    <row r="3546">
      <c r="A3546" s="21" t="n">
        <v>3619</v>
      </c>
      <c r="B3546" s="21" t="inlineStr">
        <is>
          <t>The Last Godfather</t>
        </is>
      </c>
      <c r="C3546" s="21" t="n">
        <v>2010</v>
      </c>
      <c r="D3546" s="21" t="inlineStr">
        <is>
          <t>South Korea</t>
        </is>
      </c>
      <c r="E3546" s="21" t="n">
        <v>100</v>
      </c>
      <c r="F3546" s="21" t="inlineStr">
        <is>
          <t>English</t>
        </is>
      </c>
      <c r="G3546" s="21" t="inlineStr">
        <is>
          <t>PG-13</t>
        </is>
      </c>
      <c r="H3546" s="22" t="n">
        <v>163591</v>
      </c>
      <c r="I3546" s="22" t="n">
        <v>13400000</v>
      </c>
      <c r="J3546" s="21">
        <f>IF(OR(H3546="",H3546=25529689.5),"Yes","No")</f>
        <v/>
      </c>
      <c r="K3546" s="21">
        <f>IF(AND(D3546="USA",C3546&gt;=1980,J3546="No"),"Yes","No")</f>
        <v/>
      </c>
      <c r="L3546" s="26">
        <f>IF(J3546="Yes","",H3546-I3546)</f>
        <v/>
      </c>
      <c r="M3546" s="27">
        <f>IF(OR(J3546="Yes",I3546=0),"",H3546/I3546)</f>
        <v/>
      </c>
      <c r="N3546" s="21">
        <f>IF(J3546="Yes","",IF(H3546&gt;=I3546,1,0))</f>
        <v/>
      </c>
      <c r="O3546" s="21">
        <f>IF(I3546&lt;=5000000,"Under $5M",IF(I3546&lt;=20000000,"$5M-20M",IF(I3546&lt;=50000000,"$20M-50M",IF(I3546&lt;=100000000,"$50M-100M","$100M+"))))</f>
        <v/>
      </c>
      <c r="P3546" s="21">
        <f>IF(E3546&lt;=90,"90 or less",IF(E3546&lt;=105,"91-105",IF(E3546&lt;=120,"106-120",IF(E3546&lt;=140,"121-140","Over 140"))))</f>
        <v/>
      </c>
      <c r="Q3546" s="28">
        <f>INT(C3546/10)*10</f>
        <v/>
      </c>
    </row>
    <row r="3547">
      <c r="A3547" s="21" t="n">
        <v>3620</v>
      </c>
      <c r="B3547" s="21" t="inlineStr">
        <is>
          <t>The Last Song</t>
        </is>
      </c>
      <c r="C3547" s="21" t="n">
        <v>2010</v>
      </c>
      <c r="D3547" s="21" t="inlineStr">
        <is>
          <t>USA</t>
        </is>
      </c>
      <c r="E3547" s="21" t="n">
        <v>107</v>
      </c>
      <c r="F3547" s="21" t="inlineStr">
        <is>
          <t>English</t>
        </is>
      </c>
      <c r="G3547" s="21" t="inlineStr">
        <is>
          <t>PG</t>
        </is>
      </c>
      <c r="H3547" s="22" t="n">
        <v>62933793</v>
      </c>
      <c r="I3547" s="22" t="n">
        <v>20000000</v>
      </c>
      <c r="J3547" s="21">
        <f>IF(OR(H3547="",H3547=25529689.5),"Yes","No")</f>
        <v/>
      </c>
      <c r="K3547" s="21">
        <f>IF(AND(D3547="USA",C3547&gt;=1980,J3547="No"),"Yes","No")</f>
        <v/>
      </c>
      <c r="L3547" s="26">
        <f>IF(J3547="Yes","",H3547-I3547)</f>
        <v/>
      </c>
      <c r="M3547" s="27">
        <f>IF(OR(J3547="Yes",I3547=0),"",H3547/I3547)</f>
        <v/>
      </c>
      <c r="N3547" s="21">
        <f>IF(J3547="Yes","",IF(H3547&gt;=I3547,1,0))</f>
        <v/>
      </c>
      <c r="O3547" s="21">
        <f>IF(I3547&lt;=5000000,"Under $5M",IF(I3547&lt;=20000000,"$5M-20M",IF(I3547&lt;=50000000,"$20M-50M",IF(I3547&lt;=100000000,"$50M-100M","$100M+"))))</f>
        <v/>
      </c>
      <c r="P3547" s="21">
        <f>IF(E3547&lt;=90,"90 or less",IF(E3547&lt;=105,"91-105",IF(E3547&lt;=120,"106-120",IF(E3547&lt;=140,"121-140","Over 140"))))</f>
        <v/>
      </c>
      <c r="Q3547" s="28">
        <f>INT(C3547/10)*10</f>
        <v/>
      </c>
    </row>
    <row r="3548">
      <c r="A3548" s="21" t="n">
        <v>3621</v>
      </c>
      <c r="B3548" s="21" t="inlineStr">
        <is>
          <t>The Losers</t>
        </is>
      </c>
      <c r="C3548" s="21" t="n">
        <v>2010</v>
      </c>
      <c r="D3548" s="21" t="inlineStr">
        <is>
          <t>USA</t>
        </is>
      </c>
      <c r="E3548" s="21" t="n">
        <v>97</v>
      </c>
      <c r="F3548" s="21" t="inlineStr">
        <is>
          <t>English</t>
        </is>
      </c>
      <c r="G3548" s="21" t="inlineStr">
        <is>
          <t>PG-13</t>
        </is>
      </c>
      <c r="H3548" s="22" t="n">
        <v>23527955</v>
      </c>
      <c r="I3548" s="22" t="n">
        <v>25000000</v>
      </c>
      <c r="J3548" s="21">
        <f>IF(OR(H3548="",H3548=25529689.5),"Yes","No")</f>
        <v/>
      </c>
      <c r="K3548" s="21">
        <f>IF(AND(D3548="USA",C3548&gt;=1980,J3548="No"),"Yes","No")</f>
        <v/>
      </c>
      <c r="L3548" s="26">
        <f>IF(J3548="Yes","",H3548-I3548)</f>
        <v/>
      </c>
      <c r="M3548" s="27">
        <f>IF(OR(J3548="Yes",I3548=0),"",H3548/I3548)</f>
        <v/>
      </c>
      <c r="N3548" s="21">
        <f>IF(J3548="Yes","",IF(H3548&gt;=I3548,1,0))</f>
        <v/>
      </c>
      <c r="O3548" s="21">
        <f>IF(I3548&lt;=5000000,"Under $5M",IF(I3548&lt;=20000000,"$5M-20M",IF(I3548&lt;=50000000,"$20M-50M",IF(I3548&lt;=100000000,"$50M-100M","$100M+"))))</f>
        <v/>
      </c>
      <c r="P3548" s="21">
        <f>IF(E3548&lt;=90,"90 or less",IF(E3548&lt;=105,"91-105",IF(E3548&lt;=120,"106-120",IF(E3548&lt;=140,"121-140","Over 140"))))</f>
        <v/>
      </c>
      <c r="Q3548" s="28">
        <f>INT(C3548/10)*10</f>
        <v/>
      </c>
    </row>
    <row r="3549">
      <c r="A3549" s="21" t="n">
        <v>3622</v>
      </c>
      <c r="B3549" s="21" t="inlineStr">
        <is>
          <t>The Names of Love</t>
        </is>
      </c>
      <c r="C3549" s="21" t="n">
        <v>2010</v>
      </c>
      <c r="D3549" s="21" t="inlineStr">
        <is>
          <t>France</t>
        </is>
      </c>
      <c r="E3549" s="21" t="n">
        <v>100</v>
      </c>
      <c r="F3549" s="21" t="inlineStr">
        <is>
          <t>French</t>
        </is>
      </c>
      <c r="G3549" s="21" t="inlineStr">
        <is>
          <t>R</t>
        </is>
      </c>
      <c r="H3549" s="22" t="n">
        <v>513836</v>
      </c>
      <c r="I3549" s="22" t="n">
        <v>4600000</v>
      </c>
      <c r="J3549" s="21">
        <f>IF(OR(H3549="",H3549=25529689.5),"Yes","No")</f>
        <v/>
      </c>
      <c r="K3549" s="21">
        <f>IF(AND(D3549="USA",C3549&gt;=1980,J3549="No"),"Yes","No")</f>
        <v/>
      </c>
      <c r="L3549" s="26">
        <f>IF(J3549="Yes","",H3549-I3549)</f>
        <v/>
      </c>
      <c r="M3549" s="27">
        <f>IF(OR(J3549="Yes",I3549=0),"",H3549/I3549)</f>
        <v/>
      </c>
      <c r="N3549" s="21">
        <f>IF(J3549="Yes","",IF(H3549&gt;=I3549,1,0))</f>
        <v/>
      </c>
      <c r="O3549" s="21">
        <f>IF(I3549&lt;=5000000,"Under $5M",IF(I3549&lt;=20000000,"$5M-20M",IF(I3549&lt;=50000000,"$20M-50M",IF(I3549&lt;=100000000,"$50M-100M","$100M+"))))</f>
        <v/>
      </c>
      <c r="P3549" s="21">
        <f>IF(E3549&lt;=90,"90 or less",IF(E3549&lt;=105,"91-105",IF(E3549&lt;=120,"106-120",IF(E3549&lt;=140,"121-140","Over 140"))))</f>
        <v/>
      </c>
      <c r="Q3549" s="28">
        <f>INT(C3549/10)*10</f>
        <v/>
      </c>
    </row>
    <row r="3550">
      <c r="A3550" s="21" t="n">
        <v>3623</v>
      </c>
      <c r="B3550" s="21" t="inlineStr">
        <is>
          <t>The Next Three Days</t>
        </is>
      </c>
      <c r="C3550" s="21" t="n">
        <v>2010</v>
      </c>
      <c r="D3550" s="21" t="inlineStr">
        <is>
          <t>USA</t>
        </is>
      </c>
      <c r="E3550" s="21" t="n">
        <v>133</v>
      </c>
      <c r="F3550" s="21" t="inlineStr">
        <is>
          <t>English</t>
        </is>
      </c>
      <c r="G3550" s="21" t="inlineStr">
        <is>
          <t>PG-13</t>
        </is>
      </c>
      <c r="H3550" s="22" t="n">
        <v>21129348</v>
      </c>
      <c r="I3550" s="22" t="n">
        <v>35000000</v>
      </c>
      <c r="J3550" s="21">
        <f>IF(OR(H3550="",H3550=25529689.5),"Yes","No")</f>
        <v/>
      </c>
      <c r="K3550" s="21">
        <f>IF(AND(D3550="USA",C3550&gt;=1980,J3550="No"),"Yes","No")</f>
        <v/>
      </c>
      <c r="L3550" s="26">
        <f>IF(J3550="Yes","",H3550-I3550)</f>
        <v/>
      </c>
      <c r="M3550" s="27">
        <f>IF(OR(J3550="Yes",I3550=0),"",H3550/I3550)</f>
        <v/>
      </c>
      <c r="N3550" s="21">
        <f>IF(J3550="Yes","",IF(H3550&gt;=I3550,1,0))</f>
        <v/>
      </c>
      <c r="O3550" s="21">
        <f>IF(I3550&lt;=5000000,"Under $5M",IF(I3550&lt;=20000000,"$5M-20M",IF(I3550&lt;=50000000,"$20M-50M",IF(I3550&lt;=100000000,"$50M-100M","$100M+"))))</f>
        <v/>
      </c>
      <c r="P3550" s="21">
        <f>IF(E3550&lt;=90,"90 or less",IF(E3550&lt;=105,"91-105",IF(E3550&lt;=120,"106-120",IF(E3550&lt;=140,"121-140","Over 140"))))</f>
        <v/>
      </c>
      <c r="Q3550" s="28">
        <f>INT(C3550/10)*10</f>
        <v/>
      </c>
    </row>
    <row r="3551">
      <c r="A3551" s="21" t="n">
        <v>3624</v>
      </c>
      <c r="B3551" s="21" t="inlineStr">
        <is>
          <t>The Nutcracker in 3D</t>
        </is>
      </c>
      <c r="C3551" s="21" t="n">
        <v>2010</v>
      </c>
      <c r="D3551" s="21" t="inlineStr">
        <is>
          <t>UK</t>
        </is>
      </c>
      <c r="E3551" s="21" t="n">
        <v>110</v>
      </c>
      <c r="F3551" s="21" t="inlineStr">
        <is>
          <t>English</t>
        </is>
      </c>
      <c r="G3551" s="21" t="inlineStr">
        <is>
          <t>PG</t>
        </is>
      </c>
      <c r="H3551" s="22" t="n">
        <v>190562</v>
      </c>
      <c r="I3551" s="22" t="n">
        <v>90000000</v>
      </c>
      <c r="J3551" s="21">
        <f>IF(OR(H3551="",H3551=25529689.5),"Yes","No")</f>
        <v/>
      </c>
      <c r="K3551" s="21">
        <f>IF(AND(D3551="USA",C3551&gt;=1980,J3551="No"),"Yes","No")</f>
        <v/>
      </c>
      <c r="L3551" s="26">
        <f>IF(J3551="Yes","",H3551-I3551)</f>
        <v/>
      </c>
      <c r="M3551" s="27">
        <f>IF(OR(J3551="Yes",I3551=0),"",H3551/I3551)</f>
        <v/>
      </c>
      <c r="N3551" s="21">
        <f>IF(J3551="Yes","",IF(H3551&gt;=I3551,1,0))</f>
        <v/>
      </c>
      <c r="O3551" s="21">
        <f>IF(I3551&lt;=5000000,"Under $5M",IF(I3551&lt;=20000000,"$5M-20M",IF(I3551&lt;=50000000,"$20M-50M",IF(I3551&lt;=100000000,"$50M-100M","$100M+"))))</f>
        <v/>
      </c>
      <c r="P3551" s="21">
        <f>IF(E3551&lt;=90,"90 or less",IF(E3551&lt;=105,"91-105",IF(E3551&lt;=120,"106-120",IF(E3551&lt;=140,"121-140","Over 140"))))</f>
        <v/>
      </c>
      <c r="Q3551" s="28">
        <f>INT(C3551/10)*10</f>
        <v/>
      </c>
    </row>
    <row r="3552">
      <c r="A3552" s="21" t="n">
        <v>3625</v>
      </c>
      <c r="B3552" s="21" t="inlineStr">
        <is>
          <t>The Other Guys</t>
        </is>
      </c>
      <c r="C3552" s="21" t="n">
        <v>2010</v>
      </c>
      <c r="D3552" s="21" t="inlineStr">
        <is>
          <t>USA</t>
        </is>
      </c>
      <c r="E3552" s="21" t="n">
        <v>116</v>
      </c>
      <c r="F3552" s="21" t="inlineStr">
        <is>
          <t>English</t>
        </is>
      </c>
      <c r="G3552" s="21" t="inlineStr">
        <is>
          <t>PG-13</t>
        </is>
      </c>
      <c r="H3552" s="22" t="n">
        <v>119219978</v>
      </c>
      <c r="I3552" s="22" t="n">
        <v>100000000</v>
      </c>
      <c r="J3552" s="21">
        <f>IF(OR(H3552="",H3552=25529689.5),"Yes","No")</f>
        <v/>
      </c>
      <c r="K3552" s="21">
        <f>IF(AND(D3552="USA",C3552&gt;=1980,J3552="No"),"Yes","No")</f>
        <v/>
      </c>
      <c r="L3552" s="26">
        <f>IF(J3552="Yes","",H3552-I3552)</f>
        <v/>
      </c>
      <c r="M3552" s="27">
        <f>IF(OR(J3552="Yes",I3552=0),"",H3552/I3552)</f>
        <v/>
      </c>
      <c r="N3552" s="21">
        <f>IF(J3552="Yes","",IF(H3552&gt;=I3552,1,0))</f>
        <v/>
      </c>
      <c r="O3552" s="21">
        <f>IF(I3552&lt;=5000000,"Under $5M",IF(I3552&lt;=20000000,"$5M-20M",IF(I3552&lt;=50000000,"$20M-50M",IF(I3552&lt;=100000000,"$50M-100M","$100M+"))))</f>
        <v/>
      </c>
      <c r="P3552" s="21">
        <f>IF(E3552&lt;=90,"90 or less",IF(E3552&lt;=105,"91-105",IF(E3552&lt;=120,"106-120",IF(E3552&lt;=140,"121-140","Over 140"))))</f>
        <v/>
      </c>
      <c r="Q3552" s="28">
        <f>INT(C3552/10)*10</f>
        <v/>
      </c>
    </row>
    <row r="3553">
      <c r="A3553" s="21" t="n">
        <v>3626</v>
      </c>
      <c r="B3553" s="21" t="inlineStr">
        <is>
          <t>The Perfect Host</t>
        </is>
      </c>
      <c r="C3553" s="21" t="n">
        <v>2010</v>
      </c>
      <c r="D3553" s="21" t="inlineStr">
        <is>
          <t>USA</t>
        </is>
      </c>
      <c r="E3553" s="21" t="n">
        <v>93</v>
      </c>
      <c r="F3553" s="21" t="inlineStr">
        <is>
          <t>English</t>
        </is>
      </c>
      <c r="G3553" s="21" t="inlineStr">
        <is>
          <t>R</t>
        </is>
      </c>
      <c r="H3553" s="22" t="n">
        <v>48430</v>
      </c>
      <c r="I3553" s="22" t="n">
        <v>500000</v>
      </c>
      <c r="J3553" s="21">
        <f>IF(OR(H3553="",H3553=25529689.5),"Yes","No")</f>
        <v/>
      </c>
      <c r="K3553" s="21">
        <f>IF(AND(D3553="USA",C3553&gt;=1980,J3553="No"),"Yes","No")</f>
        <v/>
      </c>
      <c r="L3553" s="26">
        <f>IF(J3553="Yes","",H3553-I3553)</f>
        <v/>
      </c>
      <c r="M3553" s="27">
        <f>IF(OR(J3553="Yes",I3553=0),"",H3553/I3553)</f>
        <v/>
      </c>
      <c r="N3553" s="21">
        <f>IF(J3553="Yes","",IF(H3553&gt;=I3553,1,0))</f>
        <v/>
      </c>
      <c r="O3553" s="21">
        <f>IF(I3553&lt;=5000000,"Under $5M",IF(I3553&lt;=20000000,"$5M-20M",IF(I3553&lt;=50000000,"$20M-50M",IF(I3553&lt;=100000000,"$50M-100M","$100M+"))))</f>
        <v/>
      </c>
      <c r="P3553" s="21">
        <f>IF(E3553&lt;=90,"90 or less",IF(E3553&lt;=105,"91-105",IF(E3553&lt;=120,"106-120",IF(E3553&lt;=140,"121-140","Over 140"))))</f>
        <v/>
      </c>
      <c r="Q3553" s="28">
        <f>INT(C3553/10)*10</f>
        <v/>
      </c>
    </row>
    <row r="3554">
      <c r="A3554" s="21" t="n">
        <v>3627</v>
      </c>
      <c r="B3554" s="21" t="inlineStr">
        <is>
          <t>The Reef</t>
        </is>
      </c>
      <c r="C3554" s="21" t="n">
        <v>2010</v>
      </c>
      <c r="D3554" s="21" t="inlineStr">
        <is>
          <t>Australia</t>
        </is>
      </c>
      <c r="E3554" s="21" t="n">
        <v>94</v>
      </c>
      <c r="F3554" s="21" t="inlineStr">
        <is>
          <t>English</t>
        </is>
      </c>
      <c r="G3554" s="21" t="inlineStr">
        <is>
          <t>R</t>
        </is>
      </c>
      <c r="H3554" s="22" t="n">
        <v>25529689.5</v>
      </c>
      <c r="I3554" s="22" t="n">
        <v>20000000</v>
      </c>
      <c r="J3554" s="21">
        <f>IF(OR(H3554="",H3554=25529689.5),"Yes","No")</f>
        <v/>
      </c>
      <c r="K3554" s="21">
        <f>IF(AND(D3554="USA",C3554&gt;=1980,J3554="No"),"Yes","No")</f>
        <v/>
      </c>
      <c r="L3554" s="26">
        <f>IF(J3554="Yes","",H3554-I3554)</f>
        <v/>
      </c>
      <c r="M3554" s="27">
        <f>IF(OR(J3554="Yes",I3554=0),"",H3554/I3554)</f>
        <v/>
      </c>
      <c r="N3554" s="21">
        <f>IF(J3554="Yes","",IF(H3554&gt;=I3554,1,0))</f>
        <v/>
      </c>
      <c r="O3554" s="21">
        <f>IF(I3554&lt;=5000000,"Under $5M",IF(I3554&lt;=20000000,"$5M-20M",IF(I3554&lt;=50000000,"$20M-50M",IF(I3554&lt;=100000000,"$50M-100M","$100M+"))))</f>
        <v/>
      </c>
      <c r="P3554" s="21">
        <f>IF(E3554&lt;=90,"90 or less",IF(E3554&lt;=105,"91-105",IF(E3554&lt;=120,"106-120",IF(E3554&lt;=140,"121-140","Over 140"))))</f>
        <v/>
      </c>
      <c r="Q3554" s="28">
        <f>INT(C3554/10)*10</f>
        <v/>
      </c>
    </row>
    <row r="3555">
      <c r="A3555" s="21" t="n">
        <v>3628</v>
      </c>
      <c r="B3555" s="21" t="inlineStr">
        <is>
          <t>The Runaways</t>
        </is>
      </c>
      <c r="C3555" s="21" t="n">
        <v>2010</v>
      </c>
      <c r="D3555" s="21" t="inlineStr">
        <is>
          <t>USA</t>
        </is>
      </c>
      <c r="E3555" s="21" t="n">
        <v>106</v>
      </c>
      <c r="F3555" s="21" t="inlineStr">
        <is>
          <t>English</t>
        </is>
      </c>
      <c r="G3555" s="21" t="inlineStr">
        <is>
          <t>R</t>
        </is>
      </c>
      <c r="H3555" s="22" t="n">
        <v>3571735</v>
      </c>
      <c r="I3555" s="22" t="n">
        <v>10000000</v>
      </c>
      <c r="J3555" s="21">
        <f>IF(OR(H3555="",H3555=25529689.5),"Yes","No")</f>
        <v/>
      </c>
      <c r="K3555" s="21">
        <f>IF(AND(D3555="USA",C3555&gt;=1980,J3555="No"),"Yes","No")</f>
        <v/>
      </c>
      <c r="L3555" s="26">
        <f>IF(J3555="Yes","",H3555-I3555)</f>
        <v/>
      </c>
      <c r="M3555" s="27">
        <f>IF(OR(J3555="Yes",I3555=0),"",H3555/I3555)</f>
        <v/>
      </c>
      <c r="N3555" s="21">
        <f>IF(J3555="Yes","",IF(H3555&gt;=I3555,1,0))</f>
        <v/>
      </c>
      <c r="O3555" s="21">
        <f>IF(I3555&lt;=5000000,"Under $5M",IF(I3555&lt;=20000000,"$5M-20M",IF(I3555&lt;=50000000,"$20M-50M",IF(I3555&lt;=100000000,"$50M-100M","$100M+"))))</f>
        <v/>
      </c>
      <c r="P3555" s="21">
        <f>IF(E3555&lt;=90,"90 or less",IF(E3555&lt;=105,"91-105",IF(E3555&lt;=120,"106-120",IF(E3555&lt;=140,"121-140","Over 140"))))</f>
        <v/>
      </c>
      <c r="Q3555" s="28">
        <f>INT(C3555/10)*10</f>
        <v/>
      </c>
    </row>
    <row r="3556">
      <c r="A3556" s="21" t="n">
        <v>3629</v>
      </c>
      <c r="B3556" s="21" t="inlineStr">
        <is>
          <t>The Social Network</t>
        </is>
      </c>
      <c r="C3556" s="21" t="n">
        <v>2010</v>
      </c>
      <c r="D3556" s="21" t="inlineStr">
        <is>
          <t>USA</t>
        </is>
      </c>
      <c r="E3556" s="21" t="n">
        <v>120</v>
      </c>
      <c r="F3556" s="21" t="inlineStr">
        <is>
          <t>English</t>
        </is>
      </c>
      <c r="G3556" s="21" t="inlineStr">
        <is>
          <t>PG-13</t>
        </is>
      </c>
      <c r="H3556" s="22" t="n">
        <v>96917897</v>
      </c>
      <c r="I3556" s="22" t="n">
        <v>40000000</v>
      </c>
      <c r="J3556" s="21">
        <f>IF(OR(H3556="",H3556=25529689.5),"Yes","No")</f>
        <v/>
      </c>
      <c r="K3556" s="21">
        <f>IF(AND(D3556="USA",C3556&gt;=1980,J3556="No"),"Yes","No")</f>
        <v/>
      </c>
      <c r="L3556" s="26">
        <f>IF(J3556="Yes","",H3556-I3556)</f>
        <v/>
      </c>
      <c r="M3556" s="27">
        <f>IF(OR(J3556="Yes",I3556=0),"",H3556/I3556)</f>
        <v/>
      </c>
      <c r="N3556" s="21">
        <f>IF(J3556="Yes","",IF(H3556&gt;=I3556,1,0))</f>
        <v/>
      </c>
      <c r="O3556" s="21">
        <f>IF(I3556&lt;=5000000,"Under $5M",IF(I3556&lt;=20000000,"$5M-20M",IF(I3556&lt;=50000000,"$20M-50M",IF(I3556&lt;=100000000,"$50M-100M","$100M+"))))</f>
        <v/>
      </c>
      <c r="P3556" s="21">
        <f>IF(E3556&lt;=90,"90 or less",IF(E3556&lt;=105,"91-105",IF(E3556&lt;=120,"106-120",IF(E3556&lt;=140,"121-140","Over 140"))))</f>
        <v/>
      </c>
      <c r="Q3556" s="28">
        <f>INT(C3556/10)*10</f>
        <v/>
      </c>
    </row>
    <row r="3557">
      <c r="A3557" s="21" t="n">
        <v>3630</v>
      </c>
      <c r="B3557" s="21" t="inlineStr">
        <is>
          <t>The Sorcerer's Apprentice</t>
        </is>
      </c>
      <c r="C3557" s="21" t="n">
        <v>2010</v>
      </c>
      <c r="D3557" s="21" t="inlineStr">
        <is>
          <t>USA</t>
        </is>
      </c>
      <c r="E3557" s="21" t="n">
        <v>109</v>
      </c>
      <c r="F3557" s="21" t="inlineStr">
        <is>
          <t>English</t>
        </is>
      </c>
      <c r="G3557" s="21" t="inlineStr">
        <is>
          <t>PG</t>
        </is>
      </c>
      <c r="H3557" s="22" t="n">
        <v>63143812</v>
      </c>
      <c r="I3557" s="22" t="n">
        <v>150000000</v>
      </c>
      <c r="J3557" s="21">
        <f>IF(OR(H3557="",H3557=25529689.5),"Yes","No")</f>
        <v/>
      </c>
      <c r="K3557" s="21">
        <f>IF(AND(D3557="USA",C3557&gt;=1980,J3557="No"),"Yes","No")</f>
        <v/>
      </c>
      <c r="L3557" s="26">
        <f>IF(J3557="Yes","",H3557-I3557)</f>
        <v/>
      </c>
      <c r="M3557" s="27">
        <f>IF(OR(J3557="Yes",I3557=0),"",H3557/I3557)</f>
        <v/>
      </c>
      <c r="N3557" s="21">
        <f>IF(J3557="Yes","",IF(H3557&gt;=I3557,1,0))</f>
        <v/>
      </c>
      <c r="O3557" s="21">
        <f>IF(I3557&lt;=5000000,"Under $5M",IF(I3557&lt;=20000000,"$5M-20M",IF(I3557&lt;=50000000,"$20M-50M",IF(I3557&lt;=100000000,"$50M-100M","$100M+"))))</f>
        <v/>
      </c>
      <c r="P3557" s="21">
        <f>IF(E3557&lt;=90,"90 or less",IF(E3557&lt;=105,"91-105",IF(E3557&lt;=120,"106-120",IF(E3557&lt;=140,"121-140","Over 140"))))</f>
        <v/>
      </c>
      <c r="Q3557" s="28">
        <f>INT(C3557/10)*10</f>
        <v/>
      </c>
    </row>
    <row r="3558">
      <c r="A3558" s="21" t="n">
        <v>3631</v>
      </c>
      <c r="B3558" s="21" t="inlineStr">
        <is>
          <t>The Spy Next Door</t>
        </is>
      </c>
      <c r="C3558" s="21" t="n">
        <v>2010</v>
      </c>
      <c r="D3558" s="21" t="inlineStr">
        <is>
          <t>USA</t>
        </is>
      </c>
      <c r="E3558" s="21" t="n">
        <v>94</v>
      </c>
      <c r="F3558" s="21" t="inlineStr">
        <is>
          <t>English</t>
        </is>
      </c>
      <c r="G3558" s="21" t="inlineStr">
        <is>
          <t>PG</t>
        </is>
      </c>
      <c r="H3558" s="22" t="n">
        <v>24268828</v>
      </c>
      <c r="I3558" s="22" t="n">
        <v>28000000</v>
      </c>
      <c r="J3558" s="21">
        <f>IF(OR(H3558="",H3558=25529689.5),"Yes","No")</f>
        <v/>
      </c>
      <c r="K3558" s="21">
        <f>IF(AND(D3558="USA",C3558&gt;=1980,J3558="No"),"Yes","No")</f>
        <v/>
      </c>
      <c r="L3558" s="26">
        <f>IF(J3558="Yes","",H3558-I3558)</f>
        <v/>
      </c>
      <c r="M3558" s="27">
        <f>IF(OR(J3558="Yes",I3558=0),"",H3558/I3558)</f>
        <v/>
      </c>
      <c r="N3558" s="21">
        <f>IF(J3558="Yes","",IF(H3558&gt;=I3558,1,0))</f>
        <v/>
      </c>
      <c r="O3558" s="21">
        <f>IF(I3558&lt;=5000000,"Under $5M",IF(I3558&lt;=20000000,"$5M-20M",IF(I3558&lt;=50000000,"$20M-50M",IF(I3558&lt;=100000000,"$50M-100M","$100M+"))))</f>
        <v/>
      </c>
      <c r="P3558" s="21">
        <f>IF(E3558&lt;=90,"90 or less",IF(E3558&lt;=105,"91-105",IF(E3558&lt;=120,"106-120",IF(E3558&lt;=140,"121-140","Over 140"))))</f>
        <v/>
      </c>
      <c r="Q3558" s="28">
        <f>INT(C3558/10)*10</f>
        <v/>
      </c>
    </row>
    <row r="3559">
      <c r="A3559" s="21" t="n">
        <v>3632</v>
      </c>
      <c r="B3559" s="21" t="inlineStr">
        <is>
          <t>The Switch</t>
        </is>
      </c>
      <c r="C3559" s="21" t="n">
        <v>2010</v>
      </c>
      <c r="D3559" s="21" t="inlineStr">
        <is>
          <t>USA</t>
        </is>
      </c>
      <c r="E3559" s="21" t="n">
        <v>101</v>
      </c>
      <c r="F3559" s="21" t="inlineStr">
        <is>
          <t>English</t>
        </is>
      </c>
      <c r="G3559" s="21" t="inlineStr">
        <is>
          <t>PG-13</t>
        </is>
      </c>
      <c r="H3559" s="22" t="n">
        <v>27758465</v>
      </c>
      <c r="I3559" s="22" t="n">
        <v>19000000</v>
      </c>
      <c r="J3559" s="21">
        <f>IF(OR(H3559="",H3559=25529689.5),"Yes","No")</f>
        <v/>
      </c>
      <c r="K3559" s="21">
        <f>IF(AND(D3559="USA",C3559&gt;=1980,J3559="No"),"Yes","No")</f>
        <v/>
      </c>
      <c r="L3559" s="26">
        <f>IF(J3559="Yes","",H3559-I3559)</f>
        <v/>
      </c>
      <c r="M3559" s="27">
        <f>IF(OR(J3559="Yes",I3559=0),"",H3559/I3559)</f>
        <v/>
      </c>
      <c r="N3559" s="21">
        <f>IF(J3559="Yes","",IF(H3559&gt;=I3559,1,0))</f>
        <v/>
      </c>
      <c r="O3559" s="21">
        <f>IF(I3559&lt;=5000000,"Under $5M",IF(I3559&lt;=20000000,"$5M-20M",IF(I3559&lt;=50000000,"$20M-50M",IF(I3559&lt;=100000000,"$50M-100M","$100M+"))))</f>
        <v/>
      </c>
      <c r="P3559" s="21">
        <f>IF(E3559&lt;=90,"90 or less",IF(E3559&lt;=105,"91-105",IF(E3559&lt;=120,"106-120",IF(E3559&lt;=140,"121-140","Over 140"))))</f>
        <v/>
      </c>
      <c r="Q3559" s="28">
        <f>INT(C3559/10)*10</f>
        <v/>
      </c>
    </row>
    <row r="3560">
      <c r="A3560" s="21" t="n">
        <v>3633</v>
      </c>
      <c r="B3560" s="21" t="inlineStr">
        <is>
          <t>The Tempest</t>
        </is>
      </c>
      <c r="C3560" s="21" t="n">
        <v>2010</v>
      </c>
      <c r="D3560" s="21" t="inlineStr">
        <is>
          <t>USA</t>
        </is>
      </c>
      <c r="E3560" s="21" t="n">
        <v>110</v>
      </c>
      <c r="F3560" s="21" t="inlineStr">
        <is>
          <t>English</t>
        </is>
      </c>
      <c r="G3560" s="21" t="inlineStr">
        <is>
          <t>PG-13</t>
        </is>
      </c>
      <c r="H3560" s="22" t="n">
        <v>263365</v>
      </c>
      <c r="I3560" s="22" t="n">
        <v>20000000</v>
      </c>
      <c r="J3560" s="21">
        <f>IF(OR(H3560="",H3560=25529689.5),"Yes","No")</f>
        <v/>
      </c>
      <c r="K3560" s="21">
        <f>IF(AND(D3560="USA",C3560&gt;=1980,J3560="No"),"Yes","No")</f>
        <v/>
      </c>
      <c r="L3560" s="26">
        <f>IF(J3560="Yes","",H3560-I3560)</f>
        <v/>
      </c>
      <c r="M3560" s="27">
        <f>IF(OR(J3560="Yes",I3560=0),"",H3560/I3560)</f>
        <v/>
      </c>
      <c r="N3560" s="21">
        <f>IF(J3560="Yes","",IF(H3560&gt;=I3560,1,0))</f>
        <v/>
      </c>
      <c r="O3560" s="21">
        <f>IF(I3560&lt;=5000000,"Under $5M",IF(I3560&lt;=20000000,"$5M-20M",IF(I3560&lt;=50000000,"$20M-50M",IF(I3560&lt;=100000000,"$50M-100M","$100M+"))))</f>
        <v/>
      </c>
      <c r="P3560" s="21">
        <f>IF(E3560&lt;=90,"90 or less",IF(E3560&lt;=105,"91-105",IF(E3560&lt;=120,"106-120",IF(E3560&lt;=140,"121-140","Over 140"))))</f>
        <v/>
      </c>
      <c r="Q3560" s="28">
        <f>INT(C3560/10)*10</f>
        <v/>
      </c>
    </row>
    <row r="3561">
      <c r="A3561" s="21" t="n">
        <v>3634</v>
      </c>
      <c r="B3561" s="21" t="inlineStr">
        <is>
          <t>The Tourist</t>
        </is>
      </c>
      <c r="C3561" s="21" t="n">
        <v>2010</v>
      </c>
      <c r="D3561" s="21" t="inlineStr">
        <is>
          <t>USA</t>
        </is>
      </c>
      <c r="E3561" s="21" t="n">
        <v>103</v>
      </c>
      <c r="F3561" s="21" t="inlineStr">
        <is>
          <t>English</t>
        </is>
      </c>
      <c r="G3561" s="21" t="inlineStr">
        <is>
          <t>PG-13</t>
        </is>
      </c>
      <c r="H3561" s="22" t="n">
        <v>67631157</v>
      </c>
      <c r="I3561" s="22" t="n">
        <v>100000000</v>
      </c>
      <c r="J3561" s="21">
        <f>IF(OR(H3561="",H3561=25529689.5),"Yes","No")</f>
        <v/>
      </c>
      <c r="K3561" s="21">
        <f>IF(AND(D3561="USA",C3561&gt;=1980,J3561="No"),"Yes","No")</f>
        <v/>
      </c>
      <c r="L3561" s="26">
        <f>IF(J3561="Yes","",H3561-I3561)</f>
        <v/>
      </c>
      <c r="M3561" s="27">
        <f>IF(OR(J3561="Yes",I3561=0),"",H3561/I3561)</f>
        <v/>
      </c>
      <c r="N3561" s="21">
        <f>IF(J3561="Yes","",IF(H3561&gt;=I3561,1,0))</f>
        <v/>
      </c>
      <c r="O3561" s="21">
        <f>IF(I3561&lt;=5000000,"Under $5M",IF(I3561&lt;=20000000,"$5M-20M",IF(I3561&lt;=50000000,"$20M-50M",IF(I3561&lt;=100000000,"$50M-100M","$100M+"))))</f>
        <v/>
      </c>
      <c r="P3561" s="21">
        <f>IF(E3561&lt;=90,"90 or less",IF(E3561&lt;=105,"91-105",IF(E3561&lt;=120,"106-120",IF(E3561&lt;=140,"121-140","Over 140"))))</f>
        <v/>
      </c>
      <c r="Q3561" s="28">
        <f>INT(C3561/10)*10</f>
        <v/>
      </c>
    </row>
    <row r="3562">
      <c r="A3562" s="21" t="n">
        <v>3636</v>
      </c>
      <c r="B3562" s="21" t="inlineStr">
        <is>
          <t>The Town</t>
        </is>
      </c>
      <c r="C3562" s="21" t="n">
        <v>2010</v>
      </c>
      <c r="D3562" s="21" t="inlineStr">
        <is>
          <t>USA</t>
        </is>
      </c>
      <c r="E3562" s="21" t="n">
        <v>150</v>
      </c>
      <c r="F3562" s="21" t="inlineStr">
        <is>
          <t>English</t>
        </is>
      </c>
      <c r="G3562" s="21" t="inlineStr">
        <is>
          <t>R</t>
        </is>
      </c>
      <c r="H3562" s="22" t="n">
        <v>92173235</v>
      </c>
      <c r="I3562" s="22" t="n">
        <v>37000000</v>
      </c>
      <c r="J3562" s="21">
        <f>IF(OR(H3562="",H3562=25529689.5),"Yes","No")</f>
        <v/>
      </c>
      <c r="K3562" s="21">
        <f>IF(AND(D3562="USA",C3562&gt;=1980,J3562="No"),"Yes","No")</f>
        <v/>
      </c>
      <c r="L3562" s="26">
        <f>IF(J3562="Yes","",H3562-I3562)</f>
        <v/>
      </c>
      <c r="M3562" s="27">
        <f>IF(OR(J3562="Yes",I3562=0),"",H3562/I3562)</f>
        <v/>
      </c>
      <c r="N3562" s="21">
        <f>IF(J3562="Yes","",IF(H3562&gt;=I3562,1,0))</f>
        <v/>
      </c>
      <c r="O3562" s="21">
        <f>IF(I3562&lt;=5000000,"Under $5M",IF(I3562&lt;=20000000,"$5M-20M",IF(I3562&lt;=50000000,"$20M-50M",IF(I3562&lt;=100000000,"$50M-100M","$100M+"))))</f>
        <v/>
      </c>
      <c r="P3562" s="21">
        <f>IF(E3562&lt;=90,"90 or less",IF(E3562&lt;=105,"91-105",IF(E3562&lt;=120,"106-120",IF(E3562&lt;=140,"121-140","Over 140"))))</f>
        <v/>
      </c>
      <c r="Q3562" s="28">
        <f>INT(C3562/10)*10</f>
        <v/>
      </c>
    </row>
    <row r="3563">
      <c r="A3563" s="21" t="n">
        <v>3637</v>
      </c>
      <c r="B3563" s="21" t="inlineStr">
        <is>
          <t>The Twilight Saga: Eclipse</t>
        </is>
      </c>
      <c r="C3563" s="21" t="n">
        <v>2010</v>
      </c>
      <c r="D3563" s="21" t="inlineStr">
        <is>
          <t>USA</t>
        </is>
      </c>
      <c r="E3563" s="21" t="n">
        <v>124</v>
      </c>
      <c r="F3563" s="21" t="inlineStr">
        <is>
          <t>English</t>
        </is>
      </c>
      <c r="G3563" s="21" t="inlineStr">
        <is>
          <t>PG-13</t>
        </is>
      </c>
      <c r="H3563" s="22" t="n">
        <v>300523113</v>
      </c>
      <c r="I3563" s="22" t="n">
        <v>68000000</v>
      </c>
      <c r="J3563" s="21">
        <f>IF(OR(H3563="",H3563=25529689.5),"Yes","No")</f>
        <v/>
      </c>
      <c r="K3563" s="21">
        <f>IF(AND(D3563="USA",C3563&gt;=1980,J3563="No"),"Yes","No")</f>
        <v/>
      </c>
      <c r="L3563" s="26">
        <f>IF(J3563="Yes","",H3563-I3563)</f>
        <v/>
      </c>
      <c r="M3563" s="27">
        <f>IF(OR(J3563="Yes",I3563=0),"",H3563/I3563)</f>
        <v/>
      </c>
      <c r="N3563" s="21">
        <f>IF(J3563="Yes","",IF(H3563&gt;=I3563,1,0))</f>
        <v/>
      </c>
      <c r="O3563" s="21">
        <f>IF(I3563&lt;=5000000,"Under $5M",IF(I3563&lt;=20000000,"$5M-20M",IF(I3563&lt;=50000000,"$20M-50M",IF(I3563&lt;=100000000,"$50M-100M","$100M+"))))</f>
        <v/>
      </c>
      <c r="P3563" s="21">
        <f>IF(E3563&lt;=90,"90 or less",IF(E3563&lt;=105,"91-105",IF(E3563&lt;=120,"106-120",IF(E3563&lt;=140,"121-140","Over 140"))))</f>
        <v/>
      </c>
      <c r="Q3563" s="28">
        <f>INT(C3563/10)*10</f>
        <v/>
      </c>
    </row>
    <row r="3564">
      <c r="A3564" s="21" t="n">
        <v>3638</v>
      </c>
      <c r="B3564" s="21" t="inlineStr">
        <is>
          <t>The Virginity Hit</t>
        </is>
      </c>
      <c r="C3564" s="21" t="n">
        <v>2010</v>
      </c>
      <c r="D3564" s="21" t="inlineStr">
        <is>
          <t>USA</t>
        </is>
      </c>
      <c r="E3564" s="21" t="n">
        <v>86</v>
      </c>
      <c r="F3564" s="21" t="inlineStr">
        <is>
          <t>English</t>
        </is>
      </c>
      <c r="G3564" s="21" t="inlineStr">
        <is>
          <t>R</t>
        </is>
      </c>
      <c r="H3564" s="22" t="n">
        <v>535249</v>
      </c>
      <c r="I3564" s="22" t="n">
        <v>3400000</v>
      </c>
      <c r="J3564" s="21">
        <f>IF(OR(H3564="",H3564=25529689.5),"Yes","No")</f>
        <v/>
      </c>
      <c r="K3564" s="21">
        <f>IF(AND(D3564="USA",C3564&gt;=1980,J3564="No"),"Yes","No")</f>
        <v/>
      </c>
      <c r="L3564" s="26">
        <f>IF(J3564="Yes","",H3564-I3564)</f>
        <v/>
      </c>
      <c r="M3564" s="27">
        <f>IF(OR(J3564="Yes",I3564=0),"",H3564/I3564)</f>
        <v/>
      </c>
      <c r="N3564" s="21">
        <f>IF(J3564="Yes","",IF(H3564&gt;=I3564,1,0))</f>
        <v/>
      </c>
      <c r="O3564" s="21">
        <f>IF(I3564&lt;=5000000,"Under $5M",IF(I3564&lt;=20000000,"$5M-20M",IF(I3564&lt;=50000000,"$20M-50M",IF(I3564&lt;=100000000,"$50M-100M","$100M+"))))</f>
        <v/>
      </c>
      <c r="P3564" s="21">
        <f>IF(E3564&lt;=90,"90 or less",IF(E3564&lt;=105,"91-105",IF(E3564&lt;=120,"106-120",IF(E3564&lt;=140,"121-140","Over 140"))))</f>
        <v/>
      </c>
      <c r="Q3564" s="28">
        <f>INT(C3564/10)*10</f>
        <v/>
      </c>
    </row>
    <row r="3565">
      <c r="A3565" s="21" t="n">
        <v>3639</v>
      </c>
      <c r="B3565" s="21" t="inlineStr">
        <is>
          <t>The Warrior's Way</t>
        </is>
      </c>
      <c r="C3565" s="21" t="n">
        <v>2010</v>
      </c>
      <c r="D3565" s="21" t="inlineStr">
        <is>
          <t>New Zealand</t>
        </is>
      </c>
      <c r="E3565" s="21" t="n">
        <v>100</v>
      </c>
      <c r="F3565" s="21" t="inlineStr">
        <is>
          <t>English</t>
        </is>
      </c>
      <c r="G3565" s="21" t="inlineStr">
        <is>
          <t>R</t>
        </is>
      </c>
      <c r="H3565" s="22" t="n">
        <v>5664251</v>
      </c>
      <c r="I3565" s="22" t="n">
        <v>45000000</v>
      </c>
      <c r="J3565" s="21">
        <f>IF(OR(H3565="",H3565=25529689.5),"Yes","No")</f>
        <v/>
      </c>
      <c r="K3565" s="21">
        <f>IF(AND(D3565="USA",C3565&gt;=1980,J3565="No"),"Yes","No")</f>
        <v/>
      </c>
      <c r="L3565" s="26">
        <f>IF(J3565="Yes","",H3565-I3565)</f>
        <v/>
      </c>
      <c r="M3565" s="27">
        <f>IF(OR(J3565="Yes",I3565=0),"",H3565/I3565)</f>
        <v/>
      </c>
      <c r="N3565" s="21">
        <f>IF(J3565="Yes","",IF(H3565&gt;=I3565,1,0))</f>
        <v/>
      </c>
      <c r="O3565" s="21">
        <f>IF(I3565&lt;=5000000,"Under $5M",IF(I3565&lt;=20000000,"$5M-20M",IF(I3565&lt;=50000000,"$20M-50M",IF(I3565&lt;=100000000,"$50M-100M","$100M+"))))</f>
        <v/>
      </c>
      <c r="P3565" s="21">
        <f>IF(E3565&lt;=90,"90 or less",IF(E3565&lt;=105,"91-105",IF(E3565&lt;=120,"106-120",IF(E3565&lt;=140,"121-140","Over 140"))))</f>
        <v/>
      </c>
      <c r="Q3565" s="28">
        <f>INT(C3565/10)*10</f>
        <v/>
      </c>
    </row>
    <row r="3566">
      <c r="A3566" s="21" t="n">
        <v>3640</v>
      </c>
      <c r="B3566" s="21" t="inlineStr">
        <is>
          <t>The Wolfman</t>
        </is>
      </c>
      <c r="C3566" s="21" t="n">
        <v>2010</v>
      </c>
      <c r="D3566" s="21" t="inlineStr">
        <is>
          <t>USA</t>
        </is>
      </c>
      <c r="E3566" s="21" t="n">
        <v>119</v>
      </c>
      <c r="F3566" s="21" t="inlineStr">
        <is>
          <t>English</t>
        </is>
      </c>
      <c r="G3566" s="21" t="inlineStr">
        <is>
          <t>R</t>
        </is>
      </c>
      <c r="H3566" s="22" t="n">
        <v>61937495</v>
      </c>
      <c r="I3566" s="22" t="n">
        <v>150000000</v>
      </c>
      <c r="J3566" s="21">
        <f>IF(OR(H3566="",H3566=25529689.5),"Yes","No")</f>
        <v/>
      </c>
      <c r="K3566" s="21">
        <f>IF(AND(D3566="USA",C3566&gt;=1980,J3566="No"),"Yes","No")</f>
        <v/>
      </c>
      <c r="L3566" s="26">
        <f>IF(J3566="Yes","",H3566-I3566)</f>
        <v/>
      </c>
      <c r="M3566" s="27">
        <f>IF(OR(J3566="Yes",I3566=0),"",H3566/I3566)</f>
        <v/>
      </c>
      <c r="N3566" s="21">
        <f>IF(J3566="Yes","",IF(H3566&gt;=I3566,1,0))</f>
        <v/>
      </c>
      <c r="O3566" s="21">
        <f>IF(I3566&lt;=5000000,"Under $5M",IF(I3566&lt;=20000000,"$5M-20M",IF(I3566&lt;=50000000,"$20M-50M",IF(I3566&lt;=100000000,"$50M-100M","$100M+"))))</f>
        <v/>
      </c>
      <c r="P3566" s="21">
        <f>IF(E3566&lt;=90,"90 or less",IF(E3566&lt;=105,"91-105",IF(E3566&lt;=120,"106-120",IF(E3566&lt;=140,"121-140","Over 140"))))</f>
        <v/>
      </c>
      <c r="Q3566" s="28">
        <f>INT(C3566/10)*10</f>
        <v/>
      </c>
    </row>
    <row r="3567">
      <c r="A3567" s="21" t="n">
        <v>3641</v>
      </c>
      <c r="B3567" s="21" t="inlineStr">
        <is>
          <t>Tiny Furniture</t>
        </is>
      </c>
      <c r="C3567" s="21" t="n">
        <v>2010</v>
      </c>
      <c r="D3567" s="21" t="inlineStr">
        <is>
          <t>USA</t>
        </is>
      </c>
      <c r="E3567" s="21" t="n">
        <v>98</v>
      </c>
      <c r="F3567" s="21" t="inlineStr">
        <is>
          <t>English</t>
        </is>
      </c>
      <c r="G3567" s="21" t="inlineStr">
        <is>
          <t>Not Rated</t>
        </is>
      </c>
      <c r="H3567" s="22" t="n">
        <v>389804</v>
      </c>
      <c r="I3567" s="22" t="n">
        <v>65000</v>
      </c>
      <c r="J3567" s="21">
        <f>IF(OR(H3567="",H3567=25529689.5),"Yes","No")</f>
        <v/>
      </c>
      <c r="K3567" s="21">
        <f>IF(AND(D3567="USA",C3567&gt;=1980,J3567="No"),"Yes","No")</f>
        <v/>
      </c>
      <c r="L3567" s="26">
        <f>IF(J3567="Yes","",H3567-I3567)</f>
        <v/>
      </c>
      <c r="M3567" s="27">
        <f>IF(OR(J3567="Yes",I3567=0),"",H3567/I3567)</f>
        <v/>
      </c>
      <c r="N3567" s="21">
        <f>IF(J3567="Yes","",IF(H3567&gt;=I3567,1,0))</f>
        <v/>
      </c>
      <c r="O3567" s="21">
        <f>IF(I3567&lt;=5000000,"Under $5M",IF(I3567&lt;=20000000,"$5M-20M",IF(I3567&lt;=50000000,"$20M-50M",IF(I3567&lt;=100000000,"$50M-100M","$100M+"))))</f>
        <v/>
      </c>
      <c r="P3567" s="21">
        <f>IF(E3567&lt;=90,"90 or less",IF(E3567&lt;=105,"91-105",IF(E3567&lt;=120,"106-120",IF(E3567&lt;=140,"121-140","Over 140"))))</f>
        <v/>
      </c>
      <c r="Q3567" s="28">
        <f>INT(C3567/10)*10</f>
        <v/>
      </c>
    </row>
    <row r="3568">
      <c r="A3568" s="21" t="n">
        <v>3642</v>
      </c>
      <c r="B3568" s="21" t="inlineStr">
        <is>
          <t>Toy Story 3</t>
        </is>
      </c>
      <c r="C3568" s="21" t="n">
        <v>2010</v>
      </c>
      <c r="D3568" s="21" t="inlineStr">
        <is>
          <t>USA</t>
        </is>
      </c>
      <c r="E3568" s="21" t="n">
        <v>103</v>
      </c>
      <c r="F3568" s="21" t="inlineStr">
        <is>
          <t>English</t>
        </is>
      </c>
      <c r="G3568" s="21" t="inlineStr">
        <is>
          <t>G</t>
        </is>
      </c>
      <c r="H3568" s="22" t="n">
        <v>414984497</v>
      </c>
      <c r="I3568" s="22" t="n">
        <v>200000000</v>
      </c>
      <c r="J3568" s="21">
        <f>IF(OR(H3568="",H3568=25529689.5),"Yes","No")</f>
        <v/>
      </c>
      <c r="K3568" s="21">
        <f>IF(AND(D3568="USA",C3568&gt;=1980,J3568="No"),"Yes","No")</f>
        <v/>
      </c>
      <c r="L3568" s="26">
        <f>IF(J3568="Yes","",H3568-I3568)</f>
        <v/>
      </c>
      <c r="M3568" s="27">
        <f>IF(OR(J3568="Yes",I3568=0),"",H3568/I3568)</f>
        <v/>
      </c>
      <c r="N3568" s="21">
        <f>IF(J3568="Yes","",IF(H3568&gt;=I3568,1,0))</f>
        <v/>
      </c>
      <c r="O3568" s="21">
        <f>IF(I3568&lt;=5000000,"Under $5M",IF(I3568&lt;=20000000,"$5M-20M",IF(I3568&lt;=50000000,"$20M-50M",IF(I3568&lt;=100000000,"$50M-100M","$100M+"))))</f>
        <v/>
      </c>
      <c r="P3568" s="21">
        <f>IF(E3568&lt;=90,"90 or less",IF(E3568&lt;=105,"91-105",IF(E3568&lt;=120,"106-120",IF(E3568&lt;=140,"121-140","Over 140"))))</f>
        <v/>
      </c>
      <c r="Q3568" s="28">
        <f>INT(C3568/10)*10</f>
        <v/>
      </c>
    </row>
    <row r="3569">
      <c r="A3569" s="21" t="n">
        <v>3643</v>
      </c>
      <c r="B3569" s="21" t="inlineStr">
        <is>
          <t>Tracker</t>
        </is>
      </c>
      <c r="C3569" s="21" t="n">
        <v>2010</v>
      </c>
      <c r="D3569" s="21" t="inlineStr">
        <is>
          <t>New Zealand</t>
        </is>
      </c>
      <c r="E3569" s="21" t="n">
        <v>102</v>
      </c>
      <c r="F3569" s="21" t="inlineStr">
        <is>
          <t>English</t>
        </is>
      </c>
      <c r="G3569" s="21" t="inlineStr">
        <is>
          <t>R</t>
        </is>
      </c>
      <c r="H3569" s="22" t="n">
        <v>25529689.5</v>
      </c>
      <c r="I3569" s="22" t="n">
        <v>6500000</v>
      </c>
      <c r="J3569" s="21">
        <f>IF(OR(H3569="",H3569=25529689.5),"Yes","No")</f>
        <v/>
      </c>
      <c r="K3569" s="21">
        <f>IF(AND(D3569="USA",C3569&gt;=1980,J3569="No"),"Yes","No")</f>
        <v/>
      </c>
      <c r="L3569" s="26">
        <f>IF(J3569="Yes","",H3569-I3569)</f>
        <v/>
      </c>
      <c r="M3569" s="27">
        <f>IF(OR(J3569="Yes",I3569=0),"",H3569/I3569)</f>
        <v/>
      </c>
      <c r="N3569" s="21">
        <f>IF(J3569="Yes","",IF(H3569&gt;=I3569,1,0))</f>
        <v/>
      </c>
      <c r="O3569" s="21">
        <f>IF(I3569&lt;=5000000,"Under $5M",IF(I3569&lt;=20000000,"$5M-20M",IF(I3569&lt;=50000000,"$20M-50M",IF(I3569&lt;=100000000,"$50M-100M","$100M+"))))</f>
        <v/>
      </c>
      <c r="P3569" s="21">
        <f>IF(E3569&lt;=90,"90 or less",IF(E3569&lt;=105,"91-105",IF(E3569&lt;=120,"106-120",IF(E3569&lt;=140,"121-140","Over 140"))))</f>
        <v/>
      </c>
      <c r="Q3569" s="28">
        <f>INT(C3569/10)*10</f>
        <v/>
      </c>
    </row>
    <row r="3570">
      <c r="A3570" s="21" t="n">
        <v>3644</v>
      </c>
      <c r="B3570" s="21" t="inlineStr">
        <is>
          <t>Trollhunter</t>
        </is>
      </c>
      <c r="C3570" s="21" t="n">
        <v>2010</v>
      </c>
      <c r="D3570" s="21" t="inlineStr">
        <is>
          <t>Norway</t>
        </is>
      </c>
      <c r="E3570" s="21" t="n">
        <v>103</v>
      </c>
      <c r="F3570" s="21" t="inlineStr">
        <is>
          <t>Norwegian</t>
        </is>
      </c>
      <c r="G3570" s="21" t="inlineStr">
        <is>
          <t>PG-13</t>
        </is>
      </c>
      <c r="H3570" s="22" t="n">
        <v>252652</v>
      </c>
      <c r="I3570" s="22" t="n">
        <v>19900000</v>
      </c>
      <c r="J3570" s="21">
        <f>IF(OR(H3570="",H3570=25529689.5),"Yes","No")</f>
        <v/>
      </c>
      <c r="K3570" s="21">
        <f>IF(AND(D3570="USA",C3570&gt;=1980,J3570="No"),"Yes","No")</f>
        <v/>
      </c>
      <c r="L3570" s="26">
        <f>IF(J3570="Yes","",H3570-I3570)</f>
        <v/>
      </c>
      <c r="M3570" s="27">
        <f>IF(OR(J3570="Yes",I3570=0),"",H3570/I3570)</f>
        <v/>
      </c>
      <c r="N3570" s="21">
        <f>IF(J3570="Yes","",IF(H3570&gt;=I3570,1,0))</f>
        <v/>
      </c>
      <c r="O3570" s="21">
        <f>IF(I3570&lt;=5000000,"Under $5M",IF(I3570&lt;=20000000,"$5M-20M",IF(I3570&lt;=50000000,"$20M-50M",IF(I3570&lt;=100000000,"$50M-100M","$100M+"))))</f>
        <v/>
      </c>
      <c r="P3570" s="21">
        <f>IF(E3570&lt;=90,"90 or less",IF(E3570&lt;=105,"91-105",IF(E3570&lt;=120,"106-120",IF(E3570&lt;=140,"121-140","Over 140"))))</f>
        <v/>
      </c>
      <c r="Q3570" s="28">
        <f>INT(C3570/10)*10</f>
        <v/>
      </c>
    </row>
    <row r="3571">
      <c r="A3571" s="21" t="n">
        <v>3645</v>
      </c>
      <c r="B3571" s="21" t="inlineStr">
        <is>
          <t>TRON: Legacy</t>
        </is>
      </c>
      <c r="C3571" s="21" t="n">
        <v>2010</v>
      </c>
      <c r="D3571" s="21" t="inlineStr">
        <is>
          <t>USA</t>
        </is>
      </c>
      <c r="E3571" s="21" t="n">
        <v>125</v>
      </c>
      <c r="F3571" s="21" t="inlineStr">
        <is>
          <t>English</t>
        </is>
      </c>
      <c r="G3571" s="21" t="inlineStr">
        <is>
          <t>PG</t>
        </is>
      </c>
      <c r="H3571" s="22" t="n">
        <v>172051787</v>
      </c>
      <c r="I3571" s="22" t="n">
        <v>170000000</v>
      </c>
      <c r="J3571" s="21">
        <f>IF(OR(H3571="",H3571=25529689.5),"Yes","No")</f>
        <v/>
      </c>
      <c r="K3571" s="21">
        <f>IF(AND(D3571="USA",C3571&gt;=1980,J3571="No"),"Yes","No")</f>
        <v/>
      </c>
      <c r="L3571" s="26">
        <f>IF(J3571="Yes","",H3571-I3571)</f>
        <v/>
      </c>
      <c r="M3571" s="27">
        <f>IF(OR(J3571="Yes",I3571=0),"",H3571/I3571)</f>
        <v/>
      </c>
      <c r="N3571" s="21">
        <f>IF(J3571="Yes","",IF(H3571&gt;=I3571,1,0))</f>
        <v/>
      </c>
      <c r="O3571" s="21">
        <f>IF(I3571&lt;=5000000,"Under $5M",IF(I3571&lt;=20000000,"$5M-20M",IF(I3571&lt;=50000000,"$20M-50M",IF(I3571&lt;=100000000,"$50M-100M","$100M+"))))</f>
        <v/>
      </c>
      <c r="P3571" s="21">
        <f>IF(E3571&lt;=90,"90 or less",IF(E3571&lt;=105,"91-105",IF(E3571&lt;=120,"106-120",IF(E3571&lt;=140,"121-140","Over 140"))))</f>
        <v/>
      </c>
      <c r="Q3571" s="28">
        <f>INT(C3571/10)*10</f>
        <v/>
      </c>
    </row>
    <row r="3572">
      <c r="A3572" s="21" t="n">
        <v>3647</v>
      </c>
      <c r="B3572" s="21" t="inlineStr">
        <is>
          <t>True Grit</t>
        </is>
      </c>
      <c r="C3572" s="21" t="n">
        <v>2010</v>
      </c>
      <c r="D3572" s="21" t="inlineStr">
        <is>
          <t>USA</t>
        </is>
      </c>
      <c r="E3572" s="21" t="n">
        <v>110</v>
      </c>
      <c r="F3572" s="21" t="inlineStr">
        <is>
          <t>English</t>
        </is>
      </c>
      <c r="G3572" s="21" t="inlineStr">
        <is>
          <t>PG-13</t>
        </is>
      </c>
      <c r="H3572" s="22" t="n">
        <v>171031347</v>
      </c>
      <c r="I3572" s="22" t="n">
        <v>38000000</v>
      </c>
      <c r="J3572" s="21">
        <f>IF(OR(H3572="",H3572=25529689.5),"Yes","No")</f>
        <v/>
      </c>
      <c r="K3572" s="21">
        <f>IF(AND(D3572="USA",C3572&gt;=1980,J3572="No"),"Yes","No")</f>
        <v/>
      </c>
      <c r="L3572" s="26">
        <f>IF(J3572="Yes","",H3572-I3572)</f>
        <v/>
      </c>
      <c r="M3572" s="27">
        <f>IF(OR(J3572="Yes",I3572=0),"",H3572/I3572)</f>
        <v/>
      </c>
      <c r="N3572" s="21">
        <f>IF(J3572="Yes","",IF(H3572&gt;=I3572,1,0))</f>
        <v/>
      </c>
      <c r="O3572" s="21">
        <f>IF(I3572&lt;=5000000,"Under $5M",IF(I3572&lt;=20000000,"$5M-20M",IF(I3572&lt;=50000000,"$20M-50M",IF(I3572&lt;=100000000,"$50M-100M","$100M+"))))</f>
        <v/>
      </c>
      <c r="P3572" s="21">
        <f>IF(E3572&lt;=90,"90 or less",IF(E3572&lt;=105,"91-105",IF(E3572&lt;=120,"106-120",IF(E3572&lt;=140,"121-140","Over 140"))))</f>
        <v/>
      </c>
      <c r="Q3572" s="28">
        <f>INT(C3572/10)*10</f>
        <v/>
      </c>
    </row>
    <row r="3573">
      <c r="A3573" s="21" t="n">
        <v>3648</v>
      </c>
      <c r="B3573" s="21" t="inlineStr">
        <is>
          <t>Trust</t>
        </is>
      </c>
      <c r="C3573" s="21" t="n">
        <v>2010</v>
      </c>
      <c r="D3573" s="21" t="inlineStr">
        <is>
          <t>USA</t>
        </is>
      </c>
      <c r="E3573" s="21" t="n">
        <v>106</v>
      </c>
      <c r="F3573" s="21" t="inlineStr">
        <is>
          <t>English</t>
        </is>
      </c>
      <c r="G3573" s="21" t="inlineStr">
        <is>
          <t>R</t>
        </is>
      </c>
      <c r="H3573" s="22" t="n">
        <v>58214</v>
      </c>
      <c r="I3573" s="22" t="n">
        <v>9500000</v>
      </c>
      <c r="J3573" s="21">
        <f>IF(OR(H3573="",H3573=25529689.5),"Yes","No")</f>
        <v/>
      </c>
      <c r="K3573" s="21">
        <f>IF(AND(D3573="USA",C3573&gt;=1980,J3573="No"),"Yes","No")</f>
        <v/>
      </c>
      <c r="L3573" s="26">
        <f>IF(J3573="Yes","",H3573-I3573)</f>
        <v/>
      </c>
      <c r="M3573" s="27">
        <f>IF(OR(J3573="Yes",I3573=0),"",H3573/I3573)</f>
        <v/>
      </c>
      <c r="N3573" s="21">
        <f>IF(J3573="Yes","",IF(H3573&gt;=I3573,1,0))</f>
        <v/>
      </c>
      <c r="O3573" s="21">
        <f>IF(I3573&lt;=5000000,"Under $5M",IF(I3573&lt;=20000000,"$5M-20M",IF(I3573&lt;=50000000,"$20M-50M",IF(I3573&lt;=100000000,"$50M-100M","$100M+"))))</f>
        <v/>
      </c>
      <c r="P3573" s="21">
        <f>IF(E3573&lt;=90,"90 or less",IF(E3573&lt;=105,"91-105",IF(E3573&lt;=120,"106-120",IF(E3573&lt;=140,"121-140","Over 140"))))</f>
        <v/>
      </c>
      <c r="Q3573" s="28">
        <f>INT(C3573/10)*10</f>
        <v/>
      </c>
    </row>
    <row r="3574">
      <c r="A3574" s="21" t="n">
        <v>3649</v>
      </c>
      <c r="B3574" s="21" t="inlineStr">
        <is>
          <t>Tucker and Dale vs Evil</t>
        </is>
      </c>
      <c r="C3574" s="21" t="n">
        <v>2010</v>
      </c>
      <c r="D3574" s="21" t="inlineStr">
        <is>
          <t>Canada</t>
        </is>
      </c>
      <c r="E3574" s="21" t="n">
        <v>89</v>
      </c>
      <c r="F3574" s="21" t="inlineStr">
        <is>
          <t>English</t>
        </is>
      </c>
      <c r="G3574" s="21" t="inlineStr">
        <is>
          <t>R</t>
        </is>
      </c>
      <c r="H3574" s="22" t="n">
        <v>223615</v>
      </c>
      <c r="I3574" s="22" t="n">
        <v>20000000</v>
      </c>
      <c r="J3574" s="21">
        <f>IF(OR(H3574="",H3574=25529689.5),"Yes","No")</f>
        <v/>
      </c>
      <c r="K3574" s="21">
        <f>IF(AND(D3574="USA",C3574&gt;=1980,J3574="No"),"Yes","No")</f>
        <v/>
      </c>
      <c r="L3574" s="26">
        <f>IF(J3574="Yes","",H3574-I3574)</f>
        <v/>
      </c>
      <c r="M3574" s="27">
        <f>IF(OR(J3574="Yes",I3574=0),"",H3574/I3574)</f>
        <v/>
      </c>
      <c r="N3574" s="21">
        <f>IF(J3574="Yes","",IF(H3574&gt;=I3574,1,0))</f>
        <v/>
      </c>
      <c r="O3574" s="21">
        <f>IF(I3574&lt;=5000000,"Under $5M",IF(I3574&lt;=20000000,"$5M-20M",IF(I3574&lt;=50000000,"$20M-50M",IF(I3574&lt;=100000000,"$50M-100M","$100M+"))))</f>
        <v/>
      </c>
      <c r="P3574" s="21">
        <f>IF(E3574&lt;=90,"90 or less",IF(E3574&lt;=105,"91-105",IF(E3574&lt;=120,"106-120",IF(E3574&lt;=140,"121-140","Over 140"))))</f>
        <v/>
      </c>
      <c r="Q3574" s="28">
        <f>INT(C3574/10)*10</f>
        <v/>
      </c>
    </row>
    <row r="3575">
      <c r="A3575" s="21" t="n">
        <v>3650</v>
      </c>
      <c r="B3575" s="21" t="inlineStr">
        <is>
          <t>Ultramarines: A Warhammer 40,000 Movie</t>
        </is>
      </c>
      <c r="C3575" s="21" t="n">
        <v>2010</v>
      </c>
      <c r="D3575" s="21" t="inlineStr">
        <is>
          <t>UK</t>
        </is>
      </c>
      <c r="E3575" s="21" t="n">
        <v>76</v>
      </c>
      <c r="F3575" s="21" t="inlineStr">
        <is>
          <t>English</t>
        </is>
      </c>
      <c r="G3575" s="21" t="inlineStr">
        <is>
          <t>R</t>
        </is>
      </c>
      <c r="H3575" s="22" t="n">
        <v>25529689.5</v>
      </c>
      <c r="I3575" s="22" t="n">
        <v>20000000</v>
      </c>
      <c r="J3575" s="21">
        <f>IF(OR(H3575="",H3575=25529689.5),"Yes","No")</f>
        <v/>
      </c>
      <c r="K3575" s="21">
        <f>IF(AND(D3575="USA",C3575&gt;=1980,J3575="No"),"Yes","No")</f>
        <v/>
      </c>
      <c r="L3575" s="26">
        <f>IF(J3575="Yes","",H3575-I3575)</f>
        <v/>
      </c>
      <c r="M3575" s="27">
        <f>IF(OR(J3575="Yes",I3575=0),"",H3575/I3575)</f>
        <v/>
      </c>
      <c r="N3575" s="21">
        <f>IF(J3575="Yes","",IF(H3575&gt;=I3575,1,0))</f>
        <v/>
      </c>
      <c r="O3575" s="21">
        <f>IF(I3575&lt;=5000000,"Under $5M",IF(I3575&lt;=20000000,"$5M-20M",IF(I3575&lt;=50000000,"$20M-50M",IF(I3575&lt;=100000000,"$50M-100M","$100M+"))))</f>
        <v/>
      </c>
      <c r="P3575" s="21">
        <f>IF(E3575&lt;=90,"90 or less",IF(E3575&lt;=105,"91-105",IF(E3575&lt;=120,"106-120",IF(E3575&lt;=140,"121-140","Over 140"))))</f>
        <v/>
      </c>
      <c r="Q3575" s="28">
        <f>INT(C3575/10)*10</f>
        <v/>
      </c>
    </row>
    <row r="3576">
      <c r="A3576" s="21" t="n">
        <v>3651</v>
      </c>
      <c r="B3576" s="21" t="inlineStr">
        <is>
          <t>Unstoppable</t>
        </is>
      </c>
      <c r="C3576" s="21" t="n">
        <v>2010</v>
      </c>
      <c r="D3576" s="21" t="inlineStr">
        <is>
          <t>USA</t>
        </is>
      </c>
      <c r="E3576" s="21" t="n">
        <v>98</v>
      </c>
      <c r="F3576" s="21" t="inlineStr">
        <is>
          <t>English</t>
        </is>
      </c>
      <c r="G3576" s="21" t="inlineStr">
        <is>
          <t>PG-13</t>
        </is>
      </c>
      <c r="H3576" s="22" t="n">
        <v>81557479</v>
      </c>
      <c r="I3576" s="22" t="n">
        <v>100000000</v>
      </c>
      <c r="J3576" s="21">
        <f>IF(OR(H3576="",H3576=25529689.5),"Yes","No")</f>
        <v/>
      </c>
      <c r="K3576" s="21">
        <f>IF(AND(D3576="USA",C3576&gt;=1980,J3576="No"),"Yes","No")</f>
        <v/>
      </c>
      <c r="L3576" s="26">
        <f>IF(J3576="Yes","",H3576-I3576)</f>
        <v/>
      </c>
      <c r="M3576" s="27">
        <f>IF(OR(J3576="Yes",I3576=0),"",H3576/I3576)</f>
        <v/>
      </c>
      <c r="N3576" s="21">
        <f>IF(J3576="Yes","",IF(H3576&gt;=I3576,1,0))</f>
        <v/>
      </c>
      <c r="O3576" s="21">
        <f>IF(I3576&lt;=5000000,"Under $5M",IF(I3576&lt;=20000000,"$5M-20M",IF(I3576&lt;=50000000,"$20M-50M",IF(I3576&lt;=100000000,"$50M-100M","$100M+"))))</f>
        <v/>
      </c>
      <c r="P3576" s="21">
        <f>IF(E3576&lt;=90,"90 or less",IF(E3576&lt;=105,"91-105",IF(E3576&lt;=120,"106-120",IF(E3576&lt;=140,"121-140","Over 140"))))</f>
        <v/>
      </c>
      <c r="Q3576" s="28">
        <f>INT(C3576/10)*10</f>
        <v/>
      </c>
    </row>
    <row r="3577">
      <c r="A3577" s="21" t="n">
        <v>3652</v>
      </c>
      <c r="B3577" s="21" t="inlineStr">
        <is>
          <t>Valentine's Day</t>
        </is>
      </c>
      <c r="C3577" s="21" t="n">
        <v>2010</v>
      </c>
      <c r="D3577" s="21" t="inlineStr">
        <is>
          <t>USA</t>
        </is>
      </c>
      <c r="E3577" s="21" t="n">
        <v>125</v>
      </c>
      <c r="F3577" s="21" t="inlineStr">
        <is>
          <t>English</t>
        </is>
      </c>
      <c r="G3577" s="21" t="inlineStr">
        <is>
          <t>PG-13</t>
        </is>
      </c>
      <c r="H3577" s="22" t="n">
        <v>110476776</v>
      </c>
      <c r="I3577" s="22" t="n">
        <v>52000000</v>
      </c>
      <c r="J3577" s="21">
        <f>IF(OR(H3577="",H3577=25529689.5),"Yes","No")</f>
        <v/>
      </c>
      <c r="K3577" s="21">
        <f>IF(AND(D3577="USA",C3577&gt;=1980,J3577="No"),"Yes","No")</f>
        <v/>
      </c>
      <c r="L3577" s="26">
        <f>IF(J3577="Yes","",H3577-I3577)</f>
        <v/>
      </c>
      <c r="M3577" s="27">
        <f>IF(OR(J3577="Yes",I3577=0),"",H3577/I3577)</f>
        <v/>
      </c>
      <c r="N3577" s="21">
        <f>IF(J3577="Yes","",IF(H3577&gt;=I3577,1,0))</f>
        <v/>
      </c>
      <c r="O3577" s="21">
        <f>IF(I3577&lt;=5000000,"Under $5M",IF(I3577&lt;=20000000,"$5M-20M",IF(I3577&lt;=50000000,"$20M-50M",IF(I3577&lt;=100000000,"$50M-100M","$100M+"))))</f>
        <v/>
      </c>
      <c r="P3577" s="21">
        <f>IF(E3577&lt;=90,"90 or less",IF(E3577&lt;=105,"91-105",IF(E3577&lt;=120,"106-120",IF(E3577&lt;=140,"121-140","Over 140"))))</f>
        <v/>
      </c>
      <c r="Q3577" s="28">
        <f>INT(C3577/10)*10</f>
        <v/>
      </c>
    </row>
    <row r="3578">
      <c r="A3578" s="21" t="n">
        <v>3653</v>
      </c>
      <c r="B3578" s="21" t="inlineStr">
        <is>
          <t>Vampires Suck</t>
        </is>
      </c>
      <c r="C3578" s="21" t="n">
        <v>2010</v>
      </c>
      <c r="D3578" s="21" t="inlineStr">
        <is>
          <t>USA</t>
        </is>
      </c>
      <c r="E3578" s="21" t="n">
        <v>82</v>
      </c>
      <c r="F3578" s="21" t="inlineStr">
        <is>
          <t>English</t>
        </is>
      </c>
      <c r="G3578" s="21" t="inlineStr">
        <is>
          <t>PG-13</t>
        </is>
      </c>
      <c r="H3578" s="22" t="n">
        <v>36658108</v>
      </c>
      <c r="I3578" s="22" t="n">
        <v>20000000</v>
      </c>
      <c r="J3578" s="21">
        <f>IF(OR(H3578="",H3578=25529689.5),"Yes","No")</f>
        <v/>
      </c>
      <c r="K3578" s="21">
        <f>IF(AND(D3578="USA",C3578&gt;=1980,J3578="No"),"Yes","No")</f>
        <v/>
      </c>
      <c r="L3578" s="26">
        <f>IF(J3578="Yes","",H3578-I3578)</f>
        <v/>
      </c>
      <c r="M3578" s="27">
        <f>IF(OR(J3578="Yes",I3578=0),"",H3578/I3578)</f>
        <v/>
      </c>
      <c r="N3578" s="21">
        <f>IF(J3578="Yes","",IF(H3578&gt;=I3578,1,0))</f>
        <v/>
      </c>
      <c r="O3578" s="21">
        <f>IF(I3578&lt;=5000000,"Under $5M",IF(I3578&lt;=20000000,"$5M-20M",IF(I3578&lt;=50000000,"$20M-50M",IF(I3578&lt;=100000000,"$50M-100M","$100M+"))))</f>
        <v/>
      </c>
      <c r="P3578" s="21">
        <f>IF(E3578&lt;=90,"90 or less",IF(E3578&lt;=105,"91-105",IF(E3578&lt;=120,"106-120",IF(E3578&lt;=140,"121-140","Over 140"))))</f>
        <v/>
      </c>
      <c r="Q3578" s="28">
        <f>INT(C3578/10)*10</f>
        <v/>
      </c>
    </row>
    <row r="3579">
      <c r="A3579" s="21" t="n">
        <v>3654</v>
      </c>
      <c r="B3579" s="21" t="inlineStr">
        <is>
          <t>Wall Street: Money Never Sleeps</t>
        </is>
      </c>
      <c r="C3579" s="21" t="n">
        <v>2010</v>
      </c>
      <c r="D3579" s="21" t="inlineStr">
        <is>
          <t>USA</t>
        </is>
      </c>
      <c r="E3579" s="21" t="n">
        <v>136</v>
      </c>
      <c r="F3579" s="21" t="inlineStr">
        <is>
          <t>English</t>
        </is>
      </c>
      <c r="G3579" s="21" t="inlineStr">
        <is>
          <t>PG-13</t>
        </is>
      </c>
      <c r="H3579" s="22" t="n">
        <v>52474616</v>
      </c>
      <c r="I3579" s="22" t="n">
        <v>70000000</v>
      </c>
      <c r="J3579" s="21">
        <f>IF(OR(H3579="",H3579=25529689.5),"Yes","No")</f>
        <v/>
      </c>
      <c r="K3579" s="21">
        <f>IF(AND(D3579="USA",C3579&gt;=1980,J3579="No"),"Yes","No")</f>
        <v/>
      </c>
      <c r="L3579" s="26">
        <f>IF(J3579="Yes","",H3579-I3579)</f>
        <v/>
      </c>
      <c r="M3579" s="27">
        <f>IF(OR(J3579="Yes",I3579=0),"",H3579/I3579)</f>
        <v/>
      </c>
      <c r="N3579" s="21">
        <f>IF(J3579="Yes","",IF(H3579&gt;=I3579,1,0))</f>
        <v/>
      </c>
      <c r="O3579" s="21">
        <f>IF(I3579&lt;=5000000,"Under $5M",IF(I3579&lt;=20000000,"$5M-20M",IF(I3579&lt;=50000000,"$20M-50M",IF(I3579&lt;=100000000,"$50M-100M","$100M+"))))</f>
        <v/>
      </c>
      <c r="P3579" s="21">
        <f>IF(E3579&lt;=90,"90 or less",IF(E3579&lt;=105,"91-105",IF(E3579&lt;=120,"106-120",IF(E3579&lt;=140,"121-140","Over 140"))))</f>
        <v/>
      </c>
      <c r="Q3579" s="28">
        <f>INT(C3579/10)*10</f>
        <v/>
      </c>
    </row>
    <row r="3580">
      <c r="A3580" s="21" t="n">
        <v>3655</v>
      </c>
      <c r="B3580" s="21" t="inlineStr">
        <is>
          <t>Welcome to the Rileys</t>
        </is>
      </c>
      <c r="C3580" s="21" t="n">
        <v>2010</v>
      </c>
      <c r="D3580" s="21" t="inlineStr">
        <is>
          <t>UK</t>
        </is>
      </c>
      <c r="E3580" s="21" t="n">
        <v>110</v>
      </c>
      <c r="F3580" s="21" t="inlineStr">
        <is>
          <t>English</t>
        </is>
      </c>
      <c r="G3580" s="21" t="inlineStr">
        <is>
          <t>R</t>
        </is>
      </c>
      <c r="H3580" s="22" t="n">
        <v>152857</v>
      </c>
      <c r="I3580" s="22" t="n">
        <v>20000000</v>
      </c>
      <c r="J3580" s="21">
        <f>IF(OR(H3580="",H3580=25529689.5),"Yes","No")</f>
        <v/>
      </c>
      <c r="K3580" s="21">
        <f>IF(AND(D3580="USA",C3580&gt;=1980,J3580="No"),"Yes","No")</f>
        <v/>
      </c>
      <c r="L3580" s="26">
        <f>IF(J3580="Yes","",H3580-I3580)</f>
        <v/>
      </c>
      <c r="M3580" s="27">
        <f>IF(OR(J3580="Yes",I3580=0),"",H3580/I3580)</f>
        <v/>
      </c>
      <c r="N3580" s="21">
        <f>IF(J3580="Yes","",IF(H3580&gt;=I3580,1,0))</f>
        <v/>
      </c>
      <c r="O3580" s="21">
        <f>IF(I3580&lt;=5000000,"Under $5M",IF(I3580&lt;=20000000,"$5M-20M",IF(I3580&lt;=50000000,"$20M-50M",IF(I3580&lt;=100000000,"$50M-100M","$100M+"))))</f>
        <v/>
      </c>
      <c r="P3580" s="21">
        <f>IF(E3580&lt;=90,"90 or less",IF(E3580&lt;=105,"91-105",IF(E3580&lt;=120,"106-120",IF(E3580&lt;=140,"121-140","Over 140"))))</f>
        <v/>
      </c>
      <c r="Q3580" s="28">
        <f>INT(C3580/10)*10</f>
        <v/>
      </c>
    </row>
    <row r="3581">
      <c r="A3581" s="21" t="n">
        <v>3656</v>
      </c>
      <c r="B3581" s="21" t="inlineStr">
        <is>
          <t>Why Did I Get Married Too?</t>
        </is>
      </c>
      <c r="C3581" s="21" t="n">
        <v>2010</v>
      </c>
      <c r="D3581" s="21" t="inlineStr">
        <is>
          <t>USA</t>
        </is>
      </c>
      <c r="E3581" s="21" t="n">
        <v>121</v>
      </c>
      <c r="F3581" s="21" t="inlineStr">
        <is>
          <t>English</t>
        </is>
      </c>
      <c r="G3581" s="21" t="inlineStr">
        <is>
          <t>PG-13</t>
        </is>
      </c>
      <c r="H3581" s="22" t="n">
        <v>60072596</v>
      </c>
      <c r="I3581" s="22" t="n">
        <v>20000000</v>
      </c>
      <c r="J3581" s="21">
        <f>IF(OR(H3581="",H3581=25529689.5),"Yes","No")</f>
        <v/>
      </c>
      <c r="K3581" s="21">
        <f>IF(AND(D3581="USA",C3581&gt;=1980,J3581="No"),"Yes","No")</f>
        <v/>
      </c>
      <c r="L3581" s="26">
        <f>IF(J3581="Yes","",H3581-I3581)</f>
        <v/>
      </c>
      <c r="M3581" s="27">
        <f>IF(OR(J3581="Yes",I3581=0),"",H3581/I3581)</f>
        <v/>
      </c>
      <c r="N3581" s="21">
        <f>IF(J3581="Yes","",IF(H3581&gt;=I3581,1,0))</f>
        <v/>
      </c>
      <c r="O3581" s="21">
        <f>IF(I3581&lt;=5000000,"Under $5M",IF(I3581&lt;=20000000,"$5M-20M",IF(I3581&lt;=50000000,"$20M-50M",IF(I3581&lt;=100000000,"$50M-100M","$100M+"))))</f>
        <v/>
      </c>
      <c r="P3581" s="21">
        <f>IF(E3581&lt;=90,"90 or less",IF(E3581&lt;=105,"91-105",IF(E3581&lt;=120,"106-120",IF(E3581&lt;=140,"121-140","Over 140"))))</f>
        <v/>
      </c>
      <c r="Q3581" s="28">
        <f>INT(C3581/10)*10</f>
        <v/>
      </c>
    </row>
    <row r="3582">
      <c r="A3582" s="21" t="n">
        <v>3657</v>
      </c>
      <c r="B3582" s="21" t="inlineStr">
        <is>
          <t>Wild Target</t>
        </is>
      </c>
      <c r="C3582" s="21" t="n">
        <v>2010</v>
      </c>
      <c r="D3582" s="21" t="inlineStr">
        <is>
          <t>UK</t>
        </is>
      </c>
      <c r="E3582" s="21" t="n">
        <v>98</v>
      </c>
      <c r="F3582" s="21" t="inlineStr">
        <is>
          <t>English</t>
        </is>
      </c>
      <c r="G3582" s="21" t="inlineStr">
        <is>
          <t>PG-13</t>
        </is>
      </c>
      <c r="H3582" s="22" t="n">
        <v>117190</v>
      </c>
      <c r="I3582" s="22" t="n">
        <v>8000000</v>
      </c>
      <c r="J3582" s="21">
        <f>IF(OR(H3582="",H3582=25529689.5),"Yes","No")</f>
        <v/>
      </c>
      <c r="K3582" s="21">
        <f>IF(AND(D3582="USA",C3582&gt;=1980,J3582="No"),"Yes","No")</f>
        <v/>
      </c>
      <c r="L3582" s="26">
        <f>IF(J3582="Yes","",H3582-I3582)</f>
        <v/>
      </c>
      <c r="M3582" s="27">
        <f>IF(OR(J3582="Yes",I3582=0),"",H3582/I3582)</f>
        <v/>
      </c>
      <c r="N3582" s="21">
        <f>IF(J3582="Yes","",IF(H3582&gt;=I3582,1,0))</f>
        <v/>
      </c>
      <c r="O3582" s="21">
        <f>IF(I3582&lt;=5000000,"Under $5M",IF(I3582&lt;=20000000,"$5M-20M",IF(I3582&lt;=50000000,"$20M-50M",IF(I3582&lt;=100000000,"$50M-100M","$100M+"))))</f>
        <v/>
      </c>
      <c r="P3582" s="21">
        <f>IF(E3582&lt;=90,"90 or less",IF(E3582&lt;=105,"91-105",IF(E3582&lt;=120,"106-120",IF(E3582&lt;=140,"121-140","Over 140"))))</f>
        <v/>
      </c>
      <c r="Q3582" s="28">
        <f>INT(C3582/10)*10</f>
        <v/>
      </c>
    </row>
    <row r="3583">
      <c r="A3583" s="21" t="n">
        <v>3658</v>
      </c>
      <c r="B3583" s="21" t="inlineStr">
        <is>
          <t>Winter's Bone</t>
        </is>
      </c>
      <c r="C3583" s="21" t="n">
        <v>2010</v>
      </c>
      <c r="D3583" s="21" t="inlineStr">
        <is>
          <t>USA</t>
        </is>
      </c>
      <c r="E3583" s="21" t="n">
        <v>100</v>
      </c>
      <c r="F3583" s="21" t="inlineStr">
        <is>
          <t>English</t>
        </is>
      </c>
      <c r="G3583" s="21" t="inlineStr">
        <is>
          <t>R</t>
        </is>
      </c>
      <c r="H3583" s="22" t="n">
        <v>6531491</v>
      </c>
      <c r="I3583" s="22" t="n">
        <v>2000000</v>
      </c>
      <c r="J3583" s="21">
        <f>IF(OR(H3583="",H3583=25529689.5),"Yes","No")</f>
        <v/>
      </c>
      <c r="K3583" s="21">
        <f>IF(AND(D3583="USA",C3583&gt;=1980,J3583="No"),"Yes","No")</f>
        <v/>
      </c>
      <c r="L3583" s="26">
        <f>IF(J3583="Yes","",H3583-I3583)</f>
        <v/>
      </c>
      <c r="M3583" s="27">
        <f>IF(OR(J3583="Yes",I3583=0),"",H3583/I3583)</f>
        <v/>
      </c>
      <c r="N3583" s="21">
        <f>IF(J3583="Yes","",IF(H3583&gt;=I3583,1,0))</f>
        <v/>
      </c>
      <c r="O3583" s="21">
        <f>IF(I3583&lt;=5000000,"Under $5M",IF(I3583&lt;=20000000,"$5M-20M",IF(I3583&lt;=50000000,"$20M-50M",IF(I3583&lt;=100000000,"$50M-100M","$100M+"))))</f>
        <v/>
      </c>
      <c r="P3583" s="21">
        <f>IF(E3583&lt;=90,"90 or less",IF(E3583&lt;=105,"91-105",IF(E3583&lt;=120,"106-120",IF(E3583&lt;=140,"121-140","Over 140"))))</f>
        <v/>
      </c>
      <c r="Q3583" s="28">
        <f>INT(C3583/10)*10</f>
        <v/>
      </c>
    </row>
    <row r="3584">
      <c r="A3584" s="21" t="n">
        <v>3659</v>
      </c>
      <c r="B3584" s="21" t="inlineStr">
        <is>
          <t>Womb</t>
        </is>
      </c>
      <c r="C3584" s="21" t="n">
        <v>2010</v>
      </c>
      <c r="D3584" s="21" t="inlineStr">
        <is>
          <t>Germany</t>
        </is>
      </c>
      <c r="E3584" s="21" t="n">
        <v>111</v>
      </c>
      <c r="F3584" s="21" t="inlineStr">
        <is>
          <t>English</t>
        </is>
      </c>
      <c r="G3584" s="21" t="inlineStr">
        <is>
          <t>Unrated</t>
        </is>
      </c>
      <c r="H3584" s="22" t="n">
        <v>25529689.5</v>
      </c>
      <c r="I3584" s="22" t="n">
        <v>3660000</v>
      </c>
      <c r="J3584" s="21">
        <f>IF(OR(H3584="",H3584=25529689.5),"Yes","No")</f>
        <v/>
      </c>
      <c r="K3584" s="21">
        <f>IF(AND(D3584="USA",C3584&gt;=1980,J3584="No"),"Yes","No")</f>
        <v/>
      </c>
      <c r="L3584" s="26">
        <f>IF(J3584="Yes","",H3584-I3584)</f>
        <v/>
      </c>
      <c r="M3584" s="27">
        <f>IF(OR(J3584="Yes",I3584=0),"",H3584/I3584)</f>
        <v/>
      </c>
      <c r="N3584" s="21">
        <f>IF(J3584="Yes","",IF(H3584&gt;=I3584,1,0))</f>
        <v/>
      </c>
      <c r="O3584" s="21">
        <f>IF(I3584&lt;=5000000,"Under $5M",IF(I3584&lt;=20000000,"$5M-20M",IF(I3584&lt;=50000000,"$20M-50M",IF(I3584&lt;=100000000,"$50M-100M","$100M+"))))</f>
        <v/>
      </c>
      <c r="P3584" s="21">
        <f>IF(E3584&lt;=90,"90 or less",IF(E3584&lt;=105,"91-105",IF(E3584&lt;=120,"106-120",IF(E3584&lt;=140,"121-140","Over 140"))))</f>
        <v/>
      </c>
      <c r="Q3584" s="28">
        <f>INT(C3584/10)*10</f>
        <v/>
      </c>
    </row>
    <row r="3585">
      <c r="A3585" s="21" t="n">
        <v>3660</v>
      </c>
      <c r="B3585" s="21" t="inlineStr">
        <is>
          <t>Yogi Bear</t>
        </is>
      </c>
      <c r="C3585" s="21" t="n">
        <v>2010</v>
      </c>
      <c r="D3585" s="21" t="inlineStr">
        <is>
          <t>USA</t>
        </is>
      </c>
      <c r="E3585" s="21" t="n">
        <v>80</v>
      </c>
      <c r="F3585" s="21" t="inlineStr">
        <is>
          <t>English</t>
        </is>
      </c>
      <c r="G3585" s="21" t="inlineStr">
        <is>
          <t>PG</t>
        </is>
      </c>
      <c r="H3585" s="22" t="n">
        <v>100169068</v>
      </c>
      <c r="I3585" s="22" t="n">
        <v>80000000</v>
      </c>
      <c r="J3585" s="21">
        <f>IF(OR(H3585="",H3585=25529689.5),"Yes","No")</f>
        <v/>
      </c>
      <c r="K3585" s="21">
        <f>IF(AND(D3585="USA",C3585&gt;=1980,J3585="No"),"Yes","No")</f>
        <v/>
      </c>
      <c r="L3585" s="26">
        <f>IF(J3585="Yes","",H3585-I3585)</f>
        <v/>
      </c>
      <c r="M3585" s="27">
        <f>IF(OR(J3585="Yes",I3585=0),"",H3585/I3585)</f>
        <v/>
      </c>
      <c r="N3585" s="21">
        <f>IF(J3585="Yes","",IF(H3585&gt;=I3585,1,0))</f>
        <v/>
      </c>
      <c r="O3585" s="21">
        <f>IF(I3585&lt;=5000000,"Under $5M",IF(I3585&lt;=20000000,"$5M-20M",IF(I3585&lt;=50000000,"$20M-50M",IF(I3585&lt;=100000000,"$50M-100M","$100M+"))))</f>
        <v/>
      </c>
      <c r="P3585" s="21">
        <f>IF(E3585&lt;=90,"90 or less",IF(E3585&lt;=105,"91-105",IF(E3585&lt;=120,"106-120",IF(E3585&lt;=140,"121-140","Over 140"))))</f>
        <v/>
      </c>
      <c r="Q3585" s="28">
        <f>INT(C3585/10)*10</f>
        <v/>
      </c>
    </row>
    <row r="3586">
      <c r="A3586" s="21" t="n">
        <v>3661</v>
      </c>
      <c r="B3586" s="21" t="inlineStr">
        <is>
          <t>You Again</t>
        </is>
      </c>
      <c r="C3586" s="21" t="n">
        <v>2010</v>
      </c>
      <c r="D3586" s="21" t="inlineStr">
        <is>
          <t>USA</t>
        </is>
      </c>
      <c r="E3586" s="21" t="n">
        <v>105</v>
      </c>
      <c r="F3586" s="21" t="inlineStr">
        <is>
          <t>English</t>
        </is>
      </c>
      <c r="G3586" s="21" t="inlineStr">
        <is>
          <t>PG</t>
        </is>
      </c>
      <c r="H3586" s="22" t="n">
        <v>25677801</v>
      </c>
      <c r="I3586" s="22" t="n">
        <v>20000000</v>
      </c>
      <c r="J3586" s="21">
        <f>IF(OR(H3586="",H3586=25529689.5),"Yes","No")</f>
        <v/>
      </c>
      <c r="K3586" s="21">
        <f>IF(AND(D3586="USA",C3586&gt;=1980,J3586="No"),"Yes","No")</f>
        <v/>
      </c>
      <c r="L3586" s="26">
        <f>IF(J3586="Yes","",H3586-I3586)</f>
        <v/>
      </c>
      <c r="M3586" s="27">
        <f>IF(OR(J3586="Yes",I3586=0),"",H3586/I3586)</f>
        <v/>
      </c>
      <c r="N3586" s="21">
        <f>IF(J3586="Yes","",IF(H3586&gt;=I3586,1,0))</f>
        <v/>
      </c>
      <c r="O3586" s="21">
        <f>IF(I3586&lt;=5000000,"Under $5M",IF(I3586&lt;=20000000,"$5M-20M",IF(I3586&lt;=50000000,"$20M-50M",IF(I3586&lt;=100000000,"$50M-100M","$100M+"))))</f>
        <v/>
      </c>
      <c r="P3586" s="21">
        <f>IF(E3586&lt;=90,"90 or less",IF(E3586&lt;=105,"91-105",IF(E3586&lt;=120,"106-120",IF(E3586&lt;=140,"121-140","Over 140"))))</f>
        <v/>
      </c>
      <c r="Q3586" s="28">
        <f>INT(C3586/10)*10</f>
        <v/>
      </c>
    </row>
    <row r="3587">
      <c r="A3587" s="21" t="n">
        <v>3662</v>
      </c>
      <c r="B3587" s="21" t="inlineStr">
        <is>
          <t>You Will Meet a Tall Dark Stranger</t>
        </is>
      </c>
      <c r="C3587" s="21" t="n">
        <v>2010</v>
      </c>
      <c r="D3587" s="21" t="inlineStr">
        <is>
          <t>USA</t>
        </is>
      </c>
      <c r="E3587" s="21" t="n">
        <v>98</v>
      </c>
      <c r="F3587" s="21" t="inlineStr">
        <is>
          <t>English</t>
        </is>
      </c>
      <c r="G3587" s="21" t="inlineStr">
        <is>
          <t>R</t>
        </is>
      </c>
      <c r="H3587" s="22" t="n">
        <v>3247816</v>
      </c>
      <c r="I3587" s="22" t="n">
        <v>22000000</v>
      </c>
      <c r="J3587" s="21">
        <f>IF(OR(H3587="",H3587=25529689.5),"Yes","No")</f>
        <v/>
      </c>
      <c r="K3587" s="21">
        <f>IF(AND(D3587="USA",C3587&gt;=1980,J3587="No"),"Yes","No")</f>
        <v/>
      </c>
      <c r="L3587" s="26">
        <f>IF(J3587="Yes","",H3587-I3587)</f>
        <v/>
      </c>
      <c r="M3587" s="27">
        <f>IF(OR(J3587="Yes",I3587=0),"",H3587/I3587)</f>
        <v/>
      </c>
      <c r="N3587" s="21">
        <f>IF(J3587="Yes","",IF(H3587&gt;=I3587,1,0))</f>
        <v/>
      </c>
      <c r="O3587" s="21">
        <f>IF(I3587&lt;=5000000,"Under $5M",IF(I3587&lt;=20000000,"$5M-20M",IF(I3587&lt;=50000000,"$20M-50M",IF(I3587&lt;=100000000,"$50M-100M","$100M+"))))</f>
        <v/>
      </c>
      <c r="P3587" s="21">
        <f>IF(E3587&lt;=90,"90 or less",IF(E3587&lt;=105,"91-105",IF(E3587&lt;=120,"106-120",IF(E3587&lt;=140,"121-140","Over 140"))))</f>
        <v/>
      </c>
      <c r="Q3587" s="28">
        <f>INT(C3587/10)*10</f>
        <v/>
      </c>
    </row>
    <row r="3588">
      <c r="A3588" s="21" t="n">
        <v>3663</v>
      </c>
      <c r="B3588" s="21" t="inlineStr">
        <is>
          <t>1911</t>
        </is>
      </c>
      <c r="C3588" s="21" t="n">
        <v>2011</v>
      </c>
      <c r="D3588" s="21" t="inlineStr">
        <is>
          <t>China</t>
        </is>
      </c>
      <c r="E3588" s="21" t="n">
        <v>121</v>
      </c>
      <c r="F3588" s="21" t="inlineStr">
        <is>
          <t>Mandarin</t>
        </is>
      </c>
      <c r="G3588" s="21" t="inlineStr">
        <is>
          <t>R</t>
        </is>
      </c>
      <c r="H3588" s="22" t="n">
        <v>127437</v>
      </c>
      <c r="I3588" s="22" t="n">
        <v>18000000</v>
      </c>
      <c r="J3588" s="21">
        <f>IF(OR(H3588="",H3588=25529689.5),"Yes","No")</f>
        <v/>
      </c>
      <c r="K3588" s="21">
        <f>IF(AND(D3588="USA",C3588&gt;=1980,J3588="No"),"Yes","No")</f>
        <v/>
      </c>
      <c r="L3588" s="26">
        <f>IF(J3588="Yes","",H3588-I3588)</f>
        <v/>
      </c>
      <c r="M3588" s="27">
        <f>IF(OR(J3588="Yes",I3588=0),"",H3588/I3588)</f>
        <v/>
      </c>
      <c r="N3588" s="21">
        <f>IF(J3588="Yes","",IF(H3588&gt;=I3588,1,0))</f>
        <v/>
      </c>
      <c r="O3588" s="21">
        <f>IF(I3588&lt;=5000000,"Under $5M",IF(I3588&lt;=20000000,"$5M-20M",IF(I3588&lt;=50000000,"$20M-50M",IF(I3588&lt;=100000000,"$50M-100M","$100M+"))))</f>
        <v/>
      </c>
      <c r="P3588" s="21">
        <f>IF(E3588&lt;=90,"90 or less",IF(E3588&lt;=105,"91-105",IF(E3588&lt;=120,"106-120",IF(E3588&lt;=140,"121-140","Over 140"))))</f>
        <v/>
      </c>
      <c r="Q3588" s="28">
        <f>INT(C3588/10)*10</f>
        <v/>
      </c>
    </row>
    <row r="3589">
      <c r="A3589" s="21" t="n">
        <v>3664</v>
      </c>
      <c r="B3589" s="21" t="inlineStr">
        <is>
          <t>30 Minutes or Less</t>
        </is>
      </c>
      <c r="C3589" s="21" t="n">
        <v>2011</v>
      </c>
      <c r="D3589" s="21" t="inlineStr">
        <is>
          <t>Germany</t>
        </is>
      </c>
      <c r="E3589" s="21" t="n">
        <v>83</v>
      </c>
      <c r="F3589" s="21" t="inlineStr">
        <is>
          <t>English</t>
        </is>
      </c>
      <c r="G3589" s="21" t="inlineStr">
        <is>
          <t>R</t>
        </is>
      </c>
      <c r="H3589" s="22" t="n">
        <v>37053924</v>
      </c>
      <c r="I3589" s="22" t="n">
        <v>28000000</v>
      </c>
      <c r="J3589" s="21">
        <f>IF(OR(H3589="",H3589=25529689.5),"Yes","No")</f>
        <v/>
      </c>
      <c r="K3589" s="21">
        <f>IF(AND(D3589="USA",C3589&gt;=1980,J3589="No"),"Yes","No")</f>
        <v/>
      </c>
      <c r="L3589" s="26">
        <f>IF(J3589="Yes","",H3589-I3589)</f>
        <v/>
      </c>
      <c r="M3589" s="27">
        <f>IF(OR(J3589="Yes",I3589=0),"",H3589/I3589)</f>
        <v/>
      </c>
      <c r="N3589" s="21">
        <f>IF(J3589="Yes","",IF(H3589&gt;=I3589,1,0))</f>
        <v/>
      </c>
      <c r="O3589" s="21">
        <f>IF(I3589&lt;=5000000,"Under $5M",IF(I3589&lt;=20000000,"$5M-20M",IF(I3589&lt;=50000000,"$20M-50M",IF(I3589&lt;=100000000,"$50M-100M","$100M+"))))</f>
        <v/>
      </c>
      <c r="P3589" s="21">
        <f>IF(E3589&lt;=90,"90 or less",IF(E3589&lt;=105,"91-105",IF(E3589&lt;=120,"106-120",IF(E3589&lt;=140,"121-140","Over 140"))))</f>
        <v/>
      </c>
      <c r="Q3589" s="28">
        <f>INT(C3589/10)*10</f>
        <v/>
      </c>
    </row>
    <row r="3590">
      <c r="A3590" s="21" t="n">
        <v>3665</v>
      </c>
      <c r="B3590" s="21" t="inlineStr">
        <is>
          <t>5 Days of War</t>
        </is>
      </c>
      <c r="C3590" s="21" t="n">
        <v>2011</v>
      </c>
      <c r="D3590" s="21" t="inlineStr">
        <is>
          <t>Georgia</t>
        </is>
      </c>
      <c r="E3590" s="21" t="n">
        <v>113</v>
      </c>
      <c r="F3590" s="21" t="inlineStr">
        <is>
          <t>English</t>
        </is>
      </c>
      <c r="G3590" s="21" t="inlineStr">
        <is>
          <t>R</t>
        </is>
      </c>
      <c r="H3590" s="22" t="n">
        <v>17149</v>
      </c>
      <c r="I3590" s="22" t="n">
        <v>20000000</v>
      </c>
      <c r="J3590" s="21">
        <f>IF(OR(H3590="",H3590=25529689.5),"Yes","No")</f>
        <v/>
      </c>
      <c r="K3590" s="21">
        <f>IF(AND(D3590="USA",C3590&gt;=1980,J3590="No"),"Yes","No")</f>
        <v/>
      </c>
      <c r="L3590" s="26">
        <f>IF(J3590="Yes","",H3590-I3590)</f>
        <v/>
      </c>
      <c r="M3590" s="27">
        <f>IF(OR(J3590="Yes",I3590=0),"",H3590/I3590)</f>
        <v/>
      </c>
      <c r="N3590" s="21">
        <f>IF(J3590="Yes","",IF(H3590&gt;=I3590,1,0))</f>
        <v/>
      </c>
      <c r="O3590" s="21">
        <f>IF(I3590&lt;=5000000,"Under $5M",IF(I3590&lt;=20000000,"$5M-20M",IF(I3590&lt;=50000000,"$20M-50M",IF(I3590&lt;=100000000,"$50M-100M","$100M+"))))</f>
        <v/>
      </c>
      <c r="P3590" s="21">
        <f>IF(E3590&lt;=90,"90 or less",IF(E3590&lt;=105,"91-105",IF(E3590&lt;=120,"106-120",IF(E3590&lt;=140,"121-140","Over 140"))))</f>
        <v/>
      </c>
      <c r="Q3590" s="28">
        <f>INT(C3590/10)*10</f>
        <v/>
      </c>
    </row>
    <row r="3591">
      <c r="A3591" s="21" t="n">
        <v>3666</v>
      </c>
      <c r="B3591" s="21" t="inlineStr">
        <is>
          <t>50/50</t>
        </is>
      </c>
      <c r="C3591" s="21" t="n">
        <v>2011</v>
      </c>
      <c r="D3591" s="21" t="inlineStr">
        <is>
          <t>USA</t>
        </is>
      </c>
      <c r="E3591" s="21" t="n">
        <v>100</v>
      </c>
      <c r="F3591" s="21" t="inlineStr">
        <is>
          <t>English</t>
        </is>
      </c>
      <c r="G3591" s="21" t="inlineStr">
        <is>
          <t>R</t>
        </is>
      </c>
      <c r="H3591" s="22" t="n">
        <v>34963967</v>
      </c>
      <c r="I3591" s="22" t="n">
        <v>8000000</v>
      </c>
      <c r="J3591" s="21">
        <f>IF(OR(H3591="",H3591=25529689.5),"Yes","No")</f>
        <v/>
      </c>
      <c r="K3591" s="21">
        <f>IF(AND(D3591="USA",C3591&gt;=1980,J3591="No"),"Yes","No")</f>
        <v/>
      </c>
      <c r="L3591" s="26">
        <f>IF(J3591="Yes","",H3591-I3591)</f>
        <v/>
      </c>
      <c r="M3591" s="27">
        <f>IF(OR(J3591="Yes",I3591=0),"",H3591/I3591)</f>
        <v/>
      </c>
      <c r="N3591" s="21">
        <f>IF(J3591="Yes","",IF(H3591&gt;=I3591,1,0))</f>
        <v/>
      </c>
      <c r="O3591" s="21">
        <f>IF(I3591&lt;=5000000,"Under $5M",IF(I3591&lt;=20000000,"$5M-20M",IF(I3591&lt;=50000000,"$20M-50M",IF(I3591&lt;=100000000,"$50M-100M","$100M+"))))</f>
        <v/>
      </c>
      <c r="P3591" s="21">
        <f>IF(E3591&lt;=90,"90 or less",IF(E3591&lt;=105,"91-105",IF(E3591&lt;=120,"106-120",IF(E3591&lt;=140,"121-140","Over 140"))))</f>
        <v/>
      </c>
      <c r="Q3591" s="28">
        <f>INT(C3591/10)*10</f>
        <v/>
      </c>
    </row>
    <row r="3592">
      <c r="A3592" s="21" t="n">
        <v>3667</v>
      </c>
      <c r="B3592" s="21" t="inlineStr">
        <is>
          <t>A Better Life</t>
        </is>
      </c>
      <c r="C3592" s="21" t="n">
        <v>2011</v>
      </c>
      <c r="D3592" s="21" t="inlineStr">
        <is>
          <t>USA</t>
        </is>
      </c>
      <c r="E3592" s="21" t="n">
        <v>98</v>
      </c>
      <c r="F3592" s="21" t="inlineStr">
        <is>
          <t>English</t>
        </is>
      </c>
      <c r="G3592" s="21" t="inlineStr">
        <is>
          <t>PG-13</t>
        </is>
      </c>
      <c r="H3592" s="22" t="n">
        <v>1754319</v>
      </c>
      <c r="I3592" s="22" t="n">
        <v>10000000</v>
      </c>
      <c r="J3592" s="21">
        <f>IF(OR(H3592="",H3592=25529689.5),"Yes","No")</f>
        <v/>
      </c>
      <c r="K3592" s="21">
        <f>IF(AND(D3592="USA",C3592&gt;=1980,J3592="No"),"Yes","No")</f>
        <v/>
      </c>
      <c r="L3592" s="26">
        <f>IF(J3592="Yes","",H3592-I3592)</f>
        <v/>
      </c>
      <c r="M3592" s="27">
        <f>IF(OR(J3592="Yes",I3592=0),"",H3592/I3592)</f>
        <v/>
      </c>
      <c r="N3592" s="21">
        <f>IF(J3592="Yes","",IF(H3592&gt;=I3592,1,0))</f>
        <v/>
      </c>
      <c r="O3592" s="21">
        <f>IF(I3592&lt;=5000000,"Under $5M",IF(I3592&lt;=20000000,"$5M-20M",IF(I3592&lt;=50000000,"$20M-50M",IF(I3592&lt;=100000000,"$50M-100M","$100M+"))))</f>
        <v/>
      </c>
      <c r="P3592" s="21">
        <f>IF(E3592&lt;=90,"90 or less",IF(E3592&lt;=105,"91-105",IF(E3592&lt;=120,"106-120",IF(E3592&lt;=140,"121-140","Over 140"))))</f>
        <v/>
      </c>
      <c r="Q3592" s="28">
        <f>INT(C3592/10)*10</f>
        <v/>
      </c>
    </row>
    <row r="3593">
      <c r="A3593" s="21" t="n">
        <v>3668</v>
      </c>
      <c r="B3593" s="21" t="inlineStr">
        <is>
          <t>A Dangerous Method</t>
        </is>
      </c>
      <c r="C3593" s="21" t="n">
        <v>2011</v>
      </c>
      <c r="D3593" s="21" t="inlineStr">
        <is>
          <t>UK</t>
        </is>
      </c>
      <c r="E3593" s="21" t="n">
        <v>99</v>
      </c>
      <c r="F3593" s="21" t="inlineStr">
        <is>
          <t>English</t>
        </is>
      </c>
      <c r="G3593" s="21" t="inlineStr">
        <is>
          <t>R</t>
        </is>
      </c>
      <c r="H3593" s="22" t="n">
        <v>5702083</v>
      </c>
      <c r="I3593" s="22" t="n">
        <v>15000000</v>
      </c>
      <c r="J3593" s="21">
        <f>IF(OR(H3593="",H3593=25529689.5),"Yes","No")</f>
        <v/>
      </c>
      <c r="K3593" s="21">
        <f>IF(AND(D3593="USA",C3593&gt;=1980,J3593="No"),"Yes","No")</f>
        <v/>
      </c>
      <c r="L3593" s="26">
        <f>IF(J3593="Yes","",H3593-I3593)</f>
        <v/>
      </c>
      <c r="M3593" s="27">
        <f>IF(OR(J3593="Yes",I3593=0),"",H3593/I3593)</f>
        <v/>
      </c>
      <c r="N3593" s="21">
        <f>IF(J3593="Yes","",IF(H3593&gt;=I3593,1,0))</f>
        <v/>
      </c>
      <c r="O3593" s="21">
        <f>IF(I3593&lt;=5000000,"Under $5M",IF(I3593&lt;=20000000,"$5M-20M",IF(I3593&lt;=50000000,"$20M-50M",IF(I3593&lt;=100000000,"$50M-100M","$100M+"))))</f>
        <v/>
      </c>
      <c r="P3593" s="21">
        <f>IF(E3593&lt;=90,"90 or less",IF(E3593&lt;=105,"91-105",IF(E3593&lt;=120,"106-120",IF(E3593&lt;=140,"121-140","Over 140"))))</f>
        <v/>
      </c>
      <c r="Q3593" s="28">
        <f>INT(C3593/10)*10</f>
        <v/>
      </c>
    </row>
    <row r="3594">
      <c r="A3594" s="21" t="n">
        <v>3669</v>
      </c>
      <c r="B3594" s="21" t="inlineStr">
        <is>
          <t>A Lonely Place to Die</t>
        </is>
      </c>
      <c r="C3594" s="21" t="n">
        <v>2011</v>
      </c>
      <c r="D3594" s="21" t="inlineStr">
        <is>
          <t>UK</t>
        </is>
      </c>
      <c r="E3594" s="21" t="n">
        <v>99</v>
      </c>
      <c r="F3594" s="21" t="inlineStr">
        <is>
          <t>English</t>
        </is>
      </c>
      <c r="G3594" s="21" t="inlineStr">
        <is>
          <t>R</t>
        </is>
      </c>
      <c r="H3594" s="22" t="n">
        <v>25529689.5</v>
      </c>
      <c r="I3594" s="22" t="n">
        <v>4000000</v>
      </c>
      <c r="J3594" s="21">
        <f>IF(OR(H3594="",H3594=25529689.5),"Yes","No")</f>
        <v/>
      </c>
      <c r="K3594" s="21">
        <f>IF(AND(D3594="USA",C3594&gt;=1980,J3594="No"),"Yes","No")</f>
        <v/>
      </c>
      <c r="L3594" s="26">
        <f>IF(J3594="Yes","",H3594-I3594)</f>
        <v/>
      </c>
      <c r="M3594" s="27">
        <f>IF(OR(J3594="Yes",I3594=0),"",H3594/I3594)</f>
        <v/>
      </c>
      <c r="N3594" s="21">
        <f>IF(J3594="Yes","",IF(H3594&gt;=I3594,1,0))</f>
        <v/>
      </c>
      <c r="O3594" s="21">
        <f>IF(I3594&lt;=5000000,"Under $5M",IF(I3594&lt;=20000000,"$5M-20M",IF(I3594&lt;=50000000,"$20M-50M",IF(I3594&lt;=100000000,"$50M-100M","$100M+"))))</f>
        <v/>
      </c>
      <c r="P3594" s="21">
        <f>IF(E3594&lt;=90,"90 or less",IF(E3594&lt;=105,"91-105",IF(E3594&lt;=120,"106-120",IF(E3594&lt;=140,"121-140","Over 140"))))</f>
        <v/>
      </c>
      <c r="Q3594" s="28">
        <f>INT(C3594/10)*10</f>
        <v/>
      </c>
    </row>
    <row r="3595">
      <c r="A3595" s="21" t="n">
        <v>3670</v>
      </c>
      <c r="B3595" s="21" t="inlineStr">
        <is>
          <t>A Monster in Paris</t>
        </is>
      </c>
      <c r="C3595" s="21" t="n">
        <v>2011</v>
      </c>
      <c r="D3595" s="21" t="inlineStr">
        <is>
          <t>France</t>
        </is>
      </c>
      <c r="E3595" s="21" t="n">
        <v>90</v>
      </c>
      <c r="F3595" s="21" t="inlineStr">
        <is>
          <t>French</t>
        </is>
      </c>
      <c r="G3595" s="21" t="inlineStr">
        <is>
          <t>PG</t>
        </is>
      </c>
      <c r="H3595" s="22" t="n">
        <v>25529689.5</v>
      </c>
      <c r="I3595" s="22" t="n">
        <v>25000000</v>
      </c>
      <c r="J3595" s="21">
        <f>IF(OR(H3595="",H3595=25529689.5),"Yes","No")</f>
        <v/>
      </c>
      <c r="K3595" s="21">
        <f>IF(AND(D3595="USA",C3595&gt;=1980,J3595="No"),"Yes","No")</f>
        <v/>
      </c>
      <c r="L3595" s="26">
        <f>IF(J3595="Yes","",H3595-I3595)</f>
        <v/>
      </c>
      <c r="M3595" s="27">
        <f>IF(OR(J3595="Yes",I3595=0),"",H3595/I3595)</f>
        <v/>
      </c>
      <c r="N3595" s="21">
        <f>IF(J3595="Yes","",IF(H3595&gt;=I3595,1,0))</f>
        <v/>
      </c>
      <c r="O3595" s="21">
        <f>IF(I3595&lt;=5000000,"Under $5M",IF(I3595&lt;=20000000,"$5M-20M",IF(I3595&lt;=50000000,"$20M-50M",IF(I3595&lt;=100000000,"$50M-100M","$100M+"))))</f>
        <v/>
      </c>
      <c r="P3595" s="21">
        <f>IF(E3595&lt;=90,"90 or less",IF(E3595&lt;=105,"91-105",IF(E3595&lt;=120,"106-120",IF(E3595&lt;=140,"121-140","Over 140"))))</f>
        <v/>
      </c>
      <c r="Q3595" s="28">
        <f>INT(C3595/10)*10</f>
        <v/>
      </c>
    </row>
    <row r="3596">
      <c r="A3596" s="21" t="n">
        <v>3671</v>
      </c>
      <c r="B3596" s="21" t="inlineStr">
        <is>
          <t>A Separation</t>
        </is>
      </c>
      <c r="C3596" s="21" t="n">
        <v>2011</v>
      </c>
      <c r="D3596" s="21" t="inlineStr">
        <is>
          <t>Iran</t>
        </is>
      </c>
      <c r="E3596" s="21" t="n">
        <v>123</v>
      </c>
      <c r="F3596" s="21" t="inlineStr">
        <is>
          <t>Persian</t>
        </is>
      </c>
      <c r="G3596" s="21" t="inlineStr">
        <is>
          <t>PG-13</t>
        </is>
      </c>
      <c r="H3596" s="22" t="n">
        <v>7098492</v>
      </c>
      <c r="I3596" s="22" t="n">
        <v>500000</v>
      </c>
      <c r="J3596" s="21">
        <f>IF(OR(H3596="",H3596=25529689.5),"Yes","No")</f>
        <v/>
      </c>
      <c r="K3596" s="21">
        <f>IF(AND(D3596="USA",C3596&gt;=1980,J3596="No"),"Yes","No")</f>
        <v/>
      </c>
      <c r="L3596" s="26">
        <f>IF(J3596="Yes","",H3596-I3596)</f>
        <v/>
      </c>
      <c r="M3596" s="27">
        <f>IF(OR(J3596="Yes",I3596=0),"",H3596/I3596)</f>
        <v/>
      </c>
      <c r="N3596" s="21">
        <f>IF(J3596="Yes","",IF(H3596&gt;=I3596,1,0))</f>
        <v/>
      </c>
      <c r="O3596" s="21">
        <f>IF(I3596&lt;=5000000,"Under $5M",IF(I3596&lt;=20000000,"$5M-20M",IF(I3596&lt;=50000000,"$20M-50M",IF(I3596&lt;=100000000,"$50M-100M","$100M+"))))</f>
        <v/>
      </c>
      <c r="P3596" s="21">
        <f>IF(E3596&lt;=90,"90 or less",IF(E3596&lt;=105,"91-105",IF(E3596&lt;=120,"106-120",IF(E3596&lt;=140,"121-140","Over 140"))))</f>
        <v/>
      </c>
      <c r="Q3596" s="28">
        <f>INT(C3596/10)*10</f>
        <v/>
      </c>
    </row>
    <row r="3597">
      <c r="A3597" s="21" t="n">
        <v>3672</v>
      </c>
      <c r="B3597" s="21" t="inlineStr">
        <is>
          <t>A Very Harold &amp; Kumar 3D Christmas</t>
        </is>
      </c>
      <c r="C3597" s="21" t="n">
        <v>2011</v>
      </c>
      <c r="D3597" s="21" t="inlineStr">
        <is>
          <t>USA</t>
        </is>
      </c>
      <c r="E3597" s="21" t="n">
        <v>90</v>
      </c>
      <c r="F3597" s="21" t="inlineStr">
        <is>
          <t>English</t>
        </is>
      </c>
      <c r="G3597" s="21" t="inlineStr">
        <is>
          <t>R</t>
        </is>
      </c>
      <c r="H3597" s="22" t="n">
        <v>35033759</v>
      </c>
      <c r="I3597" s="22" t="n">
        <v>19000000</v>
      </c>
      <c r="J3597" s="21">
        <f>IF(OR(H3597="",H3597=25529689.5),"Yes","No")</f>
        <v/>
      </c>
      <c r="K3597" s="21">
        <f>IF(AND(D3597="USA",C3597&gt;=1980,J3597="No"),"Yes","No")</f>
        <v/>
      </c>
      <c r="L3597" s="26">
        <f>IF(J3597="Yes","",H3597-I3597)</f>
        <v/>
      </c>
      <c r="M3597" s="27">
        <f>IF(OR(J3597="Yes",I3597=0),"",H3597/I3597)</f>
        <v/>
      </c>
      <c r="N3597" s="21">
        <f>IF(J3597="Yes","",IF(H3597&gt;=I3597,1,0))</f>
        <v/>
      </c>
      <c r="O3597" s="21">
        <f>IF(I3597&lt;=5000000,"Under $5M",IF(I3597&lt;=20000000,"$5M-20M",IF(I3597&lt;=50000000,"$20M-50M",IF(I3597&lt;=100000000,"$50M-100M","$100M+"))))</f>
        <v/>
      </c>
      <c r="P3597" s="21">
        <f>IF(E3597&lt;=90,"90 or less",IF(E3597&lt;=105,"91-105",IF(E3597&lt;=120,"106-120",IF(E3597&lt;=140,"121-140","Over 140"))))</f>
        <v/>
      </c>
      <c r="Q3597" s="28">
        <f>INT(C3597/10)*10</f>
        <v/>
      </c>
    </row>
    <row r="3598">
      <c r="A3598" s="21" t="n">
        <v>3673</v>
      </c>
      <c r="B3598" s="21" t="inlineStr">
        <is>
          <t>Abduction</t>
        </is>
      </c>
      <c r="C3598" s="21" t="n">
        <v>2011</v>
      </c>
      <c r="D3598" s="21" t="inlineStr">
        <is>
          <t>USA</t>
        </is>
      </c>
      <c r="E3598" s="21" t="n">
        <v>106</v>
      </c>
      <c r="F3598" s="21" t="inlineStr">
        <is>
          <t>English</t>
        </is>
      </c>
      <c r="G3598" s="21" t="inlineStr">
        <is>
          <t>PG-13</t>
        </is>
      </c>
      <c r="H3598" s="22" t="n">
        <v>28064226</v>
      </c>
      <c r="I3598" s="22" t="n">
        <v>35000000</v>
      </c>
      <c r="J3598" s="21">
        <f>IF(OR(H3598="",H3598=25529689.5),"Yes","No")</f>
        <v/>
      </c>
      <c r="K3598" s="21">
        <f>IF(AND(D3598="USA",C3598&gt;=1980,J3598="No"),"Yes","No")</f>
        <v/>
      </c>
      <c r="L3598" s="26">
        <f>IF(J3598="Yes","",H3598-I3598)</f>
        <v/>
      </c>
      <c r="M3598" s="27">
        <f>IF(OR(J3598="Yes",I3598=0),"",H3598/I3598)</f>
        <v/>
      </c>
      <c r="N3598" s="21">
        <f>IF(J3598="Yes","",IF(H3598&gt;=I3598,1,0))</f>
        <v/>
      </c>
      <c r="O3598" s="21">
        <f>IF(I3598&lt;=5000000,"Under $5M",IF(I3598&lt;=20000000,"$5M-20M",IF(I3598&lt;=50000000,"$20M-50M",IF(I3598&lt;=100000000,"$50M-100M","$100M+"))))</f>
        <v/>
      </c>
      <c r="P3598" s="21">
        <f>IF(E3598&lt;=90,"90 or less",IF(E3598&lt;=105,"91-105",IF(E3598&lt;=120,"106-120",IF(E3598&lt;=140,"121-140","Over 140"))))</f>
        <v/>
      </c>
      <c r="Q3598" s="28">
        <f>INT(C3598/10)*10</f>
        <v/>
      </c>
    </row>
    <row r="3599">
      <c r="A3599" s="21" t="n">
        <v>3674</v>
      </c>
      <c r="B3599" s="21" t="inlineStr">
        <is>
          <t>Absentia</t>
        </is>
      </c>
      <c r="C3599" s="21" t="n">
        <v>2011</v>
      </c>
      <c r="D3599" s="21" t="inlineStr">
        <is>
          <t>USA</t>
        </is>
      </c>
      <c r="E3599" s="21" t="n">
        <v>87</v>
      </c>
      <c r="F3599" s="21" t="inlineStr">
        <is>
          <t>English</t>
        </is>
      </c>
      <c r="G3599" s="21" t="inlineStr">
        <is>
          <t>R</t>
        </is>
      </c>
      <c r="H3599" s="22" t="n">
        <v>25529689.5</v>
      </c>
      <c r="I3599" s="22" t="n">
        <v>70000</v>
      </c>
      <c r="J3599" s="21">
        <f>IF(OR(H3599="",H3599=25529689.5),"Yes","No")</f>
        <v/>
      </c>
      <c r="K3599" s="21">
        <f>IF(AND(D3599="USA",C3599&gt;=1980,J3599="No"),"Yes","No")</f>
        <v/>
      </c>
      <c r="L3599" s="26">
        <f>IF(J3599="Yes","",H3599-I3599)</f>
        <v/>
      </c>
      <c r="M3599" s="27">
        <f>IF(OR(J3599="Yes",I3599=0),"",H3599/I3599)</f>
        <v/>
      </c>
      <c r="N3599" s="21">
        <f>IF(J3599="Yes","",IF(H3599&gt;=I3599,1,0))</f>
        <v/>
      </c>
      <c r="O3599" s="21">
        <f>IF(I3599&lt;=5000000,"Under $5M",IF(I3599&lt;=20000000,"$5M-20M",IF(I3599&lt;=50000000,"$20M-50M",IF(I3599&lt;=100000000,"$50M-100M","$100M+"))))</f>
        <v/>
      </c>
      <c r="P3599" s="21">
        <f>IF(E3599&lt;=90,"90 or less",IF(E3599&lt;=105,"91-105",IF(E3599&lt;=120,"106-120",IF(E3599&lt;=140,"121-140","Over 140"))))</f>
        <v/>
      </c>
      <c r="Q3599" s="28">
        <f>INT(C3599/10)*10</f>
        <v/>
      </c>
    </row>
    <row r="3600">
      <c r="A3600" s="21" t="n">
        <v>3675</v>
      </c>
      <c r="B3600" s="21" t="inlineStr">
        <is>
          <t>Albert Nobbs</t>
        </is>
      </c>
      <c r="C3600" s="21" t="n">
        <v>2011</v>
      </c>
      <c r="D3600" s="21" t="inlineStr">
        <is>
          <t>UK</t>
        </is>
      </c>
      <c r="E3600" s="21" t="n">
        <v>113</v>
      </c>
      <c r="F3600" s="21" t="inlineStr">
        <is>
          <t>English</t>
        </is>
      </c>
      <c r="G3600" s="21" t="inlineStr">
        <is>
          <t>R</t>
        </is>
      </c>
      <c r="H3600" s="22" t="n">
        <v>3014541</v>
      </c>
      <c r="I3600" s="22" t="n">
        <v>8000000</v>
      </c>
      <c r="J3600" s="21">
        <f>IF(OR(H3600="",H3600=25529689.5),"Yes","No")</f>
        <v/>
      </c>
      <c r="K3600" s="21">
        <f>IF(AND(D3600="USA",C3600&gt;=1980,J3600="No"),"Yes","No")</f>
        <v/>
      </c>
      <c r="L3600" s="26">
        <f>IF(J3600="Yes","",H3600-I3600)</f>
        <v/>
      </c>
      <c r="M3600" s="27">
        <f>IF(OR(J3600="Yes",I3600=0),"",H3600/I3600)</f>
        <v/>
      </c>
      <c r="N3600" s="21">
        <f>IF(J3600="Yes","",IF(H3600&gt;=I3600,1,0))</f>
        <v/>
      </c>
      <c r="O3600" s="21">
        <f>IF(I3600&lt;=5000000,"Under $5M",IF(I3600&lt;=20000000,"$5M-20M",IF(I3600&lt;=50000000,"$20M-50M",IF(I3600&lt;=100000000,"$50M-100M","$100M+"))))</f>
        <v/>
      </c>
      <c r="P3600" s="21">
        <f>IF(E3600&lt;=90,"90 or less",IF(E3600&lt;=105,"91-105",IF(E3600&lt;=120,"106-120",IF(E3600&lt;=140,"121-140","Over 140"))))</f>
        <v/>
      </c>
      <c r="Q3600" s="28">
        <f>INT(C3600/10)*10</f>
        <v/>
      </c>
    </row>
    <row r="3601">
      <c r="A3601" s="21" t="n">
        <v>3676</v>
      </c>
      <c r="B3601" s="21" t="inlineStr">
        <is>
          <t>All Superheroes Must Die</t>
        </is>
      </c>
      <c r="C3601" s="21" t="n">
        <v>2011</v>
      </c>
      <c r="D3601" s="21" t="inlineStr">
        <is>
          <t>USA</t>
        </is>
      </c>
      <c r="E3601" s="21" t="n">
        <v>78</v>
      </c>
      <c r="F3601" s="21" t="inlineStr">
        <is>
          <t>English</t>
        </is>
      </c>
      <c r="G3601" s="21" t="inlineStr">
        <is>
          <t>Unrated</t>
        </is>
      </c>
      <c r="H3601" s="22" t="n">
        <v>25529689.5</v>
      </c>
      <c r="I3601" s="22" t="n">
        <v>20000</v>
      </c>
      <c r="J3601" s="21">
        <f>IF(OR(H3601="",H3601=25529689.5),"Yes","No")</f>
        <v/>
      </c>
      <c r="K3601" s="21">
        <f>IF(AND(D3601="USA",C3601&gt;=1980,J3601="No"),"Yes","No")</f>
        <v/>
      </c>
      <c r="L3601" s="26">
        <f>IF(J3601="Yes","",H3601-I3601)</f>
        <v/>
      </c>
      <c r="M3601" s="27">
        <f>IF(OR(J3601="Yes",I3601=0),"",H3601/I3601)</f>
        <v/>
      </c>
      <c r="N3601" s="21">
        <f>IF(J3601="Yes","",IF(H3601&gt;=I3601,1,0))</f>
        <v/>
      </c>
      <c r="O3601" s="21">
        <f>IF(I3601&lt;=5000000,"Under $5M",IF(I3601&lt;=20000000,"$5M-20M",IF(I3601&lt;=50000000,"$20M-50M",IF(I3601&lt;=100000000,"$50M-100M","$100M+"))))</f>
        <v/>
      </c>
      <c r="P3601" s="21">
        <f>IF(E3601&lt;=90,"90 or less",IF(E3601&lt;=105,"91-105",IF(E3601&lt;=120,"106-120",IF(E3601&lt;=140,"121-140","Over 140"))))</f>
        <v/>
      </c>
      <c r="Q3601" s="28">
        <f>INT(C3601/10)*10</f>
        <v/>
      </c>
    </row>
    <row r="3602">
      <c r="A3602" s="21" t="n">
        <v>3677</v>
      </c>
      <c r="B3602" s="21" t="inlineStr">
        <is>
          <t>Alvin and the Chipmunks: Chipwrecked</t>
        </is>
      </c>
      <c r="C3602" s="21" t="n">
        <v>2011</v>
      </c>
      <c r="D3602" s="21" t="inlineStr">
        <is>
          <t>USA</t>
        </is>
      </c>
      <c r="E3602" s="21" t="n">
        <v>87</v>
      </c>
      <c r="F3602" s="21" t="inlineStr">
        <is>
          <t>English</t>
        </is>
      </c>
      <c r="G3602" s="21" t="inlineStr">
        <is>
          <t>G</t>
        </is>
      </c>
      <c r="H3602" s="22" t="n">
        <v>133103929</v>
      </c>
      <c r="I3602" s="22" t="n">
        <v>75000000</v>
      </c>
      <c r="J3602" s="21">
        <f>IF(OR(H3602="",H3602=25529689.5),"Yes","No")</f>
        <v/>
      </c>
      <c r="K3602" s="21">
        <f>IF(AND(D3602="USA",C3602&gt;=1980,J3602="No"),"Yes","No")</f>
        <v/>
      </c>
      <c r="L3602" s="26">
        <f>IF(J3602="Yes","",H3602-I3602)</f>
        <v/>
      </c>
      <c r="M3602" s="27">
        <f>IF(OR(J3602="Yes",I3602=0),"",H3602/I3602)</f>
        <v/>
      </c>
      <c r="N3602" s="21">
        <f>IF(J3602="Yes","",IF(H3602&gt;=I3602,1,0))</f>
        <v/>
      </c>
      <c r="O3602" s="21">
        <f>IF(I3602&lt;=5000000,"Under $5M",IF(I3602&lt;=20000000,"$5M-20M",IF(I3602&lt;=50000000,"$20M-50M",IF(I3602&lt;=100000000,"$50M-100M","$100M+"))))</f>
        <v/>
      </c>
      <c r="P3602" s="21">
        <f>IF(E3602&lt;=90,"90 or less",IF(E3602&lt;=105,"91-105",IF(E3602&lt;=120,"106-120",IF(E3602&lt;=140,"121-140","Over 140"))))</f>
        <v/>
      </c>
      <c r="Q3602" s="28">
        <f>INT(C3602/10)*10</f>
        <v/>
      </c>
    </row>
    <row r="3603">
      <c r="A3603" s="21" t="n">
        <v>3678</v>
      </c>
      <c r="B3603" s="21" t="inlineStr">
        <is>
          <t>Anonymous</t>
        </is>
      </c>
      <c r="C3603" s="21" t="n">
        <v>2011</v>
      </c>
      <c r="D3603" s="21" t="inlineStr">
        <is>
          <t>UK</t>
        </is>
      </c>
      <c r="E3603" s="21" t="n">
        <v>130</v>
      </c>
      <c r="F3603" s="21" t="inlineStr">
        <is>
          <t>English</t>
        </is>
      </c>
      <c r="G3603" s="21" t="inlineStr">
        <is>
          <t>PG-13</t>
        </is>
      </c>
      <c r="H3603" s="22" t="n">
        <v>4463292</v>
      </c>
      <c r="I3603" s="22" t="n">
        <v>30000000</v>
      </c>
      <c r="J3603" s="21">
        <f>IF(OR(H3603="",H3603=25529689.5),"Yes","No")</f>
        <v/>
      </c>
      <c r="K3603" s="21">
        <f>IF(AND(D3603="USA",C3603&gt;=1980,J3603="No"),"Yes","No")</f>
        <v/>
      </c>
      <c r="L3603" s="26">
        <f>IF(J3603="Yes","",H3603-I3603)</f>
        <v/>
      </c>
      <c r="M3603" s="27">
        <f>IF(OR(J3603="Yes",I3603=0),"",H3603/I3603)</f>
        <v/>
      </c>
      <c r="N3603" s="21">
        <f>IF(J3603="Yes","",IF(H3603&gt;=I3603,1,0))</f>
        <v/>
      </c>
      <c r="O3603" s="21">
        <f>IF(I3603&lt;=5000000,"Under $5M",IF(I3603&lt;=20000000,"$5M-20M",IF(I3603&lt;=50000000,"$20M-50M",IF(I3603&lt;=100000000,"$50M-100M","$100M+"))))</f>
        <v/>
      </c>
      <c r="P3603" s="21">
        <f>IF(E3603&lt;=90,"90 or less",IF(E3603&lt;=105,"91-105",IF(E3603&lt;=120,"106-120",IF(E3603&lt;=140,"121-140","Over 140"))))</f>
        <v/>
      </c>
      <c r="Q3603" s="28">
        <f>INT(C3603/10)*10</f>
        <v/>
      </c>
    </row>
    <row r="3604">
      <c r="A3604" s="21" t="n">
        <v>3679</v>
      </c>
      <c r="B3604" s="21" t="inlineStr">
        <is>
          <t>Another Earth</t>
        </is>
      </c>
      <c r="C3604" s="21" t="n">
        <v>2011</v>
      </c>
      <c r="D3604" s="21" t="inlineStr">
        <is>
          <t>USA</t>
        </is>
      </c>
      <c r="E3604" s="21" t="n">
        <v>92</v>
      </c>
      <c r="F3604" s="21" t="inlineStr">
        <is>
          <t>English</t>
        </is>
      </c>
      <c r="G3604" s="21" t="inlineStr">
        <is>
          <t>PG-13</t>
        </is>
      </c>
      <c r="H3604" s="22" t="n">
        <v>1316074</v>
      </c>
      <c r="I3604" s="22" t="n">
        <v>100000</v>
      </c>
      <c r="J3604" s="21">
        <f>IF(OR(H3604="",H3604=25529689.5),"Yes","No")</f>
        <v/>
      </c>
      <c r="K3604" s="21">
        <f>IF(AND(D3604="USA",C3604&gt;=1980,J3604="No"),"Yes","No")</f>
        <v/>
      </c>
      <c r="L3604" s="26">
        <f>IF(J3604="Yes","",H3604-I3604)</f>
        <v/>
      </c>
      <c r="M3604" s="27">
        <f>IF(OR(J3604="Yes",I3604=0),"",H3604/I3604)</f>
        <v/>
      </c>
      <c r="N3604" s="21">
        <f>IF(J3604="Yes","",IF(H3604&gt;=I3604,1,0))</f>
        <v/>
      </c>
      <c r="O3604" s="21">
        <f>IF(I3604&lt;=5000000,"Under $5M",IF(I3604&lt;=20000000,"$5M-20M",IF(I3604&lt;=50000000,"$20M-50M",IF(I3604&lt;=100000000,"$50M-100M","$100M+"))))</f>
        <v/>
      </c>
      <c r="P3604" s="21">
        <f>IF(E3604&lt;=90,"90 or less",IF(E3604&lt;=105,"91-105",IF(E3604&lt;=120,"106-120",IF(E3604&lt;=140,"121-140","Over 140"))))</f>
        <v/>
      </c>
      <c r="Q3604" s="28">
        <f>INT(C3604/10)*10</f>
        <v/>
      </c>
    </row>
    <row r="3605">
      <c r="A3605" s="21" t="n">
        <v>3680</v>
      </c>
      <c r="B3605" s="21" t="inlineStr">
        <is>
          <t>Another Happy Day</t>
        </is>
      </c>
      <c r="C3605" s="21" t="n">
        <v>2011</v>
      </c>
      <c r="D3605" s="21" t="inlineStr">
        <is>
          <t>USA</t>
        </is>
      </c>
      <c r="E3605" s="21" t="n">
        <v>119</v>
      </c>
      <c r="F3605" s="21" t="inlineStr">
        <is>
          <t>English</t>
        </is>
      </c>
      <c r="G3605" s="21" t="inlineStr">
        <is>
          <t>R</t>
        </is>
      </c>
      <c r="H3605" s="22" t="n">
        <v>25529689.5</v>
      </c>
      <c r="I3605" s="22" t="n">
        <v>4000000</v>
      </c>
      <c r="J3605" s="21">
        <f>IF(OR(H3605="",H3605=25529689.5),"Yes","No")</f>
        <v/>
      </c>
      <c r="K3605" s="21">
        <f>IF(AND(D3605="USA",C3605&gt;=1980,J3605="No"),"Yes","No")</f>
        <v/>
      </c>
      <c r="L3605" s="26">
        <f>IF(J3605="Yes","",H3605-I3605)</f>
        <v/>
      </c>
      <c r="M3605" s="27">
        <f>IF(OR(J3605="Yes",I3605=0),"",H3605/I3605)</f>
        <v/>
      </c>
      <c r="N3605" s="21">
        <f>IF(J3605="Yes","",IF(H3605&gt;=I3605,1,0))</f>
        <v/>
      </c>
      <c r="O3605" s="21">
        <f>IF(I3605&lt;=5000000,"Under $5M",IF(I3605&lt;=20000000,"$5M-20M",IF(I3605&lt;=50000000,"$20M-50M",IF(I3605&lt;=100000000,"$50M-100M","$100M+"))))</f>
        <v/>
      </c>
      <c r="P3605" s="21">
        <f>IF(E3605&lt;=90,"90 or less",IF(E3605&lt;=105,"91-105",IF(E3605&lt;=120,"106-120",IF(E3605&lt;=140,"121-140","Over 140"))))</f>
        <v/>
      </c>
      <c r="Q3605" s="28">
        <f>INT(C3605/10)*10</f>
        <v/>
      </c>
    </row>
    <row r="3606">
      <c r="A3606" s="21" t="n">
        <v>3681</v>
      </c>
      <c r="B3606" s="21" t="inlineStr">
        <is>
          <t>Apollo 18</t>
        </is>
      </c>
      <c r="C3606" s="21" t="n">
        <v>2011</v>
      </c>
      <c r="D3606" s="21" t="inlineStr">
        <is>
          <t>USA</t>
        </is>
      </c>
      <c r="E3606" s="21" t="n">
        <v>86</v>
      </c>
      <c r="F3606" s="21" t="inlineStr">
        <is>
          <t>English</t>
        </is>
      </c>
      <c r="G3606" s="21" t="inlineStr">
        <is>
          <t>PG-13</t>
        </is>
      </c>
      <c r="H3606" s="22" t="n">
        <v>17683670</v>
      </c>
      <c r="I3606" s="22" t="n">
        <v>5000000</v>
      </c>
      <c r="J3606" s="21">
        <f>IF(OR(H3606="",H3606=25529689.5),"Yes","No")</f>
        <v/>
      </c>
      <c r="K3606" s="21">
        <f>IF(AND(D3606="USA",C3606&gt;=1980,J3606="No"),"Yes","No")</f>
        <v/>
      </c>
      <c r="L3606" s="26">
        <f>IF(J3606="Yes","",H3606-I3606)</f>
        <v/>
      </c>
      <c r="M3606" s="27">
        <f>IF(OR(J3606="Yes",I3606=0),"",H3606/I3606)</f>
        <v/>
      </c>
      <c r="N3606" s="21">
        <f>IF(J3606="Yes","",IF(H3606&gt;=I3606,1,0))</f>
        <v/>
      </c>
      <c r="O3606" s="21">
        <f>IF(I3606&lt;=5000000,"Under $5M",IF(I3606&lt;=20000000,"$5M-20M",IF(I3606&lt;=50000000,"$20M-50M",IF(I3606&lt;=100000000,"$50M-100M","$100M+"))))</f>
        <v/>
      </c>
      <c r="P3606" s="21">
        <f>IF(E3606&lt;=90,"90 or less",IF(E3606&lt;=105,"91-105",IF(E3606&lt;=120,"106-120",IF(E3606&lt;=140,"121-140","Over 140"))))</f>
        <v/>
      </c>
      <c r="Q3606" s="28">
        <f>INT(C3606/10)*10</f>
        <v/>
      </c>
    </row>
    <row r="3607">
      <c r="A3607" s="21" t="n">
        <v>3682</v>
      </c>
      <c r="B3607" s="21" t="inlineStr">
        <is>
          <t>Arthur Christmas</t>
        </is>
      </c>
      <c r="C3607" s="21" t="n">
        <v>2011</v>
      </c>
      <c r="D3607" s="21" t="inlineStr">
        <is>
          <t>UK</t>
        </is>
      </c>
      <c r="E3607" s="21" t="n">
        <v>97</v>
      </c>
      <c r="F3607" s="21" t="inlineStr">
        <is>
          <t>English</t>
        </is>
      </c>
      <c r="G3607" s="21" t="inlineStr">
        <is>
          <t>PG</t>
        </is>
      </c>
      <c r="H3607" s="22" t="n">
        <v>46440491</v>
      </c>
      <c r="I3607" s="22" t="n">
        <v>100000000</v>
      </c>
      <c r="J3607" s="21">
        <f>IF(OR(H3607="",H3607=25529689.5),"Yes","No")</f>
        <v/>
      </c>
      <c r="K3607" s="21">
        <f>IF(AND(D3607="USA",C3607&gt;=1980,J3607="No"),"Yes","No")</f>
        <v/>
      </c>
      <c r="L3607" s="26">
        <f>IF(J3607="Yes","",H3607-I3607)</f>
        <v/>
      </c>
      <c r="M3607" s="27">
        <f>IF(OR(J3607="Yes",I3607=0),"",H3607/I3607)</f>
        <v/>
      </c>
      <c r="N3607" s="21">
        <f>IF(J3607="Yes","",IF(H3607&gt;=I3607,1,0))</f>
        <v/>
      </c>
      <c r="O3607" s="21">
        <f>IF(I3607&lt;=5000000,"Under $5M",IF(I3607&lt;=20000000,"$5M-20M",IF(I3607&lt;=50000000,"$20M-50M",IF(I3607&lt;=100000000,"$50M-100M","$100M+"))))</f>
        <v/>
      </c>
      <c r="P3607" s="21">
        <f>IF(E3607&lt;=90,"90 or less",IF(E3607&lt;=105,"91-105",IF(E3607&lt;=120,"106-120",IF(E3607&lt;=140,"121-140","Over 140"))))</f>
        <v/>
      </c>
      <c r="Q3607" s="28">
        <f>INT(C3607/10)*10</f>
        <v/>
      </c>
    </row>
    <row r="3608">
      <c r="A3608" s="21" t="n">
        <v>3683</v>
      </c>
      <c r="B3608" s="21" t="inlineStr">
        <is>
          <t>Attack the Block</t>
        </is>
      </c>
      <c r="C3608" s="21" t="n">
        <v>2011</v>
      </c>
      <c r="D3608" s="21" t="inlineStr">
        <is>
          <t>UK</t>
        </is>
      </c>
      <c r="E3608" s="21" t="n">
        <v>88</v>
      </c>
      <c r="F3608" s="21" t="inlineStr">
        <is>
          <t>English</t>
        </is>
      </c>
      <c r="G3608" s="21" t="inlineStr">
        <is>
          <t>R</t>
        </is>
      </c>
      <c r="H3608" s="22" t="n">
        <v>1024175</v>
      </c>
      <c r="I3608" s="22" t="n">
        <v>13000000</v>
      </c>
      <c r="J3608" s="21">
        <f>IF(OR(H3608="",H3608=25529689.5),"Yes","No")</f>
        <v/>
      </c>
      <c r="K3608" s="21">
        <f>IF(AND(D3608="USA",C3608&gt;=1980,J3608="No"),"Yes","No")</f>
        <v/>
      </c>
      <c r="L3608" s="26">
        <f>IF(J3608="Yes","",H3608-I3608)</f>
        <v/>
      </c>
      <c r="M3608" s="27">
        <f>IF(OR(J3608="Yes",I3608=0),"",H3608/I3608)</f>
        <v/>
      </c>
      <c r="N3608" s="21">
        <f>IF(J3608="Yes","",IF(H3608&gt;=I3608,1,0))</f>
        <v/>
      </c>
      <c r="O3608" s="21">
        <f>IF(I3608&lt;=5000000,"Under $5M",IF(I3608&lt;=20000000,"$5M-20M",IF(I3608&lt;=50000000,"$20M-50M",IF(I3608&lt;=100000000,"$50M-100M","$100M+"))))</f>
        <v/>
      </c>
      <c r="P3608" s="21">
        <f>IF(E3608&lt;=90,"90 or less",IF(E3608&lt;=105,"91-105",IF(E3608&lt;=120,"106-120",IF(E3608&lt;=140,"121-140","Over 140"))))</f>
        <v/>
      </c>
      <c r="Q3608" s="28">
        <f>INT(C3608/10)*10</f>
        <v/>
      </c>
    </row>
    <row r="3609">
      <c r="A3609" s="21" t="n">
        <v>3684</v>
      </c>
      <c r="B3609" s="21" t="inlineStr">
        <is>
          <t>August</t>
        </is>
      </c>
      <c r="C3609" s="21" t="n">
        <v>2011</v>
      </c>
      <c r="D3609" s="21" t="inlineStr">
        <is>
          <t>USA</t>
        </is>
      </c>
      <c r="E3609" s="21" t="n">
        <v>99</v>
      </c>
      <c r="F3609" s="21" t="inlineStr">
        <is>
          <t>English</t>
        </is>
      </c>
      <c r="G3609" s="21" t="inlineStr">
        <is>
          <t>Not Rated</t>
        </is>
      </c>
      <c r="H3609" s="22" t="n">
        <v>25529689.5</v>
      </c>
      <c r="I3609" s="22" t="n">
        <v>20000000</v>
      </c>
      <c r="J3609" s="21">
        <f>IF(OR(H3609="",H3609=25529689.5),"Yes","No")</f>
        <v/>
      </c>
      <c r="K3609" s="21">
        <f>IF(AND(D3609="USA",C3609&gt;=1980,J3609="No"),"Yes","No")</f>
        <v/>
      </c>
      <c r="L3609" s="26">
        <f>IF(J3609="Yes","",H3609-I3609)</f>
        <v/>
      </c>
      <c r="M3609" s="27">
        <f>IF(OR(J3609="Yes",I3609=0),"",H3609/I3609)</f>
        <v/>
      </c>
      <c r="N3609" s="21">
        <f>IF(J3609="Yes","",IF(H3609&gt;=I3609,1,0))</f>
        <v/>
      </c>
      <c r="O3609" s="21">
        <f>IF(I3609&lt;=5000000,"Under $5M",IF(I3609&lt;=20000000,"$5M-20M",IF(I3609&lt;=50000000,"$20M-50M",IF(I3609&lt;=100000000,"$50M-100M","$100M+"))))</f>
        <v/>
      </c>
      <c r="P3609" s="21">
        <f>IF(E3609&lt;=90,"90 or less",IF(E3609&lt;=105,"91-105",IF(E3609&lt;=120,"106-120",IF(E3609&lt;=140,"121-140","Over 140"))))</f>
        <v/>
      </c>
      <c r="Q3609" s="28">
        <f>INT(C3609/10)*10</f>
        <v/>
      </c>
    </row>
    <row r="3610">
      <c r="A3610" s="21" t="n">
        <v>3685</v>
      </c>
      <c r="B3610" s="21" t="inlineStr">
        <is>
          <t>Bad Teacher</t>
        </is>
      </c>
      <c r="C3610" s="21" t="n">
        <v>2011</v>
      </c>
      <c r="D3610" s="21" t="inlineStr">
        <is>
          <t>USA</t>
        </is>
      </c>
      <c r="E3610" s="21" t="n">
        <v>97</v>
      </c>
      <c r="F3610" s="21" t="inlineStr">
        <is>
          <t>English</t>
        </is>
      </c>
      <c r="G3610" s="21" t="inlineStr">
        <is>
          <t>R</t>
        </is>
      </c>
      <c r="H3610" s="22" t="n">
        <v>100292856</v>
      </c>
      <c r="I3610" s="22" t="n">
        <v>20000000</v>
      </c>
      <c r="J3610" s="21">
        <f>IF(OR(H3610="",H3610=25529689.5),"Yes","No")</f>
        <v/>
      </c>
      <c r="K3610" s="21">
        <f>IF(AND(D3610="USA",C3610&gt;=1980,J3610="No"),"Yes","No")</f>
        <v/>
      </c>
      <c r="L3610" s="26">
        <f>IF(J3610="Yes","",H3610-I3610)</f>
        <v/>
      </c>
      <c r="M3610" s="27">
        <f>IF(OR(J3610="Yes",I3610=0),"",H3610/I3610)</f>
        <v/>
      </c>
      <c r="N3610" s="21">
        <f>IF(J3610="Yes","",IF(H3610&gt;=I3610,1,0))</f>
        <v/>
      </c>
      <c r="O3610" s="21">
        <f>IF(I3610&lt;=5000000,"Under $5M",IF(I3610&lt;=20000000,"$5M-20M",IF(I3610&lt;=50000000,"$20M-50M",IF(I3610&lt;=100000000,"$50M-100M","$100M+"))))</f>
        <v/>
      </c>
      <c r="P3610" s="21">
        <f>IF(E3610&lt;=90,"90 or less",IF(E3610&lt;=105,"91-105",IF(E3610&lt;=120,"106-120",IF(E3610&lt;=140,"121-140","Over 140"))))</f>
        <v/>
      </c>
      <c r="Q3610" s="28">
        <f>INT(C3610/10)*10</f>
        <v/>
      </c>
    </row>
    <row r="3611">
      <c r="A3611" s="21" t="n">
        <v>3686</v>
      </c>
      <c r="B3611" s="21" t="inlineStr">
        <is>
          <t>Battle Los Angeles</t>
        </is>
      </c>
      <c r="C3611" s="21" t="n">
        <v>2011</v>
      </c>
      <c r="D3611" s="21" t="inlineStr">
        <is>
          <t>USA</t>
        </is>
      </c>
      <c r="E3611" s="21" t="n">
        <v>116</v>
      </c>
      <c r="F3611" s="21" t="inlineStr">
        <is>
          <t>English</t>
        </is>
      </c>
      <c r="G3611" s="21" t="inlineStr">
        <is>
          <t>PG-13</t>
        </is>
      </c>
      <c r="H3611" s="22" t="n">
        <v>83552429</v>
      </c>
      <c r="I3611" s="22" t="n">
        <v>70000000</v>
      </c>
      <c r="J3611" s="21">
        <f>IF(OR(H3611="",H3611=25529689.5),"Yes","No")</f>
        <v/>
      </c>
      <c r="K3611" s="21">
        <f>IF(AND(D3611="USA",C3611&gt;=1980,J3611="No"),"Yes","No")</f>
        <v/>
      </c>
      <c r="L3611" s="26">
        <f>IF(J3611="Yes","",H3611-I3611)</f>
        <v/>
      </c>
      <c r="M3611" s="27">
        <f>IF(OR(J3611="Yes",I3611=0),"",H3611/I3611)</f>
        <v/>
      </c>
      <c r="N3611" s="21">
        <f>IF(J3611="Yes","",IF(H3611&gt;=I3611,1,0))</f>
        <v/>
      </c>
      <c r="O3611" s="21">
        <f>IF(I3611&lt;=5000000,"Under $5M",IF(I3611&lt;=20000000,"$5M-20M",IF(I3611&lt;=50000000,"$20M-50M",IF(I3611&lt;=100000000,"$50M-100M","$100M+"))))</f>
        <v/>
      </c>
      <c r="P3611" s="21">
        <f>IF(E3611&lt;=90,"90 or less",IF(E3611&lt;=105,"91-105",IF(E3611&lt;=120,"106-120",IF(E3611&lt;=140,"121-140","Over 140"))))</f>
        <v/>
      </c>
      <c r="Q3611" s="28">
        <f>INT(C3611/10)*10</f>
        <v/>
      </c>
    </row>
    <row r="3612">
      <c r="A3612" s="21" t="n">
        <v>3687</v>
      </c>
      <c r="B3612" s="21" t="inlineStr">
        <is>
          <t>Beastly</t>
        </is>
      </c>
      <c r="C3612" s="21" t="n">
        <v>2011</v>
      </c>
      <c r="D3612" s="21" t="inlineStr">
        <is>
          <t>USA</t>
        </is>
      </c>
      <c r="E3612" s="21" t="n">
        <v>86</v>
      </c>
      <c r="F3612" s="21" t="inlineStr">
        <is>
          <t>English</t>
        </is>
      </c>
      <c r="G3612" s="21" t="inlineStr">
        <is>
          <t>PG-13</t>
        </is>
      </c>
      <c r="H3612" s="22" t="n">
        <v>27854896</v>
      </c>
      <c r="I3612" s="22" t="n">
        <v>17000000</v>
      </c>
      <c r="J3612" s="21">
        <f>IF(OR(H3612="",H3612=25529689.5),"Yes","No")</f>
        <v/>
      </c>
      <c r="K3612" s="21">
        <f>IF(AND(D3612="USA",C3612&gt;=1980,J3612="No"),"Yes","No")</f>
        <v/>
      </c>
      <c r="L3612" s="26">
        <f>IF(J3612="Yes","",H3612-I3612)</f>
        <v/>
      </c>
      <c r="M3612" s="27">
        <f>IF(OR(J3612="Yes",I3612=0),"",H3612/I3612)</f>
        <v/>
      </c>
      <c r="N3612" s="21">
        <f>IF(J3612="Yes","",IF(H3612&gt;=I3612,1,0))</f>
        <v/>
      </c>
      <c r="O3612" s="21">
        <f>IF(I3612&lt;=5000000,"Under $5M",IF(I3612&lt;=20000000,"$5M-20M",IF(I3612&lt;=50000000,"$20M-50M",IF(I3612&lt;=100000000,"$50M-100M","$100M+"))))</f>
        <v/>
      </c>
      <c r="P3612" s="21">
        <f>IF(E3612&lt;=90,"90 or less",IF(E3612&lt;=105,"91-105",IF(E3612&lt;=120,"106-120",IF(E3612&lt;=140,"121-140","Over 140"))))</f>
        <v/>
      </c>
      <c r="Q3612" s="28">
        <f>INT(C3612/10)*10</f>
        <v/>
      </c>
    </row>
    <row r="3613">
      <c r="A3613" s="21" t="n">
        <v>3688</v>
      </c>
      <c r="B3613" s="21" t="inlineStr">
        <is>
          <t>Below Zero</t>
        </is>
      </c>
      <c r="C3613" s="21" t="n">
        <v>2011</v>
      </c>
      <c r="D3613" s="21" t="inlineStr">
        <is>
          <t>Canada</t>
        </is>
      </c>
      <c r="E3613" s="21" t="n">
        <v>99</v>
      </c>
      <c r="F3613" s="21" t="inlineStr">
        <is>
          <t>English</t>
        </is>
      </c>
      <c r="G3613" s="21" t="inlineStr">
        <is>
          <t>R</t>
        </is>
      </c>
      <c r="H3613" s="22" t="n">
        <v>25529689.5</v>
      </c>
      <c r="I3613" s="22" t="n">
        <v>1200000</v>
      </c>
      <c r="J3613" s="21">
        <f>IF(OR(H3613="",H3613=25529689.5),"Yes","No")</f>
        <v/>
      </c>
      <c r="K3613" s="21">
        <f>IF(AND(D3613="USA",C3613&gt;=1980,J3613="No"),"Yes","No")</f>
        <v/>
      </c>
      <c r="L3613" s="26">
        <f>IF(J3613="Yes","",H3613-I3613)</f>
        <v/>
      </c>
      <c r="M3613" s="27">
        <f>IF(OR(J3613="Yes",I3613=0),"",H3613/I3613)</f>
        <v/>
      </c>
      <c r="N3613" s="21">
        <f>IF(J3613="Yes","",IF(H3613&gt;=I3613,1,0))</f>
        <v/>
      </c>
      <c r="O3613" s="21">
        <f>IF(I3613&lt;=5000000,"Under $5M",IF(I3613&lt;=20000000,"$5M-20M",IF(I3613&lt;=50000000,"$20M-50M",IF(I3613&lt;=100000000,"$50M-100M","$100M+"))))</f>
        <v/>
      </c>
      <c r="P3613" s="21">
        <f>IF(E3613&lt;=90,"90 or less",IF(E3613&lt;=105,"91-105",IF(E3613&lt;=120,"106-120",IF(E3613&lt;=140,"121-140","Over 140"))))</f>
        <v/>
      </c>
      <c r="Q3613" s="28">
        <f>INT(C3613/10)*10</f>
        <v/>
      </c>
    </row>
    <row r="3614">
      <c r="A3614" s="21" t="n">
        <v>3689</v>
      </c>
      <c r="B3614" s="21" t="inlineStr">
        <is>
          <t>Bernie</t>
        </is>
      </c>
      <c r="C3614" s="21" t="n">
        <v>2011</v>
      </c>
      <c r="D3614" s="21" t="inlineStr">
        <is>
          <t>USA</t>
        </is>
      </c>
      <c r="E3614" s="21" t="n">
        <v>99</v>
      </c>
      <c r="F3614" s="21" t="inlineStr">
        <is>
          <t>English</t>
        </is>
      </c>
      <c r="G3614" s="21" t="inlineStr">
        <is>
          <t>PG-13</t>
        </is>
      </c>
      <c r="H3614" s="22" t="n">
        <v>9203192</v>
      </c>
      <c r="I3614" s="22" t="n">
        <v>5000000</v>
      </c>
      <c r="J3614" s="21">
        <f>IF(OR(H3614="",H3614=25529689.5),"Yes","No")</f>
        <v/>
      </c>
      <c r="K3614" s="21">
        <f>IF(AND(D3614="USA",C3614&gt;=1980,J3614="No"),"Yes","No")</f>
        <v/>
      </c>
      <c r="L3614" s="26">
        <f>IF(J3614="Yes","",H3614-I3614)</f>
        <v/>
      </c>
      <c r="M3614" s="27">
        <f>IF(OR(J3614="Yes",I3614=0),"",H3614/I3614)</f>
        <v/>
      </c>
      <c r="N3614" s="21">
        <f>IF(J3614="Yes","",IF(H3614&gt;=I3614,1,0))</f>
        <v/>
      </c>
      <c r="O3614" s="21">
        <f>IF(I3614&lt;=5000000,"Under $5M",IF(I3614&lt;=20000000,"$5M-20M",IF(I3614&lt;=50000000,"$20M-50M",IF(I3614&lt;=100000000,"$50M-100M","$100M+"))))</f>
        <v/>
      </c>
      <c r="P3614" s="21">
        <f>IF(E3614&lt;=90,"90 or less",IF(E3614&lt;=105,"91-105",IF(E3614&lt;=120,"106-120",IF(E3614&lt;=140,"121-140","Over 140"))))</f>
        <v/>
      </c>
      <c r="Q3614" s="28">
        <f>INT(C3614/10)*10</f>
        <v/>
      </c>
    </row>
    <row r="3615">
      <c r="A3615" s="21" t="n">
        <v>3690</v>
      </c>
      <c r="B3615" s="21" t="inlineStr">
        <is>
          <t>Big Mommas: Like Father, Like Son</t>
        </is>
      </c>
      <c r="C3615" s="21" t="n">
        <v>2011</v>
      </c>
      <c r="D3615" s="21" t="inlineStr">
        <is>
          <t>USA</t>
        </is>
      </c>
      <c r="E3615" s="21" t="n">
        <v>113</v>
      </c>
      <c r="F3615" s="21" t="inlineStr">
        <is>
          <t>English</t>
        </is>
      </c>
      <c r="G3615" s="21" t="inlineStr">
        <is>
          <t>PG-13</t>
        </is>
      </c>
      <c r="H3615" s="22" t="n">
        <v>37911876</v>
      </c>
      <c r="I3615" s="22" t="n">
        <v>32000000</v>
      </c>
      <c r="J3615" s="21">
        <f>IF(OR(H3615="",H3615=25529689.5),"Yes","No")</f>
        <v/>
      </c>
      <c r="K3615" s="21">
        <f>IF(AND(D3615="USA",C3615&gt;=1980,J3615="No"),"Yes","No")</f>
        <v/>
      </c>
      <c r="L3615" s="26">
        <f>IF(J3615="Yes","",H3615-I3615)</f>
        <v/>
      </c>
      <c r="M3615" s="27">
        <f>IF(OR(J3615="Yes",I3615=0),"",H3615/I3615)</f>
        <v/>
      </c>
      <c r="N3615" s="21">
        <f>IF(J3615="Yes","",IF(H3615&gt;=I3615,1,0))</f>
        <v/>
      </c>
      <c r="O3615" s="21">
        <f>IF(I3615&lt;=5000000,"Under $5M",IF(I3615&lt;=20000000,"$5M-20M",IF(I3615&lt;=50000000,"$20M-50M",IF(I3615&lt;=100000000,"$50M-100M","$100M+"))))</f>
        <v/>
      </c>
      <c r="P3615" s="21">
        <f>IF(E3615&lt;=90,"90 or less",IF(E3615&lt;=105,"91-105",IF(E3615&lt;=120,"106-120",IF(E3615&lt;=140,"121-140","Over 140"))))</f>
        <v/>
      </c>
      <c r="Q3615" s="28">
        <f>INT(C3615/10)*10</f>
        <v/>
      </c>
    </row>
    <row r="3616">
      <c r="A3616" s="21" t="n">
        <v>3691</v>
      </c>
      <c r="B3616" s="21" t="inlineStr">
        <is>
          <t>Blackthorn</t>
        </is>
      </c>
      <c r="C3616" s="21" t="n">
        <v>2011</v>
      </c>
      <c r="D3616" s="21" t="inlineStr">
        <is>
          <t>Spain</t>
        </is>
      </c>
      <c r="E3616" s="21" t="n">
        <v>102</v>
      </c>
      <c r="F3616" s="21" t="inlineStr">
        <is>
          <t>English</t>
        </is>
      </c>
      <c r="G3616" s="21" t="inlineStr">
        <is>
          <t>R</t>
        </is>
      </c>
      <c r="H3616" s="22" t="n">
        <v>199652</v>
      </c>
      <c r="I3616" s="22" t="n">
        <v>20000000</v>
      </c>
      <c r="J3616" s="21">
        <f>IF(OR(H3616="",H3616=25529689.5),"Yes","No")</f>
        <v/>
      </c>
      <c r="K3616" s="21">
        <f>IF(AND(D3616="USA",C3616&gt;=1980,J3616="No"),"Yes","No")</f>
        <v/>
      </c>
      <c r="L3616" s="26">
        <f>IF(J3616="Yes","",H3616-I3616)</f>
        <v/>
      </c>
      <c r="M3616" s="27">
        <f>IF(OR(J3616="Yes",I3616=0),"",H3616/I3616)</f>
        <v/>
      </c>
      <c r="N3616" s="21">
        <f>IF(J3616="Yes","",IF(H3616&gt;=I3616,1,0))</f>
        <v/>
      </c>
      <c r="O3616" s="21">
        <f>IF(I3616&lt;=5000000,"Under $5M",IF(I3616&lt;=20000000,"$5M-20M",IF(I3616&lt;=50000000,"$20M-50M",IF(I3616&lt;=100000000,"$50M-100M","$100M+"))))</f>
        <v/>
      </c>
      <c r="P3616" s="21">
        <f>IF(E3616&lt;=90,"90 or less",IF(E3616&lt;=105,"91-105",IF(E3616&lt;=120,"106-120",IF(E3616&lt;=140,"121-140","Over 140"))))</f>
        <v/>
      </c>
      <c r="Q3616" s="28">
        <f>INT(C3616/10)*10</f>
        <v/>
      </c>
    </row>
    <row r="3617">
      <c r="A3617" s="21" t="n">
        <v>3692</v>
      </c>
      <c r="B3617" s="21" t="inlineStr">
        <is>
          <t>Bridesmaids</t>
        </is>
      </c>
      <c r="C3617" s="21" t="n">
        <v>2011</v>
      </c>
      <c r="D3617" s="21" t="inlineStr">
        <is>
          <t>USA</t>
        </is>
      </c>
      <c r="E3617" s="21" t="n">
        <v>131</v>
      </c>
      <c r="F3617" s="21" t="inlineStr">
        <is>
          <t>English</t>
        </is>
      </c>
      <c r="G3617" s="21" t="inlineStr">
        <is>
          <t>R</t>
        </is>
      </c>
      <c r="H3617" s="22" t="n">
        <v>169076745</v>
      </c>
      <c r="I3617" s="22" t="n">
        <v>32500000</v>
      </c>
      <c r="J3617" s="21">
        <f>IF(OR(H3617="",H3617=25529689.5),"Yes","No")</f>
        <v/>
      </c>
      <c r="K3617" s="21">
        <f>IF(AND(D3617="USA",C3617&gt;=1980,J3617="No"),"Yes","No")</f>
        <v/>
      </c>
      <c r="L3617" s="26">
        <f>IF(J3617="Yes","",H3617-I3617)</f>
        <v/>
      </c>
      <c r="M3617" s="27">
        <f>IF(OR(J3617="Yes",I3617=0),"",H3617/I3617)</f>
        <v/>
      </c>
      <c r="N3617" s="21">
        <f>IF(J3617="Yes","",IF(H3617&gt;=I3617,1,0))</f>
        <v/>
      </c>
      <c r="O3617" s="21">
        <f>IF(I3617&lt;=5000000,"Under $5M",IF(I3617&lt;=20000000,"$5M-20M",IF(I3617&lt;=50000000,"$20M-50M",IF(I3617&lt;=100000000,"$50M-100M","$100M+"))))</f>
        <v/>
      </c>
      <c r="P3617" s="21">
        <f>IF(E3617&lt;=90,"90 or less",IF(E3617&lt;=105,"91-105",IF(E3617&lt;=120,"106-120",IF(E3617&lt;=140,"121-140","Over 140"))))</f>
        <v/>
      </c>
      <c r="Q3617" s="28">
        <f>INT(C3617/10)*10</f>
        <v/>
      </c>
    </row>
    <row r="3618">
      <c r="A3618" s="21" t="n">
        <v>3693</v>
      </c>
      <c r="B3618" s="21" t="inlineStr">
        <is>
          <t>Bucky Larson: Born to Be a Star</t>
        </is>
      </c>
      <c r="C3618" s="21" t="n">
        <v>2011</v>
      </c>
      <c r="D3618" s="21" t="inlineStr">
        <is>
          <t>USA</t>
        </is>
      </c>
      <c r="E3618" s="21" t="n">
        <v>97</v>
      </c>
      <c r="F3618" s="21" t="inlineStr">
        <is>
          <t>English</t>
        </is>
      </c>
      <c r="G3618" s="21" t="inlineStr">
        <is>
          <t>R</t>
        </is>
      </c>
      <c r="H3618" s="22" t="n">
        <v>2331318</v>
      </c>
      <c r="I3618" s="22" t="n">
        <v>10000000</v>
      </c>
      <c r="J3618" s="21">
        <f>IF(OR(H3618="",H3618=25529689.5),"Yes","No")</f>
        <v/>
      </c>
      <c r="K3618" s="21">
        <f>IF(AND(D3618="USA",C3618&gt;=1980,J3618="No"),"Yes","No")</f>
        <v/>
      </c>
      <c r="L3618" s="26">
        <f>IF(J3618="Yes","",H3618-I3618)</f>
        <v/>
      </c>
      <c r="M3618" s="27">
        <f>IF(OR(J3618="Yes",I3618=0),"",H3618/I3618)</f>
        <v/>
      </c>
      <c r="N3618" s="21">
        <f>IF(J3618="Yes","",IF(H3618&gt;=I3618,1,0))</f>
        <v/>
      </c>
      <c r="O3618" s="21">
        <f>IF(I3618&lt;=5000000,"Under $5M",IF(I3618&lt;=20000000,"$5M-20M",IF(I3618&lt;=50000000,"$20M-50M",IF(I3618&lt;=100000000,"$50M-100M","$100M+"))))</f>
        <v/>
      </c>
      <c r="P3618" s="21">
        <f>IF(E3618&lt;=90,"90 or less",IF(E3618&lt;=105,"91-105",IF(E3618&lt;=120,"106-120",IF(E3618&lt;=140,"121-140","Over 140"))))</f>
        <v/>
      </c>
      <c r="Q3618" s="28">
        <f>INT(C3618/10)*10</f>
        <v/>
      </c>
    </row>
    <row r="3619">
      <c r="A3619" s="21" t="n">
        <v>3694</v>
      </c>
      <c r="B3619" s="21" t="inlineStr">
        <is>
          <t>Captain America: The First Avenger</t>
        </is>
      </c>
      <c r="C3619" s="21" t="n">
        <v>2011</v>
      </c>
      <c r="D3619" s="21" t="inlineStr">
        <is>
          <t>USA</t>
        </is>
      </c>
      <c r="E3619" s="21" t="n">
        <v>124</v>
      </c>
      <c r="F3619" s="21" t="inlineStr">
        <is>
          <t>English</t>
        </is>
      </c>
      <c r="G3619" s="21" t="inlineStr">
        <is>
          <t>PG-13</t>
        </is>
      </c>
      <c r="H3619" s="22" t="n">
        <v>176636816</v>
      </c>
      <c r="I3619" s="22" t="n">
        <v>140000000</v>
      </c>
      <c r="J3619" s="21">
        <f>IF(OR(H3619="",H3619=25529689.5),"Yes","No")</f>
        <v/>
      </c>
      <c r="K3619" s="21">
        <f>IF(AND(D3619="USA",C3619&gt;=1980,J3619="No"),"Yes","No")</f>
        <v/>
      </c>
      <c r="L3619" s="26">
        <f>IF(J3619="Yes","",H3619-I3619)</f>
        <v/>
      </c>
      <c r="M3619" s="27">
        <f>IF(OR(J3619="Yes",I3619=0),"",H3619/I3619)</f>
        <v/>
      </c>
      <c r="N3619" s="21">
        <f>IF(J3619="Yes","",IF(H3619&gt;=I3619,1,0))</f>
        <v/>
      </c>
      <c r="O3619" s="21">
        <f>IF(I3619&lt;=5000000,"Under $5M",IF(I3619&lt;=20000000,"$5M-20M",IF(I3619&lt;=50000000,"$20M-50M",IF(I3619&lt;=100000000,"$50M-100M","$100M+"))))</f>
        <v/>
      </c>
      <c r="P3619" s="21">
        <f>IF(E3619&lt;=90,"90 or less",IF(E3619&lt;=105,"91-105",IF(E3619&lt;=120,"106-120",IF(E3619&lt;=140,"121-140","Over 140"))))</f>
        <v/>
      </c>
      <c r="Q3619" s="28">
        <f>INT(C3619/10)*10</f>
        <v/>
      </c>
    </row>
    <row r="3620">
      <c r="A3620" s="21" t="n">
        <v>3695</v>
      </c>
      <c r="B3620" s="21" t="inlineStr">
        <is>
          <t>Carnage</t>
        </is>
      </c>
      <c r="C3620" s="21" t="n">
        <v>2011</v>
      </c>
      <c r="D3620" s="21" t="inlineStr">
        <is>
          <t>France</t>
        </is>
      </c>
      <c r="E3620" s="21" t="n">
        <v>80</v>
      </c>
      <c r="F3620" s="21" t="inlineStr">
        <is>
          <t>English</t>
        </is>
      </c>
      <c r="G3620" s="21" t="inlineStr">
        <is>
          <t>R</t>
        </is>
      </c>
      <c r="H3620" s="22" t="n">
        <v>25529689.5</v>
      </c>
      <c r="I3620" s="22" t="n">
        <v>25000000</v>
      </c>
      <c r="J3620" s="21">
        <f>IF(OR(H3620="",H3620=25529689.5),"Yes","No")</f>
        <v/>
      </c>
      <c r="K3620" s="21">
        <f>IF(AND(D3620="USA",C3620&gt;=1980,J3620="No"),"Yes","No")</f>
        <v/>
      </c>
      <c r="L3620" s="26">
        <f>IF(J3620="Yes","",H3620-I3620)</f>
        <v/>
      </c>
      <c r="M3620" s="27">
        <f>IF(OR(J3620="Yes",I3620=0),"",H3620/I3620)</f>
        <v/>
      </c>
      <c r="N3620" s="21">
        <f>IF(J3620="Yes","",IF(H3620&gt;=I3620,1,0))</f>
        <v/>
      </c>
      <c r="O3620" s="21">
        <f>IF(I3620&lt;=5000000,"Under $5M",IF(I3620&lt;=20000000,"$5M-20M",IF(I3620&lt;=50000000,"$20M-50M",IF(I3620&lt;=100000000,"$50M-100M","$100M+"))))</f>
        <v/>
      </c>
      <c r="P3620" s="21">
        <f>IF(E3620&lt;=90,"90 or less",IF(E3620&lt;=105,"91-105",IF(E3620&lt;=120,"106-120",IF(E3620&lt;=140,"121-140","Over 140"))))</f>
        <v/>
      </c>
      <c r="Q3620" s="28">
        <f>INT(C3620/10)*10</f>
        <v/>
      </c>
    </row>
    <row r="3621">
      <c r="A3621" s="21" t="n">
        <v>3696</v>
      </c>
      <c r="B3621" s="21" t="inlineStr">
        <is>
          <t>Cars 2</t>
        </is>
      </c>
      <c r="C3621" s="21" t="n">
        <v>2011</v>
      </c>
      <c r="D3621" s="21" t="inlineStr">
        <is>
          <t>USA</t>
        </is>
      </c>
      <c r="E3621" s="21" t="n">
        <v>106</v>
      </c>
      <c r="F3621" s="21" t="inlineStr">
        <is>
          <t>English</t>
        </is>
      </c>
      <c r="G3621" s="21" t="inlineStr">
        <is>
          <t>G</t>
        </is>
      </c>
      <c r="H3621" s="22" t="n">
        <v>191450875</v>
      </c>
      <c r="I3621" s="22" t="n">
        <v>200000000</v>
      </c>
      <c r="J3621" s="21">
        <f>IF(OR(H3621="",H3621=25529689.5),"Yes","No")</f>
        <v/>
      </c>
      <c r="K3621" s="21">
        <f>IF(AND(D3621="USA",C3621&gt;=1980,J3621="No"),"Yes","No")</f>
        <v/>
      </c>
      <c r="L3621" s="26">
        <f>IF(J3621="Yes","",H3621-I3621)</f>
        <v/>
      </c>
      <c r="M3621" s="27">
        <f>IF(OR(J3621="Yes",I3621=0),"",H3621/I3621)</f>
        <v/>
      </c>
      <c r="N3621" s="21">
        <f>IF(J3621="Yes","",IF(H3621&gt;=I3621,1,0))</f>
        <v/>
      </c>
      <c r="O3621" s="21">
        <f>IF(I3621&lt;=5000000,"Under $5M",IF(I3621&lt;=20000000,"$5M-20M",IF(I3621&lt;=50000000,"$20M-50M",IF(I3621&lt;=100000000,"$50M-100M","$100M+"))))</f>
        <v/>
      </c>
      <c r="P3621" s="21">
        <f>IF(E3621&lt;=90,"90 or less",IF(E3621&lt;=105,"91-105",IF(E3621&lt;=120,"106-120",IF(E3621&lt;=140,"121-140","Over 140"))))</f>
        <v/>
      </c>
      <c r="Q3621" s="28">
        <f>INT(C3621/10)*10</f>
        <v/>
      </c>
    </row>
    <row r="3622">
      <c r="A3622" s="21" t="n">
        <v>3697</v>
      </c>
      <c r="B3622" s="21" t="inlineStr">
        <is>
          <t>Cedar Rapids</t>
        </is>
      </c>
      <c r="C3622" s="21" t="n">
        <v>2011</v>
      </c>
      <c r="D3622" s="21" t="inlineStr">
        <is>
          <t>USA</t>
        </is>
      </c>
      <c r="E3622" s="21" t="n">
        <v>87</v>
      </c>
      <c r="F3622" s="21" t="inlineStr">
        <is>
          <t>English</t>
        </is>
      </c>
      <c r="G3622" s="21" t="inlineStr">
        <is>
          <t>R</t>
        </is>
      </c>
      <c r="H3622" s="22" t="n">
        <v>6857503</v>
      </c>
      <c r="I3622" s="22" t="n">
        <v>20000000</v>
      </c>
      <c r="J3622" s="21">
        <f>IF(OR(H3622="",H3622=25529689.5),"Yes","No")</f>
        <v/>
      </c>
      <c r="K3622" s="21">
        <f>IF(AND(D3622="USA",C3622&gt;=1980,J3622="No"),"Yes","No")</f>
        <v/>
      </c>
      <c r="L3622" s="26">
        <f>IF(J3622="Yes","",H3622-I3622)</f>
        <v/>
      </c>
      <c r="M3622" s="27">
        <f>IF(OR(J3622="Yes",I3622=0),"",H3622/I3622)</f>
        <v/>
      </c>
      <c r="N3622" s="21">
        <f>IF(J3622="Yes","",IF(H3622&gt;=I3622,1,0))</f>
        <v/>
      </c>
      <c r="O3622" s="21">
        <f>IF(I3622&lt;=5000000,"Under $5M",IF(I3622&lt;=20000000,"$5M-20M",IF(I3622&lt;=50000000,"$20M-50M",IF(I3622&lt;=100000000,"$50M-100M","$100M+"))))</f>
        <v/>
      </c>
      <c r="P3622" s="21">
        <f>IF(E3622&lt;=90,"90 or less",IF(E3622&lt;=105,"91-105",IF(E3622&lt;=120,"106-120",IF(E3622&lt;=140,"121-140","Over 140"))))</f>
        <v/>
      </c>
      <c r="Q3622" s="28">
        <f>INT(C3622/10)*10</f>
        <v/>
      </c>
    </row>
    <row r="3623">
      <c r="A3623" s="21" t="n">
        <v>3698</v>
      </c>
      <c r="B3623" s="21" t="inlineStr">
        <is>
          <t>Circumstance</t>
        </is>
      </c>
      <c r="C3623" s="21" t="n">
        <v>2011</v>
      </c>
      <c r="D3623" s="21" t="inlineStr">
        <is>
          <t>France</t>
        </is>
      </c>
      <c r="E3623" s="21" t="n">
        <v>107</v>
      </c>
      <c r="F3623" s="21" t="inlineStr">
        <is>
          <t>Persian</t>
        </is>
      </c>
      <c r="G3623" s="21" t="inlineStr">
        <is>
          <t>R</t>
        </is>
      </c>
      <c r="H3623" s="22" t="n">
        <v>439958</v>
      </c>
      <c r="I3623" s="22" t="n">
        <v>20000000</v>
      </c>
      <c r="J3623" s="21">
        <f>IF(OR(H3623="",H3623=25529689.5),"Yes","No")</f>
        <v/>
      </c>
      <c r="K3623" s="21">
        <f>IF(AND(D3623="USA",C3623&gt;=1980,J3623="No"),"Yes","No")</f>
        <v/>
      </c>
      <c r="L3623" s="26">
        <f>IF(J3623="Yes","",H3623-I3623)</f>
        <v/>
      </c>
      <c r="M3623" s="27">
        <f>IF(OR(J3623="Yes",I3623=0),"",H3623/I3623)</f>
        <v/>
      </c>
      <c r="N3623" s="21">
        <f>IF(J3623="Yes","",IF(H3623&gt;=I3623,1,0))</f>
        <v/>
      </c>
      <c r="O3623" s="21">
        <f>IF(I3623&lt;=5000000,"Under $5M",IF(I3623&lt;=20000000,"$5M-20M",IF(I3623&lt;=50000000,"$20M-50M",IF(I3623&lt;=100000000,"$50M-100M","$100M+"))))</f>
        <v/>
      </c>
      <c r="P3623" s="21">
        <f>IF(E3623&lt;=90,"90 or less",IF(E3623&lt;=105,"91-105",IF(E3623&lt;=120,"106-120",IF(E3623&lt;=140,"121-140","Over 140"))))</f>
        <v/>
      </c>
      <c r="Q3623" s="28">
        <f>INT(C3623/10)*10</f>
        <v/>
      </c>
    </row>
    <row r="3624">
      <c r="A3624" s="21" t="n">
        <v>3699</v>
      </c>
      <c r="B3624" s="21" t="inlineStr">
        <is>
          <t>Colombiana</t>
        </is>
      </c>
      <c r="C3624" s="21" t="n">
        <v>2011</v>
      </c>
      <c r="D3624" s="21" t="inlineStr">
        <is>
          <t>France</t>
        </is>
      </c>
      <c r="E3624" s="21" t="n">
        <v>112</v>
      </c>
      <c r="F3624" s="21" t="inlineStr">
        <is>
          <t>English</t>
        </is>
      </c>
      <c r="G3624" s="21" t="inlineStr">
        <is>
          <t>PG-13</t>
        </is>
      </c>
      <c r="H3624" s="22" t="n">
        <v>36665854</v>
      </c>
      <c r="I3624" s="22" t="n">
        <v>40000000</v>
      </c>
      <c r="J3624" s="21">
        <f>IF(OR(H3624="",H3624=25529689.5),"Yes","No")</f>
        <v/>
      </c>
      <c r="K3624" s="21">
        <f>IF(AND(D3624="USA",C3624&gt;=1980,J3624="No"),"Yes","No")</f>
        <v/>
      </c>
      <c r="L3624" s="26">
        <f>IF(J3624="Yes","",H3624-I3624)</f>
        <v/>
      </c>
      <c r="M3624" s="27">
        <f>IF(OR(J3624="Yes",I3624=0),"",H3624/I3624)</f>
        <v/>
      </c>
      <c r="N3624" s="21">
        <f>IF(J3624="Yes","",IF(H3624&gt;=I3624,1,0))</f>
        <v/>
      </c>
      <c r="O3624" s="21">
        <f>IF(I3624&lt;=5000000,"Under $5M",IF(I3624&lt;=20000000,"$5M-20M",IF(I3624&lt;=50000000,"$20M-50M",IF(I3624&lt;=100000000,"$50M-100M","$100M+"))))</f>
        <v/>
      </c>
      <c r="P3624" s="21">
        <f>IF(E3624&lt;=90,"90 or less",IF(E3624&lt;=105,"91-105",IF(E3624&lt;=120,"106-120",IF(E3624&lt;=140,"121-140","Over 140"))))</f>
        <v/>
      </c>
      <c r="Q3624" s="28">
        <f>INT(C3624/10)*10</f>
        <v/>
      </c>
    </row>
    <row r="3625">
      <c r="A3625" s="21" t="n">
        <v>3700</v>
      </c>
      <c r="B3625" s="21" t="inlineStr">
        <is>
          <t>Contagion</t>
        </is>
      </c>
      <c r="C3625" s="21" t="n">
        <v>2011</v>
      </c>
      <c r="D3625" s="21" t="inlineStr">
        <is>
          <t>USA</t>
        </is>
      </c>
      <c r="E3625" s="21" t="n">
        <v>106</v>
      </c>
      <c r="F3625" s="21" t="inlineStr">
        <is>
          <t>English</t>
        </is>
      </c>
      <c r="G3625" s="21" t="inlineStr">
        <is>
          <t>PG-13</t>
        </is>
      </c>
      <c r="H3625" s="22" t="n">
        <v>75638743</v>
      </c>
      <c r="I3625" s="22" t="n">
        <v>60000000</v>
      </c>
      <c r="J3625" s="21">
        <f>IF(OR(H3625="",H3625=25529689.5),"Yes","No")</f>
        <v/>
      </c>
      <c r="K3625" s="21">
        <f>IF(AND(D3625="USA",C3625&gt;=1980,J3625="No"),"Yes","No")</f>
        <v/>
      </c>
      <c r="L3625" s="26">
        <f>IF(J3625="Yes","",H3625-I3625)</f>
        <v/>
      </c>
      <c r="M3625" s="27">
        <f>IF(OR(J3625="Yes",I3625=0),"",H3625/I3625)</f>
        <v/>
      </c>
      <c r="N3625" s="21">
        <f>IF(J3625="Yes","",IF(H3625&gt;=I3625,1,0))</f>
        <v/>
      </c>
      <c r="O3625" s="21">
        <f>IF(I3625&lt;=5000000,"Under $5M",IF(I3625&lt;=20000000,"$5M-20M",IF(I3625&lt;=50000000,"$20M-50M",IF(I3625&lt;=100000000,"$50M-100M","$100M+"))))</f>
        <v/>
      </c>
      <c r="P3625" s="21">
        <f>IF(E3625&lt;=90,"90 or less",IF(E3625&lt;=105,"91-105",IF(E3625&lt;=120,"106-120",IF(E3625&lt;=140,"121-140","Over 140"))))</f>
        <v/>
      </c>
      <c r="Q3625" s="28">
        <f>INT(C3625/10)*10</f>
        <v/>
      </c>
    </row>
    <row r="3626">
      <c r="A3626" s="21" t="n">
        <v>3701</v>
      </c>
      <c r="B3626" s="21" t="inlineStr">
        <is>
          <t>Coriolanus</t>
        </is>
      </c>
      <c r="C3626" s="21" t="n">
        <v>2011</v>
      </c>
      <c r="D3626" s="21" t="inlineStr">
        <is>
          <t>UK</t>
        </is>
      </c>
      <c r="E3626" s="21" t="n">
        <v>123</v>
      </c>
      <c r="F3626" s="21" t="inlineStr">
        <is>
          <t>English</t>
        </is>
      </c>
      <c r="G3626" s="21" t="inlineStr">
        <is>
          <t>R</t>
        </is>
      </c>
      <c r="H3626" s="22" t="n">
        <v>756452</v>
      </c>
      <c r="I3626" s="22" t="n">
        <v>20000000</v>
      </c>
      <c r="J3626" s="21">
        <f>IF(OR(H3626="",H3626=25529689.5),"Yes","No")</f>
        <v/>
      </c>
      <c r="K3626" s="21">
        <f>IF(AND(D3626="USA",C3626&gt;=1980,J3626="No"),"Yes","No")</f>
        <v/>
      </c>
      <c r="L3626" s="26">
        <f>IF(J3626="Yes","",H3626-I3626)</f>
        <v/>
      </c>
      <c r="M3626" s="27">
        <f>IF(OR(J3626="Yes",I3626=0),"",H3626/I3626)</f>
        <v/>
      </c>
      <c r="N3626" s="21">
        <f>IF(J3626="Yes","",IF(H3626&gt;=I3626,1,0))</f>
        <v/>
      </c>
      <c r="O3626" s="21">
        <f>IF(I3626&lt;=5000000,"Under $5M",IF(I3626&lt;=20000000,"$5M-20M",IF(I3626&lt;=50000000,"$20M-50M",IF(I3626&lt;=100000000,"$50M-100M","$100M+"))))</f>
        <v/>
      </c>
      <c r="P3626" s="21">
        <f>IF(E3626&lt;=90,"90 or less",IF(E3626&lt;=105,"91-105",IF(E3626&lt;=120,"106-120",IF(E3626&lt;=140,"121-140","Over 140"))))</f>
        <v/>
      </c>
      <c r="Q3626" s="28">
        <f>INT(C3626/10)*10</f>
        <v/>
      </c>
    </row>
    <row r="3627">
      <c r="A3627" s="21" t="n">
        <v>3702</v>
      </c>
      <c r="B3627" s="21" t="inlineStr">
        <is>
          <t>Courageous</t>
        </is>
      </c>
      <c r="C3627" s="21" t="n">
        <v>2011</v>
      </c>
      <c r="D3627" s="21" t="inlineStr">
        <is>
          <t>USA</t>
        </is>
      </c>
      <c r="E3627" s="21" t="n">
        <v>129</v>
      </c>
      <c r="F3627" s="21" t="inlineStr">
        <is>
          <t>English</t>
        </is>
      </c>
      <c r="G3627" s="21" t="inlineStr">
        <is>
          <t>PG-13</t>
        </is>
      </c>
      <c r="H3627" s="22" t="n">
        <v>34522221</v>
      </c>
      <c r="I3627" s="22" t="n">
        <v>2000000</v>
      </c>
      <c r="J3627" s="21">
        <f>IF(OR(H3627="",H3627=25529689.5),"Yes","No")</f>
        <v/>
      </c>
      <c r="K3627" s="21">
        <f>IF(AND(D3627="USA",C3627&gt;=1980,J3627="No"),"Yes","No")</f>
        <v/>
      </c>
      <c r="L3627" s="26">
        <f>IF(J3627="Yes","",H3627-I3627)</f>
        <v/>
      </c>
      <c r="M3627" s="27">
        <f>IF(OR(J3627="Yes",I3627=0),"",H3627/I3627)</f>
        <v/>
      </c>
      <c r="N3627" s="21">
        <f>IF(J3627="Yes","",IF(H3627&gt;=I3627,1,0))</f>
        <v/>
      </c>
      <c r="O3627" s="21">
        <f>IF(I3627&lt;=5000000,"Under $5M",IF(I3627&lt;=20000000,"$5M-20M",IF(I3627&lt;=50000000,"$20M-50M",IF(I3627&lt;=100000000,"$50M-100M","$100M+"))))</f>
        <v/>
      </c>
      <c r="P3627" s="21">
        <f>IF(E3627&lt;=90,"90 or less",IF(E3627&lt;=105,"91-105",IF(E3627&lt;=120,"106-120",IF(E3627&lt;=140,"121-140","Over 140"))))</f>
        <v/>
      </c>
      <c r="Q3627" s="28">
        <f>INT(C3627/10)*10</f>
        <v/>
      </c>
    </row>
    <row r="3628">
      <c r="A3628" s="21" t="n">
        <v>3703</v>
      </c>
      <c r="B3628" s="21" t="inlineStr">
        <is>
          <t>Crazy, Stupid, Love.</t>
        </is>
      </c>
      <c r="C3628" s="21" t="n">
        <v>2011</v>
      </c>
      <c r="D3628" s="21" t="inlineStr">
        <is>
          <t>USA</t>
        </is>
      </c>
      <c r="E3628" s="21" t="n">
        <v>118</v>
      </c>
      <c r="F3628" s="21" t="inlineStr">
        <is>
          <t>English</t>
        </is>
      </c>
      <c r="G3628" s="21" t="inlineStr">
        <is>
          <t>PG-13</t>
        </is>
      </c>
      <c r="H3628" s="22" t="n">
        <v>84244877</v>
      </c>
      <c r="I3628" s="22" t="n">
        <v>50000000</v>
      </c>
      <c r="J3628" s="21">
        <f>IF(OR(H3628="",H3628=25529689.5),"Yes","No")</f>
        <v/>
      </c>
      <c r="K3628" s="21">
        <f>IF(AND(D3628="USA",C3628&gt;=1980,J3628="No"),"Yes","No")</f>
        <v/>
      </c>
      <c r="L3628" s="26">
        <f>IF(J3628="Yes","",H3628-I3628)</f>
        <v/>
      </c>
      <c r="M3628" s="27">
        <f>IF(OR(J3628="Yes",I3628=0),"",H3628/I3628)</f>
        <v/>
      </c>
      <c r="N3628" s="21">
        <f>IF(J3628="Yes","",IF(H3628&gt;=I3628,1,0))</f>
        <v/>
      </c>
      <c r="O3628" s="21">
        <f>IF(I3628&lt;=5000000,"Under $5M",IF(I3628&lt;=20000000,"$5M-20M",IF(I3628&lt;=50000000,"$20M-50M",IF(I3628&lt;=100000000,"$50M-100M","$100M+"))))</f>
        <v/>
      </c>
      <c r="P3628" s="21">
        <f>IF(E3628&lt;=90,"90 or less",IF(E3628&lt;=105,"91-105",IF(E3628&lt;=120,"106-120",IF(E3628&lt;=140,"121-140","Over 140"))))</f>
        <v/>
      </c>
      <c r="Q3628" s="28">
        <f>INT(C3628/10)*10</f>
        <v/>
      </c>
    </row>
    <row r="3629">
      <c r="A3629" s="21" t="n">
        <v>3704</v>
      </c>
      <c r="B3629" s="21" t="inlineStr">
        <is>
          <t>Damsels in Distress</t>
        </is>
      </c>
      <c r="C3629" s="21" t="n">
        <v>2011</v>
      </c>
      <c r="D3629" s="21" t="inlineStr">
        <is>
          <t>USA</t>
        </is>
      </c>
      <c r="E3629" s="21" t="n">
        <v>99</v>
      </c>
      <c r="F3629" s="21" t="inlineStr">
        <is>
          <t>English</t>
        </is>
      </c>
      <c r="G3629" s="21" t="inlineStr">
        <is>
          <t>PG-13</t>
        </is>
      </c>
      <c r="H3629" s="22" t="n">
        <v>1007535</v>
      </c>
      <c r="I3629" s="22" t="n">
        <v>20000000</v>
      </c>
      <c r="J3629" s="21">
        <f>IF(OR(H3629="",H3629=25529689.5),"Yes","No")</f>
        <v/>
      </c>
      <c r="K3629" s="21">
        <f>IF(AND(D3629="USA",C3629&gt;=1980,J3629="No"),"Yes","No")</f>
        <v/>
      </c>
      <c r="L3629" s="26">
        <f>IF(J3629="Yes","",H3629-I3629)</f>
        <v/>
      </c>
      <c r="M3629" s="27">
        <f>IF(OR(J3629="Yes",I3629=0),"",H3629/I3629)</f>
        <v/>
      </c>
      <c r="N3629" s="21">
        <f>IF(J3629="Yes","",IF(H3629&gt;=I3629,1,0))</f>
        <v/>
      </c>
      <c r="O3629" s="21">
        <f>IF(I3629&lt;=5000000,"Under $5M",IF(I3629&lt;=20000000,"$5M-20M",IF(I3629&lt;=50000000,"$20M-50M",IF(I3629&lt;=100000000,"$50M-100M","$100M+"))))</f>
        <v/>
      </c>
      <c r="P3629" s="21">
        <f>IF(E3629&lt;=90,"90 or less",IF(E3629&lt;=105,"91-105",IF(E3629&lt;=120,"106-120",IF(E3629&lt;=140,"121-140","Over 140"))))</f>
        <v/>
      </c>
      <c r="Q3629" s="28">
        <f>INT(C3629/10)*10</f>
        <v/>
      </c>
    </row>
    <row r="3630">
      <c r="A3630" s="21" t="n">
        <v>3705</v>
      </c>
      <c r="B3630" s="21" t="inlineStr">
        <is>
          <t>Detention</t>
        </is>
      </c>
      <c r="C3630" s="21" t="n">
        <v>2011</v>
      </c>
      <c r="D3630" s="21" t="inlineStr">
        <is>
          <t>USA</t>
        </is>
      </c>
      <c r="E3630" s="21" t="n">
        <v>93</v>
      </c>
      <c r="F3630" s="21" t="inlineStr">
        <is>
          <t>English</t>
        </is>
      </c>
      <c r="G3630" s="21" t="inlineStr">
        <is>
          <t>R</t>
        </is>
      </c>
      <c r="H3630" s="22" t="n">
        <v>25529689.5</v>
      </c>
      <c r="I3630" s="22" t="n">
        <v>10000000</v>
      </c>
      <c r="J3630" s="21">
        <f>IF(OR(H3630="",H3630=25529689.5),"Yes","No")</f>
        <v/>
      </c>
      <c r="K3630" s="21">
        <f>IF(AND(D3630="USA",C3630&gt;=1980,J3630="No"),"Yes","No")</f>
        <v/>
      </c>
      <c r="L3630" s="26">
        <f>IF(J3630="Yes","",H3630-I3630)</f>
        <v/>
      </c>
      <c r="M3630" s="27">
        <f>IF(OR(J3630="Yes",I3630=0),"",H3630/I3630)</f>
        <v/>
      </c>
      <c r="N3630" s="21">
        <f>IF(J3630="Yes","",IF(H3630&gt;=I3630,1,0))</f>
        <v/>
      </c>
      <c r="O3630" s="21">
        <f>IF(I3630&lt;=5000000,"Under $5M",IF(I3630&lt;=20000000,"$5M-20M",IF(I3630&lt;=50000000,"$20M-50M",IF(I3630&lt;=100000000,"$50M-100M","$100M+"))))</f>
        <v/>
      </c>
      <c r="P3630" s="21">
        <f>IF(E3630&lt;=90,"90 or less",IF(E3630&lt;=105,"91-105",IF(E3630&lt;=120,"106-120",IF(E3630&lt;=140,"121-140","Over 140"))))</f>
        <v/>
      </c>
      <c r="Q3630" s="28">
        <f>INT(C3630/10)*10</f>
        <v/>
      </c>
    </row>
    <row r="3631">
      <c r="A3631" s="21" t="n">
        <v>3706</v>
      </c>
      <c r="B3631" s="21" t="inlineStr">
        <is>
          <t>Diary of a Wimpy Kid: Rodrick Rules</t>
        </is>
      </c>
      <c r="C3631" s="21" t="n">
        <v>2011</v>
      </c>
      <c r="D3631" s="21" t="inlineStr">
        <is>
          <t>USA</t>
        </is>
      </c>
      <c r="E3631" s="21" t="n">
        <v>99</v>
      </c>
      <c r="F3631" s="21" t="inlineStr">
        <is>
          <t>English</t>
        </is>
      </c>
      <c r="G3631" s="21" t="inlineStr">
        <is>
          <t>PG</t>
        </is>
      </c>
      <c r="H3631" s="22" t="n">
        <v>52691009</v>
      </c>
      <c r="I3631" s="22" t="n">
        <v>21000000</v>
      </c>
      <c r="J3631" s="21">
        <f>IF(OR(H3631="",H3631=25529689.5),"Yes","No")</f>
        <v/>
      </c>
      <c r="K3631" s="21">
        <f>IF(AND(D3631="USA",C3631&gt;=1980,J3631="No"),"Yes","No")</f>
        <v/>
      </c>
      <c r="L3631" s="26">
        <f>IF(J3631="Yes","",H3631-I3631)</f>
        <v/>
      </c>
      <c r="M3631" s="27">
        <f>IF(OR(J3631="Yes",I3631=0),"",H3631/I3631)</f>
        <v/>
      </c>
      <c r="N3631" s="21">
        <f>IF(J3631="Yes","",IF(H3631&gt;=I3631,1,0))</f>
        <v/>
      </c>
      <c r="O3631" s="21">
        <f>IF(I3631&lt;=5000000,"Under $5M",IF(I3631&lt;=20000000,"$5M-20M",IF(I3631&lt;=50000000,"$20M-50M",IF(I3631&lt;=100000000,"$50M-100M","$100M+"))))</f>
        <v/>
      </c>
      <c r="P3631" s="21">
        <f>IF(E3631&lt;=90,"90 or less",IF(E3631&lt;=105,"91-105",IF(E3631&lt;=120,"106-120",IF(E3631&lt;=140,"121-140","Over 140"))))</f>
        <v/>
      </c>
      <c r="Q3631" s="28">
        <f>INT(C3631/10)*10</f>
        <v/>
      </c>
    </row>
    <row r="3632">
      <c r="A3632" s="21" t="n">
        <v>3707</v>
      </c>
      <c r="B3632" s="21" t="inlineStr">
        <is>
          <t>Dolphin Tale</t>
        </is>
      </c>
      <c r="C3632" s="21" t="n">
        <v>2011</v>
      </c>
      <c r="D3632" s="21" t="inlineStr">
        <is>
          <t>USA</t>
        </is>
      </c>
      <c r="E3632" s="21" t="n">
        <v>113</v>
      </c>
      <c r="F3632" s="21" t="inlineStr">
        <is>
          <t>English</t>
        </is>
      </c>
      <c r="G3632" s="21" t="inlineStr">
        <is>
          <t>PG</t>
        </is>
      </c>
      <c r="H3632" s="22" t="n">
        <v>72279690</v>
      </c>
      <c r="I3632" s="22" t="n">
        <v>37000000</v>
      </c>
      <c r="J3632" s="21">
        <f>IF(OR(H3632="",H3632=25529689.5),"Yes","No")</f>
        <v/>
      </c>
      <c r="K3632" s="21">
        <f>IF(AND(D3632="USA",C3632&gt;=1980,J3632="No"),"Yes","No")</f>
        <v/>
      </c>
      <c r="L3632" s="26">
        <f>IF(J3632="Yes","",H3632-I3632)</f>
        <v/>
      </c>
      <c r="M3632" s="27">
        <f>IF(OR(J3632="Yes",I3632=0),"",H3632/I3632)</f>
        <v/>
      </c>
      <c r="N3632" s="21">
        <f>IF(J3632="Yes","",IF(H3632&gt;=I3632,1,0))</f>
        <v/>
      </c>
      <c r="O3632" s="21">
        <f>IF(I3632&lt;=5000000,"Under $5M",IF(I3632&lt;=20000000,"$5M-20M",IF(I3632&lt;=50000000,"$20M-50M",IF(I3632&lt;=100000000,"$50M-100M","$100M+"))))</f>
        <v/>
      </c>
      <c r="P3632" s="21">
        <f>IF(E3632&lt;=90,"90 or less",IF(E3632&lt;=105,"91-105",IF(E3632&lt;=120,"106-120",IF(E3632&lt;=140,"121-140","Over 140"))))</f>
        <v/>
      </c>
      <c r="Q3632" s="28">
        <f>INT(C3632/10)*10</f>
        <v/>
      </c>
    </row>
    <row r="3633">
      <c r="A3633" s="21" t="n">
        <v>3708</v>
      </c>
      <c r="B3633" s="21" t="inlineStr">
        <is>
          <t>Dream House</t>
        </is>
      </c>
      <c r="C3633" s="21" t="n">
        <v>2011</v>
      </c>
      <c r="D3633" s="21" t="inlineStr">
        <is>
          <t>USA</t>
        </is>
      </c>
      <c r="E3633" s="21" t="n">
        <v>84</v>
      </c>
      <c r="F3633" s="21" t="inlineStr">
        <is>
          <t>English</t>
        </is>
      </c>
      <c r="G3633" s="21" t="inlineStr">
        <is>
          <t>PG-13</t>
        </is>
      </c>
      <c r="H3633" s="22" t="n">
        <v>21283440</v>
      </c>
      <c r="I3633" s="22" t="n">
        <v>55000000</v>
      </c>
      <c r="J3633" s="21">
        <f>IF(OR(H3633="",H3633=25529689.5),"Yes","No")</f>
        <v/>
      </c>
      <c r="K3633" s="21">
        <f>IF(AND(D3633="USA",C3633&gt;=1980,J3633="No"),"Yes","No")</f>
        <v/>
      </c>
      <c r="L3633" s="26">
        <f>IF(J3633="Yes","",H3633-I3633)</f>
        <v/>
      </c>
      <c r="M3633" s="27">
        <f>IF(OR(J3633="Yes",I3633=0),"",H3633/I3633)</f>
        <v/>
      </c>
      <c r="N3633" s="21">
        <f>IF(J3633="Yes","",IF(H3633&gt;=I3633,1,0))</f>
        <v/>
      </c>
      <c r="O3633" s="21">
        <f>IF(I3633&lt;=5000000,"Under $5M",IF(I3633&lt;=20000000,"$5M-20M",IF(I3633&lt;=50000000,"$20M-50M",IF(I3633&lt;=100000000,"$50M-100M","$100M+"))))</f>
        <v/>
      </c>
      <c r="P3633" s="21">
        <f>IF(E3633&lt;=90,"90 or less",IF(E3633&lt;=105,"91-105",IF(E3633&lt;=120,"106-120",IF(E3633&lt;=140,"121-140","Over 140"))))</f>
        <v/>
      </c>
      <c r="Q3633" s="28">
        <f>INT(C3633/10)*10</f>
        <v/>
      </c>
    </row>
    <row r="3634">
      <c r="A3634" s="21" t="n">
        <v>3709</v>
      </c>
      <c r="B3634" s="21" t="inlineStr">
        <is>
          <t>Drive</t>
        </is>
      </c>
      <c r="C3634" s="21" t="n">
        <v>2011</v>
      </c>
      <c r="D3634" s="21" t="inlineStr">
        <is>
          <t>USA</t>
        </is>
      </c>
      <c r="E3634" s="21" t="n">
        <v>100</v>
      </c>
      <c r="F3634" s="21" t="inlineStr">
        <is>
          <t>English</t>
        </is>
      </c>
      <c r="G3634" s="21" t="inlineStr">
        <is>
          <t>R</t>
        </is>
      </c>
      <c r="H3634" s="22" t="n">
        <v>35054909</v>
      </c>
      <c r="I3634" s="22" t="n">
        <v>15000000</v>
      </c>
      <c r="J3634" s="21">
        <f>IF(OR(H3634="",H3634=25529689.5),"Yes","No")</f>
        <v/>
      </c>
      <c r="K3634" s="21">
        <f>IF(AND(D3634="USA",C3634&gt;=1980,J3634="No"),"Yes","No")</f>
        <v/>
      </c>
      <c r="L3634" s="26">
        <f>IF(J3634="Yes","",H3634-I3634)</f>
        <v/>
      </c>
      <c r="M3634" s="27">
        <f>IF(OR(J3634="Yes",I3634=0),"",H3634/I3634)</f>
        <v/>
      </c>
      <c r="N3634" s="21">
        <f>IF(J3634="Yes","",IF(H3634&gt;=I3634,1,0))</f>
        <v/>
      </c>
      <c r="O3634" s="21">
        <f>IF(I3634&lt;=5000000,"Under $5M",IF(I3634&lt;=20000000,"$5M-20M",IF(I3634&lt;=50000000,"$20M-50M",IF(I3634&lt;=100000000,"$50M-100M","$100M+"))))</f>
        <v/>
      </c>
      <c r="P3634" s="21">
        <f>IF(E3634&lt;=90,"90 or less",IF(E3634&lt;=105,"91-105",IF(E3634&lt;=120,"106-120",IF(E3634&lt;=140,"121-140","Over 140"))))</f>
        <v/>
      </c>
      <c r="Q3634" s="28">
        <f>INT(C3634/10)*10</f>
        <v/>
      </c>
    </row>
    <row r="3635">
      <c r="A3635" s="21" t="n">
        <v>3710</v>
      </c>
      <c r="B3635" s="21" t="inlineStr">
        <is>
          <t>Drive Angry</t>
        </is>
      </c>
      <c r="C3635" s="21" t="n">
        <v>2011</v>
      </c>
      <c r="D3635" s="21" t="inlineStr">
        <is>
          <t>USA</t>
        </is>
      </c>
      <c r="E3635" s="21" t="n">
        <v>104</v>
      </c>
      <c r="F3635" s="21" t="inlineStr">
        <is>
          <t>English</t>
        </is>
      </c>
      <c r="G3635" s="21" t="inlineStr">
        <is>
          <t>R</t>
        </is>
      </c>
      <c r="H3635" s="22" t="n">
        <v>10706786</v>
      </c>
      <c r="I3635" s="22" t="n">
        <v>50000000</v>
      </c>
      <c r="J3635" s="21">
        <f>IF(OR(H3635="",H3635=25529689.5),"Yes","No")</f>
        <v/>
      </c>
      <c r="K3635" s="21">
        <f>IF(AND(D3635="USA",C3635&gt;=1980,J3635="No"),"Yes","No")</f>
        <v/>
      </c>
      <c r="L3635" s="26">
        <f>IF(J3635="Yes","",H3635-I3635)</f>
        <v/>
      </c>
      <c r="M3635" s="27">
        <f>IF(OR(J3635="Yes",I3635=0),"",H3635/I3635)</f>
        <v/>
      </c>
      <c r="N3635" s="21">
        <f>IF(J3635="Yes","",IF(H3635&gt;=I3635,1,0))</f>
        <v/>
      </c>
      <c r="O3635" s="21">
        <f>IF(I3635&lt;=5000000,"Under $5M",IF(I3635&lt;=20000000,"$5M-20M",IF(I3635&lt;=50000000,"$20M-50M",IF(I3635&lt;=100000000,"$50M-100M","$100M+"))))</f>
        <v/>
      </c>
      <c r="P3635" s="21">
        <f>IF(E3635&lt;=90,"90 or less",IF(E3635&lt;=105,"91-105",IF(E3635&lt;=120,"106-120",IF(E3635&lt;=140,"121-140","Over 140"))))</f>
        <v/>
      </c>
      <c r="Q3635" s="28">
        <f>INT(C3635/10)*10</f>
        <v/>
      </c>
    </row>
    <row r="3636">
      <c r="A3636" s="21" t="n">
        <v>3711</v>
      </c>
      <c r="B3636" s="21" t="inlineStr">
        <is>
          <t>Dum Maaro Dum</t>
        </is>
      </c>
      <c r="C3636" s="21" t="n">
        <v>2011</v>
      </c>
      <c r="D3636" s="21" t="inlineStr">
        <is>
          <t>India</t>
        </is>
      </c>
      <c r="E3636" s="21" t="n">
        <v>128</v>
      </c>
      <c r="F3636" s="21" t="inlineStr">
        <is>
          <t>Hindi</t>
        </is>
      </c>
      <c r="G3636" s="21" t="inlineStr">
        <is>
          <t>R</t>
        </is>
      </c>
      <c r="H3636" s="22" t="n">
        <v>563699</v>
      </c>
      <c r="I3636" s="22" t="n">
        <v>20000000</v>
      </c>
      <c r="J3636" s="21">
        <f>IF(OR(H3636="",H3636=25529689.5),"Yes","No")</f>
        <v/>
      </c>
      <c r="K3636" s="21">
        <f>IF(AND(D3636="USA",C3636&gt;=1980,J3636="No"),"Yes","No")</f>
        <v/>
      </c>
      <c r="L3636" s="26">
        <f>IF(J3636="Yes","",H3636-I3636)</f>
        <v/>
      </c>
      <c r="M3636" s="27">
        <f>IF(OR(J3636="Yes",I3636=0),"",H3636/I3636)</f>
        <v/>
      </c>
      <c r="N3636" s="21">
        <f>IF(J3636="Yes","",IF(H3636&gt;=I3636,1,0))</f>
        <v/>
      </c>
      <c r="O3636" s="21">
        <f>IF(I3636&lt;=5000000,"Under $5M",IF(I3636&lt;=20000000,"$5M-20M",IF(I3636&lt;=50000000,"$20M-50M",IF(I3636&lt;=100000000,"$50M-100M","$100M+"))))</f>
        <v/>
      </c>
      <c r="P3636" s="21">
        <f>IF(E3636&lt;=90,"90 or less",IF(E3636&lt;=105,"91-105",IF(E3636&lt;=120,"106-120",IF(E3636&lt;=140,"121-140","Over 140"))))</f>
        <v/>
      </c>
      <c r="Q3636" s="28">
        <f>INT(C3636/10)*10</f>
        <v/>
      </c>
    </row>
    <row r="3637">
      <c r="A3637" s="21" t="n">
        <v>3712</v>
      </c>
      <c r="B3637" s="21" t="inlineStr">
        <is>
          <t>Elza</t>
        </is>
      </c>
      <c r="C3637" s="21" t="n">
        <v>2011</v>
      </c>
      <c r="D3637" s="21" t="inlineStr">
        <is>
          <t>France</t>
        </is>
      </c>
      <c r="E3637" s="21" t="n">
        <v>78</v>
      </c>
      <c r="F3637" s="21" t="inlineStr">
        <is>
          <t>French</t>
        </is>
      </c>
      <c r="G3637" s="21" t="n"/>
      <c r="H3637" s="22" t="n">
        <v>25529689.5</v>
      </c>
      <c r="I3637" s="22" t="n">
        <v>900000</v>
      </c>
      <c r="J3637" s="21">
        <f>IF(OR(H3637="",H3637=25529689.5),"Yes","No")</f>
        <v/>
      </c>
      <c r="K3637" s="21">
        <f>IF(AND(D3637="USA",C3637&gt;=1980,J3637="No"),"Yes","No")</f>
        <v/>
      </c>
      <c r="L3637" s="26">
        <f>IF(J3637="Yes","",H3637-I3637)</f>
        <v/>
      </c>
      <c r="M3637" s="27">
        <f>IF(OR(J3637="Yes",I3637=0),"",H3637/I3637)</f>
        <v/>
      </c>
      <c r="N3637" s="21">
        <f>IF(J3637="Yes","",IF(H3637&gt;=I3637,1,0))</f>
        <v/>
      </c>
      <c r="O3637" s="21">
        <f>IF(I3637&lt;=5000000,"Under $5M",IF(I3637&lt;=20000000,"$5M-20M",IF(I3637&lt;=50000000,"$20M-50M",IF(I3637&lt;=100000000,"$50M-100M","$100M+"))))</f>
        <v/>
      </c>
      <c r="P3637" s="21">
        <f>IF(E3637&lt;=90,"90 or less",IF(E3637&lt;=105,"91-105",IF(E3637&lt;=120,"106-120",IF(E3637&lt;=140,"121-140","Over 140"))))</f>
        <v/>
      </c>
      <c r="Q3637" s="28">
        <f>INT(C3637/10)*10</f>
        <v/>
      </c>
    </row>
    <row r="3638">
      <c r="A3638" s="21" t="n">
        <v>3713</v>
      </c>
      <c r="B3638" s="21" t="inlineStr">
        <is>
          <t>Enter Nowhere</t>
        </is>
      </c>
      <c r="C3638" s="21" t="n">
        <v>2011</v>
      </c>
      <c r="D3638" s="21" t="inlineStr">
        <is>
          <t>USA</t>
        </is>
      </c>
      <c r="E3638" s="21" t="n">
        <v>90</v>
      </c>
      <c r="F3638" s="21" t="inlineStr">
        <is>
          <t>English</t>
        </is>
      </c>
      <c r="G3638" s="21" t="inlineStr">
        <is>
          <t>R</t>
        </is>
      </c>
      <c r="H3638" s="22" t="n">
        <v>25529689.5</v>
      </c>
      <c r="I3638" s="22" t="n">
        <v>500000</v>
      </c>
      <c r="J3638" s="21">
        <f>IF(OR(H3638="",H3638=25529689.5),"Yes","No")</f>
        <v/>
      </c>
      <c r="K3638" s="21">
        <f>IF(AND(D3638="USA",C3638&gt;=1980,J3638="No"),"Yes","No")</f>
        <v/>
      </c>
      <c r="L3638" s="26">
        <f>IF(J3638="Yes","",H3638-I3638)</f>
        <v/>
      </c>
      <c r="M3638" s="27">
        <f>IF(OR(J3638="Yes",I3638=0),"",H3638/I3638)</f>
        <v/>
      </c>
      <c r="N3638" s="21">
        <f>IF(J3638="Yes","",IF(H3638&gt;=I3638,1,0))</f>
        <v/>
      </c>
      <c r="O3638" s="21">
        <f>IF(I3638&lt;=5000000,"Under $5M",IF(I3638&lt;=20000000,"$5M-20M",IF(I3638&lt;=50000000,"$20M-50M",IF(I3638&lt;=100000000,"$50M-100M","$100M+"))))</f>
        <v/>
      </c>
      <c r="P3638" s="21">
        <f>IF(E3638&lt;=90,"90 or less",IF(E3638&lt;=105,"91-105",IF(E3638&lt;=120,"106-120",IF(E3638&lt;=140,"121-140","Over 140"))))</f>
        <v/>
      </c>
      <c r="Q3638" s="28">
        <f>INT(C3638/10)*10</f>
        <v/>
      </c>
    </row>
    <row r="3639">
      <c r="A3639" s="21" t="n">
        <v>3714</v>
      </c>
      <c r="B3639" s="21" t="inlineStr">
        <is>
          <t>Extremely Loud &amp; Incredibly Close</t>
        </is>
      </c>
      <c r="C3639" s="21" t="n">
        <v>2011</v>
      </c>
      <c r="D3639" s="21" t="inlineStr">
        <is>
          <t>USA</t>
        </is>
      </c>
      <c r="E3639" s="21" t="n">
        <v>129</v>
      </c>
      <c r="F3639" s="21" t="inlineStr">
        <is>
          <t>English</t>
        </is>
      </c>
      <c r="G3639" s="21" t="inlineStr">
        <is>
          <t>PG-13</t>
        </is>
      </c>
      <c r="H3639" s="22" t="n">
        <v>31836745</v>
      </c>
      <c r="I3639" s="22" t="n">
        <v>40000000</v>
      </c>
      <c r="J3639" s="21">
        <f>IF(OR(H3639="",H3639=25529689.5),"Yes","No")</f>
        <v/>
      </c>
      <c r="K3639" s="21">
        <f>IF(AND(D3639="USA",C3639&gt;=1980,J3639="No"),"Yes","No")</f>
        <v/>
      </c>
      <c r="L3639" s="26">
        <f>IF(J3639="Yes","",H3639-I3639)</f>
        <v/>
      </c>
      <c r="M3639" s="27">
        <f>IF(OR(J3639="Yes",I3639=0),"",H3639/I3639)</f>
        <v/>
      </c>
      <c r="N3639" s="21">
        <f>IF(J3639="Yes","",IF(H3639&gt;=I3639,1,0))</f>
        <v/>
      </c>
      <c r="O3639" s="21">
        <f>IF(I3639&lt;=5000000,"Under $5M",IF(I3639&lt;=20000000,"$5M-20M",IF(I3639&lt;=50000000,"$20M-50M",IF(I3639&lt;=100000000,"$50M-100M","$100M+"))))</f>
        <v/>
      </c>
      <c r="P3639" s="21">
        <f>IF(E3639&lt;=90,"90 or less",IF(E3639&lt;=105,"91-105",IF(E3639&lt;=120,"106-120",IF(E3639&lt;=140,"121-140","Over 140"))))</f>
        <v/>
      </c>
      <c r="Q3639" s="28">
        <f>INT(C3639/10)*10</f>
        <v/>
      </c>
    </row>
    <row r="3640">
      <c r="A3640" s="21" t="n">
        <v>3715</v>
      </c>
      <c r="B3640" s="21" t="inlineStr">
        <is>
          <t>Fast Five</t>
        </is>
      </c>
      <c r="C3640" s="21" t="n">
        <v>2011</v>
      </c>
      <c r="D3640" s="21" t="inlineStr">
        <is>
          <t>USA</t>
        </is>
      </c>
      <c r="E3640" s="21" t="n">
        <v>132</v>
      </c>
      <c r="F3640" s="21" t="inlineStr">
        <is>
          <t>English</t>
        </is>
      </c>
      <c r="G3640" s="21" t="inlineStr">
        <is>
          <t>PG-13</t>
        </is>
      </c>
      <c r="H3640" s="22" t="n">
        <v>209805005</v>
      </c>
      <c r="I3640" s="22" t="n">
        <v>125000000</v>
      </c>
      <c r="J3640" s="21">
        <f>IF(OR(H3640="",H3640=25529689.5),"Yes","No")</f>
        <v/>
      </c>
      <c r="K3640" s="21">
        <f>IF(AND(D3640="USA",C3640&gt;=1980,J3640="No"),"Yes","No")</f>
        <v/>
      </c>
      <c r="L3640" s="26">
        <f>IF(J3640="Yes","",H3640-I3640)</f>
        <v/>
      </c>
      <c r="M3640" s="27">
        <f>IF(OR(J3640="Yes",I3640=0),"",H3640/I3640)</f>
        <v/>
      </c>
      <c r="N3640" s="21">
        <f>IF(J3640="Yes","",IF(H3640&gt;=I3640,1,0))</f>
        <v/>
      </c>
      <c r="O3640" s="21">
        <f>IF(I3640&lt;=5000000,"Under $5M",IF(I3640&lt;=20000000,"$5M-20M",IF(I3640&lt;=50000000,"$20M-50M",IF(I3640&lt;=100000000,"$50M-100M","$100M+"))))</f>
        <v/>
      </c>
      <c r="P3640" s="21">
        <f>IF(E3640&lt;=90,"90 or less",IF(E3640&lt;=105,"91-105",IF(E3640&lt;=120,"106-120",IF(E3640&lt;=140,"121-140","Over 140"))))</f>
        <v/>
      </c>
      <c r="Q3640" s="28">
        <f>INT(C3640/10)*10</f>
        <v/>
      </c>
    </row>
    <row r="3641">
      <c r="A3641" s="21" t="n">
        <v>3716</v>
      </c>
      <c r="B3641" s="21" t="inlineStr">
        <is>
          <t>Final Destination 5</t>
        </is>
      </c>
      <c r="C3641" s="21" t="n">
        <v>2011</v>
      </c>
      <c r="D3641" s="21" t="inlineStr">
        <is>
          <t>USA</t>
        </is>
      </c>
      <c r="E3641" s="21" t="n">
        <v>92</v>
      </c>
      <c r="F3641" s="21" t="inlineStr">
        <is>
          <t>English</t>
        </is>
      </c>
      <c r="G3641" s="21" t="inlineStr">
        <is>
          <t>R</t>
        </is>
      </c>
      <c r="H3641" s="22" t="n">
        <v>42575718</v>
      </c>
      <c r="I3641" s="22" t="n">
        <v>40000000</v>
      </c>
      <c r="J3641" s="21">
        <f>IF(OR(H3641="",H3641=25529689.5),"Yes","No")</f>
        <v/>
      </c>
      <c r="K3641" s="21">
        <f>IF(AND(D3641="USA",C3641&gt;=1980,J3641="No"),"Yes","No")</f>
        <v/>
      </c>
      <c r="L3641" s="26">
        <f>IF(J3641="Yes","",H3641-I3641)</f>
        <v/>
      </c>
      <c r="M3641" s="27">
        <f>IF(OR(J3641="Yes",I3641=0),"",H3641/I3641)</f>
        <v/>
      </c>
      <c r="N3641" s="21">
        <f>IF(J3641="Yes","",IF(H3641&gt;=I3641,1,0))</f>
        <v/>
      </c>
      <c r="O3641" s="21">
        <f>IF(I3641&lt;=5000000,"Under $5M",IF(I3641&lt;=20000000,"$5M-20M",IF(I3641&lt;=50000000,"$20M-50M",IF(I3641&lt;=100000000,"$50M-100M","$100M+"))))</f>
        <v/>
      </c>
      <c r="P3641" s="21">
        <f>IF(E3641&lt;=90,"90 or less",IF(E3641&lt;=105,"91-105",IF(E3641&lt;=120,"106-120",IF(E3641&lt;=140,"121-140","Over 140"))))</f>
        <v/>
      </c>
      <c r="Q3641" s="28">
        <f>INT(C3641/10)*10</f>
        <v/>
      </c>
    </row>
    <row r="3642">
      <c r="A3642" s="21" t="n">
        <v>3717</v>
      </c>
      <c r="B3642" s="21" t="inlineStr">
        <is>
          <t>Fort McCoy</t>
        </is>
      </c>
      <c r="C3642" s="21" t="n">
        <v>2011</v>
      </c>
      <c r="D3642" s="21" t="inlineStr">
        <is>
          <t>USA</t>
        </is>
      </c>
      <c r="E3642" s="21" t="n">
        <v>100</v>
      </c>
      <c r="F3642" s="21" t="inlineStr">
        <is>
          <t>English</t>
        </is>
      </c>
      <c r="G3642" s="21" t="inlineStr">
        <is>
          <t>R</t>
        </is>
      </c>
      <c r="H3642" s="22" t="n">
        <v>73678</v>
      </c>
      <c r="I3642" s="22" t="n">
        <v>3000000</v>
      </c>
      <c r="J3642" s="21">
        <f>IF(OR(H3642="",H3642=25529689.5),"Yes","No")</f>
        <v/>
      </c>
      <c r="K3642" s="21">
        <f>IF(AND(D3642="USA",C3642&gt;=1980,J3642="No"),"Yes","No")</f>
        <v/>
      </c>
      <c r="L3642" s="26">
        <f>IF(J3642="Yes","",H3642-I3642)</f>
        <v/>
      </c>
      <c r="M3642" s="27">
        <f>IF(OR(J3642="Yes",I3642=0),"",H3642/I3642)</f>
        <v/>
      </c>
      <c r="N3642" s="21">
        <f>IF(J3642="Yes","",IF(H3642&gt;=I3642,1,0))</f>
        <v/>
      </c>
      <c r="O3642" s="21">
        <f>IF(I3642&lt;=5000000,"Under $5M",IF(I3642&lt;=20000000,"$5M-20M",IF(I3642&lt;=50000000,"$20M-50M",IF(I3642&lt;=100000000,"$50M-100M","$100M+"))))</f>
        <v/>
      </c>
      <c r="P3642" s="21">
        <f>IF(E3642&lt;=90,"90 or less",IF(E3642&lt;=105,"91-105",IF(E3642&lt;=120,"106-120",IF(E3642&lt;=140,"121-140","Over 140"))))</f>
        <v/>
      </c>
      <c r="Q3642" s="28">
        <f>INT(C3642/10)*10</f>
        <v/>
      </c>
    </row>
    <row r="3643">
      <c r="A3643" s="21" t="n">
        <v>3718</v>
      </c>
      <c r="B3643" s="21" t="inlineStr">
        <is>
          <t>Friends with Benefits</t>
        </is>
      </c>
      <c r="C3643" s="21" t="n">
        <v>2011</v>
      </c>
      <c r="D3643" s="21" t="inlineStr">
        <is>
          <t>USA</t>
        </is>
      </c>
      <c r="E3643" s="21" t="n">
        <v>109</v>
      </c>
      <c r="F3643" s="21" t="inlineStr">
        <is>
          <t>English</t>
        </is>
      </c>
      <c r="G3643" s="21" t="inlineStr">
        <is>
          <t>R</t>
        </is>
      </c>
      <c r="H3643" s="22" t="n">
        <v>55802754</v>
      </c>
      <c r="I3643" s="22" t="n">
        <v>35000000</v>
      </c>
      <c r="J3643" s="21">
        <f>IF(OR(H3643="",H3643=25529689.5),"Yes","No")</f>
        <v/>
      </c>
      <c r="K3643" s="21">
        <f>IF(AND(D3643="USA",C3643&gt;=1980,J3643="No"),"Yes","No")</f>
        <v/>
      </c>
      <c r="L3643" s="26">
        <f>IF(J3643="Yes","",H3643-I3643)</f>
        <v/>
      </c>
      <c r="M3643" s="27">
        <f>IF(OR(J3643="Yes",I3643=0),"",H3643/I3643)</f>
        <v/>
      </c>
      <c r="N3643" s="21">
        <f>IF(J3643="Yes","",IF(H3643&gt;=I3643,1,0))</f>
        <v/>
      </c>
      <c r="O3643" s="21">
        <f>IF(I3643&lt;=5000000,"Under $5M",IF(I3643&lt;=20000000,"$5M-20M",IF(I3643&lt;=50000000,"$20M-50M",IF(I3643&lt;=100000000,"$50M-100M","$100M+"))))</f>
        <v/>
      </c>
      <c r="P3643" s="21">
        <f>IF(E3643&lt;=90,"90 or less",IF(E3643&lt;=105,"91-105",IF(E3643&lt;=120,"106-120",IF(E3643&lt;=140,"121-140","Over 140"))))</f>
        <v/>
      </c>
      <c r="Q3643" s="28">
        <f>INT(C3643/10)*10</f>
        <v/>
      </c>
    </row>
    <row r="3644">
      <c r="A3644" s="21" t="n">
        <v>3719</v>
      </c>
      <c r="B3644" s="21" t="inlineStr">
        <is>
          <t>Fright Night</t>
        </is>
      </c>
      <c r="C3644" s="21" t="n">
        <v>2011</v>
      </c>
      <c r="D3644" s="21" t="inlineStr">
        <is>
          <t>USA</t>
        </is>
      </c>
      <c r="E3644" s="21" t="n">
        <v>106</v>
      </c>
      <c r="F3644" s="21" t="inlineStr">
        <is>
          <t>English</t>
        </is>
      </c>
      <c r="G3644" s="21" t="inlineStr">
        <is>
          <t>R</t>
        </is>
      </c>
      <c r="H3644" s="22" t="n">
        <v>18298649</v>
      </c>
      <c r="I3644" s="22" t="n">
        <v>30000000</v>
      </c>
      <c r="J3644" s="21">
        <f>IF(OR(H3644="",H3644=25529689.5),"Yes","No")</f>
        <v/>
      </c>
      <c r="K3644" s="21">
        <f>IF(AND(D3644="USA",C3644&gt;=1980,J3644="No"),"Yes","No")</f>
        <v/>
      </c>
      <c r="L3644" s="26">
        <f>IF(J3644="Yes","",H3644-I3644)</f>
        <v/>
      </c>
      <c r="M3644" s="27">
        <f>IF(OR(J3644="Yes",I3644=0),"",H3644/I3644)</f>
        <v/>
      </c>
      <c r="N3644" s="21">
        <f>IF(J3644="Yes","",IF(H3644&gt;=I3644,1,0))</f>
        <v/>
      </c>
      <c r="O3644" s="21">
        <f>IF(I3644&lt;=5000000,"Under $5M",IF(I3644&lt;=20000000,"$5M-20M",IF(I3644&lt;=50000000,"$20M-50M",IF(I3644&lt;=100000000,"$50M-100M","$100M+"))))</f>
        <v/>
      </c>
      <c r="P3644" s="21">
        <f>IF(E3644&lt;=90,"90 or less",IF(E3644&lt;=105,"91-105",IF(E3644&lt;=120,"106-120",IF(E3644&lt;=140,"121-140","Over 140"))))</f>
        <v/>
      </c>
      <c r="Q3644" s="28">
        <f>INT(C3644/10)*10</f>
        <v/>
      </c>
    </row>
    <row r="3645">
      <c r="A3645" s="21" t="n">
        <v>3720</v>
      </c>
      <c r="B3645" s="21" t="inlineStr">
        <is>
          <t>Ghost Rider: Spirit of Vengeance</t>
        </is>
      </c>
      <c r="C3645" s="21" t="n">
        <v>2011</v>
      </c>
      <c r="D3645" s="21" t="inlineStr">
        <is>
          <t>USA</t>
        </is>
      </c>
      <c r="E3645" s="21" t="n">
        <v>96</v>
      </c>
      <c r="F3645" s="21" t="inlineStr">
        <is>
          <t>English</t>
        </is>
      </c>
      <c r="G3645" s="21" t="inlineStr">
        <is>
          <t>PG-13</t>
        </is>
      </c>
      <c r="H3645" s="22" t="n">
        <v>51774002</v>
      </c>
      <c r="I3645" s="22" t="n">
        <v>57000000</v>
      </c>
      <c r="J3645" s="21">
        <f>IF(OR(H3645="",H3645=25529689.5),"Yes","No")</f>
        <v/>
      </c>
      <c r="K3645" s="21">
        <f>IF(AND(D3645="USA",C3645&gt;=1980,J3645="No"),"Yes","No")</f>
        <v/>
      </c>
      <c r="L3645" s="26">
        <f>IF(J3645="Yes","",H3645-I3645)</f>
        <v/>
      </c>
      <c r="M3645" s="27">
        <f>IF(OR(J3645="Yes",I3645=0),"",H3645/I3645)</f>
        <v/>
      </c>
      <c r="N3645" s="21">
        <f>IF(J3645="Yes","",IF(H3645&gt;=I3645,1,0))</f>
        <v/>
      </c>
      <c r="O3645" s="21">
        <f>IF(I3645&lt;=5000000,"Under $5M",IF(I3645&lt;=20000000,"$5M-20M",IF(I3645&lt;=50000000,"$20M-50M",IF(I3645&lt;=100000000,"$50M-100M","$100M+"))))</f>
        <v/>
      </c>
      <c r="P3645" s="21">
        <f>IF(E3645&lt;=90,"90 or less",IF(E3645&lt;=105,"91-105",IF(E3645&lt;=120,"106-120",IF(E3645&lt;=140,"121-140","Over 140"))))</f>
        <v/>
      </c>
      <c r="Q3645" s="28">
        <f>INT(C3645/10)*10</f>
        <v/>
      </c>
    </row>
    <row r="3646">
      <c r="A3646" s="21" t="n">
        <v>3721</v>
      </c>
      <c r="B3646" s="21" t="inlineStr">
        <is>
          <t>Glee: The 3D Concert Movie</t>
        </is>
      </c>
      <c r="C3646" s="21" t="n">
        <v>2011</v>
      </c>
      <c r="D3646" s="21" t="inlineStr">
        <is>
          <t>USA</t>
        </is>
      </c>
      <c r="E3646" s="21" t="n">
        <v>84</v>
      </c>
      <c r="F3646" s="21" t="inlineStr">
        <is>
          <t>English</t>
        </is>
      </c>
      <c r="G3646" s="21" t="inlineStr">
        <is>
          <t>PG</t>
        </is>
      </c>
      <c r="H3646" s="22" t="n">
        <v>11860839</v>
      </c>
      <c r="I3646" s="22" t="n">
        <v>9000000</v>
      </c>
      <c r="J3646" s="21">
        <f>IF(OR(H3646="",H3646=25529689.5),"Yes","No")</f>
        <v/>
      </c>
      <c r="K3646" s="21">
        <f>IF(AND(D3646="USA",C3646&gt;=1980,J3646="No"),"Yes","No")</f>
        <v/>
      </c>
      <c r="L3646" s="26">
        <f>IF(J3646="Yes","",H3646-I3646)</f>
        <v/>
      </c>
      <c r="M3646" s="27">
        <f>IF(OR(J3646="Yes",I3646=0),"",H3646/I3646)</f>
        <v/>
      </c>
      <c r="N3646" s="21">
        <f>IF(J3646="Yes","",IF(H3646&gt;=I3646,1,0))</f>
        <v/>
      </c>
      <c r="O3646" s="21">
        <f>IF(I3646&lt;=5000000,"Under $5M",IF(I3646&lt;=20000000,"$5M-20M",IF(I3646&lt;=50000000,"$20M-50M",IF(I3646&lt;=100000000,"$50M-100M","$100M+"))))</f>
        <v/>
      </c>
      <c r="P3646" s="21">
        <f>IF(E3646&lt;=90,"90 or less",IF(E3646&lt;=105,"91-105",IF(E3646&lt;=120,"106-120",IF(E3646&lt;=140,"121-140","Over 140"))))</f>
        <v/>
      </c>
      <c r="Q3646" s="28">
        <f>INT(C3646/10)*10</f>
        <v/>
      </c>
    </row>
    <row r="3647">
      <c r="A3647" s="21" t="n">
        <v>3722</v>
      </c>
      <c r="B3647" s="21" t="inlineStr">
        <is>
          <t>Go for It!</t>
        </is>
      </c>
      <c r="C3647" s="21" t="n">
        <v>2011</v>
      </c>
      <c r="D3647" s="21" t="inlineStr">
        <is>
          <t>USA</t>
        </is>
      </c>
      <c r="E3647" s="21" t="n">
        <v>105</v>
      </c>
      <c r="F3647" s="21" t="inlineStr">
        <is>
          <t>English</t>
        </is>
      </c>
      <c r="G3647" s="21" t="inlineStr">
        <is>
          <t>PG-13</t>
        </is>
      </c>
      <c r="H3647" s="22" t="n">
        <v>178739</v>
      </c>
      <c r="I3647" s="22" t="n">
        <v>2450000</v>
      </c>
      <c r="J3647" s="21">
        <f>IF(OR(H3647="",H3647=25529689.5),"Yes","No")</f>
        <v/>
      </c>
      <c r="K3647" s="21">
        <f>IF(AND(D3647="USA",C3647&gt;=1980,J3647="No"),"Yes","No")</f>
        <v/>
      </c>
      <c r="L3647" s="26">
        <f>IF(J3647="Yes","",H3647-I3647)</f>
        <v/>
      </c>
      <c r="M3647" s="27">
        <f>IF(OR(J3647="Yes",I3647=0),"",H3647/I3647)</f>
        <v/>
      </c>
      <c r="N3647" s="21">
        <f>IF(J3647="Yes","",IF(H3647&gt;=I3647,1,0))</f>
        <v/>
      </c>
      <c r="O3647" s="21">
        <f>IF(I3647&lt;=5000000,"Under $5M",IF(I3647&lt;=20000000,"$5M-20M",IF(I3647&lt;=50000000,"$20M-50M",IF(I3647&lt;=100000000,"$50M-100M","$100M+"))))</f>
        <v/>
      </c>
      <c r="P3647" s="21">
        <f>IF(E3647&lt;=90,"90 or less",IF(E3647&lt;=105,"91-105",IF(E3647&lt;=120,"106-120",IF(E3647&lt;=140,"121-140","Over 140"))))</f>
        <v/>
      </c>
      <c r="Q3647" s="28">
        <f>INT(C3647/10)*10</f>
        <v/>
      </c>
    </row>
    <row r="3648">
      <c r="A3648" s="21" t="n">
        <v>3723</v>
      </c>
      <c r="B3648" s="21" t="inlineStr">
        <is>
          <t>Grave Encounters</t>
        </is>
      </c>
      <c r="C3648" s="21" t="n">
        <v>2011</v>
      </c>
      <c r="D3648" s="21" t="inlineStr">
        <is>
          <t>Canada</t>
        </is>
      </c>
      <c r="E3648" s="21" t="n">
        <v>92</v>
      </c>
      <c r="F3648" s="21" t="inlineStr">
        <is>
          <t>English</t>
        </is>
      </c>
      <c r="G3648" s="21" t="inlineStr">
        <is>
          <t>Not Rated</t>
        </is>
      </c>
      <c r="H3648" s="22" t="n">
        <v>25529689.5</v>
      </c>
      <c r="I3648" s="22" t="n">
        <v>100000</v>
      </c>
      <c r="J3648" s="21">
        <f>IF(OR(H3648="",H3648=25529689.5),"Yes","No")</f>
        <v/>
      </c>
      <c r="K3648" s="21">
        <f>IF(AND(D3648="USA",C3648&gt;=1980,J3648="No"),"Yes","No")</f>
        <v/>
      </c>
      <c r="L3648" s="26">
        <f>IF(J3648="Yes","",H3648-I3648)</f>
        <v/>
      </c>
      <c r="M3648" s="27">
        <f>IF(OR(J3648="Yes",I3648=0),"",H3648/I3648)</f>
        <v/>
      </c>
      <c r="N3648" s="21">
        <f>IF(J3648="Yes","",IF(H3648&gt;=I3648,1,0))</f>
        <v/>
      </c>
      <c r="O3648" s="21">
        <f>IF(I3648&lt;=5000000,"Under $5M",IF(I3648&lt;=20000000,"$5M-20M",IF(I3648&lt;=50000000,"$20M-50M",IF(I3648&lt;=100000000,"$50M-100M","$100M+"))))</f>
        <v/>
      </c>
      <c r="P3648" s="21">
        <f>IF(E3648&lt;=90,"90 or less",IF(E3648&lt;=105,"91-105",IF(E3648&lt;=120,"106-120",IF(E3648&lt;=140,"121-140","Over 140"))))</f>
        <v/>
      </c>
      <c r="Q3648" s="28">
        <f>INT(C3648/10)*10</f>
        <v/>
      </c>
    </row>
    <row r="3649">
      <c r="A3649" s="21" t="n">
        <v>3724</v>
      </c>
      <c r="B3649" s="21" t="inlineStr">
        <is>
          <t>Green Lantern</t>
        </is>
      </c>
      <c r="C3649" s="21" t="n">
        <v>2011</v>
      </c>
      <c r="D3649" s="21" t="inlineStr">
        <is>
          <t>USA</t>
        </is>
      </c>
      <c r="E3649" s="21" t="n">
        <v>123</v>
      </c>
      <c r="F3649" s="21" t="inlineStr">
        <is>
          <t>English</t>
        </is>
      </c>
      <c r="G3649" s="21" t="inlineStr">
        <is>
          <t>PG-13</t>
        </is>
      </c>
      <c r="H3649" s="22" t="n">
        <v>116593191</v>
      </c>
      <c r="I3649" s="22" t="n">
        <v>200000000</v>
      </c>
      <c r="J3649" s="21">
        <f>IF(OR(H3649="",H3649=25529689.5),"Yes","No")</f>
        <v/>
      </c>
      <c r="K3649" s="21">
        <f>IF(AND(D3649="USA",C3649&gt;=1980,J3649="No"),"Yes","No")</f>
        <v/>
      </c>
      <c r="L3649" s="26">
        <f>IF(J3649="Yes","",H3649-I3649)</f>
        <v/>
      </c>
      <c r="M3649" s="27">
        <f>IF(OR(J3649="Yes",I3649=0),"",H3649/I3649)</f>
        <v/>
      </c>
      <c r="N3649" s="21">
        <f>IF(J3649="Yes","",IF(H3649&gt;=I3649,1,0))</f>
        <v/>
      </c>
      <c r="O3649" s="21">
        <f>IF(I3649&lt;=5000000,"Under $5M",IF(I3649&lt;=20000000,"$5M-20M",IF(I3649&lt;=50000000,"$20M-50M",IF(I3649&lt;=100000000,"$50M-100M","$100M+"))))</f>
        <v/>
      </c>
      <c r="P3649" s="21">
        <f>IF(E3649&lt;=90,"90 or less",IF(E3649&lt;=105,"91-105",IF(E3649&lt;=120,"106-120",IF(E3649&lt;=140,"121-140","Over 140"))))</f>
        <v/>
      </c>
      <c r="Q3649" s="28">
        <f>INT(C3649/10)*10</f>
        <v/>
      </c>
    </row>
    <row r="3650">
      <c r="A3650" s="21" t="n">
        <v>3725</v>
      </c>
      <c r="B3650" s="21" t="inlineStr">
        <is>
          <t>Hall Pass</t>
        </is>
      </c>
      <c r="C3650" s="21" t="n">
        <v>2011</v>
      </c>
      <c r="D3650" s="21" t="inlineStr">
        <is>
          <t>USA</t>
        </is>
      </c>
      <c r="E3650" s="21" t="n">
        <v>111</v>
      </c>
      <c r="F3650" s="21" t="inlineStr">
        <is>
          <t>English</t>
        </is>
      </c>
      <c r="G3650" s="21" t="inlineStr">
        <is>
          <t>R</t>
        </is>
      </c>
      <c r="H3650" s="22" t="n">
        <v>45045037</v>
      </c>
      <c r="I3650" s="22" t="n">
        <v>36000000</v>
      </c>
      <c r="J3650" s="21">
        <f>IF(OR(H3650="",H3650=25529689.5),"Yes","No")</f>
        <v/>
      </c>
      <c r="K3650" s="21">
        <f>IF(AND(D3650="USA",C3650&gt;=1980,J3650="No"),"Yes","No")</f>
        <v/>
      </c>
      <c r="L3650" s="26">
        <f>IF(J3650="Yes","",H3650-I3650)</f>
        <v/>
      </c>
      <c r="M3650" s="27">
        <f>IF(OR(J3650="Yes",I3650=0),"",H3650/I3650)</f>
        <v/>
      </c>
      <c r="N3650" s="21">
        <f>IF(J3650="Yes","",IF(H3650&gt;=I3650,1,0))</f>
        <v/>
      </c>
      <c r="O3650" s="21">
        <f>IF(I3650&lt;=5000000,"Under $5M",IF(I3650&lt;=20000000,"$5M-20M",IF(I3650&lt;=50000000,"$20M-50M",IF(I3650&lt;=100000000,"$50M-100M","$100M+"))))</f>
        <v/>
      </c>
      <c r="P3650" s="21">
        <f>IF(E3650&lt;=90,"90 or less",IF(E3650&lt;=105,"91-105",IF(E3650&lt;=120,"106-120",IF(E3650&lt;=140,"121-140","Over 140"))))</f>
        <v/>
      </c>
      <c r="Q3650" s="28">
        <f>INT(C3650/10)*10</f>
        <v/>
      </c>
    </row>
    <row r="3651">
      <c r="A3651" s="21" t="n">
        <v>3726</v>
      </c>
      <c r="B3651" s="21" t="inlineStr">
        <is>
          <t>Hanna</t>
        </is>
      </c>
      <c r="C3651" s="21" t="n">
        <v>2011</v>
      </c>
      <c r="D3651" s="21" t="inlineStr">
        <is>
          <t>USA</t>
        </is>
      </c>
      <c r="E3651" s="21" t="n">
        <v>111</v>
      </c>
      <c r="F3651" s="21" t="inlineStr">
        <is>
          <t>English</t>
        </is>
      </c>
      <c r="G3651" s="21" t="inlineStr">
        <is>
          <t>PG-13</t>
        </is>
      </c>
      <c r="H3651" s="22" t="n">
        <v>40247512</v>
      </c>
      <c r="I3651" s="22" t="n">
        <v>30000000</v>
      </c>
      <c r="J3651" s="21">
        <f>IF(OR(H3651="",H3651=25529689.5),"Yes","No")</f>
        <v/>
      </c>
      <c r="K3651" s="21">
        <f>IF(AND(D3651="USA",C3651&gt;=1980,J3651="No"),"Yes","No")</f>
        <v/>
      </c>
      <c r="L3651" s="26">
        <f>IF(J3651="Yes","",H3651-I3651)</f>
        <v/>
      </c>
      <c r="M3651" s="27">
        <f>IF(OR(J3651="Yes",I3651=0),"",H3651/I3651)</f>
        <v/>
      </c>
      <c r="N3651" s="21">
        <f>IF(J3651="Yes","",IF(H3651&gt;=I3651,1,0))</f>
        <v/>
      </c>
      <c r="O3651" s="21">
        <f>IF(I3651&lt;=5000000,"Under $5M",IF(I3651&lt;=20000000,"$5M-20M",IF(I3651&lt;=50000000,"$20M-50M",IF(I3651&lt;=100000000,"$50M-100M","$100M+"))))</f>
        <v/>
      </c>
      <c r="P3651" s="21">
        <f>IF(E3651&lt;=90,"90 or less",IF(E3651&lt;=105,"91-105",IF(E3651&lt;=120,"106-120",IF(E3651&lt;=140,"121-140","Over 140"))))</f>
        <v/>
      </c>
      <c r="Q3651" s="28">
        <f>INT(C3651/10)*10</f>
        <v/>
      </c>
    </row>
    <row r="3652">
      <c r="A3652" s="21" t="n">
        <v>3727</v>
      </c>
      <c r="B3652" s="21" t="inlineStr">
        <is>
          <t>Happy Feet 2</t>
        </is>
      </c>
      <c r="C3652" s="21" t="n">
        <v>2011</v>
      </c>
      <c r="D3652" s="21" t="inlineStr">
        <is>
          <t>Australia</t>
        </is>
      </c>
      <c r="E3652" s="21" t="n">
        <v>100</v>
      </c>
      <c r="F3652" s="21" t="inlineStr">
        <is>
          <t>English</t>
        </is>
      </c>
      <c r="G3652" s="21" t="inlineStr">
        <is>
          <t>PG</t>
        </is>
      </c>
      <c r="H3652" s="22" t="n">
        <v>63992328</v>
      </c>
      <c r="I3652" s="22" t="n">
        <v>135000000</v>
      </c>
      <c r="J3652" s="21">
        <f>IF(OR(H3652="",H3652=25529689.5),"Yes","No")</f>
        <v/>
      </c>
      <c r="K3652" s="21">
        <f>IF(AND(D3652="USA",C3652&gt;=1980,J3652="No"),"Yes","No")</f>
        <v/>
      </c>
      <c r="L3652" s="26">
        <f>IF(J3652="Yes","",H3652-I3652)</f>
        <v/>
      </c>
      <c r="M3652" s="27">
        <f>IF(OR(J3652="Yes",I3652=0),"",H3652/I3652)</f>
        <v/>
      </c>
      <c r="N3652" s="21">
        <f>IF(J3652="Yes","",IF(H3652&gt;=I3652,1,0))</f>
        <v/>
      </c>
      <c r="O3652" s="21">
        <f>IF(I3652&lt;=5000000,"Under $5M",IF(I3652&lt;=20000000,"$5M-20M",IF(I3652&lt;=50000000,"$20M-50M",IF(I3652&lt;=100000000,"$50M-100M","$100M+"))))</f>
        <v/>
      </c>
      <c r="P3652" s="21">
        <f>IF(E3652&lt;=90,"90 or less",IF(E3652&lt;=105,"91-105",IF(E3652&lt;=120,"106-120",IF(E3652&lt;=140,"121-140","Over 140"))))</f>
        <v/>
      </c>
      <c r="Q3652" s="28">
        <f>INT(C3652/10)*10</f>
        <v/>
      </c>
    </row>
    <row r="3653">
      <c r="A3653" s="21" t="n">
        <v>3728</v>
      </c>
      <c r="B3653" s="21" t="inlineStr">
        <is>
          <t>Harry Potter and the Deathly Hallows: Part II</t>
        </is>
      </c>
      <c r="C3653" s="21" t="n">
        <v>2011</v>
      </c>
      <c r="D3653" s="21" t="inlineStr">
        <is>
          <t>UK</t>
        </is>
      </c>
      <c r="E3653" s="21" t="n">
        <v>104</v>
      </c>
      <c r="F3653" s="21" t="inlineStr">
        <is>
          <t>English</t>
        </is>
      </c>
      <c r="G3653" s="21" t="n"/>
      <c r="H3653" s="22" t="n">
        <v>25529689.5</v>
      </c>
      <c r="I3653" s="22" t="n">
        <v>20000000</v>
      </c>
      <c r="J3653" s="21">
        <f>IF(OR(H3653="",H3653=25529689.5),"Yes","No")</f>
        <v/>
      </c>
      <c r="K3653" s="21">
        <f>IF(AND(D3653="USA",C3653&gt;=1980,J3653="No"),"Yes","No")</f>
        <v/>
      </c>
      <c r="L3653" s="26">
        <f>IF(J3653="Yes","",H3653-I3653)</f>
        <v/>
      </c>
      <c r="M3653" s="27">
        <f>IF(OR(J3653="Yes",I3653=0),"",H3653/I3653)</f>
        <v/>
      </c>
      <c r="N3653" s="21">
        <f>IF(J3653="Yes","",IF(H3653&gt;=I3653,1,0))</f>
        <v/>
      </c>
      <c r="O3653" s="21">
        <f>IF(I3653&lt;=5000000,"Under $5M",IF(I3653&lt;=20000000,"$5M-20M",IF(I3653&lt;=50000000,"$20M-50M",IF(I3653&lt;=100000000,"$50M-100M","$100M+"))))</f>
        <v/>
      </c>
      <c r="P3653" s="21">
        <f>IF(E3653&lt;=90,"90 or less",IF(E3653&lt;=105,"91-105",IF(E3653&lt;=120,"106-120",IF(E3653&lt;=140,"121-140","Over 140"))))</f>
        <v/>
      </c>
      <c r="Q3653" s="28">
        <f>INT(C3653/10)*10</f>
        <v/>
      </c>
    </row>
    <row r="3654">
      <c r="A3654" s="21" t="n">
        <v>3729</v>
      </c>
      <c r="B3654" s="21" t="inlineStr">
        <is>
          <t>Haywire</t>
        </is>
      </c>
      <c r="C3654" s="21" t="n">
        <v>2011</v>
      </c>
      <c r="D3654" s="21" t="inlineStr">
        <is>
          <t>Ireland</t>
        </is>
      </c>
      <c r="E3654" s="21" t="n">
        <v>93</v>
      </c>
      <c r="F3654" s="21" t="inlineStr">
        <is>
          <t>English</t>
        </is>
      </c>
      <c r="G3654" s="21" t="inlineStr">
        <is>
          <t>R</t>
        </is>
      </c>
      <c r="H3654" s="22" t="n">
        <v>18934858</v>
      </c>
      <c r="I3654" s="22" t="n">
        <v>23000000</v>
      </c>
      <c r="J3654" s="21">
        <f>IF(OR(H3654="",H3654=25529689.5),"Yes","No")</f>
        <v/>
      </c>
      <c r="K3654" s="21">
        <f>IF(AND(D3654="USA",C3654&gt;=1980,J3654="No"),"Yes","No")</f>
        <v/>
      </c>
      <c r="L3654" s="26">
        <f>IF(J3654="Yes","",H3654-I3654)</f>
        <v/>
      </c>
      <c r="M3654" s="27">
        <f>IF(OR(J3654="Yes",I3654=0),"",H3654/I3654)</f>
        <v/>
      </c>
      <c r="N3654" s="21">
        <f>IF(J3654="Yes","",IF(H3654&gt;=I3654,1,0))</f>
        <v/>
      </c>
      <c r="O3654" s="21">
        <f>IF(I3654&lt;=5000000,"Under $5M",IF(I3654&lt;=20000000,"$5M-20M",IF(I3654&lt;=50000000,"$20M-50M",IF(I3654&lt;=100000000,"$50M-100M","$100M+"))))</f>
        <v/>
      </c>
      <c r="P3654" s="21">
        <f>IF(E3654&lt;=90,"90 or less",IF(E3654&lt;=105,"91-105",IF(E3654&lt;=120,"106-120",IF(E3654&lt;=140,"121-140","Over 140"))))</f>
        <v/>
      </c>
      <c r="Q3654" s="28">
        <f>INT(C3654/10)*10</f>
        <v/>
      </c>
    </row>
    <row r="3655">
      <c r="A3655" s="21" t="n">
        <v>3730</v>
      </c>
      <c r="B3655" s="21" t="inlineStr">
        <is>
          <t>Headhunters</t>
        </is>
      </c>
      <c r="C3655" s="21" t="n">
        <v>2011</v>
      </c>
      <c r="D3655" s="21" t="inlineStr">
        <is>
          <t>Norway</t>
        </is>
      </c>
      <c r="E3655" s="21" t="n">
        <v>100</v>
      </c>
      <c r="F3655" s="21" t="inlineStr">
        <is>
          <t>Norwegian</t>
        </is>
      </c>
      <c r="G3655" s="21" t="inlineStr">
        <is>
          <t>R</t>
        </is>
      </c>
      <c r="H3655" s="22" t="n">
        <v>1196752</v>
      </c>
      <c r="I3655" s="22" t="n">
        <v>30300000</v>
      </c>
      <c r="J3655" s="21">
        <f>IF(OR(H3655="",H3655=25529689.5),"Yes","No")</f>
        <v/>
      </c>
      <c r="K3655" s="21">
        <f>IF(AND(D3655="USA",C3655&gt;=1980,J3655="No"),"Yes","No")</f>
        <v/>
      </c>
      <c r="L3655" s="26">
        <f>IF(J3655="Yes","",H3655-I3655)</f>
        <v/>
      </c>
      <c r="M3655" s="27">
        <f>IF(OR(J3655="Yes",I3655=0),"",H3655/I3655)</f>
        <v/>
      </c>
      <c r="N3655" s="21">
        <f>IF(J3655="Yes","",IF(H3655&gt;=I3655,1,0))</f>
        <v/>
      </c>
      <c r="O3655" s="21">
        <f>IF(I3655&lt;=5000000,"Under $5M",IF(I3655&lt;=20000000,"$5M-20M",IF(I3655&lt;=50000000,"$20M-50M",IF(I3655&lt;=100000000,"$50M-100M","$100M+"))))</f>
        <v/>
      </c>
      <c r="P3655" s="21">
        <f>IF(E3655&lt;=90,"90 or less",IF(E3655&lt;=105,"91-105",IF(E3655&lt;=120,"106-120",IF(E3655&lt;=140,"121-140","Over 140"))))</f>
        <v/>
      </c>
      <c r="Q3655" s="28">
        <f>INT(C3655/10)*10</f>
        <v/>
      </c>
    </row>
    <row r="3656">
      <c r="A3656" s="21" t="n">
        <v>3731</v>
      </c>
      <c r="B3656" s="21" t="inlineStr">
        <is>
          <t>High Road</t>
        </is>
      </c>
      <c r="C3656" s="21" t="n">
        <v>2011</v>
      </c>
      <c r="D3656" s="21" t="inlineStr">
        <is>
          <t>USA</t>
        </is>
      </c>
      <c r="E3656" s="21" t="n">
        <v>87</v>
      </c>
      <c r="F3656" s="21" t="inlineStr">
        <is>
          <t>English</t>
        </is>
      </c>
      <c r="G3656" s="21" t="inlineStr">
        <is>
          <t>R</t>
        </is>
      </c>
      <c r="H3656" s="22" t="n">
        <v>25529689.5</v>
      </c>
      <c r="I3656" s="22" t="n">
        <v>20000000</v>
      </c>
      <c r="J3656" s="21">
        <f>IF(OR(H3656="",H3656=25529689.5),"Yes","No")</f>
        <v/>
      </c>
      <c r="K3656" s="21">
        <f>IF(AND(D3656="USA",C3656&gt;=1980,J3656="No"),"Yes","No")</f>
        <v/>
      </c>
      <c r="L3656" s="26">
        <f>IF(J3656="Yes","",H3656-I3656)</f>
        <v/>
      </c>
      <c r="M3656" s="27">
        <f>IF(OR(J3656="Yes",I3656=0),"",H3656/I3656)</f>
        <v/>
      </c>
      <c r="N3656" s="21">
        <f>IF(J3656="Yes","",IF(H3656&gt;=I3656,1,0))</f>
        <v/>
      </c>
      <c r="O3656" s="21">
        <f>IF(I3656&lt;=5000000,"Under $5M",IF(I3656&lt;=20000000,"$5M-20M",IF(I3656&lt;=50000000,"$20M-50M",IF(I3656&lt;=100000000,"$50M-100M","$100M+"))))</f>
        <v/>
      </c>
      <c r="P3656" s="21">
        <f>IF(E3656&lt;=90,"90 or less",IF(E3656&lt;=105,"91-105",IF(E3656&lt;=120,"106-120",IF(E3656&lt;=140,"121-140","Over 140"))))</f>
        <v/>
      </c>
      <c r="Q3656" s="28">
        <f>INT(C3656/10)*10</f>
        <v/>
      </c>
    </row>
    <row r="3657">
      <c r="A3657" s="21" t="n">
        <v>3732</v>
      </c>
      <c r="B3657" s="21" t="inlineStr">
        <is>
          <t>Higher Ground</t>
        </is>
      </c>
      <c r="C3657" s="21" t="n">
        <v>2011</v>
      </c>
      <c r="D3657" s="21" t="inlineStr">
        <is>
          <t>USA</t>
        </is>
      </c>
      <c r="E3657" s="21" t="n">
        <v>109</v>
      </c>
      <c r="F3657" s="21" t="inlineStr">
        <is>
          <t>English</t>
        </is>
      </c>
      <c r="G3657" s="21" t="inlineStr">
        <is>
          <t>R</t>
        </is>
      </c>
      <c r="H3657" s="22" t="n">
        <v>841206</v>
      </c>
      <c r="I3657" s="22" t="n">
        <v>20000000</v>
      </c>
      <c r="J3657" s="21">
        <f>IF(OR(H3657="",H3657=25529689.5),"Yes","No")</f>
        <v/>
      </c>
      <c r="K3657" s="21">
        <f>IF(AND(D3657="USA",C3657&gt;=1980,J3657="No"),"Yes","No")</f>
        <v/>
      </c>
      <c r="L3657" s="26">
        <f>IF(J3657="Yes","",H3657-I3657)</f>
        <v/>
      </c>
      <c r="M3657" s="27">
        <f>IF(OR(J3657="Yes",I3657=0),"",H3657/I3657)</f>
        <v/>
      </c>
      <c r="N3657" s="21">
        <f>IF(J3657="Yes","",IF(H3657&gt;=I3657,1,0))</f>
        <v/>
      </c>
      <c r="O3657" s="21">
        <f>IF(I3657&lt;=5000000,"Under $5M",IF(I3657&lt;=20000000,"$5M-20M",IF(I3657&lt;=50000000,"$20M-50M",IF(I3657&lt;=100000000,"$50M-100M","$100M+"))))</f>
        <v/>
      </c>
      <c r="P3657" s="21">
        <f>IF(E3657&lt;=90,"90 or less",IF(E3657&lt;=105,"91-105",IF(E3657&lt;=120,"106-120",IF(E3657&lt;=140,"121-140","Over 140"))))</f>
        <v/>
      </c>
      <c r="Q3657" s="28">
        <f>INT(C3657/10)*10</f>
        <v/>
      </c>
    </row>
    <row r="3658">
      <c r="A3658" s="21" t="n">
        <v>3733</v>
      </c>
      <c r="B3658" s="21" t="inlineStr">
        <is>
          <t>Hobo with a Shotgun</t>
        </is>
      </c>
      <c r="C3658" s="21" t="n">
        <v>2011</v>
      </c>
      <c r="D3658" s="21" t="inlineStr">
        <is>
          <t>Canada</t>
        </is>
      </c>
      <c r="E3658" s="21" t="n">
        <v>86</v>
      </c>
      <c r="F3658" s="21" t="inlineStr">
        <is>
          <t>English</t>
        </is>
      </c>
      <c r="G3658" s="21" t="inlineStr">
        <is>
          <t>Not Rated</t>
        </is>
      </c>
      <c r="H3658" s="22" t="n">
        <v>703002</v>
      </c>
      <c r="I3658" s="22" t="n">
        <v>3000000</v>
      </c>
      <c r="J3658" s="21">
        <f>IF(OR(H3658="",H3658=25529689.5),"Yes","No")</f>
        <v/>
      </c>
      <c r="K3658" s="21">
        <f>IF(AND(D3658="USA",C3658&gt;=1980,J3658="No"),"Yes","No")</f>
        <v/>
      </c>
      <c r="L3658" s="26">
        <f>IF(J3658="Yes","",H3658-I3658)</f>
        <v/>
      </c>
      <c r="M3658" s="27">
        <f>IF(OR(J3658="Yes",I3658=0),"",H3658/I3658)</f>
        <v/>
      </c>
      <c r="N3658" s="21">
        <f>IF(J3658="Yes","",IF(H3658&gt;=I3658,1,0))</f>
        <v/>
      </c>
      <c r="O3658" s="21">
        <f>IF(I3658&lt;=5000000,"Under $5M",IF(I3658&lt;=20000000,"$5M-20M",IF(I3658&lt;=50000000,"$20M-50M",IF(I3658&lt;=100000000,"$50M-100M","$100M+"))))</f>
        <v/>
      </c>
      <c r="P3658" s="21">
        <f>IF(E3658&lt;=90,"90 or less",IF(E3658&lt;=105,"91-105",IF(E3658&lt;=120,"106-120",IF(E3658&lt;=140,"121-140","Over 140"))))</f>
        <v/>
      </c>
      <c r="Q3658" s="28">
        <f>INT(C3658/10)*10</f>
        <v/>
      </c>
    </row>
    <row r="3659">
      <c r="A3659" s="21" t="n">
        <v>3734</v>
      </c>
      <c r="B3659" s="21" t="inlineStr">
        <is>
          <t>Hoodwinked Too! Hood vs. Evil</t>
        </is>
      </c>
      <c r="C3659" s="21" t="n">
        <v>2011</v>
      </c>
      <c r="D3659" s="21" t="inlineStr">
        <is>
          <t>USA</t>
        </is>
      </c>
      <c r="E3659" s="21" t="n">
        <v>86</v>
      </c>
      <c r="F3659" s="21" t="inlineStr">
        <is>
          <t>English</t>
        </is>
      </c>
      <c r="G3659" s="21" t="inlineStr">
        <is>
          <t>PG</t>
        </is>
      </c>
      <c r="H3659" s="22" t="n">
        <v>10134754</v>
      </c>
      <c r="I3659" s="22" t="n">
        <v>30000000</v>
      </c>
      <c r="J3659" s="21">
        <f>IF(OR(H3659="",H3659=25529689.5),"Yes","No")</f>
        <v/>
      </c>
      <c r="K3659" s="21">
        <f>IF(AND(D3659="USA",C3659&gt;=1980,J3659="No"),"Yes","No")</f>
        <v/>
      </c>
      <c r="L3659" s="26">
        <f>IF(J3659="Yes","",H3659-I3659)</f>
        <v/>
      </c>
      <c r="M3659" s="27">
        <f>IF(OR(J3659="Yes",I3659=0),"",H3659/I3659)</f>
        <v/>
      </c>
      <c r="N3659" s="21">
        <f>IF(J3659="Yes","",IF(H3659&gt;=I3659,1,0))</f>
        <v/>
      </c>
      <c r="O3659" s="21">
        <f>IF(I3659&lt;=5000000,"Under $5M",IF(I3659&lt;=20000000,"$5M-20M",IF(I3659&lt;=50000000,"$20M-50M",IF(I3659&lt;=100000000,"$50M-100M","$100M+"))))</f>
        <v/>
      </c>
      <c r="P3659" s="21">
        <f>IF(E3659&lt;=90,"90 or less",IF(E3659&lt;=105,"91-105",IF(E3659&lt;=120,"106-120",IF(E3659&lt;=140,"121-140","Over 140"))))</f>
        <v/>
      </c>
      <c r="Q3659" s="28">
        <f>INT(C3659/10)*10</f>
        <v/>
      </c>
    </row>
    <row r="3660">
      <c r="A3660" s="21" t="n">
        <v>3735</v>
      </c>
      <c r="B3660" s="21" t="inlineStr">
        <is>
          <t>Hop</t>
        </is>
      </c>
      <c r="C3660" s="21" t="n">
        <v>2011</v>
      </c>
      <c r="D3660" s="21" t="inlineStr">
        <is>
          <t>USA</t>
        </is>
      </c>
      <c r="E3660" s="21" t="n">
        <v>95</v>
      </c>
      <c r="F3660" s="21" t="inlineStr">
        <is>
          <t>English</t>
        </is>
      </c>
      <c r="G3660" s="21" t="inlineStr">
        <is>
          <t>PG</t>
        </is>
      </c>
      <c r="H3660" s="22" t="n">
        <v>108012170</v>
      </c>
      <c r="I3660" s="22" t="n">
        <v>63000000</v>
      </c>
      <c r="J3660" s="21">
        <f>IF(OR(H3660="",H3660=25529689.5),"Yes","No")</f>
        <v/>
      </c>
      <c r="K3660" s="21">
        <f>IF(AND(D3660="USA",C3660&gt;=1980,J3660="No"),"Yes","No")</f>
        <v/>
      </c>
      <c r="L3660" s="26">
        <f>IF(J3660="Yes","",H3660-I3660)</f>
        <v/>
      </c>
      <c r="M3660" s="27">
        <f>IF(OR(J3660="Yes",I3660=0),"",H3660/I3660)</f>
        <v/>
      </c>
      <c r="N3660" s="21">
        <f>IF(J3660="Yes","",IF(H3660&gt;=I3660,1,0))</f>
        <v/>
      </c>
      <c r="O3660" s="21">
        <f>IF(I3660&lt;=5000000,"Under $5M",IF(I3660&lt;=20000000,"$5M-20M",IF(I3660&lt;=50000000,"$20M-50M",IF(I3660&lt;=100000000,"$50M-100M","$100M+"))))</f>
        <v/>
      </c>
      <c r="P3660" s="21">
        <f>IF(E3660&lt;=90,"90 or less",IF(E3660&lt;=105,"91-105",IF(E3660&lt;=120,"106-120",IF(E3660&lt;=140,"121-140","Over 140"))))</f>
        <v/>
      </c>
      <c r="Q3660" s="28">
        <f>INT(C3660/10)*10</f>
        <v/>
      </c>
    </row>
    <row r="3661">
      <c r="A3661" s="21" t="n">
        <v>3736</v>
      </c>
      <c r="B3661" s="21" t="inlineStr">
        <is>
          <t>Horrible Bosses</t>
        </is>
      </c>
      <c r="C3661" s="21" t="n">
        <v>2011</v>
      </c>
      <c r="D3661" s="21" t="inlineStr">
        <is>
          <t>USA</t>
        </is>
      </c>
      <c r="E3661" s="21" t="n">
        <v>106</v>
      </c>
      <c r="F3661" s="21" t="inlineStr">
        <is>
          <t>English</t>
        </is>
      </c>
      <c r="G3661" s="21" t="inlineStr">
        <is>
          <t>R</t>
        </is>
      </c>
      <c r="H3661" s="22" t="n">
        <v>117528646</v>
      </c>
      <c r="I3661" s="22" t="n">
        <v>35000000</v>
      </c>
      <c r="J3661" s="21">
        <f>IF(OR(H3661="",H3661=25529689.5),"Yes","No")</f>
        <v/>
      </c>
      <c r="K3661" s="21">
        <f>IF(AND(D3661="USA",C3661&gt;=1980,J3661="No"),"Yes","No")</f>
        <v/>
      </c>
      <c r="L3661" s="26">
        <f>IF(J3661="Yes","",H3661-I3661)</f>
        <v/>
      </c>
      <c r="M3661" s="27">
        <f>IF(OR(J3661="Yes",I3661=0),"",H3661/I3661)</f>
        <v/>
      </c>
      <c r="N3661" s="21">
        <f>IF(J3661="Yes","",IF(H3661&gt;=I3661,1,0))</f>
        <v/>
      </c>
      <c r="O3661" s="21">
        <f>IF(I3661&lt;=5000000,"Under $5M",IF(I3661&lt;=20000000,"$5M-20M",IF(I3661&lt;=50000000,"$20M-50M",IF(I3661&lt;=100000000,"$50M-100M","$100M+"))))</f>
        <v/>
      </c>
      <c r="P3661" s="21">
        <f>IF(E3661&lt;=90,"90 or less",IF(E3661&lt;=105,"91-105",IF(E3661&lt;=120,"106-120",IF(E3661&lt;=140,"121-140","Over 140"))))</f>
        <v/>
      </c>
      <c r="Q3661" s="28">
        <f>INT(C3661/10)*10</f>
        <v/>
      </c>
    </row>
    <row r="3662">
      <c r="A3662" s="21" t="n">
        <v>3737</v>
      </c>
      <c r="B3662" s="21" t="inlineStr">
        <is>
          <t>Hugo</t>
        </is>
      </c>
      <c r="C3662" s="21" t="n">
        <v>2011</v>
      </c>
      <c r="D3662" s="21" t="inlineStr">
        <is>
          <t>USA</t>
        </is>
      </c>
      <c r="E3662" s="21" t="n">
        <v>126</v>
      </c>
      <c r="F3662" s="21" t="inlineStr">
        <is>
          <t>English</t>
        </is>
      </c>
      <c r="G3662" s="21" t="inlineStr">
        <is>
          <t>PG</t>
        </is>
      </c>
      <c r="H3662" s="22" t="n">
        <v>73820094</v>
      </c>
      <c r="I3662" s="22" t="n">
        <v>170000000</v>
      </c>
      <c r="J3662" s="21">
        <f>IF(OR(H3662="",H3662=25529689.5),"Yes","No")</f>
        <v/>
      </c>
      <c r="K3662" s="21">
        <f>IF(AND(D3662="USA",C3662&gt;=1980,J3662="No"),"Yes","No")</f>
        <v/>
      </c>
      <c r="L3662" s="26">
        <f>IF(J3662="Yes","",H3662-I3662)</f>
        <v/>
      </c>
      <c r="M3662" s="27">
        <f>IF(OR(J3662="Yes",I3662=0),"",H3662/I3662)</f>
        <v/>
      </c>
      <c r="N3662" s="21">
        <f>IF(J3662="Yes","",IF(H3662&gt;=I3662,1,0))</f>
        <v/>
      </c>
      <c r="O3662" s="21">
        <f>IF(I3662&lt;=5000000,"Under $5M",IF(I3662&lt;=20000000,"$5M-20M",IF(I3662&lt;=50000000,"$20M-50M",IF(I3662&lt;=100000000,"$50M-100M","$100M+"))))</f>
        <v/>
      </c>
      <c r="P3662" s="21">
        <f>IF(E3662&lt;=90,"90 or less",IF(E3662&lt;=105,"91-105",IF(E3662&lt;=120,"106-120",IF(E3662&lt;=140,"121-140","Over 140"))))</f>
        <v/>
      </c>
      <c r="Q3662" s="28">
        <f>INT(C3662/10)*10</f>
        <v/>
      </c>
    </row>
    <row r="3663">
      <c r="A3663" s="21" t="n">
        <v>3738</v>
      </c>
      <c r="B3663" s="21" t="inlineStr">
        <is>
          <t>I Am Number Four</t>
        </is>
      </c>
      <c r="C3663" s="21" t="n">
        <v>2011</v>
      </c>
      <c r="D3663" s="21" t="inlineStr">
        <is>
          <t>USA</t>
        </is>
      </c>
      <c r="E3663" s="21" t="n">
        <v>109</v>
      </c>
      <c r="F3663" s="21" t="inlineStr">
        <is>
          <t>English</t>
        </is>
      </c>
      <c r="G3663" s="21" t="inlineStr">
        <is>
          <t>PG-13</t>
        </is>
      </c>
      <c r="H3663" s="22" t="n">
        <v>55092830</v>
      </c>
      <c r="I3663" s="22" t="n">
        <v>60000000</v>
      </c>
      <c r="J3663" s="21">
        <f>IF(OR(H3663="",H3663=25529689.5),"Yes","No")</f>
        <v/>
      </c>
      <c r="K3663" s="21">
        <f>IF(AND(D3663="USA",C3663&gt;=1980,J3663="No"),"Yes","No")</f>
        <v/>
      </c>
      <c r="L3663" s="26">
        <f>IF(J3663="Yes","",H3663-I3663)</f>
        <v/>
      </c>
      <c r="M3663" s="27">
        <f>IF(OR(J3663="Yes",I3663=0),"",H3663/I3663)</f>
        <v/>
      </c>
      <c r="N3663" s="21">
        <f>IF(J3663="Yes","",IF(H3663&gt;=I3663,1,0))</f>
        <v/>
      </c>
      <c r="O3663" s="21">
        <f>IF(I3663&lt;=5000000,"Under $5M",IF(I3663&lt;=20000000,"$5M-20M",IF(I3663&lt;=50000000,"$20M-50M",IF(I3663&lt;=100000000,"$50M-100M","$100M+"))))</f>
        <v/>
      </c>
      <c r="P3663" s="21">
        <f>IF(E3663&lt;=90,"90 or less",IF(E3663&lt;=105,"91-105",IF(E3663&lt;=120,"106-120",IF(E3663&lt;=140,"121-140","Over 140"))))</f>
        <v/>
      </c>
      <c r="Q3663" s="28">
        <f>INT(C3663/10)*10</f>
        <v/>
      </c>
    </row>
    <row r="3664">
      <c r="A3664" s="21" t="n">
        <v>3739</v>
      </c>
      <c r="B3664" s="21" t="inlineStr">
        <is>
          <t>I Don't Know How She Does It</t>
        </is>
      </c>
      <c r="C3664" s="21" t="n">
        <v>2011</v>
      </c>
      <c r="D3664" s="21" t="inlineStr">
        <is>
          <t>USA</t>
        </is>
      </c>
      <c r="E3664" s="21" t="n">
        <v>89</v>
      </c>
      <c r="F3664" s="21" t="inlineStr">
        <is>
          <t>English</t>
        </is>
      </c>
      <c r="G3664" s="21" t="inlineStr">
        <is>
          <t>PG-13</t>
        </is>
      </c>
      <c r="H3664" s="22" t="n">
        <v>9639242</v>
      </c>
      <c r="I3664" s="22" t="n">
        <v>24000000</v>
      </c>
      <c r="J3664" s="21">
        <f>IF(OR(H3664="",H3664=25529689.5),"Yes","No")</f>
        <v/>
      </c>
      <c r="K3664" s="21">
        <f>IF(AND(D3664="USA",C3664&gt;=1980,J3664="No"),"Yes","No")</f>
        <v/>
      </c>
      <c r="L3664" s="26">
        <f>IF(J3664="Yes","",H3664-I3664)</f>
        <v/>
      </c>
      <c r="M3664" s="27">
        <f>IF(OR(J3664="Yes",I3664=0),"",H3664/I3664)</f>
        <v/>
      </c>
      <c r="N3664" s="21">
        <f>IF(J3664="Yes","",IF(H3664&gt;=I3664,1,0))</f>
        <v/>
      </c>
      <c r="O3664" s="21">
        <f>IF(I3664&lt;=5000000,"Under $5M",IF(I3664&lt;=20000000,"$5M-20M",IF(I3664&lt;=50000000,"$20M-50M",IF(I3664&lt;=100000000,"$50M-100M","$100M+"))))</f>
        <v/>
      </c>
      <c r="P3664" s="21">
        <f>IF(E3664&lt;=90,"90 or less",IF(E3664&lt;=105,"91-105",IF(E3664&lt;=120,"106-120",IF(E3664&lt;=140,"121-140","Over 140"))))</f>
        <v/>
      </c>
      <c r="Q3664" s="28">
        <f>INT(C3664/10)*10</f>
        <v/>
      </c>
    </row>
    <row r="3665">
      <c r="A3665" s="21" t="n">
        <v>3740</v>
      </c>
      <c r="B3665" s="21" t="inlineStr">
        <is>
          <t>Immortals</t>
        </is>
      </c>
      <c r="C3665" s="21" t="n">
        <v>2011</v>
      </c>
      <c r="D3665" s="21" t="inlineStr">
        <is>
          <t>USA</t>
        </is>
      </c>
      <c r="E3665" s="21" t="n">
        <v>110</v>
      </c>
      <c r="F3665" s="21" t="inlineStr">
        <is>
          <t>English</t>
        </is>
      </c>
      <c r="G3665" s="21" t="inlineStr">
        <is>
          <t>R</t>
        </is>
      </c>
      <c r="H3665" s="22" t="n">
        <v>83503161</v>
      </c>
      <c r="I3665" s="22" t="n">
        <v>75000000</v>
      </c>
      <c r="J3665" s="21">
        <f>IF(OR(H3665="",H3665=25529689.5),"Yes","No")</f>
        <v/>
      </c>
      <c r="K3665" s="21">
        <f>IF(AND(D3665="USA",C3665&gt;=1980,J3665="No"),"Yes","No")</f>
        <v/>
      </c>
      <c r="L3665" s="26">
        <f>IF(J3665="Yes","",H3665-I3665)</f>
        <v/>
      </c>
      <c r="M3665" s="27">
        <f>IF(OR(J3665="Yes",I3665=0),"",H3665/I3665)</f>
        <v/>
      </c>
      <c r="N3665" s="21">
        <f>IF(J3665="Yes","",IF(H3665&gt;=I3665,1,0))</f>
        <v/>
      </c>
      <c r="O3665" s="21">
        <f>IF(I3665&lt;=5000000,"Under $5M",IF(I3665&lt;=20000000,"$5M-20M",IF(I3665&lt;=50000000,"$20M-50M",IF(I3665&lt;=100000000,"$50M-100M","$100M+"))))</f>
        <v/>
      </c>
      <c r="P3665" s="21">
        <f>IF(E3665&lt;=90,"90 or less",IF(E3665&lt;=105,"91-105",IF(E3665&lt;=120,"106-120",IF(E3665&lt;=140,"121-140","Over 140"))))</f>
        <v/>
      </c>
      <c r="Q3665" s="28">
        <f>INT(C3665/10)*10</f>
        <v/>
      </c>
    </row>
    <row r="3666">
      <c r="A3666" s="21" t="n">
        <v>3741</v>
      </c>
      <c r="B3666" s="21" t="inlineStr">
        <is>
          <t>In the Land of Blood and Honey</t>
        </is>
      </c>
      <c r="C3666" s="21" t="n">
        <v>2011</v>
      </c>
      <c r="D3666" s="21" t="inlineStr">
        <is>
          <t>USA</t>
        </is>
      </c>
      <c r="E3666" s="21" t="n">
        <v>127</v>
      </c>
      <c r="F3666" s="21" t="inlineStr">
        <is>
          <t>Bosnian</t>
        </is>
      </c>
      <c r="G3666" s="21" t="inlineStr">
        <is>
          <t>R</t>
        </is>
      </c>
      <c r="H3666" s="22" t="n">
        <v>301305</v>
      </c>
      <c r="I3666" s="22" t="n">
        <v>13000000</v>
      </c>
      <c r="J3666" s="21">
        <f>IF(OR(H3666="",H3666=25529689.5),"Yes","No")</f>
        <v/>
      </c>
      <c r="K3666" s="21">
        <f>IF(AND(D3666="USA",C3666&gt;=1980,J3666="No"),"Yes","No")</f>
        <v/>
      </c>
      <c r="L3666" s="26">
        <f>IF(J3666="Yes","",H3666-I3666)</f>
        <v/>
      </c>
      <c r="M3666" s="27">
        <f>IF(OR(J3666="Yes",I3666=0),"",H3666/I3666)</f>
        <v/>
      </c>
      <c r="N3666" s="21">
        <f>IF(J3666="Yes","",IF(H3666&gt;=I3666,1,0))</f>
        <v/>
      </c>
      <c r="O3666" s="21">
        <f>IF(I3666&lt;=5000000,"Under $5M",IF(I3666&lt;=20000000,"$5M-20M",IF(I3666&lt;=50000000,"$20M-50M",IF(I3666&lt;=100000000,"$50M-100M","$100M+"))))</f>
        <v/>
      </c>
      <c r="P3666" s="21">
        <f>IF(E3666&lt;=90,"90 or less",IF(E3666&lt;=105,"91-105",IF(E3666&lt;=120,"106-120",IF(E3666&lt;=140,"121-140","Over 140"))))</f>
        <v/>
      </c>
      <c r="Q3666" s="28">
        <f>INT(C3666/10)*10</f>
        <v/>
      </c>
    </row>
    <row r="3667">
      <c r="A3667" s="21" t="n">
        <v>3742</v>
      </c>
      <c r="B3667" s="21" t="inlineStr">
        <is>
          <t>In Time</t>
        </is>
      </c>
      <c r="C3667" s="21" t="n">
        <v>2011</v>
      </c>
      <c r="D3667" s="21" t="inlineStr">
        <is>
          <t>USA</t>
        </is>
      </c>
      <c r="E3667" s="21" t="n">
        <v>109</v>
      </c>
      <c r="F3667" s="21" t="inlineStr">
        <is>
          <t>English</t>
        </is>
      </c>
      <c r="G3667" s="21" t="inlineStr">
        <is>
          <t>PG-13</t>
        </is>
      </c>
      <c r="H3667" s="22" t="n">
        <v>37553932</v>
      </c>
      <c r="I3667" s="22" t="n">
        <v>40000000</v>
      </c>
      <c r="J3667" s="21">
        <f>IF(OR(H3667="",H3667=25529689.5),"Yes","No")</f>
        <v/>
      </c>
      <c r="K3667" s="21">
        <f>IF(AND(D3667="USA",C3667&gt;=1980,J3667="No"),"Yes","No")</f>
        <v/>
      </c>
      <c r="L3667" s="26">
        <f>IF(J3667="Yes","",H3667-I3667)</f>
        <v/>
      </c>
      <c r="M3667" s="27">
        <f>IF(OR(J3667="Yes",I3667=0),"",H3667/I3667)</f>
        <v/>
      </c>
      <c r="N3667" s="21">
        <f>IF(J3667="Yes","",IF(H3667&gt;=I3667,1,0))</f>
        <v/>
      </c>
      <c r="O3667" s="21">
        <f>IF(I3667&lt;=5000000,"Under $5M",IF(I3667&lt;=20000000,"$5M-20M",IF(I3667&lt;=50000000,"$20M-50M",IF(I3667&lt;=100000000,"$50M-100M","$100M+"))))</f>
        <v/>
      </c>
      <c r="P3667" s="21">
        <f>IF(E3667&lt;=90,"90 or less",IF(E3667&lt;=105,"91-105",IF(E3667&lt;=120,"106-120",IF(E3667&lt;=140,"121-140","Over 140"))))</f>
        <v/>
      </c>
      <c r="Q3667" s="28">
        <f>INT(C3667/10)*10</f>
        <v/>
      </c>
    </row>
    <row r="3668">
      <c r="A3668" s="21" t="n">
        <v>3743</v>
      </c>
      <c r="B3668" s="21" t="inlineStr">
        <is>
          <t>Ironclad</t>
        </is>
      </c>
      <c r="C3668" s="21" t="n">
        <v>2011</v>
      </c>
      <c r="D3668" s="21" t="inlineStr">
        <is>
          <t>UK</t>
        </is>
      </c>
      <c r="E3668" s="21" t="n">
        <v>121</v>
      </c>
      <c r="F3668" s="21" t="inlineStr">
        <is>
          <t>English</t>
        </is>
      </c>
      <c r="G3668" s="21" t="inlineStr">
        <is>
          <t>R</t>
        </is>
      </c>
      <c r="H3668" s="22" t="n">
        <v>25529689.5</v>
      </c>
      <c r="I3668" s="22" t="n">
        <v>25000000</v>
      </c>
      <c r="J3668" s="21">
        <f>IF(OR(H3668="",H3668=25529689.5),"Yes","No")</f>
        <v/>
      </c>
      <c r="K3668" s="21">
        <f>IF(AND(D3668="USA",C3668&gt;=1980,J3668="No"),"Yes","No")</f>
        <v/>
      </c>
      <c r="L3668" s="26">
        <f>IF(J3668="Yes","",H3668-I3668)</f>
        <v/>
      </c>
      <c r="M3668" s="27">
        <f>IF(OR(J3668="Yes",I3668=0),"",H3668/I3668)</f>
        <v/>
      </c>
      <c r="N3668" s="21">
        <f>IF(J3668="Yes","",IF(H3668&gt;=I3668,1,0))</f>
        <v/>
      </c>
      <c r="O3668" s="21">
        <f>IF(I3668&lt;=5000000,"Under $5M",IF(I3668&lt;=20000000,"$5M-20M",IF(I3668&lt;=50000000,"$20M-50M",IF(I3668&lt;=100000000,"$50M-100M","$100M+"))))</f>
        <v/>
      </c>
      <c r="P3668" s="21">
        <f>IF(E3668&lt;=90,"90 or less",IF(E3668&lt;=105,"91-105",IF(E3668&lt;=120,"106-120",IF(E3668&lt;=140,"121-140","Over 140"))))</f>
        <v/>
      </c>
      <c r="Q3668" s="28">
        <f>INT(C3668/10)*10</f>
        <v/>
      </c>
    </row>
    <row r="3669">
      <c r="A3669" s="21" t="n">
        <v>3744</v>
      </c>
      <c r="B3669" s="21" t="inlineStr">
        <is>
          <t>J. Edgar</t>
        </is>
      </c>
      <c r="C3669" s="21" t="n">
        <v>2011</v>
      </c>
      <c r="D3669" s="21" t="inlineStr">
        <is>
          <t>USA</t>
        </is>
      </c>
      <c r="E3669" s="21" t="n">
        <v>137</v>
      </c>
      <c r="F3669" s="21" t="inlineStr">
        <is>
          <t>English</t>
        </is>
      </c>
      <c r="G3669" s="21" t="inlineStr">
        <is>
          <t>R</t>
        </is>
      </c>
      <c r="H3669" s="22" t="n">
        <v>37304950</v>
      </c>
      <c r="I3669" s="22" t="n">
        <v>35000000</v>
      </c>
      <c r="J3669" s="21">
        <f>IF(OR(H3669="",H3669=25529689.5),"Yes","No")</f>
        <v/>
      </c>
      <c r="K3669" s="21">
        <f>IF(AND(D3669="USA",C3669&gt;=1980,J3669="No"),"Yes","No")</f>
        <v/>
      </c>
      <c r="L3669" s="26">
        <f>IF(J3669="Yes","",H3669-I3669)</f>
        <v/>
      </c>
      <c r="M3669" s="27">
        <f>IF(OR(J3669="Yes",I3669=0),"",H3669/I3669)</f>
        <v/>
      </c>
      <c r="N3669" s="21">
        <f>IF(J3669="Yes","",IF(H3669&gt;=I3669,1,0))</f>
        <v/>
      </c>
      <c r="O3669" s="21">
        <f>IF(I3669&lt;=5000000,"Under $5M",IF(I3669&lt;=20000000,"$5M-20M",IF(I3669&lt;=50000000,"$20M-50M",IF(I3669&lt;=100000000,"$50M-100M","$100M+"))))</f>
        <v/>
      </c>
      <c r="P3669" s="21">
        <f>IF(E3669&lt;=90,"90 or less",IF(E3669&lt;=105,"91-105",IF(E3669&lt;=120,"106-120",IF(E3669&lt;=140,"121-140","Over 140"))))</f>
        <v/>
      </c>
      <c r="Q3669" s="28">
        <f>INT(C3669/10)*10</f>
        <v/>
      </c>
    </row>
    <row r="3670">
      <c r="A3670" s="21" t="n">
        <v>3745</v>
      </c>
      <c r="B3670" s="21" t="inlineStr">
        <is>
          <t>Jack and Jill</t>
        </is>
      </c>
      <c r="C3670" s="21" t="n">
        <v>2011</v>
      </c>
      <c r="D3670" s="21" t="inlineStr">
        <is>
          <t>USA</t>
        </is>
      </c>
      <c r="E3670" s="21" t="n">
        <v>91</v>
      </c>
      <c r="F3670" s="21" t="inlineStr">
        <is>
          <t>English</t>
        </is>
      </c>
      <c r="G3670" s="21" t="inlineStr">
        <is>
          <t>PG</t>
        </is>
      </c>
      <c r="H3670" s="22" t="n">
        <v>74158157</v>
      </c>
      <c r="I3670" s="22" t="n">
        <v>79000000</v>
      </c>
      <c r="J3670" s="21">
        <f>IF(OR(H3670="",H3670=25529689.5),"Yes","No")</f>
        <v/>
      </c>
      <c r="K3670" s="21">
        <f>IF(AND(D3670="USA",C3670&gt;=1980,J3670="No"),"Yes","No")</f>
        <v/>
      </c>
      <c r="L3670" s="26">
        <f>IF(J3670="Yes","",H3670-I3670)</f>
        <v/>
      </c>
      <c r="M3670" s="27">
        <f>IF(OR(J3670="Yes",I3670=0),"",H3670/I3670)</f>
        <v/>
      </c>
      <c r="N3670" s="21">
        <f>IF(J3670="Yes","",IF(H3670&gt;=I3670,1,0))</f>
        <v/>
      </c>
      <c r="O3670" s="21">
        <f>IF(I3670&lt;=5000000,"Under $5M",IF(I3670&lt;=20000000,"$5M-20M",IF(I3670&lt;=50000000,"$20M-50M",IF(I3670&lt;=100000000,"$50M-100M","$100M+"))))</f>
        <v/>
      </c>
      <c r="P3670" s="21">
        <f>IF(E3670&lt;=90,"90 or less",IF(E3670&lt;=105,"91-105",IF(E3670&lt;=120,"106-120",IF(E3670&lt;=140,"121-140","Over 140"))))</f>
        <v/>
      </c>
      <c r="Q3670" s="28">
        <f>INT(C3670/10)*10</f>
        <v/>
      </c>
    </row>
    <row r="3671">
      <c r="A3671" s="21" t="n">
        <v>3746</v>
      </c>
      <c r="B3671" s="21" t="inlineStr">
        <is>
          <t>Jeff, Who Lives at Home</t>
        </is>
      </c>
      <c r="C3671" s="21" t="n">
        <v>2011</v>
      </c>
      <c r="D3671" s="21" t="inlineStr">
        <is>
          <t>USA</t>
        </is>
      </c>
      <c r="E3671" s="21" t="n">
        <v>83</v>
      </c>
      <c r="F3671" s="21" t="inlineStr">
        <is>
          <t>English</t>
        </is>
      </c>
      <c r="G3671" s="21" t="inlineStr">
        <is>
          <t>R</t>
        </is>
      </c>
      <c r="H3671" s="22" t="n">
        <v>4244155</v>
      </c>
      <c r="I3671" s="22" t="n">
        <v>10000000</v>
      </c>
      <c r="J3671" s="21">
        <f>IF(OR(H3671="",H3671=25529689.5),"Yes","No")</f>
        <v/>
      </c>
      <c r="K3671" s="21">
        <f>IF(AND(D3671="USA",C3671&gt;=1980,J3671="No"),"Yes","No")</f>
        <v/>
      </c>
      <c r="L3671" s="26">
        <f>IF(J3671="Yes","",H3671-I3671)</f>
        <v/>
      </c>
      <c r="M3671" s="27">
        <f>IF(OR(J3671="Yes",I3671=0),"",H3671/I3671)</f>
        <v/>
      </c>
      <c r="N3671" s="21">
        <f>IF(J3671="Yes","",IF(H3671&gt;=I3671,1,0))</f>
        <v/>
      </c>
      <c r="O3671" s="21">
        <f>IF(I3671&lt;=5000000,"Under $5M",IF(I3671&lt;=20000000,"$5M-20M",IF(I3671&lt;=50000000,"$20M-50M",IF(I3671&lt;=100000000,"$50M-100M","$100M+"))))</f>
        <v/>
      </c>
      <c r="P3671" s="21">
        <f>IF(E3671&lt;=90,"90 or less",IF(E3671&lt;=105,"91-105",IF(E3671&lt;=120,"106-120",IF(E3671&lt;=140,"121-140","Over 140"))))</f>
        <v/>
      </c>
      <c r="Q3671" s="28">
        <f>INT(C3671/10)*10</f>
        <v/>
      </c>
    </row>
    <row r="3672">
      <c r="A3672" s="21" t="n">
        <v>3747</v>
      </c>
      <c r="B3672" s="21" t="inlineStr">
        <is>
          <t>Johnny English Reborn</t>
        </is>
      </c>
      <c r="C3672" s="21" t="n">
        <v>2011</v>
      </c>
      <c r="D3672" s="21" t="inlineStr">
        <is>
          <t>USA</t>
        </is>
      </c>
      <c r="E3672" s="21" t="n">
        <v>101</v>
      </c>
      <c r="F3672" s="21" t="inlineStr">
        <is>
          <t>English</t>
        </is>
      </c>
      <c r="G3672" s="21" t="inlineStr">
        <is>
          <t>PG</t>
        </is>
      </c>
      <c r="H3672" s="22" t="n">
        <v>8129455</v>
      </c>
      <c r="I3672" s="22" t="n">
        <v>45000000</v>
      </c>
      <c r="J3672" s="21">
        <f>IF(OR(H3672="",H3672=25529689.5),"Yes","No")</f>
        <v/>
      </c>
      <c r="K3672" s="21">
        <f>IF(AND(D3672="USA",C3672&gt;=1980,J3672="No"),"Yes","No")</f>
        <v/>
      </c>
      <c r="L3672" s="26">
        <f>IF(J3672="Yes","",H3672-I3672)</f>
        <v/>
      </c>
      <c r="M3672" s="27">
        <f>IF(OR(J3672="Yes",I3672=0),"",H3672/I3672)</f>
        <v/>
      </c>
      <c r="N3672" s="21">
        <f>IF(J3672="Yes","",IF(H3672&gt;=I3672,1,0))</f>
        <v/>
      </c>
      <c r="O3672" s="21">
        <f>IF(I3672&lt;=5000000,"Under $5M",IF(I3672&lt;=20000000,"$5M-20M",IF(I3672&lt;=50000000,"$20M-50M",IF(I3672&lt;=100000000,"$50M-100M","$100M+"))))</f>
        <v/>
      </c>
      <c r="P3672" s="21">
        <f>IF(E3672&lt;=90,"90 or less",IF(E3672&lt;=105,"91-105",IF(E3672&lt;=120,"106-120",IF(E3672&lt;=140,"121-140","Over 140"))))</f>
        <v/>
      </c>
      <c r="Q3672" s="28">
        <f>INT(C3672/10)*10</f>
        <v/>
      </c>
    </row>
    <row r="3673">
      <c r="A3673" s="21" t="n">
        <v>3748</v>
      </c>
      <c r="B3673" s="21" t="inlineStr">
        <is>
          <t>Jumping the Broom</t>
        </is>
      </c>
      <c r="C3673" s="21" t="n">
        <v>2011</v>
      </c>
      <c r="D3673" s="21" t="inlineStr">
        <is>
          <t>USA</t>
        </is>
      </c>
      <c r="E3673" s="21" t="n">
        <v>112</v>
      </c>
      <c r="F3673" s="21" t="inlineStr">
        <is>
          <t>English</t>
        </is>
      </c>
      <c r="G3673" s="21" t="inlineStr">
        <is>
          <t>PG-13</t>
        </is>
      </c>
      <c r="H3673" s="22" t="n">
        <v>37295394</v>
      </c>
      <c r="I3673" s="22" t="n">
        <v>6600000</v>
      </c>
      <c r="J3673" s="21">
        <f>IF(OR(H3673="",H3673=25529689.5),"Yes","No")</f>
        <v/>
      </c>
      <c r="K3673" s="21">
        <f>IF(AND(D3673="USA",C3673&gt;=1980,J3673="No"),"Yes","No")</f>
        <v/>
      </c>
      <c r="L3673" s="26">
        <f>IF(J3673="Yes","",H3673-I3673)</f>
        <v/>
      </c>
      <c r="M3673" s="27">
        <f>IF(OR(J3673="Yes",I3673=0),"",H3673/I3673)</f>
        <v/>
      </c>
      <c r="N3673" s="21">
        <f>IF(J3673="Yes","",IF(H3673&gt;=I3673,1,0))</f>
        <v/>
      </c>
      <c r="O3673" s="21">
        <f>IF(I3673&lt;=5000000,"Under $5M",IF(I3673&lt;=20000000,"$5M-20M",IF(I3673&lt;=50000000,"$20M-50M",IF(I3673&lt;=100000000,"$50M-100M","$100M+"))))</f>
        <v/>
      </c>
      <c r="P3673" s="21">
        <f>IF(E3673&lt;=90,"90 or less",IF(E3673&lt;=105,"91-105",IF(E3673&lt;=120,"106-120",IF(E3673&lt;=140,"121-140","Over 140"))))</f>
        <v/>
      </c>
      <c r="Q3673" s="28">
        <f>INT(C3673/10)*10</f>
        <v/>
      </c>
    </row>
    <row r="3674">
      <c r="A3674" s="21" t="n">
        <v>3749</v>
      </c>
      <c r="B3674" s="21" t="inlineStr">
        <is>
          <t>Just Go with It</t>
        </is>
      </c>
      <c r="C3674" s="21" t="n">
        <v>2011</v>
      </c>
      <c r="D3674" s="21" t="inlineStr">
        <is>
          <t>USA</t>
        </is>
      </c>
      <c r="E3674" s="21" t="n">
        <v>117</v>
      </c>
      <c r="F3674" s="21" t="inlineStr">
        <is>
          <t>English</t>
        </is>
      </c>
      <c r="G3674" s="21" t="inlineStr">
        <is>
          <t>PG-13</t>
        </is>
      </c>
      <c r="H3674" s="22" t="n">
        <v>103028109</v>
      </c>
      <c r="I3674" s="22" t="n">
        <v>80000000</v>
      </c>
      <c r="J3674" s="21">
        <f>IF(OR(H3674="",H3674=25529689.5),"Yes","No")</f>
        <v/>
      </c>
      <c r="K3674" s="21">
        <f>IF(AND(D3674="USA",C3674&gt;=1980,J3674="No"),"Yes","No")</f>
        <v/>
      </c>
      <c r="L3674" s="26">
        <f>IF(J3674="Yes","",H3674-I3674)</f>
        <v/>
      </c>
      <c r="M3674" s="27">
        <f>IF(OR(J3674="Yes",I3674=0),"",H3674/I3674)</f>
        <v/>
      </c>
      <c r="N3674" s="21">
        <f>IF(J3674="Yes","",IF(H3674&gt;=I3674,1,0))</f>
        <v/>
      </c>
      <c r="O3674" s="21">
        <f>IF(I3674&lt;=5000000,"Under $5M",IF(I3674&lt;=20000000,"$5M-20M",IF(I3674&lt;=50000000,"$20M-50M",IF(I3674&lt;=100000000,"$50M-100M","$100M+"))))</f>
        <v/>
      </c>
      <c r="P3674" s="21">
        <f>IF(E3674&lt;=90,"90 or less",IF(E3674&lt;=105,"91-105",IF(E3674&lt;=120,"106-120",IF(E3674&lt;=140,"121-140","Over 140"))))</f>
        <v/>
      </c>
      <c r="Q3674" s="28">
        <f>INT(C3674/10)*10</f>
        <v/>
      </c>
    </row>
    <row r="3675">
      <c r="A3675" s="21" t="n">
        <v>3750</v>
      </c>
      <c r="B3675" s="21" t="inlineStr">
        <is>
          <t>Justin Bieber: Never Say Never</t>
        </is>
      </c>
      <c r="C3675" s="21" t="n">
        <v>2011</v>
      </c>
      <c r="D3675" s="21" t="inlineStr">
        <is>
          <t>USA</t>
        </is>
      </c>
      <c r="E3675" s="21" t="n">
        <v>115</v>
      </c>
      <c r="F3675" s="21" t="inlineStr">
        <is>
          <t>English</t>
        </is>
      </c>
      <c r="G3675" s="21" t="inlineStr">
        <is>
          <t>G</t>
        </is>
      </c>
      <c r="H3675" s="22" t="n">
        <v>73000942</v>
      </c>
      <c r="I3675" s="22" t="n">
        <v>13000000</v>
      </c>
      <c r="J3675" s="21">
        <f>IF(OR(H3675="",H3675=25529689.5),"Yes","No")</f>
        <v/>
      </c>
      <c r="K3675" s="21">
        <f>IF(AND(D3675="USA",C3675&gt;=1980,J3675="No"),"Yes","No")</f>
        <v/>
      </c>
      <c r="L3675" s="26">
        <f>IF(J3675="Yes","",H3675-I3675)</f>
        <v/>
      </c>
      <c r="M3675" s="27">
        <f>IF(OR(J3675="Yes",I3675=0),"",H3675/I3675)</f>
        <v/>
      </c>
      <c r="N3675" s="21">
        <f>IF(J3675="Yes","",IF(H3675&gt;=I3675,1,0))</f>
        <v/>
      </c>
      <c r="O3675" s="21">
        <f>IF(I3675&lt;=5000000,"Under $5M",IF(I3675&lt;=20000000,"$5M-20M",IF(I3675&lt;=50000000,"$20M-50M",IF(I3675&lt;=100000000,"$50M-100M","$100M+"))))</f>
        <v/>
      </c>
      <c r="P3675" s="21">
        <f>IF(E3675&lt;=90,"90 or less",IF(E3675&lt;=105,"91-105",IF(E3675&lt;=120,"106-120",IF(E3675&lt;=140,"121-140","Over 140"))))</f>
        <v/>
      </c>
      <c r="Q3675" s="28">
        <f>INT(C3675/10)*10</f>
        <v/>
      </c>
    </row>
    <row r="3676">
      <c r="A3676" s="21" t="n">
        <v>3751</v>
      </c>
      <c r="B3676" s="21" t="inlineStr">
        <is>
          <t>Kevin Hart: Laugh at My Pain</t>
        </is>
      </c>
      <c r="C3676" s="21" t="n">
        <v>2011</v>
      </c>
      <c r="D3676" s="21" t="inlineStr">
        <is>
          <t>USA</t>
        </is>
      </c>
      <c r="E3676" s="21" t="n">
        <v>89</v>
      </c>
      <c r="F3676" s="21" t="inlineStr">
        <is>
          <t>English</t>
        </is>
      </c>
      <c r="G3676" s="21" t="inlineStr">
        <is>
          <t>R</t>
        </is>
      </c>
      <c r="H3676" s="22" t="n">
        <v>7705974</v>
      </c>
      <c r="I3676" s="22" t="n">
        <v>20000000</v>
      </c>
      <c r="J3676" s="21">
        <f>IF(OR(H3676="",H3676=25529689.5),"Yes","No")</f>
        <v/>
      </c>
      <c r="K3676" s="21">
        <f>IF(AND(D3676="USA",C3676&gt;=1980,J3676="No"),"Yes","No")</f>
        <v/>
      </c>
      <c r="L3676" s="26">
        <f>IF(J3676="Yes","",H3676-I3676)</f>
        <v/>
      </c>
      <c r="M3676" s="27">
        <f>IF(OR(J3676="Yes",I3676=0),"",H3676/I3676)</f>
        <v/>
      </c>
      <c r="N3676" s="21">
        <f>IF(J3676="Yes","",IF(H3676&gt;=I3676,1,0))</f>
        <v/>
      </c>
      <c r="O3676" s="21">
        <f>IF(I3676&lt;=5000000,"Under $5M",IF(I3676&lt;=20000000,"$5M-20M",IF(I3676&lt;=50000000,"$20M-50M",IF(I3676&lt;=100000000,"$50M-100M","$100M+"))))</f>
        <v/>
      </c>
      <c r="P3676" s="21">
        <f>IF(E3676&lt;=90,"90 or less",IF(E3676&lt;=105,"91-105",IF(E3676&lt;=120,"106-120",IF(E3676&lt;=140,"121-140","Over 140"))))</f>
        <v/>
      </c>
      <c r="Q3676" s="28">
        <f>INT(C3676/10)*10</f>
        <v/>
      </c>
    </row>
    <row r="3677">
      <c r="A3677" s="21" t="n">
        <v>3752</v>
      </c>
      <c r="B3677" s="21" t="inlineStr">
        <is>
          <t>Kill List</t>
        </is>
      </c>
      <c r="C3677" s="21" t="n">
        <v>2011</v>
      </c>
      <c r="D3677" s="21" t="inlineStr">
        <is>
          <t>UK</t>
        </is>
      </c>
      <c r="E3677" s="21" t="n">
        <v>95</v>
      </c>
      <c r="F3677" s="21" t="inlineStr">
        <is>
          <t>English</t>
        </is>
      </c>
      <c r="G3677" s="21" t="inlineStr">
        <is>
          <t>Not Rated</t>
        </is>
      </c>
      <c r="H3677" s="22" t="n">
        <v>26297</v>
      </c>
      <c r="I3677" s="22" t="n">
        <v>500000</v>
      </c>
      <c r="J3677" s="21">
        <f>IF(OR(H3677="",H3677=25529689.5),"Yes","No")</f>
        <v/>
      </c>
      <c r="K3677" s="21">
        <f>IF(AND(D3677="USA",C3677&gt;=1980,J3677="No"),"Yes","No")</f>
        <v/>
      </c>
      <c r="L3677" s="26">
        <f>IF(J3677="Yes","",H3677-I3677)</f>
        <v/>
      </c>
      <c r="M3677" s="27">
        <f>IF(OR(J3677="Yes",I3677=0),"",H3677/I3677)</f>
        <v/>
      </c>
      <c r="N3677" s="21">
        <f>IF(J3677="Yes","",IF(H3677&gt;=I3677,1,0))</f>
        <v/>
      </c>
      <c r="O3677" s="21">
        <f>IF(I3677&lt;=5000000,"Under $5M",IF(I3677&lt;=20000000,"$5M-20M",IF(I3677&lt;=50000000,"$20M-50M",IF(I3677&lt;=100000000,"$50M-100M","$100M+"))))</f>
        <v/>
      </c>
      <c r="P3677" s="21">
        <f>IF(E3677&lt;=90,"90 or less",IF(E3677&lt;=105,"91-105",IF(E3677&lt;=120,"106-120",IF(E3677&lt;=140,"121-140","Over 140"))))</f>
        <v/>
      </c>
      <c r="Q3677" s="28">
        <f>INT(C3677/10)*10</f>
        <v/>
      </c>
    </row>
    <row r="3678">
      <c r="A3678" s="21" t="n">
        <v>3753</v>
      </c>
      <c r="B3678" s="21" t="inlineStr">
        <is>
          <t>Killer Elite</t>
        </is>
      </c>
      <c r="C3678" s="21" t="n">
        <v>2011</v>
      </c>
      <c r="D3678" s="21" t="inlineStr">
        <is>
          <t>UK</t>
        </is>
      </c>
      <c r="E3678" s="21" t="n">
        <v>116</v>
      </c>
      <c r="F3678" s="21" t="inlineStr">
        <is>
          <t>English</t>
        </is>
      </c>
      <c r="G3678" s="21" t="inlineStr">
        <is>
          <t>R</t>
        </is>
      </c>
      <c r="H3678" s="22" t="n">
        <v>25093607</v>
      </c>
      <c r="I3678" s="22" t="n">
        <v>35000000</v>
      </c>
      <c r="J3678" s="21">
        <f>IF(OR(H3678="",H3678=25529689.5),"Yes","No")</f>
        <v/>
      </c>
      <c r="K3678" s="21">
        <f>IF(AND(D3678="USA",C3678&gt;=1980,J3678="No"),"Yes","No")</f>
        <v/>
      </c>
      <c r="L3678" s="26">
        <f>IF(J3678="Yes","",H3678-I3678)</f>
        <v/>
      </c>
      <c r="M3678" s="27">
        <f>IF(OR(J3678="Yes",I3678=0),"",H3678/I3678)</f>
        <v/>
      </c>
      <c r="N3678" s="21">
        <f>IF(J3678="Yes","",IF(H3678&gt;=I3678,1,0))</f>
        <v/>
      </c>
      <c r="O3678" s="21">
        <f>IF(I3678&lt;=5000000,"Under $5M",IF(I3678&lt;=20000000,"$5M-20M",IF(I3678&lt;=50000000,"$20M-50M",IF(I3678&lt;=100000000,"$50M-100M","$100M+"))))</f>
        <v/>
      </c>
      <c r="P3678" s="21">
        <f>IF(E3678&lt;=90,"90 or less",IF(E3678&lt;=105,"91-105",IF(E3678&lt;=120,"106-120",IF(E3678&lt;=140,"121-140","Over 140"))))</f>
        <v/>
      </c>
      <c r="Q3678" s="28">
        <f>INT(C3678/10)*10</f>
        <v/>
      </c>
    </row>
    <row r="3679">
      <c r="A3679" s="21" t="n">
        <v>3754</v>
      </c>
      <c r="B3679" s="21" t="inlineStr">
        <is>
          <t>Killer Joe</t>
        </is>
      </c>
      <c r="C3679" s="21" t="n">
        <v>2011</v>
      </c>
      <c r="D3679" s="21" t="inlineStr">
        <is>
          <t>USA</t>
        </is>
      </c>
      <c r="E3679" s="21" t="n">
        <v>98</v>
      </c>
      <c r="F3679" s="21" t="inlineStr">
        <is>
          <t>English</t>
        </is>
      </c>
      <c r="G3679" s="21" t="inlineStr">
        <is>
          <t>R</t>
        </is>
      </c>
      <c r="H3679" s="22" t="n">
        <v>1987762</v>
      </c>
      <c r="I3679" s="22" t="n">
        <v>11000000</v>
      </c>
      <c r="J3679" s="21">
        <f>IF(OR(H3679="",H3679=25529689.5),"Yes","No")</f>
        <v/>
      </c>
      <c r="K3679" s="21">
        <f>IF(AND(D3679="USA",C3679&gt;=1980,J3679="No"),"Yes","No")</f>
        <v/>
      </c>
      <c r="L3679" s="26">
        <f>IF(J3679="Yes","",H3679-I3679)</f>
        <v/>
      </c>
      <c r="M3679" s="27">
        <f>IF(OR(J3679="Yes",I3679=0),"",H3679/I3679)</f>
        <v/>
      </c>
      <c r="N3679" s="21">
        <f>IF(J3679="Yes","",IF(H3679&gt;=I3679,1,0))</f>
        <v/>
      </c>
      <c r="O3679" s="21">
        <f>IF(I3679&lt;=5000000,"Under $5M",IF(I3679&lt;=20000000,"$5M-20M",IF(I3679&lt;=50000000,"$20M-50M",IF(I3679&lt;=100000000,"$50M-100M","$100M+"))))</f>
        <v/>
      </c>
      <c r="P3679" s="21">
        <f>IF(E3679&lt;=90,"90 or less",IF(E3679&lt;=105,"91-105",IF(E3679&lt;=120,"106-120",IF(E3679&lt;=140,"121-140","Over 140"))))</f>
        <v/>
      </c>
      <c r="Q3679" s="28">
        <f>INT(C3679/10)*10</f>
        <v/>
      </c>
    </row>
    <row r="3680">
      <c r="A3680" s="21" t="n">
        <v>3755</v>
      </c>
      <c r="B3680" s="21" t="inlineStr">
        <is>
          <t>Kung Fu Panda 2</t>
        </is>
      </c>
      <c r="C3680" s="21" t="n">
        <v>2011</v>
      </c>
      <c r="D3680" s="21" t="inlineStr">
        <is>
          <t>USA</t>
        </is>
      </c>
      <c r="E3680" s="21" t="n">
        <v>90</v>
      </c>
      <c r="F3680" s="21" t="inlineStr">
        <is>
          <t>English</t>
        </is>
      </c>
      <c r="G3680" s="21" t="inlineStr">
        <is>
          <t>PG</t>
        </is>
      </c>
      <c r="H3680" s="22" t="n">
        <v>165230261</v>
      </c>
      <c r="I3680" s="22" t="n">
        <v>150000000</v>
      </c>
      <c r="J3680" s="21">
        <f>IF(OR(H3680="",H3680=25529689.5),"Yes","No")</f>
        <v/>
      </c>
      <c r="K3680" s="21">
        <f>IF(AND(D3680="USA",C3680&gt;=1980,J3680="No"),"Yes","No")</f>
        <v/>
      </c>
      <c r="L3680" s="26">
        <f>IF(J3680="Yes","",H3680-I3680)</f>
        <v/>
      </c>
      <c r="M3680" s="27">
        <f>IF(OR(J3680="Yes",I3680=0),"",H3680/I3680)</f>
        <v/>
      </c>
      <c r="N3680" s="21">
        <f>IF(J3680="Yes","",IF(H3680&gt;=I3680,1,0))</f>
        <v/>
      </c>
      <c r="O3680" s="21">
        <f>IF(I3680&lt;=5000000,"Under $5M",IF(I3680&lt;=20000000,"$5M-20M",IF(I3680&lt;=50000000,"$20M-50M",IF(I3680&lt;=100000000,"$50M-100M","$100M+"))))</f>
        <v/>
      </c>
      <c r="P3680" s="21">
        <f>IF(E3680&lt;=90,"90 or less",IF(E3680&lt;=105,"91-105",IF(E3680&lt;=120,"106-120",IF(E3680&lt;=140,"121-140","Over 140"))))</f>
        <v/>
      </c>
      <c r="Q3680" s="28">
        <f>INT(C3680/10)*10</f>
        <v/>
      </c>
    </row>
    <row r="3681">
      <c r="A3681" s="21" t="n">
        <v>3756</v>
      </c>
      <c r="B3681" s="21" t="inlineStr">
        <is>
          <t>L!fe Happens</t>
        </is>
      </c>
      <c r="C3681" s="21" t="n">
        <v>2011</v>
      </c>
      <c r="D3681" s="21" t="inlineStr">
        <is>
          <t>USA</t>
        </is>
      </c>
      <c r="E3681" s="21" t="n">
        <v>100</v>
      </c>
      <c r="F3681" s="21" t="inlineStr">
        <is>
          <t>English</t>
        </is>
      </c>
      <c r="G3681" s="21" t="inlineStr">
        <is>
          <t>R</t>
        </is>
      </c>
      <c r="H3681" s="22" t="n">
        <v>20186</v>
      </c>
      <c r="I3681" s="22" t="n">
        <v>930000</v>
      </c>
      <c r="J3681" s="21">
        <f>IF(OR(H3681="",H3681=25529689.5),"Yes","No")</f>
        <v/>
      </c>
      <c r="K3681" s="21">
        <f>IF(AND(D3681="USA",C3681&gt;=1980,J3681="No"),"Yes","No")</f>
        <v/>
      </c>
      <c r="L3681" s="26">
        <f>IF(J3681="Yes","",H3681-I3681)</f>
        <v/>
      </c>
      <c r="M3681" s="27">
        <f>IF(OR(J3681="Yes",I3681=0),"",H3681/I3681)</f>
        <v/>
      </c>
      <c r="N3681" s="21">
        <f>IF(J3681="Yes","",IF(H3681&gt;=I3681,1,0))</f>
        <v/>
      </c>
      <c r="O3681" s="21">
        <f>IF(I3681&lt;=5000000,"Under $5M",IF(I3681&lt;=20000000,"$5M-20M",IF(I3681&lt;=50000000,"$20M-50M",IF(I3681&lt;=100000000,"$50M-100M","$100M+"))))</f>
        <v/>
      </c>
      <c r="P3681" s="21">
        <f>IF(E3681&lt;=90,"90 or less",IF(E3681&lt;=105,"91-105",IF(E3681&lt;=120,"106-120",IF(E3681&lt;=140,"121-140","Over 140"))))</f>
        <v/>
      </c>
      <c r="Q3681" s="28">
        <f>INT(C3681/10)*10</f>
        <v/>
      </c>
    </row>
    <row r="3682">
      <c r="A3682" s="21" t="n">
        <v>3757</v>
      </c>
      <c r="B3682" s="21" t="inlineStr">
        <is>
          <t>Larry Crowne</t>
        </is>
      </c>
      <c r="C3682" s="21" t="n">
        <v>2011</v>
      </c>
      <c r="D3682" s="21" t="inlineStr">
        <is>
          <t>USA</t>
        </is>
      </c>
      <c r="E3682" s="21" t="n">
        <v>98</v>
      </c>
      <c r="F3682" s="21" t="inlineStr">
        <is>
          <t>English</t>
        </is>
      </c>
      <c r="G3682" s="21" t="inlineStr">
        <is>
          <t>PG-13</t>
        </is>
      </c>
      <c r="H3682" s="22" t="n">
        <v>35565975</v>
      </c>
      <c r="I3682" s="22" t="n">
        <v>30000000</v>
      </c>
      <c r="J3682" s="21">
        <f>IF(OR(H3682="",H3682=25529689.5),"Yes","No")</f>
        <v/>
      </c>
      <c r="K3682" s="21">
        <f>IF(AND(D3682="USA",C3682&gt;=1980,J3682="No"),"Yes","No")</f>
        <v/>
      </c>
      <c r="L3682" s="26">
        <f>IF(J3682="Yes","",H3682-I3682)</f>
        <v/>
      </c>
      <c r="M3682" s="27">
        <f>IF(OR(J3682="Yes",I3682=0),"",H3682/I3682)</f>
        <v/>
      </c>
      <c r="N3682" s="21">
        <f>IF(J3682="Yes","",IF(H3682&gt;=I3682,1,0))</f>
        <v/>
      </c>
      <c r="O3682" s="21">
        <f>IF(I3682&lt;=5000000,"Under $5M",IF(I3682&lt;=20000000,"$5M-20M",IF(I3682&lt;=50000000,"$20M-50M",IF(I3682&lt;=100000000,"$50M-100M","$100M+"))))</f>
        <v/>
      </c>
      <c r="P3682" s="21">
        <f>IF(E3682&lt;=90,"90 or less",IF(E3682&lt;=105,"91-105",IF(E3682&lt;=120,"106-120",IF(E3682&lt;=140,"121-140","Over 140"))))</f>
        <v/>
      </c>
      <c r="Q3682" s="28">
        <f>INT(C3682/10)*10</f>
        <v/>
      </c>
    </row>
    <row r="3683">
      <c r="A3683" s="21" t="n">
        <v>3758</v>
      </c>
      <c r="B3683" s="21" t="inlineStr">
        <is>
          <t>Le Havre</t>
        </is>
      </c>
      <c r="C3683" s="21" t="n">
        <v>2011</v>
      </c>
      <c r="D3683" s="21" t="inlineStr">
        <is>
          <t>Finland</t>
        </is>
      </c>
      <c r="E3683" s="21" t="n">
        <v>93</v>
      </c>
      <c r="F3683" s="21" t="inlineStr">
        <is>
          <t>French</t>
        </is>
      </c>
      <c r="G3683" s="21" t="inlineStr">
        <is>
          <t>Not Rated</t>
        </is>
      </c>
      <c r="H3683" s="22" t="n">
        <v>611709</v>
      </c>
      <c r="I3683" s="22" t="n">
        <v>3850000</v>
      </c>
      <c r="J3683" s="21">
        <f>IF(OR(H3683="",H3683=25529689.5),"Yes","No")</f>
        <v/>
      </c>
      <c r="K3683" s="21">
        <f>IF(AND(D3683="USA",C3683&gt;=1980,J3683="No"),"Yes","No")</f>
        <v/>
      </c>
      <c r="L3683" s="26">
        <f>IF(J3683="Yes","",H3683-I3683)</f>
        <v/>
      </c>
      <c r="M3683" s="27">
        <f>IF(OR(J3683="Yes",I3683=0),"",H3683/I3683)</f>
        <v/>
      </c>
      <c r="N3683" s="21">
        <f>IF(J3683="Yes","",IF(H3683&gt;=I3683,1,0))</f>
        <v/>
      </c>
      <c r="O3683" s="21">
        <f>IF(I3683&lt;=5000000,"Under $5M",IF(I3683&lt;=20000000,"$5M-20M",IF(I3683&lt;=50000000,"$20M-50M",IF(I3683&lt;=100000000,"$50M-100M","$100M+"))))</f>
        <v/>
      </c>
      <c r="P3683" s="21">
        <f>IF(E3683&lt;=90,"90 or less",IF(E3683&lt;=105,"91-105",IF(E3683&lt;=120,"106-120",IF(E3683&lt;=140,"121-140","Over 140"))))</f>
        <v/>
      </c>
      <c r="Q3683" s="28">
        <f>INT(C3683/10)*10</f>
        <v/>
      </c>
    </row>
    <row r="3684">
      <c r="A3684" s="21" t="n">
        <v>3759</v>
      </c>
      <c r="B3684" s="21" t="inlineStr">
        <is>
          <t>Legend of Kung Fu Rabbit</t>
        </is>
      </c>
      <c r="C3684" s="21" t="n">
        <v>2011</v>
      </c>
      <c r="D3684" s="21" t="inlineStr">
        <is>
          <t>China</t>
        </is>
      </c>
      <c r="E3684" s="21" t="n">
        <v>89</v>
      </c>
      <c r="F3684" s="21" t="inlineStr">
        <is>
          <t>Mandarin</t>
        </is>
      </c>
      <c r="G3684" s="21" t="inlineStr">
        <is>
          <t>PG</t>
        </is>
      </c>
      <c r="H3684" s="22" t="n">
        <v>25529689.5</v>
      </c>
      <c r="I3684" s="22" t="n">
        <v>20000000</v>
      </c>
      <c r="J3684" s="21">
        <f>IF(OR(H3684="",H3684=25529689.5),"Yes","No")</f>
        <v/>
      </c>
      <c r="K3684" s="21">
        <f>IF(AND(D3684="USA",C3684&gt;=1980,J3684="No"),"Yes","No")</f>
        <v/>
      </c>
      <c r="L3684" s="26">
        <f>IF(J3684="Yes","",H3684-I3684)</f>
        <v/>
      </c>
      <c r="M3684" s="27">
        <f>IF(OR(J3684="Yes",I3684=0),"",H3684/I3684)</f>
        <v/>
      </c>
      <c r="N3684" s="21">
        <f>IF(J3684="Yes","",IF(H3684&gt;=I3684,1,0))</f>
        <v/>
      </c>
      <c r="O3684" s="21">
        <f>IF(I3684&lt;=5000000,"Under $5M",IF(I3684&lt;=20000000,"$5M-20M",IF(I3684&lt;=50000000,"$20M-50M",IF(I3684&lt;=100000000,"$50M-100M","$100M+"))))</f>
        <v/>
      </c>
      <c r="P3684" s="21">
        <f>IF(E3684&lt;=90,"90 or less",IF(E3684&lt;=105,"91-105",IF(E3684&lt;=120,"106-120",IF(E3684&lt;=140,"121-140","Over 140"))))</f>
        <v/>
      </c>
      <c r="Q3684" s="28">
        <f>INT(C3684/10)*10</f>
        <v/>
      </c>
    </row>
    <row r="3685">
      <c r="A3685" s="21" t="n">
        <v>3760</v>
      </c>
      <c r="B3685" s="21" t="inlineStr">
        <is>
          <t>Like Crazy</t>
        </is>
      </c>
      <c r="C3685" s="21" t="n">
        <v>2011</v>
      </c>
      <c r="D3685" s="21" t="inlineStr">
        <is>
          <t>USA</t>
        </is>
      </c>
      <c r="E3685" s="21" t="n">
        <v>90</v>
      </c>
      <c r="F3685" s="21" t="inlineStr">
        <is>
          <t>English</t>
        </is>
      </c>
      <c r="G3685" s="21" t="inlineStr">
        <is>
          <t>PG-13</t>
        </is>
      </c>
      <c r="H3685" s="22" t="n">
        <v>3388210</v>
      </c>
      <c r="I3685" s="22" t="n">
        <v>250000</v>
      </c>
      <c r="J3685" s="21">
        <f>IF(OR(H3685="",H3685=25529689.5),"Yes","No")</f>
        <v/>
      </c>
      <c r="K3685" s="21">
        <f>IF(AND(D3685="USA",C3685&gt;=1980,J3685="No"),"Yes","No")</f>
        <v/>
      </c>
      <c r="L3685" s="26">
        <f>IF(J3685="Yes","",H3685-I3685)</f>
        <v/>
      </c>
      <c r="M3685" s="27">
        <f>IF(OR(J3685="Yes",I3685=0),"",H3685/I3685)</f>
        <v/>
      </c>
      <c r="N3685" s="21">
        <f>IF(J3685="Yes","",IF(H3685&gt;=I3685,1,0))</f>
        <v/>
      </c>
      <c r="O3685" s="21">
        <f>IF(I3685&lt;=5000000,"Under $5M",IF(I3685&lt;=20000000,"$5M-20M",IF(I3685&lt;=50000000,"$20M-50M",IF(I3685&lt;=100000000,"$50M-100M","$100M+"))))</f>
        <v/>
      </c>
      <c r="P3685" s="21">
        <f>IF(E3685&lt;=90,"90 or less",IF(E3685&lt;=105,"91-105",IF(E3685&lt;=120,"106-120",IF(E3685&lt;=140,"121-140","Over 140"))))</f>
        <v/>
      </c>
      <c r="Q3685" s="28">
        <f>INT(C3685/10)*10</f>
        <v/>
      </c>
    </row>
    <row r="3686">
      <c r="A3686" s="21" t="n">
        <v>3761</v>
      </c>
      <c r="B3686" s="21" t="inlineStr">
        <is>
          <t>Machine Gun Preacher</t>
        </is>
      </c>
      <c r="C3686" s="21" t="n">
        <v>2011</v>
      </c>
      <c r="D3686" s="21" t="inlineStr">
        <is>
          <t>USA</t>
        </is>
      </c>
      <c r="E3686" s="21" t="n">
        <v>129</v>
      </c>
      <c r="F3686" s="21" t="inlineStr">
        <is>
          <t>English</t>
        </is>
      </c>
      <c r="G3686" s="21" t="inlineStr">
        <is>
          <t>R</t>
        </is>
      </c>
      <c r="H3686" s="22" t="n">
        <v>537580</v>
      </c>
      <c r="I3686" s="22" t="n">
        <v>30000000</v>
      </c>
      <c r="J3686" s="21">
        <f>IF(OR(H3686="",H3686=25529689.5),"Yes","No")</f>
        <v/>
      </c>
      <c r="K3686" s="21">
        <f>IF(AND(D3686="USA",C3686&gt;=1980,J3686="No"),"Yes","No")</f>
        <v/>
      </c>
      <c r="L3686" s="26">
        <f>IF(J3686="Yes","",H3686-I3686)</f>
        <v/>
      </c>
      <c r="M3686" s="27">
        <f>IF(OR(J3686="Yes",I3686=0),"",H3686/I3686)</f>
        <v/>
      </c>
      <c r="N3686" s="21">
        <f>IF(J3686="Yes","",IF(H3686&gt;=I3686,1,0))</f>
        <v/>
      </c>
      <c r="O3686" s="21">
        <f>IF(I3686&lt;=5000000,"Under $5M",IF(I3686&lt;=20000000,"$5M-20M",IF(I3686&lt;=50000000,"$20M-50M",IF(I3686&lt;=100000000,"$50M-100M","$100M+"))))</f>
        <v/>
      </c>
      <c r="P3686" s="21">
        <f>IF(E3686&lt;=90,"90 or less",IF(E3686&lt;=105,"91-105",IF(E3686&lt;=120,"106-120",IF(E3686&lt;=140,"121-140","Over 140"))))</f>
        <v/>
      </c>
      <c r="Q3686" s="28">
        <f>INT(C3686/10)*10</f>
        <v/>
      </c>
    </row>
    <row r="3687">
      <c r="A3687" s="21" t="n">
        <v>3762</v>
      </c>
      <c r="B3687" s="21" t="inlineStr">
        <is>
          <t>Margaret</t>
        </is>
      </c>
      <c r="C3687" s="21" t="n">
        <v>2011</v>
      </c>
      <c r="D3687" s="21" t="inlineStr">
        <is>
          <t>USA</t>
        </is>
      </c>
      <c r="E3687" s="21" t="n">
        <v>186</v>
      </c>
      <c r="F3687" s="21" t="inlineStr">
        <is>
          <t>English</t>
        </is>
      </c>
      <c r="G3687" s="21" t="inlineStr">
        <is>
          <t>R</t>
        </is>
      </c>
      <c r="H3687" s="22" t="n">
        <v>46495</v>
      </c>
      <c r="I3687" s="22" t="n">
        <v>14000000</v>
      </c>
      <c r="J3687" s="21">
        <f>IF(OR(H3687="",H3687=25529689.5),"Yes","No")</f>
        <v/>
      </c>
      <c r="K3687" s="21">
        <f>IF(AND(D3687="USA",C3687&gt;=1980,J3687="No"),"Yes","No")</f>
        <v/>
      </c>
      <c r="L3687" s="26">
        <f>IF(J3687="Yes","",H3687-I3687)</f>
        <v/>
      </c>
      <c r="M3687" s="27">
        <f>IF(OR(J3687="Yes",I3687=0),"",H3687/I3687)</f>
        <v/>
      </c>
      <c r="N3687" s="21">
        <f>IF(J3687="Yes","",IF(H3687&gt;=I3687,1,0))</f>
        <v/>
      </c>
      <c r="O3687" s="21">
        <f>IF(I3687&lt;=5000000,"Under $5M",IF(I3687&lt;=20000000,"$5M-20M",IF(I3687&lt;=50000000,"$20M-50M",IF(I3687&lt;=100000000,"$50M-100M","$100M+"))))</f>
        <v/>
      </c>
      <c r="P3687" s="21">
        <f>IF(E3687&lt;=90,"90 or less",IF(E3687&lt;=105,"91-105",IF(E3687&lt;=120,"106-120",IF(E3687&lt;=140,"121-140","Over 140"))))</f>
        <v/>
      </c>
      <c r="Q3687" s="28">
        <f>INT(C3687/10)*10</f>
        <v/>
      </c>
    </row>
    <row r="3688">
      <c r="A3688" s="21" t="n">
        <v>3763</v>
      </c>
      <c r="B3688" s="21" t="inlineStr">
        <is>
          <t>Margin Call</t>
        </is>
      </c>
      <c r="C3688" s="21" t="n">
        <v>2011</v>
      </c>
      <c r="D3688" s="21" t="inlineStr">
        <is>
          <t>USA</t>
        </is>
      </c>
      <c r="E3688" s="21" t="n">
        <v>107</v>
      </c>
      <c r="F3688" s="21" t="inlineStr">
        <is>
          <t>English</t>
        </is>
      </c>
      <c r="G3688" s="21" t="inlineStr">
        <is>
          <t>R</t>
        </is>
      </c>
      <c r="H3688" s="22" t="n">
        <v>5354039</v>
      </c>
      <c r="I3688" s="22" t="n">
        <v>3500000</v>
      </c>
      <c r="J3688" s="21">
        <f>IF(OR(H3688="",H3688=25529689.5),"Yes","No")</f>
        <v/>
      </c>
      <c r="K3688" s="21">
        <f>IF(AND(D3688="USA",C3688&gt;=1980,J3688="No"),"Yes","No")</f>
        <v/>
      </c>
      <c r="L3688" s="26">
        <f>IF(J3688="Yes","",H3688-I3688)</f>
        <v/>
      </c>
      <c r="M3688" s="27">
        <f>IF(OR(J3688="Yes",I3688=0),"",H3688/I3688)</f>
        <v/>
      </c>
      <c r="N3688" s="21">
        <f>IF(J3688="Yes","",IF(H3688&gt;=I3688,1,0))</f>
        <v/>
      </c>
      <c r="O3688" s="21">
        <f>IF(I3688&lt;=5000000,"Under $5M",IF(I3688&lt;=20000000,"$5M-20M",IF(I3688&lt;=50000000,"$20M-50M",IF(I3688&lt;=100000000,"$50M-100M","$100M+"))))</f>
        <v/>
      </c>
      <c r="P3688" s="21">
        <f>IF(E3688&lt;=90,"90 or less",IF(E3688&lt;=105,"91-105",IF(E3688&lt;=120,"106-120",IF(E3688&lt;=140,"121-140","Over 140"))))</f>
        <v/>
      </c>
      <c r="Q3688" s="28">
        <f>INT(C3688/10)*10</f>
        <v/>
      </c>
    </row>
    <row r="3689">
      <c r="A3689" s="21" t="n">
        <v>3764</v>
      </c>
      <c r="B3689" s="21" t="inlineStr">
        <is>
          <t>Mars Needs Moms</t>
        </is>
      </c>
      <c r="C3689" s="21" t="n">
        <v>2011</v>
      </c>
      <c r="D3689" s="21" t="inlineStr">
        <is>
          <t>USA</t>
        </is>
      </c>
      <c r="E3689" s="21" t="n">
        <v>88</v>
      </c>
      <c r="F3689" s="21" t="inlineStr">
        <is>
          <t>English</t>
        </is>
      </c>
      <c r="G3689" s="21" t="inlineStr">
        <is>
          <t>PG</t>
        </is>
      </c>
      <c r="H3689" s="22" t="n">
        <v>21379315</v>
      </c>
      <c r="I3689" s="22" t="n">
        <v>150000000</v>
      </c>
      <c r="J3689" s="21">
        <f>IF(OR(H3689="",H3689=25529689.5),"Yes","No")</f>
        <v/>
      </c>
      <c r="K3689" s="21">
        <f>IF(AND(D3689="USA",C3689&gt;=1980,J3689="No"),"Yes","No")</f>
        <v/>
      </c>
      <c r="L3689" s="26">
        <f>IF(J3689="Yes","",H3689-I3689)</f>
        <v/>
      </c>
      <c r="M3689" s="27">
        <f>IF(OR(J3689="Yes",I3689=0),"",H3689/I3689)</f>
        <v/>
      </c>
      <c r="N3689" s="21">
        <f>IF(J3689="Yes","",IF(H3689&gt;=I3689,1,0))</f>
        <v/>
      </c>
      <c r="O3689" s="21">
        <f>IF(I3689&lt;=5000000,"Under $5M",IF(I3689&lt;=20000000,"$5M-20M",IF(I3689&lt;=50000000,"$20M-50M",IF(I3689&lt;=100000000,"$50M-100M","$100M+"))))</f>
        <v/>
      </c>
      <c r="P3689" s="21">
        <f>IF(E3689&lt;=90,"90 or less",IF(E3689&lt;=105,"91-105",IF(E3689&lt;=120,"106-120",IF(E3689&lt;=140,"121-140","Over 140"))))</f>
        <v/>
      </c>
      <c r="Q3689" s="28">
        <f>INT(C3689/10)*10</f>
        <v/>
      </c>
    </row>
    <row r="3690">
      <c r="A3690" s="21" t="n">
        <v>3765</v>
      </c>
      <c r="B3690" s="21" t="inlineStr">
        <is>
          <t>Martha Marcy May Marlene</t>
        </is>
      </c>
      <c r="C3690" s="21" t="n">
        <v>2011</v>
      </c>
      <c r="D3690" s="21" t="inlineStr">
        <is>
          <t>USA</t>
        </is>
      </c>
      <c r="E3690" s="21" t="n">
        <v>102</v>
      </c>
      <c r="F3690" s="21" t="inlineStr">
        <is>
          <t>English</t>
        </is>
      </c>
      <c r="G3690" s="21" t="inlineStr">
        <is>
          <t>R</t>
        </is>
      </c>
      <c r="H3690" s="22" t="n">
        <v>2981638</v>
      </c>
      <c r="I3690" s="22" t="n">
        <v>20000000</v>
      </c>
      <c r="J3690" s="21">
        <f>IF(OR(H3690="",H3690=25529689.5),"Yes","No")</f>
        <v/>
      </c>
      <c r="K3690" s="21">
        <f>IF(AND(D3690="USA",C3690&gt;=1980,J3690="No"),"Yes","No")</f>
        <v/>
      </c>
      <c r="L3690" s="26">
        <f>IF(J3690="Yes","",H3690-I3690)</f>
        <v/>
      </c>
      <c r="M3690" s="27">
        <f>IF(OR(J3690="Yes",I3690=0),"",H3690/I3690)</f>
        <v/>
      </c>
      <c r="N3690" s="21">
        <f>IF(J3690="Yes","",IF(H3690&gt;=I3690,1,0))</f>
        <v/>
      </c>
      <c r="O3690" s="21">
        <f>IF(I3690&lt;=5000000,"Under $5M",IF(I3690&lt;=20000000,"$5M-20M",IF(I3690&lt;=50000000,"$20M-50M",IF(I3690&lt;=100000000,"$50M-100M","$100M+"))))</f>
        <v/>
      </c>
      <c r="P3690" s="21">
        <f>IF(E3690&lt;=90,"90 or less",IF(E3690&lt;=105,"91-105",IF(E3690&lt;=120,"106-120",IF(E3690&lt;=140,"121-140","Over 140"))))</f>
        <v/>
      </c>
      <c r="Q3690" s="28">
        <f>INT(C3690/10)*10</f>
        <v/>
      </c>
    </row>
    <row r="3691">
      <c r="A3691" s="21" t="n">
        <v>3766</v>
      </c>
      <c r="B3691" s="21" t="inlineStr">
        <is>
          <t>Melancholia</t>
        </is>
      </c>
      <c r="C3691" s="21" t="n">
        <v>2011</v>
      </c>
      <c r="D3691" s="21" t="inlineStr">
        <is>
          <t>Denmark</t>
        </is>
      </c>
      <c r="E3691" s="21" t="n">
        <v>130</v>
      </c>
      <c r="F3691" s="21" t="inlineStr">
        <is>
          <t>English</t>
        </is>
      </c>
      <c r="G3691" s="21" t="inlineStr">
        <is>
          <t>R</t>
        </is>
      </c>
      <c r="H3691" s="22" t="n">
        <v>3029870</v>
      </c>
      <c r="I3691" s="22" t="n">
        <v>7400000</v>
      </c>
      <c r="J3691" s="21">
        <f>IF(OR(H3691="",H3691=25529689.5),"Yes","No")</f>
        <v/>
      </c>
      <c r="K3691" s="21">
        <f>IF(AND(D3691="USA",C3691&gt;=1980,J3691="No"),"Yes","No")</f>
        <v/>
      </c>
      <c r="L3691" s="26">
        <f>IF(J3691="Yes","",H3691-I3691)</f>
        <v/>
      </c>
      <c r="M3691" s="27">
        <f>IF(OR(J3691="Yes",I3691=0),"",H3691/I3691)</f>
        <v/>
      </c>
      <c r="N3691" s="21">
        <f>IF(J3691="Yes","",IF(H3691&gt;=I3691,1,0))</f>
        <v/>
      </c>
      <c r="O3691" s="21">
        <f>IF(I3691&lt;=5000000,"Under $5M",IF(I3691&lt;=20000000,"$5M-20M",IF(I3691&lt;=50000000,"$20M-50M",IF(I3691&lt;=100000000,"$50M-100M","$100M+"))))</f>
        <v/>
      </c>
      <c r="P3691" s="21">
        <f>IF(E3691&lt;=90,"90 or less",IF(E3691&lt;=105,"91-105",IF(E3691&lt;=120,"106-120",IF(E3691&lt;=140,"121-140","Over 140"))))</f>
        <v/>
      </c>
      <c r="Q3691" s="28">
        <f>INT(C3691/10)*10</f>
        <v/>
      </c>
    </row>
    <row r="3692">
      <c r="A3692" s="21" t="n">
        <v>3767</v>
      </c>
      <c r="B3692" s="21" t="inlineStr">
        <is>
          <t>Midnight in Paris</t>
        </is>
      </c>
      <c r="C3692" s="21" t="n">
        <v>2011</v>
      </c>
      <c r="D3692" s="21" t="inlineStr">
        <is>
          <t>Spain</t>
        </is>
      </c>
      <c r="E3692" s="21" t="n">
        <v>94</v>
      </c>
      <c r="F3692" s="21" t="inlineStr">
        <is>
          <t>English</t>
        </is>
      </c>
      <c r="G3692" s="21" t="inlineStr">
        <is>
          <t>PG-13</t>
        </is>
      </c>
      <c r="H3692" s="22" t="n">
        <v>56816662</v>
      </c>
      <c r="I3692" s="22" t="n">
        <v>17000000</v>
      </c>
      <c r="J3692" s="21">
        <f>IF(OR(H3692="",H3692=25529689.5),"Yes","No")</f>
        <v/>
      </c>
      <c r="K3692" s="21">
        <f>IF(AND(D3692="USA",C3692&gt;=1980,J3692="No"),"Yes","No")</f>
        <v/>
      </c>
      <c r="L3692" s="26">
        <f>IF(J3692="Yes","",H3692-I3692)</f>
        <v/>
      </c>
      <c r="M3692" s="27">
        <f>IF(OR(J3692="Yes",I3692=0),"",H3692/I3692)</f>
        <v/>
      </c>
      <c r="N3692" s="21">
        <f>IF(J3692="Yes","",IF(H3692&gt;=I3692,1,0))</f>
        <v/>
      </c>
      <c r="O3692" s="21">
        <f>IF(I3692&lt;=5000000,"Under $5M",IF(I3692&lt;=20000000,"$5M-20M",IF(I3692&lt;=50000000,"$20M-50M",IF(I3692&lt;=100000000,"$50M-100M","$100M+"))))</f>
        <v/>
      </c>
      <c r="P3692" s="21">
        <f>IF(E3692&lt;=90,"90 or less",IF(E3692&lt;=105,"91-105",IF(E3692&lt;=120,"106-120",IF(E3692&lt;=140,"121-140","Over 140"))))</f>
        <v/>
      </c>
      <c r="Q3692" s="28">
        <f>INT(C3692/10)*10</f>
        <v/>
      </c>
    </row>
    <row r="3693">
      <c r="A3693" s="21" t="n">
        <v>3768</v>
      </c>
      <c r="B3693" s="21" t="inlineStr">
        <is>
          <t>Mission: Impossible - Ghost Protocol</t>
        </is>
      </c>
      <c r="C3693" s="21" t="n">
        <v>2011</v>
      </c>
      <c r="D3693" s="21" t="inlineStr">
        <is>
          <t>USA</t>
        </is>
      </c>
      <c r="E3693" s="21" t="n">
        <v>133</v>
      </c>
      <c r="F3693" s="21" t="inlineStr">
        <is>
          <t>English</t>
        </is>
      </c>
      <c r="G3693" s="21" t="inlineStr">
        <is>
          <t>PG-13</t>
        </is>
      </c>
      <c r="H3693" s="22" t="n">
        <v>209364921</v>
      </c>
      <c r="I3693" s="22" t="n">
        <v>145000000</v>
      </c>
      <c r="J3693" s="21">
        <f>IF(OR(H3693="",H3693=25529689.5),"Yes","No")</f>
        <v/>
      </c>
      <c r="K3693" s="21">
        <f>IF(AND(D3693="USA",C3693&gt;=1980,J3693="No"),"Yes","No")</f>
        <v/>
      </c>
      <c r="L3693" s="26">
        <f>IF(J3693="Yes","",H3693-I3693)</f>
        <v/>
      </c>
      <c r="M3693" s="27">
        <f>IF(OR(J3693="Yes",I3693=0),"",H3693/I3693)</f>
        <v/>
      </c>
      <c r="N3693" s="21">
        <f>IF(J3693="Yes","",IF(H3693&gt;=I3693,1,0))</f>
        <v/>
      </c>
      <c r="O3693" s="21">
        <f>IF(I3693&lt;=5000000,"Under $5M",IF(I3693&lt;=20000000,"$5M-20M",IF(I3693&lt;=50000000,"$20M-50M",IF(I3693&lt;=100000000,"$50M-100M","$100M+"))))</f>
        <v/>
      </c>
      <c r="P3693" s="21">
        <f>IF(E3693&lt;=90,"90 or less",IF(E3693&lt;=105,"91-105",IF(E3693&lt;=120,"106-120",IF(E3693&lt;=140,"121-140","Over 140"))))</f>
        <v/>
      </c>
      <c r="Q3693" s="28">
        <f>INT(C3693/10)*10</f>
        <v/>
      </c>
    </row>
    <row r="3694">
      <c r="A3694" s="21" t="n">
        <v>3769</v>
      </c>
      <c r="B3694" s="21" t="inlineStr">
        <is>
          <t>Moneyball</t>
        </is>
      </c>
      <c r="C3694" s="21" t="n">
        <v>2011</v>
      </c>
      <c r="D3694" s="21" t="inlineStr">
        <is>
          <t>USA</t>
        </is>
      </c>
      <c r="E3694" s="21" t="n">
        <v>133</v>
      </c>
      <c r="F3694" s="21" t="inlineStr">
        <is>
          <t>English</t>
        </is>
      </c>
      <c r="G3694" s="21" t="inlineStr">
        <is>
          <t>PG-13</t>
        </is>
      </c>
      <c r="H3694" s="22" t="n">
        <v>75605492</v>
      </c>
      <c r="I3694" s="22" t="n">
        <v>50000000</v>
      </c>
      <c r="J3694" s="21">
        <f>IF(OR(H3694="",H3694=25529689.5),"Yes","No")</f>
        <v/>
      </c>
      <c r="K3694" s="21">
        <f>IF(AND(D3694="USA",C3694&gt;=1980,J3694="No"),"Yes","No")</f>
        <v/>
      </c>
      <c r="L3694" s="26">
        <f>IF(J3694="Yes","",H3694-I3694)</f>
        <v/>
      </c>
      <c r="M3694" s="27">
        <f>IF(OR(J3694="Yes",I3694=0),"",H3694/I3694)</f>
        <v/>
      </c>
      <c r="N3694" s="21">
        <f>IF(J3694="Yes","",IF(H3694&gt;=I3694,1,0))</f>
        <v/>
      </c>
      <c r="O3694" s="21">
        <f>IF(I3694&lt;=5000000,"Under $5M",IF(I3694&lt;=20000000,"$5M-20M",IF(I3694&lt;=50000000,"$20M-50M",IF(I3694&lt;=100000000,"$50M-100M","$100M+"))))</f>
        <v/>
      </c>
      <c r="P3694" s="21">
        <f>IF(E3694&lt;=90,"90 or less",IF(E3694&lt;=105,"91-105",IF(E3694&lt;=120,"106-120",IF(E3694&lt;=140,"121-140","Over 140"))))</f>
        <v/>
      </c>
      <c r="Q3694" s="28">
        <f>INT(C3694/10)*10</f>
        <v/>
      </c>
    </row>
    <row r="3695">
      <c r="A3695" s="21" t="n">
        <v>3770</v>
      </c>
      <c r="B3695" s="21" t="inlineStr">
        <is>
          <t>Monte Carlo</t>
        </is>
      </c>
      <c r="C3695" s="21" t="n">
        <v>2011</v>
      </c>
      <c r="D3695" s="21" t="inlineStr">
        <is>
          <t>Hungary</t>
        </is>
      </c>
      <c r="E3695" s="21" t="n">
        <v>109</v>
      </c>
      <c r="F3695" s="21" t="inlineStr">
        <is>
          <t>English</t>
        </is>
      </c>
      <c r="G3695" s="21" t="inlineStr">
        <is>
          <t>PG</t>
        </is>
      </c>
      <c r="H3695" s="22" t="n">
        <v>23179303</v>
      </c>
      <c r="I3695" s="22" t="n">
        <v>20000000</v>
      </c>
      <c r="J3695" s="21">
        <f>IF(OR(H3695="",H3695=25529689.5),"Yes","No")</f>
        <v/>
      </c>
      <c r="K3695" s="21">
        <f>IF(AND(D3695="USA",C3695&gt;=1980,J3695="No"),"Yes","No")</f>
        <v/>
      </c>
      <c r="L3695" s="26">
        <f>IF(J3695="Yes","",H3695-I3695)</f>
        <v/>
      </c>
      <c r="M3695" s="27">
        <f>IF(OR(J3695="Yes",I3695=0),"",H3695/I3695)</f>
        <v/>
      </c>
      <c r="N3695" s="21">
        <f>IF(J3695="Yes","",IF(H3695&gt;=I3695,1,0))</f>
        <v/>
      </c>
      <c r="O3695" s="21">
        <f>IF(I3695&lt;=5000000,"Under $5M",IF(I3695&lt;=20000000,"$5M-20M",IF(I3695&lt;=50000000,"$20M-50M",IF(I3695&lt;=100000000,"$50M-100M","$100M+"))))</f>
        <v/>
      </c>
      <c r="P3695" s="21">
        <f>IF(E3695&lt;=90,"90 or less",IF(E3695&lt;=105,"91-105",IF(E3695&lt;=120,"106-120",IF(E3695&lt;=140,"121-140","Over 140"))))</f>
        <v/>
      </c>
      <c r="Q3695" s="28">
        <f>INT(C3695/10)*10</f>
        <v/>
      </c>
    </row>
    <row r="3696">
      <c r="A3696" s="21" t="n">
        <v>3771</v>
      </c>
      <c r="B3696" s="21" t="inlineStr">
        <is>
          <t>Mr. Popper's Penguins</t>
        </is>
      </c>
      <c r="C3696" s="21" t="n">
        <v>2011</v>
      </c>
      <c r="D3696" s="21" t="inlineStr">
        <is>
          <t>USA</t>
        </is>
      </c>
      <c r="E3696" s="21" t="n">
        <v>94</v>
      </c>
      <c r="F3696" s="21" t="inlineStr">
        <is>
          <t>English</t>
        </is>
      </c>
      <c r="G3696" s="21" t="inlineStr">
        <is>
          <t>PG</t>
        </is>
      </c>
      <c r="H3696" s="22" t="n">
        <v>68218041</v>
      </c>
      <c r="I3696" s="22" t="n">
        <v>55000000</v>
      </c>
      <c r="J3696" s="21">
        <f>IF(OR(H3696="",H3696=25529689.5),"Yes","No")</f>
        <v/>
      </c>
      <c r="K3696" s="21">
        <f>IF(AND(D3696="USA",C3696&gt;=1980,J3696="No"),"Yes","No")</f>
        <v/>
      </c>
      <c r="L3696" s="26">
        <f>IF(J3696="Yes","",H3696-I3696)</f>
        <v/>
      </c>
      <c r="M3696" s="27">
        <f>IF(OR(J3696="Yes",I3696=0),"",H3696/I3696)</f>
        <v/>
      </c>
      <c r="N3696" s="21">
        <f>IF(J3696="Yes","",IF(H3696&gt;=I3696,1,0))</f>
        <v/>
      </c>
      <c r="O3696" s="21">
        <f>IF(I3696&lt;=5000000,"Under $5M",IF(I3696&lt;=20000000,"$5M-20M",IF(I3696&lt;=50000000,"$20M-50M",IF(I3696&lt;=100000000,"$50M-100M","$100M+"))))</f>
        <v/>
      </c>
      <c r="P3696" s="21">
        <f>IF(E3696&lt;=90,"90 or less",IF(E3696&lt;=105,"91-105",IF(E3696&lt;=120,"106-120",IF(E3696&lt;=140,"121-140","Over 140"))))</f>
        <v/>
      </c>
      <c r="Q3696" s="28">
        <f>INT(C3696/10)*10</f>
        <v/>
      </c>
    </row>
    <row r="3697">
      <c r="A3697" s="21" t="n">
        <v>3772</v>
      </c>
      <c r="B3697" s="21" t="inlineStr">
        <is>
          <t>My Last Day Without You</t>
        </is>
      </c>
      <c r="C3697" s="21" t="n">
        <v>2011</v>
      </c>
      <c r="D3697" s="21" t="inlineStr">
        <is>
          <t>USA</t>
        </is>
      </c>
      <c r="E3697" s="21" t="n">
        <v>90</v>
      </c>
      <c r="F3697" s="21" t="inlineStr">
        <is>
          <t>English</t>
        </is>
      </c>
      <c r="G3697" s="21" t="n"/>
      <c r="H3697" s="22" t="n">
        <v>25529689.5</v>
      </c>
      <c r="I3697" s="22" t="n">
        <v>1000000</v>
      </c>
      <c r="J3697" s="21">
        <f>IF(OR(H3697="",H3697=25529689.5),"Yes","No")</f>
        <v/>
      </c>
      <c r="K3697" s="21">
        <f>IF(AND(D3697="USA",C3697&gt;=1980,J3697="No"),"Yes","No")</f>
        <v/>
      </c>
      <c r="L3697" s="26">
        <f>IF(J3697="Yes","",H3697-I3697)</f>
        <v/>
      </c>
      <c r="M3697" s="27">
        <f>IF(OR(J3697="Yes",I3697=0),"",H3697/I3697)</f>
        <v/>
      </c>
      <c r="N3697" s="21">
        <f>IF(J3697="Yes","",IF(H3697&gt;=I3697,1,0))</f>
        <v/>
      </c>
      <c r="O3697" s="21">
        <f>IF(I3697&lt;=5000000,"Under $5M",IF(I3697&lt;=20000000,"$5M-20M",IF(I3697&lt;=50000000,"$20M-50M",IF(I3697&lt;=100000000,"$50M-100M","$100M+"))))</f>
        <v/>
      </c>
      <c r="P3697" s="21">
        <f>IF(E3697&lt;=90,"90 or less",IF(E3697&lt;=105,"91-105",IF(E3697&lt;=120,"106-120",IF(E3697&lt;=140,"121-140","Over 140"))))</f>
        <v/>
      </c>
      <c r="Q3697" s="28">
        <f>INT(C3697/10)*10</f>
        <v/>
      </c>
    </row>
    <row r="3698">
      <c r="A3698" s="21" t="n">
        <v>3773</v>
      </c>
      <c r="B3698" s="21" t="inlineStr">
        <is>
          <t>My Week with Marilyn</t>
        </is>
      </c>
      <c r="C3698" s="21" t="n">
        <v>2011</v>
      </c>
      <c r="D3698" s="21" t="inlineStr">
        <is>
          <t>UK</t>
        </is>
      </c>
      <c r="E3698" s="21" t="n">
        <v>99</v>
      </c>
      <c r="F3698" s="21" t="inlineStr">
        <is>
          <t>English</t>
        </is>
      </c>
      <c r="G3698" s="21" t="inlineStr">
        <is>
          <t>R</t>
        </is>
      </c>
      <c r="H3698" s="22" t="n">
        <v>14597405</v>
      </c>
      <c r="I3698" s="22" t="n">
        <v>6400000</v>
      </c>
      <c r="J3698" s="21">
        <f>IF(OR(H3698="",H3698=25529689.5),"Yes","No")</f>
        <v/>
      </c>
      <c r="K3698" s="21">
        <f>IF(AND(D3698="USA",C3698&gt;=1980,J3698="No"),"Yes","No")</f>
        <v/>
      </c>
      <c r="L3698" s="26">
        <f>IF(J3698="Yes","",H3698-I3698)</f>
        <v/>
      </c>
      <c r="M3698" s="27">
        <f>IF(OR(J3698="Yes",I3698=0),"",H3698/I3698)</f>
        <v/>
      </c>
      <c r="N3698" s="21">
        <f>IF(J3698="Yes","",IF(H3698&gt;=I3698,1,0))</f>
        <v/>
      </c>
      <c r="O3698" s="21">
        <f>IF(I3698&lt;=5000000,"Under $5M",IF(I3698&lt;=20000000,"$5M-20M",IF(I3698&lt;=50000000,"$20M-50M",IF(I3698&lt;=100000000,"$50M-100M","$100M+"))))</f>
        <v/>
      </c>
      <c r="P3698" s="21">
        <f>IF(E3698&lt;=90,"90 or less",IF(E3698&lt;=105,"91-105",IF(E3698&lt;=120,"106-120",IF(E3698&lt;=140,"121-140","Over 140"))))</f>
        <v/>
      </c>
      <c r="Q3698" s="28">
        <f>INT(C3698/10)*10</f>
        <v/>
      </c>
    </row>
    <row r="3699">
      <c r="A3699" s="21" t="n">
        <v>3774</v>
      </c>
      <c r="B3699" s="21" t="inlineStr">
        <is>
          <t>Never Back Down 2: The Beatdown</t>
        </is>
      </c>
      <c r="C3699" s="21" t="n">
        <v>2011</v>
      </c>
      <c r="D3699" s="21" t="inlineStr">
        <is>
          <t>USA</t>
        </is>
      </c>
      <c r="E3699" s="21" t="n">
        <v>90</v>
      </c>
      <c r="F3699" s="21" t="inlineStr">
        <is>
          <t>English</t>
        </is>
      </c>
      <c r="G3699" s="21" t="inlineStr">
        <is>
          <t>R</t>
        </is>
      </c>
      <c r="H3699" s="22" t="n">
        <v>25529689.5</v>
      </c>
      <c r="I3699" s="22" t="n">
        <v>3000000</v>
      </c>
      <c r="J3699" s="21">
        <f>IF(OR(H3699="",H3699=25529689.5),"Yes","No")</f>
        <v/>
      </c>
      <c r="K3699" s="21">
        <f>IF(AND(D3699="USA",C3699&gt;=1980,J3699="No"),"Yes","No")</f>
        <v/>
      </c>
      <c r="L3699" s="26">
        <f>IF(J3699="Yes","",H3699-I3699)</f>
        <v/>
      </c>
      <c r="M3699" s="27">
        <f>IF(OR(J3699="Yes",I3699=0),"",H3699/I3699)</f>
        <v/>
      </c>
      <c r="N3699" s="21">
        <f>IF(J3699="Yes","",IF(H3699&gt;=I3699,1,0))</f>
        <v/>
      </c>
      <c r="O3699" s="21">
        <f>IF(I3699&lt;=5000000,"Under $5M",IF(I3699&lt;=20000000,"$5M-20M",IF(I3699&lt;=50000000,"$20M-50M",IF(I3699&lt;=100000000,"$50M-100M","$100M+"))))</f>
        <v/>
      </c>
      <c r="P3699" s="21">
        <f>IF(E3699&lt;=90,"90 or less",IF(E3699&lt;=105,"91-105",IF(E3699&lt;=120,"106-120",IF(E3699&lt;=140,"121-140","Over 140"))))</f>
        <v/>
      </c>
      <c r="Q3699" s="28">
        <f>INT(C3699/10)*10</f>
        <v/>
      </c>
    </row>
    <row r="3700">
      <c r="A3700" s="21" t="n">
        <v>3775</v>
      </c>
      <c r="B3700" s="21" t="inlineStr">
        <is>
          <t>New Year's Eve</t>
        </is>
      </c>
      <c r="C3700" s="21" t="n">
        <v>2011</v>
      </c>
      <c r="D3700" s="21" t="inlineStr">
        <is>
          <t>USA</t>
        </is>
      </c>
      <c r="E3700" s="21" t="n">
        <v>113</v>
      </c>
      <c r="F3700" s="21" t="inlineStr">
        <is>
          <t>English</t>
        </is>
      </c>
      <c r="G3700" s="21" t="inlineStr">
        <is>
          <t>PG-13</t>
        </is>
      </c>
      <c r="H3700" s="22" t="n">
        <v>54540525</v>
      </c>
      <c r="I3700" s="22" t="n">
        <v>56000000</v>
      </c>
      <c r="J3700" s="21">
        <f>IF(OR(H3700="",H3700=25529689.5),"Yes","No")</f>
        <v/>
      </c>
      <c r="K3700" s="21">
        <f>IF(AND(D3700="USA",C3700&gt;=1980,J3700="No"),"Yes","No")</f>
        <v/>
      </c>
      <c r="L3700" s="26">
        <f>IF(J3700="Yes","",H3700-I3700)</f>
        <v/>
      </c>
      <c r="M3700" s="27">
        <f>IF(OR(J3700="Yes",I3700=0),"",H3700/I3700)</f>
        <v/>
      </c>
      <c r="N3700" s="21">
        <f>IF(J3700="Yes","",IF(H3700&gt;=I3700,1,0))</f>
        <v/>
      </c>
      <c r="O3700" s="21">
        <f>IF(I3700&lt;=5000000,"Under $5M",IF(I3700&lt;=20000000,"$5M-20M",IF(I3700&lt;=50000000,"$20M-50M",IF(I3700&lt;=100000000,"$50M-100M","$100M+"))))</f>
        <v/>
      </c>
      <c r="P3700" s="21">
        <f>IF(E3700&lt;=90,"90 or less",IF(E3700&lt;=105,"91-105",IF(E3700&lt;=120,"106-120",IF(E3700&lt;=140,"121-140","Over 140"))))</f>
        <v/>
      </c>
      <c r="Q3700" s="28">
        <f>INT(C3700/10)*10</f>
        <v/>
      </c>
    </row>
    <row r="3701">
      <c r="A3701" s="21" t="n">
        <v>3776</v>
      </c>
      <c r="B3701" s="21" t="inlineStr">
        <is>
          <t>Newlyweds</t>
        </is>
      </c>
      <c r="C3701" s="21" t="n">
        <v>2011</v>
      </c>
      <c r="D3701" s="21" t="inlineStr">
        <is>
          <t>USA</t>
        </is>
      </c>
      <c r="E3701" s="21" t="n">
        <v>95</v>
      </c>
      <c r="F3701" s="21" t="inlineStr">
        <is>
          <t>English</t>
        </is>
      </c>
      <c r="G3701" s="21" t="inlineStr">
        <is>
          <t>Not Rated</t>
        </is>
      </c>
      <c r="H3701" s="22" t="n">
        <v>4584</v>
      </c>
      <c r="I3701" s="22" t="n">
        <v>9000</v>
      </c>
      <c r="J3701" s="21">
        <f>IF(OR(H3701="",H3701=25529689.5),"Yes","No")</f>
        <v/>
      </c>
      <c r="K3701" s="21">
        <f>IF(AND(D3701="USA",C3701&gt;=1980,J3701="No"),"Yes","No")</f>
        <v/>
      </c>
      <c r="L3701" s="26">
        <f>IF(J3701="Yes","",H3701-I3701)</f>
        <v/>
      </c>
      <c r="M3701" s="27">
        <f>IF(OR(J3701="Yes",I3701=0),"",H3701/I3701)</f>
        <v/>
      </c>
      <c r="N3701" s="21">
        <f>IF(J3701="Yes","",IF(H3701&gt;=I3701,1,0))</f>
        <v/>
      </c>
      <c r="O3701" s="21">
        <f>IF(I3701&lt;=5000000,"Under $5M",IF(I3701&lt;=20000000,"$5M-20M",IF(I3701&lt;=50000000,"$20M-50M",IF(I3701&lt;=100000000,"$50M-100M","$100M+"))))</f>
        <v/>
      </c>
      <c r="P3701" s="21">
        <f>IF(E3701&lt;=90,"90 or less",IF(E3701&lt;=105,"91-105",IF(E3701&lt;=120,"106-120",IF(E3701&lt;=140,"121-140","Over 140"))))</f>
        <v/>
      </c>
      <c r="Q3701" s="28">
        <f>INT(C3701/10)*10</f>
        <v/>
      </c>
    </row>
    <row r="3702">
      <c r="A3702" s="21" t="n">
        <v>3777</v>
      </c>
      <c r="B3702" s="21" t="inlineStr">
        <is>
          <t>No Strings Attached</t>
        </is>
      </c>
      <c r="C3702" s="21" t="n">
        <v>2011</v>
      </c>
      <c r="D3702" s="21" t="inlineStr">
        <is>
          <t>USA</t>
        </is>
      </c>
      <c r="E3702" s="21" t="n">
        <v>108</v>
      </c>
      <c r="F3702" s="21" t="inlineStr">
        <is>
          <t>English</t>
        </is>
      </c>
      <c r="G3702" s="21" t="inlineStr">
        <is>
          <t>R</t>
        </is>
      </c>
      <c r="H3702" s="22" t="n">
        <v>70625986</v>
      </c>
      <c r="I3702" s="22" t="n">
        <v>25000000</v>
      </c>
      <c r="J3702" s="21">
        <f>IF(OR(H3702="",H3702=25529689.5),"Yes","No")</f>
        <v/>
      </c>
      <c r="K3702" s="21">
        <f>IF(AND(D3702="USA",C3702&gt;=1980,J3702="No"),"Yes","No")</f>
        <v/>
      </c>
      <c r="L3702" s="26">
        <f>IF(J3702="Yes","",H3702-I3702)</f>
        <v/>
      </c>
      <c r="M3702" s="27">
        <f>IF(OR(J3702="Yes",I3702=0),"",H3702/I3702)</f>
        <v/>
      </c>
      <c r="N3702" s="21">
        <f>IF(J3702="Yes","",IF(H3702&gt;=I3702,1,0))</f>
        <v/>
      </c>
      <c r="O3702" s="21">
        <f>IF(I3702&lt;=5000000,"Under $5M",IF(I3702&lt;=20000000,"$5M-20M",IF(I3702&lt;=50000000,"$20M-50M",IF(I3702&lt;=100000000,"$50M-100M","$100M+"))))</f>
        <v/>
      </c>
      <c r="P3702" s="21">
        <f>IF(E3702&lt;=90,"90 or less",IF(E3702&lt;=105,"91-105",IF(E3702&lt;=120,"106-120",IF(E3702&lt;=140,"121-140","Over 140"))))</f>
        <v/>
      </c>
      <c r="Q3702" s="28">
        <f>INT(C3702/10)*10</f>
        <v/>
      </c>
    </row>
    <row r="3703">
      <c r="A3703" s="21" t="n">
        <v>3778</v>
      </c>
      <c r="B3703" s="21" t="inlineStr">
        <is>
          <t>October Baby</t>
        </is>
      </c>
      <c r="C3703" s="21" t="n">
        <v>2011</v>
      </c>
      <c r="D3703" s="21" t="inlineStr">
        <is>
          <t>USA</t>
        </is>
      </c>
      <c r="E3703" s="21" t="n">
        <v>107</v>
      </c>
      <c r="F3703" s="21" t="inlineStr">
        <is>
          <t>English</t>
        </is>
      </c>
      <c r="G3703" s="21" t="inlineStr">
        <is>
          <t>PG-13</t>
        </is>
      </c>
      <c r="H3703" s="22" t="n">
        <v>5355847</v>
      </c>
      <c r="I3703" s="22" t="n">
        <v>20000000</v>
      </c>
      <c r="J3703" s="21">
        <f>IF(OR(H3703="",H3703=25529689.5),"Yes","No")</f>
        <v/>
      </c>
      <c r="K3703" s="21">
        <f>IF(AND(D3703="USA",C3703&gt;=1980,J3703="No"),"Yes","No")</f>
        <v/>
      </c>
      <c r="L3703" s="26">
        <f>IF(J3703="Yes","",H3703-I3703)</f>
        <v/>
      </c>
      <c r="M3703" s="27">
        <f>IF(OR(J3703="Yes",I3703=0),"",H3703/I3703)</f>
        <v/>
      </c>
      <c r="N3703" s="21">
        <f>IF(J3703="Yes","",IF(H3703&gt;=I3703,1,0))</f>
        <v/>
      </c>
      <c r="O3703" s="21">
        <f>IF(I3703&lt;=5000000,"Under $5M",IF(I3703&lt;=20000000,"$5M-20M",IF(I3703&lt;=50000000,"$20M-50M",IF(I3703&lt;=100000000,"$50M-100M","$100M+"))))</f>
        <v/>
      </c>
      <c r="P3703" s="21">
        <f>IF(E3703&lt;=90,"90 or less",IF(E3703&lt;=105,"91-105",IF(E3703&lt;=120,"106-120",IF(E3703&lt;=140,"121-140","Over 140"))))</f>
        <v/>
      </c>
      <c r="Q3703" s="28">
        <f>INT(C3703/10)*10</f>
        <v/>
      </c>
    </row>
    <row r="3704">
      <c r="A3704" s="21" t="n">
        <v>3779</v>
      </c>
      <c r="B3704" s="21" t="inlineStr">
        <is>
          <t>One Day</t>
        </is>
      </c>
      <c r="C3704" s="21" t="n">
        <v>2011</v>
      </c>
      <c r="D3704" s="21" t="inlineStr">
        <is>
          <t>USA</t>
        </is>
      </c>
      <c r="E3704" s="21" t="n">
        <v>107</v>
      </c>
      <c r="F3704" s="21" t="inlineStr">
        <is>
          <t>English</t>
        </is>
      </c>
      <c r="G3704" s="21" t="inlineStr">
        <is>
          <t>PG-13</t>
        </is>
      </c>
      <c r="H3704" s="22" t="n">
        <v>13766014</v>
      </c>
      <c r="I3704" s="22" t="n">
        <v>15000000</v>
      </c>
      <c r="J3704" s="21">
        <f>IF(OR(H3704="",H3704=25529689.5),"Yes","No")</f>
        <v/>
      </c>
      <c r="K3704" s="21">
        <f>IF(AND(D3704="USA",C3704&gt;=1980,J3704="No"),"Yes","No")</f>
        <v/>
      </c>
      <c r="L3704" s="26">
        <f>IF(J3704="Yes","",H3704-I3704)</f>
        <v/>
      </c>
      <c r="M3704" s="27">
        <f>IF(OR(J3704="Yes",I3704=0),"",H3704/I3704)</f>
        <v/>
      </c>
      <c r="N3704" s="21">
        <f>IF(J3704="Yes","",IF(H3704&gt;=I3704,1,0))</f>
        <v/>
      </c>
      <c r="O3704" s="21">
        <f>IF(I3704&lt;=5000000,"Under $5M",IF(I3704&lt;=20000000,"$5M-20M",IF(I3704&lt;=50000000,"$20M-50M",IF(I3704&lt;=100000000,"$50M-100M","$100M+"))))</f>
        <v/>
      </c>
      <c r="P3704" s="21">
        <f>IF(E3704&lt;=90,"90 or less",IF(E3704&lt;=105,"91-105",IF(E3704&lt;=120,"106-120",IF(E3704&lt;=140,"121-140","Over 140"))))</f>
        <v/>
      </c>
      <c r="Q3704" s="28">
        <f>INT(C3704/10)*10</f>
        <v/>
      </c>
    </row>
    <row r="3705">
      <c r="A3705" s="21" t="n">
        <v>3780</v>
      </c>
      <c r="B3705" s="21" t="inlineStr">
        <is>
          <t>Our Idiot Brother</t>
        </is>
      </c>
      <c r="C3705" s="21" t="n">
        <v>2011</v>
      </c>
      <c r="D3705" s="21" t="inlineStr">
        <is>
          <t>USA</t>
        </is>
      </c>
      <c r="E3705" s="21" t="n">
        <v>90</v>
      </c>
      <c r="F3705" s="21" t="inlineStr">
        <is>
          <t>English</t>
        </is>
      </c>
      <c r="G3705" s="21" t="inlineStr">
        <is>
          <t>R</t>
        </is>
      </c>
      <c r="H3705" s="22" t="n">
        <v>24809547</v>
      </c>
      <c r="I3705" s="22" t="n">
        <v>5000000</v>
      </c>
      <c r="J3705" s="21">
        <f>IF(OR(H3705="",H3705=25529689.5),"Yes","No")</f>
        <v/>
      </c>
      <c r="K3705" s="21">
        <f>IF(AND(D3705="USA",C3705&gt;=1980,J3705="No"),"Yes","No")</f>
        <v/>
      </c>
      <c r="L3705" s="26">
        <f>IF(J3705="Yes","",H3705-I3705)</f>
        <v/>
      </c>
      <c r="M3705" s="27">
        <f>IF(OR(J3705="Yes",I3705=0),"",H3705/I3705)</f>
        <v/>
      </c>
      <c r="N3705" s="21">
        <f>IF(J3705="Yes","",IF(H3705&gt;=I3705,1,0))</f>
        <v/>
      </c>
      <c r="O3705" s="21">
        <f>IF(I3705&lt;=5000000,"Under $5M",IF(I3705&lt;=20000000,"$5M-20M",IF(I3705&lt;=50000000,"$20M-50M",IF(I3705&lt;=100000000,"$50M-100M","$100M+"))))</f>
        <v/>
      </c>
      <c r="P3705" s="21">
        <f>IF(E3705&lt;=90,"90 or less",IF(E3705&lt;=105,"91-105",IF(E3705&lt;=120,"106-120",IF(E3705&lt;=140,"121-140","Over 140"))))</f>
        <v/>
      </c>
      <c r="Q3705" s="28">
        <f>INT(C3705/10)*10</f>
        <v/>
      </c>
    </row>
    <row r="3706">
      <c r="A3706" s="21" t="n">
        <v>3781</v>
      </c>
      <c r="B3706" s="21" t="inlineStr">
        <is>
          <t>Paranormal Activity 3</t>
        </is>
      </c>
      <c r="C3706" s="21" t="n">
        <v>2011</v>
      </c>
      <c r="D3706" s="21" t="inlineStr">
        <is>
          <t>USA</t>
        </is>
      </c>
      <c r="E3706" s="21" t="n">
        <v>94</v>
      </c>
      <c r="F3706" s="21" t="inlineStr">
        <is>
          <t>English</t>
        </is>
      </c>
      <c r="G3706" s="21" t="inlineStr">
        <is>
          <t>R</t>
        </is>
      </c>
      <c r="H3706" s="22" t="n">
        <v>104007828</v>
      </c>
      <c r="I3706" s="22" t="n">
        <v>5000000</v>
      </c>
      <c r="J3706" s="21">
        <f>IF(OR(H3706="",H3706=25529689.5),"Yes","No")</f>
        <v/>
      </c>
      <c r="K3706" s="21">
        <f>IF(AND(D3706="USA",C3706&gt;=1980,J3706="No"),"Yes","No")</f>
        <v/>
      </c>
      <c r="L3706" s="26">
        <f>IF(J3706="Yes","",H3706-I3706)</f>
        <v/>
      </c>
      <c r="M3706" s="27">
        <f>IF(OR(J3706="Yes",I3706=0),"",H3706/I3706)</f>
        <v/>
      </c>
      <c r="N3706" s="21">
        <f>IF(J3706="Yes","",IF(H3706&gt;=I3706,1,0))</f>
        <v/>
      </c>
      <c r="O3706" s="21">
        <f>IF(I3706&lt;=5000000,"Under $5M",IF(I3706&lt;=20000000,"$5M-20M",IF(I3706&lt;=50000000,"$20M-50M",IF(I3706&lt;=100000000,"$50M-100M","$100M+"))))</f>
        <v/>
      </c>
      <c r="P3706" s="21">
        <f>IF(E3706&lt;=90,"90 or less",IF(E3706&lt;=105,"91-105",IF(E3706&lt;=120,"106-120",IF(E3706&lt;=140,"121-140","Over 140"))))</f>
        <v/>
      </c>
      <c r="Q3706" s="28">
        <f>INT(C3706/10)*10</f>
        <v/>
      </c>
    </row>
    <row r="3707">
      <c r="A3707" s="21" t="n">
        <v>3782</v>
      </c>
      <c r="B3707" s="21" t="inlineStr">
        <is>
          <t>Paul</t>
        </is>
      </c>
      <c r="C3707" s="21" t="n">
        <v>2011</v>
      </c>
      <c r="D3707" s="21" t="inlineStr">
        <is>
          <t>USA</t>
        </is>
      </c>
      <c r="E3707" s="21" t="n">
        <v>109</v>
      </c>
      <c r="F3707" s="21" t="inlineStr">
        <is>
          <t>English</t>
        </is>
      </c>
      <c r="G3707" s="21" t="inlineStr">
        <is>
          <t>R</t>
        </is>
      </c>
      <c r="H3707" s="22" t="n">
        <v>37371385</v>
      </c>
      <c r="I3707" s="22" t="n">
        <v>40000000</v>
      </c>
      <c r="J3707" s="21">
        <f>IF(OR(H3707="",H3707=25529689.5),"Yes","No")</f>
        <v/>
      </c>
      <c r="K3707" s="21">
        <f>IF(AND(D3707="USA",C3707&gt;=1980,J3707="No"),"Yes","No")</f>
        <v/>
      </c>
      <c r="L3707" s="26">
        <f>IF(J3707="Yes","",H3707-I3707)</f>
        <v/>
      </c>
      <c r="M3707" s="27">
        <f>IF(OR(J3707="Yes",I3707=0),"",H3707/I3707)</f>
        <v/>
      </c>
      <c r="N3707" s="21">
        <f>IF(J3707="Yes","",IF(H3707&gt;=I3707,1,0))</f>
        <v/>
      </c>
      <c r="O3707" s="21">
        <f>IF(I3707&lt;=5000000,"Under $5M",IF(I3707&lt;=20000000,"$5M-20M",IF(I3707&lt;=50000000,"$20M-50M",IF(I3707&lt;=100000000,"$50M-100M","$100M+"))))</f>
        <v/>
      </c>
      <c r="P3707" s="21">
        <f>IF(E3707&lt;=90,"90 or less",IF(E3707&lt;=105,"91-105",IF(E3707&lt;=120,"106-120",IF(E3707&lt;=140,"121-140","Over 140"))))</f>
        <v/>
      </c>
      <c r="Q3707" s="28">
        <f>INT(C3707/10)*10</f>
        <v/>
      </c>
    </row>
    <row r="3708">
      <c r="A3708" s="21" t="n">
        <v>3783</v>
      </c>
      <c r="B3708" s="21" t="inlineStr">
        <is>
          <t>Pink Ribbons, Inc.</t>
        </is>
      </c>
      <c r="C3708" s="21" t="n">
        <v>2011</v>
      </c>
      <c r="D3708" s="21" t="inlineStr">
        <is>
          <t>Canada</t>
        </is>
      </c>
      <c r="E3708" s="21" t="n">
        <v>97</v>
      </c>
      <c r="F3708" s="21" t="inlineStr">
        <is>
          <t>English</t>
        </is>
      </c>
      <c r="G3708" s="21" t="inlineStr">
        <is>
          <t>Not Rated</t>
        </is>
      </c>
      <c r="H3708" s="22" t="n">
        <v>24784</v>
      </c>
      <c r="I3708" s="22" t="n">
        <v>1200000</v>
      </c>
      <c r="J3708" s="21">
        <f>IF(OR(H3708="",H3708=25529689.5),"Yes","No")</f>
        <v/>
      </c>
      <c r="K3708" s="21">
        <f>IF(AND(D3708="USA",C3708&gt;=1980,J3708="No"),"Yes","No")</f>
        <v/>
      </c>
      <c r="L3708" s="26">
        <f>IF(J3708="Yes","",H3708-I3708)</f>
        <v/>
      </c>
      <c r="M3708" s="27">
        <f>IF(OR(J3708="Yes",I3708=0),"",H3708/I3708)</f>
        <v/>
      </c>
      <c r="N3708" s="21">
        <f>IF(J3708="Yes","",IF(H3708&gt;=I3708,1,0))</f>
        <v/>
      </c>
      <c r="O3708" s="21">
        <f>IF(I3708&lt;=5000000,"Under $5M",IF(I3708&lt;=20000000,"$5M-20M",IF(I3708&lt;=50000000,"$20M-50M",IF(I3708&lt;=100000000,"$50M-100M","$100M+"))))</f>
        <v/>
      </c>
      <c r="P3708" s="21">
        <f>IF(E3708&lt;=90,"90 or less",IF(E3708&lt;=105,"91-105",IF(E3708&lt;=120,"106-120",IF(E3708&lt;=140,"121-140","Over 140"))))</f>
        <v/>
      </c>
      <c r="Q3708" s="28">
        <f>INT(C3708/10)*10</f>
        <v/>
      </c>
    </row>
    <row r="3709">
      <c r="A3709" s="21" t="n">
        <v>3784</v>
      </c>
      <c r="B3709" s="21" t="inlineStr">
        <is>
          <t>Pirates of the Caribbean: On Stranger Tides</t>
        </is>
      </c>
      <c r="C3709" s="21" t="n">
        <v>2011</v>
      </c>
      <c r="D3709" s="21" t="inlineStr">
        <is>
          <t>USA</t>
        </is>
      </c>
      <c r="E3709" s="21" t="n">
        <v>136</v>
      </c>
      <c r="F3709" s="21" t="inlineStr">
        <is>
          <t>English</t>
        </is>
      </c>
      <c r="G3709" s="21" t="inlineStr">
        <is>
          <t>PG-13</t>
        </is>
      </c>
      <c r="H3709" s="22" t="n">
        <v>241063875</v>
      </c>
      <c r="I3709" s="22" t="n">
        <v>250000000</v>
      </c>
      <c r="J3709" s="21">
        <f>IF(OR(H3709="",H3709=25529689.5),"Yes","No")</f>
        <v/>
      </c>
      <c r="K3709" s="21">
        <f>IF(AND(D3709="USA",C3709&gt;=1980,J3709="No"),"Yes","No")</f>
        <v/>
      </c>
      <c r="L3709" s="26">
        <f>IF(J3709="Yes","",H3709-I3709)</f>
        <v/>
      </c>
      <c r="M3709" s="27">
        <f>IF(OR(J3709="Yes",I3709=0),"",H3709/I3709)</f>
        <v/>
      </c>
      <c r="N3709" s="21">
        <f>IF(J3709="Yes","",IF(H3709&gt;=I3709,1,0))</f>
        <v/>
      </c>
      <c r="O3709" s="21">
        <f>IF(I3709&lt;=5000000,"Under $5M",IF(I3709&lt;=20000000,"$5M-20M",IF(I3709&lt;=50000000,"$20M-50M",IF(I3709&lt;=100000000,"$50M-100M","$100M+"))))</f>
        <v/>
      </c>
      <c r="P3709" s="21">
        <f>IF(E3709&lt;=90,"90 or less",IF(E3709&lt;=105,"91-105",IF(E3709&lt;=120,"106-120",IF(E3709&lt;=140,"121-140","Over 140"))))</f>
        <v/>
      </c>
      <c r="Q3709" s="28">
        <f>INT(C3709/10)*10</f>
        <v/>
      </c>
    </row>
    <row r="3710">
      <c r="A3710" s="21" t="n">
        <v>3785</v>
      </c>
      <c r="B3710" s="21" t="inlineStr">
        <is>
          <t>Polisse</t>
        </is>
      </c>
      <c r="C3710" s="21" t="n">
        <v>2011</v>
      </c>
      <c r="D3710" s="21" t="inlineStr">
        <is>
          <t>France</t>
        </is>
      </c>
      <c r="E3710" s="21" t="n">
        <v>127</v>
      </c>
      <c r="F3710" s="21" t="inlineStr">
        <is>
          <t>French</t>
        </is>
      </c>
      <c r="G3710" s="21" t="inlineStr">
        <is>
          <t>Not Rated</t>
        </is>
      </c>
      <c r="H3710" s="22" t="n">
        <v>171320</v>
      </c>
      <c r="I3710" s="22" t="n">
        <v>20000000</v>
      </c>
      <c r="J3710" s="21">
        <f>IF(OR(H3710="",H3710=25529689.5),"Yes","No")</f>
        <v/>
      </c>
      <c r="K3710" s="21">
        <f>IF(AND(D3710="USA",C3710&gt;=1980,J3710="No"),"Yes","No")</f>
        <v/>
      </c>
      <c r="L3710" s="26">
        <f>IF(J3710="Yes","",H3710-I3710)</f>
        <v/>
      </c>
      <c r="M3710" s="27">
        <f>IF(OR(J3710="Yes",I3710=0),"",H3710/I3710)</f>
        <v/>
      </c>
      <c r="N3710" s="21">
        <f>IF(J3710="Yes","",IF(H3710&gt;=I3710,1,0))</f>
        <v/>
      </c>
      <c r="O3710" s="21">
        <f>IF(I3710&lt;=5000000,"Under $5M",IF(I3710&lt;=20000000,"$5M-20M",IF(I3710&lt;=50000000,"$20M-50M",IF(I3710&lt;=100000000,"$50M-100M","$100M+"))))</f>
        <v/>
      </c>
      <c r="P3710" s="21">
        <f>IF(E3710&lt;=90,"90 or less",IF(E3710&lt;=105,"91-105",IF(E3710&lt;=120,"106-120",IF(E3710&lt;=140,"121-140","Over 140"))))</f>
        <v/>
      </c>
      <c r="Q3710" s="28">
        <f>INT(C3710/10)*10</f>
        <v/>
      </c>
    </row>
    <row r="3711">
      <c r="A3711" s="21" t="n">
        <v>3786</v>
      </c>
      <c r="B3711" s="21" t="inlineStr">
        <is>
          <t>Priest</t>
        </is>
      </c>
      <c r="C3711" s="21" t="n">
        <v>2011</v>
      </c>
      <c r="D3711" s="21" t="inlineStr">
        <is>
          <t>USA</t>
        </is>
      </c>
      <c r="E3711" s="21" t="n">
        <v>87</v>
      </c>
      <c r="F3711" s="21" t="inlineStr">
        <is>
          <t>English</t>
        </is>
      </c>
      <c r="G3711" s="21" t="inlineStr">
        <is>
          <t>PG-13</t>
        </is>
      </c>
      <c r="H3711" s="22" t="n">
        <v>29136626</v>
      </c>
      <c r="I3711" s="22" t="n">
        <v>60000000</v>
      </c>
      <c r="J3711" s="21">
        <f>IF(OR(H3711="",H3711=25529689.5),"Yes","No")</f>
        <v/>
      </c>
      <c r="K3711" s="21">
        <f>IF(AND(D3711="USA",C3711&gt;=1980,J3711="No"),"Yes","No")</f>
        <v/>
      </c>
      <c r="L3711" s="26">
        <f>IF(J3711="Yes","",H3711-I3711)</f>
        <v/>
      </c>
      <c r="M3711" s="27">
        <f>IF(OR(J3711="Yes",I3711=0),"",H3711/I3711)</f>
        <v/>
      </c>
      <c r="N3711" s="21">
        <f>IF(J3711="Yes","",IF(H3711&gt;=I3711,1,0))</f>
        <v/>
      </c>
      <c r="O3711" s="21">
        <f>IF(I3711&lt;=5000000,"Under $5M",IF(I3711&lt;=20000000,"$5M-20M",IF(I3711&lt;=50000000,"$20M-50M",IF(I3711&lt;=100000000,"$50M-100M","$100M+"))))</f>
        <v/>
      </c>
      <c r="P3711" s="21">
        <f>IF(E3711&lt;=90,"90 or less",IF(E3711&lt;=105,"91-105",IF(E3711&lt;=120,"106-120",IF(E3711&lt;=140,"121-140","Over 140"))))</f>
        <v/>
      </c>
      <c r="Q3711" s="28">
        <f>INT(C3711/10)*10</f>
        <v/>
      </c>
    </row>
    <row r="3712">
      <c r="A3712" s="21" t="n">
        <v>3787</v>
      </c>
      <c r="B3712" s="21" t="inlineStr">
        <is>
          <t>Prom</t>
        </is>
      </c>
      <c r="C3712" s="21" t="n">
        <v>2011</v>
      </c>
      <c r="D3712" s="21" t="inlineStr">
        <is>
          <t>USA</t>
        </is>
      </c>
      <c r="E3712" s="21" t="n">
        <v>104</v>
      </c>
      <c r="F3712" s="21" t="inlineStr">
        <is>
          <t>English</t>
        </is>
      </c>
      <c r="G3712" s="21" t="inlineStr">
        <is>
          <t>PG</t>
        </is>
      </c>
      <c r="H3712" s="22" t="n">
        <v>10106233</v>
      </c>
      <c r="I3712" s="22" t="n">
        <v>8000000</v>
      </c>
      <c r="J3712" s="21">
        <f>IF(OR(H3712="",H3712=25529689.5),"Yes","No")</f>
        <v/>
      </c>
      <c r="K3712" s="21">
        <f>IF(AND(D3712="USA",C3712&gt;=1980,J3712="No"),"Yes","No")</f>
        <v/>
      </c>
      <c r="L3712" s="26">
        <f>IF(J3712="Yes","",H3712-I3712)</f>
        <v/>
      </c>
      <c r="M3712" s="27">
        <f>IF(OR(J3712="Yes",I3712=0),"",H3712/I3712)</f>
        <v/>
      </c>
      <c r="N3712" s="21">
        <f>IF(J3712="Yes","",IF(H3712&gt;=I3712,1,0))</f>
        <v/>
      </c>
      <c r="O3712" s="21">
        <f>IF(I3712&lt;=5000000,"Under $5M",IF(I3712&lt;=20000000,"$5M-20M",IF(I3712&lt;=50000000,"$20M-50M",IF(I3712&lt;=100000000,"$50M-100M","$100M+"))))</f>
        <v/>
      </c>
      <c r="P3712" s="21">
        <f>IF(E3712&lt;=90,"90 or less",IF(E3712&lt;=105,"91-105",IF(E3712&lt;=120,"106-120",IF(E3712&lt;=140,"121-140","Over 140"))))</f>
        <v/>
      </c>
      <c r="Q3712" s="28">
        <f>INT(C3712/10)*10</f>
        <v/>
      </c>
    </row>
    <row r="3713">
      <c r="A3713" s="21" t="n">
        <v>3788</v>
      </c>
      <c r="B3713" s="21" t="inlineStr">
        <is>
          <t>Puss in Boots</t>
        </is>
      </c>
      <c r="C3713" s="21" t="n">
        <v>2011</v>
      </c>
      <c r="D3713" s="21" t="inlineStr">
        <is>
          <t>USA</t>
        </is>
      </c>
      <c r="E3713" s="21" t="n">
        <v>90</v>
      </c>
      <c r="F3713" s="21" t="inlineStr">
        <is>
          <t>English</t>
        </is>
      </c>
      <c r="G3713" s="21" t="inlineStr">
        <is>
          <t>PG</t>
        </is>
      </c>
      <c r="H3713" s="22" t="n">
        <v>149234747</v>
      </c>
      <c r="I3713" s="22" t="n">
        <v>130000000</v>
      </c>
      <c r="J3713" s="21">
        <f>IF(OR(H3713="",H3713=25529689.5),"Yes","No")</f>
        <v/>
      </c>
      <c r="K3713" s="21">
        <f>IF(AND(D3713="USA",C3713&gt;=1980,J3713="No"),"Yes","No")</f>
        <v/>
      </c>
      <c r="L3713" s="26">
        <f>IF(J3713="Yes","",H3713-I3713)</f>
        <v/>
      </c>
      <c r="M3713" s="27">
        <f>IF(OR(J3713="Yes",I3713=0),"",H3713/I3713)</f>
        <v/>
      </c>
      <c r="N3713" s="21">
        <f>IF(J3713="Yes","",IF(H3713&gt;=I3713,1,0))</f>
        <v/>
      </c>
      <c r="O3713" s="21">
        <f>IF(I3713&lt;=5000000,"Under $5M",IF(I3713&lt;=20000000,"$5M-20M",IF(I3713&lt;=50000000,"$20M-50M",IF(I3713&lt;=100000000,"$50M-100M","$100M+"))))</f>
        <v/>
      </c>
      <c r="P3713" s="21">
        <f>IF(E3713&lt;=90,"90 or less",IF(E3713&lt;=105,"91-105",IF(E3713&lt;=120,"106-120",IF(E3713&lt;=140,"121-140","Over 140"))))</f>
        <v/>
      </c>
      <c r="Q3713" s="28">
        <f>INT(C3713/10)*10</f>
        <v/>
      </c>
    </row>
    <row r="3714">
      <c r="A3714" s="21" t="n">
        <v>3789</v>
      </c>
      <c r="B3714" s="21" t="inlineStr">
        <is>
          <t>Q</t>
        </is>
      </c>
      <c r="C3714" s="21" t="n">
        <v>2011</v>
      </c>
      <c r="D3714" s="21" t="inlineStr">
        <is>
          <t>France</t>
        </is>
      </c>
      <c r="E3714" s="21" t="n">
        <v>103</v>
      </c>
      <c r="F3714" s="21" t="inlineStr">
        <is>
          <t>French</t>
        </is>
      </c>
      <c r="G3714" s="21" t="n"/>
      <c r="H3714" s="22" t="n">
        <v>25529689.5</v>
      </c>
      <c r="I3714" s="22" t="n">
        <v>1500000</v>
      </c>
      <c r="J3714" s="21">
        <f>IF(OR(H3714="",H3714=25529689.5),"Yes","No")</f>
        <v/>
      </c>
      <c r="K3714" s="21">
        <f>IF(AND(D3714="USA",C3714&gt;=1980,J3714="No"),"Yes","No")</f>
        <v/>
      </c>
      <c r="L3714" s="26">
        <f>IF(J3714="Yes","",H3714-I3714)</f>
        <v/>
      </c>
      <c r="M3714" s="27">
        <f>IF(OR(J3714="Yes",I3714=0),"",H3714/I3714)</f>
        <v/>
      </c>
      <c r="N3714" s="21">
        <f>IF(J3714="Yes","",IF(H3714&gt;=I3714,1,0))</f>
        <v/>
      </c>
      <c r="O3714" s="21">
        <f>IF(I3714&lt;=5000000,"Under $5M",IF(I3714&lt;=20000000,"$5M-20M",IF(I3714&lt;=50000000,"$20M-50M",IF(I3714&lt;=100000000,"$50M-100M","$100M+"))))</f>
        <v/>
      </c>
      <c r="P3714" s="21">
        <f>IF(E3714&lt;=90,"90 or less",IF(E3714&lt;=105,"91-105",IF(E3714&lt;=120,"106-120",IF(E3714&lt;=140,"121-140","Over 140"))))</f>
        <v/>
      </c>
      <c r="Q3714" s="28">
        <f>INT(C3714/10)*10</f>
        <v/>
      </c>
    </row>
    <row r="3715">
      <c r="A3715" s="21" t="n">
        <v>3790</v>
      </c>
      <c r="B3715" s="21" t="inlineStr">
        <is>
          <t>Rango</t>
        </is>
      </c>
      <c r="C3715" s="21" t="n">
        <v>2011</v>
      </c>
      <c r="D3715" s="21" t="inlineStr">
        <is>
          <t>USA</t>
        </is>
      </c>
      <c r="E3715" s="21" t="n">
        <v>107</v>
      </c>
      <c r="F3715" s="21" t="inlineStr">
        <is>
          <t>English</t>
        </is>
      </c>
      <c r="G3715" s="21" t="inlineStr">
        <is>
          <t>PG</t>
        </is>
      </c>
      <c r="H3715" s="22" t="n">
        <v>123207194</v>
      </c>
      <c r="I3715" s="22" t="n">
        <v>135000000</v>
      </c>
      <c r="J3715" s="21">
        <f>IF(OR(H3715="",H3715=25529689.5),"Yes","No")</f>
        <v/>
      </c>
      <c r="K3715" s="21">
        <f>IF(AND(D3715="USA",C3715&gt;=1980,J3715="No"),"Yes","No")</f>
        <v/>
      </c>
      <c r="L3715" s="26">
        <f>IF(J3715="Yes","",H3715-I3715)</f>
        <v/>
      </c>
      <c r="M3715" s="27">
        <f>IF(OR(J3715="Yes",I3715=0),"",H3715/I3715)</f>
        <v/>
      </c>
      <c r="N3715" s="21">
        <f>IF(J3715="Yes","",IF(H3715&gt;=I3715,1,0))</f>
        <v/>
      </c>
      <c r="O3715" s="21">
        <f>IF(I3715&lt;=5000000,"Under $5M",IF(I3715&lt;=20000000,"$5M-20M",IF(I3715&lt;=50000000,"$20M-50M",IF(I3715&lt;=100000000,"$50M-100M","$100M+"))))</f>
        <v/>
      </c>
      <c r="P3715" s="21">
        <f>IF(E3715&lt;=90,"90 or less",IF(E3715&lt;=105,"91-105",IF(E3715&lt;=120,"106-120",IF(E3715&lt;=140,"121-140","Over 140"))))</f>
        <v/>
      </c>
      <c r="Q3715" s="28">
        <f>INT(C3715/10)*10</f>
        <v/>
      </c>
    </row>
    <row r="3716">
      <c r="A3716" s="21" t="n">
        <v>3791</v>
      </c>
      <c r="B3716" s="21" t="inlineStr">
        <is>
          <t>Raymond Did It</t>
        </is>
      </c>
      <c r="C3716" s="21" t="n">
        <v>2011</v>
      </c>
      <c r="D3716" s="21" t="inlineStr">
        <is>
          <t>USA</t>
        </is>
      </c>
      <c r="E3716" s="21" t="n">
        <v>83</v>
      </c>
      <c r="F3716" s="21" t="inlineStr">
        <is>
          <t>English</t>
        </is>
      </c>
      <c r="G3716" s="21" t="inlineStr">
        <is>
          <t>Unrated</t>
        </is>
      </c>
      <c r="H3716" s="22" t="n">
        <v>25529689.5</v>
      </c>
      <c r="I3716" s="22" t="n">
        <v>40000</v>
      </c>
      <c r="J3716" s="21">
        <f>IF(OR(H3716="",H3716=25529689.5),"Yes","No")</f>
        <v/>
      </c>
      <c r="K3716" s="21">
        <f>IF(AND(D3716="USA",C3716&gt;=1980,J3716="No"),"Yes","No")</f>
        <v/>
      </c>
      <c r="L3716" s="26">
        <f>IF(J3716="Yes","",H3716-I3716)</f>
        <v/>
      </c>
      <c r="M3716" s="27">
        <f>IF(OR(J3716="Yes",I3716=0),"",H3716/I3716)</f>
        <v/>
      </c>
      <c r="N3716" s="21">
        <f>IF(J3716="Yes","",IF(H3716&gt;=I3716,1,0))</f>
        <v/>
      </c>
      <c r="O3716" s="21">
        <f>IF(I3716&lt;=5000000,"Under $5M",IF(I3716&lt;=20000000,"$5M-20M",IF(I3716&lt;=50000000,"$20M-50M",IF(I3716&lt;=100000000,"$50M-100M","$100M+"))))</f>
        <v/>
      </c>
      <c r="P3716" s="21">
        <f>IF(E3716&lt;=90,"90 or less",IF(E3716&lt;=105,"91-105",IF(E3716&lt;=120,"106-120",IF(E3716&lt;=140,"121-140","Over 140"))))</f>
        <v/>
      </c>
      <c r="Q3716" s="28">
        <f>INT(C3716/10)*10</f>
        <v/>
      </c>
    </row>
    <row r="3717">
      <c r="A3717" s="21" t="n">
        <v>3792</v>
      </c>
      <c r="B3717" s="21" t="inlineStr">
        <is>
          <t>Real Steel</t>
        </is>
      </c>
      <c r="C3717" s="21" t="n">
        <v>2011</v>
      </c>
      <c r="D3717" s="21" t="inlineStr">
        <is>
          <t>USA</t>
        </is>
      </c>
      <c r="E3717" s="21" t="n">
        <v>127</v>
      </c>
      <c r="F3717" s="21" t="inlineStr">
        <is>
          <t>English</t>
        </is>
      </c>
      <c r="G3717" s="21" t="inlineStr">
        <is>
          <t>PG-13</t>
        </is>
      </c>
      <c r="H3717" s="22" t="n">
        <v>85463309</v>
      </c>
      <c r="I3717" s="22" t="n">
        <v>110000000</v>
      </c>
      <c r="J3717" s="21">
        <f>IF(OR(H3717="",H3717=25529689.5),"Yes","No")</f>
        <v/>
      </c>
      <c r="K3717" s="21">
        <f>IF(AND(D3717="USA",C3717&gt;=1980,J3717="No"),"Yes","No")</f>
        <v/>
      </c>
      <c r="L3717" s="26">
        <f>IF(J3717="Yes","",H3717-I3717)</f>
        <v/>
      </c>
      <c r="M3717" s="27">
        <f>IF(OR(J3717="Yes",I3717=0),"",H3717/I3717)</f>
        <v/>
      </c>
      <c r="N3717" s="21">
        <f>IF(J3717="Yes","",IF(H3717&gt;=I3717,1,0))</f>
        <v/>
      </c>
      <c r="O3717" s="21">
        <f>IF(I3717&lt;=5000000,"Under $5M",IF(I3717&lt;=20000000,"$5M-20M",IF(I3717&lt;=50000000,"$20M-50M",IF(I3717&lt;=100000000,"$50M-100M","$100M+"))))</f>
        <v/>
      </c>
      <c r="P3717" s="21">
        <f>IF(E3717&lt;=90,"90 or less",IF(E3717&lt;=105,"91-105",IF(E3717&lt;=120,"106-120",IF(E3717&lt;=140,"121-140","Over 140"))))</f>
        <v/>
      </c>
      <c r="Q3717" s="28">
        <f>INT(C3717/10)*10</f>
        <v/>
      </c>
    </row>
    <row r="3718">
      <c r="A3718" s="21" t="n">
        <v>3793</v>
      </c>
      <c r="B3718" s="21" t="inlineStr">
        <is>
          <t>Red Dog</t>
        </is>
      </c>
      <c r="C3718" s="21" t="n">
        <v>2011</v>
      </c>
      <c r="D3718" s="21" t="inlineStr">
        <is>
          <t>Australia</t>
        </is>
      </c>
      <c r="E3718" s="21" t="n">
        <v>92</v>
      </c>
      <c r="F3718" s="21" t="inlineStr">
        <is>
          <t>English</t>
        </is>
      </c>
      <c r="G3718" s="21" t="inlineStr">
        <is>
          <t>PG</t>
        </is>
      </c>
      <c r="H3718" s="22" t="n">
        <v>25529689.5</v>
      </c>
      <c r="I3718" s="22" t="n">
        <v>8500000</v>
      </c>
      <c r="J3718" s="21">
        <f>IF(OR(H3718="",H3718=25529689.5),"Yes","No")</f>
        <v/>
      </c>
      <c r="K3718" s="21">
        <f>IF(AND(D3718="USA",C3718&gt;=1980,J3718="No"),"Yes","No")</f>
        <v/>
      </c>
      <c r="L3718" s="26">
        <f>IF(J3718="Yes","",H3718-I3718)</f>
        <v/>
      </c>
      <c r="M3718" s="27">
        <f>IF(OR(J3718="Yes",I3718=0),"",H3718/I3718)</f>
        <v/>
      </c>
      <c r="N3718" s="21">
        <f>IF(J3718="Yes","",IF(H3718&gt;=I3718,1,0))</f>
        <v/>
      </c>
      <c r="O3718" s="21">
        <f>IF(I3718&lt;=5000000,"Under $5M",IF(I3718&lt;=20000000,"$5M-20M",IF(I3718&lt;=50000000,"$20M-50M",IF(I3718&lt;=100000000,"$50M-100M","$100M+"))))</f>
        <v/>
      </c>
      <c r="P3718" s="21">
        <f>IF(E3718&lt;=90,"90 or less",IF(E3718&lt;=105,"91-105",IF(E3718&lt;=120,"106-120",IF(E3718&lt;=140,"121-140","Over 140"))))</f>
        <v/>
      </c>
      <c r="Q3718" s="28">
        <f>INT(C3718/10)*10</f>
        <v/>
      </c>
    </row>
    <row r="3719">
      <c r="A3719" s="21" t="n">
        <v>3794</v>
      </c>
      <c r="B3719" s="21" t="inlineStr">
        <is>
          <t>Red Riding Hood</t>
        </is>
      </c>
      <c r="C3719" s="21" t="n">
        <v>2011</v>
      </c>
      <c r="D3719" s="21" t="inlineStr">
        <is>
          <t>USA</t>
        </is>
      </c>
      <c r="E3719" s="21" t="n">
        <v>100</v>
      </c>
      <c r="F3719" s="21" t="inlineStr">
        <is>
          <t>English</t>
        </is>
      </c>
      <c r="G3719" s="21" t="inlineStr">
        <is>
          <t>PG-13</t>
        </is>
      </c>
      <c r="H3719" s="22" t="n">
        <v>37652565</v>
      </c>
      <c r="I3719" s="22" t="n">
        <v>42000000</v>
      </c>
      <c r="J3719" s="21">
        <f>IF(OR(H3719="",H3719=25529689.5),"Yes","No")</f>
        <v/>
      </c>
      <c r="K3719" s="21">
        <f>IF(AND(D3719="USA",C3719&gt;=1980,J3719="No"),"Yes","No")</f>
        <v/>
      </c>
      <c r="L3719" s="26">
        <f>IF(J3719="Yes","",H3719-I3719)</f>
        <v/>
      </c>
      <c r="M3719" s="27">
        <f>IF(OR(J3719="Yes",I3719=0),"",H3719/I3719)</f>
        <v/>
      </c>
      <c r="N3719" s="21">
        <f>IF(J3719="Yes","",IF(H3719&gt;=I3719,1,0))</f>
        <v/>
      </c>
      <c r="O3719" s="21">
        <f>IF(I3719&lt;=5000000,"Under $5M",IF(I3719&lt;=20000000,"$5M-20M",IF(I3719&lt;=50000000,"$20M-50M",IF(I3719&lt;=100000000,"$50M-100M","$100M+"))))</f>
        <v/>
      </c>
      <c r="P3719" s="21">
        <f>IF(E3719&lt;=90,"90 or less",IF(E3719&lt;=105,"91-105",IF(E3719&lt;=120,"106-120",IF(E3719&lt;=140,"121-140","Over 140"))))</f>
        <v/>
      </c>
      <c r="Q3719" s="28">
        <f>INT(C3719/10)*10</f>
        <v/>
      </c>
    </row>
    <row r="3720">
      <c r="A3720" s="21" t="n">
        <v>3795</v>
      </c>
      <c r="B3720" s="21" t="inlineStr">
        <is>
          <t>Red State</t>
        </is>
      </c>
      <c r="C3720" s="21" t="n">
        <v>2011</v>
      </c>
      <c r="D3720" s="21" t="inlineStr">
        <is>
          <t>USA</t>
        </is>
      </c>
      <c r="E3720" s="21" t="n">
        <v>88</v>
      </c>
      <c r="F3720" s="21" t="inlineStr">
        <is>
          <t>English</t>
        </is>
      </c>
      <c r="G3720" s="21" t="inlineStr">
        <is>
          <t>R</t>
        </is>
      </c>
      <c r="H3720" s="22" t="n">
        <v>25529689.5</v>
      </c>
      <c r="I3720" s="22" t="n">
        <v>4000000</v>
      </c>
      <c r="J3720" s="21">
        <f>IF(OR(H3720="",H3720=25529689.5),"Yes","No")</f>
        <v/>
      </c>
      <c r="K3720" s="21">
        <f>IF(AND(D3720="USA",C3720&gt;=1980,J3720="No"),"Yes","No")</f>
        <v/>
      </c>
      <c r="L3720" s="26">
        <f>IF(J3720="Yes","",H3720-I3720)</f>
        <v/>
      </c>
      <c r="M3720" s="27">
        <f>IF(OR(J3720="Yes",I3720=0),"",H3720/I3720)</f>
        <v/>
      </c>
      <c r="N3720" s="21">
        <f>IF(J3720="Yes","",IF(H3720&gt;=I3720,1,0))</f>
        <v/>
      </c>
      <c r="O3720" s="21">
        <f>IF(I3720&lt;=5000000,"Under $5M",IF(I3720&lt;=20000000,"$5M-20M",IF(I3720&lt;=50000000,"$20M-50M",IF(I3720&lt;=100000000,"$50M-100M","$100M+"))))</f>
        <v/>
      </c>
      <c r="P3720" s="21">
        <f>IF(E3720&lt;=90,"90 or less",IF(E3720&lt;=105,"91-105",IF(E3720&lt;=120,"106-120",IF(E3720&lt;=140,"121-140","Over 140"))))</f>
        <v/>
      </c>
      <c r="Q3720" s="28">
        <f>INT(C3720/10)*10</f>
        <v/>
      </c>
    </row>
    <row r="3721">
      <c r="A3721" s="21" t="n">
        <v>3796</v>
      </c>
      <c r="B3721" s="21" t="inlineStr">
        <is>
          <t>Rio</t>
        </is>
      </c>
      <c r="C3721" s="21" t="n">
        <v>2011</v>
      </c>
      <c r="D3721" s="21" t="inlineStr">
        <is>
          <t>USA</t>
        </is>
      </c>
      <c r="E3721" s="21" t="n">
        <v>96</v>
      </c>
      <c r="F3721" s="21" t="inlineStr">
        <is>
          <t>English</t>
        </is>
      </c>
      <c r="G3721" s="21" t="inlineStr">
        <is>
          <t>G</t>
        </is>
      </c>
      <c r="H3721" s="22" t="n">
        <v>143618384</v>
      </c>
      <c r="I3721" s="22" t="n">
        <v>90000000</v>
      </c>
      <c r="J3721" s="21">
        <f>IF(OR(H3721="",H3721=25529689.5),"Yes","No")</f>
        <v/>
      </c>
      <c r="K3721" s="21">
        <f>IF(AND(D3721="USA",C3721&gt;=1980,J3721="No"),"Yes","No")</f>
        <v/>
      </c>
      <c r="L3721" s="26">
        <f>IF(J3721="Yes","",H3721-I3721)</f>
        <v/>
      </c>
      <c r="M3721" s="27">
        <f>IF(OR(J3721="Yes",I3721=0),"",H3721/I3721)</f>
        <v/>
      </c>
      <c r="N3721" s="21">
        <f>IF(J3721="Yes","",IF(H3721&gt;=I3721,1,0))</f>
        <v/>
      </c>
      <c r="O3721" s="21">
        <f>IF(I3721&lt;=5000000,"Under $5M",IF(I3721&lt;=20000000,"$5M-20M",IF(I3721&lt;=50000000,"$20M-50M",IF(I3721&lt;=100000000,"$50M-100M","$100M+"))))</f>
        <v/>
      </c>
      <c r="P3721" s="21">
        <f>IF(E3721&lt;=90,"90 or less",IF(E3721&lt;=105,"91-105",IF(E3721&lt;=120,"106-120",IF(E3721&lt;=140,"121-140","Over 140"))))</f>
        <v/>
      </c>
      <c r="Q3721" s="28">
        <f>INT(C3721/10)*10</f>
        <v/>
      </c>
    </row>
    <row r="3722">
      <c r="A3722" s="21" t="n">
        <v>3797</v>
      </c>
      <c r="B3722" s="21" t="inlineStr">
        <is>
          <t>Rise of the Planet of the Apes</t>
        </is>
      </c>
      <c r="C3722" s="21" t="n">
        <v>2011</v>
      </c>
      <c r="D3722" s="21" t="inlineStr">
        <is>
          <t>USA</t>
        </is>
      </c>
      <c r="E3722" s="21" t="n">
        <v>105</v>
      </c>
      <c r="F3722" s="21" t="inlineStr">
        <is>
          <t>English</t>
        </is>
      </c>
      <c r="G3722" s="21" t="inlineStr">
        <is>
          <t>PG-13</t>
        </is>
      </c>
      <c r="H3722" s="22" t="n">
        <v>176740650</v>
      </c>
      <c r="I3722" s="22" t="n">
        <v>93000000</v>
      </c>
      <c r="J3722" s="21">
        <f>IF(OR(H3722="",H3722=25529689.5),"Yes","No")</f>
        <v/>
      </c>
      <c r="K3722" s="21">
        <f>IF(AND(D3722="USA",C3722&gt;=1980,J3722="No"),"Yes","No")</f>
        <v/>
      </c>
      <c r="L3722" s="26">
        <f>IF(J3722="Yes","",H3722-I3722)</f>
        <v/>
      </c>
      <c r="M3722" s="27">
        <f>IF(OR(J3722="Yes",I3722=0),"",H3722/I3722)</f>
        <v/>
      </c>
      <c r="N3722" s="21">
        <f>IF(J3722="Yes","",IF(H3722&gt;=I3722,1,0))</f>
        <v/>
      </c>
      <c r="O3722" s="21">
        <f>IF(I3722&lt;=5000000,"Under $5M",IF(I3722&lt;=20000000,"$5M-20M",IF(I3722&lt;=50000000,"$20M-50M",IF(I3722&lt;=100000000,"$50M-100M","$100M+"))))</f>
        <v/>
      </c>
      <c r="P3722" s="21">
        <f>IF(E3722&lt;=90,"90 or less",IF(E3722&lt;=105,"91-105",IF(E3722&lt;=120,"106-120",IF(E3722&lt;=140,"121-140","Over 140"))))</f>
        <v/>
      </c>
      <c r="Q3722" s="28">
        <f>INT(C3722/10)*10</f>
        <v/>
      </c>
    </row>
    <row r="3723">
      <c r="A3723" s="21" t="n">
        <v>3798</v>
      </c>
      <c r="B3723" s="21" t="inlineStr">
        <is>
          <t>Salvation Boulevard</t>
        </is>
      </c>
      <c r="C3723" s="21" t="n">
        <v>2011</v>
      </c>
      <c r="D3723" s="21" t="inlineStr">
        <is>
          <t>USA</t>
        </is>
      </c>
      <c r="E3723" s="21" t="n">
        <v>96</v>
      </c>
      <c r="F3723" s="21" t="inlineStr">
        <is>
          <t>English</t>
        </is>
      </c>
      <c r="G3723" s="21" t="inlineStr">
        <is>
          <t>R</t>
        </is>
      </c>
      <c r="H3723" s="22" t="n">
        <v>27445</v>
      </c>
      <c r="I3723" s="22" t="n">
        <v>9000000</v>
      </c>
      <c r="J3723" s="21">
        <f>IF(OR(H3723="",H3723=25529689.5),"Yes","No")</f>
        <v/>
      </c>
      <c r="K3723" s="21">
        <f>IF(AND(D3723="USA",C3723&gt;=1980,J3723="No"),"Yes","No")</f>
        <v/>
      </c>
      <c r="L3723" s="26">
        <f>IF(J3723="Yes","",H3723-I3723)</f>
        <v/>
      </c>
      <c r="M3723" s="27">
        <f>IF(OR(J3723="Yes",I3723=0),"",H3723/I3723)</f>
        <v/>
      </c>
      <c r="N3723" s="21">
        <f>IF(J3723="Yes","",IF(H3723&gt;=I3723,1,0))</f>
        <v/>
      </c>
      <c r="O3723" s="21">
        <f>IF(I3723&lt;=5000000,"Under $5M",IF(I3723&lt;=20000000,"$5M-20M",IF(I3723&lt;=50000000,"$20M-50M",IF(I3723&lt;=100000000,"$50M-100M","$100M+"))))</f>
        <v/>
      </c>
      <c r="P3723" s="21">
        <f>IF(E3723&lt;=90,"90 or less",IF(E3723&lt;=105,"91-105",IF(E3723&lt;=120,"106-120",IF(E3723&lt;=140,"121-140","Over 140"))))</f>
        <v/>
      </c>
      <c r="Q3723" s="28">
        <f>INT(C3723/10)*10</f>
        <v/>
      </c>
    </row>
    <row r="3724">
      <c r="A3724" s="21" t="n">
        <v>3799</v>
      </c>
      <c r="B3724" s="21" t="inlineStr">
        <is>
          <t>Samsara</t>
        </is>
      </c>
      <c r="C3724" s="21" t="n">
        <v>2011</v>
      </c>
      <c r="D3724" s="21" t="inlineStr">
        <is>
          <t>USA</t>
        </is>
      </c>
      <c r="E3724" s="21" t="n">
        <v>102</v>
      </c>
      <c r="F3724" s="21" t="n"/>
      <c r="G3724" s="21" t="inlineStr">
        <is>
          <t>PG-13</t>
        </is>
      </c>
      <c r="H3724" s="22" t="n">
        <v>2601847</v>
      </c>
      <c r="I3724" s="22" t="n">
        <v>4000000</v>
      </c>
      <c r="J3724" s="21">
        <f>IF(OR(H3724="",H3724=25529689.5),"Yes","No")</f>
        <v/>
      </c>
      <c r="K3724" s="21">
        <f>IF(AND(D3724="USA",C3724&gt;=1980,J3724="No"),"Yes","No")</f>
        <v/>
      </c>
      <c r="L3724" s="26">
        <f>IF(J3724="Yes","",H3724-I3724)</f>
        <v/>
      </c>
      <c r="M3724" s="27">
        <f>IF(OR(J3724="Yes",I3724=0),"",H3724/I3724)</f>
        <v/>
      </c>
      <c r="N3724" s="21">
        <f>IF(J3724="Yes","",IF(H3724&gt;=I3724,1,0))</f>
        <v/>
      </c>
      <c r="O3724" s="21">
        <f>IF(I3724&lt;=5000000,"Under $5M",IF(I3724&lt;=20000000,"$5M-20M",IF(I3724&lt;=50000000,"$20M-50M",IF(I3724&lt;=100000000,"$50M-100M","$100M+"))))</f>
        <v/>
      </c>
      <c r="P3724" s="21">
        <f>IF(E3724&lt;=90,"90 or less",IF(E3724&lt;=105,"91-105",IF(E3724&lt;=120,"106-120",IF(E3724&lt;=140,"121-140","Over 140"))))</f>
        <v/>
      </c>
      <c r="Q3724" s="28">
        <f>INT(C3724/10)*10</f>
        <v/>
      </c>
    </row>
    <row r="3725">
      <c r="A3725" s="21" t="n">
        <v>3800</v>
      </c>
      <c r="B3725" s="21" t="inlineStr">
        <is>
          <t>Sanctum</t>
        </is>
      </c>
      <c r="C3725" s="21" t="n">
        <v>2011</v>
      </c>
      <c r="D3725" s="21" t="inlineStr">
        <is>
          <t>USA</t>
        </is>
      </c>
      <c r="E3725" s="21" t="n">
        <v>108</v>
      </c>
      <c r="F3725" s="21" t="inlineStr">
        <is>
          <t>English</t>
        </is>
      </c>
      <c r="G3725" s="21" t="inlineStr">
        <is>
          <t>R</t>
        </is>
      </c>
      <c r="H3725" s="22" t="n">
        <v>23070045</v>
      </c>
      <c r="I3725" s="22" t="n">
        <v>30000000</v>
      </c>
      <c r="J3725" s="21">
        <f>IF(OR(H3725="",H3725=25529689.5),"Yes","No")</f>
        <v/>
      </c>
      <c r="K3725" s="21">
        <f>IF(AND(D3725="USA",C3725&gt;=1980,J3725="No"),"Yes","No")</f>
        <v/>
      </c>
      <c r="L3725" s="26">
        <f>IF(J3725="Yes","",H3725-I3725)</f>
        <v/>
      </c>
      <c r="M3725" s="27">
        <f>IF(OR(J3725="Yes",I3725=0),"",H3725/I3725)</f>
        <v/>
      </c>
      <c r="N3725" s="21">
        <f>IF(J3725="Yes","",IF(H3725&gt;=I3725,1,0))</f>
        <v/>
      </c>
      <c r="O3725" s="21">
        <f>IF(I3725&lt;=5000000,"Under $5M",IF(I3725&lt;=20000000,"$5M-20M",IF(I3725&lt;=50000000,"$20M-50M",IF(I3725&lt;=100000000,"$50M-100M","$100M+"))))</f>
        <v/>
      </c>
      <c r="P3725" s="21">
        <f>IF(E3725&lt;=90,"90 or less",IF(E3725&lt;=105,"91-105",IF(E3725&lt;=120,"106-120",IF(E3725&lt;=140,"121-140","Over 140"))))</f>
        <v/>
      </c>
      <c r="Q3725" s="28">
        <f>INT(C3725/10)*10</f>
        <v/>
      </c>
    </row>
    <row r="3726">
      <c r="A3726" s="21" t="n">
        <v>3801</v>
      </c>
      <c r="B3726" s="21" t="inlineStr">
        <is>
          <t>Saving Private Perez</t>
        </is>
      </c>
      <c r="C3726" s="21" t="n">
        <v>2011</v>
      </c>
      <c r="D3726" s="21" t="inlineStr">
        <is>
          <t>Mexico</t>
        </is>
      </c>
      <c r="E3726" s="21" t="n">
        <v>105</v>
      </c>
      <c r="F3726" s="21" t="inlineStr">
        <is>
          <t>Spanish</t>
        </is>
      </c>
      <c r="G3726" s="21" t="inlineStr">
        <is>
          <t>PG-13</t>
        </is>
      </c>
      <c r="H3726" s="22" t="n">
        <v>1391770</v>
      </c>
      <c r="I3726" s="22" t="n">
        <v>20000000</v>
      </c>
      <c r="J3726" s="21">
        <f>IF(OR(H3726="",H3726=25529689.5),"Yes","No")</f>
        <v/>
      </c>
      <c r="K3726" s="21">
        <f>IF(AND(D3726="USA",C3726&gt;=1980,J3726="No"),"Yes","No")</f>
        <v/>
      </c>
      <c r="L3726" s="26">
        <f>IF(J3726="Yes","",H3726-I3726)</f>
        <v/>
      </c>
      <c r="M3726" s="27">
        <f>IF(OR(J3726="Yes",I3726=0),"",H3726/I3726)</f>
        <v/>
      </c>
      <c r="N3726" s="21">
        <f>IF(J3726="Yes","",IF(H3726&gt;=I3726,1,0))</f>
        <v/>
      </c>
      <c r="O3726" s="21">
        <f>IF(I3726&lt;=5000000,"Under $5M",IF(I3726&lt;=20000000,"$5M-20M",IF(I3726&lt;=50000000,"$20M-50M",IF(I3726&lt;=100000000,"$50M-100M","$100M+"))))</f>
        <v/>
      </c>
      <c r="P3726" s="21">
        <f>IF(E3726&lt;=90,"90 or less",IF(E3726&lt;=105,"91-105",IF(E3726&lt;=120,"106-120",IF(E3726&lt;=140,"121-140","Over 140"))))</f>
        <v/>
      </c>
      <c r="Q3726" s="28">
        <f>INT(C3726/10)*10</f>
        <v/>
      </c>
    </row>
    <row r="3727">
      <c r="A3727" s="21" t="n">
        <v>3802</v>
      </c>
      <c r="B3727" s="21" t="inlineStr">
        <is>
          <t>Scream 4</t>
        </is>
      </c>
      <c r="C3727" s="21" t="n">
        <v>2011</v>
      </c>
      <c r="D3727" s="21" t="inlineStr">
        <is>
          <t>USA</t>
        </is>
      </c>
      <c r="E3727" s="21" t="n">
        <v>111</v>
      </c>
      <c r="F3727" s="21" t="inlineStr">
        <is>
          <t>English</t>
        </is>
      </c>
      <c r="G3727" s="21" t="inlineStr">
        <is>
          <t>R</t>
        </is>
      </c>
      <c r="H3727" s="22" t="n">
        <v>38176892</v>
      </c>
      <c r="I3727" s="22" t="n">
        <v>40000000</v>
      </c>
      <c r="J3727" s="21">
        <f>IF(OR(H3727="",H3727=25529689.5),"Yes","No")</f>
        <v/>
      </c>
      <c r="K3727" s="21">
        <f>IF(AND(D3727="USA",C3727&gt;=1980,J3727="No"),"Yes","No")</f>
        <v/>
      </c>
      <c r="L3727" s="26">
        <f>IF(J3727="Yes","",H3727-I3727)</f>
        <v/>
      </c>
      <c r="M3727" s="27">
        <f>IF(OR(J3727="Yes",I3727=0),"",H3727/I3727)</f>
        <v/>
      </c>
      <c r="N3727" s="21">
        <f>IF(J3727="Yes","",IF(H3727&gt;=I3727,1,0))</f>
        <v/>
      </c>
      <c r="O3727" s="21">
        <f>IF(I3727&lt;=5000000,"Under $5M",IF(I3727&lt;=20000000,"$5M-20M",IF(I3727&lt;=50000000,"$20M-50M",IF(I3727&lt;=100000000,"$50M-100M","$100M+"))))</f>
        <v/>
      </c>
      <c r="P3727" s="21">
        <f>IF(E3727&lt;=90,"90 or less",IF(E3727&lt;=105,"91-105",IF(E3727&lt;=120,"106-120",IF(E3727&lt;=140,"121-140","Over 140"))))</f>
        <v/>
      </c>
      <c r="Q3727" s="28">
        <f>INT(C3727/10)*10</f>
        <v/>
      </c>
    </row>
    <row r="3728">
      <c r="A3728" s="21" t="n">
        <v>3803</v>
      </c>
      <c r="B3728" s="21" t="inlineStr">
        <is>
          <t>Shame</t>
        </is>
      </c>
      <c r="C3728" s="21" t="n">
        <v>2011</v>
      </c>
      <c r="D3728" s="21" t="inlineStr">
        <is>
          <t>UK</t>
        </is>
      </c>
      <c r="E3728" s="21" t="n">
        <v>101</v>
      </c>
      <c r="F3728" s="21" t="inlineStr">
        <is>
          <t>English</t>
        </is>
      </c>
      <c r="G3728" s="21" t="inlineStr">
        <is>
          <t>NC-17</t>
        </is>
      </c>
      <c r="H3728" s="22" t="n">
        <v>4000304</v>
      </c>
      <c r="I3728" s="22" t="n">
        <v>6500000</v>
      </c>
      <c r="J3728" s="21">
        <f>IF(OR(H3728="",H3728=25529689.5),"Yes","No")</f>
        <v/>
      </c>
      <c r="K3728" s="21">
        <f>IF(AND(D3728="USA",C3728&gt;=1980,J3728="No"),"Yes","No")</f>
        <v/>
      </c>
      <c r="L3728" s="26">
        <f>IF(J3728="Yes","",H3728-I3728)</f>
        <v/>
      </c>
      <c r="M3728" s="27">
        <f>IF(OR(J3728="Yes",I3728=0),"",H3728/I3728)</f>
        <v/>
      </c>
      <c r="N3728" s="21">
        <f>IF(J3728="Yes","",IF(H3728&gt;=I3728,1,0))</f>
        <v/>
      </c>
      <c r="O3728" s="21">
        <f>IF(I3728&lt;=5000000,"Under $5M",IF(I3728&lt;=20000000,"$5M-20M",IF(I3728&lt;=50000000,"$20M-50M",IF(I3728&lt;=100000000,"$50M-100M","$100M+"))))</f>
        <v/>
      </c>
      <c r="P3728" s="21">
        <f>IF(E3728&lt;=90,"90 or less",IF(E3728&lt;=105,"91-105",IF(E3728&lt;=120,"106-120",IF(E3728&lt;=140,"121-140","Over 140"))))</f>
        <v/>
      </c>
      <c r="Q3728" s="28">
        <f>INT(C3728/10)*10</f>
        <v/>
      </c>
    </row>
    <row r="3729">
      <c r="A3729" s="21" t="n">
        <v>3804</v>
      </c>
      <c r="B3729" s="21" t="inlineStr">
        <is>
          <t>Shark Night 3D</t>
        </is>
      </c>
      <c r="C3729" s="21" t="n">
        <v>2011</v>
      </c>
      <c r="D3729" s="21" t="inlineStr">
        <is>
          <t>USA</t>
        </is>
      </c>
      <c r="E3729" s="21" t="n">
        <v>90</v>
      </c>
      <c r="F3729" s="21" t="inlineStr">
        <is>
          <t>English</t>
        </is>
      </c>
      <c r="G3729" s="21" t="inlineStr">
        <is>
          <t>PG-13</t>
        </is>
      </c>
      <c r="H3729" s="22" t="n">
        <v>18860403</v>
      </c>
      <c r="I3729" s="22" t="n">
        <v>25000000</v>
      </c>
      <c r="J3729" s="21">
        <f>IF(OR(H3729="",H3729=25529689.5),"Yes","No")</f>
        <v/>
      </c>
      <c r="K3729" s="21">
        <f>IF(AND(D3729="USA",C3729&gt;=1980,J3729="No"),"Yes","No")</f>
        <v/>
      </c>
      <c r="L3729" s="26">
        <f>IF(J3729="Yes","",H3729-I3729)</f>
        <v/>
      </c>
      <c r="M3729" s="27">
        <f>IF(OR(J3729="Yes",I3729=0),"",H3729/I3729)</f>
        <v/>
      </c>
      <c r="N3729" s="21">
        <f>IF(J3729="Yes","",IF(H3729&gt;=I3729,1,0))</f>
        <v/>
      </c>
      <c r="O3729" s="21">
        <f>IF(I3729&lt;=5000000,"Under $5M",IF(I3729&lt;=20000000,"$5M-20M",IF(I3729&lt;=50000000,"$20M-50M",IF(I3729&lt;=100000000,"$50M-100M","$100M+"))))</f>
        <v/>
      </c>
      <c r="P3729" s="21">
        <f>IF(E3729&lt;=90,"90 or less",IF(E3729&lt;=105,"91-105",IF(E3729&lt;=120,"106-120",IF(E3729&lt;=140,"121-140","Over 140"))))</f>
        <v/>
      </c>
      <c r="Q3729" s="28">
        <f>INT(C3729/10)*10</f>
        <v/>
      </c>
    </row>
    <row r="3730">
      <c r="A3730" s="21" t="n">
        <v>3805</v>
      </c>
      <c r="B3730" s="21" t="inlineStr">
        <is>
          <t>Sherlock Holmes: A Game of Shadows</t>
        </is>
      </c>
      <c r="C3730" s="21" t="n">
        <v>2011</v>
      </c>
      <c r="D3730" s="21" t="inlineStr">
        <is>
          <t>USA</t>
        </is>
      </c>
      <c r="E3730" s="21" t="n">
        <v>129</v>
      </c>
      <c r="F3730" s="21" t="inlineStr">
        <is>
          <t>English</t>
        </is>
      </c>
      <c r="G3730" s="21" t="inlineStr">
        <is>
          <t>PG-13</t>
        </is>
      </c>
      <c r="H3730" s="22" t="n">
        <v>186830669</v>
      </c>
      <c r="I3730" s="22" t="n">
        <v>125000000</v>
      </c>
      <c r="J3730" s="21">
        <f>IF(OR(H3730="",H3730=25529689.5),"Yes","No")</f>
        <v/>
      </c>
      <c r="K3730" s="21">
        <f>IF(AND(D3730="USA",C3730&gt;=1980,J3730="No"),"Yes","No")</f>
        <v/>
      </c>
      <c r="L3730" s="26">
        <f>IF(J3730="Yes","",H3730-I3730)</f>
        <v/>
      </c>
      <c r="M3730" s="27">
        <f>IF(OR(J3730="Yes",I3730=0),"",H3730/I3730)</f>
        <v/>
      </c>
      <c r="N3730" s="21">
        <f>IF(J3730="Yes","",IF(H3730&gt;=I3730,1,0))</f>
        <v/>
      </c>
      <c r="O3730" s="21">
        <f>IF(I3730&lt;=5000000,"Under $5M",IF(I3730&lt;=20000000,"$5M-20M",IF(I3730&lt;=50000000,"$20M-50M",IF(I3730&lt;=100000000,"$50M-100M","$100M+"))))</f>
        <v/>
      </c>
      <c r="P3730" s="21">
        <f>IF(E3730&lt;=90,"90 or less",IF(E3730&lt;=105,"91-105",IF(E3730&lt;=120,"106-120",IF(E3730&lt;=140,"121-140","Over 140"))))</f>
        <v/>
      </c>
      <c r="Q3730" s="28">
        <f>INT(C3730/10)*10</f>
        <v/>
      </c>
    </row>
    <row r="3731">
      <c r="A3731" s="21" t="n">
        <v>3806</v>
      </c>
      <c r="B3731" s="21" t="inlineStr">
        <is>
          <t>Sholem Aleichem: Laughing in the Darkness</t>
        </is>
      </c>
      <c r="C3731" s="21" t="n">
        <v>2011</v>
      </c>
      <c r="D3731" s="21" t="inlineStr">
        <is>
          <t>USA</t>
        </is>
      </c>
      <c r="E3731" s="21" t="n">
        <v>93</v>
      </c>
      <c r="F3731" s="21" t="inlineStr">
        <is>
          <t>English</t>
        </is>
      </c>
      <c r="G3731" s="21" t="inlineStr">
        <is>
          <t>Unrated</t>
        </is>
      </c>
      <c r="H3731" s="22" t="n">
        <v>906666</v>
      </c>
      <c r="I3731" s="22" t="n">
        <v>500000</v>
      </c>
      <c r="J3731" s="21">
        <f>IF(OR(H3731="",H3731=25529689.5),"Yes","No")</f>
        <v/>
      </c>
      <c r="K3731" s="21">
        <f>IF(AND(D3731="USA",C3731&gt;=1980,J3731="No"),"Yes","No")</f>
        <v/>
      </c>
      <c r="L3731" s="26">
        <f>IF(J3731="Yes","",H3731-I3731)</f>
        <v/>
      </c>
      <c r="M3731" s="27">
        <f>IF(OR(J3731="Yes",I3731=0),"",H3731/I3731)</f>
        <v/>
      </c>
      <c r="N3731" s="21">
        <f>IF(J3731="Yes","",IF(H3731&gt;=I3731,1,0))</f>
        <v/>
      </c>
      <c r="O3731" s="21">
        <f>IF(I3731&lt;=5000000,"Under $5M",IF(I3731&lt;=20000000,"$5M-20M",IF(I3731&lt;=50000000,"$20M-50M",IF(I3731&lt;=100000000,"$50M-100M","$100M+"))))</f>
        <v/>
      </c>
      <c r="P3731" s="21">
        <f>IF(E3731&lt;=90,"90 or less",IF(E3731&lt;=105,"91-105",IF(E3731&lt;=120,"106-120",IF(E3731&lt;=140,"121-140","Over 140"))))</f>
        <v/>
      </c>
      <c r="Q3731" s="28">
        <f>INT(C3731/10)*10</f>
        <v/>
      </c>
    </row>
    <row r="3732">
      <c r="A3732" s="21" t="n">
        <v>3807</v>
      </c>
      <c r="B3732" s="21" t="inlineStr">
        <is>
          <t>Silent House</t>
        </is>
      </c>
      <c r="C3732" s="21" t="n">
        <v>2011</v>
      </c>
      <c r="D3732" s="21" t="inlineStr">
        <is>
          <t>France</t>
        </is>
      </c>
      <c r="E3732" s="21" t="n">
        <v>86</v>
      </c>
      <c r="F3732" s="21" t="inlineStr">
        <is>
          <t>English</t>
        </is>
      </c>
      <c r="G3732" s="21" t="inlineStr">
        <is>
          <t>R</t>
        </is>
      </c>
      <c r="H3732" s="22" t="n">
        <v>12555230</v>
      </c>
      <c r="I3732" s="22" t="n">
        <v>2000000</v>
      </c>
      <c r="J3732" s="21">
        <f>IF(OR(H3732="",H3732=25529689.5),"Yes","No")</f>
        <v/>
      </c>
      <c r="K3732" s="21">
        <f>IF(AND(D3732="USA",C3732&gt;=1980,J3732="No"),"Yes","No")</f>
        <v/>
      </c>
      <c r="L3732" s="26">
        <f>IF(J3732="Yes","",H3732-I3732)</f>
        <v/>
      </c>
      <c r="M3732" s="27">
        <f>IF(OR(J3732="Yes",I3732=0),"",H3732/I3732)</f>
        <v/>
      </c>
      <c r="N3732" s="21">
        <f>IF(J3732="Yes","",IF(H3732&gt;=I3732,1,0))</f>
        <v/>
      </c>
      <c r="O3732" s="21">
        <f>IF(I3732&lt;=5000000,"Under $5M",IF(I3732&lt;=20000000,"$5M-20M",IF(I3732&lt;=50000000,"$20M-50M",IF(I3732&lt;=100000000,"$50M-100M","$100M+"))))</f>
        <v/>
      </c>
      <c r="P3732" s="21">
        <f>IF(E3732&lt;=90,"90 or less",IF(E3732&lt;=105,"91-105",IF(E3732&lt;=120,"106-120",IF(E3732&lt;=140,"121-140","Over 140"))))</f>
        <v/>
      </c>
      <c r="Q3732" s="28">
        <f>INT(C3732/10)*10</f>
        <v/>
      </c>
    </row>
    <row r="3733">
      <c r="A3733" s="21" t="n">
        <v>3808</v>
      </c>
      <c r="B3733" s="21" t="inlineStr">
        <is>
          <t>Sleep Tight</t>
        </is>
      </c>
      <c r="C3733" s="21" t="n">
        <v>2011</v>
      </c>
      <c r="D3733" s="21" t="inlineStr">
        <is>
          <t>Spain</t>
        </is>
      </c>
      <c r="E3733" s="21" t="n">
        <v>102</v>
      </c>
      <c r="F3733" s="21" t="inlineStr">
        <is>
          <t>Spanish</t>
        </is>
      </c>
      <c r="G3733" s="21" t="inlineStr">
        <is>
          <t>Not Rated</t>
        </is>
      </c>
      <c r="H3733" s="22" t="n">
        <v>25529689.5</v>
      </c>
      <c r="I3733" s="22" t="n">
        <v>5000000</v>
      </c>
      <c r="J3733" s="21">
        <f>IF(OR(H3733="",H3733=25529689.5),"Yes","No")</f>
        <v/>
      </c>
      <c r="K3733" s="21">
        <f>IF(AND(D3733="USA",C3733&gt;=1980,J3733="No"),"Yes","No")</f>
        <v/>
      </c>
      <c r="L3733" s="26">
        <f>IF(J3733="Yes","",H3733-I3733)</f>
        <v/>
      </c>
      <c r="M3733" s="27">
        <f>IF(OR(J3733="Yes",I3733=0),"",H3733/I3733)</f>
        <v/>
      </c>
      <c r="N3733" s="21">
        <f>IF(J3733="Yes","",IF(H3733&gt;=I3733,1,0))</f>
        <v/>
      </c>
      <c r="O3733" s="21">
        <f>IF(I3733&lt;=5000000,"Under $5M",IF(I3733&lt;=20000000,"$5M-20M",IF(I3733&lt;=50000000,"$20M-50M",IF(I3733&lt;=100000000,"$50M-100M","$100M+"))))</f>
        <v/>
      </c>
      <c r="P3733" s="21">
        <f>IF(E3733&lt;=90,"90 or less",IF(E3733&lt;=105,"91-105",IF(E3733&lt;=120,"106-120",IF(E3733&lt;=140,"121-140","Over 140"))))</f>
        <v/>
      </c>
      <c r="Q3733" s="28">
        <f>INT(C3733/10)*10</f>
        <v/>
      </c>
    </row>
    <row r="3734">
      <c r="A3734" s="21" t="n">
        <v>3809</v>
      </c>
      <c r="B3734" s="21" t="inlineStr">
        <is>
          <t>Snow Flower and the Secret Fan</t>
        </is>
      </c>
      <c r="C3734" s="21" t="n">
        <v>2011</v>
      </c>
      <c r="D3734" s="21" t="inlineStr">
        <is>
          <t>China</t>
        </is>
      </c>
      <c r="E3734" s="21" t="n">
        <v>104</v>
      </c>
      <c r="F3734" s="21" t="inlineStr">
        <is>
          <t>English</t>
        </is>
      </c>
      <c r="G3734" s="21" t="inlineStr">
        <is>
          <t>PG-13</t>
        </is>
      </c>
      <c r="H3734" s="22" t="n">
        <v>1346503</v>
      </c>
      <c r="I3734" s="22" t="n">
        <v>6000000</v>
      </c>
      <c r="J3734" s="21">
        <f>IF(OR(H3734="",H3734=25529689.5),"Yes","No")</f>
        <v/>
      </c>
      <c r="K3734" s="21">
        <f>IF(AND(D3734="USA",C3734&gt;=1980,J3734="No"),"Yes","No")</f>
        <v/>
      </c>
      <c r="L3734" s="26">
        <f>IF(J3734="Yes","",H3734-I3734)</f>
        <v/>
      </c>
      <c r="M3734" s="27">
        <f>IF(OR(J3734="Yes",I3734=0),"",H3734/I3734)</f>
        <v/>
      </c>
      <c r="N3734" s="21">
        <f>IF(J3734="Yes","",IF(H3734&gt;=I3734,1,0))</f>
        <v/>
      </c>
      <c r="O3734" s="21">
        <f>IF(I3734&lt;=5000000,"Under $5M",IF(I3734&lt;=20000000,"$5M-20M",IF(I3734&lt;=50000000,"$20M-50M",IF(I3734&lt;=100000000,"$50M-100M","$100M+"))))</f>
        <v/>
      </c>
      <c r="P3734" s="21">
        <f>IF(E3734&lt;=90,"90 or less",IF(E3734&lt;=105,"91-105",IF(E3734&lt;=120,"106-120",IF(E3734&lt;=140,"121-140","Over 140"))))</f>
        <v/>
      </c>
      <c r="Q3734" s="28">
        <f>INT(C3734/10)*10</f>
        <v/>
      </c>
    </row>
    <row r="3735">
      <c r="A3735" s="21" t="n">
        <v>3810</v>
      </c>
      <c r="B3735" s="21" t="inlineStr">
        <is>
          <t>Some Guy Who Kills People</t>
        </is>
      </c>
      <c r="C3735" s="21" t="n">
        <v>2011</v>
      </c>
      <c r="D3735" s="21" t="inlineStr">
        <is>
          <t>USA</t>
        </is>
      </c>
      <c r="E3735" s="21" t="n">
        <v>97</v>
      </c>
      <c r="F3735" s="21" t="inlineStr">
        <is>
          <t>English</t>
        </is>
      </c>
      <c r="G3735" s="21" t="inlineStr">
        <is>
          <t>R</t>
        </is>
      </c>
      <c r="H3735" s="22" t="n">
        <v>25529689.5</v>
      </c>
      <c r="I3735" s="22" t="n">
        <v>300000</v>
      </c>
      <c r="J3735" s="21">
        <f>IF(OR(H3735="",H3735=25529689.5),"Yes","No")</f>
        <v/>
      </c>
      <c r="K3735" s="21">
        <f>IF(AND(D3735="USA",C3735&gt;=1980,J3735="No"),"Yes","No")</f>
        <v/>
      </c>
      <c r="L3735" s="26">
        <f>IF(J3735="Yes","",H3735-I3735)</f>
        <v/>
      </c>
      <c r="M3735" s="27">
        <f>IF(OR(J3735="Yes",I3735=0),"",H3735/I3735)</f>
        <v/>
      </c>
      <c r="N3735" s="21">
        <f>IF(J3735="Yes","",IF(H3735&gt;=I3735,1,0))</f>
        <v/>
      </c>
      <c r="O3735" s="21">
        <f>IF(I3735&lt;=5000000,"Under $5M",IF(I3735&lt;=20000000,"$5M-20M",IF(I3735&lt;=50000000,"$20M-50M",IF(I3735&lt;=100000000,"$50M-100M","$100M+"))))</f>
        <v/>
      </c>
      <c r="P3735" s="21">
        <f>IF(E3735&lt;=90,"90 or less",IF(E3735&lt;=105,"91-105",IF(E3735&lt;=120,"106-120",IF(E3735&lt;=140,"121-140","Over 140"))))</f>
        <v/>
      </c>
      <c r="Q3735" s="28">
        <f>INT(C3735/10)*10</f>
        <v/>
      </c>
    </row>
    <row r="3736">
      <c r="A3736" s="21" t="n">
        <v>3811</v>
      </c>
      <c r="B3736" s="21" t="inlineStr">
        <is>
          <t>Something Borrowed</t>
        </is>
      </c>
      <c r="C3736" s="21" t="n">
        <v>2011</v>
      </c>
      <c r="D3736" s="21" t="inlineStr">
        <is>
          <t>USA</t>
        </is>
      </c>
      <c r="E3736" s="21" t="n">
        <v>112</v>
      </c>
      <c r="F3736" s="21" t="inlineStr">
        <is>
          <t>English</t>
        </is>
      </c>
      <c r="G3736" s="21" t="inlineStr">
        <is>
          <t>PG-13</t>
        </is>
      </c>
      <c r="H3736" s="22" t="n">
        <v>39026186</v>
      </c>
      <c r="I3736" s="22" t="n">
        <v>35000000</v>
      </c>
      <c r="J3736" s="21">
        <f>IF(OR(H3736="",H3736=25529689.5),"Yes","No")</f>
        <v/>
      </c>
      <c r="K3736" s="21">
        <f>IF(AND(D3736="USA",C3736&gt;=1980,J3736="No"),"Yes","No")</f>
        <v/>
      </c>
      <c r="L3736" s="26">
        <f>IF(J3736="Yes","",H3736-I3736)</f>
        <v/>
      </c>
      <c r="M3736" s="27">
        <f>IF(OR(J3736="Yes",I3736=0),"",H3736/I3736)</f>
        <v/>
      </c>
      <c r="N3736" s="21">
        <f>IF(J3736="Yes","",IF(H3736&gt;=I3736,1,0))</f>
        <v/>
      </c>
      <c r="O3736" s="21">
        <f>IF(I3736&lt;=5000000,"Under $5M",IF(I3736&lt;=20000000,"$5M-20M",IF(I3736&lt;=50000000,"$20M-50M",IF(I3736&lt;=100000000,"$50M-100M","$100M+"))))</f>
        <v/>
      </c>
      <c r="P3736" s="21">
        <f>IF(E3736&lt;=90,"90 or less",IF(E3736&lt;=105,"91-105",IF(E3736&lt;=120,"106-120",IF(E3736&lt;=140,"121-140","Over 140"))))</f>
        <v/>
      </c>
      <c r="Q3736" s="28">
        <f>INT(C3736/10)*10</f>
        <v/>
      </c>
    </row>
    <row r="3737">
      <c r="A3737" s="21" t="n">
        <v>3812</v>
      </c>
      <c r="B3737" s="21" t="inlineStr">
        <is>
          <t>Soul Surfer</t>
        </is>
      </c>
      <c r="C3737" s="21" t="n">
        <v>2011</v>
      </c>
      <c r="D3737" s="21" t="inlineStr">
        <is>
          <t>USA</t>
        </is>
      </c>
      <c r="E3737" s="21" t="n">
        <v>106</v>
      </c>
      <c r="F3737" s="21" t="inlineStr">
        <is>
          <t>English</t>
        </is>
      </c>
      <c r="G3737" s="21" t="inlineStr">
        <is>
          <t>PG</t>
        </is>
      </c>
      <c r="H3737" s="22" t="n">
        <v>43853424</v>
      </c>
      <c r="I3737" s="22" t="n">
        <v>18000000</v>
      </c>
      <c r="J3737" s="21">
        <f>IF(OR(H3737="",H3737=25529689.5),"Yes","No")</f>
        <v/>
      </c>
      <c r="K3737" s="21">
        <f>IF(AND(D3737="USA",C3737&gt;=1980,J3737="No"),"Yes","No")</f>
        <v/>
      </c>
      <c r="L3737" s="26">
        <f>IF(J3737="Yes","",H3737-I3737)</f>
        <v/>
      </c>
      <c r="M3737" s="27">
        <f>IF(OR(J3737="Yes",I3737=0),"",H3737/I3737)</f>
        <v/>
      </c>
      <c r="N3737" s="21">
        <f>IF(J3737="Yes","",IF(H3737&gt;=I3737,1,0))</f>
        <v/>
      </c>
      <c r="O3737" s="21">
        <f>IF(I3737&lt;=5000000,"Under $5M",IF(I3737&lt;=20000000,"$5M-20M",IF(I3737&lt;=50000000,"$20M-50M",IF(I3737&lt;=100000000,"$50M-100M","$100M+"))))</f>
        <v/>
      </c>
      <c r="P3737" s="21">
        <f>IF(E3737&lt;=90,"90 or less",IF(E3737&lt;=105,"91-105",IF(E3737&lt;=120,"106-120",IF(E3737&lt;=140,"121-140","Over 140"))))</f>
        <v/>
      </c>
      <c r="Q3737" s="28">
        <f>INT(C3737/10)*10</f>
        <v/>
      </c>
    </row>
    <row r="3738">
      <c r="A3738" s="21" t="n">
        <v>3813</v>
      </c>
      <c r="B3738" s="21" t="inlineStr">
        <is>
          <t>Sound of My Voice</t>
        </is>
      </c>
      <c r="C3738" s="21" t="n">
        <v>2011</v>
      </c>
      <c r="D3738" s="21" t="inlineStr">
        <is>
          <t>USA</t>
        </is>
      </c>
      <c r="E3738" s="21" t="n">
        <v>85</v>
      </c>
      <c r="F3738" s="21" t="inlineStr">
        <is>
          <t>English</t>
        </is>
      </c>
      <c r="G3738" s="21" t="inlineStr">
        <is>
          <t>R</t>
        </is>
      </c>
      <c r="H3738" s="22" t="n">
        <v>405614</v>
      </c>
      <c r="I3738" s="22" t="n">
        <v>20000000</v>
      </c>
      <c r="J3738" s="21">
        <f>IF(OR(H3738="",H3738=25529689.5),"Yes","No")</f>
        <v/>
      </c>
      <c r="K3738" s="21">
        <f>IF(AND(D3738="USA",C3738&gt;=1980,J3738="No"),"Yes","No")</f>
        <v/>
      </c>
      <c r="L3738" s="26">
        <f>IF(J3738="Yes","",H3738-I3738)</f>
        <v/>
      </c>
      <c r="M3738" s="27">
        <f>IF(OR(J3738="Yes",I3738=0),"",H3738/I3738)</f>
        <v/>
      </c>
      <c r="N3738" s="21">
        <f>IF(J3738="Yes","",IF(H3738&gt;=I3738,1,0))</f>
        <v/>
      </c>
      <c r="O3738" s="21">
        <f>IF(I3738&lt;=5000000,"Under $5M",IF(I3738&lt;=20000000,"$5M-20M",IF(I3738&lt;=50000000,"$20M-50M",IF(I3738&lt;=100000000,"$50M-100M","$100M+"))))</f>
        <v/>
      </c>
      <c r="P3738" s="21">
        <f>IF(E3738&lt;=90,"90 or less",IF(E3738&lt;=105,"91-105",IF(E3738&lt;=120,"106-120",IF(E3738&lt;=140,"121-140","Over 140"))))</f>
        <v/>
      </c>
      <c r="Q3738" s="28">
        <f>INT(C3738/10)*10</f>
        <v/>
      </c>
    </row>
    <row r="3739">
      <c r="A3739" s="21" t="n">
        <v>3814</v>
      </c>
      <c r="B3739" s="21" t="inlineStr">
        <is>
          <t>Source Code</t>
        </is>
      </c>
      <c r="C3739" s="21" t="n">
        <v>2011</v>
      </c>
      <c r="D3739" s="21" t="inlineStr">
        <is>
          <t>USA</t>
        </is>
      </c>
      <c r="E3739" s="21" t="n">
        <v>93</v>
      </c>
      <c r="F3739" s="21" t="inlineStr">
        <is>
          <t>English</t>
        </is>
      </c>
      <c r="G3739" s="21" t="inlineStr">
        <is>
          <t>PG-13</t>
        </is>
      </c>
      <c r="H3739" s="22" t="n">
        <v>54696902</v>
      </c>
      <c r="I3739" s="22" t="n">
        <v>32000000</v>
      </c>
      <c r="J3739" s="21">
        <f>IF(OR(H3739="",H3739=25529689.5),"Yes","No")</f>
        <v/>
      </c>
      <c r="K3739" s="21">
        <f>IF(AND(D3739="USA",C3739&gt;=1980,J3739="No"),"Yes","No")</f>
        <v/>
      </c>
      <c r="L3739" s="26">
        <f>IF(J3739="Yes","",H3739-I3739)</f>
        <v/>
      </c>
      <c r="M3739" s="27">
        <f>IF(OR(J3739="Yes",I3739=0),"",H3739/I3739)</f>
        <v/>
      </c>
      <c r="N3739" s="21">
        <f>IF(J3739="Yes","",IF(H3739&gt;=I3739,1,0))</f>
        <v/>
      </c>
      <c r="O3739" s="21">
        <f>IF(I3739&lt;=5000000,"Under $5M",IF(I3739&lt;=20000000,"$5M-20M",IF(I3739&lt;=50000000,"$20M-50M",IF(I3739&lt;=100000000,"$50M-100M","$100M+"))))</f>
        <v/>
      </c>
      <c r="P3739" s="21">
        <f>IF(E3739&lt;=90,"90 or less",IF(E3739&lt;=105,"91-105",IF(E3739&lt;=120,"106-120",IF(E3739&lt;=140,"121-140","Over 140"))))</f>
        <v/>
      </c>
      <c r="Q3739" s="28">
        <f>INT(C3739/10)*10</f>
        <v/>
      </c>
    </row>
    <row r="3740">
      <c r="A3740" s="21" t="n">
        <v>3815</v>
      </c>
      <c r="B3740" s="21" t="inlineStr">
        <is>
          <t>Spy Kids: All the Time in the World in 4D</t>
        </is>
      </c>
      <c r="C3740" s="21" t="n">
        <v>2011</v>
      </c>
      <c r="D3740" s="21" t="inlineStr">
        <is>
          <t>USA</t>
        </is>
      </c>
      <c r="E3740" s="21" t="n">
        <v>89</v>
      </c>
      <c r="F3740" s="21" t="inlineStr">
        <is>
          <t>English</t>
        </is>
      </c>
      <c r="G3740" s="21" t="inlineStr">
        <is>
          <t>PG</t>
        </is>
      </c>
      <c r="H3740" s="22" t="n">
        <v>38536376</v>
      </c>
      <c r="I3740" s="22" t="n">
        <v>27000000</v>
      </c>
      <c r="J3740" s="21">
        <f>IF(OR(H3740="",H3740=25529689.5),"Yes","No")</f>
        <v/>
      </c>
      <c r="K3740" s="21">
        <f>IF(AND(D3740="USA",C3740&gt;=1980,J3740="No"),"Yes","No")</f>
        <v/>
      </c>
      <c r="L3740" s="26">
        <f>IF(J3740="Yes","",H3740-I3740)</f>
        <v/>
      </c>
      <c r="M3740" s="27">
        <f>IF(OR(J3740="Yes",I3740=0),"",H3740/I3740)</f>
        <v/>
      </c>
      <c r="N3740" s="21">
        <f>IF(J3740="Yes","",IF(H3740&gt;=I3740,1,0))</f>
        <v/>
      </c>
      <c r="O3740" s="21">
        <f>IF(I3740&lt;=5000000,"Under $5M",IF(I3740&lt;=20000000,"$5M-20M",IF(I3740&lt;=50000000,"$20M-50M",IF(I3740&lt;=100000000,"$50M-100M","$100M+"))))</f>
        <v/>
      </c>
      <c r="P3740" s="21">
        <f>IF(E3740&lt;=90,"90 or less",IF(E3740&lt;=105,"91-105",IF(E3740&lt;=120,"106-120",IF(E3740&lt;=140,"121-140","Over 140"))))</f>
        <v/>
      </c>
      <c r="Q3740" s="28">
        <f>INT(C3740/10)*10</f>
        <v/>
      </c>
    </row>
    <row r="3741">
      <c r="A3741" s="21" t="n">
        <v>3816</v>
      </c>
      <c r="B3741" s="21" t="inlineStr">
        <is>
          <t>Straw Dogs</t>
        </is>
      </c>
      <c r="C3741" s="21" t="n">
        <v>2011</v>
      </c>
      <c r="D3741" s="21" t="inlineStr">
        <is>
          <t>USA</t>
        </is>
      </c>
      <c r="E3741" s="21" t="n">
        <v>110</v>
      </c>
      <c r="F3741" s="21" t="inlineStr">
        <is>
          <t>English</t>
        </is>
      </c>
      <c r="G3741" s="21" t="inlineStr">
        <is>
          <t>R</t>
        </is>
      </c>
      <c r="H3741" s="22" t="n">
        <v>10324441</v>
      </c>
      <c r="I3741" s="22" t="n">
        <v>25000000</v>
      </c>
      <c r="J3741" s="21">
        <f>IF(OR(H3741="",H3741=25529689.5),"Yes","No")</f>
        <v/>
      </c>
      <c r="K3741" s="21">
        <f>IF(AND(D3741="USA",C3741&gt;=1980,J3741="No"),"Yes","No")</f>
        <v/>
      </c>
      <c r="L3741" s="26">
        <f>IF(J3741="Yes","",H3741-I3741)</f>
        <v/>
      </c>
      <c r="M3741" s="27">
        <f>IF(OR(J3741="Yes",I3741=0),"",H3741/I3741)</f>
        <v/>
      </c>
      <c r="N3741" s="21">
        <f>IF(J3741="Yes","",IF(H3741&gt;=I3741,1,0))</f>
        <v/>
      </c>
      <c r="O3741" s="21">
        <f>IF(I3741&lt;=5000000,"Under $5M",IF(I3741&lt;=20000000,"$5M-20M",IF(I3741&lt;=50000000,"$20M-50M",IF(I3741&lt;=100000000,"$50M-100M","$100M+"))))</f>
        <v/>
      </c>
      <c r="P3741" s="21">
        <f>IF(E3741&lt;=90,"90 or less",IF(E3741&lt;=105,"91-105",IF(E3741&lt;=120,"106-120",IF(E3741&lt;=140,"121-140","Over 140"))))</f>
        <v/>
      </c>
      <c r="Q3741" s="28">
        <f>INT(C3741/10)*10</f>
        <v/>
      </c>
    </row>
    <row r="3742">
      <c r="A3742" s="21" t="n">
        <v>3817</v>
      </c>
      <c r="B3742" s="21" t="inlineStr">
        <is>
          <t>Sucker Punch</t>
        </is>
      </c>
      <c r="C3742" s="21" t="n">
        <v>2011</v>
      </c>
      <c r="D3742" s="21" t="inlineStr">
        <is>
          <t>USA</t>
        </is>
      </c>
      <c r="E3742" s="21" t="n">
        <v>128</v>
      </c>
      <c r="F3742" s="21" t="inlineStr">
        <is>
          <t>English</t>
        </is>
      </c>
      <c r="G3742" s="21" t="inlineStr">
        <is>
          <t>PG-13</t>
        </is>
      </c>
      <c r="H3742" s="22" t="n">
        <v>36381716</v>
      </c>
      <c r="I3742" s="22" t="n">
        <v>82000000</v>
      </c>
      <c r="J3742" s="21">
        <f>IF(OR(H3742="",H3742=25529689.5),"Yes","No")</f>
        <v/>
      </c>
      <c r="K3742" s="21">
        <f>IF(AND(D3742="USA",C3742&gt;=1980,J3742="No"),"Yes","No")</f>
        <v/>
      </c>
      <c r="L3742" s="26">
        <f>IF(J3742="Yes","",H3742-I3742)</f>
        <v/>
      </c>
      <c r="M3742" s="27">
        <f>IF(OR(J3742="Yes",I3742=0),"",H3742/I3742)</f>
        <v/>
      </c>
      <c r="N3742" s="21">
        <f>IF(J3742="Yes","",IF(H3742&gt;=I3742,1,0))</f>
        <v/>
      </c>
      <c r="O3742" s="21">
        <f>IF(I3742&lt;=5000000,"Under $5M",IF(I3742&lt;=20000000,"$5M-20M",IF(I3742&lt;=50000000,"$20M-50M",IF(I3742&lt;=100000000,"$50M-100M","$100M+"))))</f>
        <v/>
      </c>
      <c r="P3742" s="21">
        <f>IF(E3742&lt;=90,"90 or less",IF(E3742&lt;=105,"91-105",IF(E3742&lt;=120,"106-120",IF(E3742&lt;=140,"121-140","Over 140"))))</f>
        <v/>
      </c>
      <c r="Q3742" s="28">
        <f>INT(C3742/10)*10</f>
        <v/>
      </c>
    </row>
    <row r="3743">
      <c r="A3743" s="21" t="n">
        <v>3818</v>
      </c>
      <c r="B3743" s="21" t="inlineStr">
        <is>
          <t>Super 8</t>
        </is>
      </c>
      <c r="C3743" s="21" t="n">
        <v>2011</v>
      </c>
      <c r="D3743" s="21" t="inlineStr">
        <is>
          <t>USA</t>
        </is>
      </c>
      <c r="E3743" s="21" t="n">
        <v>112</v>
      </c>
      <c r="F3743" s="21" t="inlineStr">
        <is>
          <t>English</t>
        </is>
      </c>
      <c r="G3743" s="21" t="inlineStr">
        <is>
          <t>PG-13</t>
        </is>
      </c>
      <c r="H3743" s="22" t="n">
        <v>126975169</v>
      </c>
      <c r="I3743" s="22" t="n">
        <v>50000000</v>
      </c>
      <c r="J3743" s="21">
        <f>IF(OR(H3743="",H3743=25529689.5),"Yes","No")</f>
        <v/>
      </c>
      <c r="K3743" s="21">
        <f>IF(AND(D3743="USA",C3743&gt;=1980,J3743="No"),"Yes","No")</f>
        <v/>
      </c>
      <c r="L3743" s="26">
        <f>IF(J3743="Yes","",H3743-I3743)</f>
        <v/>
      </c>
      <c r="M3743" s="27">
        <f>IF(OR(J3743="Yes",I3743=0),"",H3743/I3743)</f>
        <v/>
      </c>
      <c r="N3743" s="21">
        <f>IF(J3743="Yes","",IF(H3743&gt;=I3743,1,0))</f>
        <v/>
      </c>
      <c r="O3743" s="21">
        <f>IF(I3743&lt;=5000000,"Under $5M",IF(I3743&lt;=20000000,"$5M-20M",IF(I3743&lt;=50000000,"$20M-50M",IF(I3743&lt;=100000000,"$50M-100M","$100M+"))))</f>
        <v/>
      </c>
      <c r="P3743" s="21">
        <f>IF(E3743&lt;=90,"90 or less",IF(E3743&lt;=105,"91-105",IF(E3743&lt;=120,"106-120",IF(E3743&lt;=140,"121-140","Over 140"))))</f>
        <v/>
      </c>
      <c r="Q3743" s="28">
        <f>INT(C3743/10)*10</f>
        <v/>
      </c>
    </row>
    <row r="3744">
      <c r="A3744" s="21" t="n">
        <v>3819</v>
      </c>
      <c r="B3744" s="21" t="inlineStr">
        <is>
          <t>Take Me Home Tonight</t>
        </is>
      </c>
      <c r="C3744" s="21" t="n">
        <v>2011</v>
      </c>
      <c r="D3744" s="21" t="inlineStr">
        <is>
          <t>USA</t>
        </is>
      </c>
      <c r="E3744" s="21" t="n">
        <v>97</v>
      </c>
      <c r="F3744" s="21" t="inlineStr">
        <is>
          <t>English</t>
        </is>
      </c>
      <c r="G3744" s="21" t="inlineStr">
        <is>
          <t>R</t>
        </is>
      </c>
      <c r="H3744" s="22" t="n">
        <v>6923891</v>
      </c>
      <c r="I3744" s="22" t="n">
        <v>23000000</v>
      </c>
      <c r="J3744" s="21">
        <f>IF(OR(H3744="",H3744=25529689.5),"Yes","No")</f>
        <v/>
      </c>
      <c r="K3744" s="21">
        <f>IF(AND(D3744="USA",C3744&gt;=1980,J3744="No"),"Yes","No")</f>
        <v/>
      </c>
      <c r="L3744" s="26">
        <f>IF(J3744="Yes","",H3744-I3744)</f>
        <v/>
      </c>
      <c r="M3744" s="27">
        <f>IF(OR(J3744="Yes",I3744=0),"",H3744/I3744)</f>
        <v/>
      </c>
      <c r="N3744" s="21">
        <f>IF(J3744="Yes","",IF(H3744&gt;=I3744,1,0))</f>
        <v/>
      </c>
      <c r="O3744" s="21">
        <f>IF(I3744&lt;=5000000,"Under $5M",IF(I3744&lt;=20000000,"$5M-20M",IF(I3744&lt;=50000000,"$20M-50M",IF(I3744&lt;=100000000,"$50M-100M","$100M+"))))</f>
        <v/>
      </c>
      <c r="P3744" s="21">
        <f>IF(E3744&lt;=90,"90 or less",IF(E3744&lt;=105,"91-105",IF(E3744&lt;=120,"106-120",IF(E3744&lt;=140,"121-140","Over 140"))))</f>
        <v/>
      </c>
      <c r="Q3744" s="28">
        <f>INT(C3744/10)*10</f>
        <v/>
      </c>
    </row>
    <row r="3745">
      <c r="A3745" s="21" t="n">
        <v>3820</v>
      </c>
      <c r="B3745" s="21" t="inlineStr">
        <is>
          <t>Take Shelter</t>
        </is>
      </c>
      <c r="C3745" s="21" t="n">
        <v>2011</v>
      </c>
      <c r="D3745" s="21" t="inlineStr">
        <is>
          <t>USA</t>
        </is>
      </c>
      <c r="E3745" s="21" t="n">
        <v>121</v>
      </c>
      <c r="F3745" s="21" t="inlineStr">
        <is>
          <t>English</t>
        </is>
      </c>
      <c r="G3745" s="21" t="inlineStr">
        <is>
          <t>R</t>
        </is>
      </c>
      <c r="H3745" s="22" t="n">
        <v>1729969</v>
      </c>
      <c r="I3745" s="22" t="n">
        <v>5000000</v>
      </c>
      <c r="J3745" s="21">
        <f>IF(OR(H3745="",H3745=25529689.5),"Yes","No")</f>
        <v/>
      </c>
      <c r="K3745" s="21">
        <f>IF(AND(D3745="USA",C3745&gt;=1980,J3745="No"),"Yes","No")</f>
        <v/>
      </c>
      <c r="L3745" s="26">
        <f>IF(J3745="Yes","",H3745-I3745)</f>
        <v/>
      </c>
      <c r="M3745" s="27">
        <f>IF(OR(J3745="Yes",I3745=0),"",H3745/I3745)</f>
        <v/>
      </c>
      <c r="N3745" s="21">
        <f>IF(J3745="Yes","",IF(H3745&gt;=I3745,1,0))</f>
        <v/>
      </c>
      <c r="O3745" s="21">
        <f>IF(I3745&lt;=5000000,"Under $5M",IF(I3745&lt;=20000000,"$5M-20M",IF(I3745&lt;=50000000,"$20M-50M",IF(I3745&lt;=100000000,"$50M-100M","$100M+"))))</f>
        <v/>
      </c>
      <c r="P3745" s="21">
        <f>IF(E3745&lt;=90,"90 or less",IF(E3745&lt;=105,"91-105",IF(E3745&lt;=120,"106-120",IF(E3745&lt;=140,"121-140","Over 140"))))</f>
        <v/>
      </c>
      <c r="Q3745" s="28">
        <f>INT(C3745/10)*10</f>
        <v/>
      </c>
    </row>
    <row r="3746">
      <c r="A3746" s="21" t="n">
        <v>3821</v>
      </c>
      <c r="B3746" s="21" t="inlineStr">
        <is>
          <t>The Adjustment Bureau</t>
        </is>
      </c>
      <c r="C3746" s="21" t="n">
        <v>2011</v>
      </c>
      <c r="D3746" s="21" t="inlineStr">
        <is>
          <t>USA</t>
        </is>
      </c>
      <c r="E3746" s="21" t="n">
        <v>106</v>
      </c>
      <c r="F3746" s="21" t="inlineStr">
        <is>
          <t>English</t>
        </is>
      </c>
      <c r="G3746" s="21" t="inlineStr">
        <is>
          <t>PG-13</t>
        </is>
      </c>
      <c r="H3746" s="22" t="n">
        <v>62453315</v>
      </c>
      <c r="I3746" s="22" t="n">
        <v>50200000</v>
      </c>
      <c r="J3746" s="21">
        <f>IF(OR(H3746="",H3746=25529689.5),"Yes","No")</f>
        <v/>
      </c>
      <c r="K3746" s="21">
        <f>IF(AND(D3746="USA",C3746&gt;=1980,J3746="No"),"Yes","No")</f>
        <v/>
      </c>
      <c r="L3746" s="26">
        <f>IF(J3746="Yes","",H3746-I3746)</f>
        <v/>
      </c>
      <c r="M3746" s="27">
        <f>IF(OR(J3746="Yes",I3746=0),"",H3746/I3746)</f>
        <v/>
      </c>
      <c r="N3746" s="21">
        <f>IF(J3746="Yes","",IF(H3746&gt;=I3746,1,0))</f>
        <v/>
      </c>
      <c r="O3746" s="21">
        <f>IF(I3746&lt;=5000000,"Under $5M",IF(I3746&lt;=20000000,"$5M-20M",IF(I3746&lt;=50000000,"$20M-50M",IF(I3746&lt;=100000000,"$50M-100M","$100M+"))))</f>
        <v/>
      </c>
      <c r="P3746" s="21">
        <f>IF(E3746&lt;=90,"90 or less",IF(E3746&lt;=105,"91-105",IF(E3746&lt;=120,"106-120",IF(E3746&lt;=140,"121-140","Over 140"))))</f>
        <v/>
      </c>
      <c r="Q3746" s="28">
        <f>INT(C3746/10)*10</f>
        <v/>
      </c>
    </row>
    <row r="3747">
      <c r="A3747" s="21" t="n">
        <v>3822</v>
      </c>
      <c r="B3747" s="21" t="inlineStr">
        <is>
          <t>The Adventures of Tintin</t>
        </is>
      </c>
      <c r="C3747" s="21" t="n">
        <v>2011</v>
      </c>
      <c r="D3747" s="21" t="inlineStr">
        <is>
          <t>USA</t>
        </is>
      </c>
      <c r="E3747" s="21" t="n">
        <v>107</v>
      </c>
      <c r="F3747" s="21" t="inlineStr">
        <is>
          <t>English</t>
        </is>
      </c>
      <c r="G3747" s="21" t="inlineStr">
        <is>
          <t>PG</t>
        </is>
      </c>
      <c r="H3747" s="22" t="n">
        <v>77564037</v>
      </c>
      <c r="I3747" s="22" t="n">
        <v>135000000</v>
      </c>
      <c r="J3747" s="21">
        <f>IF(OR(H3747="",H3747=25529689.5),"Yes","No")</f>
        <v/>
      </c>
      <c r="K3747" s="21">
        <f>IF(AND(D3747="USA",C3747&gt;=1980,J3747="No"),"Yes","No")</f>
        <v/>
      </c>
      <c r="L3747" s="26">
        <f>IF(J3747="Yes","",H3747-I3747)</f>
        <v/>
      </c>
      <c r="M3747" s="27">
        <f>IF(OR(J3747="Yes",I3747=0),"",H3747/I3747)</f>
        <v/>
      </c>
      <c r="N3747" s="21">
        <f>IF(J3747="Yes","",IF(H3747&gt;=I3747,1,0))</f>
        <v/>
      </c>
      <c r="O3747" s="21">
        <f>IF(I3747&lt;=5000000,"Under $5M",IF(I3747&lt;=20000000,"$5M-20M",IF(I3747&lt;=50000000,"$20M-50M",IF(I3747&lt;=100000000,"$50M-100M","$100M+"))))</f>
        <v/>
      </c>
      <c r="P3747" s="21">
        <f>IF(E3747&lt;=90,"90 or less",IF(E3747&lt;=105,"91-105",IF(E3747&lt;=120,"106-120",IF(E3747&lt;=140,"121-140","Over 140"))))</f>
        <v/>
      </c>
      <c r="Q3747" s="28">
        <f>INT(C3747/10)*10</f>
        <v/>
      </c>
    </row>
    <row r="3748">
      <c r="A3748" s="21" t="n">
        <v>3823</v>
      </c>
      <c r="B3748" s="21" t="inlineStr">
        <is>
          <t>The Art of Getting By</t>
        </is>
      </c>
      <c r="C3748" s="21" t="n">
        <v>2011</v>
      </c>
      <c r="D3748" s="21" t="inlineStr">
        <is>
          <t>USA</t>
        </is>
      </c>
      <c r="E3748" s="21" t="n">
        <v>83</v>
      </c>
      <c r="F3748" s="21" t="inlineStr">
        <is>
          <t>English</t>
        </is>
      </c>
      <c r="G3748" s="21" t="inlineStr">
        <is>
          <t>PG-13</t>
        </is>
      </c>
      <c r="H3748" s="22" t="n">
        <v>1429260</v>
      </c>
      <c r="I3748" s="22" t="n">
        <v>20000000</v>
      </c>
      <c r="J3748" s="21">
        <f>IF(OR(H3748="",H3748=25529689.5),"Yes","No")</f>
        <v/>
      </c>
      <c r="K3748" s="21">
        <f>IF(AND(D3748="USA",C3748&gt;=1980,J3748="No"),"Yes","No")</f>
        <v/>
      </c>
      <c r="L3748" s="26">
        <f>IF(J3748="Yes","",H3748-I3748)</f>
        <v/>
      </c>
      <c r="M3748" s="27">
        <f>IF(OR(J3748="Yes",I3748=0),"",H3748/I3748)</f>
        <v/>
      </c>
      <c r="N3748" s="21">
        <f>IF(J3748="Yes","",IF(H3748&gt;=I3748,1,0))</f>
        <v/>
      </c>
      <c r="O3748" s="21">
        <f>IF(I3748&lt;=5000000,"Under $5M",IF(I3748&lt;=20000000,"$5M-20M",IF(I3748&lt;=50000000,"$20M-50M",IF(I3748&lt;=100000000,"$50M-100M","$100M+"))))</f>
        <v/>
      </c>
      <c r="P3748" s="21">
        <f>IF(E3748&lt;=90,"90 or less",IF(E3748&lt;=105,"91-105",IF(E3748&lt;=120,"106-120",IF(E3748&lt;=140,"121-140","Over 140"))))</f>
        <v/>
      </c>
      <c r="Q3748" s="28">
        <f>INT(C3748/10)*10</f>
        <v/>
      </c>
    </row>
    <row r="3749">
      <c r="A3749" s="21" t="n">
        <v>3824</v>
      </c>
      <c r="B3749" s="21" t="inlineStr">
        <is>
          <t>The Artist</t>
        </is>
      </c>
      <c r="C3749" s="21" t="n">
        <v>2011</v>
      </c>
      <c r="D3749" s="21" t="inlineStr">
        <is>
          <t>France</t>
        </is>
      </c>
      <c r="E3749" s="21" t="n">
        <v>100</v>
      </c>
      <c r="F3749" s="21" t="inlineStr">
        <is>
          <t>English</t>
        </is>
      </c>
      <c r="G3749" s="21" t="inlineStr">
        <is>
          <t>PG-13</t>
        </is>
      </c>
      <c r="H3749" s="22" t="n">
        <v>44667095</v>
      </c>
      <c r="I3749" s="22" t="n">
        <v>15000000</v>
      </c>
      <c r="J3749" s="21">
        <f>IF(OR(H3749="",H3749=25529689.5),"Yes","No")</f>
        <v/>
      </c>
      <c r="K3749" s="21">
        <f>IF(AND(D3749="USA",C3749&gt;=1980,J3749="No"),"Yes","No")</f>
        <v/>
      </c>
      <c r="L3749" s="26">
        <f>IF(J3749="Yes","",H3749-I3749)</f>
        <v/>
      </c>
      <c r="M3749" s="27">
        <f>IF(OR(J3749="Yes",I3749=0),"",H3749/I3749)</f>
        <v/>
      </c>
      <c r="N3749" s="21">
        <f>IF(J3749="Yes","",IF(H3749&gt;=I3749,1,0))</f>
        <v/>
      </c>
      <c r="O3749" s="21">
        <f>IF(I3749&lt;=5000000,"Under $5M",IF(I3749&lt;=20000000,"$5M-20M",IF(I3749&lt;=50000000,"$20M-50M",IF(I3749&lt;=100000000,"$50M-100M","$100M+"))))</f>
        <v/>
      </c>
      <c r="P3749" s="21">
        <f>IF(E3749&lt;=90,"90 or less",IF(E3749&lt;=105,"91-105",IF(E3749&lt;=120,"106-120",IF(E3749&lt;=140,"121-140","Over 140"))))</f>
        <v/>
      </c>
      <c r="Q3749" s="28">
        <f>INT(C3749/10)*10</f>
        <v/>
      </c>
    </row>
    <row r="3750">
      <c r="A3750" s="21" t="n">
        <v>3825</v>
      </c>
      <c r="B3750" s="21" t="inlineStr">
        <is>
          <t>The Awakening</t>
        </is>
      </c>
      <c r="C3750" s="21" t="n">
        <v>2011</v>
      </c>
      <c r="D3750" s="21" t="inlineStr">
        <is>
          <t>UK</t>
        </is>
      </c>
      <c r="E3750" s="21" t="n">
        <v>107</v>
      </c>
      <c r="F3750" s="21" t="inlineStr">
        <is>
          <t>English</t>
        </is>
      </c>
      <c r="G3750" s="21" t="inlineStr">
        <is>
          <t>R</t>
        </is>
      </c>
      <c r="H3750" s="22" t="n">
        <v>25529689.5</v>
      </c>
      <c r="I3750" s="22" t="n">
        <v>3000000</v>
      </c>
      <c r="J3750" s="21">
        <f>IF(OR(H3750="",H3750=25529689.5),"Yes","No")</f>
        <v/>
      </c>
      <c r="K3750" s="21">
        <f>IF(AND(D3750="USA",C3750&gt;=1980,J3750="No"),"Yes","No")</f>
        <v/>
      </c>
      <c r="L3750" s="26">
        <f>IF(J3750="Yes","",H3750-I3750)</f>
        <v/>
      </c>
      <c r="M3750" s="27">
        <f>IF(OR(J3750="Yes",I3750=0),"",H3750/I3750)</f>
        <v/>
      </c>
      <c r="N3750" s="21">
        <f>IF(J3750="Yes","",IF(H3750&gt;=I3750,1,0))</f>
        <v/>
      </c>
      <c r="O3750" s="21">
        <f>IF(I3750&lt;=5000000,"Under $5M",IF(I3750&lt;=20000000,"$5M-20M",IF(I3750&lt;=50000000,"$20M-50M",IF(I3750&lt;=100000000,"$50M-100M","$100M+"))))</f>
        <v/>
      </c>
      <c r="P3750" s="21">
        <f>IF(E3750&lt;=90,"90 or less",IF(E3750&lt;=105,"91-105",IF(E3750&lt;=120,"106-120",IF(E3750&lt;=140,"121-140","Over 140"))))</f>
        <v/>
      </c>
      <c r="Q3750" s="28">
        <f>INT(C3750/10)*10</f>
        <v/>
      </c>
    </row>
    <row r="3751">
      <c r="A3751" s="21" t="n">
        <v>3826</v>
      </c>
      <c r="B3751" s="21" t="inlineStr">
        <is>
          <t>The Beaver</t>
        </is>
      </c>
      <c r="C3751" s="21" t="n">
        <v>2011</v>
      </c>
      <c r="D3751" s="21" t="inlineStr">
        <is>
          <t>USA</t>
        </is>
      </c>
      <c r="E3751" s="21" t="n">
        <v>91</v>
      </c>
      <c r="F3751" s="21" t="inlineStr">
        <is>
          <t>English</t>
        </is>
      </c>
      <c r="G3751" s="21" t="inlineStr">
        <is>
          <t>PG-13</t>
        </is>
      </c>
      <c r="H3751" s="22" t="n">
        <v>958319</v>
      </c>
      <c r="I3751" s="22" t="n">
        <v>21000000</v>
      </c>
      <c r="J3751" s="21">
        <f>IF(OR(H3751="",H3751=25529689.5),"Yes","No")</f>
        <v/>
      </c>
      <c r="K3751" s="21">
        <f>IF(AND(D3751="USA",C3751&gt;=1980,J3751="No"),"Yes","No")</f>
        <v/>
      </c>
      <c r="L3751" s="26">
        <f>IF(J3751="Yes","",H3751-I3751)</f>
        <v/>
      </c>
      <c r="M3751" s="27">
        <f>IF(OR(J3751="Yes",I3751=0),"",H3751/I3751)</f>
        <v/>
      </c>
      <c r="N3751" s="21">
        <f>IF(J3751="Yes","",IF(H3751&gt;=I3751,1,0))</f>
        <v/>
      </c>
      <c r="O3751" s="21">
        <f>IF(I3751&lt;=5000000,"Under $5M",IF(I3751&lt;=20000000,"$5M-20M",IF(I3751&lt;=50000000,"$20M-50M",IF(I3751&lt;=100000000,"$50M-100M","$100M+"))))</f>
        <v/>
      </c>
      <c r="P3751" s="21">
        <f>IF(E3751&lt;=90,"90 or less",IF(E3751&lt;=105,"91-105",IF(E3751&lt;=120,"106-120",IF(E3751&lt;=140,"121-140","Over 140"))))</f>
        <v/>
      </c>
      <c r="Q3751" s="28">
        <f>INT(C3751/10)*10</f>
        <v/>
      </c>
    </row>
    <row r="3752">
      <c r="A3752" s="21" t="n">
        <v>3827</v>
      </c>
      <c r="B3752" s="21" t="inlineStr">
        <is>
          <t>The Best Exotic Marigold Hotel</t>
        </is>
      </c>
      <c r="C3752" s="21" t="n">
        <v>2011</v>
      </c>
      <c r="D3752" s="21" t="inlineStr">
        <is>
          <t>UK</t>
        </is>
      </c>
      <c r="E3752" s="21" t="n">
        <v>124</v>
      </c>
      <c r="F3752" s="21" t="inlineStr">
        <is>
          <t>English</t>
        </is>
      </c>
      <c r="G3752" s="21" t="inlineStr">
        <is>
          <t>PG-13</t>
        </is>
      </c>
      <c r="H3752" s="22" t="n">
        <v>46377022</v>
      </c>
      <c r="I3752" s="22" t="n">
        <v>10000000</v>
      </c>
      <c r="J3752" s="21">
        <f>IF(OR(H3752="",H3752=25529689.5),"Yes","No")</f>
        <v/>
      </c>
      <c r="K3752" s="21">
        <f>IF(AND(D3752="USA",C3752&gt;=1980,J3752="No"),"Yes","No")</f>
        <v/>
      </c>
      <c r="L3752" s="26">
        <f>IF(J3752="Yes","",H3752-I3752)</f>
        <v/>
      </c>
      <c r="M3752" s="27">
        <f>IF(OR(J3752="Yes",I3752=0),"",H3752/I3752)</f>
        <v/>
      </c>
      <c r="N3752" s="21">
        <f>IF(J3752="Yes","",IF(H3752&gt;=I3752,1,0))</f>
        <v/>
      </c>
      <c r="O3752" s="21">
        <f>IF(I3752&lt;=5000000,"Under $5M",IF(I3752&lt;=20000000,"$5M-20M",IF(I3752&lt;=50000000,"$20M-50M",IF(I3752&lt;=100000000,"$50M-100M","$100M+"))))</f>
        <v/>
      </c>
      <c r="P3752" s="21">
        <f>IF(E3752&lt;=90,"90 or less",IF(E3752&lt;=105,"91-105",IF(E3752&lt;=120,"106-120",IF(E3752&lt;=140,"121-140","Over 140"))))</f>
        <v/>
      </c>
      <c r="Q3752" s="28">
        <f>INT(C3752/10)*10</f>
        <v/>
      </c>
    </row>
    <row r="3753">
      <c r="A3753" s="21" t="n">
        <v>3828</v>
      </c>
      <c r="B3753" s="21" t="inlineStr">
        <is>
          <t>The Big Year</t>
        </is>
      </c>
      <c r="C3753" s="21" t="n">
        <v>2011</v>
      </c>
      <c r="D3753" s="21" t="inlineStr">
        <is>
          <t>USA</t>
        </is>
      </c>
      <c r="E3753" s="21" t="n">
        <v>100</v>
      </c>
      <c r="F3753" s="21" t="inlineStr">
        <is>
          <t>English</t>
        </is>
      </c>
      <c r="G3753" s="21" t="inlineStr">
        <is>
          <t>PG</t>
        </is>
      </c>
      <c r="H3753" s="22" t="n">
        <v>7204138</v>
      </c>
      <c r="I3753" s="22" t="n">
        <v>41000000</v>
      </c>
      <c r="J3753" s="21">
        <f>IF(OR(H3753="",H3753=25529689.5),"Yes","No")</f>
        <v/>
      </c>
      <c r="K3753" s="21">
        <f>IF(AND(D3753="USA",C3753&gt;=1980,J3753="No"),"Yes","No")</f>
        <v/>
      </c>
      <c r="L3753" s="26">
        <f>IF(J3753="Yes","",H3753-I3753)</f>
        <v/>
      </c>
      <c r="M3753" s="27">
        <f>IF(OR(J3753="Yes",I3753=0),"",H3753/I3753)</f>
        <v/>
      </c>
      <c r="N3753" s="21">
        <f>IF(J3753="Yes","",IF(H3753&gt;=I3753,1,0))</f>
        <v/>
      </c>
      <c r="O3753" s="21">
        <f>IF(I3753&lt;=5000000,"Under $5M",IF(I3753&lt;=20000000,"$5M-20M",IF(I3753&lt;=50000000,"$20M-50M",IF(I3753&lt;=100000000,"$50M-100M","$100M+"))))</f>
        <v/>
      </c>
      <c r="P3753" s="21">
        <f>IF(E3753&lt;=90,"90 or less",IF(E3753&lt;=105,"91-105",IF(E3753&lt;=120,"106-120",IF(E3753&lt;=140,"121-140","Over 140"))))</f>
        <v/>
      </c>
      <c r="Q3753" s="28">
        <f>INT(C3753/10)*10</f>
        <v/>
      </c>
    </row>
    <row r="3754">
      <c r="A3754" s="21" t="n">
        <v>3829</v>
      </c>
      <c r="B3754" s="21" t="inlineStr">
        <is>
          <t>The Change-Up</t>
        </is>
      </c>
      <c r="C3754" s="21" t="n">
        <v>2011</v>
      </c>
      <c r="D3754" s="21" t="inlineStr">
        <is>
          <t>USA</t>
        </is>
      </c>
      <c r="E3754" s="21" t="n">
        <v>118</v>
      </c>
      <c r="F3754" s="21" t="inlineStr">
        <is>
          <t>English</t>
        </is>
      </c>
      <c r="G3754" s="21" t="inlineStr">
        <is>
          <t>R</t>
        </is>
      </c>
      <c r="H3754" s="22" t="n">
        <v>37035845</v>
      </c>
      <c r="I3754" s="22" t="n">
        <v>52000000</v>
      </c>
      <c r="J3754" s="21">
        <f>IF(OR(H3754="",H3754=25529689.5),"Yes","No")</f>
        <v/>
      </c>
      <c r="K3754" s="21">
        <f>IF(AND(D3754="USA",C3754&gt;=1980,J3754="No"),"Yes","No")</f>
        <v/>
      </c>
      <c r="L3754" s="26">
        <f>IF(J3754="Yes","",H3754-I3754)</f>
        <v/>
      </c>
      <c r="M3754" s="27">
        <f>IF(OR(J3754="Yes",I3754=0),"",H3754/I3754)</f>
        <v/>
      </c>
      <c r="N3754" s="21">
        <f>IF(J3754="Yes","",IF(H3754&gt;=I3754,1,0))</f>
        <v/>
      </c>
      <c r="O3754" s="21">
        <f>IF(I3754&lt;=5000000,"Under $5M",IF(I3754&lt;=20000000,"$5M-20M",IF(I3754&lt;=50000000,"$20M-50M",IF(I3754&lt;=100000000,"$50M-100M","$100M+"))))</f>
        <v/>
      </c>
      <c r="P3754" s="21">
        <f>IF(E3754&lt;=90,"90 or less",IF(E3754&lt;=105,"91-105",IF(E3754&lt;=120,"106-120",IF(E3754&lt;=140,"121-140","Over 140"))))</f>
        <v/>
      </c>
      <c r="Q3754" s="28">
        <f>INT(C3754/10)*10</f>
        <v/>
      </c>
    </row>
    <row r="3755">
      <c r="A3755" s="21" t="n">
        <v>3830</v>
      </c>
      <c r="B3755" s="21" t="inlineStr">
        <is>
          <t>The Darkest Hour</t>
        </is>
      </c>
      <c r="C3755" s="21" t="n">
        <v>2011</v>
      </c>
      <c r="D3755" s="21" t="inlineStr">
        <is>
          <t>USA</t>
        </is>
      </c>
      <c r="E3755" s="21" t="n">
        <v>89</v>
      </c>
      <c r="F3755" s="21" t="inlineStr">
        <is>
          <t>English</t>
        </is>
      </c>
      <c r="G3755" s="21" t="inlineStr">
        <is>
          <t>PG-13</t>
        </is>
      </c>
      <c r="H3755" s="22" t="n">
        <v>21426805</v>
      </c>
      <c r="I3755" s="22" t="n">
        <v>30000000</v>
      </c>
      <c r="J3755" s="21">
        <f>IF(OR(H3755="",H3755=25529689.5),"Yes","No")</f>
        <v/>
      </c>
      <c r="K3755" s="21">
        <f>IF(AND(D3755="USA",C3755&gt;=1980,J3755="No"),"Yes","No")</f>
        <v/>
      </c>
      <c r="L3755" s="26">
        <f>IF(J3755="Yes","",H3755-I3755)</f>
        <v/>
      </c>
      <c r="M3755" s="27">
        <f>IF(OR(J3755="Yes",I3755=0),"",H3755/I3755)</f>
        <v/>
      </c>
      <c r="N3755" s="21">
        <f>IF(J3755="Yes","",IF(H3755&gt;=I3755,1,0))</f>
        <v/>
      </c>
      <c r="O3755" s="21">
        <f>IF(I3755&lt;=5000000,"Under $5M",IF(I3755&lt;=20000000,"$5M-20M",IF(I3755&lt;=50000000,"$20M-50M",IF(I3755&lt;=100000000,"$50M-100M","$100M+"))))</f>
        <v/>
      </c>
      <c r="P3755" s="21">
        <f>IF(E3755&lt;=90,"90 or less",IF(E3755&lt;=105,"91-105",IF(E3755&lt;=120,"106-120",IF(E3755&lt;=140,"121-140","Over 140"))))</f>
        <v/>
      </c>
      <c r="Q3755" s="28">
        <f>INT(C3755/10)*10</f>
        <v/>
      </c>
    </row>
    <row r="3756">
      <c r="A3756" s="21" t="n">
        <v>3831</v>
      </c>
      <c r="B3756" s="21" t="inlineStr">
        <is>
          <t>The Descendants</t>
        </is>
      </c>
      <c r="C3756" s="21" t="n">
        <v>2011</v>
      </c>
      <c r="D3756" s="21" t="inlineStr">
        <is>
          <t>USA</t>
        </is>
      </c>
      <c r="E3756" s="21" t="n">
        <v>115</v>
      </c>
      <c r="F3756" s="21" t="inlineStr">
        <is>
          <t>English</t>
        </is>
      </c>
      <c r="G3756" s="21" t="inlineStr">
        <is>
          <t>R</t>
        </is>
      </c>
      <c r="H3756" s="22" t="n">
        <v>82624961</v>
      </c>
      <c r="I3756" s="22" t="n">
        <v>20000000</v>
      </c>
      <c r="J3756" s="21">
        <f>IF(OR(H3756="",H3756=25529689.5),"Yes","No")</f>
        <v/>
      </c>
      <c r="K3756" s="21">
        <f>IF(AND(D3756="USA",C3756&gt;=1980,J3756="No"),"Yes","No")</f>
        <v/>
      </c>
      <c r="L3756" s="26">
        <f>IF(J3756="Yes","",H3756-I3756)</f>
        <v/>
      </c>
      <c r="M3756" s="27">
        <f>IF(OR(J3756="Yes",I3756=0),"",H3756/I3756)</f>
        <v/>
      </c>
      <c r="N3756" s="21">
        <f>IF(J3756="Yes","",IF(H3756&gt;=I3756,1,0))</f>
        <v/>
      </c>
      <c r="O3756" s="21">
        <f>IF(I3756&lt;=5000000,"Under $5M",IF(I3756&lt;=20000000,"$5M-20M",IF(I3756&lt;=50000000,"$20M-50M",IF(I3756&lt;=100000000,"$50M-100M","$100M+"))))</f>
        <v/>
      </c>
      <c r="P3756" s="21">
        <f>IF(E3756&lt;=90,"90 or less",IF(E3756&lt;=105,"91-105",IF(E3756&lt;=120,"106-120",IF(E3756&lt;=140,"121-140","Over 140"))))</f>
        <v/>
      </c>
      <c r="Q3756" s="28">
        <f>INT(C3756/10)*10</f>
        <v/>
      </c>
    </row>
    <row r="3757">
      <c r="A3757" s="21" t="n">
        <v>3832</v>
      </c>
      <c r="B3757" s="21" t="inlineStr">
        <is>
          <t>The Devil's Double</t>
        </is>
      </c>
      <c r="C3757" s="21" t="n">
        <v>2011</v>
      </c>
      <c r="D3757" s="21" t="inlineStr">
        <is>
          <t>Belgium</t>
        </is>
      </c>
      <c r="E3757" s="21" t="n">
        <v>109</v>
      </c>
      <c r="F3757" s="21" t="inlineStr">
        <is>
          <t>English</t>
        </is>
      </c>
      <c r="G3757" s="21" t="inlineStr">
        <is>
          <t>R</t>
        </is>
      </c>
      <c r="H3757" s="22" t="n">
        <v>1357042</v>
      </c>
      <c r="I3757" s="22" t="n">
        <v>15000000</v>
      </c>
      <c r="J3757" s="21">
        <f>IF(OR(H3757="",H3757=25529689.5),"Yes","No")</f>
        <v/>
      </c>
      <c r="K3757" s="21">
        <f>IF(AND(D3757="USA",C3757&gt;=1980,J3757="No"),"Yes","No")</f>
        <v/>
      </c>
      <c r="L3757" s="26">
        <f>IF(J3757="Yes","",H3757-I3757)</f>
        <v/>
      </c>
      <c r="M3757" s="27">
        <f>IF(OR(J3757="Yes",I3757=0),"",H3757/I3757)</f>
        <v/>
      </c>
      <c r="N3757" s="21">
        <f>IF(J3757="Yes","",IF(H3757&gt;=I3757,1,0))</f>
        <v/>
      </c>
      <c r="O3757" s="21">
        <f>IF(I3757&lt;=5000000,"Under $5M",IF(I3757&lt;=20000000,"$5M-20M",IF(I3757&lt;=50000000,"$20M-50M",IF(I3757&lt;=100000000,"$50M-100M","$100M+"))))</f>
        <v/>
      </c>
      <c r="P3757" s="21">
        <f>IF(E3757&lt;=90,"90 or less",IF(E3757&lt;=105,"91-105",IF(E3757&lt;=120,"106-120",IF(E3757&lt;=140,"121-140","Over 140"))))</f>
        <v/>
      </c>
      <c r="Q3757" s="28">
        <f>INT(C3757/10)*10</f>
        <v/>
      </c>
    </row>
    <row r="3758">
      <c r="A3758" s="21" t="n">
        <v>3833</v>
      </c>
      <c r="B3758" s="21" t="inlineStr">
        <is>
          <t>The Dilemma</t>
        </is>
      </c>
      <c r="C3758" s="21" t="n">
        <v>2011</v>
      </c>
      <c r="D3758" s="21" t="inlineStr">
        <is>
          <t>USA</t>
        </is>
      </c>
      <c r="E3758" s="21" t="n">
        <v>111</v>
      </c>
      <c r="F3758" s="21" t="inlineStr">
        <is>
          <t>English</t>
        </is>
      </c>
      <c r="G3758" s="21" t="inlineStr">
        <is>
          <t>PG-13</t>
        </is>
      </c>
      <c r="H3758" s="22" t="n">
        <v>48430355</v>
      </c>
      <c r="I3758" s="22" t="n">
        <v>70000000</v>
      </c>
      <c r="J3758" s="21">
        <f>IF(OR(H3758="",H3758=25529689.5),"Yes","No")</f>
        <v/>
      </c>
      <c r="K3758" s="21">
        <f>IF(AND(D3758="USA",C3758&gt;=1980,J3758="No"),"Yes","No")</f>
        <v/>
      </c>
      <c r="L3758" s="26">
        <f>IF(J3758="Yes","",H3758-I3758)</f>
        <v/>
      </c>
      <c r="M3758" s="27">
        <f>IF(OR(J3758="Yes",I3758=0),"",H3758/I3758)</f>
        <v/>
      </c>
      <c r="N3758" s="21">
        <f>IF(J3758="Yes","",IF(H3758&gt;=I3758,1,0))</f>
        <v/>
      </c>
      <c r="O3758" s="21">
        <f>IF(I3758&lt;=5000000,"Under $5M",IF(I3758&lt;=20000000,"$5M-20M",IF(I3758&lt;=50000000,"$20M-50M",IF(I3758&lt;=100000000,"$50M-100M","$100M+"))))</f>
        <v/>
      </c>
      <c r="P3758" s="21">
        <f>IF(E3758&lt;=90,"90 or less",IF(E3758&lt;=105,"91-105",IF(E3758&lt;=120,"106-120",IF(E3758&lt;=140,"121-140","Over 140"))))</f>
        <v/>
      </c>
      <c r="Q3758" s="28">
        <f>INT(C3758/10)*10</f>
        <v/>
      </c>
    </row>
    <row r="3759">
      <c r="A3759" s="21" t="n">
        <v>3834</v>
      </c>
      <c r="B3759" s="21" t="inlineStr">
        <is>
          <t>The Divide</t>
        </is>
      </c>
      <c r="C3759" s="21" t="n">
        <v>2011</v>
      </c>
      <c r="D3759" s="21" t="inlineStr">
        <is>
          <t>Germany</t>
        </is>
      </c>
      <c r="E3759" s="21" t="n">
        <v>122</v>
      </c>
      <c r="F3759" s="21" t="inlineStr">
        <is>
          <t>English</t>
        </is>
      </c>
      <c r="G3759" s="21" t="inlineStr">
        <is>
          <t>R</t>
        </is>
      </c>
      <c r="H3759" s="22" t="n">
        <v>22000</v>
      </c>
      <c r="I3759" s="22" t="n">
        <v>3000000</v>
      </c>
      <c r="J3759" s="21">
        <f>IF(OR(H3759="",H3759=25529689.5),"Yes","No")</f>
        <v/>
      </c>
      <c r="K3759" s="21">
        <f>IF(AND(D3759="USA",C3759&gt;=1980,J3759="No"),"Yes","No")</f>
        <v/>
      </c>
      <c r="L3759" s="26">
        <f>IF(J3759="Yes","",H3759-I3759)</f>
        <v/>
      </c>
      <c r="M3759" s="27">
        <f>IF(OR(J3759="Yes",I3759=0),"",H3759/I3759)</f>
        <v/>
      </c>
      <c r="N3759" s="21">
        <f>IF(J3759="Yes","",IF(H3759&gt;=I3759,1,0))</f>
        <v/>
      </c>
      <c r="O3759" s="21">
        <f>IF(I3759&lt;=5000000,"Under $5M",IF(I3759&lt;=20000000,"$5M-20M",IF(I3759&lt;=50000000,"$20M-50M",IF(I3759&lt;=100000000,"$50M-100M","$100M+"))))</f>
        <v/>
      </c>
      <c r="P3759" s="21">
        <f>IF(E3759&lt;=90,"90 or less",IF(E3759&lt;=105,"91-105",IF(E3759&lt;=120,"106-120",IF(E3759&lt;=140,"121-140","Over 140"))))</f>
        <v/>
      </c>
      <c r="Q3759" s="28">
        <f>INT(C3759/10)*10</f>
        <v/>
      </c>
    </row>
    <row r="3760">
      <c r="A3760" s="21" t="n">
        <v>3835</v>
      </c>
      <c r="B3760" s="21" t="inlineStr">
        <is>
          <t>The Flowers of War</t>
        </is>
      </c>
      <c r="C3760" s="21" t="n">
        <v>2011</v>
      </c>
      <c r="D3760" s="21" t="inlineStr">
        <is>
          <t>China</t>
        </is>
      </c>
      <c r="E3760" s="21" t="n">
        <v>146</v>
      </c>
      <c r="F3760" s="21" t="inlineStr">
        <is>
          <t>Mandarin</t>
        </is>
      </c>
      <c r="G3760" s="21" t="inlineStr">
        <is>
          <t>R</t>
        </is>
      </c>
      <c r="H3760" s="22" t="n">
        <v>9213</v>
      </c>
      <c r="I3760" s="22" t="n">
        <v>94000000</v>
      </c>
      <c r="J3760" s="21">
        <f>IF(OR(H3760="",H3760=25529689.5),"Yes","No")</f>
        <v/>
      </c>
      <c r="K3760" s="21">
        <f>IF(AND(D3760="USA",C3760&gt;=1980,J3760="No"),"Yes","No")</f>
        <v/>
      </c>
      <c r="L3760" s="26">
        <f>IF(J3760="Yes","",H3760-I3760)</f>
        <v/>
      </c>
      <c r="M3760" s="27">
        <f>IF(OR(J3760="Yes",I3760=0),"",H3760/I3760)</f>
        <v/>
      </c>
      <c r="N3760" s="21">
        <f>IF(J3760="Yes","",IF(H3760&gt;=I3760,1,0))</f>
        <v/>
      </c>
      <c r="O3760" s="21">
        <f>IF(I3760&lt;=5000000,"Under $5M",IF(I3760&lt;=20000000,"$5M-20M",IF(I3760&lt;=50000000,"$20M-50M",IF(I3760&lt;=100000000,"$50M-100M","$100M+"))))</f>
        <v/>
      </c>
      <c r="P3760" s="21">
        <f>IF(E3760&lt;=90,"90 or less",IF(E3760&lt;=105,"91-105",IF(E3760&lt;=120,"106-120",IF(E3760&lt;=140,"121-140","Over 140"))))</f>
        <v/>
      </c>
      <c r="Q3760" s="28">
        <f>INT(C3760/10)*10</f>
        <v/>
      </c>
    </row>
    <row r="3761">
      <c r="A3761" s="21" t="n">
        <v>3836</v>
      </c>
      <c r="B3761" s="21" t="inlineStr">
        <is>
          <t>The FP</t>
        </is>
      </c>
      <c r="C3761" s="21" t="n">
        <v>2011</v>
      </c>
      <c r="D3761" s="21" t="inlineStr">
        <is>
          <t>USA</t>
        </is>
      </c>
      <c r="E3761" s="21" t="n">
        <v>82</v>
      </c>
      <c r="F3761" s="21" t="inlineStr">
        <is>
          <t>English</t>
        </is>
      </c>
      <c r="G3761" s="21" t="inlineStr">
        <is>
          <t>R</t>
        </is>
      </c>
      <c r="H3761" s="22" t="n">
        <v>40557</v>
      </c>
      <c r="I3761" s="22" t="n">
        <v>60000</v>
      </c>
      <c r="J3761" s="21">
        <f>IF(OR(H3761="",H3761=25529689.5),"Yes","No")</f>
        <v/>
      </c>
      <c r="K3761" s="21">
        <f>IF(AND(D3761="USA",C3761&gt;=1980,J3761="No"),"Yes","No")</f>
        <v/>
      </c>
      <c r="L3761" s="26">
        <f>IF(J3761="Yes","",H3761-I3761)</f>
        <v/>
      </c>
      <c r="M3761" s="27">
        <f>IF(OR(J3761="Yes",I3761=0),"",H3761/I3761)</f>
        <v/>
      </c>
      <c r="N3761" s="21">
        <f>IF(J3761="Yes","",IF(H3761&gt;=I3761,1,0))</f>
        <v/>
      </c>
      <c r="O3761" s="21">
        <f>IF(I3761&lt;=5000000,"Under $5M",IF(I3761&lt;=20000000,"$5M-20M",IF(I3761&lt;=50000000,"$20M-50M",IF(I3761&lt;=100000000,"$50M-100M","$100M+"))))</f>
        <v/>
      </c>
      <c r="P3761" s="21">
        <f>IF(E3761&lt;=90,"90 or less",IF(E3761&lt;=105,"91-105",IF(E3761&lt;=120,"106-120",IF(E3761&lt;=140,"121-140","Over 140"))))</f>
        <v/>
      </c>
      <c r="Q3761" s="28">
        <f>INT(C3761/10)*10</f>
        <v/>
      </c>
    </row>
    <row r="3762">
      <c r="A3762" s="21" t="n">
        <v>3837</v>
      </c>
      <c r="B3762" s="21" t="inlineStr">
        <is>
          <t>The Girl with the Dragon Tattoo</t>
        </is>
      </c>
      <c r="C3762" s="21" t="n">
        <v>2011</v>
      </c>
      <c r="D3762" s="21" t="inlineStr">
        <is>
          <t>USA</t>
        </is>
      </c>
      <c r="E3762" s="21" t="n">
        <v>158</v>
      </c>
      <c r="F3762" s="21" t="inlineStr">
        <is>
          <t>English</t>
        </is>
      </c>
      <c r="G3762" s="21" t="inlineStr">
        <is>
          <t>R</t>
        </is>
      </c>
      <c r="H3762" s="22" t="n">
        <v>102515793</v>
      </c>
      <c r="I3762" s="22" t="n">
        <v>90000000</v>
      </c>
      <c r="J3762" s="21">
        <f>IF(OR(H3762="",H3762=25529689.5),"Yes","No")</f>
        <v/>
      </c>
      <c r="K3762" s="21">
        <f>IF(AND(D3762="USA",C3762&gt;=1980,J3762="No"),"Yes","No")</f>
        <v/>
      </c>
      <c r="L3762" s="26">
        <f>IF(J3762="Yes","",H3762-I3762)</f>
        <v/>
      </c>
      <c r="M3762" s="27">
        <f>IF(OR(J3762="Yes",I3762=0),"",H3762/I3762)</f>
        <v/>
      </c>
      <c r="N3762" s="21">
        <f>IF(J3762="Yes","",IF(H3762&gt;=I3762,1,0))</f>
        <v/>
      </c>
      <c r="O3762" s="21">
        <f>IF(I3762&lt;=5000000,"Under $5M",IF(I3762&lt;=20000000,"$5M-20M",IF(I3762&lt;=50000000,"$20M-50M",IF(I3762&lt;=100000000,"$50M-100M","$100M+"))))</f>
        <v/>
      </c>
      <c r="P3762" s="21">
        <f>IF(E3762&lt;=90,"90 or less",IF(E3762&lt;=105,"91-105",IF(E3762&lt;=120,"106-120",IF(E3762&lt;=140,"121-140","Over 140"))))</f>
        <v/>
      </c>
      <c r="Q3762" s="28">
        <f>INT(C3762/10)*10</f>
        <v/>
      </c>
    </row>
    <row r="3763">
      <c r="A3763" s="21" t="n">
        <v>3838</v>
      </c>
      <c r="B3763" s="21" t="inlineStr">
        <is>
          <t>The Greatest Movie Ever Sold</t>
        </is>
      </c>
      <c r="C3763" s="21" t="n">
        <v>2011</v>
      </c>
      <c r="D3763" s="21" t="inlineStr">
        <is>
          <t>USA</t>
        </is>
      </c>
      <c r="E3763" s="21" t="n">
        <v>90</v>
      </c>
      <c r="F3763" s="21" t="inlineStr">
        <is>
          <t>English</t>
        </is>
      </c>
      <c r="G3763" s="21" t="inlineStr">
        <is>
          <t>PG-13</t>
        </is>
      </c>
      <c r="H3763" s="22" t="n">
        <v>638476</v>
      </c>
      <c r="I3763" s="22" t="n">
        <v>1500000</v>
      </c>
      <c r="J3763" s="21">
        <f>IF(OR(H3763="",H3763=25529689.5),"Yes","No")</f>
        <v/>
      </c>
      <c r="K3763" s="21">
        <f>IF(AND(D3763="USA",C3763&gt;=1980,J3763="No"),"Yes","No")</f>
        <v/>
      </c>
      <c r="L3763" s="26">
        <f>IF(J3763="Yes","",H3763-I3763)</f>
        <v/>
      </c>
      <c r="M3763" s="27">
        <f>IF(OR(J3763="Yes",I3763=0),"",H3763/I3763)</f>
        <v/>
      </c>
      <c r="N3763" s="21">
        <f>IF(J3763="Yes","",IF(H3763&gt;=I3763,1,0))</f>
        <v/>
      </c>
      <c r="O3763" s="21">
        <f>IF(I3763&lt;=5000000,"Under $5M",IF(I3763&lt;=20000000,"$5M-20M",IF(I3763&lt;=50000000,"$20M-50M",IF(I3763&lt;=100000000,"$50M-100M","$100M+"))))</f>
        <v/>
      </c>
      <c r="P3763" s="21">
        <f>IF(E3763&lt;=90,"90 or less",IF(E3763&lt;=105,"91-105",IF(E3763&lt;=120,"106-120",IF(E3763&lt;=140,"121-140","Over 140"))))</f>
        <v/>
      </c>
      <c r="Q3763" s="28">
        <f>INT(C3763/10)*10</f>
        <v/>
      </c>
    </row>
    <row r="3764">
      <c r="A3764" s="21" t="n">
        <v>3839</v>
      </c>
      <c r="B3764" s="21" t="inlineStr">
        <is>
          <t>The Green Hornet</t>
        </is>
      </c>
      <c r="C3764" s="21" t="n">
        <v>2011</v>
      </c>
      <c r="D3764" s="21" t="inlineStr">
        <is>
          <t>USA</t>
        </is>
      </c>
      <c r="E3764" s="21" t="n">
        <v>119</v>
      </c>
      <c r="F3764" s="21" t="inlineStr">
        <is>
          <t>English</t>
        </is>
      </c>
      <c r="G3764" s="21" t="inlineStr">
        <is>
          <t>PG-13</t>
        </is>
      </c>
      <c r="H3764" s="22" t="n">
        <v>98780042</v>
      </c>
      <c r="I3764" s="22" t="n">
        <v>120000000</v>
      </c>
      <c r="J3764" s="21">
        <f>IF(OR(H3764="",H3764=25529689.5),"Yes","No")</f>
        <v/>
      </c>
      <c r="K3764" s="21">
        <f>IF(AND(D3764="USA",C3764&gt;=1980,J3764="No"),"Yes","No")</f>
        <v/>
      </c>
      <c r="L3764" s="26">
        <f>IF(J3764="Yes","",H3764-I3764)</f>
        <v/>
      </c>
      <c r="M3764" s="27">
        <f>IF(OR(J3764="Yes",I3764=0),"",H3764/I3764)</f>
        <v/>
      </c>
      <c r="N3764" s="21">
        <f>IF(J3764="Yes","",IF(H3764&gt;=I3764,1,0))</f>
        <v/>
      </c>
      <c r="O3764" s="21">
        <f>IF(I3764&lt;=5000000,"Under $5M",IF(I3764&lt;=20000000,"$5M-20M",IF(I3764&lt;=50000000,"$20M-50M",IF(I3764&lt;=100000000,"$50M-100M","$100M+"))))</f>
        <v/>
      </c>
      <c r="P3764" s="21">
        <f>IF(E3764&lt;=90,"90 or less",IF(E3764&lt;=105,"91-105",IF(E3764&lt;=120,"106-120",IF(E3764&lt;=140,"121-140","Over 140"))))</f>
        <v/>
      </c>
      <c r="Q3764" s="28">
        <f>INT(C3764/10)*10</f>
        <v/>
      </c>
    </row>
    <row r="3765">
      <c r="A3765" s="21" t="n">
        <v>3840</v>
      </c>
      <c r="B3765" s="21" t="inlineStr">
        <is>
          <t>The Grey</t>
        </is>
      </c>
      <c r="C3765" s="21" t="n">
        <v>2011</v>
      </c>
      <c r="D3765" s="21" t="inlineStr">
        <is>
          <t>USA</t>
        </is>
      </c>
      <c r="E3765" s="21" t="n">
        <v>117</v>
      </c>
      <c r="F3765" s="21" t="inlineStr">
        <is>
          <t>English</t>
        </is>
      </c>
      <c r="G3765" s="21" t="inlineStr">
        <is>
          <t>R</t>
        </is>
      </c>
      <c r="H3765" s="22" t="n">
        <v>51533608</v>
      </c>
      <c r="I3765" s="22" t="n">
        <v>25000000</v>
      </c>
      <c r="J3765" s="21">
        <f>IF(OR(H3765="",H3765=25529689.5),"Yes","No")</f>
        <v/>
      </c>
      <c r="K3765" s="21">
        <f>IF(AND(D3765="USA",C3765&gt;=1980,J3765="No"),"Yes","No")</f>
        <v/>
      </c>
      <c r="L3765" s="26">
        <f>IF(J3765="Yes","",H3765-I3765)</f>
        <v/>
      </c>
      <c r="M3765" s="27">
        <f>IF(OR(J3765="Yes",I3765=0),"",H3765/I3765)</f>
        <v/>
      </c>
      <c r="N3765" s="21">
        <f>IF(J3765="Yes","",IF(H3765&gt;=I3765,1,0))</f>
        <v/>
      </c>
      <c r="O3765" s="21">
        <f>IF(I3765&lt;=5000000,"Under $5M",IF(I3765&lt;=20000000,"$5M-20M",IF(I3765&lt;=50000000,"$20M-50M",IF(I3765&lt;=100000000,"$50M-100M","$100M+"))))</f>
        <v/>
      </c>
      <c r="P3765" s="21">
        <f>IF(E3765&lt;=90,"90 or less",IF(E3765&lt;=105,"91-105",IF(E3765&lt;=120,"106-120",IF(E3765&lt;=140,"121-140","Over 140"))))</f>
        <v/>
      </c>
      <c r="Q3765" s="28">
        <f>INT(C3765/10)*10</f>
        <v/>
      </c>
    </row>
    <row r="3766">
      <c r="A3766" s="21" t="n">
        <v>3841</v>
      </c>
      <c r="B3766" s="21" t="inlineStr">
        <is>
          <t>The Guard</t>
        </is>
      </c>
      <c r="C3766" s="21" t="n">
        <v>2011</v>
      </c>
      <c r="D3766" s="21" t="inlineStr">
        <is>
          <t>Ireland</t>
        </is>
      </c>
      <c r="E3766" s="21" t="n">
        <v>96</v>
      </c>
      <c r="F3766" s="21" t="inlineStr">
        <is>
          <t>English</t>
        </is>
      </c>
      <c r="G3766" s="21" t="inlineStr">
        <is>
          <t>R</t>
        </is>
      </c>
      <c r="H3766" s="22" t="n">
        <v>5359774</v>
      </c>
      <c r="I3766" s="22" t="n">
        <v>6000000</v>
      </c>
      <c r="J3766" s="21">
        <f>IF(OR(H3766="",H3766=25529689.5),"Yes","No")</f>
        <v/>
      </c>
      <c r="K3766" s="21">
        <f>IF(AND(D3766="USA",C3766&gt;=1980,J3766="No"),"Yes","No")</f>
        <v/>
      </c>
      <c r="L3766" s="26">
        <f>IF(J3766="Yes","",H3766-I3766)</f>
        <v/>
      </c>
      <c r="M3766" s="27">
        <f>IF(OR(J3766="Yes",I3766=0),"",H3766/I3766)</f>
        <v/>
      </c>
      <c r="N3766" s="21">
        <f>IF(J3766="Yes","",IF(H3766&gt;=I3766,1,0))</f>
        <v/>
      </c>
      <c r="O3766" s="21">
        <f>IF(I3766&lt;=5000000,"Under $5M",IF(I3766&lt;=20000000,"$5M-20M",IF(I3766&lt;=50000000,"$20M-50M",IF(I3766&lt;=100000000,"$50M-100M","$100M+"))))</f>
        <v/>
      </c>
      <c r="P3766" s="21">
        <f>IF(E3766&lt;=90,"90 or less",IF(E3766&lt;=105,"91-105",IF(E3766&lt;=120,"106-120",IF(E3766&lt;=140,"121-140","Over 140"))))</f>
        <v/>
      </c>
      <c r="Q3766" s="28">
        <f>INT(C3766/10)*10</f>
        <v/>
      </c>
    </row>
    <row r="3767">
      <c r="A3767" s="21" t="n">
        <v>3842</v>
      </c>
      <c r="B3767" s="21" t="inlineStr">
        <is>
          <t>The Hangover Part II</t>
        </is>
      </c>
      <c r="C3767" s="21" t="n">
        <v>2011</v>
      </c>
      <c r="D3767" s="21" t="inlineStr">
        <is>
          <t>USA</t>
        </is>
      </c>
      <c r="E3767" s="21" t="n">
        <v>102</v>
      </c>
      <c r="F3767" s="21" t="inlineStr">
        <is>
          <t>English</t>
        </is>
      </c>
      <c r="G3767" s="21" t="inlineStr">
        <is>
          <t>R</t>
        </is>
      </c>
      <c r="H3767" s="22" t="n">
        <v>254455986</v>
      </c>
      <c r="I3767" s="22" t="n">
        <v>80000000</v>
      </c>
      <c r="J3767" s="21">
        <f>IF(OR(H3767="",H3767=25529689.5),"Yes","No")</f>
        <v/>
      </c>
      <c r="K3767" s="21">
        <f>IF(AND(D3767="USA",C3767&gt;=1980,J3767="No"),"Yes","No")</f>
        <v/>
      </c>
      <c r="L3767" s="26">
        <f>IF(J3767="Yes","",H3767-I3767)</f>
        <v/>
      </c>
      <c r="M3767" s="27">
        <f>IF(OR(J3767="Yes",I3767=0),"",H3767/I3767)</f>
        <v/>
      </c>
      <c r="N3767" s="21">
        <f>IF(J3767="Yes","",IF(H3767&gt;=I3767,1,0))</f>
        <v/>
      </c>
      <c r="O3767" s="21">
        <f>IF(I3767&lt;=5000000,"Under $5M",IF(I3767&lt;=20000000,"$5M-20M",IF(I3767&lt;=50000000,"$20M-50M",IF(I3767&lt;=100000000,"$50M-100M","$100M+"))))</f>
        <v/>
      </c>
      <c r="P3767" s="21">
        <f>IF(E3767&lt;=90,"90 or less",IF(E3767&lt;=105,"91-105",IF(E3767&lt;=120,"106-120",IF(E3767&lt;=140,"121-140","Over 140"))))</f>
        <v/>
      </c>
      <c r="Q3767" s="28">
        <f>INT(C3767/10)*10</f>
        <v/>
      </c>
    </row>
    <row r="3768">
      <c r="A3768" s="21" t="n">
        <v>3843</v>
      </c>
      <c r="B3768" s="21" t="inlineStr">
        <is>
          <t>The Harvest/La Cosecha</t>
        </is>
      </c>
      <c r="C3768" s="21" t="n">
        <v>2011</v>
      </c>
      <c r="D3768" s="21" t="inlineStr">
        <is>
          <t>USA</t>
        </is>
      </c>
      <c r="E3768" s="21" t="n">
        <v>80</v>
      </c>
      <c r="F3768" s="21" t="inlineStr">
        <is>
          <t>English</t>
        </is>
      </c>
      <c r="G3768" s="21" t="n"/>
      <c r="H3768" s="22" t="n">
        <v>2245</v>
      </c>
      <c r="I3768" s="22" t="n">
        <v>560000</v>
      </c>
      <c r="J3768" s="21">
        <f>IF(OR(H3768="",H3768=25529689.5),"Yes","No")</f>
        <v/>
      </c>
      <c r="K3768" s="21">
        <f>IF(AND(D3768="USA",C3768&gt;=1980,J3768="No"),"Yes","No")</f>
        <v/>
      </c>
      <c r="L3768" s="26">
        <f>IF(J3768="Yes","",H3768-I3768)</f>
        <v/>
      </c>
      <c r="M3768" s="27">
        <f>IF(OR(J3768="Yes",I3768=0),"",H3768/I3768)</f>
        <v/>
      </c>
      <c r="N3768" s="21">
        <f>IF(J3768="Yes","",IF(H3768&gt;=I3768,1,0))</f>
        <v/>
      </c>
      <c r="O3768" s="21">
        <f>IF(I3768&lt;=5000000,"Under $5M",IF(I3768&lt;=20000000,"$5M-20M",IF(I3768&lt;=50000000,"$20M-50M",IF(I3768&lt;=100000000,"$50M-100M","$100M+"))))</f>
        <v/>
      </c>
      <c r="P3768" s="21">
        <f>IF(E3768&lt;=90,"90 or less",IF(E3768&lt;=105,"91-105",IF(E3768&lt;=120,"106-120",IF(E3768&lt;=140,"121-140","Over 140"))))</f>
        <v/>
      </c>
      <c r="Q3768" s="28">
        <f>INT(C3768/10)*10</f>
        <v/>
      </c>
    </row>
    <row r="3769">
      <c r="A3769" s="21" t="n">
        <v>3844</v>
      </c>
      <c r="B3769" s="21" t="inlineStr">
        <is>
          <t>The Help</t>
        </is>
      </c>
      <c r="C3769" s="21" t="n">
        <v>2011</v>
      </c>
      <c r="D3769" s="21" t="inlineStr">
        <is>
          <t>USA</t>
        </is>
      </c>
      <c r="E3769" s="21" t="n">
        <v>146</v>
      </c>
      <c r="F3769" s="21" t="inlineStr">
        <is>
          <t>English</t>
        </is>
      </c>
      <c r="G3769" s="21" t="inlineStr">
        <is>
          <t>PG-13</t>
        </is>
      </c>
      <c r="H3769" s="22" t="n">
        <v>169705587</v>
      </c>
      <c r="I3769" s="22" t="n">
        <v>25000000</v>
      </c>
      <c r="J3769" s="21">
        <f>IF(OR(H3769="",H3769=25529689.5),"Yes","No")</f>
        <v/>
      </c>
      <c r="K3769" s="21">
        <f>IF(AND(D3769="USA",C3769&gt;=1980,J3769="No"),"Yes","No")</f>
        <v/>
      </c>
      <c r="L3769" s="26">
        <f>IF(J3769="Yes","",H3769-I3769)</f>
        <v/>
      </c>
      <c r="M3769" s="27">
        <f>IF(OR(J3769="Yes",I3769=0),"",H3769/I3769)</f>
        <v/>
      </c>
      <c r="N3769" s="21">
        <f>IF(J3769="Yes","",IF(H3769&gt;=I3769,1,0))</f>
        <v/>
      </c>
      <c r="O3769" s="21">
        <f>IF(I3769&lt;=5000000,"Under $5M",IF(I3769&lt;=20000000,"$5M-20M",IF(I3769&lt;=50000000,"$20M-50M",IF(I3769&lt;=100000000,"$50M-100M","$100M+"))))</f>
        <v/>
      </c>
      <c r="P3769" s="21">
        <f>IF(E3769&lt;=90,"90 or less",IF(E3769&lt;=105,"91-105",IF(E3769&lt;=120,"106-120",IF(E3769&lt;=140,"121-140","Over 140"))))</f>
        <v/>
      </c>
      <c r="Q3769" s="28">
        <f>INT(C3769/10)*10</f>
        <v/>
      </c>
    </row>
    <row r="3770">
      <c r="A3770" s="21" t="n">
        <v>3845</v>
      </c>
      <c r="B3770" s="21" t="inlineStr">
        <is>
          <t>The Hit List</t>
        </is>
      </c>
      <c r="C3770" s="21" t="n">
        <v>2011</v>
      </c>
      <c r="D3770" s="21" t="inlineStr">
        <is>
          <t>USA</t>
        </is>
      </c>
      <c r="E3770" s="21" t="n">
        <v>90</v>
      </c>
      <c r="F3770" s="21" t="inlineStr">
        <is>
          <t>English</t>
        </is>
      </c>
      <c r="G3770" s="21" t="inlineStr">
        <is>
          <t>R</t>
        </is>
      </c>
      <c r="H3770" s="22" t="n">
        <v>25529689.5</v>
      </c>
      <c r="I3770" s="22" t="n">
        <v>6000000</v>
      </c>
      <c r="J3770" s="21">
        <f>IF(OR(H3770="",H3770=25529689.5),"Yes","No")</f>
        <v/>
      </c>
      <c r="K3770" s="21">
        <f>IF(AND(D3770="USA",C3770&gt;=1980,J3770="No"),"Yes","No")</f>
        <v/>
      </c>
      <c r="L3770" s="26">
        <f>IF(J3770="Yes","",H3770-I3770)</f>
        <v/>
      </c>
      <c r="M3770" s="27">
        <f>IF(OR(J3770="Yes",I3770=0),"",H3770/I3770)</f>
        <v/>
      </c>
      <c r="N3770" s="21">
        <f>IF(J3770="Yes","",IF(H3770&gt;=I3770,1,0))</f>
        <v/>
      </c>
      <c r="O3770" s="21">
        <f>IF(I3770&lt;=5000000,"Under $5M",IF(I3770&lt;=20000000,"$5M-20M",IF(I3770&lt;=50000000,"$20M-50M",IF(I3770&lt;=100000000,"$50M-100M","$100M+"))))</f>
        <v/>
      </c>
      <c r="P3770" s="21">
        <f>IF(E3770&lt;=90,"90 or less",IF(E3770&lt;=105,"91-105",IF(E3770&lt;=120,"106-120",IF(E3770&lt;=140,"121-140","Over 140"))))</f>
        <v/>
      </c>
      <c r="Q3770" s="28">
        <f>INT(C3770/10)*10</f>
        <v/>
      </c>
    </row>
    <row r="3771">
      <c r="A3771" s="21" t="n">
        <v>3846</v>
      </c>
      <c r="B3771" s="21" t="inlineStr">
        <is>
          <t>The Ides of March</t>
        </is>
      </c>
      <c r="C3771" s="21" t="n">
        <v>2011</v>
      </c>
      <c r="D3771" s="21" t="inlineStr">
        <is>
          <t>USA</t>
        </is>
      </c>
      <c r="E3771" s="21" t="n">
        <v>101</v>
      </c>
      <c r="F3771" s="21" t="inlineStr">
        <is>
          <t>English</t>
        </is>
      </c>
      <c r="G3771" s="21" t="inlineStr">
        <is>
          <t>R</t>
        </is>
      </c>
      <c r="H3771" s="22" t="n">
        <v>40962534</v>
      </c>
      <c r="I3771" s="22" t="n">
        <v>12500000</v>
      </c>
      <c r="J3771" s="21">
        <f>IF(OR(H3771="",H3771=25529689.5),"Yes","No")</f>
        <v/>
      </c>
      <c r="K3771" s="21">
        <f>IF(AND(D3771="USA",C3771&gt;=1980,J3771="No"),"Yes","No")</f>
        <v/>
      </c>
      <c r="L3771" s="26">
        <f>IF(J3771="Yes","",H3771-I3771)</f>
        <v/>
      </c>
      <c r="M3771" s="27">
        <f>IF(OR(J3771="Yes",I3771=0),"",H3771/I3771)</f>
        <v/>
      </c>
      <c r="N3771" s="21">
        <f>IF(J3771="Yes","",IF(H3771&gt;=I3771,1,0))</f>
        <v/>
      </c>
      <c r="O3771" s="21">
        <f>IF(I3771&lt;=5000000,"Under $5M",IF(I3771&lt;=20000000,"$5M-20M",IF(I3771&lt;=50000000,"$20M-50M",IF(I3771&lt;=100000000,"$50M-100M","$100M+"))))</f>
        <v/>
      </c>
      <c r="P3771" s="21">
        <f>IF(E3771&lt;=90,"90 or less",IF(E3771&lt;=105,"91-105",IF(E3771&lt;=120,"106-120",IF(E3771&lt;=140,"121-140","Over 140"))))</f>
        <v/>
      </c>
      <c r="Q3771" s="28">
        <f>INT(C3771/10)*10</f>
        <v/>
      </c>
    </row>
    <row r="3772">
      <c r="A3772" s="21" t="n">
        <v>3847</v>
      </c>
      <c r="B3772" s="21" t="inlineStr">
        <is>
          <t>The Innkeepers</t>
        </is>
      </c>
      <c r="C3772" s="21" t="n">
        <v>2011</v>
      </c>
      <c r="D3772" s="21" t="inlineStr">
        <is>
          <t>USA</t>
        </is>
      </c>
      <c r="E3772" s="21" t="n">
        <v>101</v>
      </c>
      <c r="F3772" s="21" t="inlineStr">
        <is>
          <t>English</t>
        </is>
      </c>
      <c r="G3772" s="21" t="inlineStr">
        <is>
          <t>R</t>
        </is>
      </c>
      <c r="H3772" s="22" t="n">
        <v>77501</v>
      </c>
      <c r="I3772" s="22" t="n">
        <v>750000</v>
      </c>
      <c r="J3772" s="21">
        <f>IF(OR(H3772="",H3772=25529689.5),"Yes","No")</f>
        <v/>
      </c>
      <c r="K3772" s="21">
        <f>IF(AND(D3772="USA",C3772&gt;=1980,J3772="No"),"Yes","No")</f>
        <v/>
      </c>
      <c r="L3772" s="26">
        <f>IF(J3772="Yes","",H3772-I3772)</f>
        <v/>
      </c>
      <c r="M3772" s="27">
        <f>IF(OR(J3772="Yes",I3772=0),"",H3772/I3772)</f>
        <v/>
      </c>
      <c r="N3772" s="21">
        <f>IF(J3772="Yes","",IF(H3772&gt;=I3772,1,0))</f>
        <v/>
      </c>
      <c r="O3772" s="21">
        <f>IF(I3772&lt;=5000000,"Under $5M",IF(I3772&lt;=20000000,"$5M-20M",IF(I3772&lt;=50000000,"$20M-50M",IF(I3772&lt;=100000000,"$50M-100M","$100M+"))))</f>
        <v/>
      </c>
      <c r="P3772" s="21">
        <f>IF(E3772&lt;=90,"90 or less",IF(E3772&lt;=105,"91-105",IF(E3772&lt;=120,"106-120",IF(E3772&lt;=140,"121-140","Over 140"))))</f>
        <v/>
      </c>
      <c r="Q3772" s="28">
        <f>INT(C3772/10)*10</f>
        <v/>
      </c>
    </row>
    <row r="3773">
      <c r="A3773" s="21" t="n">
        <v>3848</v>
      </c>
      <c r="B3773" s="21" t="inlineStr">
        <is>
          <t>The Iron Lady</t>
        </is>
      </c>
      <c r="C3773" s="21" t="n">
        <v>2011</v>
      </c>
      <c r="D3773" s="21" t="inlineStr">
        <is>
          <t>UK</t>
        </is>
      </c>
      <c r="E3773" s="21" t="n">
        <v>105</v>
      </c>
      <c r="F3773" s="21" t="inlineStr">
        <is>
          <t>English</t>
        </is>
      </c>
      <c r="G3773" s="21" t="inlineStr">
        <is>
          <t>PG-13</t>
        </is>
      </c>
      <c r="H3773" s="22" t="n">
        <v>29959436</v>
      </c>
      <c r="I3773" s="22" t="n">
        <v>13000000</v>
      </c>
      <c r="J3773" s="21">
        <f>IF(OR(H3773="",H3773=25529689.5),"Yes","No")</f>
        <v/>
      </c>
      <c r="K3773" s="21">
        <f>IF(AND(D3773="USA",C3773&gt;=1980,J3773="No"),"Yes","No")</f>
        <v/>
      </c>
      <c r="L3773" s="26">
        <f>IF(J3773="Yes","",H3773-I3773)</f>
        <v/>
      </c>
      <c r="M3773" s="27">
        <f>IF(OR(J3773="Yes",I3773=0),"",H3773/I3773)</f>
        <v/>
      </c>
      <c r="N3773" s="21">
        <f>IF(J3773="Yes","",IF(H3773&gt;=I3773,1,0))</f>
        <v/>
      </c>
      <c r="O3773" s="21">
        <f>IF(I3773&lt;=5000000,"Under $5M",IF(I3773&lt;=20000000,"$5M-20M",IF(I3773&lt;=50000000,"$20M-50M",IF(I3773&lt;=100000000,"$50M-100M","$100M+"))))</f>
        <v/>
      </c>
      <c r="P3773" s="21">
        <f>IF(E3773&lt;=90,"90 or less",IF(E3773&lt;=105,"91-105",IF(E3773&lt;=120,"106-120",IF(E3773&lt;=140,"121-140","Over 140"))))</f>
        <v/>
      </c>
      <c r="Q3773" s="28">
        <f>INT(C3773/10)*10</f>
        <v/>
      </c>
    </row>
    <row r="3774">
      <c r="A3774" s="21" t="n">
        <v>3849</v>
      </c>
      <c r="B3774" s="21" t="inlineStr">
        <is>
          <t>The Legend of Hell's Gate: An American Conspiracy</t>
        </is>
      </c>
      <c r="C3774" s="21" t="n">
        <v>2011</v>
      </c>
      <c r="D3774" s="21" t="inlineStr">
        <is>
          <t>USA</t>
        </is>
      </c>
      <c r="E3774" s="21" t="n">
        <v>108</v>
      </c>
      <c r="F3774" s="21" t="inlineStr">
        <is>
          <t>English</t>
        </is>
      </c>
      <c r="G3774" s="21" t="inlineStr">
        <is>
          <t>PG-13</t>
        </is>
      </c>
      <c r="H3774" s="22" t="n">
        <v>25529689.5</v>
      </c>
      <c r="I3774" s="22" t="n">
        <v>2000000</v>
      </c>
      <c r="J3774" s="21">
        <f>IF(OR(H3774="",H3774=25529689.5),"Yes","No")</f>
        <v/>
      </c>
      <c r="K3774" s="21">
        <f>IF(AND(D3774="USA",C3774&gt;=1980,J3774="No"),"Yes","No")</f>
        <v/>
      </c>
      <c r="L3774" s="26">
        <f>IF(J3774="Yes","",H3774-I3774)</f>
        <v/>
      </c>
      <c r="M3774" s="27">
        <f>IF(OR(J3774="Yes",I3774=0),"",H3774/I3774)</f>
        <v/>
      </c>
      <c r="N3774" s="21">
        <f>IF(J3774="Yes","",IF(H3774&gt;=I3774,1,0))</f>
        <v/>
      </c>
      <c r="O3774" s="21">
        <f>IF(I3774&lt;=5000000,"Under $5M",IF(I3774&lt;=20000000,"$5M-20M",IF(I3774&lt;=50000000,"$20M-50M",IF(I3774&lt;=100000000,"$50M-100M","$100M+"))))</f>
        <v/>
      </c>
      <c r="P3774" s="21">
        <f>IF(E3774&lt;=90,"90 or less",IF(E3774&lt;=105,"91-105",IF(E3774&lt;=120,"106-120",IF(E3774&lt;=140,"121-140","Over 140"))))</f>
        <v/>
      </c>
      <c r="Q3774" s="28">
        <f>INT(C3774/10)*10</f>
        <v/>
      </c>
    </row>
    <row r="3775">
      <c r="A3775" s="21" t="n">
        <v>3850</v>
      </c>
      <c r="B3775" s="21" t="inlineStr">
        <is>
          <t>The Lincoln Lawyer</t>
        </is>
      </c>
      <c r="C3775" s="21" t="n">
        <v>2011</v>
      </c>
      <c r="D3775" s="21" t="inlineStr">
        <is>
          <t>USA</t>
        </is>
      </c>
      <c r="E3775" s="21" t="n">
        <v>118</v>
      </c>
      <c r="F3775" s="21" t="inlineStr">
        <is>
          <t>English</t>
        </is>
      </c>
      <c r="G3775" s="21" t="inlineStr">
        <is>
          <t>R</t>
        </is>
      </c>
      <c r="H3775" s="22" t="n">
        <v>57981889</v>
      </c>
      <c r="I3775" s="22" t="n">
        <v>40000000</v>
      </c>
      <c r="J3775" s="21">
        <f>IF(OR(H3775="",H3775=25529689.5),"Yes","No")</f>
        <v/>
      </c>
      <c r="K3775" s="21">
        <f>IF(AND(D3775="USA",C3775&gt;=1980,J3775="No"),"Yes","No")</f>
        <v/>
      </c>
      <c r="L3775" s="26">
        <f>IF(J3775="Yes","",H3775-I3775)</f>
        <v/>
      </c>
      <c r="M3775" s="27">
        <f>IF(OR(J3775="Yes",I3775=0),"",H3775/I3775)</f>
        <v/>
      </c>
      <c r="N3775" s="21">
        <f>IF(J3775="Yes","",IF(H3775&gt;=I3775,1,0))</f>
        <v/>
      </c>
      <c r="O3775" s="21">
        <f>IF(I3775&lt;=5000000,"Under $5M",IF(I3775&lt;=20000000,"$5M-20M",IF(I3775&lt;=50000000,"$20M-50M",IF(I3775&lt;=100000000,"$50M-100M","$100M+"))))</f>
        <v/>
      </c>
      <c r="P3775" s="21">
        <f>IF(E3775&lt;=90,"90 or less",IF(E3775&lt;=105,"91-105",IF(E3775&lt;=120,"106-120",IF(E3775&lt;=140,"121-140","Over 140"))))</f>
        <v/>
      </c>
      <c r="Q3775" s="28">
        <f>INT(C3775/10)*10</f>
        <v/>
      </c>
    </row>
    <row r="3776">
      <c r="A3776" s="21" t="n">
        <v>3851</v>
      </c>
      <c r="B3776" s="21" t="inlineStr">
        <is>
          <t>The Lion of Judah</t>
        </is>
      </c>
      <c r="C3776" s="21" t="n">
        <v>2011</v>
      </c>
      <c r="D3776" s="21" t="inlineStr">
        <is>
          <t>USA</t>
        </is>
      </c>
      <c r="E3776" s="21" t="n">
        <v>87</v>
      </c>
      <c r="F3776" s="21" t="inlineStr">
        <is>
          <t>English</t>
        </is>
      </c>
      <c r="G3776" s="21" t="inlineStr">
        <is>
          <t>PG</t>
        </is>
      </c>
      <c r="H3776" s="22" t="n">
        <v>25529689.5</v>
      </c>
      <c r="I3776" s="22" t="n">
        <v>15000000</v>
      </c>
      <c r="J3776" s="21">
        <f>IF(OR(H3776="",H3776=25529689.5),"Yes","No")</f>
        <v/>
      </c>
      <c r="K3776" s="21">
        <f>IF(AND(D3776="USA",C3776&gt;=1980,J3776="No"),"Yes","No")</f>
        <v/>
      </c>
      <c r="L3776" s="26">
        <f>IF(J3776="Yes","",H3776-I3776)</f>
        <v/>
      </c>
      <c r="M3776" s="27">
        <f>IF(OR(J3776="Yes",I3776=0),"",H3776/I3776)</f>
        <v/>
      </c>
      <c r="N3776" s="21">
        <f>IF(J3776="Yes","",IF(H3776&gt;=I3776,1,0))</f>
        <v/>
      </c>
      <c r="O3776" s="21">
        <f>IF(I3776&lt;=5000000,"Under $5M",IF(I3776&lt;=20000000,"$5M-20M",IF(I3776&lt;=50000000,"$20M-50M",IF(I3776&lt;=100000000,"$50M-100M","$100M+"))))</f>
        <v/>
      </c>
      <c r="P3776" s="21">
        <f>IF(E3776&lt;=90,"90 or less",IF(E3776&lt;=105,"91-105",IF(E3776&lt;=120,"106-120",IF(E3776&lt;=140,"121-140","Over 140"))))</f>
        <v/>
      </c>
      <c r="Q3776" s="28">
        <f>INT(C3776/10)*10</f>
        <v/>
      </c>
    </row>
    <row r="3777">
      <c r="A3777" s="21" t="n">
        <v>3852</v>
      </c>
      <c r="B3777" s="21" t="inlineStr">
        <is>
          <t>The Mechanic</t>
        </is>
      </c>
      <c r="C3777" s="21" t="n">
        <v>2011</v>
      </c>
      <c r="D3777" s="21" t="inlineStr">
        <is>
          <t>USA</t>
        </is>
      </c>
      <c r="E3777" s="21" t="n">
        <v>93</v>
      </c>
      <c r="F3777" s="21" t="inlineStr">
        <is>
          <t>English</t>
        </is>
      </c>
      <c r="G3777" s="21" t="inlineStr">
        <is>
          <t>R</t>
        </is>
      </c>
      <c r="H3777" s="22" t="n">
        <v>29113588</v>
      </c>
      <c r="I3777" s="22" t="n">
        <v>40000000</v>
      </c>
      <c r="J3777" s="21">
        <f>IF(OR(H3777="",H3777=25529689.5),"Yes","No")</f>
        <v/>
      </c>
      <c r="K3777" s="21">
        <f>IF(AND(D3777="USA",C3777&gt;=1980,J3777="No"),"Yes","No")</f>
        <v/>
      </c>
      <c r="L3777" s="26">
        <f>IF(J3777="Yes","",H3777-I3777)</f>
        <v/>
      </c>
      <c r="M3777" s="27">
        <f>IF(OR(J3777="Yes",I3777=0),"",H3777/I3777)</f>
        <v/>
      </c>
      <c r="N3777" s="21">
        <f>IF(J3777="Yes","",IF(H3777&gt;=I3777,1,0))</f>
        <v/>
      </c>
      <c r="O3777" s="21">
        <f>IF(I3777&lt;=5000000,"Under $5M",IF(I3777&lt;=20000000,"$5M-20M",IF(I3777&lt;=50000000,"$20M-50M",IF(I3777&lt;=100000000,"$50M-100M","$100M+"))))</f>
        <v/>
      </c>
      <c r="P3777" s="21">
        <f>IF(E3777&lt;=90,"90 or less",IF(E3777&lt;=105,"91-105",IF(E3777&lt;=120,"106-120",IF(E3777&lt;=140,"121-140","Over 140"))))</f>
        <v/>
      </c>
      <c r="Q3777" s="28">
        <f>INT(C3777/10)*10</f>
        <v/>
      </c>
    </row>
    <row r="3778">
      <c r="A3778" s="21" t="n">
        <v>3853</v>
      </c>
      <c r="B3778" s="21" t="inlineStr">
        <is>
          <t>The Muppets</t>
        </is>
      </c>
      <c r="C3778" s="21" t="n">
        <v>2011</v>
      </c>
      <c r="D3778" s="21" t="inlineStr">
        <is>
          <t>USA</t>
        </is>
      </c>
      <c r="E3778" s="21" t="n">
        <v>103</v>
      </c>
      <c r="F3778" s="21" t="inlineStr">
        <is>
          <t>English</t>
        </is>
      </c>
      <c r="G3778" s="21" t="inlineStr">
        <is>
          <t>PG</t>
        </is>
      </c>
      <c r="H3778" s="22" t="n">
        <v>88625922</v>
      </c>
      <c r="I3778" s="22" t="n">
        <v>45000000</v>
      </c>
      <c r="J3778" s="21">
        <f>IF(OR(H3778="",H3778=25529689.5),"Yes","No")</f>
        <v/>
      </c>
      <c r="K3778" s="21">
        <f>IF(AND(D3778="USA",C3778&gt;=1980,J3778="No"),"Yes","No")</f>
        <v/>
      </c>
      <c r="L3778" s="26">
        <f>IF(J3778="Yes","",H3778-I3778)</f>
        <v/>
      </c>
      <c r="M3778" s="27">
        <f>IF(OR(J3778="Yes",I3778=0),"",H3778/I3778)</f>
        <v/>
      </c>
      <c r="N3778" s="21">
        <f>IF(J3778="Yes","",IF(H3778&gt;=I3778,1,0))</f>
        <v/>
      </c>
      <c r="O3778" s="21">
        <f>IF(I3778&lt;=5000000,"Under $5M",IF(I3778&lt;=20000000,"$5M-20M",IF(I3778&lt;=50000000,"$20M-50M",IF(I3778&lt;=100000000,"$50M-100M","$100M+"))))</f>
        <v/>
      </c>
      <c r="P3778" s="21">
        <f>IF(E3778&lt;=90,"90 or less",IF(E3778&lt;=105,"91-105",IF(E3778&lt;=120,"106-120",IF(E3778&lt;=140,"121-140","Over 140"))))</f>
        <v/>
      </c>
      <c r="Q3778" s="28">
        <f>INT(C3778/10)*10</f>
        <v/>
      </c>
    </row>
    <row r="3779">
      <c r="A3779" s="21" t="n">
        <v>3854</v>
      </c>
      <c r="B3779" s="21" t="inlineStr">
        <is>
          <t>The Raid: Redemption</t>
        </is>
      </c>
      <c r="C3779" s="21" t="n">
        <v>2011</v>
      </c>
      <c r="D3779" s="21" t="inlineStr">
        <is>
          <t>Indonesia</t>
        </is>
      </c>
      <c r="E3779" s="21" t="n">
        <v>102</v>
      </c>
      <c r="F3779" s="21" t="inlineStr">
        <is>
          <t>Indonesian</t>
        </is>
      </c>
      <c r="G3779" s="21" t="inlineStr">
        <is>
          <t>R</t>
        </is>
      </c>
      <c r="H3779" s="22" t="n">
        <v>4105123</v>
      </c>
      <c r="I3779" s="22" t="n">
        <v>1100000</v>
      </c>
      <c r="J3779" s="21">
        <f>IF(OR(H3779="",H3779=25529689.5),"Yes","No")</f>
        <v/>
      </c>
      <c r="K3779" s="21">
        <f>IF(AND(D3779="USA",C3779&gt;=1980,J3779="No"),"Yes","No")</f>
        <v/>
      </c>
      <c r="L3779" s="26">
        <f>IF(J3779="Yes","",H3779-I3779)</f>
        <v/>
      </c>
      <c r="M3779" s="27">
        <f>IF(OR(J3779="Yes",I3779=0),"",H3779/I3779)</f>
        <v/>
      </c>
      <c r="N3779" s="21">
        <f>IF(J3779="Yes","",IF(H3779&gt;=I3779,1,0))</f>
        <v/>
      </c>
      <c r="O3779" s="21">
        <f>IF(I3779&lt;=5000000,"Under $5M",IF(I3779&lt;=20000000,"$5M-20M",IF(I3779&lt;=50000000,"$20M-50M",IF(I3779&lt;=100000000,"$50M-100M","$100M+"))))</f>
        <v/>
      </c>
      <c r="P3779" s="21">
        <f>IF(E3779&lt;=90,"90 or less",IF(E3779&lt;=105,"91-105",IF(E3779&lt;=120,"106-120",IF(E3779&lt;=140,"121-140","Over 140"))))</f>
        <v/>
      </c>
      <c r="Q3779" s="28">
        <f>INT(C3779/10)*10</f>
        <v/>
      </c>
    </row>
    <row r="3780">
      <c r="A3780" s="21" t="n">
        <v>3855</v>
      </c>
      <c r="B3780" s="21" t="inlineStr">
        <is>
          <t>The Ridges</t>
        </is>
      </c>
      <c r="C3780" s="21" t="n">
        <v>2011</v>
      </c>
      <c r="D3780" s="21" t="inlineStr">
        <is>
          <t>USA</t>
        </is>
      </c>
      <c r="E3780" s="21" t="n">
        <v>143</v>
      </c>
      <c r="F3780" s="21" t="inlineStr">
        <is>
          <t>English</t>
        </is>
      </c>
      <c r="G3780" s="21" t="n"/>
      <c r="H3780" s="22" t="n">
        <v>25529689.5</v>
      </c>
      <c r="I3780" s="22" t="n">
        <v>17350</v>
      </c>
      <c r="J3780" s="21">
        <f>IF(OR(H3780="",H3780=25529689.5),"Yes","No")</f>
        <v/>
      </c>
      <c r="K3780" s="21">
        <f>IF(AND(D3780="USA",C3780&gt;=1980,J3780="No"),"Yes","No")</f>
        <v/>
      </c>
      <c r="L3780" s="26">
        <f>IF(J3780="Yes","",H3780-I3780)</f>
        <v/>
      </c>
      <c r="M3780" s="27">
        <f>IF(OR(J3780="Yes",I3780=0),"",H3780/I3780)</f>
        <v/>
      </c>
      <c r="N3780" s="21">
        <f>IF(J3780="Yes","",IF(H3780&gt;=I3780,1,0))</f>
        <v/>
      </c>
      <c r="O3780" s="21">
        <f>IF(I3780&lt;=5000000,"Under $5M",IF(I3780&lt;=20000000,"$5M-20M",IF(I3780&lt;=50000000,"$20M-50M",IF(I3780&lt;=100000000,"$50M-100M","$100M+"))))</f>
        <v/>
      </c>
      <c r="P3780" s="21">
        <f>IF(E3780&lt;=90,"90 or less",IF(E3780&lt;=105,"91-105",IF(E3780&lt;=120,"106-120",IF(E3780&lt;=140,"121-140","Over 140"))))</f>
        <v/>
      </c>
      <c r="Q3780" s="28">
        <f>INT(C3780/10)*10</f>
        <v/>
      </c>
    </row>
    <row r="3781">
      <c r="A3781" s="21" t="n">
        <v>3856</v>
      </c>
      <c r="B3781" s="21" t="inlineStr">
        <is>
          <t>The Rite</t>
        </is>
      </c>
      <c r="C3781" s="21" t="n">
        <v>2011</v>
      </c>
      <c r="D3781" s="21" t="inlineStr">
        <is>
          <t>USA</t>
        </is>
      </c>
      <c r="E3781" s="21" t="n">
        <v>114</v>
      </c>
      <c r="F3781" s="21" t="inlineStr">
        <is>
          <t>English</t>
        </is>
      </c>
      <c r="G3781" s="21" t="inlineStr">
        <is>
          <t>PG-13</t>
        </is>
      </c>
      <c r="H3781" s="22" t="n">
        <v>33037754</v>
      </c>
      <c r="I3781" s="22" t="n">
        <v>37000000</v>
      </c>
      <c r="J3781" s="21">
        <f>IF(OR(H3781="",H3781=25529689.5),"Yes","No")</f>
        <v/>
      </c>
      <c r="K3781" s="21">
        <f>IF(AND(D3781="USA",C3781&gt;=1980,J3781="No"),"Yes","No")</f>
        <v/>
      </c>
      <c r="L3781" s="26">
        <f>IF(J3781="Yes","",H3781-I3781)</f>
        <v/>
      </c>
      <c r="M3781" s="27">
        <f>IF(OR(J3781="Yes",I3781=0),"",H3781/I3781)</f>
        <v/>
      </c>
      <c r="N3781" s="21">
        <f>IF(J3781="Yes","",IF(H3781&gt;=I3781,1,0))</f>
        <v/>
      </c>
      <c r="O3781" s="21">
        <f>IF(I3781&lt;=5000000,"Under $5M",IF(I3781&lt;=20000000,"$5M-20M",IF(I3781&lt;=50000000,"$20M-50M",IF(I3781&lt;=100000000,"$50M-100M","$100M+"))))</f>
        <v/>
      </c>
      <c r="P3781" s="21">
        <f>IF(E3781&lt;=90,"90 or less",IF(E3781&lt;=105,"91-105",IF(E3781&lt;=120,"106-120",IF(E3781&lt;=140,"121-140","Over 140"))))</f>
        <v/>
      </c>
      <c r="Q3781" s="28">
        <f>INT(C3781/10)*10</f>
        <v/>
      </c>
    </row>
    <row r="3782">
      <c r="A3782" s="21" t="n">
        <v>3857</v>
      </c>
      <c r="B3782" s="21" t="inlineStr">
        <is>
          <t>The Roommate</t>
        </is>
      </c>
      <c r="C3782" s="21" t="n">
        <v>2011</v>
      </c>
      <c r="D3782" s="21" t="inlineStr">
        <is>
          <t>USA</t>
        </is>
      </c>
      <c r="E3782" s="21" t="n">
        <v>91</v>
      </c>
      <c r="F3782" s="21" t="inlineStr">
        <is>
          <t>English</t>
        </is>
      </c>
      <c r="G3782" s="21" t="inlineStr">
        <is>
          <t>PG-13</t>
        </is>
      </c>
      <c r="H3782" s="22" t="n">
        <v>37300107</v>
      </c>
      <c r="I3782" s="22" t="n">
        <v>16000000</v>
      </c>
      <c r="J3782" s="21">
        <f>IF(OR(H3782="",H3782=25529689.5),"Yes","No")</f>
        <v/>
      </c>
      <c r="K3782" s="21">
        <f>IF(AND(D3782="USA",C3782&gt;=1980,J3782="No"),"Yes","No")</f>
        <v/>
      </c>
      <c r="L3782" s="26">
        <f>IF(J3782="Yes","",H3782-I3782)</f>
        <v/>
      </c>
      <c r="M3782" s="27">
        <f>IF(OR(J3782="Yes",I3782=0),"",H3782/I3782)</f>
        <v/>
      </c>
      <c r="N3782" s="21">
        <f>IF(J3782="Yes","",IF(H3782&gt;=I3782,1,0))</f>
        <v/>
      </c>
      <c r="O3782" s="21">
        <f>IF(I3782&lt;=5000000,"Under $5M",IF(I3782&lt;=20000000,"$5M-20M",IF(I3782&lt;=50000000,"$20M-50M",IF(I3782&lt;=100000000,"$50M-100M","$100M+"))))</f>
        <v/>
      </c>
      <c r="P3782" s="21">
        <f>IF(E3782&lt;=90,"90 or less",IF(E3782&lt;=105,"91-105",IF(E3782&lt;=120,"106-120",IF(E3782&lt;=140,"121-140","Over 140"))))</f>
        <v/>
      </c>
      <c r="Q3782" s="28">
        <f>INT(C3782/10)*10</f>
        <v/>
      </c>
    </row>
    <row r="3783">
      <c r="A3783" s="21" t="n">
        <v>3858</v>
      </c>
      <c r="B3783" s="21" t="inlineStr">
        <is>
          <t>The Sitter</t>
        </is>
      </c>
      <c r="C3783" s="21" t="n">
        <v>2011</v>
      </c>
      <c r="D3783" s="21" t="inlineStr">
        <is>
          <t>USA</t>
        </is>
      </c>
      <c r="E3783" s="21" t="n">
        <v>87</v>
      </c>
      <c r="F3783" s="21" t="inlineStr">
        <is>
          <t>English</t>
        </is>
      </c>
      <c r="G3783" s="21" t="inlineStr">
        <is>
          <t>R</t>
        </is>
      </c>
      <c r="H3783" s="22" t="n">
        <v>30538669</v>
      </c>
      <c r="I3783" s="22" t="n">
        <v>20000000</v>
      </c>
      <c r="J3783" s="21">
        <f>IF(OR(H3783="",H3783=25529689.5),"Yes","No")</f>
        <v/>
      </c>
      <c r="K3783" s="21">
        <f>IF(AND(D3783="USA",C3783&gt;=1980,J3783="No"),"Yes","No")</f>
        <v/>
      </c>
      <c r="L3783" s="26">
        <f>IF(J3783="Yes","",H3783-I3783)</f>
        <v/>
      </c>
      <c r="M3783" s="27">
        <f>IF(OR(J3783="Yes",I3783=0),"",H3783/I3783)</f>
        <v/>
      </c>
      <c r="N3783" s="21">
        <f>IF(J3783="Yes","",IF(H3783&gt;=I3783,1,0))</f>
        <v/>
      </c>
      <c r="O3783" s="21">
        <f>IF(I3783&lt;=5000000,"Under $5M",IF(I3783&lt;=20000000,"$5M-20M",IF(I3783&lt;=50000000,"$20M-50M",IF(I3783&lt;=100000000,"$50M-100M","$100M+"))))</f>
        <v/>
      </c>
      <c r="P3783" s="21">
        <f>IF(E3783&lt;=90,"90 or less",IF(E3783&lt;=105,"91-105",IF(E3783&lt;=120,"106-120",IF(E3783&lt;=140,"121-140","Over 140"))))</f>
        <v/>
      </c>
      <c r="Q3783" s="28">
        <f>INT(C3783/10)*10</f>
        <v/>
      </c>
    </row>
    <row r="3784">
      <c r="A3784" s="21" t="n">
        <v>3859</v>
      </c>
      <c r="B3784" s="21" t="inlineStr">
        <is>
          <t>The Smurfs</t>
        </is>
      </c>
      <c r="C3784" s="21" t="n">
        <v>2011</v>
      </c>
      <c r="D3784" s="21" t="inlineStr">
        <is>
          <t>USA</t>
        </is>
      </c>
      <c r="E3784" s="21" t="n">
        <v>103</v>
      </c>
      <c r="F3784" s="21" t="inlineStr">
        <is>
          <t>English</t>
        </is>
      </c>
      <c r="G3784" s="21" t="inlineStr">
        <is>
          <t>PG</t>
        </is>
      </c>
      <c r="H3784" s="22" t="n">
        <v>142614158</v>
      </c>
      <c r="I3784" s="22" t="n">
        <v>110000000</v>
      </c>
      <c r="J3784" s="21">
        <f>IF(OR(H3784="",H3784=25529689.5),"Yes","No")</f>
        <v/>
      </c>
      <c r="K3784" s="21">
        <f>IF(AND(D3784="USA",C3784&gt;=1980,J3784="No"),"Yes","No")</f>
        <v/>
      </c>
      <c r="L3784" s="26">
        <f>IF(J3784="Yes","",H3784-I3784)</f>
        <v/>
      </c>
      <c r="M3784" s="27">
        <f>IF(OR(J3784="Yes",I3784=0),"",H3784/I3784)</f>
        <v/>
      </c>
      <c r="N3784" s="21">
        <f>IF(J3784="Yes","",IF(H3784&gt;=I3784,1,0))</f>
        <v/>
      </c>
      <c r="O3784" s="21">
        <f>IF(I3784&lt;=5000000,"Under $5M",IF(I3784&lt;=20000000,"$5M-20M",IF(I3784&lt;=50000000,"$20M-50M",IF(I3784&lt;=100000000,"$50M-100M","$100M+"))))</f>
        <v/>
      </c>
      <c r="P3784" s="21">
        <f>IF(E3784&lt;=90,"90 or less",IF(E3784&lt;=105,"91-105",IF(E3784&lt;=120,"106-120",IF(E3784&lt;=140,"121-140","Over 140"))))</f>
        <v/>
      </c>
      <c r="Q3784" s="28">
        <f>INT(C3784/10)*10</f>
        <v/>
      </c>
    </row>
    <row r="3785">
      <c r="A3785" s="21" t="n">
        <v>3860</v>
      </c>
      <c r="B3785" s="21" t="inlineStr">
        <is>
          <t>The Son of No One</t>
        </is>
      </c>
      <c r="C3785" s="21" t="n">
        <v>2011</v>
      </c>
      <c r="D3785" s="21" t="inlineStr">
        <is>
          <t>USA</t>
        </is>
      </c>
      <c r="E3785" s="21" t="n">
        <v>90</v>
      </c>
      <c r="F3785" s="21" t="inlineStr">
        <is>
          <t>English</t>
        </is>
      </c>
      <c r="G3785" s="21" t="inlineStr">
        <is>
          <t>R</t>
        </is>
      </c>
      <c r="H3785" s="22" t="n">
        <v>28870</v>
      </c>
      <c r="I3785" s="22" t="n">
        <v>15000000</v>
      </c>
      <c r="J3785" s="21">
        <f>IF(OR(H3785="",H3785=25529689.5),"Yes","No")</f>
        <v/>
      </c>
      <c r="K3785" s="21">
        <f>IF(AND(D3785="USA",C3785&gt;=1980,J3785="No"),"Yes","No")</f>
        <v/>
      </c>
      <c r="L3785" s="26">
        <f>IF(J3785="Yes","",H3785-I3785)</f>
        <v/>
      </c>
      <c r="M3785" s="27">
        <f>IF(OR(J3785="Yes",I3785=0),"",H3785/I3785)</f>
        <v/>
      </c>
      <c r="N3785" s="21">
        <f>IF(J3785="Yes","",IF(H3785&gt;=I3785,1,0))</f>
        <v/>
      </c>
      <c r="O3785" s="21">
        <f>IF(I3785&lt;=5000000,"Under $5M",IF(I3785&lt;=20000000,"$5M-20M",IF(I3785&lt;=50000000,"$20M-50M",IF(I3785&lt;=100000000,"$50M-100M","$100M+"))))</f>
        <v/>
      </c>
      <c r="P3785" s="21">
        <f>IF(E3785&lt;=90,"90 or less",IF(E3785&lt;=105,"91-105",IF(E3785&lt;=120,"106-120",IF(E3785&lt;=140,"121-140","Over 140"))))</f>
        <v/>
      </c>
      <c r="Q3785" s="28">
        <f>INT(C3785/10)*10</f>
        <v/>
      </c>
    </row>
    <row r="3786">
      <c r="A3786" s="21" t="n">
        <v>3861</v>
      </c>
      <c r="B3786" s="21" t="inlineStr">
        <is>
          <t>The Three Musketeers</t>
        </is>
      </c>
      <c r="C3786" s="21" t="n">
        <v>2011</v>
      </c>
      <c r="D3786" s="21" t="inlineStr">
        <is>
          <t>Germany</t>
        </is>
      </c>
      <c r="E3786" s="21" t="n">
        <v>110</v>
      </c>
      <c r="F3786" s="21" t="inlineStr">
        <is>
          <t>English</t>
        </is>
      </c>
      <c r="G3786" s="21" t="inlineStr">
        <is>
          <t>PG-13</t>
        </is>
      </c>
      <c r="H3786" s="22" t="n">
        <v>20315324</v>
      </c>
      <c r="I3786" s="22" t="n">
        <v>75000000</v>
      </c>
      <c r="J3786" s="21">
        <f>IF(OR(H3786="",H3786=25529689.5),"Yes","No")</f>
        <v/>
      </c>
      <c r="K3786" s="21">
        <f>IF(AND(D3786="USA",C3786&gt;=1980,J3786="No"),"Yes","No")</f>
        <v/>
      </c>
      <c r="L3786" s="26">
        <f>IF(J3786="Yes","",H3786-I3786)</f>
        <v/>
      </c>
      <c r="M3786" s="27">
        <f>IF(OR(J3786="Yes",I3786=0),"",H3786/I3786)</f>
        <v/>
      </c>
      <c r="N3786" s="21">
        <f>IF(J3786="Yes","",IF(H3786&gt;=I3786,1,0))</f>
        <v/>
      </c>
      <c r="O3786" s="21">
        <f>IF(I3786&lt;=5000000,"Under $5M",IF(I3786&lt;=20000000,"$5M-20M",IF(I3786&lt;=50000000,"$20M-50M",IF(I3786&lt;=100000000,"$50M-100M","$100M+"))))</f>
        <v/>
      </c>
      <c r="P3786" s="21">
        <f>IF(E3786&lt;=90,"90 or less",IF(E3786&lt;=105,"91-105",IF(E3786&lt;=120,"106-120",IF(E3786&lt;=140,"121-140","Over 140"))))</f>
        <v/>
      </c>
      <c r="Q3786" s="28">
        <f>INT(C3786/10)*10</f>
        <v/>
      </c>
    </row>
    <row r="3787">
      <c r="A3787" s="21" t="n">
        <v>3862</v>
      </c>
      <c r="B3787" s="21" t="inlineStr">
        <is>
          <t>The Tree of Life</t>
        </is>
      </c>
      <c r="C3787" s="21" t="n">
        <v>2011</v>
      </c>
      <c r="D3787" s="21" t="inlineStr">
        <is>
          <t>USA</t>
        </is>
      </c>
      <c r="E3787" s="21" t="n">
        <v>139</v>
      </c>
      <c r="F3787" s="21" t="inlineStr">
        <is>
          <t>English</t>
        </is>
      </c>
      <c r="G3787" s="21" t="inlineStr">
        <is>
          <t>PG-13</t>
        </is>
      </c>
      <c r="H3787" s="22" t="n">
        <v>13303319</v>
      </c>
      <c r="I3787" s="22" t="n">
        <v>32000000</v>
      </c>
      <c r="J3787" s="21">
        <f>IF(OR(H3787="",H3787=25529689.5),"Yes","No")</f>
        <v/>
      </c>
      <c r="K3787" s="21">
        <f>IF(AND(D3787="USA",C3787&gt;=1980,J3787="No"),"Yes","No")</f>
        <v/>
      </c>
      <c r="L3787" s="26">
        <f>IF(J3787="Yes","",H3787-I3787)</f>
        <v/>
      </c>
      <c r="M3787" s="27">
        <f>IF(OR(J3787="Yes",I3787=0),"",H3787/I3787)</f>
        <v/>
      </c>
      <c r="N3787" s="21">
        <f>IF(J3787="Yes","",IF(H3787&gt;=I3787,1,0))</f>
        <v/>
      </c>
      <c r="O3787" s="21">
        <f>IF(I3787&lt;=5000000,"Under $5M",IF(I3787&lt;=20000000,"$5M-20M",IF(I3787&lt;=50000000,"$20M-50M",IF(I3787&lt;=100000000,"$50M-100M","$100M+"))))</f>
        <v/>
      </c>
      <c r="P3787" s="21">
        <f>IF(E3787&lt;=90,"90 or less",IF(E3787&lt;=105,"91-105",IF(E3787&lt;=120,"106-120",IF(E3787&lt;=140,"121-140","Over 140"))))</f>
        <v/>
      </c>
      <c r="Q3787" s="28">
        <f>INT(C3787/10)*10</f>
        <v/>
      </c>
    </row>
    <row r="3788">
      <c r="A3788" s="21" t="n">
        <v>3863</v>
      </c>
      <c r="B3788" s="21" t="inlineStr">
        <is>
          <t>There Be Dragons</t>
        </is>
      </c>
      <c r="C3788" s="21" t="n">
        <v>2011</v>
      </c>
      <c r="D3788" s="21" t="inlineStr">
        <is>
          <t>Spain</t>
        </is>
      </c>
      <c r="E3788" s="21" t="n">
        <v>102</v>
      </c>
      <c r="F3788" s="21" t="inlineStr">
        <is>
          <t>English</t>
        </is>
      </c>
      <c r="G3788" s="21" t="inlineStr">
        <is>
          <t>PG-13</t>
        </is>
      </c>
      <c r="H3788" s="22" t="n">
        <v>1068392</v>
      </c>
      <c r="I3788" s="22" t="n">
        <v>36000000</v>
      </c>
      <c r="J3788" s="21">
        <f>IF(OR(H3788="",H3788=25529689.5),"Yes","No")</f>
        <v/>
      </c>
      <c r="K3788" s="21">
        <f>IF(AND(D3788="USA",C3788&gt;=1980,J3788="No"),"Yes","No")</f>
        <v/>
      </c>
      <c r="L3788" s="26">
        <f>IF(J3788="Yes","",H3788-I3788)</f>
        <v/>
      </c>
      <c r="M3788" s="27">
        <f>IF(OR(J3788="Yes",I3788=0),"",H3788/I3788)</f>
        <v/>
      </c>
      <c r="N3788" s="21">
        <f>IF(J3788="Yes","",IF(H3788&gt;=I3788,1,0))</f>
        <v/>
      </c>
      <c r="O3788" s="21">
        <f>IF(I3788&lt;=5000000,"Under $5M",IF(I3788&lt;=20000000,"$5M-20M",IF(I3788&lt;=50000000,"$20M-50M",IF(I3788&lt;=100000000,"$50M-100M","$100M+"))))</f>
        <v/>
      </c>
      <c r="P3788" s="21">
        <f>IF(E3788&lt;=90,"90 or less",IF(E3788&lt;=105,"91-105",IF(E3788&lt;=120,"106-120",IF(E3788&lt;=140,"121-140","Over 140"))))</f>
        <v/>
      </c>
      <c r="Q3788" s="28">
        <f>INT(C3788/10)*10</f>
        <v/>
      </c>
    </row>
    <row r="3789">
      <c r="A3789" s="21" t="n">
        <v>3864</v>
      </c>
      <c r="B3789" s="21" t="inlineStr">
        <is>
          <t>Thor</t>
        </is>
      </c>
      <c r="C3789" s="21" t="n">
        <v>2011</v>
      </c>
      <c r="D3789" s="21" t="inlineStr">
        <is>
          <t>USA</t>
        </is>
      </c>
      <c r="E3789" s="21" t="n">
        <v>115</v>
      </c>
      <c r="F3789" s="21" t="inlineStr">
        <is>
          <t>English</t>
        </is>
      </c>
      <c r="G3789" s="21" t="inlineStr">
        <is>
          <t>PG-13</t>
        </is>
      </c>
      <c r="H3789" s="22" t="n">
        <v>181015141</v>
      </c>
      <c r="I3789" s="22" t="n">
        <v>150000000</v>
      </c>
      <c r="J3789" s="21">
        <f>IF(OR(H3789="",H3789=25529689.5),"Yes","No")</f>
        <v/>
      </c>
      <c r="K3789" s="21">
        <f>IF(AND(D3789="USA",C3789&gt;=1980,J3789="No"),"Yes","No")</f>
        <v/>
      </c>
      <c r="L3789" s="26">
        <f>IF(J3789="Yes","",H3789-I3789)</f>
        <v/>
      </c>
      <c r="M3789" s="27">
        <f>IF(OR(J3789="Yes",I3789=0),"",H3789/I3789)</f>
        <v/>
      </c>
      <c r="N3789" s="21">
        <f>IF(J3789="Yes","",IF(H3789&gt;=I3789,1,0))</f>
        <v/>
      </c>
      <c r="O3789" s="21">
        <f>IF(I3789&lt;=5000000,"Under $5M",IF(I3789&lt;=20000000,"$5M-20M",IF(I3789&lt;=50000000,"$20M-50M",IF(I3789&lt;=100000000,"$50M-100M","$100M+"))))</f>
        <v/>
      </c>
      <c r="P3789" s="21">
        <f>IF(E3789&lt;=90,"90 or less",IF(E3789&lt;=105,"91-105",IF(E3789&lt;=120,"106-120",IF(E3789&lt;=140,"121-140","Over 140"))))</f>
        <v/>
      </c>
      <c r="Q3789" s="28">
        <f>INT(C3789/10)*10</f>
        <v/>
      </c>
    </row>
    <row r="3790">
      <c r="A3790" s="21" t="n">
        <v>3865</v>
      </c>
      <c r="B3790" s="21" t="inlineStr">
        <is>
          <t>Tinker Tailor Soldier Spy</t>
        </is>
      </c>
      <c r="C3790" s="21" t="n">
        <v>2011</v>
      </c>
      <c r="D3790" s="21" t="inlineStr">
        <is>
          <t>France</t>
        </is>
      </c>
      <c r="E3790" s="21" t="n">
        <v>127</v>
      </c>
      <c r="F3790" s="21" t="inlineStr">
        <is>
          <t>English</t>
        </is>
      </c>
      <c r="G3790" s="21" t="inlineStr">
        <is>
          <t>R</t>
        </is>
      </c>
      <c r="H3790" s="22" t="n">
        <v>24104113</v>
      </c>
      <c r="I3790" s="22" t="n">
        <v>20000000</v>
      </c>
      <c r="J3790" s="21">
        <f>IF(OR(H3790="",H3790=25529689.5),"Yes","No")</f>
        <v/>
      </c>
      <c r="K3790" s="21">
        <f>IF(AND(D3790="USA",C3790&gt;=1980,J3790="No"),"Yes","No")</f>
        <v/>
      </c>
      <c r="L3790" s="26">
        <f>IF(J3790="Yes","",H3790-I3790)</f>
        <v/>
      </c>
      <c r="M3790" s="27">
        <f>IF(OR(J3790="Yes",I3790=0),"",H3790/I3790)</f>
        <v/>
      </c>
      <c r="N3790" s="21">
        <f>IF(J3790="Yes","",IF(H3790&gt;=I3790,1,0))</f>
        <v/>
      </c>
      <c r="O3790" s="21">
        <f>IF(I3790&lt;=5000000,"Under $5M",IF(I3790&lt;=20000000,"$5M-20M",IF(I3790&lt;=50000000,"$20M-50M",IF(I3790&lt;=100000000,"$50M-100M","$100M+"))))</f>
        <v/>
      </c>
      <c r="P3790" s="21">
        <f>IF(E3790&lt;=90,"90 or less",IF(E3790&lt;=105,"91-105",IF(E3790&lt;=120,"106-120",IF(E3790&lt;=140,"121-140","Over 140"))))</f>
        <v/>
      </c>
      <c r="Q3790" s="28">
        <f>INT(C3790/10)*10</f>
        <v/>
      </c>
    </row>
    <row r="3791">
      <c r="A3791" s="21" t="n">
        <v>3866</v>
      </c>
      <c r="B3791" s="21" t="inlineStr">
        <is>
          <t>Tower Heist</t>
        </is>
      </c>
      <c r="C3791" s="21" t="n">
        <v>2011</v>
      </c>
      <c r="D3791" s="21" t="inlineStr">
        <is>
          <t>USA</t>
        </is>
      </c>
      <c r="E3791" s="21" t="n">
        <v>104</v>
      </c>
      <c r="F3791" s="21" t="inlineStr">
        <is>
          <t>English</t>
        </is>
      </c>
      <c r="G3791" s="21" t="inlineStr">
        <is>
          <t>PG-13</t>
        </is>
      </c>
      <c r="H3791" s="22" t="n">
        <v>78009155</v>
      </c>
      <c r="I3791" s="22" t="n">
        <v>75000000</v>
      </c>
      <c r="J3791" s="21">
        <f>IF(OR(H3791="",H3791=25529689.5),"Yes","No")</f>
        <v/>
      </c>
      <c r="K3791" s="21">
        <f>IF(AND(D3791="USA",C3791&gt;=1980,J3791="No"),"Yes","No")</f>
        <v/>
      </c>
      <c r="L3791" s="26">
        <f>IF(J3791="Yes","",H3791-I3791)</f>
        <v/>
      </c>
      <c r="M3791" s="27">
        <f>IF(OR(J3791="Yes",I3791=0),"",H3791/I3791)</f>
        <v/>
      </c>
      <c r="N3791" s="21">
        <f>IF(J3791="Yes","",IF(H3791&gt;=I3791,1,0))</f>
        <v/>
      </c>
      <c r="O3791" s="21">
        <f>IF(I3791&lt;=5000000,"Under $5M",IF(I3791&lt;=20000000,"$5M-20M",IF(I3791&lt;=50000000,"$20M-50M",IF(I3791&lt;=100000000,"$50M-100M","$100M+"))))</f>
        <v/>
      </c>
      <c r="P3791" s="21">
        <f>IF(E3791&lt;=90,"90 or less",IF(E3791&lt;=105,"91-105",IF(E3791&lt;=120,"106-120",IF(E3791&lt;=140,"121-140","Over 140"))))</f>
        <v/>
      </c>
      <c r="Q3791" s="28">
        <f>INT(C3791/10)*10</f>
        <v/>
      </c>
    </row>
    <row r="3792">
      <c r="A3792" s="21" t="n">
        <v>3867</v>
      </c>
      <c r="B3792" s="21" t="inlineStr">
        <is>
          <t>Transformers: Dark of the Moon</t>
        </is>
      </c>
      <c r="C3792" s="21" t="n">
        <v>2011</v>
      </c>
      <c r="D3792" s="21" t="inlineStr">
        <is>
          <t>USA</t>
        </is>
      </c>
      <c r="E3792" s="21" t="n">
        <v>154</v>
      </c>
      <c r="F3792" s="21" t="inlineStr">
        <is>
          <t>English</t>
        </is>
      </c>
      <c r="G3792" s="21" t="inlineStr">
        <is>
          <t>PG-13</t>
        </is>
      </c>
      <c r="H3792" s="22" t="n">
        <v>352358779</v>
      </c>
      <c r="I3792" s="22" t="n">
        <v>195000000</v>
      </c>
      <c r="J3792" s="21">
        <f>IF(OR(H3792="",H3792=25529689.5),"Yes","No")</f>
        <v/>
      </c>
      <c r="K3792" s="21">
        <f>IF(AND(D3792="USA",C3792&gt;=1980,J3792="No"),"Yes","No")</f>
        <v/>
      </c>
      <c r="L3792" s="26">
        <f>IF(J3792="Yes","",H3792-I3792)</f>
        <v/>
      </c>
      <c r="M3792" s="27">
        <f>IF(OR(J3792="Yes",I3792=0),"",H3792/I3792)</f>
        <v/>
      </c>
      <c r="N3792" s="21">
        <f>IF(J3792="Yes","",IF(H3792&gt;=I3792,1,0))</f>
        <v/>
      </c>
      <c r="O3792" s="21">
        <f>IF(I3792&lt;=5000000,"Under $5M",IF(I3792&lt;=20000000,"$5M-20M",IF(I3792&lt;=50000000,"$20M-50M",IF(I3792&lt;=100000000,"$50M-100M","$100M+"))))</f>
        <v/>
      </c>
      <c r="P3792" s="21">
        <f>IF(E3792&lt;=90,"90 or less",IF(E3792&lt;=105,"91-105",IF(E3792&lt;=120,"106-120",IF(E3792&lt;=140,"121-140","Over 140"))))</f>
        <v/>
      </c>
      <c r="Q3792" s="28">
        <f>INT(C3792/10)*10</f>
        <v/>
      </c>
    </row>
    <row r="3793">
      <c r="A3793" s="21" t="n">
        <v>3868</v>
      </c>
      <c r="B3793" s="21" t="inlineStr">
        <is>
          <t>Twixt</t>
        </is>
      </c>
      <c r="C3793" s="21" t="n">
        <v>2011</v>
      </c>
      <c r="D3793" s="21" t="inlineStr">
        <is>
          <t>USA</t>
        </is>
      </c>
      <c r="E3793" s="21" t="n">
        <v>88</v>
      </c>
      <c r="F3793" s="21" t="inlineStr">
        <is>
          <t>English</t>
        </is>
      </c>
      <c r="G3793" s="21" t="inlineStr">
        <is>
          <t>R</t>
        </is>
      </c>
      <c r="H3793" s="22" t="n">
        <v>25529689.5</v>
      </c>
      <c r="I3793" s="22" t="n">
        <v>7000000</v>
      </c>
      <c r="J3793" s="21">
        <f>IF(OR(H3793="",H3793=25529689.5),"Yes","No")</f>
        <v/>
      </c>
      <c r="K3793" s="21">
        <f>IF(AND(D3793="USA",C3793&gt;=1980,J3793="No"),"Yes","No")</f>
        <v/>
      </c>
      <c r="L3793" s="26">
        <f>IF(J3793="Yes","",H3793-I3793)</f>
        <v/>
      </c>
      <c r="M3793" s="27">
        <f>IF(OR(J3793="Yes",I3793=0),"",H3793/I3793)</f>
        <v/>
      </c>
      <c r="N3793" s="21">
        <f>IF(J3793="Yes","",IF(H3793&gt;=I3793,1,0))</f>
        <v/>
      </c>
      <c r="O3793" s="21">
        <f>IF(I3793&lt;=5000000,"Under $5M",IF(I3793&lt;=20000000,"$5M-20M",IF(I3793&lt;=50000000,"$20M-50M",IF(I3793&lt;=100000000,"$50M-100M","$100M+"))))</f>
        <v/>
      </c>
      <c r="P3793" s="21">
        <f>IF(E3793&lt;=90,"90 or less",IF(E3793&lt;=105,"91-105",IF(E3793&lt;=120,"106-120",IF(E3793&lt;=140,"121-140","Over 140"))))</f>
        <v/>
      </c>
      <c r="Q3793" s="28">
        <f>INT(C3793/10)*10</f>
        <v/>
      </c>
    </row>
    <row r="3794">
      <c r="A3794" s="21" t="n">
        <v>3869</v>
      </c>
      <c r="B3794" s="21" t="inlineStr">
        <is>
          <t>Unknown</t>
        </is>
      </c>
      <c r="C3794" s="21" t="n">
        <v>2011</v>
      </c>
      <c r="D3794" s="21" t="inlineStr">
        <is>
          <t>UK</t>
        </is>
      </c>
      <c r="E3794" s="21" t="n">
        <v>113</v>
      </c>
      <c r="F3794" s="21" t="inlineStr">
        <is>
          <t>English</t>
        </is>
      </c>
      <c r="G3794" s="21" t="inlineStr">
        <is>
          <t>PG-13</t>
        </is>
      </c>
      <c r="H3794" s="22" t="n">
        <v>61094903</v>
      </c>
      <c r="I3794" s="22" t="n">
        <v>30000000</v>
      </c>
      <c r="J3794" s="21">
        <f>IF(OR(H3794="",H3794=25529689.5),"Yes","No")</f>
        <v/>
      </c>
      <c r="K3794" s="21">
        <f>IF(AND(D3794="USA",C3794&gt;=1980,J3794="No"),"Yes","No")</f>
        <v/>
      </c>
      <c r="L3794" s="26">
        <f>IF(J3794="Yes","",H3794-I3794)</f>
        <v/>
      </c>
      <c r="M3794" s="27">
        <f>IF(OR(J3794="Yes",I3794=0),"",H3794/I3794)</f>
        <v/>
      </c>
      <c r="N3794" s="21">
        <f>IF(J3794="Yes","",IF(H3794&gt;=I3794,1,0))</f>
        <v/>
      </c>
      <c r="O3794" s="21">
        <f>IF(I3794&lt;=5000000,"Under $5M",IF(I3794&lt;=20000000,"$5M-20M",IF(I3794&lt;=50000000,"$20M-50M",IF(I3794&lt;=100000000,"$50M-100M","$100M+"))))</f>
        <v/>
      </c>
      <c r="P3794" s="21">
        <f>IF(E3794&lt;=90,"90 or less",IF(E3794&lt;=105,"91-105",IF(E3794&lt;=120,"106-120",IF(E3794&lt;=140,"121-140","Over 140"))))</f>
        <v/>
      </c>
      <c r="Q3794" s="28">
        <f>INT(C3794/10)*10</f>
        <v/>
      </c>
    </row>
    <row r="3795">
      <c r="A3795" s="21" t="n">
        <v>3871</v>
      </c>
      <c r="B3795" s="21" t="inlineStr">
        <is>
          <t>War Horse</t>
        </is>
      </c>
      <c r="C3795" s="21" t="n">
        <v>2011</v>
      </c>
      <c r="D3795" s="21" t="inlineStr">
        <is>
          <t>USA</t>
        </is>
      </c>
      <c r="E3795" s="21" t="n">
        <v>146</v>
      </c>
      <c r="F3795" s="21" t="inlineStr">
        <is>
          <t>English</t>
        </is>
      </c>
      <c r="G3795" s="21" t="inlineStr">
        <is>
          <t>PG-13</t>
        </is>
      </c>
      <c r="H3795" s="22" t="n">
        <v>79883359</v>
      </c>
      <c r="I3795" s="22" t="n">
        <v>66000000</v>
      </c>
      <c r="J3795" s="21">
        <f>IF(OR(H3795="",H3795=25529689.5),"Yes","No")</f>
        <v/>
      </c>
      <c r="K3795" s="21">
        <f>IF(AND(D3795="USA",C3795&gt;=1980,J3795="No"),"Yes","No")</f>
        <v/>
      </c>
      <c r="L3795" s="26">
        <f>IF(J3795="Yes","",H3795-I3795)</f>
        <v/>
      </c>
      <c r="M3795" s="27">
        <f>IF(OR(J3795="Yes",I3795=0),"",H3795/I3795)</f>
        <v/>
      </c>
      <c r="N3795" s="21">
        <f>IF(J3795="Yes","",IF(H3795&gt;=I3795,1,0))</f>
        <v/>
      </c>
      <c r="O3795" s="21">
        <f>IF(I3795&lt;=5000000,"Under $5M",IF(I3795&lt;=20000000,"$5M-20M",IF(I3795&lt;=50000000,"$20M-50M",IF(I3795&lt;=100000000,"$50M-100M","$100M+"))))</f>
        <v/>
      </c>
      <c r="P3795" s="21">
        <f>IF(E3795&lt;=90,"90 or less",IF(E3795&lt;=105,"91-105",IF(E3795&lt;=120,"106-120",IF(E3795&lt;=140,"121-140","Over 140"))))</f>
        <v/>
      </c>
      <c r="Q3795" s="28">
        <f>INT(C3795/10)*10</f>
        <v/>
      </c>
    </row>
    <row r="3796">
      <c r="A3796" s="21" t="n">
        <v>3872</v>
      </c>
      <c r="B3796" s="21" t="inlineStr">
        <is>
          <t>Warrior</t>
        </is>
      </c>
      <c r="C3796" s="21" t="n">
        <v>2011</v>
      </c>
      <c r="D3796" s="21" t="inlineStr">
        <is>
          <t>USA</t>
        </is>
      </c>
      <c r="E3796" s="21" t="n">
        <v>140</v>
      </c>
      <c r="F3796" s="21" t="inlineStr">
        <is>
          <t>English</t>
        </is>
      </c>
      <c r="G3796" s="21" t="inlineStr">
        <is>
          <t>PG-13</t>
        </is>
      </c>
      <c r="H3796" s="22" t="n">
        <v>13651662</v>
      </c>
      <c r="I3796" s="22" t="n">
        <v>25000000</v>
      </c>
      <c r="J3796" s="21">
        <f>IF(OR(H3796="",H3796=25529689.5),"Yes","No")</f>
        <v/>
      </c>
      <c r="K3796" s="21">
        <f>IF(AND(D3796="USA",C3796&gt;=1980,J3796="No"),"Yes","No")</f>
        <v/>
      </c>
      <c r="L3796" s="26">
        <f>IF(J3796="Yes","",H3796-I3796)</f>
        <v/>
      </c>
      <c r="M3796" s="27">
        <f>IF(OR(J3796="Yes",I3796=0),"",H3796/I3796)</f>
        <v/>
      </c>
      <c r="N3796" s="21">
        <f>IF(J3796="Yes","",IF(H3796&gt;=I3796,1,0))</f>
        <v/>
      </c>
      <c r="O3796" s="21">
        <f>IF(I3796&lt;=5000000,"Under $5M",IF(I3796&lt;=20000000,"$5M-20M",IF(I3796&lt;=50000000,"$20M-50M",IF(I3796&lt;=100000000,"$50M-100M","$100M+"))))</f>
        <v/>
      </c>
      <c r="P3796" s="21">
        <f>IF(E3796&lt;=90,"90 or less",IF(E3796&lt;=105,"91-105",IF(E3796&lt;=120,"106-120",IF(E3796&lt;=140,"121-140","Over 140"))))</f>
        <v/>
      </c>
      <c r="Q3796" s="28">
        <f>INT(C3796/10)*10</f>
        <v/>
      </c>
    </row>
    <row r="3797">
      <c r="A3797" s="21" t="n">
        <v>3873</v>
      </c>
      <c r="B3797" s="21" t="inlineStr">
        <is>
          <t>Water for Elephants</t>
        </is>
      </c>
      <c r="C3797" s="21" t="n">
        <v>2011</v>
      </c>
      <c r="D3797" s="21" t="inlineStr">
        <is>
          <t>USA</t>
        </is>
      </c>
      <c r="E3797" s="21" t="n">
        <v>120</v>
      </c>
      <c r="F3797" s="21" t="inlineStr">
        <is>
          <t>English</t>
        </is>
      </c>
      <c r="G3797" s="21" t="inlineStr">
        <is>
          <t>PG-13</t>
        </is>
      </c>
      <c r="H3797" s="22" t="n">
        <v>58700247</v>
      </c>
      <c r="I3797" s="22" t="n">
        <v>38000000</v>
      </c>
      <c r="J3797" s="21">
        <f>IF(OR(H3797="",H3797=25529689.5),"Yes","No")</f>
        <v/>
      </c>
      <c r="K3797" s="21">
        <f>IF(AND(D3797="USA",C3797&gt;=1980,J3797="No"),"Yes","No")</f>
        <v/>
      </c>
      <c r="L3797" s="26">
        <f>IF(J3797="Yes","",H3797-I3797)</f>
        <v/>
      </c>
      <c r="M3797" s="27">
        <f>IF(OR(J3797="Yes",I3797=0),"",H3797/I3797)</f>
        <v/>
      </c>
      <c r="N3797" s="21">
        <f>IF(J3797="Yes","",IF(H3797&gt;=I3797,1,0))</f>
        <v/>
      </c>
      <c r="O3797" s="21">
        <f>IF(I3797&lt;=5000000,"Under $5M",IF(I3797&lt;=20000000,"$5M-20M",IF(I3797&lt;=50000000,"$20M-50M",IF(I3797&lt;=100000000,"$50M-100M","$100M+"))))</f>
        <v/>
      </c>
      <c r="P3797" s="21">
        <f>IF(E3797&lt;=90,"90 or less",IF(E3797&lt;=105,"91-105",IF(E3797&lt;=120,"106-120",IF(E3797&lt;=140,"121-140","Over 140"))))</f>
        <v/>
      </c>
      <c r="Q3797" s="28">
        <f>INT(C3797/10)*10</f>
        <v/>
      </c>
    </row>
    <row r="3798">
      <c r="A3798" s="21" t="n">
        <v>3874</v>
      </c>
      <c r="B3798" s="21" t="inlineStr">
        <is>
          <t>We Bought a Zoo</t>
        </is>
      </c>
      <c r="C3798" s="21" t="n">
        <v>2011</v>
      </c>
      <c r="D3798" s="21" t="inlineStr">
        <is>
          <t>USA</t>
        </is>
      </c>
      <c r="E3798" s="21" t="n">
        <v>124</v>
      </c>
      <c r="F3798" s="21" t="inlineStr">
        <is>
          <t>English</t>
        </is>
      </c>
      <c r="G3798" s="21" t="inlineStr">
        <is>
          <t>PG</t>
        </is>
      </c>
      <c r="H3798" s="22" t="n">
        <v>75621915</v>
      </c>
      <c r="I3798" s="22" t="n">
        <v>20000000</v>
      </c>
      <c r="J3798" s="21">
        <f>IF(OR(H3798="",H3798=25529689.5),"Yes","No")</f>
        <v/>
      </c>
      <c r="K3798" s="21">
        <f>IF(AND(D3798="USA",C3798&gt;=1980,J3798="No"),"Yes","No")</f>
        <v/>
      </c>
      <c r="L3798" s="26">
        <f>IF(J3798="Yes","",H3798-I3798)</f>
        <v/>
      </c>
      <c r="M3798" s="27">
        <f>IF(OR(J3798="Yes",I3798=0),"",H3798/I3798)</f>
        <v/>
      </c>
      <c r="N3798" s="21">
        <f>IF(J3798="Yes","",IF(H3798&gt;=I3798,1,0))</f>
        <v/>
      </c>
      <c r="O3798" s="21">
        <f>IF(I3798&lt;=5000000,"Under $5M",IF(I3798&lt;=20000000,"$5M-20M",IF(I3798&lt;=50000000,"$20M-50M",IF(I3798&lt;=100000000,"$50M-100M","$100M+"))))</f>
        <v/>
      </c>
      <c r="P3798" s="21">
        <f>IF(E3798&lt;=90,"90 or less",IF(E3798&lt;=105,"91-105",IF(E3798&lt;=120,"106-120",IF(E3798&lt;=140,"121-140","Over 140"))))</f>
        <v/>
      </c>
      <c r="Q3798" s="28">
        <f>INT(C3798/10)*10</f>
        <v/>
      </c>
    </row>
    <row r="3799">
      <c r="A3799" s="21" t="n">
        <v>3875</v>
      </c>
      <c r="B3799" s="21" t="inlineStr">
        <is>
          <t>We Need to Talk About Kevin</t>
        </is>
      </c>
      <c r="C3799" s="21" t="n">
        <v>2011</v>
      </c>
      <c r="D3799" s="21" t="inlineStr">
        <is>
          <t>UK</t>
        </is>
      </c>
      <c r="E3799" s="21" t="n">
        <v>112</v>
      </c>
      <c r="F3799" s="21" t="inlineStr">
        <is>
          <t>English</t>
        </is>
      </c>
      <c r="G3799" s="21" t="inlineStr">
        <is>
          <t>R</t>
        </is>
      </c>
      <c r="H3799" s="22" t="n">
        <v>1738692</v>
      </c>
      <c r="I3799" s="22" t="n">
        <v>7000000</v>
      </c>
      <c r="J3799" s="21">
        <f>IF(OR(H3799="",H3799=25529689.5),"Yes","No")</f>
        <v/>
      </c>
      <c r="K3799" s="21">
        <f>IF(AND(D3799="USA",C3799&gt;=1980,J3799="No"),"Yes","No")</f>
        <v/>
      </c>
      <c r="L3799" s="26">
        <f>IF(J3799="Yes","",H3799-I3799)</f>
        <v/>
      </c>
      <c r="M3799" s="27">
        <f>IF(OR(J3799="Yes",I3799=0),"",H3799/I3799)</f>
        <v/>
      </c>
      <c r="N3799" s="21">
        <f>IF(J3799="Yes","",IF(H3799&gt;=I3799,1,0))</f>
        <v/>
      </c>
      <c r="O3799" s="21">
        <f>IF(I3799&lt;=5000000,"Under $5M",IF(I3799&lt;=20000000,"$5M-20M",IF(I3799&lt;=50000000,"$20M-50M",IF(I3799&lt;=100000000,"$50M-100M","$100M+"))))</f>
        <v/>
      </c>
      <c r="P3799" s="21">
        <f>IF(E3799&lt;=90,"90 or less",IF(E3799&lt;=105,"91-105",IF(E3799&lt;=120,"106-120",IF(E3799&lt;=140,"121-140","Over 140"))))</f>
        <v/>
      </c>
      <c r="Q3799" s="28">
        <f>INT(C3799/10)*10</f>
        <v/>
      </c>
    </row>
    <row r="3800">
      <c r="A3800" s="21" t="n">
        <v>3876</v>
      </c>
      <c r="B3800" s="21" t="inlineStr">
        <is>
          <t>Weekend</t>
        </is>
      </c>
      <c r="C3800" s="21" t="n">
        <v>2011</v>
      </c>
      <c r="D3800" s="21" t="inlineStr">
        <is>
          <t>UK</t>
        </is>
      </c>
      <c r="E3800" s="21" t="n">
        <v>97</v>
      </c>
      <c r="F3800" s="21" t="inlineStr">
        <is>
          <t>English</t>
        </is>
      </c>
      <c r="G3800" s="21" t="inlineStr">
        <is>
          <t>Not Rated</t>
        </is>
      </c>
      <c r="H3800" s="22" t="n">
        <v>469947</v>
      </c>
      <c r="I3800" s="22" t="n">
        <v>120000</v>
      </c>
      <c r="J3800" s="21">
        <f>IF(OR(H3800="",H3800=25529689.5),"Yes","No")</f>
        <v/>
      </c>
      <c r="K3800" s="21">
        <f>IF(AND(D3800="USA",C3800&gt;=1980,J3800="No"),"Yes","No")</f>
        <v/>
      </c>
      <c r="L3800" s="26">
        <f>IF(J3800="Yes","",H3800-I3800)</f>
        <v/>
      </c>
      <c r="M3800" s="27">
        <f>IF(OR(J3800="Yes",I3800=0),"",H3800/I3800)</f>
        <v/>
      </c>
      <c r="N3800" s="21">
        <f>IF(J3800="Yes","",IF(H3800&gt;=I3800,1,0))</f>
        <v/>
      </c>
      <c r="O3800" s="21">
        <f>IF(I3800&lt;=5000000,"Under $5M",IF(I3800&lt;=20000000,"$5M-20M",IF(I3800&lt;=50000000,"$20M-50M",IF(I3800&lt;=100000000,"$50M-100M","$100M+"))))</f>
        <v/>
      </c>
      <c r="P3800" s="21">
        <f>IF(E3800&lt;=90,"90 or less",IF(E3800&lt;=105,"91-105",IF(E3800&lt;=120,"106-120",IF(E3800&lt;=140,"121-140","Over 140"))))</f>
        <v/>
      </c>
      <c r="Q3800" s="28">
        <f>INT(C3800/10)*10</f>
        <v/>
      </c>
    </row>
    <row r="3801">
      <c r="A3801" s="21" t="n">
        <v>3877</v>
      </c>
      <c r="B3801" s="21" t="inlineStr">
        <is>
          <t>What's Your Number?</t>
        </is>
      </c>
      <c r="C3801" s="21" t="n">
        <v>2011</v>
      </c>
      <c r="D3801" s="21" t="inlineStr">
        <is>
          <t>USA</t>
        </is>
      </c>
      <c r="E3801" s="21" t="n">
        <v>117</v>
      </c>
      <c r="F3801" s="21" t="inlineStr">
        <is>
          <t>English</t>
        </is>
      </c>
      <c r="G3801" s="21" t="inlineStr">
        <is>
          <t>R</t>
        </is>
      </c>
      <c r="H3801" s="22" t="n">
        <v>13987482</v>
      </c>
      <c r="I3801" s="22" t="n">
        <v>20000000</v>
      </c>
      <c r="J3801" s="21">
        <f>IF(OR(H3801="",H3801=25529689.5),"Yes","No")</f>
        <v/>
      </c>
      <c r="K3801" s="21">
        <f>IF(AND(D3801="USA",C3801&gt;=1980,J3801="No"),"Yes","No")</f>
        <v/>
      </c>
      <c r="L3801" s="26">
        <f>IF(J3801="Yes","",H3801-I3801)</f>
        <v/>
      </c>
      <c r="M3801" s="27">
        <f>IF(OR(J3801="Yes",I3801=0),"",H3801/I3801)</f>
        <v/>
      </c>
      <c r="N3801" s="21">
        <f>IF(J3801="Yes","",IF(H3801&gt;=I3801,1,0))</f>
        <v/>
      </c>
      <c r="O3801" s="21">
        <f>IF(I3801&lt;=5000000,"Under $5M",IF(I3801&lt;=20000000,"$5M-20M",IF(I3801&lt;=50000000,"$20M-50M",IF(I3801&lt;=100000000,"$50M-100M","$100M+"))))</f>
        <v/>
      </c>
      <c r="P3801" s="21">
        <f>IF(E3801&lt;=90,"90 or less",IF(E3801&lt;=105,"91-105",IF(E3801&lt;=120,"106-120",IF(E3801&lt;=140,"121-140","Over 140"))))</f>
        <v/>
      </c>
      <c r="Q3801" s="28">
        <f>INT(C3801/10)*10</f>
        <v/>
      </c>
    </row>
    <row r="3802">
      <c r="A3802" s="21" t="n">
        <v>3878</v>
      </c>
      <c r="B3802" s="21" t="inlineStr">
        <is>
          <t>Winnie Mandela</t>
        </is>
      </c>
      <c r="C3802" s="21" t="n">
        <v>2011</v>
      </c>
      <c r="D3802" s="21" t="inlineStr">
        <is>
          <t>South Africa</t>
        </is>
      </c>
      <c r="E3802" s="21" t="n">
        <v>104</v>
      </c>
      <c r="F3802" s="21" t="inlineStr">
        <is>
          <t>English</t>
        </is>
      </c>
      <c r="G3802" s="21" t="inlineStr">
        <is>
          <t>R</t>
        </is>
      </c>
      <c r="H3802" s="22" t="n">
        <v>25529689.5</v>
      </c>
      <c r="I3802" s="22" t="n">
        <v>15000000</v>
      </c>
      <c r="J3802" s="21">
        <f>IF(OR(H3802="",H3802=25529689.5),"Yes","No")</f>
        <v/>
      </c>
      <c r="K3802" s="21">
        <f>IF(AND(D3802="USA",C3802&gt;=1980,J3802="No"),"Yes","No")</f>
        <v/>
      </c>
      <c r="L3802" s="26">
        <f>IF(J3802="Yes","",H3802-I3802)</f>
        <v/>
      </c>
      <c r="M3802" s="27">
        <f>IF(OR(J3802="Yes",I3802=0),"",H3802/I3802)</f>
        <v/>
      </c>
      <c r="N3802" s="21">
        <f>IF(J3802="Yes","",IF(H3802&gt;=I3802,1,0))</f>
        <v/>
      </c>
      <c r="O3802" s="21">
        <f>IF(I3802&lt;=5000000,"Under $5M",IF(I3802&lt;=20000000,"$5M-20M",IF(I3802&lt;=50000000,"$20M-50M",IF(I3802&lt;=100000000,"$50M-100M","$100M+"))))</f>
        <v/>
      </c>
      <c r="P3802" s="21">
        <f>IF(E3802&lt;=90,"90 or less",IF(E3802&lt;=105,"91-105",IF(E3802&lt;=120,"106-120",IF(E3802&lt;=140,"121-140","Over 140"))))</f>
        <v/>
      </c>
      <c r="Q3802" s="28">
        <f>INT(C3802/10)*10</f>
        <v/>
      </c>
    </row>
    <row r="3803">
      <c r="A3803" s="21" t="n">
        <v>3879</v>
      </c>
      <c r="B3803" s="21" t="inlineStr">
        <is>
          <t>Winnie the Pooh</t>
        </is>
      </c>
      <c r="C3803" s="21" t="n">
        <v>2011</v>
      </c>
      <c r="D3803" s="21" t="inlineStr">
        <is>
          <t>USA</t>
        </is>
      </c>
      <c r="E3803" s="21" t="n">
        <v>63</v>
      </c>
      <c r="F3803" s="21" t="inlineStr">
        <is>
          <t>English</t>
        </is>
      </c>
      <c r="G3803" s="21" t="inlineStr">
        <is>
          <t>G</t>
        </is>
      </c>
      <c r="H3803" s="22" t="n">
        <v>26687172</v>
      </c>
      <c r="I3803" s="22" t="n">
        <v>30000000</v>
      </c>
      <c r="J3803" s="21">
        <f>IF(OR(H3803="",H3803=25529689.5),"Yes","No")</f>
        <v/>
      </c>
      <c r="K3803" s="21">
        <f>IF(AND(D3803="USA",C3803&gt;=1980,J3803="No"),"Yes","No")</f>
        <v/>
      </c>
      <c r="L3803" s="26">
        <f>IF(J3803="Yes","",H3803-I3803)</f>
        <v/>
      </c>
      <c r="M3803" s="27">
        <f>IF(OR(J3803="Yes",I3803=0),"",H3803/I3803)</f>
        <v/>
      </c>
      <c r="N3803" s="21">
        <f>IF(J3803="Yes","",IF(H3803&gt;=I3803,1,0))</f>
        <v/>
      </c>
      <c r="O3803" s="21">
        <f>IF(I3803&lt;=5000000,"Under $5M",IF(I3803&lt;=20000000,"$5M-20M",IF(I3803&lt;=50000000,"$20M-50M",IF(I3803&lt;=100000000,"$50M-100M","$100M+"))))</f>
        <v/>
      </c>
      <c r="P3803" s="21">
        <f>IF(E3803&lt;=90,"90 or less",IF(E3803&lt;=105,"91-105",IF(E3803&lt;=120,"106-120",IF(E3803&lt;=140,"121-140","Over 140"))))</f>
        <v/>
      </c>
      <c r="Q3803" s="28">
        <f>INT(C3803/10)*10</f>
        <v/>
      </c>
    </row>
    <row r="3804">
      <c r="A3804" s="21" t="n">
        <v>3880</v>
      </c>
      <c r="B3804" s="21" t="inlineStr">
        <is>
          <t>Without Men</t>
        </is>
      </c>
      <c r="C3804" s="21" t="n">
        <v>2011</v>
      </c>
      <c r="D3804" s="21" t="inlineStr">
        <is>
          <t>USA</t>
        </is>
      </c>
      <c r="E3804" s="21" t="n">
        <v>87</v>
      </c>
      <c r="F3804" s="21" t="inlineStr">
        <is>
          <t>English</t>
        </is>
      </c>
      <c r="G3804" s="21" t="inlineStr">
        <is>
          <t>R</t>
        </is>
      </c>
      <c r="H3804" s="22" t="n">
        <v>25529689.5</v>
      </c>
      <c r="I3804" s="22" t="n">
        <v>4700000</v>
      </c>
      <c r="J3804" s="21">
        <f>IF(OR(H3804="",H3804=25529689.5),"Yes","No")</f>
        <v/>
      </c>
      <c r="K3804" s="21">
        <f>IF(AND(D3804="USA",C3804&gt;=1980,J3804="No"),"Yes","No")</f>
        <v/>
      </c>
      <c r="L3804" s="26">
        <f>IF(J3804="Yes","",H3804-I3804)</f>
        <v/>
      </c>
      <c r="M3804" s="27">
        <f>IF(OR(J3804="Yes",I3804=0),"",H3804/I3804)</f>
        <v/>
      </c>
      <c r="N3804" s="21">
        <f>IF(J3804="Yes","",IF(H3804&gt;=I3804,1,0))</f>
        <v/>
      </c>
      <c r="O3804" s="21">
        <f>IF(I3804&lt;=5000000,"Under $5M",IF(I3804&lt;=20000000,"$5M-20M",IF(I3804&lt;=50000000,"$20M-50M",IF(I3804&lt;=100000000,"$50M-100M","$100M+"))))</f>
        <v/>
      </c>
      <c r="P3804" s="21">
        <f>IF(E3804&lt;=90,"90 or less",IF(E3804&lt;=105,"91-105",IF(E3804&lt;=120,"106-120",IF(E3804&lt;=140,"121-140","Over 140"))))</f>
        <v/>
      </c>
      <c r="Q3804" s="28">
        <f>INT(C3804/10)*10</f>
        <v/>
      </c>
    </row>
    <row r="3805">
      <c r="A3805" s="21" t="n">
        <v>3881</v>
      </c>
      <c r="B3805" s="21" t="inlineStr">
        <is>
          <t>X-Men: First Class</t>
        </is>
      </c>
      <c r="C3805" s="21" t="n">
        <v>2011</v>
      </c>
      <c r="D3805" s="21" t="inlineStr">
        <is>
          <t>USA</t>
        </is>
      </c>
      <c r="E3805" s="21" t="n">
        <v>132</v>
      </c>
      <c r="F3805" s="21" t="inlineStr">
        <is>
          <t>English</t>
        </is>
      </c>
      <c r="G3805" s="21" t="inlineStr">
        <is>
          <t>PG-13</t>
        </is>
      </c>
      <c r="H3805" s="22" t="n">
        <v>146405371</v>
      </c>
      <c r="I3805" s="22" t="n">
        <v>160000000</v>
      </c>
      <c r="J3805" s="21">
        <f>IF(OR(H3805="",H3805=25529689.5),"Yes","No")</f>
        <v/>
      </c>
      <c r="K3805" s="21">
        <f>IF(AND(D3805="USA",C3805&gt;=1980,J3805="No"),"Yes","No")</f>
        <v/>
      </c>
      <c r="L3805" s="26">
        <f>IF(J3805="Yes","",H3805-I3805)</f>
        <v/>
      </c>
      <c r="M3805" s="27">
        <f>IF(OR(J3805="Yes",I3805=0),"",H3805/I3805)</f>
        <v/>
      </c>
      <c r="N3805" s="21">
        <f>IF(J3805="Yes","",IF(H3805&gt;=I3805,1,0))</f>
        <v/>
      </c>
      <c r="O3805" s="21">
        <f>IF(I3805&lt;=5000000,"Under $5M",IF(I3805&lt;=20000000,"$5M-20M",IF(I3805&lt;=50000000,"$20M-50M",IF(I3805&lt;=100000000,"$50M-100M","$100M+"))))</f>
        <v/>
      </c>
      <c r="P3805" s="21">
        <f>IF(E3805&lt;=90,"90 or less",IF(E3805&lt;=105,"91-105",IF(E3805&lt;=120,"106-120",IF(E3805&lt;=140,"121-140","Over 140"))))</f>
        <v/>
      </c>
      <c r="Q3805" s="28">
        <f>INT(C3805/10)*10</f>
        <v/>
      </c>
    </row>
    <row r="3806">
      <c r="A3806" s="21" t="n">
        <v>3882</v>
      </c>
      <c r="B3806" s="21" t="inlineStr">
        <is>
          <t>You Got Served: Beat the World</t>
        </is>
      </c>
      <c r="C3806" s="21" t="n">
        <v>2011</v>
      </c>
      <c r="D3806" s="21" t="inlineStr">
        <is>
          <t>Canada</t>
        </is>
      </c>
      <c r="E3806" s="21" t="n">
        <v>91</v>
      </c>
      <c r="F3806" s="21" t="inlineStr">
        <is>
          <t>English</t>
        </is>
      </c>
      <c r="G3806" s="21" t="inlineStr">
        <is>
          <t>PG-13</t>
        </is>
      </c>
      <c r="H3806" s="22" t="n">
        <v>25529689.5</v>
      </c>
      <c r="I3806" s="22" t="n">
        <v>10000000</v>
      </c>
      <c r="J3806" s="21">
        <f>IF(OR(H3806="",H3806=25529689.5),"Yes","No")</f>
        <v/>
      </c>
      <c r="K3806" s="21">
        <f>IF(AND(D3806="USA",C3806&gt;=1980,J3806="No"),"Yes","No")</f>
        <v/>
      </c>
      <c r="L3806" s="26">
        <f>IF(J3806="Yes","",H3806-I3806)</f>
        <v/>
      </c>
      <c r="M3806" s="27">
        <f>IF(OR(J3806="Yes",I3806=0),"",H3806/I3806)</f>
        <v/>
      </c>
      <c r="N3806" s="21">
        <f>IF(J3806="Yes","",IF(H3806&gt;=I3806,1,0))</f>
        <v/>
      </c>
      <c r="O3806" s="21">
        <f>IF(I3806&lt;=5000000,"Under $5M",IF(I3806&lt;=20000000,"$5M-20M",IF(I3806&lt;=50000000,"$20M-50M",IF(I3806&lt;=100000000,"$50M-100M","$100M+"))))</f>
        <v/>
      </c>
      <c r="P3806" s="21">
        <f>IF(E3806&lt;=90,"90 or less",IF(E3806&lt;=105,"91-105",IF(E3806&lt;=120,"106-120",IF(E3806&lt;=140,"121-140","Over 140"))))</f>
        <v/>
      </c>
      <c r="Q3806" s="28">
        <f>INT(C3806/10)*10</f>
        <v/>
      </c>
    </row>
    <row r="3807">
      <c r="A3807" s="21" t="n">
        <v>3883</v>
      </c>
      <c r="B3807" s="21" t="inlineStr">
        <is>
          <t>Young Adult</t>
        </is>
      </c>
      <c r="C3807" s="21" t="n">
        <v>2011</v>
      </c>
      <c r="D3807" s="21" t="inlineStr">
        <is>
          <t>USA</t>
        </is>
      </c>
      <c r="E3807" s="21" t="n">
        <v>94</v>
      </c>
      <c r="F3807" s="21" t="inlineStr">
        <is>
          <t>English</t>
        </is>
      </c>
      <c r="G3807" s="21" t="inlineStr">
        <is>
          <t>R</t>
        </is>
      </c>
      <c r="H3807" s="22" t="n">
        <v>16300302</v>
      </c>
      <c r="I3807" s="22" t="n">
        <v>12000000</v>
      </c>
      <c r="J3807" s="21">
        <f>IF(OR(H3807="",H3807=25529689.5),"Yes","No")</f>
        <v/>
      </c>
      <c r="K3807" s="21">
        <f>IF(AND(D3807="USA",C3807&gt;=1980,J3807="No"),"Yes","No")</f>
        <v/>
      </c>
      <c r="L3807" s="26">
        <f>IF(J3807="Yes","",H3807-I3807)</f>
        <v/>
      </c>
      <c r="M3807" s="27">
        <f>IF(OR(J3807="Yes",I3807=0),"",H3807/I3807)</f>
        <v/>
      </c>
      <c r="N3807" s="21">
        <f>IF(J3807="Yes","",IF(H3807&gt;=I3807,1,0))</f>
        <v/>
      </c>
      <c r="O3807" s="21">
        <f>IF(I3807&lt;=5000000,"Under $5M",IF(I3807&lt;=20000000,"$5M-20M",IF(I3807&lt;=50000000,"$20M-50M",IF(I3807&lt;=100000000,"$50M-100M","$100M+"))))</f>
        <v/>
      </c>
      <c r="P3807" s="21">
        <f>IF(E3807&lt;=90,"90 or less",IF(E3807&lt;=105,"91-105",IF(E3807&lt;=120,"106-120",IF(E3807&lt;=140,"121-140","Over 140"))))</f>
        <v/>
      </c>
      <c r="Q3807" s="28">
        <f>INT(C3807/10)*10</f>
        <v/>
      </c>
    </row>
    <row r="3808">
      <c r="A3808" s="21" t="n">
        <v>3884</v>
      </c>
      <c r="B3808" s="21" t="inlineStr">
        <is>
          <t>Your Highness</t>
        </is>
      </c>
      <c r="C3808" s="21" t="n">
        <v>2011</v>
      </c>
      <c r="D3808" s="21" t="inlineStr">
        <is>
          <t>USA</t>
        </is>
      </c>
      <c r="E3808" s="21" t="n">
        <v>102</v>
      </c>
      <c r="F3808" s="21" t="inlineStr">
        <is>
          <t>English</t>
        </is>
      </c>
      <c r="G3808" s="21" t="inlineStr">
        <is>
          <t>R</t>
        </is>
      </c>
      <c r="H3808" s="22" t="n">
        <v>21557240</v>
      </c>
      <c r="I3808" s="22" t="n">
        <v>49900000</v>
      </c>
      <c r="J3808" s="21">
        <f>IF(OR(H3808="",H3808=25529689.5),"Yes","No")</f>
        <v/>
      </c>
      <c r="K3808" s="21">
        <f>IF(AND(D3808="USA",C3808&gt;=1980,J3808="No"),"Yes","No")</f>
        <v/>
      </c>
      <c r="L3808" s="26">
        <f>IF(J3808="Yes","",H3808-I3808)</f>
        <v/>
      </c>
      <c r="M3808" s="27">
        <f>IF(OR(J3808="Yes",I3808=0),"",H3808/I3808)</f>
        <v/>
      </c>
      <c r="N3808" s="21">
        <f>IF(J3808="Yes","",IF(H3808&gt;=I3808,1,0))</f>
        <v/>
      </c>
      <c r="O3808" s="21">
        <f>IF(I3808&lt;=5000000,"Under $5M",IF(I3808&lt;=20000000,"$5M-20M",IF(I3808&lt;=50000000,"$20M-50M",IF(I3808&lt;=100000000,"$50M-100M","$100M+"))))</f>
        <v/>
      </c>
      <c r="P3808" s="21">
        <f>IF(E3808&lt;=90,"90 or less",IF(E3808&lt;=105,"91-105",IF(E3808&lt;=120,"106-120",IF(E3808&lt;=140,"121-140","Over 140"))))</f>
        <v/>
      </c>
      <c r="Q3808" s="28">
        <f>INT(C3808/10)*10</f>
        <v/>
      </c>
    </row>
    <row r="3809">
      <c r="A3809" s="21" t="n">
        <v>3885</v>
      </c>
      <c r="B3809" s="21" t="inlineStr">
        <is>
          <t>Your Sister's Sister</t>
        </is>
      </c>
      <c r="C3809" s="21" t="n">
        <v>2011</v>
      </c>
      <c r="D3809" s="21" t="inlineStr">
        <is>
          <t>USA</t>
        </is>
      </c>
      <c r="E3809" s="21" t="n">
        <v>90</v>
      </c>
      <c r="F3809" s="21" t="inlineStr">
        <is>
          <t>English</t>
        </is>
      </c>
      <c r="G3809" s="21" t="inlineStr">
        <is>
          <t>R</t>
        </is>
      </c>
      <c r="H3809" s="22" t="n">
        <v>1573712</v>
      </c>
      <c r="I3809" s="22" t="n">
        <v>125000</v>
      </c>
      <c r="J3809" s="21">
        <f>IF(OR(H3809="",H3809=25529689.5),"Yes","No")</f>
        <v/>
      </c>
      <c r="K3809" s="21">
        <f>IF(AND(D3809="USA",C3809&gt;=1980,J3809="No"),"Yes","No")</f>
        <v/>
      </c>
      <c r="L3809" s="26">
        <f>IF(J3809="Yes","",H3809-I3809)</f>
        <v/>
      </c>
      <c r="M3809" s="27">
        <f>IF(OR(J3809="Yes",I3809=0),"",H3809/I3809)</f>
        <v/>
      </c>
      <c r="N3809" s="21">
        <f>IF(J3809="Yes","",IF(H3809&gt;=I3809,1,0))</f>
        <v/>
      </c>
      <c r="O3809" s="21">
        <f>IF(I3809&lt;=5000000,"Under $5M",IF(I3809&lt;=20000000,"$5M-20M",IF(I3809&lt;=50000000,"$20M-50M",IF(I3809&lt;=100000000,"$50M-100M","$100M+"))))</f>
        <v/>
      </c>
      <c r="P3809" s="21">
        <f>IF(E3809&lt;=90,"90 or less",IF(E3809&lt;=105,"91-105",IF(E3809&lt;=120,"106-120",IF(E3809&lt;=140,"121-140","Over 140"))))</f>
        <v/>
      </c>
      <c r="Q3809" s="28">
        <f>INT(C3809/10)*10</f>
        <v/>
      </c>
    </row>
    <row r="3810">
      <c r="A3810" s="21" t="n">
        <v>3886</v>
      </c>
      <c r="B3810" s="21" t="inlineStr">
        <is>
          <t>Zookeeper</t>
        </is>
      </c>
      <c r="C3810" s="21" t="n">
        <v>2011</v>
      </c>
      <c r="D3810" s="21" t="inlineStr">
        <is>
          <t>USA</t>
        </is>
      </c>
      <c r="E3810" s="21" t="n">
        <v>102</v>
      </c>
      <c r="F3810" s="21" t="inlineStr">
        <is>
          <t>English</t>
        </is>
      </c>
      <c r="G3810" s="21" t="inlineStr">
        <is>
          <t>PG</t>
        </is>
      </c>
      <c r="H3810" s="22" t="n">
        <v>80360866</v>
      </c>
      <c r="I3810" s="22" t="n">
        <v>80000000</v>
      </c>
      <c r="J3810" s="21">
        <f>IF(OR(H3810="",H3810=25529689.5),"Yes","No")</f>
        <v/>
      </c>
      <c r="K3810" s="21">
        <f>IF(AND(D3810="USA",C3810&gt;=1980,J3810="No"),"Yes","No")</f>
        <v/>
      </c>
      <c r="L3810" s="26">
        <f>IF(J3810="Yes","",H3810-I3810)</f>
        <v/>
      </c>
      <c r="M3810" s="27">
        <f>IF(OR(J3810="Yes",I3810=0),"",H3810/I3810)</f>
        <v/>
      </c>
      <c r="N3810" s="21">
        <f>IF(J3810="Yes","",IF(H3810&gt;=I3810,1,0))</f>
        <v/>
      </c>
      <c r="O3810" s="21">
        <f>IF(I3810&lt;=5000000,"Under $5M",IF(I3810&lt;=20000000,"$5M-20M",IF(I3810&lt;=50000000,"$20M-50M",IF(I3810&lt;=100000000,"$50M-100M","$100M+"))))</f>
        <v/>
      </c>
      <c r="P3810" s="21">
        <f>IF(E3810&lt;=90,"90 or less",IF(E3810&lt;=105,"91-105",IF(E3810&lt;=120,"106-120",IF(E3810&lt;=140,"121-140","Over 140"))))</f>
        <v/>
      </c>
      <c r="Q3810" s="28">
        <f>INT(C3810/10)*10</f>
        <v/>
      </c>
    </row>
    <row r="3811">
      <c r="A3811" s="21" t="n">
        <v>3887</v>
      </c>
      <c r="B3811" s="21" t="inlineStr">
        <is>
          <t>2016: Obama's America</t>
        </is>
      </c>
      <c r="C3811" s="21" t="n">
        <v>2012</v>
      </c>
      <c r="D3811" s="21" t="inlineStr">
        <is>
          <t>USA</t>
        </is>
      </c>
      <c r="E3811" s="21" t="n">
        <v>87</v>
      </c>
      <c r="F3811" s="21" t="inlineStr">
        <is>
          <t>English</t>
        </is>
      </c>
      <c r="G3811" s="21" t="inlineStr">
        <is>
          <t>PG</t>
        </is>
      </c>
      <c r="H3811" s="22" t="n">
        <v>33349949</v>
      </c>
      <c r="I3811" s="22" t="n">
        <v>2500000</v>
      </c>
      <c r="J3811" s="21">
        <f>IF(OR(H3811="",H3811=25529689.5),"Yes","No")</f>
        <v/>
      </c>
      <c r="K3811" s="21">
        <f>IF(AND(D3811="USA",C3811&gt;=1980,J3811="No"),"Yes","No")</f>
        <v/>
      </c>
      <c r="L3811" s="26">
        <f>IF(J3811="Yes","",H3811-I3811)</f>
        <v/>
      </c>
      <c r="M3811" s="27">
        <f>IF(OR(J3811="Yes",I3811=0),"",H3811/I3811)</f>
        <v/>
      </c>
      <c r="N3811" s="21">
        <f>IF(J3811="Yes","",IF(H3811&gt;=I3811,1,0))</f>
        <v/>
      </c>
      <c r="O3811" s="21">
        <f>IF(I3811&lt;=5000000,"Under $5M",IF(I3811&lt;=20000000,"$5M-20M",IF(I3811&lt;=50000000,"$20M-50M",IF(I3811&lt;=100000000,"$50M-100M","$100M+"))))</f>
        <v/>
      </c>
      <c r="P3811" s="21">
        <f>IF(E3811&lt;=90,"90 or less",IF(E3811&lt;=105,"91-105",IF(E3811&lt;=120,"106-120",IF(E3811&lt;=140,"121-140","Over 140"))))</f>
        <v/>
      </c>
      <c r="Q3811" s="28">
        <f>INT(C3811/10)*10</f>
        <v/>
      </c>
    </row>
    <row r="3812">
      <c r="A3812" s="21" t="n">
        <v>3888</v>
      </c>
      <c r="B3812" s="21" t="inlineStr">
        <is>
          <t>21 Jump Street</t>
        </is>
      </c>
      <c r="C3812" s="21" t="n">
        <v>2012</v>
      </c>
      <c r="D3812" s="21" t="inlineStr">
        <is>
          <t>USA</t>
        </is>
      </c>
      <c r="E3812" s="21" t="n">
        <v>109</v>
      </c>
      <c r="F3812" s="21" t="inlineStr">
        <is>
          <t>English</t>
        </is>
      </c>
      <c r="G3812" s="21" t="inlineStr">
        <is>
          <t>R</t>
        </is>
      </c>
      <c r="H3812" s="22" t="n">
        <v>138447667</v>
      </c>
      <c r="I3812" s="22" t="n">
        <v>42000000</v>
      </c>
      <c r="J3812" s="21">
        <f>IF(OR(H3812="",H3812=25529689.5),"Yes","No")</f>
        <v/>
      </c>
      <c r="K3812" s="21">
        <f>IF(AND(D3812="USA",C3812&gt;=1980,J3812="No"),"Yes","No")</f>
        <v/>
      </c>
      <c r="L3812" s="26">
        <f>IF(J3812="Yes","",H3812-I3812)</f>
        <v/>
      </c>
      <c r="M3812" s="27">
        <f>IF(OR(J3812="Yes",I3812=0),"",H3812/I3812)</f>
        <v/>
      </c>
      <c r="N3812" s="21">
        <f>IF(J3812="Yes","",IF(H3812&gt;=I3812,1,0))</f>
        <v/>
      </c>
      <c r="O3812" s="21">
        <f>IF(I3812&lt;=5000000,"Under $5M",IF(I3812&lt;=20000000,"$5M-20M",IF(I3812&lt;=50000000,"$20M-50M",IF(I3812&lt;=100000000,"$50M-100M","$100M+"))))</f>
        <v/>
      </c>
      <c r="P3812" s="21">
        <f>IF(E3812&lt;=90,"90 or less",IF(E3812&lt;=105,"91-105",IF(E3812&lt;=120,"106-120",IF(E3812&lt;=140,"121-140","Over 140"))))</f>
        <v/>
      </c>
      <c r="Q3812" s="28">
        <f>INT(C3812/10)*10</f>
        <v/>
      </c>
    </row>
    <row r="3813">
      <c r="A3813" s="21" t="n">
        <v>3889</v>
      </c>
      <c r="B3813" s="21" t="inlineStr">
        <is>
          <t>A Perfect Plan</t>
        </is>
      </c>
      <c r="C3813" s="21" t="n">
        <v>2012</v>
      </c>
      <c r="D3813" s="21" t="inlineStr">
        <is>
          <t>France</t>
        </is>
      </c>
      <c r="E3813" s="21" t="n">
        <v>104</v>
      </c>
      <c r="F3813" s="21" t="inlineStr">
        <is>
          <t>French</t>
        </is>
      </c>
      <c r="G3813" s="21" t="n"/>
      <c r="H3813" s="22" t="n">
        <v>25529689.5</v>
      </c>
      <c r="I3813" s="22" t="n">
        <v>17000000</v>
      </c>
      <c r="J3813" s="21">
        <f>IF(OR(H3813="",H3813=25529689.5),"Yes","No")</f>
        <v/>
      </c>
      <c r="K3813" s="21">
        <f>IF(AND(D3813="USA",C3813&gt;=1980,J3813="No"),"Yes","No")</f>
        <v/>
      </c>
      <c r="L3813" s="26">
        <f>IF(J3813="Yes","",H3813-I3813)</f>
        <v/>
      </c>
      <c r="M3813" s="27">
        <f>IF(OR(J3813="Yes",I3813=0),"",H3813/I3813)</f>
        <v/>
      </c>
      <c r="N3813" s="21">
        <f>IF(J3813="Yes","",IF(H3813&gt;=I3813,1,0))</f>
        <v/>
      </c>
      <c r="O3813" s="21">
        <f>IF(I3813&lt;=5000000,"Under $5M",IF(I3813&lt;=20000000,"$5M-20M",IF(I3813&lt;=50000000,"$20M-50M",IF(I3813&lt;=100000000,"$50M-100M","$100M+"))))</f>
        <v/>
      </c>
      <c r="P3813" s="21">
        <f>IF(E3813&lt;=90,"90 or less",IF(E3813&lt;=105,"91-105",IF(E3813&lt;=120,"106-120",IF(E3813&lt;=140,"121-140","Over 140"))))</f>
        <v/>
      </c>
      <c r="Q3813" s="28">
        <f>INT(C3813/10)*10</f>
        <v/>
      </c>
    </row>
    <row r="3814">
      <c r="A3814" s="21" t="n">
        <v>3890</v>
      </c>
      <c r="B3814" s="21" t="inlineStr">
        <is>
          <t>A Thousand Words</t>
        </is>
      </c>
      <c r="C3814" s="21" t="n">
        <v>2012</v>
      </c>
      <c r="D3814" s="21" t="inlineStr">
        <is>
          <t>USA</t>
        </is>
      </c>
      <c r="E3814" s="21" t="n">
        <v>91</v>
      </c>
      <c r="F3814" s="21" t="inlineStr">
        <is>
          <t>English</t>
        </is>
      </c>
      <c r="G3814" s="21" t="inlineStr">
        <is>
          <t>PG-13</t>
        </is>
      </c>
      <c r="H3814" s="22" t="n">
        <v>18438149</v>
      </c>
      <c r="I3814" s="22" t="n">
        <v>40000000</v>
      </c>
      <c r="J3814" s="21">
        <f>IF(OR(H3814="",H3814=25529689.5),"Yes","No")</f>
        <v/>
      </c>
      <c r="K3814" s="21">
        <f>IF(AND(D3814="USA",C3814&gt;=1980,J3814="No"),"Yes","No")</f>
        <v/>
      </c>
      <c r="L3814" s="26">
        <f>IF(J3814="Yes","",H3814-I3814)</f>
        <v/>
      </c>
      <c r="M3814" s="27">
        <f>IF(OR(J3814="Yes",I3814=0),"",H3814/I3814)</f>
        <v/>
      </c>
      <c r="N3814" s="21">
        <f>IF(J3814="Yes","",IF(H3814&gt;=I3814,1,0))</f>
        <v/>
      </c>
      <c r="O3814" s="21">
        <f>IF(I3814&lt;=5000000,"Under $5M",IF(I3814&lt;=20000000,"$5M-20M",IF(I3814&lt;=50000000,"$20M-50M",IF(I3814&lt;=100000000,"$50M-100M","$100M+"))))</f>
        <v/>
      </c>
      <c r="P3814" s="21">
        <f>IF(E3814&lt;=90,"90 or less",IF(E3814&lt;=105,"91-105",IF(E3814&lt;=120,"106-120",IF(E3814&lt;=140,"121-140","Over 140"))))</f>
        <v/>
      </c>
      <c r="Q3814" s="28">
        <f>INT(C3814/10)*10</f>
        <v/>
      </c>
    </row>
    <row r="3815">
      <c r="A3815" s="21" t="n">
        <v>3891</v>
      </c>
      <c r="B3815" s="21" t="inlineStr">
        <is>
          <t>Abraham Lincoln: Vampire Hunter</t>
        </is>
      </c>
      <c r="C3815" s="21" t="n">
        <v>2012</v>
      </c>
      <c r="D3815" s="21" t="inlineStr">
        <is>
          <t>USA</t>
        </is>
      </c>
      <c r="E3815" s="21" t="n">
        <v>105</v>
      </c>
      <c r="F3815" s="21" t="inlineStr">
        <is>
          <t>English</t>
        </is>
      </c>
      <c r="G3815" s="21" t="inlineStr">
        <is>
          <t>R</t>
        </is>
      </c>
      <c r="H3815" s="22" t="n">
        <v>37516013</v>
      </c>
      <c r="I3815" s="22" t="n">
        <v>69000000</v>
      </c>
      <c r="J3815" s="21">
        <f>IF(OR(H3815="",H3815=25529689.5),"Yes","No")</f>
        <v/>
      </c>
      <c r="K3815" s="21">
        <f>IF(AND(D3815="USA",C3815&gt;=1980,J3815="No"),"Yes","No")</f>
        <v/>
      </c>
      <c r="L3815" s="26">
        <f>IF(J3815="Yes","",H3815-I3815)</f>
        <v/>
      </c>
      <c r="M3815" s="27">
        <f>IF(OR(J3815="Yes",I3815=0),"",H3815/I3815)</f>
        <v/>
      </c>
      <c r="N3815" s="21">
        <f>IF(J3815="Yes","",IF(H3815&gt;=I3815,1,0))</f>
        <v/>
      </c>
      <c r="O3815" s="21">
        <f>IF(I3815&lt;=5000000,"Under $5M",IF(I3815&lt;=20000000,"$5M-20M",IF(I3815&lt;=50000000,"$20M-50M",IF(I3815&lt;=100000000,"$50M-100M","$100M+"))))</f>
        <v/>
      </c>
      <c r="P3815" s="21">
        <f>IF(E3815&lt;=90,"90 or less",IF(E3815&lt;=105,"91-105",IF(E3815&lt;=120,"106-120",IF(E3815&lt;=140,"121-140","Over 140"))))</f>
        <v/>
      </c>
      <c r="Q3815" s="28">
        <f>INT(C3815/10)*10</f>
        <v/>
      </c>
    </row>
    <row r="3816">
      <c r="A3816" s="21" t="n">
        <v>3892</v>
      </c>
      <c r="B3816" s="21" t="inlineStr">
        <is>
          <t>Act of Valor</t>
        </is>
      </c>
      <c r="C3816" s="21" t="n">
        <v>2012</v>
      </c>
      <c r="D3816" s="21" t="inlineStr">
        <is>
          <t>USA</t>
        </is>
      </c>
      <c r="E3816" s="21" t="n">
        <v>110</v>
      </c>
      <c r="F3816" s="21" t="inlineStr">
        <is>
          <t>English</t>
        </is>
      </c>
      <c r="G3816" s="21" t="inlineStr">
        <is>
          <t>R</t>
        </is>
      </c>
      <c r="H3816" s="22" t="n">
        <v>70011073</v>
      </c>
      <c r="I3816" s="22" t="n">
        <v>12000000</v>
      </c>
      <c r="J3816" s="21">
        <f>IF(OR(H3816="",H3816=25529689.5),"Yes","No")</f>
        <v/>
      </c>
      <c r="K3816" s="21">
        <f>IF(AND(D3816="USA",C3816&gt;=1980,J3816="No"),"Yes","No")</f>
        <v/>
      </c>
      <c r="L3816" s="26">
        <f>IF(J3816="Yes","",H3816-I3816)</f>
        <v/>
      </c>
      <c r="M3816" s="27">
        <f>IF(OR(J3816="Yes",I3816=0),"",H3816/I3816)</f>
        <v/>
      </c>
      <c r="N3816" s="21">
        <f>IF(J3816="Yes","",IF(H3816&gt;=I3816,1,0))</f>
        <v/>
      </c>
      <c r="O3816" s="21">
        <f>IF(I3816&lt;=5000000,"Under $5M",IF(I3816&lt;=20000000,"$5M-20M",IF(I3816&lt;=50000000,"$20M-50M",IF(I3816&lt;=100000000,"$50M-100M","$100M+"))))</f>
        <v/>
      </c>
      <c r="P3816" s="21">
        <f>IF(E3816&lt;=90,"90 or less",IF(E3816&lt;=105,"91-105",IF(E3816&lt;=120,"106-120",IF(E3816&lt;=140,"121-140","Over 140"))))</f>
        <v/>
      </c>
      <c r="Q3816" s="28">
        <f>INT(C3816/10)*10</f>
        <v/>
      </c>
    </row>
    <row r="3817">
      <c r="A3817" s="21" t="n">
        <v>3893</v>
      </c>
      <c r="B3817" s="21" t="inlineStr">
        <is>
          <t>After</t>
        </is>
      </c>
      <c r="C3817" s="21" t="n">
        <v>2012</v>
      </c>
      <c r="D3817" s="21" t="inlineStr">
        <is>
          <t>USA</t>
        </is>
      </c>
      <c r="E3817" s="21" t="n">
        <v>90</v>
      </c>
      <c r="F3817" s="21" t="inlineStr">
        <is>
          <t>English</t>
        </is>
      </c>
      <c r="G3817" s="21" t="inlineStr">
        <is>
          <t>PG-13</t>
        </is>
      </c>
      <c r="H3817" s="22" t="n">
        <v>25529689.5</v>
      </c>
      <c r="I3817" s="22" t="n">
        <v>650000</v>
      </c>
      <c r="J3817" s="21">
        <f>IF(OR(H3817="",H3817=25529689.5),"Yes","No")</f>
        <v/>
      </c>
      <c r="K3817" s="21">
        <f>IF(AND(D3817="USA",C3817&gt;=1980,J3817="No"),"Yes","No")</f>
        <v/>
      </c>
      <c r="L3817" s="26">
        <f>IF(J3817="Yes","",H3817-I3817)</f>
        <v/>
      </c>
      <c r="M3817" s="27">
        <f>IF(OR(J3817="Yes",I3817=0),"",H3817/I3817)</f>
        <v/>
      </c>
      <c r="N3817" s="21">
        <f>IF(J3817="Yes","",IF(H3817&gt;=I3817,1,0))</f>
        <v/>
      </c>
      <c r="O3817" s="21">
        <f>IF(I3817&lt;=5000000,"Under $5M",IF(I3817&lt;=20000000,"$5M-20M",IF(I3817&lt;=50000000,"$20M-50M",IF(I3817&lt;=100000000,"$50M-100M","$100M+"))))</f>
        <v/>
      </c>
      <c r="P3817" s="21">
        <f>IF(E3817&lt;=90,"90 or less",IF(E3817&lt;=105,"91-105",IF(E3817&lt;=120,"106-120",IF(E3817&lt;=140,"121-140","Over 140"))))</f>
        <v/>
      </c>
      <c r="Q3817" s="28">
        <f>INT(C3817/10)*10</f>
        <v/>
      </c>
    </row>
    <row r="3818">
      <c r="A3818" s="21" t="n">
        <v>3894</v>
      </c>
      <c r="B3818" s="21" t="inlineStr">
        <is>
          <t>Alex Cross</t>
        </is>
      </c>
      <c r="C3818" s="21" t="n">
        <v>2012</v>
      </c>
      <c r="D3818" s="21" t="inlineStr">
        <is>
          <t>USA</t>
        </is>
      </c>
      <c r="E3818" s="21" t="n">
        <v>101</v>
      </c>
      <c r="F3818" s="21" t="inlineStr">
        <is>
          <t>English</t>
        </is>
      </c>
      <c r="G3818" s="21" t="inlineStr">
        <is>
          <t>PG-13</t>
        </is>
      </c>
      <c r="H3818" s="22" t="n">
        <v>25863915</v>
      </c>
      <c r="I3818" s="22" t="n">
        <v>35000000</v>
      </c>
      <c r="J3818" s="21">
        <f>IF(OR(H3818="",H3818=25529689.5),"Yes","No")</f>
        <v/>
      </c>
      <c r="K3818" s="21">
        <f>IF(AND(D3818="USA",C3818&gt;=1980,J3818="No"),"Yes","No")</f>
        <v/>
      </c>
      <c r="L3818" s="26">
        <f>IF(J3818="Yes","",H3818-I3818)</f>
        <v/>
      </c>
      <c r="M3818" s="27">
        <f>IF(OR(J3818="Yes",I3818=0),"",H3818/I3818)</f>
        <v/>
      </c>
      <c r="N3818" s="21">
        <f>IF(J3818="Yes","",IF(H3818&gt;=I3818,1,0))</f>
        <v/>
      </c>
      <c r="O3818" s="21">
        <f>IF(I3818&lt;=5000000,"Under $5M",IF(I3818&lt;=20000000,"$5M-20M",IF(I3818&lt;=50000000,"$20M-50M",IF(I3818&lt;=100000000,"$50M-100M","$100M+"))))</f>
        <v/>
      </c>
      <c r="P3818" s="21">
        <f>IF(E3818&lt;=90,"90 or less",IF(E3818&lt;=105,"91-105",IF(E3818&lt;=120,"106-120",IF(E3818&lt;=140,"121-140","Over 140"))))</f>
        <v/>
      </c>
      <c r="Q3818" s="28">
        <f>INT(C3818/10)*10</f>
        <v/>
      </c>
    </row>
    <row r="3819">
      <c r="A3819" s="21" t="n">
        <v>3895</v>
      </c>
      <c r="B3819" s="21" t="inlineStr">
        <is>
          <t>Alien Uprising</t>
        </is>
      </c>
      <c r="C3819" s="21" t="n">
        <v>2012</v>
      </c>
      <c r="D3819" s="21" t="inlineStr">
        <is>
          <t>UK</t>
        </is>
      </c>
      <c r="E3819" s="21" t="n">
        <v>101</v>
      </c>
      <c r="F3819" s="21" t="inlineStr">
        <is>
          <t>English</t>
        </is>
      </c>
      <c r="G3819" s="21" t="inlineStr">
        <is>
          <t>R</t>
        </is>
      </c>
      <c r="H3819" s="22" t="n">
        <v>25529689.5</v>
      </c>
      <c r="I3819" s="22" t="n">
        <v>2500000</v>
      </c>
      <c r="J3819" s="21">
        <f>IF(OR(H3819="",H3819=25529689.5),"Yes","No")</f>
        <v/>
      </c>
      <c r="K3819" s="21">
        <f>IF(AND(D3819="USA",C3819&gt;=1980,J3819="No"),"Yes","No")</f>
        <v/>
      </c>
      <c r="L3819" s="26">
        <f>IF(J3819="Yes","",H3819-I3819)</f>
        <v/>
      </c>
      <c r="M3819" s="27">
        <f>IF(OR(J3819="Yes",I3819=0),"",H3819/I3819)</f>
        <v/>
      </c>
      <c r="N3819" s="21">
        <f>IF(J3819="Yes","",IF(H3819&gt;=I3819,1,0))</f>
        <v/>
      </c>
      <c r="O3819" s="21">
        <f>IF(I3819&lt;=5000000,"Under $5M",IF(I3819&lt;=20000000,"$5M-20M",IF(I3819&lt;=50000000,"$20M-50M",IF(I3819&lt;=100000000,"$50M-100M","$100M+"))))</f>
        <v/>
      </c>
      <c r="P3819" s="21">
        <f>IF(E3819&lt;=90,"90 or less",IF(E3819&lt;=105,"91-105",IF(E3819&lt;=120,"106-120",IF(E3819&lt;=140,"121-140","Over 140"))))</f>
        <v/>
      </c>
      <c r="Q3819" s="28">
        <f>INT(C3819/10)*10</f>
        <v/>
      </c>
    </row>
    <row r="3820">
      <c r="A3820" s="21" t="n">
        <v>3896</v>
      </c>
      <c r="B3820" s="21" t="inlineStr">
        <is>
          <t>American Reunion</t>
        </is>
      </c>
      <c r="C3820" s="21" t="n">
        <v>2012</v>
      </c>
      <c r="D3820" s="21" t="inlineStr">
        <is>
          <t>USA</t>
        </is>
      </c>
      <c r="E3820" s="21" t="n">
        <v>113</v>
      </c>
      <c r="F3820" s="21" t="inlineStr">
        <is>
          <t>English</t>
        </is>
      </c>
      <c r="G3820" s="21" t="inlineStr">
        <is>
          <t>R</t>
        </is>
      </c>
      <c r="H3820" s="22" t="n">
        <v>56724080</v>
      </c>
      <c r="I3820" s="22" t="n">
        <v>50000000</v>
      </c>
      <c r="J3820" s="21">
        <f>IF(OR(H3820="",H3820=25529689.5),"Yes","No")</f>
        <v/>
      </c>
      <c r="K3820" s="21">
        <f>IF(AND(D3820="USA",C3820&gt;=1980,J3820="No"),"Yes","No")</f>
        <v/>
      </c>
      <c r="L3820" s="26">
        <f>IF(J3820="Yes","",H3820-I3820)</f>
        <v/>
      </c>
      <c r="M3820" s="27">
        <f>IF(OR(J3820="Yes",I3820=0),"",H3820/I3820)</f>
        <v/>
      </c>
      <c r="N3820" s="21">
        <f>IF(J3820="Yes","",IF(H3820&gt;=I3820,1,0))</f>
        <v/>
      </c>
      <c r="O3820" s="21">
        <f>IF(I3820&lt;=5000000,"Under $5M",IF(I3820&lt;=20000000,"$5M-20M",IF(I3820&lt;=50000000,"$20M-50M",IF(I3820&lt;=100000000,"$50M-100M","$100M+"))))</f>
        <v/>
      </c>
      <c r="P3820" s="21">
        <f>IF(E3820&lt;=90,"90 or less",IF(E3820&lt;=105,"91-105",IF(E3820&lt;=120,"106-120",IF(E3820&lt;=140,"121-140","Over 140"))))</f>
        <v/>
      </c>
      <c r="Q3820" s="28">
        <f>INT(C3820/10)*10</f>
        <v/>
      </c>
    </row>
    <row r="3821">
      <c r="A3821" s="21" t="n">
        <v>3897</v>
      </c>
      <c r="B3821" s="21" t="inlineStr">
        <is>
          <t>Amour</t>
        </is>
      </c>
      <c r="C3821" s="21" t="n">
        <v>2012</v>
      </c>
      <c r="D3821" s="21" t="inlineStr">
        <is>
          <t>France</t>
        </is>
      </c>
      <c r="E3821" s="21" t="n">
        <v>127</v>
      </c>
      <c r="F3821" s="21" t="inlineStr">
        <is>
          <t>French</t>
        </is>
      </c>
      <c r="G3821" s="21" t="inlineStr">
        <is>
          <t>PG-13</t>
        </is>
      </c>
      <c r="H3821" s="22" t="n">
        <v>225377</v>
      </c>
      <c r="I3821" s="22" t="n">
        <v>8900000</v>
      </c>
      <c r="J3821" s="21">
        <f>IF(OR(H3821="",H3821=25529689.5),"Yes","No")</f>
        <v/>
      </c>
      <c r="K3821" s="21">
        <f>IF(AND(D3821="USA",C3821&gt;=1980,J3821="No"),"Yes","No")</f>
        <v/>
      </c>
      <c r="L3821" s="26">
        <f>IF(J3821="Yes","",H3821-I3821)</f>
        <v/>
      </c>
      <c r="M3821" s="27">
        <f>IF(OR(J3821="Yes",I3821=0),"",H3821/I3821)</f>
        <v/>
      </c>
      <c r="N3821" s="21">
        <f>IF(J3821="Yes","",IF(H3821&gt;=I3821,1,0))</f>
        <v/>
      </c>
      <c r="O3821" s="21">
        <f>IF(I3821&lt;=5000000,"Under $5M",IF(I3821&lt;=20000000,"$5M-20M",IF(I3821&lt;=50000000,"$20M-50M",IF(I3821&lt;=100000000,"$50M-100M","$100M+"))))</f>
        <v/>
      </c>
      <c r="P3821" s="21">
        <f>IF(E3821&lt;=90,"90 or less",IF(E3821&lt;=105,"91-105",IF(E3821&lt;=120,"106-120",IF(E3821&lt;=140,"121-140","Over 140"))))</f>
        <v/>
      </c>
      <c r="Q3821" s="28">
        <f>INT(C3821/10)*10</f>
        <v/>
      </c>
    </row>
    <row r="3822">
      <c r="A3822" s="21" t="n">
        <v>3898</v>
      </c>
      <c r="B3822" s="21" t="inlineStr">
        <is>
          <t>Anna Karenina</t>
        </is>
      </c>
      <c r="C3822" s="21" t="n">
        <v>2012</v>
      </c>
      <c r="D3822" s="21" t="inlineStr">
        <is>
          <t>UK</t>
        </is>
      </c>
      <c r="E3822" s="21" t="n">
        <v>129</v>
      </c>
      <c r="F3822" s="21" t="inlineStr">
        <is>
          <t>English</t>
        </is>
      </c>
      <c r="G3822" s="21" t="inlineStr">
        <is>
          <t>R</t>
        </is>
      </c>
      <c r="H3822" s="22" t="n">
        <v>12802907</v>
      </c>
      <c r="I3822" s="22" t="n">
        <v>20000000</v>
      </c>
      <c r="J3822" s="21">
        <f>IF(OR(H3822="",H3822=25529689.5),"Yes","No")</f>
        <v/>
      </c>
      <c r="K3822" s="21">
        <f>IF(AND(D3822="USA",C3822&gt;=1980,J3822="No"),"Yes","No")</f>
        <v/>
      </c>
      <c r="L3822" s="26">
        <f>IF(J3822="Yes","",H3822-I3822)</f>
        <v/>
      </c>
      <c r="M3822" s="27">
        <f>IF(OR(J3822="Yes",I3822=0),"",H3822/I3822)</f>
        <v/>
      </c>
      <c r="N3822" s="21">
        <f>IF(J3822="Yes","",IF(H3822&gt;=I3822,1,0))</f>
        <v/>
      </c>
      <c r="O3822" s="21">
        <f>IF(I3822&lt;=5000000,"Under $5M",IF(I3822&lt;=20000000,"$5M-20M",IF(I3822&lt;=50000000,"$20M-50M",IF(I3822&lt;=100000000,"$50M-100M","$100M+"))))</f>
        <v/>
      </c>
      <c r="P3822" s="21">
        <f>IF(E3822&lt;=90,"90 or less",IF(E3822&lt;=105,"91-105",IF(E3822&lt;=120,"106-120",IF(E3822&lt;=140,"121-140","Over 140"))))</f>
        <v/>
      </c>
      <c r="Q3822" s="28">
        <f>INT(C3822/10)*10</f>
        <v/>
      </c>
    </row>
    <row r="3823">
      <c r="A3823" s="21" t="n">
        <v>3899</v>
      </c>
      <c r="B3823" s="21" t="inlineStr">
        <is>
          <t>Antiviral</t>
        </is>
      </c>
      <c r="C3823" s="21" t="n">
        <v>2012</v>
      </c>
      <c r="D3823" s="21" t="inlineStr">
        <is>
          <t>Canada</t>
        </is>
      </c>
      <c r="E3823" s="21" t="n">
        <v>108</v>
      </c>
      <c r="F3823" s="21" t="inlineStr">
        <is>
          <t>English</t>
        </is>
      </c>
      <c r="G3823" s="21" t="inlineStr">
        <is>
          <t>Not Rated</t>
        </is>
      </c>
      <c r="H3823" s="22" t="n">
        <v>25529689.5</v>
      </c>
      <c r="I3823" s="22" t="n">
        <v>3200000</v>
      </c>
      <c r="J3823" s="21">
        <f>IF(OR(H3823="",H3823=25529689.5),"Yes","No")</f>
        <v/>
      </c>
      <c r="K3823" s="21">
        <f>IF(AND(D3823="USA",C3823&gt;=1980,J3823="No"),"Yes","No")</f>
        <v/>
      </c>
      <c r="L3823" s="26">
        <f>IF(J3823="Yes","",H3823-I3823)</f>
        <v/>
      </c>
      <c r="M3823" s="27">
        <f>IF(OR(J3823="Yes",I3823=0),"",H3823/I3823)</f>
        <v/>
      </c>
      <c r="N3823" s="21">
        <f>IF(J3823="Yes","",IF(H3823&gt;=I3823,1,0))</f>
        <v/>
      </c>
      <c r="O3823" s="21">
        <f>IF(I3823&lt;=5000000,"Under $5M",IF(I3823&lt;=20000000,"$5M-20M",IF(I3823&lt;=50000000,"$20M-50M",IF(I3823&lt;=100000000,"$50M-100M","$100M+"))))</f>
        <v/>
      </c>
      <c r="P3823" s="21">
        <f>IF(E3823&lt;=90,"90 or less",IF(E3823&lt;=105,"91-105",IF(E3823&lt;=120,"106-120",IF(E3823&lt;=140,"121-140","Over 140"))))</f>
        <v/>
      </c>
      <c r="Q3823" s="28">
        <f>INT(C3823/10)*10</f>
        <v/>
      </c>
    </row>
    <row r="3824">
      <c r="A3824" s="21" t="n">
        <v>3900</v>
      </c>
      <c r="B3824" s="21" t="inlineStr">
        <is>
          <t>Arbitrage</t>
        </is>
      </c>
      <c r="C3824" s="21" t="n">
        <v>2012</v>
      </c>
      <c r="D3824" s="21" t="inlineStr">
        <is>
          <t>USA</t>
        </is>
      </c>
      <c r="E3824" s="21" t="n">
        <v>107</v>
      </c>
      <c r="F3824" s="21" t="inlineStr">
        <is>
          <t>English</t>
        </is>
      </c>
      <c r="G3824" s="21" t="inlineStr">
        <is>
          <t>R</t>
        </is>
      </c>
      <c r="H3824" s="22" t="n">
        <v>7918283</v>
      </c>
      <c r="I3824" s="22" t="n">
        <v>12000000</v>
      </c>
      <c r="J3824" s="21">
        <f>IF(OR(H3824="",H3824=25529689.5),"Yes","No")</f>
        <v/>
      </c>
      <c r="K3824" s="21">
        <f>IF(AND(D3824="USA",C3824&gt;=1980,J3824="No"),"Yes","No")</f>
        <v/>
      </c>
      <c r="L3824" s="26">
        <f>IF(J3824="Yes","",H3824-I3824)</f>
        <v/>
      </c>
      <c r="M3824" s="27">
        <f>IF(OR(J3824="Yes",I3824=0),"",H3824/I3824)</f>
        <v/>
      </c>
      <c r="N3824" s="21">
        <f>IF(J3824="Yes","",IF(H3824&gt;=I3824,1,0))</f>
        <v/>
      </c>
      <c r="O3824" s="21">
        <f>IF(I3824&lt;=5000000,"Under $5M",IF(I3824&lt;=20000000,"$5M-20M",IF(I3824&lt;=50000000,"$20M-50M",IF(I3824&lt;=100000000,"$50M-100M","$100M+"))))</f>
        <v/>
      </c>
      <c r="P3824" s="21">
        <f>IF(E3824&lt;=90,"90 or less",IF(E3824&lt;=105,"91-105",IF(E3824&lt;=120,"106-120",IF(E3824&lt;=140,"121-140","Over 140"))))</f>
        <v/>
      </c>
      <c r="Q3824" s="28">
        <f>INT(C3824/10)*10</f>
        <v/>
      </c>
    </row>
    <row r="3825">
      <c r="A3825" s="21" t="n">
        <v>3901</v>
      </c>
      <c r="B3825" s="21" t="inlineStr">
        <is>
          <t>Archaeology of a Woman</t>
        </is>
      </c>
      <c r="C3825" s="21" t="n">
        <v>2012</v>
      </c>
      <c r="D3825" s="21" t="inlineStr">
        <is>
          <t>USA</t>
        </is>
      </c>
      <c r="E3825" s="21" t="n">
        <v>94</v>
      </c>
      <c r="F3825" s="21" t="inlineStr">
        <is>
          <t>English</t>
        </is>
      </c>
      <c r="G3825" s="21" t="n"/>
      <c r="H3825" s="22" t="n">
        <v>25529689.5</v>
      </c>
      <c r="I3825" s="22" t="n">
        <v>200000</v>
      </c>
      <c r="J3825" s="21">
        <f>IF(OR(H3825="",H3825=25529689.5),"Yes","No")</f>
        <v/>
      </c>
      <c r="K3825" s="21">
        <f>IF(AND(D3825="USA",C3825&gt;=1980,J3825="No"),"Yes","No")</f>
        <v/>
      </c>
      <c r="L3825" s="26">
        <f>IF(J3825="Yes","",H3825-I3825)</f>
        <v/>
      </c>
      <c r="M3825" s="27">
        <f>IF(OR(J3825="Yes",I3825=0),"",H3825/I3825)</f>
        <v/>
      </c>
      <c r="N3825" s="21">
        <f>IF(J3825="Yes","",IF(H3825&gt;=I3825,1,0))</f>
        <v/>
      </c>
      <c r="O3825" s="21">
        <f>IF(I3825&lt;=5000000,"Under $5M",IF(I3825&lt;=20000000,"$5M-20M",IF(I3825&lt;=50000000,"$20M-50M",IF(I3825&lt;=100000000,"$50M-100M","$100M+"))))</f>
        <v/>
      </c>
      <c r="P3825" s="21">
        <f>IF(E3825&lt;=90,"90 or less",IF(E3825&lt;=105,"91-105",IF(E3825&lt;=120,"106-120",IF(E3825&lt;=140,"121-140","Over 140"))))</f>
        <v/>
      </c>
      <c r="Q3825" s="28">
        <f>INT(C3825/10)*10</f>
        <v/>
      </c>
    </row>
    <row r="3826">
      <c r="A3826" s="21" t="n">
        <v>3902</v>
      </c>
      <c r="B3826" s="21" t="inlineStr">
        <is>
          <t>Argo</t>
        </is>
      </c>
      <c r="C3826" s="21" t="n">
        <v>2012</v>
      </c>
      <c r="D3826" s="21" t="inlineStr">
        <is>
          <t>USA</t>
        </is>
      </c>
      <c r="E3826" s="21" t="n">
        <v>130</v>
      </c>
      <c r="F3826" s="21" t="inlineStr">
        <is>
          <t>English</t>
        </is>
      </c>
      <c r="G3826" s="21" t="inlineStr">
        <is>
          <t>R</t>
        </is>
      </c>
      <c r="H3826" s="22" t="n">
        <v>136019448</v>
      </c>
      <c r="I3826" s="22" t="n">
        <v>44500000</v>
      </c>
      <c r="J3826" s="21">
        <f>IF(OR(H3826="",H3826=25529689.5),"Yes","No")</f>
        <v/>
      </c>
      <c r="K3826" s="21">
        <f>IF(AND(D3826="USA",C3826&gt;=1980,J3826="No"),"Yes","No")</f>
        <v/>
      </c>
      <c r="L3826" s="26">
        <f>IF(J3826="Yes","",H3826-I3826)</f>
        <v/>
      </c>
      <c r="M3826" s="27">
        <f>IF(OR(J3826="Yes",I3826=0),"",H3826/I3826)</f>
        <v/>
      </c>
      <c r="N3826" s="21">
        <f>IF(J3826="Yes","",IF(H3826&gt;=I3826,1,0))</f>
        <v/>
      </c>
      <c r="O3826" s="21">
        <f>IF(I3826&lt;=5000000,"Under $5M",IF(I3826&lt;=20000000,"$5M-20M",IF(I3826&lt;=50000000,"$20M-50M",IF(I3826&lt;=100000000,"$50M-100M","$100M+"))))</f>
        <v/>
      </c>
      <c r="P3826" s="21">
        <f>IF(E3826&lt;=90,"90 or less",IF(E3826&lt;=105,"91-105",IF(E3826&lt;=120,"106-120",IF(E3826&lt;=140,"121-140","Over 140"))))</f>
        <v/>
      </c>
      <c r="Q3826" s="28">
        <f>INT(C3826/10)*10</f>
        <v/>
      </c>
    </row>
    <row r="3827">
      <c r="A3827" s="21" t="n">
        <v>3903</v>
      </c>
      <c r="B3827" s="21" t="inlineStr">
        <is>
          <t>Atlas Shrugged II: The Strike</t>
        </is>
      </c>
      <c r="C3827" s="21" t="n">
        <v>2012</v>
      </c>
      <c r="D3827" s="21" t="inlineStr">
        <is>
          <t>USA</t>
        </is>
      </c>
      <c r="E3827" s="21" t="n">
        <v>111</v>
      </c>
      <c r="F3827" s="21" t="inlineStr">
        <is>
          <t>English</t>
        </is>
      </c>
      <c r="G3827" s="21" t="inlineStr">
        <is>
          <t>PG-13</t>
        </is>
      </c>
      <c r="H3827" s="22" t="n">
        <v>3333823</v>
      </c>
      <c r="I3827" s="22" t="n">
        <v>10000000</v>
      </c>
      <c r="J3827" s="21">
        <f>IF(OR(H3827="",H3827=25529689.5),"Yes","No")</f>
        <v/>
      </c>
      <c r="K3827" s="21">
        <f>IF(AND(D3827="USA",C3827&gt;=1980,J3827="No"),"Yes","No")</f>
        <v/>
      </c>
      <c r="L3827" s="26">
        <f>IF(J3827="Yes","",H3827-I3827)</f>
        <v/>
      </c>
      <c r="M3827" s="27">
        <f>IF(OR(J3827="Yes",I3827=0),"",H3827/I3827)</f>
        <v/>
      </c>
      <c r="N3827" s="21">
        <f>IF(J3827="Yes","",IF(H3827&gt;=I3827,1,0))</f>
        <v/>
      </c>
      <c r="O3827" s="21">
        <f>IF(I3827&lt;=5000000,"Under $5M",IF(I3827&lt;=20000000,"$5M-20M",IF(I3827&lt;=50000000,"$20M-50M",IF(I3827&lt;=100000000,"$50M-100M","$100M+"))))</f>
        <v/>
      </c>
      <c r="P3827" s="21">
        <f>IF(E3827&lt;=90,"90 or less",IF(E3827&lt;=105,"91-105",IF(E3827&lt;=120,"106-120",IF(E3827&lt;=140,"121-140","Over 140"))))</f>
        <v/>
      </c>
      <c r="Q3827" s="28">
        <f>INT(C3827/10)*10</f>
        <v/>
      </c>
    </row>
    <row r="3828">
      <c r="A3828" s="21" t="n">
        <v>3904</v>
      </c>
      <c r="B3828" s="21" t="inlineStr">
        <is>
          <t>Bachelorette</t>
        </is>
      </c>
      <c r="C3828" s="21" t="n">
        <v>2012</v>
      </c>
      <c r="D3828" s="21" t="inlineStr">
        <is>
          <t>USA</t>
        </is>
      </c>
      <c r="E3828" s="21" t="n">
        <v>87</v>
      </c>
      <c r="F3828" s="21" t="inlineStr">
        <is>
          <t>English</t>
        </is>
      </c>
      <c r="G3828" s="21" t="inlineStr">
        <is>
          <t>R</t>
        </is>
      </c>
      <c r="H3828" s="22" t="n">
        <v>418268</v>
      </c>
      <c r="I3828" s="22" t="n">
        <v>3000000</v>
      </c>
      <c r="J3828" s="21">
        <f>IF(OR(H3828="",H3828=25529689.5),"Yes","No")</f>
        <v/>
      </c>
      <c r="K3828" s="21">
        <f>IF(AND(D3828="USA",C3828&gt;=1980,J3828="No"),"Yes","No")</f>
        <v/>
      </c>
      <c r="L3828" s="26">
        <f>IF(J3828="Yes","",H3828-I3828)</f>
        <v/>
      </c>
      <c r="M3828" s="27">
        <f>IF(OR(J3828="Yes",I3828=0),"",H3828/I3828)</f>
        <v/>
      </c>
      <c r="N3828" s="21">
        <f>IF(J3828="Yes","",IF(H3828&gt;=I3828,1,0))</f>
        <v/>
      </c>
      <c r="O3828" s="21">
        <f>IF(I3828&lt;=5000000,"Under $5M",IF(I3828&lt;=20000000,"$5M-20M",IF(I3828&lt;=50000000,"$20M-50M",IF(I3828&lt;=100000000,"$50M-100M","$100M+"))))</f>
        <v/>
      </c>
      <c r="P3828" s="21">
        <f>IF(E3828&lt;=90,"90 or less",IF(E3828&lt;=105,"91-105",IF(E3828&lt;=120,"106-120",IF(E3828&lt;=140,"121-140","Over 140"))))</f>
        <v/>
      </c>
      <c r="Q3828" s="28">
        <f>INT(C3828/10)*10</f>
        <v/>
      </c>
    </row>
    <row r="3829">
      <c r="A3829" s="21" t="n">
        <v>3905</v>
      </c>
      <c r="B3829" s="21" t="inlineStr">
        <is>
          <t>Bait</t>
        </is>
      </c>
      <c r="C3829" s="21" t="n">
        <v>2012</v>
      </c>
      <c r="D3829" s="21" t="inlineStr">
        <is>
          <t>Australia</t>
        </is>
      </c>
      <c r="E3829" s="21" t="n">
        <v>93</v>
      </c>
      <c r="F3829" s="21" t="inlineStr">
        <is>
          <t>English</t>
        </is>
      </c>
      <c r="G3829" s="21" t="inlineStr">
        <is>
          <t>R</t>
        </is>
      </c>
      <c r="H3829" s="22" t="n">
        <v>25529689.5</v>
      </c>
      <c r="I3829" s="22" t="n">
        <v>30000000</v>
      </c>
      <c r="J3829" s="21">
        <f>IF(OR(H3829="",H3829=25529689.5),"Yes","No")</f>
        <v/>
      </c>
      <c r="K3829" s="21">
        <f>IF(AND(D3829="USA",C3829&gt;=1980,J3829="No"),"Yes","No")</f>
        <v/>
      </c>
      <c r="L3829" s="26">
        <f>IF(J3829="Yes","",H3829-I3829)</f>
        <v/>
      </c>
      <c r="M3829" s="27">
        <f>IF(OR(J3829="Yes",I3829=0),"",H3829/I3829)</f>
        <v/>
      </c>
      <c r="N3829" s="21">
        <f>IF(J3829="Yes","",IF(H3829&gt;=I3829,1,0))</f>
        <v/>
      </c>
      <c r="O3829" s="21">
        <f>IF(I3829&lt;=5000000,"Under $5M",IF(I3829&lt;=20000000,"$5M-20M",IF(I3829&lt;=50000000,"$20M-50M",IF(I3829&lt;=100000000,"$50M-100M","$100M+"))))</f>
        <v/>
      </c>
      <c r="P3829" s="21">
        <f>IF(E3829&lt;=90,"90 or less",IF(E3829&lt;=105,"91-105",IF(E3829&lt;=120,"106-120",IF(E3829&lt;=140,"121-140","Over 140"))))</f>
        <v/>
      </c>
      <c r="Q3829" s="28">
        <f>INT(C3829/10)*10</f>
        <v/>
      </c>
    </row>
    <row r="3830">
      <c r="A3830" s="21" t="n">
        <v>3906</v>
      </c>
      <c r="B3830" s="21" t="inlineStr">
        <is>
          <t>Battleship</t>
        </is>
      </c>
      <c r="C3830" s="21" t="n">
        <v>2012</v>
      </c>
      <c r="D3830" s="21" t="inlineStr">
        <is>
          <t>USA</t>
        </is>
      </c>
      <c r="E3830" s="21" t="n">
        <v>131</v>
      </c>
      <c r="F3830" s="21" t="inlineStr">
        <is>
          <t>English</t>
        </is>
      </c>
      <c r="G3830" s="21" t="inlineStr">
        <is>
          <t>PG-13</t>
        </is>
      </c>
      <c r="H3830" s="22" t="n">
        <v>65173160</v>
      </c>
      <c r="I3830" s="22" t="n">
        <v>209000000</v>
      </c>
      <c r="J3830" s="21">
        <f>IF(OR(H3830="",H3830=25529689.5),"Yes","No")</f>
        <v/>
      </c>
      <c r="K3830" s="21">
        <f>IF(AND(D3830="USA",C3830&gt;=1980,J3830="No"),"Yes","No")</f>
        <v/>
      </c>
      <c r="L3830" s="26">
        <f>IF(J3830="Yes","",H3830-I3830)</f>
        <v/>
      </c>
      <c r="M3830" s="27">
        <f>IF(OR(J3830="Yes",I3830=0),"",H3830/I3830)</f>
        <v/>
      </c>
      <c r="N3830" s="21">
        <f>IF(J3830="Yes","",IF(H3830&gt;=I3830,1,0))</f>
        <v/>
      </c>
      <c r="O3830" s="21">
        <f>IF(I3830&lt;=5000000,"Under $5M",IF(I3830&lt;=20000000,"$5M-20M",IF(I3830&lt;=50000000,"$20M-50M",IF(I3830&lt;=100000000,"$50M-100M","$100M+"))))</f>
        <v/>
      </c>
      <c r="P3830" s="21">
        <f>IF(E3830&lt;=90,"90 or less",IF(E3830&lt;=105,"91-105",IF(E3830&lt;=120,"106-120",IF(E3830&lt;=140,"121-140","Over 140"))))</f>
        <v/>
      </c>
      <c r="Q3830" s="28">
        <f>INT(C3830/10)*10</f>
        <v/>
      </c>
    </row>
    <row r="3831">
      <c r="A3831" s="21" t="n">
        <v>3907</v>
      </c>
      <c r="B3831" s="21" t="inlineStr">
        <is>
          <t>Beasts of the Southern Wild</t>
        </is>
      </c>
      <c r="C3831" s="21" t="n">
        <v>2012</v>
      </c>
      <c r="D3831" s="21" t="inlineStr">
        <is>
          <t>USA</t>
        </is>
      </c>
      <c r="E3831" s="21" t="n">
        <v>93</v>
      </c>
      <c r="F3831" s="21" t="inlineStr">
        <is>
          <t>English</t>
        </is>
      </c>
      <c r="G3831" s="21" t="inlineStr">
        <is>
          <t>PG-13</t>
        </is>
      </c>
      <c r="H3831" s="22" t="n">
        <v>12784397</v>
      </c>
      <c r="I3831" s="22" t="n">
        <v>1800000</v>
      </c>
      <c r="J3831" s="21">
        <f>IF(OR(H3831="",H3831=25529689.5),"Yes","No")</f>
        <v/>
      </c>
      <c r="K3831" s="21">
        <f>IF(AND(D3831="USA",C3831&gt;=1980,J3831="No"),"Yes","No")</f>
        <v/>
      </c>
      <c r="L3831" s="26">
        <f>IF(J3831="Yes","",H3831-I3831)</f>
        <v/>
      </c>
      <c r="M3831" s="27">
        <f>IF(OR(J3831="Yes",I3831=0),"",H3831/I3831)</f>
        <v/>
      </c>
      <c r="N3831" s="21">
        <f>IF(J3831="Yes","",IF(H3831&gt;=I3831,1,0))</f>
        <v/>
      </c>
      <c r="O3831" s="21">
        <f>IF(I3831&lt;=5000000,"Under $5M",IF(I3831&lt;=20000000,"$5M-20M",IF(I3831&lt;=50000000,"$20M-50M",IF(I3831&lt;=100000000,"$50M-100M","$100M+"))))</f>
        <v/>
      </c>
      <c r="P3831" s="21">
        <f>IF(E3831&lt;=90,"90 or less",IF(E3831&lt;=105,"91-105",IF(E3831&lt;=120,"106-120",IF(E3831&lt;=140,"121-140","Over 140"))))</f>
        <v/>
      </c>
      <c r="Q3831" s="28">
        <f>INT(C3831/10)*10</f>
        <v/>
      </c>
    </row>
    <row r="3832">
      <c r="A3832" s="21" t="n">
        <v>3908</v>
      </c>
      <c r="B3832" s="21" t="inlineStr">
        <is>
          <t>Big Miracle</t>
        </is>
      </c>
      <c r="C3832" s="21" t="n">
        <v>2012</v>
      </c>
      <c r="D3832" s="21" t="inlineStr">
        <is>
          <t>USA</t>
        </is>
      </c>
      <c r="E3832" s="21" t="n">
        <v>107</v>
      </c>
      <c r="F3832" s="21" t="inlineStr">
        <is>
          <t>English</t>
        </is>
      </c>
      <c r="G3832" s="21" t="inlineStr">
        <is>
          <t>PG</t>
        </is>
      </c>
      <c r="H3832" s="22" t="n">
        <v>20113965</v>
      </c>
      <c r="I3832" s="22" t="n">
        <v>40000000</v>
      </c>
      <c r="J3832" s="21">
        <f>IF(OR(H3832="",H3832=25529689.5),"Yes","No")</f>
        <v/>
      </c>
      <c r="K3832" s="21">
        <f>IF(AND(D3832="USA",C3832&gt;=1980,J3832="No"),"Yes","No")</f>
        <v/>
      </c>
      <c r="L3832" s="26">
        <f>IF(J3832="Yes","",H3832-I3832)</f>
        <v/>
      </c>
      <c r="M3832" s="27">
        <f>IF(OR(J3832="Yes",I3832=0),"",H3832/I3832)</f>
        <v/>
      </c>
      <c r="N3832" s="21">
        <f>IF(J3832="Yes","",IF(H3832&gt;=I3832,1,0))</f>
        <v/>
      </c>
      <c r="O3832" s="21">
        <f>IF(I3832&lt;=5000000,"Under $5M",IF(I3832&lt;=20000000,"$5M-20M",IF(I3832&lt;=50000000,"$20M-50M",IF(I3832&lt;=100000000,"$50M-100M","$100M+"))))</f>
        <v/>
      </c>
      <c r="P3832" s="21">
        <f>IF(E3832&lt;=90,"90 or less",IF(E3832&lt;=105,"91-105",IF(E3832&lt;=120,"106-120",IF(E3832&lt;=140,"121-140","Over 140"))))</f>
        <v/>
      </c>
      <c r="Q3832" s="28">
        <f>INT(C3832/10)*10</f>
        <v/>
      </c>
    </row>
    <row r="3833">
      <c r="A3833" s="21" t="n">
        <v>3909</v>
      </c>
      <c r="B3833" s="21" t="inlineStr">
        <is>
          <t>Black November</t>
        </is>
      </c>
      <c r="C3833" s="21" t="n">
        <v>2012</v>
      </c>
      <c r="D3833" s="21" t="inlineStr">
        <is>
          <t>Nigeria</t>
        </is>
      </c>
      <c r="E3833" s="21" t="n">
        <v>95</v>
      </c>
      <c r="F3833" s="21" t="inlineStr">
        <is>
          <t>English</t>
        </is>
      </c>
      <c r="G3833" s="21" t="n"/>
      <c r="H3833" s="22" t="n">
        <v>25529689.5</v>
      </c>
      <c r="I3833" s="22" t="n">
        <v>7500000</v>
      </c>
      <c r="J3833" s="21">
        <f>IF(OR(H3833="",H3833=25529689.5),"Yes","No")</f>
        <v/>
      </c>
      <c r="K3833" s="21">
        <f>IF(AND(D3833="USA",C3833&gt;=1980,J3833="No"),"Yes","No")</f>
        <v/>
      </c>
      <c r="L3833" s="26">
        <f>IF(J3833="Yes","",H3833-I3833)</f>
        <v/>
      </c>
      <c r="M3833" s="27">
        <f>IF(OR(J3833="Yes",I3833=0),"",H3833/I3833)</f>
        <v/>
      </c>
      <c r="N3833" s="21">
        <f>IF(J3833="Yes","",IF(H3833&gt;=I3833,1,0))</f>
        <v/>
      </c>
      <c r="O3833" s="21">
        <f>IF(I3833&lt;=5000000,"Under $5M",IF(I3833&lt;=20000000,"$5M-20M",IF(I3833&lt;=50000000,"$20M-50M",IF(I3833&lt;=100000000,"$50M-100M","$100M+"))))</f>
        <v/>
      </c>
      <c r="P3833" s="21">
        <f>IF(E3833&lt;=90,"90 or less",IF(E3833&lt;=105,"91-105",IF(E3833&lt;=120,"106-120",IF(E3833&lt;=140,"121-140","Over 140"))))</f>
        <v/>
      </c>
      <c r="Q3833" s="28">
        <f>INT(C3833/10)*10</f>
        <v/>
      </c>
    </row>
    <row r="3834">
      <c r="A3834" s="21" t="n">
        <v>3910</v>
      </c>
      <c r="B3834" s="21" t="inlineStr">
        <is>
          <t>Black Rock</t>
        </is>
      </c>
      <c r="C3834" s="21" t="n">
        <v>2012</v>
      </c>
      <c r="D3834" s="21" t="inlineStr">
        <is>
          <t>USA</t>
        </is>
      </c>
      <c r="E3834" s="21" t="n">
        <v>83</v>
      </c>
      <c r="F3834" s="21" t="inlineStr">
        <is>
          <t>English</t>
        </is>
      </c>
      <c r="G3834" s="21" t="inlineStr">
        <is>
          <t>R</t>
        </is>
      </c>
      <c r="H3834" s="22" t="n">
        <v>25529689.5</v>
      </c>
      <c r="I3834" s="22" t="n">
        <v>20000000</v>
      </c>
      <c r="J3834" s="21">
        <f>IF(OR(H3834="",H3834=25529689.5),"Yes","No")</f>
        <v/>
      </c>
      <c r="K3834" s="21">
        <f>IF(AND(D3834="USA",C3834&gt;=1980,J3834="No"),"Yes","No")</f>
        <v/>
      </c>
      <c r="L3834" s="26">
        <f>IF(J3834="Yes","",H3834-I3834)</f>
        <v/>
      </c>
      <c r="M3834" s="27">
        <f>IF(OR(J3834="Yes",I3834=0),"",H3834/I3834)</f>
        <v/>
      </c>
      <c r="N3834" s="21">
        <f>IF(J3834="Yes","",IF(H3834&gt;=I3834,1,0))</f>
        <v/>
      </c>
      <c r="O3834" s="21">
        <f>IF(I3834&lt;=5000000,"Under $5M",IF(I3834&lt;=20000000,"$5M-20M",IF(I3834&lt;=50000000,"$20M-50M",IF(I3834&lt;=100000000,"$50M-100M","$100M+"))))</f>
        <v/>
      </c>
      <c r="P3834" s="21">
        <f>IF(E3834&lt;=90,"90 or less",IF(E3834&lt;=105,"91-105",IF(E3834&lt;=120,"106-120",IF(E3834&lt;=140,"121-140","Over 140"))))</f>
        <v/>
      </c>
      <c r="Q3834" s="28">
        <f>INT(C3834/10)*10</f>
        <v/>
      </c>
    </row>
    <row r="3835">
      <c r="A3835" s="21" t="n">
        <v>3911</v>
      </c>
      <c r="B3835" s="21" t="inlineStr">
        <is>
          <t>Blue Like Jazz</t>
        </is>
      </c>
      <c r="C3835" s="21" t="n">
        <v>2012</v>
      </c>
      <c r="D3835" s="21" t="inlineStr">
        <is>
          <t>USA</t>
        </is>
      </c>
      <c r="E3835" s="21" t="n">
        <v>108</v>
      </c>
      <c r="F3835" s="21" t="inlineStr">
        <is>
          <t>English</t>
        </is>
      </c>
      <c r="G3835" s="21" t="inlineStr">
        <is>
          <t>PG-13</t>
        </is>
      </c>
      <c r="H3835" s="22" t="n">
        <v>594904</v>
      </c>
      <c r="I3835" s="22" t="n">
        <v>1200000</v>
      </c>
      <c r="J3835" s="21">
        <f>IF(OR(H3835="",H3835=25529689.5),"Yes","No")</f>
        <v/>
      </c>
      <c r="K3835" s="21">
        <f>IF(AND(D3835="USA",C3835&gt;=1980,J3835="No"),"Yes","No")</f>
        <v/>
      </c>
      <c r="L3835" s="26">
        <f>IF(J3835="Yes","",H3835-I3835)</f>
        <v/>
      </c>
      <c r="M3835" s="27">
        <f>IF(OR(J3835="Yes",I3835=0),"",H3835/I3835)</f>
        <v/>
      </c>
      <c r="N3835" s="21">
        <f>IF(J3835="Yes","",IF(H3835&gt;=I3835,1,0))</f>
        <v/>
      </c>
      <c r="O3835" s="21">
        <f>IF(I3835&lt;=5000000,"Under $5M",IF(I3835&lt;=20000000,"$5M-20M",IF(I3835&lt;=50000000,"$20M-50M",IF(I3835&lt;=100000000,"$50M-100M","$100M+"))))</f>
        <v/>
      </c>
      <c r="P3835" s="21">
        <f>IF(E3835&lt;=90,"90 or less",IF(E3835&lt;=105,"91-105",IF(E3835&lt;=120,"106-120",IF(E3835&lt;=140,"121-140","Over 140"))))</f>
        <v/>
      </c>
      <c r="Q3835" s="28">
        <f>INT(C3835/10)*10</f>
        <v/>
      </c>
    </row>
    <row r="3836">
      <c r="A3836" s="21" t="n">
        <v>3912</v>
      </c>
      <c r="B3836" s="21" t="inlineStr">
        <is>
          <t>Brave</t>
        </is>
      </c>
      <c r="C3836" s="21" t="n">
        <v>2012</v>
      </c>
      <c r="D3836" s="21" t="inlineStr">
        <is>
          <t>USA</t>
        </is>
      </c>
      <c r="E3836" s="21" t="n">
        <v>93</v>
      </c>
      <c r="F3836" s="21" t="inlineStr">
        <is>
          <t>English</t>
        </is>
      </c>
      <c r="G3836" s="21" t="inlineStr">
        <is>
          <t>PG</t>
        </is>
      </c>
      <c r="H3836" s="22" t="n">
        <v>237282182</v>
      </c>
      <c r="I3836" s="22" t="n">
        <v>185000000</v>
      </c>
      <c r="J3836" s="21">
        <f>IF(OR(H3836="",H3836=25529689.5),"Yes","No")</f>
        <v/>
      </c>
      <c r="K3836" s="21">
        <f>IF(AND(D3836="USA",C3836&gt;=1980,J3836="No"),"Yes","No")</f>
        <v/>
      </c>
      <c r="L3836" s="26">
        <f>IF(J3836="Yes","",H3836-I3836)</f>
        <v/>
      </c>
      <c r="M3836" s="27">
        <f>IF(OR(J3836="Yes",I3836=0),"",H3836/I3836)</f>
        <v/>
      </c>
      <c r="N3836" s="21">
        <f>IF(J3836="Yes","",IF(H3836&gt;=I3836,1,0))</f>
        <v/>
      </c>
      <c r="O3836" s="21">
        <f>IF(I3836&lt;=5000000,"Under $5M",IF(I3836&lt;=20000000,"$5M-20M",IF(I3836&lt;=50000000,"$20M-50M",IF(I3836&lt;=100000000,"$50M-100M","$100M+"))))</f>
        <v/>
      </c>
      <c r="P3836" s="21">
        <f>IF(E3836&lt;=90,"90 or less",IF(E3836&lt;=105,"91-105",IF(E3836&lt;=120,"106-120",IF(E3836&lt;=140,"121-140","Over 140"))))</f>
        <v/>
      </c>
      <c r="Q3836" s="28">
        <f>INT(C3836/10)*10</f>
        <v/>
      </c>
    </row>
    <row r="3837">
      <c r="A3837" s="21" t="n">
        <v>3913</v>
      </c>
      <c r="B3837" s="21" t="inlineStr">
        <is>
          <t>Bullet to the Head</t>
        </is>
      </c>
      <c r="C3837" s="21" t="n">
        <v>2012</v>
      </c>
      <c r="D3837" s="21" t="inlineStr">
        <is>
          <t>USA</t>
        </is>
      </c>
      <c r="E3837" s="21" t="n">
        <v>92</v>
      </c>
      <c r="F3837" s="21" t="inlineStr">
        <is>
          <t>English</t>
        </is>
      </c>
      <c r="G3837" s="21" t="inlineStr">
        <is>
          <t>R</t>
        </is>
      </c>
      <c r="H3837" s="22" t="n">
        <v>9483821</v>
      </c>
      <c r="I3837" s="22" t="n">
        <v>55000000</v>
      </c>
      <c r="J3837" s="21">
        <f>IF(OR(H3837="",H3837=25529689.5),"Yes","No")</f>
        <v/>
      </c>
      <c r="K3837" s="21">
        <f>IF(AND(D3837="USA",C3837&gt;=1980,J3837="No"),"Yes","No")</f>
        <v/>
      </c>
      <c r="L3837" s="26">
        <f>IF(J3837="Yes","",H3837-I3837)</f>
        <v/>
      </c>
      <c r="M3837" s="27">
        <f>IF(OR(J3837="Yes",I3837=0),"",H3837/I3837)</f>
        <v/>
      </c>
      <c r="N3837" s="21">
        <f>IF(J3837="Yes","",IF(H3837&gt;=I3837,1,0))</f>
        <v/>
      </c>
      <c r="O3837" s="21">
        <f>IF(I3837&lt;=5000000,"Under $5M",IF(I3837&lt;=20000000,"$5M-20M",IF(I3837&lt;=50000000,"$20M-50M",IF(I3837&lt;=100000000,"$50M-100M","$100M+"))))</f>
        <v/>
      </c>
      <c r="P3837" s="21">
        <f>IF(E3837&lt;=90,"90 or less",IF(E3837&lt;=105,"91-105",IF(E3837&lt;=120,"106-120",IF(E3837&lt;=140,"121-140","Over 140"))))</f>
        <v/>
      </c>
      <c r="Q3837" s="28">
        <f>INT(C3837/10)*10</f>
        <v/>
      </c>
    </row>
    <row r="3838">
      <c r="A3838" s="21" t="n">
        <v>3914</v>
      </c>
      <c r="B3838" s="21" t="inlineStr">
        <is>
          <t>Burn</t>
        </is>
      </c>
      <c r="C3838" s="21" t="n">
        <v>2012</v>
      </c>
      <c r="D3838" s="21" t="inlineStr">
        <is>
          <t>USA</t>
        </is>
      </c>
      <c r="E3838" s="21" t="n">
        <v>86</v>
      </c>
      <c r="F3838" s="21" t="inlineStr">
        <is>
          <t>English</t>
        </is>
      </c>
      <c r="G3838" s="21" t="inlineStr">
        <is>
          <t>Not Rated</t>
        </is>
      </c>
      <c r="H3838" s="22" t="n">
        <v>111300</v>
      </c>
      <c r="I3838" s="22" t="n">
        <v>225000</v>
      </c>
      <c r="J3838" s="21">
        <f>IF(OR(H3838="",H3838=25529689.5),"Yes","No")</f>
        <v/>
      </c>
      <c r="K3838" s="21">
        <f>IF(AND(D3838="USA",C3838&gt;=1980,J3838="No"),"Yes","No")</f>
        <v/>
      </c>
      <c r="L3838" s="26">
        <f>IF(J3838="Yes","",H3838-I3838)</f>
        <v/>
      </c>
      <c r="M3838" s="27">
        <f>IF(OR(J3838="Yes",I3838=0),"",H3838/I3838)</f>
        <v/>
      </c>
      <c r="N3838" s="21">
        <f>IF(J3838="Yes","",IF(H3838&gt;=I3838,1,0))</f>
        <v/>
      </c>
      <c r="O3838" s="21">
        <f>IF(I3838&lt;=5000000,"Under $5M",IF(I3838&lt;=20000000,"$5M-20M",IF(I3838&lt;=50000000,"$20M-50M",IF(I3838&lt;=100000000,"$50M-100M","$100M+"))))</f>
        <v/>
      </c>
      <c r="P3838" s="21">
        <f>IF(E3838&lt;=90,"90 or less",IF(E3838&lt;=105,"91-105",IF(E3838&lt;=120,"106-120",IF(E3838&lt;=140,"121-140","Over 140"))))</f>
        <v/>
      </c>
      <c r="Q3838" s="28">
        <f>INT(C3838/10)*10</f>
        <v/>
      </c>
    </row>
    <row r="3839">
      <c r="A3839" s="21" t="n">
        <v>3915</v>
      </c>
      <c r="B3839" s="21" t="inlineStr">
        <is>
          <t>Casa de mi Padre</t>
        </is>
      </c>
      <c r="C3839" s="21" t="n">
        <v>2012</v>
      </c>
      <c r="D3839" s="21" t="inlineStr">
        <is>
          <t>USA</t>
        </is>
      </c>
      <c r="E3839" s="21" t="n">
        <v>84</v>
      </c>
      <c r="F3839" s="21" t="inlineStr">
        <is>
          <t>Spanish</t>
        </is>
      </c>
      <c r="G3839" s="21" t="inlineStr">
        <is>
          <t>R</t>
        </is>
      </c>
      <c r="H3839" s="22" t="n">
        <v>5895238</v>
      </c>
      <c r="I3839" s="22" t="n">
        <v>6000000</v>
      </c>
      <c r="J3839" s="21">
        <f>IF(OR(H3839="",H3839=25529689.5),"Yes","No")</f>
        <v/>
      </c>
      <c r="K3839" s="21">
        <f>IF(AND(D3839="USA",C3839&gt;=1980,J3839="No"),"Yes","No")</f>
        <v/>
      </c>
      <c r="L3839" s="26">
        <f>IF(J3839="Yes","",H3839-I3839)</f>
        <v/>
      </c>
      <c r="M3839" s="27">
        <f>IF(OR(J3839="Yes",I3839=0),"",H3839/I3839)</f>
        <v/>
      </c>
      <c r="N3839" s="21">
        <f>IF(J3839="Yes","",IF(H3839&gt;=I3839,1,0))</f>
        <v/>
      </c>
      <c r="O3839" s="21">
        <f>IF(I3839&lt;=5000000,"Under $5M",IF(I3839&lt;=20000000,"$5M-20M",IF(I3839&lt;=50000000,"$20M-50M",IF(I3839&lt;=100000000,"$50M-100M","$100M+"))))</f>
        <v/>
      </c>
      <c r="P3839" s="21">
        <f>IF(E3839&lt;=90,"90 or less",IF(E3839&lt;=105,"91-105",IF(E3839&lt;=120,"106-120",IF(E3839&lt;=140,"121-140","Over 140"))))</f>
        <v/>
      </c>
      <c r="Q3839" s="28">
        <f>INT(C3839/10)*10</f>
        <v/>
      </c>
    </row>
    <row r="3840">
      <c r="A3840" s="21" t="n">
        <v>3916</v>
      </c>
      <c r="B3840" s="21" t="inlineStr">
        <is>
          <t>Celeste &amp; Jesse Forever</t>
        </is>
      </c>
      <c r="C3840" s="21" t="n">
        <v>2012</v>
      </c>
      <c r="D3840" s="21" t="inlineStr">
        <is>
          <t>USA</t>
        </is>
      </c>
      <c r="E3840" s="21" t="n">
        <v>92</v>
      </c>
      <c r="F3840" s="21" t="inlineStr">
        <is>
          <t>English</t>
        </is>
      </c>
      <c r="G3840" s="21" t="inlineStr">
        <is>
          <t>R</t>
        </is>
      </c>
      <c r="H3840" s="22" t="n">
        <v>3094687</v>
      </c>
      <c r="I3840" s="22" t="n">
        <v>20000000</v>
      </c>
      <c r="J3840" s="21">
        <f>IF(OR(H3840="",H3840=25529689.5),"Yes","No")</f>
        <v/>
      </c>
      <c r="K3840" s="21">
        <f>IF(AND(D3840="USA",C3840&gt;=1980,J3840="No"),"Yes","No")</f>
        <v/>
      </c>
      <c r="L3840" s="26">
        <f>IF(J3840="Yes","",H3840-I3840)</f>
        <v/>
      </c>
      <c r="M3840" s="27">
        <f>IF(OR(J3840="Yes",I3840=0),"",H3840/I3840)</f>
        <v/>
      </c>
      <c r="N3840" s="21">
        <f>IF(J3840="Yes","",IF(H3840&gt;=I3840,1,0))</f>
        <v/>
      </c>
      <c r="O3840" s="21">
        <f>IF(I3840&lt;=5000000,"Under $5M",IF(I3840&lt;=20000000,"$5M-20M",IF(I3840&lt;=50000000,"$20M-50M",IF(I3840&lt;=100000000,"$50M-100M","$100M+"))))</f>
        <v/>
      </c>
      <c r="P3840" s="21">
        <f>IF(E3840&lt;=90,"90 or less",IF(E3840&lt;=105,"91-105",IF(E3840&lt;=120,"106-120",IF(E3840&lt;=140,"121-140","Over 140"))))</f>
        <v/>
      </c>
      <c r="Q3840" s="28">
        <f>INT(C3840/10)*10</f>
        <v/>
      </c>
    </row>
    <row r="3841">
      <c r="A3841" s="21" t="n">
        <v>3917</v>
      </c>
      <c r="B3841" s="21" t="inlineStr">
        <is>
          <t>Chasing Mavericks</t>
        </is>
      </c>
      <c r="C3841" s="21" t="n">
        <v>2012</v>
      </c>
      <c r="D3841" s="21" t="inlineStr">
        <is>
          <t>USA</t>
        </is>
      </c>
      <c r="E3841" s="21" t="n">
        <v>116</v>
      </c>
      <c r="F3841" s="21" t="inlineStr">
        <is>
          <t>English</t>
        </is>
      </c>
      <c r="G3841" s="21" t="inlineStr">
        <is>
          <t>PG</t>
        </is>
      </c>
      <c r="H3841" s="22" t="n">
        <v>6002756</v>
      </c>
      <c r="I3841" s="22" t="n">
        <v>20000000</v>
      </c>
      <c r="J3841" s="21">
        <f>IF(OR(H3841="",H3841=25529689.5),"Yes","No")</f>
        <v/>
      </c>
      <c r="K3841" s="21">
        <f>IF(AND(D3841="USA",C3841&gt;=1980,J3841="No"),"Yes","No")</f>
        <v/>
      </c>
      <c r="L3841" s="26">
        <f>IF(J3841="Yes","",H3841-I3841)</f>
        <v/>
      </c>
      <c r="M3841" s="27">
        <f>IF(OR(J3841="Yes",I3841=0),"",H3841/I3841)</f>
        <v/>
      </c>
      <c r="N3841" s="21">
        <f>IF(J3841="Yes","",IF(H3841&gt;=I3841,1,0))</f>
        <v/>
      </c>
      <c r="O3841" s="21">
        <f>IF(I3841&lt;=5000000,"Under $5M",IF(I3841&lt;=20000000,"$5M-20M",IF(I3841&lt;=50000000,"$20M-50M",IF(I3841&lt;=100000000,"$50M-100M","$100M+"))))</f>
        <v/>
      </c>
      <c r="P3841" s="21">
        <f>IF(E3841&lt;=90,"90 or less",IF(E3841&lt;=105,"91-105",IF(E3841&lt;=120,"106-120",IF(E3841&lt;=140,"121-140","Over 140"))))</f>
        <v/>
      </c>
      <c r="Q3841" s="28">
        <f>INT(C3841/10)*10</f>
        <v/>
      </c>
    </row>
    <row r="3842">
      <c r="A3842" s="21" t="n">
        <v>3918</v>
      </c>
      <c r="B3842" s="21" t="inlineStr">
        <is>
          <t>Chernobyl Diaries</t>
        </is>
      </c>
      <c r="C3842" s="21" t="n">
        <v>2012</v>
      </c>
      <c r="D3842" s="21" t="inlineStr">
        <is>
          <t>USA</t>
        </is>
      </c>
      <c r="E3842" s="21" t="n">
        <v>86</v>
      </c>
      <c r="F3842" s="21" t="inlineStr">
        <is>
          <t>English</t>
        </is>
      </c>
      <c r="G3842" s="21" t="inlineStr">
        <is>
          <t>R</t>
        </is>
      </c>
      <c r="H3842" s="22" t="n">
        <v>18112929</v>
      </c>
      <c r="I3842" s="22" t="n">
        <v>1000000</v>
      </c>
      <c r="J3842" s="21">
        <f>IF(OR(H3842="",H3842=25529689.5),"Yes","No")</f>
        <v/>
      </c>
      <c r="K3842" s="21">
        <f>IF(AND(D3842="USA",C3842&gt;=1980,J3842="No"),"Yes","No")</f>
        <v/>
      </c>
      <c r="L3842" s="26">
        <f>IF(J3842="Yes","",H3842-I3842)</f>
        <v/>
      </c>
      <c r="M3842" s="27">
        <f>IF(OR(J3842="Yes",I3842=0),"",H3842/I3842)</f>
        <v/>
      </c>
      <c r="N3842" s="21">
        <f>IF(J3842="Yes","",IF(H3842&gt;=I3842,1,0))</f>
        <v/>
      </c>
      <c r="O3842" s="21">
        <f>IF(I3842&lt;=5000000,"Under $5M",IF(I3842&lt;=20000000,"$5M-20M",IF(I3842&lt;=50000000,"$20M-50M",IF(I3842&lt;=100000000,"$50M-100M","$100M+"))))</f>
        <v/>
      </c>
      <c r="P3842" s="21">
        <f>IF(E3842&lt;=90,"90 or less",IF(E3842&lt;=105,"91-105",IF(E3842&lt;=120,"106-120",IF(E3842&lt;=140,"121-140","Over 140"))))</f>
        <v/>
      </c>
      <c r="Q3842" s="28">
        <f>INT(C3842/10)*10</f>
        <v/>
      </c>
    </row>
    <row r="3843">
      <c r="A3843" s="21" t="n">
        <v>3919</v>
      </c>
      <c r="B3843" s="21" t="inlineStr">
        <is>
          <t>Chronicle</t>
        </is>
      </c>
      <c r="C3843" s="21" t="n">
        <v>2012</v>
      </c>
      <c r="D3843" s="21" t="inlineStr">
        <is>
          <t>USA</t>
        </is>
      </c>
      <c r="E3843" s="21" t="n">
        <v>89</v>
      </c>
      <c r="F3843" s="21" t="inlineStr">
        <is>
          <t>English</t>
        </is>
      </c>
      <c r="G3843" s="21" t="inlineStr">
        <is>
          <t>PG-13</t>
        </is>
      </c>
      <c r="H3843" s="22" t="n">
        <v>64572496</v>
      </c>
      <c r="I3843" s="22" t="n">
        <v>12000000</v>
      </c>
      <c r="J3843" s="21">
        <f>IF(OR(H3843="",H3843=25529689.5),"Yes","No")</f>
        <v/>
      </c>
      <c r="K3843" s="21">
        <f>IF(AND(D3843="USA",C3843&gt;=1980,J3843="No"),"Yes","No")</f>
        <v/>
      </c>
      <c r="L3843" s="26">
        <f>IF(J3843="Yes","",H3843-I3843)</f>
        <v/>
      </c>
      <c r="M3843" s="27">
        <f>IF(OR(J3843="Yes",I3843=0),"",H3843/I3843)</f>
        <v/>
      </c>
      <c r="N3843" s="21">
        <f>IF(J3843="Yes","",IF(H3843&gt;=I3843,1,0))</f>
        <v/>
      </c>
      <c r="O3843" s="21">
        <f>IF(I3843&lt;=5000000,"Under $5M",IF(I3843&lt;=20000000,"$5M-20M",IF(I3843&lt;=50000000,"$20M-50M",IF(I3843&lt;=100000000,"$50M-100M","$100M+"))))</f>
        <v/>
      </c>
      <c r="P3843" s="21">
        <f>IF(E3843&lt;=90,"90 or less",IF(E3843&lt;=105,"91-105",IF(E3843&lt;=120,"106-120",IF(E3843&lt;=140,"121-140","Over 140"))))</f>
        <v/>
      </c>
      <c r="Q3843" s="28">
        <f>INT(C3843/10)*10</f>
        <v/>
      </c>
    </row>
    <row r="3844">
      <c r="A3844" s="21" t="n">
        <v>3920</v>
      </c>
      <c r="B3844" s="21" t="inlineStr">
        <is>
          <t>Cirque du Soleil: Worlds Away</t>
        </is>
      </c>
      <c r="C3844" s="21" t="n">
        <v>2012</v>
      </c>
      <c r="D3844" s="21" t="inlineStr">
        <is>
          <t>USA</t>
        </is>
      </c>
      <c r="E3844" s="21" t="n">
        <v>91</v>
      </c>
      <c r="F3844" s="21" t="inlineStr">
        <is>
          <t>English</t>
        </is>
      </c>
      <c r="G3844" s="21" t="inlineStr">
        <is>
          <t>PG</t>
        </is>
      </c>
      <c r="H3844" s="22" t="n">
        <v>12495865</v>
      </c>
      <c r="I3844" s="22" t="n">
        <v>20000000</v>
      </c>
      <c r="J3844" s="21">
        <f>IF(OR(H3844="",H3844=25529689.5),"Yes","No")</f>
        <v/>
      </c>
      <c r="K3844" s="21">
        <f>IF(AND(D3844="USA",C3844&gt;=1980,J3844="No"),"Yes","No")</f>
        <v/>
      </c>
      <c r="L3844" s="26">
        <f>IF(J3844="Yes","",H3844-I3844)</f>
        <v/>
      </c>
      <c r="M3844" s="27">
        <f>IF(OR(J3844="Yes",I3844=0),"",H3844/I3844)</f>
        <v/>
      </c>
      <c r="N3844" s="21">
        <f>IF(J3844="Yes","",IF(H3844&gt;=I3844,1,0))</f>
        <v/>
      </c>
      <c r="O3844" s="21">
        <f>IF(I3844&lt;=5000000,"Under $5M",IF(I3844&lt;=20000000,"$5M-20M",IF(I3844&lt;=50000000,"$20M-50M",IF(I3844&lt;=100000000,"$50M-100M","$100M+"))))</f>
        <v/>
      </c>
      <c r="P3844" s="21">
        <f>IF(E3844&lt;=90,"90 or less",IF(E3844&lt;=105,"91-105",IF(E3844&lt;=120,"106-120",IF(E3844&lt;=140,"121-140","Over 140"))))</f>
        <v/>
      </c>
      <c r="Q3844" s="28">
        <f>INT(C3844/10)*10</f>
        <v/>
      </c>
    </row>
    <row r="3845">
      <c r="A3845" s="21" t="n">
        <v>3921</v>
      </c>
      <c r="B3845" s="21" t="inlineStr">
        <is>
          <t>Cloud Atlas</t>
        </is>
      </c>
      <c r="C3845" s="21" t="n">
        <v>2012</v>
      </c>
      <c r="D3845" s="21" t="inlineStr">
        <is>
          <t>Germany</t>
        </is>
      </c>
      <c r="E3845" s="21" t="n">
        <v>172</v>
      </c>
      <c r="F3845" s="21" t="inlineStr">
        <is>
          <t>English</t>
        </is>
      </c>
      <c r="G3845" s="21" t="inlineStr">
        <is>
          <t>R</t>
        </is>
      </c>
      <c r="H3845" s="22" t="n">
        <v>27098580</v>
      </c>
      <c r="I3845" s="22" t="n">
        <v>102000000</v>
      </c>
      <c r="J3845" s="21">
        <f>IF(OR(H3845="",H3845=25529689.5),"Yes","No")</f>
        <v/>
      </c>
      <c r="K3845" s="21">
        <f>IF(AND(D3845="USA",C3845&gt;=1980,J3845="No"),"Yes","No")</f>
        <v/>
      </c>
      <c r="L3845" s="26">
        <f>IF(J3845="Yes","",H3845-I3845)</f>
        <v/>
      </c>
      <c r="M3845" s="27">
        <f>IF(OR(J3845="Yes",I3845=0),"",H3845/I3845)</f>
        <v/>
      </c>
      <c r="N3845" s="21">
        <f>IF(J3845="Yes","",IF(H3845&gt;=I3845,1,0))</f>
        <v/>
      </c>
      <c r="O3845" s="21">
        <f>IF(I3845&lt;=5000000,"Under $5M",IF(I3845&lt;=20000000,"$5M-20M",IF(I3845&lt;=50000000,"$20M-50M",IF(I3845&lt;=100000000,"$50M-100M","$100M+"))))</f>
        <v/>
      </c>
      <c r="P3845" s="21">
        <f>IF(E3845&lt;=90,"90 or less",IF(E3845&lt;=105,"91-105",IF(E3845&lt;=120,"106-120",IF(E3845&lt;=140,"121-140","Over 140"))))</f>
        <v/>
      </c>
      <c r="Q3845" s="28">
        <f>INT(C3845/10)*10</f>
        <v/>
      </c>
    </row>
    <row r="3846">
      <c r="A3846" s="21" t="n">
        <v>3922</v>
      </c>
      <c r="B3846" s="21" t="inlineStr">
        <is>
          <t>Compliance</t>
        </is>
      </c>
      <c r="C3846" s="21" t="n">
        <v>2012</v>
      </c>
      <c r="D3846" s="21" t="inlineStr">
        <is>
          <t>USA</t>
        </is>
      </c>
      <c r="E3846" s="21" t="n">
        <v>90</v>
      </c>
      <c r="F3846" s="21" t="inlineStr">
        <is>
          <t>English</t>
        </is>
      </c>
      <c r="G3846" s="21" t="inlineStr">
        <is>
          <t>R</t>
        </is>
      </c>
      <c r="H3846" s="22" t="n">
        <v>318622</v>
      </c>
      <c r="I3846" s="22" t="n">
        <v>270000</v>
      </c>
      <c r="J3846" s="21">
        <f>IF(OR(H3846="",H3846=25529689.5),"Yes","No")</f>
        <v/>
      </c>
      <c r="K3846" s="21">
        <f>IF(AND(D3846="USA",C3846&gt;=1980,J3846="No"),"Yes","No")</f>
        <v/>
      </c>
      <c r="L3846" s="26">
        <f>IF(J3846="Yes","",H3846-I3846)</f>
        <v/>
      </c>
      <c r="M3846" s="27">
        <f>IF(OR(J3846="Yes",I3846=0),"",H3846/I3846)</f>
        <v/>
      </c>
      <c r="N3846" s="21">
        <f>IF(J3846="Yes","",IF(H3846&gt;=I3846,1,0))</f>
        <v/>
      </c>
      <c r="O3846" s="21">
        <f>IF(I3846&lt;=5000000,"Under $5M",IF(I3846&lt;=20000000,"$5M-20M",IF(I3846&lt;=50000000,"$20M-50M",IF(I3846&lt;=100000000,"$50M-100M","$100M+"))))</f>
        <v/>
      </c>
      <c r="P3846" s="21">
        <f>IF(E3846&lt;=90,"90 or less",IF(E3846&lt;=105,"91-105",IF(E3846&lt;=120,"106-120",IF(E3846&lt;=140,"121-140","Over 140"))))</f>
        <v/>
      </c>
      <c r="Q3846" s="28">
        <f>INT(C3846/10)*10</f>
        <v/>
      </c>
    </row>
    <row r="3847">
      <c r="A3847" s="21" t="n">
        <v>3923</v>
      </c>
      <c r="B3847" s="21" t="inlineStr">
        <is>
          <t>Contraband</t>
        </is>
      </c>
      <c r="C3847" s="21" t="n">
        <v>2012</v>
      </c>
      <c r="D3847" s="21" t="inlineStr">
        <is>
          <t>USA</t>
        </is>
      </c>
      <c r="E3847" s="21" t="n">
        <v>109</v>
      </c>
      <c r="F3847" s="21" t="inlineStr">
        <is>
          <t>English</t>
        </is>
      </c>
      <c r="G3847" s="21" t="inlineStr">
        <is>
          <t>R</t>
        </is>
      </c>
      <c r="H3847" s="22" t="n">
        <v>66489425</v>
      </c>
      <c r="I3847" s="22" t="n">
        <v>25000000</v>
      </c>
      <c r="J3847" s="21">
        <f>IF(OR(H3847="",H3847=25529689.5),"Yes","No")</f>
        <v/>
      </c>
      <c r="K3847" s="21">
        <f>IF(AND(D3847="USA",C3847&gt;=1980,J3847="No"),"Yes","No")</f>
        <v/>
      </c>
      <c r="L3847" s="26">
        <f>IF(J3847="Yes","",H3847-I3847)</f>
        <v/>
      </c>
      <c r="M3847" s="27">
        <f>IF(OR(J3847="Yes",I3847=0),"",H3847/I3847)</f>
        <v/>
      </c>
      <c r="N3847" s="21">
        <f>IF(J3847="Yes","",IF(H3847&gt;=I3847,1,0))</f>
        <v/>
      </c>
      <c r="O3847" s="21">
        <f>IF(I3847&lt;=5000000,"Under $5M",IF(I3847&lt;=20000000,"$5M-20M",IF(I3847&lt;=50000000,"$20M-50M",IF(I3847&lt;=100000000,"$50M-100M","$100M+"))))</f>
        <v/>
      </c>
      <c r="P3847" s="21">
        <f>IF(E3847&lt;=90,"90 or less",IF(E3847&lt;=105,"91-105",IF(E3847&lt;=120,"106-120",IF(E3847&lt;=140,"121-140","Over 140"))))</f>
        <v/>
      </c>
      <c r="Q3847" s="28">
        <f>INT(C3847/10)*10</f>
        <v/>
      </c>
    </row>
    <row r="3848">
      <c r="A3848" s="21" t="n">
        <v>3924</v>
      </c>
      <c r="B3848" s="21" t="inlineStr">
        <is>
          <t>Crowsnest</t>
        </is>
      </c>
      <c r="C3848" s="21" t="n">
        <v>2012</v>
      </c>
      <c r="D3848" s="21" t="inlineStr">
        <is>
          <t>Canada</t>
        </is>
      </c>
      <c r="E3848" s="21" t="n">
        <v>84</v>
      </c>
      <c r="F3848" s="21" t="inlineStr">
        <is>
          <t>English</t>
        </is>
      </c>
      <c r="G3848" s="21" t="inlineStr">
        <is>
          <t>R</t>
        </is>
      </c>
      <c r="H3848" s="22" t="n">
        <v>25529689.5</v>
      </c>
      <c r="I3848" s="22" t="n">
        <v>1200000</v>
      </c>
      <c r="J3848" s="21">
        <f>IF(OR(H3848="",H3848=25529689.5),"Yes","No")</f>
        <v/>
      </c>
      <c r="K3848" s="21">
        <f>IF(AND(D3848="USA",C3848&gt;=1980,J3848="No"),"Yes","No")</f>
        <v/>
      </c>
      <c r="L3848" s="26">
        <f>IF(J3848="Yes","",H3848-I3848)</f>
        <v/>
      </c>
      <c r="M3848" s="27">
        <f>IF(OR(J3848="Yes",I3848=0),"",H3848/I3848)</f>
        <v/>
      </c>
      <c r="N3848" s="21">
        <f>IF(J3848="Yes","",IF(H3848&gt;=I3848,1,0))</f>
        <v/>
      </c>
      <c r="O3848" s="21">
        <f>IF(I3848&lt;=5000000,"Under $5M",IF(I3848&lt;=20000000,"$5M-20M",IF(I3848&lt;=50000000,"$20M-50M",IF(I3848&lt;=100000000,"$50M-100M","$100M+"))))</f>
        <v/>
      </c>
      <c r="P3848" s="21">
        <f>IF(E3848&lt;=90,"90 or less",IF(E3848&lt;=105,"91-105",IF(E3848&lt;=120,"106-120",IF(E3848&lt;=140,"121-140","Over 140"))))</f>
        <v/>
      </c>
      <c r="Q3848" s="28">
        <f>INT(C3848/10)*10</f>
        <v/>
      </c>
    </row>
    <row r="3849">
      <c r="A3849" s="21" t="n">
        <v>3925</v>
      </c>
      <c r="B3849" s="21" t="inlineStr">
        <is>
          <t>Dark Shadows</t>
        </is>
      </c>
      <c r="C3849" s="21" t="n">
        <v>2012</v>
      </c>
      <c r="D3849" s="21" t="inlineStr">
        <is>
          <t>USA</t>
        </is>
      </c>
      <c r="E3849" s="21" t="n">
        <v>113</v>
      </c>
      <c r="F3849" s="21" t="inlineStr">
        <is>
          <t>English</t>
        </is>
      </c>
      <c r="G3849" s="21" t="inlineStr">
        <is>
          <t>PG-13</t>
        </is>
      </c>
      <c r="H3849" s="22" t="n">
        <v>79711678</v>
      </c>
      <c r="I3849" s="22" t="n">
        <v>100000000</v>
      </c>
      <c r="J3849" s="21">
        <f>IF(OR(H3849="",H3849=25529689.5),"Yes","No")</f>
        <v/>
      </c>
      <c r="K3849" s="21">
        <f>IF(AND(D3849="USA",C3849&gt;=1980,J3849="No"),"Yes","No")</f>
        <v/>
      </c>
      <c r="L3849" s="26">
        <f>IF(J3849="Yes","",H3849-I3849)</f>
        <v/>
      </c>
      <c r="M3849" s="27">
        <f>IF(OR(J3849="Yes",I3849=0),"",H3849/I3849)</f>
        <v/>
      </c>
      <c r="N3849" s="21">
        <f>IF(J3849="Yes","",IF(H3849&gt;=I3849,1,0))</f>
        <v/>
      </c>
      <c r="O3849" s="21">
        <f>IF(I3849&lt;=5000000,"Under $5M",IF(I3849&lt;=20000000,"$5M-20M",IF(I3849&lt;=50000000,"$20M-50M",IF(I3849&lt;=100000000,"$50M-100M","$100M+"))))</f>
        <v/>
      </c>
      <c r="P3849" s="21">
        <f>IF(E3849&lt;=90,"90 or less",IF(E3849&lt;=105,"91-105",IF(E3849&lt;=120,"106-120",IF(E3849&lt;=140,"121-140","Over 140"))))</f>
        <v/>
      </c>
      <c r="Q3849" s="28">
        <f>INT(C3849/10)*10</f>
        <v/>
      </c>
    </row>
    <row r="3850">
      <c r="A3850" s="21" t="n">
        <v>3926</v>
      </c>
      <c r="B3850" s="21" t="inlineStr">
        <is>
          <t>Darling Companion</t>
        </is>
      </c>
      <c r="C3850" s="21" t="n">
        <v>2012</v>
      </c>
      <c r="D3850" s="21" t="inlineStr">
        <is>
          <t>USA</t>
        </is>
      </c>
      <c r="E3850" s="21" t="n">
        <v>103</v>
      </c>
      <c r="F3850" s="21" t="inlineStr">
        <is>
          <t>English</t>
        </is>
      </c>
      <c r="G3850" s="21" t="inlineStr">
        <is>
          <t>PG-13</t>
        </is>
      </c>
      <c r="H3850" s="22" t="n">
        <v>793352</v>
      </c>
      <c r="I3850" s="22" t="n">
        <v>20000000</v>
      </c>
      <c r="J3850" s="21">
        <f>IF(OR(H3850="",H3850=25529689.5),"Yes","No")</f>
        <v/>
      </c>
      <c r="K3850" s="21">
        <f>IF(AND(D3850="USA",C3850&gt;=1980,J3850="No"),"Yes","No")</f>
        <v/>
      </c>
      <c r="L3850" s="26">
        <f>IF(J3850="Yes","",H3850-I3850)</f>
        <v/>
      </c>
      <c r="M3850" s="27">
        <f>IF(OR(J3850="Yes",I3850=0),"",H3850/I3850)</f>
        <v/>
      </c>
      <c r="N3850" s="21">
        <f>IF(J3850="Yes","",IF(H3850&gt;=I3850,1,0))</f>
        <v/>
      </c>
      <c r="O3850" s="21">
        <f>IF(I3850&lt;=5000000,"Under $5M",IF(I3850&lt;=20000000,"$5M-20M",IF(I3850&lt;=50000000,"$20M-50M",IF(I3850&lt;=100000000,"$50M-100M","$100M+"))))</f>
        <v/>
      </c>
      <c r="P3850" s="21">
        <f>IF(E3850&lt;=90,"90 or less",IF(E3850&lt;=105,"91-105",IF(E3850&lt;=120,"106-120",IF(E3850&lt;=140,"121-140","Over 140"))))</f>
        <v/>
      </c>
      <c r="Q3850" s="28">
        <f>INT(C3850/10)*10</f>
        <v/>
      </c>
    </row>
    <row r="3851">
      <c r="A3851" s="21" t="n">
        <v>3927</v>
      </c>
      <c r="B3851" s="21" t="inlineStr">
        <is>
          <t>Day One</t>
        </is>
      </c>
      <c r="C3851" s="21" t="n">
        <v>2012</v>
      </c>
      <c r="D3851" s="21" t="inlineStr">
        <is>
          <t>USA</t>
        </is>
      </c>
      <c r="E3851" s="21" t="n">
        <v>102</v>
      </c>
      <c r="F3851" s="21" t="inlineStr">
        <is>
          <t>English</t>
        </is>
      </c>
      <c r="G3851" s="21" t="inlineStr">
        <is>
          <t>PG-13</t>
        </is>
      </c>
      <c r="H3851" s="22" t="n">
        <v>25529689.5</v>
      </c>
      <c r="I3851" s="22" t="n">
        <v>3400000</v>
      </c>
      <c r="J3851" s="21">
        <f>IF(OR(H3851="",H3851=25529689.5),"Yes","No")</f>
        <v/>
      </c>
      <c r="K3851" s="21">
        <f>IF(AND(D3851="USA",C3851&gt;=1980,J3851="No"),"Yes","No")</f>
        <v/>
      </c>
      <c r="L3851" s="26">
        <f>IF(J3851="Yes","",H3851-I3851)</f>
        <v/>
      </c>
      <c r="M3851" s="27">
        <f>IF(OR(J3851="Yes",I3851=0),"",H3851/I3851)</f>
        <v/>
      </c>
      <c r="N3851" s="21">
        <f>IF(J3851="Yes","",IF(H3851&gt;=I3851,1,0))</f>
        <v/>
      </c>
      <c r="O3851" s="21">
        <f>IF(I3851&lt;=5000000,"Under $5M",IF(I3851&lt;=20000000,"$5M-20M",IF(I3851&lt;=50000000,"$20M-50M",IF(I3851&lt;=100000000,"$50M-100M","$100M+"))))</f>
        <v/>
      </c>
      <c r="P3851" s="21">
        <f>IF(E3851&lt;=90,"90 or less",IF(E3851&lt;=105,"91-105",IF(E3851&lt;=120,"106-120",IF(E3851&lt;=140,"121-140","Over 140"))))</f>
        <v/>
      </c>
      <c r="Q3851" s="28">
        <f>INT(C3851/10)*10</f>
        <v/>
      </c>
    </row>
    <row r="3852">
      <c r="A3852" s="21" t="n">
        <v>3928</v>
      </c>
      <c r="B3852" s="21" t="inlineStr">
        <is>
          <t>Deadfall</t>
        </is>
      </c>
      <c r="C3852" s="21" t="n">
        <v>2012</v>
      </c>
      <c r="D3852" s="21" t="inlineStr">
        <is>
          <t>USA</t>
        </is>
      </c>
      <c r="E3852" s="21" t="n">
        <v>95</v>
      </c>
      <c r="F3852" s="21" t="inlineStr">
        <is>
          <t>English</t>
        </is>
      </c>
      <c r="G3852" s="21" t="inlineStr">
        <is>
          <t>R</t>
        </is>
      </c>
      <c r="H3852" s="22" t="n">
        <v>65804</v>
      </c>
      <c r="I3852" s="22" t="n">
        <v>12000000</v>
      </c>
      <c r="J3852" s="21">
        <f>IF(OR(H3852="",H3852=25529689.5),"Yes","No")</f>
        <v/>
      </c>
      <c r="K3852" s="21">
        <f>IF(AND(D3852="USA",C3852&gt;=1980,J3852="No"),"Yes","No")</f>
        <v/>
      </c>
      <c r="L3852" s="26">
        <f>IF(J3852="Yes","",H3852-I3852)</f>
        <v/>
      </c>
      <c r="M3852" s="27">
        <f>IF(OR(J3852="Yes",I3852=0),"",H3852/I3852)</f>
        <v/>
      </c>
      <c r="N3852" s="21">
        <f>IF(J3852="Yes","",IF(H3852&gt;=I3852,1,0))</f>
        <v/>
      </c>
      <c r="O3852" s="21">
        <f>IF(I3852&lt;=5000000,"Under $5M",IF(I3852&lt;=20000000,"$5M-20M",IF(I3852&lt;=50000000,"$20M-50M",IF(I3852&lt;=100000000,"$50M-100M","$100M+"))))</f>
        <v/>
      </c>
      <c r="P3852" s="21">
        <f>IF(E3852&lt;=90,"90 or less",IF(E3852&lt;=105,"91-105",IF(E3852&lt;=120,"106-120",IF(E3852&lt;=140,"121-140","Over 140"))))</f>
        <v/>
      </c>
      <c r="Q3852" s="28">
        <f>INT(C3852/10)*10</f>
        <v/>
      </c>
    </row>
    <row r="3853">
      <c r="A3853" s="21" t="n">
        <v>3929</v>
      </c>
      <c r="B3853" s="21" t="inlineStr">
        <is>
          <t>Deceptive Practice: The Mysteries and Mentors of Ricky Jay</t>
        </is>
      </c>
      <c r="C3853" s="21" t="n">
        <v>2012</v>
      </c>
      <c r="D3853" s="21" t="inlineStr">
        <is>
          <t>USA</t>
        </is>
      </c>
      <c r="E3853" s="21" t="n">
        <v>88</v>
      </c>
      <c r="F3853" s="21" t="inlineStr">
        <is>
          <t>English</t>
        </is>
      </c>
      <c r="G3853" s="21" t="n"/>
      <c r="H3853" s="22" t="n">
        <v>151389</v>
      </c>
      <c r="I3853" s="22" t="n">
        <v>500000</v>
      </c>
      <c r="J3853" s="21">
        <f>IF(OR(H3853="",H3853=25529689.5),"Yes","No")</f>
        <v/>
      </c>
      <c r="K3853" s="21">
        <f>IF(AND(D3853="USA",C3853&gt;=1980,J3853="No"),"Yes","No")</f>
        <v/>
      </c>
      <c r="L3853" s="26">
        <f>IF(J3853="Yes","",H3853-I3853)</f>
        <v/>
      </c>
      <c r="M3853" s="27">
        <f>IF(OR(J3853="Yes",I3853=0),"",H3853/I3853)</f>
        <v/>
      </c>
      <c r="N3853" s="21">
        <f>IF(J3853="Yes","",IF(H3853&gt;=I3853,1,0))</f>
        <v/>
      </c>
      <c r="O3853" s="21">
        <f>IF(I3853&lt;=5000000,"Under $5M",IF(I3853&lt;=20000000,"$5M-20M",IF(I3853&lt;=50000000,"$20M-50M",IF(I3853&lt;=100000000,"$50M-100M","$100M+"))))</f>
        <v/>
      </c>
      <c r="P3853" s="21">
        <f>IF(E3853&lt;=90,"90 or less",IF(E3853&lt;=105,"91-105",IF(E3853&lt;=120,"106-120",IF(E3853&lt;=140,"121-140","Over 140"))))</f>
        <v/>
      </c>
      <c r="Q3853" s="28">
        <f>INT(C3853/10)*10</f>
        <v/>
      </c>
    </row>
    <row r="3854">
      <c r="A3854" s="21" t="n">
        <v>3930</v>
      </c>
      <c r="B3854" s="21" t="inlineStr">
        <is>
          <t>Detention of the Dead</t>
        </is>
      </c>
      <c r="C3854" s="21" t="n">
        <v>2012</v>
      </c>
      <c r="D3854" s="21" t="inlineStr">
        <is>
          <t>USA</t>
        </is>
      </c>
      <c r="E3854" s="21" t="n">
        <v>87</v>
      </c>
      <c r="F3854" s="21" t="inlineStr">
        <is>
          <t>English</t>
        </is>
      </c>
      <c r="G3854" s="21" t="inlineStr">
        <is>
          <t>Not Rated</t>
        </is>
      </c>
      <c r="H3854" s="22" t="n">
        <v>1332</v>
      </c>
      <c r="I3854" s="22" t="n">
        <v>500000</v>
      </c>
      <c r="J3854" s="21">
        <f>IF(OR(H3854="",H3854=25529689.5),"Yes","No")</f>
        <v/>
      </c>
      <c r="K3854" s="21">
        <f>IF(AND(D3854="USA",C3854&gt;=1980,J3854="No"),"Yes","No")</f>
        <v/>
      </c>
      <c r="L3854" s="26">
        <f>IF(J3854="Yes","",H3854-I3854)</f>
        <v/>
      </c>
      <c r="M3854" s="27">
        <f>IF(OR(J3854="Yes",I3854=0),"",H3854/I3854)</f>
        <v/>
      </c>
      <c r="N3854" s="21">
        <f>IF(J3854="Yes","",IF(H3854&gt;=I3854,1,0))</f>
        <v/>
      </c>
      <c r="O3854" s="21">
        <f>IF(I3854&lt;=5000000,"Under $5M",IF(I3854&lt;=20000000,"$5M-20M",IF(I3854&lt;=50000000,"$20M-50M",IF(I3854&lt;=100000000,"$50M-100M","$100M+"))))</f>
        <v/>
      </c>
      <c r="P3854" s="21">
        <f>IF(E3854&lt;=90,"90 or less",IF(E3854&lt;=105,"91-105",IF(E3854&lt;=120,"106-120",IF(E3854&lt;=140,"121-140","Over 140"))))</f>
        <v/>
      </c>
      <c r="Q3854" s="28">
        <f>INT(C3854/10)*10</f>
        <v/>
      </c>
    </row>
    <row r="3855">
      <c r="A3855" s="21" t="n">
        <v>3931</v>
      </c>
      <c r="B3855" s="21" t="inlineStr">
        <is>
          <t>Diary of a Wimpy Kid: Dog Days</t>
        </is>
      </c>
      <c r="C3855" s="21" t="n">
        <v>2012</v>
      </c>
      <c r="D3855" s="21" t="inlineStr">
        <is>
          <t>USA</t>
        </is>
      </c>
      <c r="E3855" s="21" t="n">
        <v>94</v>
      </c>
      <c r="F3855" s="21" t="inlineStr">
        <is>
          <t>English</t>
        </is>
      </c>
      <c r="G3855" s="21" t="inlineStr">
        <is>
          <t>PG</t>
        </is>
      </c>
      <c r="H3855" s="22" t="n">
        <v>49002815</v>
      </c>
      <c r="I3855" s="22" t="n">
        <v>22000000</v>
      </c>
      <c r="J3855" s="21">
        <f>IF(OR(H3855="",H3855=25529689.5),"Yes","No")</f>
        <v/>
      </c>
      <c r="K3855" s="21">
        <f>IF(AND(D3855="USA",C3855&gt;=1980,J3855="No"),"Yes","No")</f>
        <v/>
      </c>
      <c r="L3855" s="26">
        <f>IF(J3855="Yes","",H3855-I3855)</f>
        <v/>
      </c>
      <c r="M3855" s="27">
        <f>IF(OR(J3855="Yes",I3855=0),"",H3855/I3855)</f>
        <v/>
      </c>
      <c r="N3855" s="21">
        <f>IF(J3855="Yes","",IF(H3855&gt;=I3855,1,0))</f>
        <v/>
      </c>
      <c r="O3855" s="21">
        <f>IF(I3855&lt;=5000000,"Under $5M",IF(I3855&lt;=20000000,"$5M-20M",IF(I3855&lt;=50000000,"$20M-50M",IF(I3855&lt;=100000000,"$50M-100M","$100M+"))))</f>
        <v/>
      </c>
      <c r="P3855" s="21">
        <f>IF(E3855&lt;=90,"90 or less",IF(E3855&lt;=105,"91-105",IF(E3855&lt;=120,"106-120",IF(E3855&lt;=140,"121-140","Over 140"))))</f>
        <v/>
      </c>
      <c r="Q3855" s="28">
        <f>INT(C3855/10)*10</f>
        <v/>
      </c>
    </row>
    <row r="3856">
      <c r="A3856" s="21" t="n">
        <v>3932</v>
      </c>
      <c r="B3856" s="21" t="inlineStr">
        <is>
          <t>Django Unchained</t>
        </is>
      </c>
      <c r="C3856" s="21" t="n">
        <v>2012</v>
      </c>
      <c r="D3856" s="21" t="inlineStr">
        <is>
          <t>USA</t>
        </is>
      </c>
      <c r="E3856" s="21" t="n">
        <v>165</v>
      </c>
      <c r="F3856" s="21" t="inlineStr">
        <is>
          <t>English</t>
        </is>
      </c>
      <c r="G3856" s="21" t="inlineStr">
        <is>
          <t>R</t>
        </is>
      </c>
      <c r="H3856" s="22" t="n">
        <v>162804648</v>
      </c>
      <c r="I3856" s="22" t="n">
        <v>100000000</v>
      </c>
      <c r="J3856" s="21">
        <f>IF(OR(H3856="",H3856=25529689.5),"Yes","No")</f>
        <v/>
      </c>
      <c r="K3856" s="21">
        <f>IF(AND(D3856="USA",C3856&gt;=1980,J3856="No"),"Yes","No")</f>
        <v/>
      </c>
      <c r="L3856" s="26">
        <f>IF(J3856="Yes","",H3856-I3856)</f>
        <v/>
      </c>
      <c r="M3856" s="27">
        <f>IF(OR(J3856="Yes",I3856=0),"",H3856/I3856)</f>
        <v/>
      </c>
      <c r="N3856" s="21">
        <f>IF(J3856="Yes","",IF(H3856&gt;=I3856,1,0))</f>
        <v/>
      </c>
      <c r="O3856" s="21">
        <f>IF(I3856&lt;=5000000,"Under $5M",IF(I3856&lt;=20000000,"$5M-20M",IF(I3856&lt;=50000000,"$20M-50M",IF(I3856&lt;=100000000,"$50M-100M","$100M+"))))</f>
        <v/>
      </c>
      <c r="P3856" s="21">
        <f>IF(E3856&lt;=90,"90 or less",IF(E3856&lt;=105,"91-105",IF(E3856&lt;=120,"106-120",IF(E3856&lt;=140,"121-140","Over 140"))))</f>
        <v/>
      </c>
      <c r="Q3856" s="28">
        <f>INT(C3856/10)*10</f>
        <v/>
      </c>
    </row>
    <row r="3857">
      <c r="A3857" s="21" t="n">
        <v>3933</v>
      </c>
      <c r="B3857" s="21" t="inlineStr">
        <is>
          <t>Dredd</t>
        </is>
      </c>
      <c r="C3857" s="21" t="n">
        <v>2012</v>
      </c>
      <c r="D3857" s="21" t="inlineStr">
        <is>
          <t>UK</t>
        </is>
      </c>
      <c r="E3857" s="21" t="n">
        <v>95</v>
      </c>
      <c r="F3857" s="21" t="inlineStr">
        <is>
          <t>English</t>
        </is>
      </c>
      <c r="G3857" s="21" t="inlineStr">
        <is>
          <t>R</t>
        </is>
      </c>
      <c r="H3857" s="22" t="n">
        <v>13401683</v>
      </c>
      <c r="I3857" s="22" t="n">
        <v>35000000</v>
      </c>
      <c r="J3857" s="21">
        <f>IF(OR(H3857="",H3857=25529689.5),"Yes","No")</f>
        <v/>
      </c>
      <c r="K3857" s="21">
        <f>IF(AND(D3857="USA",C3857&gt;=1980,J3857="No"),"Yes","No")</f>
        <v/>
      </c>
      <c r="L3857" s="26">
        <f>IF(J3857="Yes","",H3857-I3857)</f>
        <v/>
      </c>
      <c r="M3857" s="27">
        <f>IF(OR(J3857="Yes",I3857=0),"",H3857/I3857)</f>
        <v/>
      </c>
      <c r="N3857" s="21">
        <f>IF(J3857="Yes","",IF(H3857&gt;=I3857,1,0))</f>
        <v/>
      </c>
      <c r="O3857" s="21">
        <f>IF(I3857&lt;=5000000,"Under $5M",IF(I3857&lt;=20000000,"$5M-20M",IF(I3857&lt;=50000000,"$20M-50M",IF(I3857&lt;=100000000,"$50M-100M","$100M+"))))</f>
        <v/>
      </c>
      <c r="P3857" s="21">
        <f>IF(E3857&lt;=90,"90 or less",IF(E3857&lt;=105,"91-105",IF(E3857&lt;=120,"106-120",IF(E3857&lt;=140,"121-140","Over 140"))))</f>
        <v/>
      </c>
      <c r="Q3857" s="28">
        <f>INT(C3857/10)*10</f>
        <v/>
      </c>
    </row>
    <row r="3858">
      <c r="A3858" s="21" t="n">
        <v>3935</v>
      </c>
      <c r="B3858" s="21" t="inlineStr">
        <is>
          <t>Dysfunctional Friends</t>
        </is>
      </c>
      <c r="C3858" s="21" t="n">
        <v>2012</v>
      </c>
      <c r="D3858" s="21" t="inlineStr">
        <is>
          <t>USA</t>
        </is>
      </c>
      <c r="E3858" s="21" t="n">
        <v>111</v>
      </c>
      <c r="F3858" s="21" t="inlineStr">
        <is>
          <t>English</t>
        </is>
      </c>
      <c r="G3858" s="21" t="inlineStr">
        <is>
          <t>Not Rated</t>
        </is>
      </c>
      <c r="H3858" s="22" t="n">
        <v>25529689.5</v>
      </c>
      <c r="I3858" s="22" t="n">
        <v>1800000</v>
      </c>
      <c r="J3858" s="21">
        <f>IF(OR(H3858="",H3858=25529689.5),"Yes","No")</f>
        <v/>
      </c>
      <c r="K3858" s="21">
        <f>IF(AND(D3858="USA",C3858&gt;=1980,J3858="No"),"Yes","No")</f>
        <v/>
      </c>
      <c r="L3858" s="26">
        <f>IF(J3858="Yes","",H3858-I3858)</f>
        <v/>
      </c>
      <c r="M3858" s="27">
        <f>IF(OR(J3858="Yes",I3858=0),"",H3858/I3858)</f>
        <v/>
      </c>
      <c r="N3858" s="21">
        <f>IF(J3858="Yes","",IF(H3858&gt;=I3858,1,0))</f>
        <v/>
      </c>
      <c r="O3858" s="21">
        <f>IF(I3858&lt;=5000000,"Under $5M",IF(I3858&lt;=20000000,"$5M-20M",IF(I3858&lt;=50000000,"$20M-50M",IF(I3858&lt;=100000000,"$50M-100M","$100M+"))))</f>
        <v/>
      </c>
      <c r="P3858" s="21">
        <f>IF(E3858&lt;=90,"90 or less",IF(E3858&lt;=105,"91-105",IF(E3858&lt;=120,"106-120",IF(E3858&lt;=140,"121-140","Over 140"))))</f>
        <v/>
      </c>
      <c r="Q3858" s="28">
        <f>INT(C3858/10)*10</f>
        <v/>
      </c>
    </row>
    <row r="3859">
      <c r="A3859" s="21" t="n">
        <v>3936</v>
      </c>
      <c r="B3859" s="21" t="inlineStr">
        <is>
          <t>Eddie: The Sleepwalking Cannibal</t>
        </is>
      </c>
      <c r="C3859" s="21" t="n">
        <v>2012</v>
      </c>
      <c r="D3859" s="21" t="inlineStr">
        <is>
          <t>Canada</t>
        </is>
      </c>
      <c r="E3859" s="21" t="n">
        <v>83</v>
      </c>
      <c r="F3859" s="21" t="inlineStr">
        <is>
          <t>English</t>
        </is>
      </c>
      <c r="G3859" s="21" t="inlineStr">
        <is>
          <t>Not Rated</t>
        </is>
      </c>
      <c r="H3859" s="22" t="n">
        <v>1521</v>
      </c>
      <c r="I3859" s="22" t="n">
        <v>1500000</v>
      </c>
      <c r="J3859" s="21">
        <f>IF(OR(H3859="",H3859=25529689.5),"Yes","No")</f>
        <v/>
      </c>
      <c r="K3859" s="21">
        <f>IF(AND(D3859="USA",C3859&gt;=1980,J3859="No"),"Yes","No")</f>
        <v/>
      </c>
      <c r="L3859" s="26">
        <f>IF(J3859="Yes","",H3859-I3859)</f>
        <v/>
      </c>
      <c r="M3859" s="27">
        <f>IF(OR(J3859="Yes",I3859=0),"",H3859/I3859)</f>
        <v/>
      </c>
      <c r="N3859" s="21">
        <f>IF(J3859="Yes","",IF(H3859&gt;=I3859,1,0))</f>
        <v/>
      </c>
      <c r="O3859" s="21">
        <f>IF(I3859&lt;=5000000,"Under $5M",IF(I3859&lt;=20000000,"$5M-20M",IF(I3859&lt;=50000000,"$20M-50M",IF(I3859&lt;=100000000,"$50M-100M","$100M+"))))</f>
        <v/>
      </c>
      <c r="P3859" s="21">
        <f>IF(E3859&lt;=90,"90 or less",IF(E3859&lt;=105,"91-105",IF(E3859&lt;=120,"106-120",IF(E3859&lt;=140,"121-140","Over 140"))))</f>
        <v/>
      </c>
      <c r="Q3859" s="28">
        <f>INT(C3859/10)*10</f>
        <v/>
      </c>
    </row>
    <row r="3860">
      <c r="A3860" s="21" t="n">
        <v>3937</v>
      </c>
      <c r="B3860" s="21" t="inlineStr">
        <is>
          <t>End of Watch</t>
        </is>
      </c>
      <c r="C3860" s="21" t="n">
        <v>2012</v>
      </c>
      <c r="D3860" s="21" t="inlineStr">
        <is>
          <t>USA</t>
        </is>
      </c>
      <c r="E3860" s="21" t="n">
        <v>109</v>
      </c>
      <c r="F3860" s="21" t="inlineStr">
        <is>
          <t>English</t>
        </is>
      </c>
      <c r="G3860" s="21" t="inlineStr">
        <is>
          <t>R</t>
        </is>
      </c>
      <c r="H3860" s="22" t="n">
        <v>40983001</v>
      </c>
      <c r="I3860" s="22" t="n">
        <v>7000000</v>
      </c>
      <c r="J3860" s="21">
        <f>IF(OR(H3860="",H3860=25529689.5),"Yes","No")</f>
        <v/>
      </c>
      <c r="K3860" s="21">
        <f>IF(AND(D3860="USA",C3860&gt;=1980,J3860="No"),"Yes","No")</f>
        <v/>
      </c>
      <c r="L3860" s="26">
        <f>IF(J3860="Yes","",H3860-I3860)</f>
        <v/>
      </c>
      <c r="M3860" s="27">
        <f>IF(OR(J3860="Yes",I3860=0),"",H3860/I3860)</f>
        <v/>
      </c>
      <c r="N3860" s="21">
        <f>IF(J3860="Yes","",IF(H3860&gt;=I3860,1,0))</f>
        <v/>
      </c>
      <c r="O3860" s="21">
        <f>IF(I3860&lt;=5000000,"Under $5M",IF(I3860&lt;=20000000,"$5M-20M",IF(I3860&lt;=50000000,"$20M-50M",IF(I3860&lt;=100000000,"$50M-100M","$100M+"))))</f>
        <v/>
      </c>
      <c r="P3860" s="21">
        <f>IF(E3860&lt;=90,"90 or less",IF(E3860&lt;=105,"91-105",IF(E3860&lt;=120,"106-120",IF(E3860&lt;=140,"121-140","Over 140"))))</f>
        <v/>
      </c>
      <c r="Q3860" s="28">
        <f>INT(C3860/10)*10</f>
        <v/>
      </c>
    </row>
    <row r="3861">
      <c r="A3861" s="21" t="n">
        <v>3938</v>
      </c>
      <c r="B3861" s="21" t="inlineStr">
        <is>
          <t>Ernest &amp; Celestine</t>
        </is>
      </c>
      <c r="C3861" s="21" t="n">
        <v>2012</v>
      </c>
      <c r="D3861" s="21" t="inlineStr">
        <is>
          <t>France</t>
        </is>
      </c>
      <c r="E3861" s="21" t="n">
        <v>80</v>
      </c>
      <c r="F3861" s="21" t="inlineStr">
        <is>
          <t>French</t>
        </is>
      </c>
      <c r="G3861" s="21" t="inlineStr">
        <is>
          <t>PG</t>
        </is>
      </c>
      <c r="H3861" s="22" t="n">
        <v>71442</v>
      </c>
      <c r="I3861" s="22" t="n">
        <v>9600000</v>
      </c>
      <c r="J3861" s="21">
        <f>IF(OR(H3861="",H3861=25529689.5),"Yes","No")</f>
        <v/>
      </c>
      <c r="K3861" s="21">
        <f>IF(AND(D3861="USA",C3861&gt;=1980,J3861="No"),"Yes","No")</f>
        <v/>
      </c>
      <c r="L3861" s="26">
        <f>IF(J3861="Yes","",H3861-I3861)</f>
        <v/>
      </c>
      <c r="M3861" s="27">
        <f>IF(OR(J3861="Yes",I3861=0),"",H3861/I3861)</f>
        <v/>
      </c>
      <c r="N3861" s="21">
        <f>IF(J3861="Yes","",IF(H3861&gt;=I3861,1,0))</f>
        <v/>
      </c>
      <c r="O3861" s="21">
        <f>IF(I3861&lt;=5000000,"Under $5M",IF(I3861&lt;=20000000,"$5M-20M",IF(I3861&lt;=50000000,"$20M-50M",IF(I3861&lt;=100000000,"$50M-100M","$100M+"))))</f>
        <v/>
      </c>
      <c r="P3861" s="21">
        <f>IF(E3861&lt;=90,"90 or less",IF(E3861&lt;=105,"91-105",IF(E3861&lt;=120,"106-120",IF(E3861&lt;=140,"121-140","Over 140"))))</f>
        <v/>
      </c>
      <c r="Q3861" s="28">
        <f>INT(C3861/10)*10</f>
        <v/>
      </c>
    </row>
    <row r="3862">
      <c r="A3862" s="21" t="n">
        <v>3939</v>
      </c>
      <c r="B3862" s="21" t="inlineStr">
        <is>
          <t>Filly Brown</t>
        </is>
      </c>
      <c r="C3862" s="21" t="n">
        <v>2012</v>
      </c>
      <c r="D3862" s="21" t="inlineStr">
        <is>
          <t>USA</t>
        </is>
      </c>
      <c r="E3862" s="21" t="n">
        <v>80</v>
      </c>
      <c r="F3862" s="21" t="inlineStr">
        <is>
          <t>English</t>
        </is>
      </c>
      <c r="G3862" s="21" t="inlineStr">
        <is>
          <t>R</t>
        </is>
      </c>
      <c r="H3862" s="22" t="n">
        <v>2833383</v>
      </c>
      <c r="I3862" s="22" t="n">
        <v>427000</v>
      </c>
      <c r="J3862" s="21">
        <f>IF(OR(H3862="",H3862=25529689.5),"Yes","No")</f>
        <v/>
      </c>
      <c r="K3862" s="21">
        <f>IF(AND(D3862="USA",C3862&gt;=1980,J3862="No"),"Yes","No")</f>
        <v/>
      </c>
      <c r="L3862" s="26">
        <f>IF(J3862="Yes","",H3862-I3862)</f>
        <v/>
      </c>
      <c r="M3862" s="27">
        <f>IF(OR(J3862="Yes",I3862=0),"",H3862/I3862)</f>
        <v/>
      </c>
      <c r="N3862" s="21">
        <f>IF(J3862="Yes","",IF(H3862&gt;=I3862,1,0))</f>
        <v/>
      </c>
      <c r="O3862" s="21">
        <f>IF(I3862&lt;=5000000,"Under $5M",IF(I3862&lt;=20000000,"$5M-20M",IF(I3862&lt;=50000000,"$20M-50M",IF(I3862&lt;=100000000,"$50M-100M","$100M+"))))</f>
        <v/>
      </c>
      <c r="P3862" s="21">
        <f>IF(E3862&lt;=90,"90 or less",IF(E3862&lt;=105,"91-105",IF(E3862&lt;=120,"106-120",IF(E3862&lt;=140,"121-140","Over 140"))))</f>
        <v/>
      </c>
      <c r="Q3862" s="28">
        <f>INT(C3862/10)*10</f>
        <v/>
      </c>
    </row>
    <row r="3863">
      <c r="A3863" s="21" t="n">
        <v>3940</v>
      </c>
      <c r="B3863" s="21" t="inlineStr">
        <is>
          <t>Flight</t>
        </is>
      </c>
      <c r="C3863" s="21" t="n">
        <v>2012</v>
      </c>
      <c r="D3863" s="21" t="inlineStr">
        <is>
          <t>USA</t>
        </is>
      </c>
      <c r="E3863" s="21" t="n">
        <v>138</v>
      </c>
      <c r="F3863" s="21" t="inlineStr">
        <is>
          <t>English</t>
        </is>
      </c>
      <c r="G3863" s="21" t="inlineStr">
        <is>
          <t>R</t>
        </is>
      </c>
      <c r="H3863" s="22" t="n">
        <v>93749203</v>
      </c>
      <c r="I3863" s="22" t="n">
        <v>31000000</v>
      </c>
      <c r="J3863" s="21">
        <f>IF(OR(H3863="",H3863=25529689.5),"Yes","No")</f>
        <v/>
      </c>
      <c r="K3863" s="21">
        <f>IF(AND(D3863="USA",C3863&gt;=1980,J3863="No"),"Yes","No")</f>
        <v/>
      </c>
      <c r="L3863" s="26">
        <f>IF(J3863="Yes","",H3863-I3863)</f>
        <v/>
      </c>
      <c r="M3863" s="27">
        <f>IF(OR(J3863="Yes",I3863=0),"",H3863/I3863)</f>
        <v/>
      </c>
      <c r="N3863" s="21">
        <f>IF(J3863="Yes","",IF(H3863&gt;=I3863,1,0))</f>
        <v/>
      </c>
      <c r="O3863" s="21">
        <f>IF(I3863&lt;=5000000,"Under $5M",IF(I3863&lt;=20000000,"$5M-20M",IF(I3863&lt;=50000000,"$20M-50M",IF(I3863&lt;=100000000,"$50M-100M","$100M+"))))</f>
        <v/>
      </c>
      <c r="P3863" s="21">
        <f>IF(E3863&lt;=90,"90 or less",IF(E3863&lt;=105,"91-105",IF(E3863&lt;=120,"106-120",IF(E3863&lt;=140,"121-140","Over 140"))))</f>
        <v/>
      </c>
      <c r="Q3863" s="28">
        <f>INT(C3863/10)*10</f>
        <v/>
      </c>
    </row>
    <row r="3864">
      <c r="A3864" s="21" t="n">
        <v>3941</v>
      </c>
      <c r="B3864" s="21" t="inlineStr">
        <is>
          <t>Foodfight!</t>
        </is>
      </c>
      <c r="C3864" s="21" t="n">
        <v>2012</v>
      </c>
      <c r="D3864" s="21" t="inlineStr">
        <is>
          <t>USA</t>
        </is>
      </c>
      <c r="E3864" s="21" t="n">
        <v>91</v>
      </c>
      <c r="F3864" s="21" t="inlineStr">
        <is>
          <t>English</t>
        </is>
      </c>
      <c r="G3864" s="21" t="inlineStr">
        <is>
          <t>PG</t>
        </is>
      </c>
      <c r="H3864" s="22" t="n">
        <v>25529689.5</v>
      </c>
      <c r="I3864" s="22" t="n">
        <v>65000000</v>
      </c>
      <c r="J3864" s="21">
        <f>IF(OR(H3864="",H3864=25529689.5),"Yes","No")</f>
        <v/>
      </c>
      <c r="K3864" s="21">
        <f>IF(AND(D3864="USA",C3864&gt;=1980,J3864="No"),"Yes","No")</f>
        <v/>
      </c>
      <c r="L3864" s="26">
        <f>IF(J3864="Yes","",H3864-I3864)</f>
        <v/>
      </c>
      <c r="M3864" s="27">
        <f>IF(OR(J3864="Yes",I3864=0),"",H3864/I3864)</f>
        <v/>
      </c>
      <c r="N3864" s="21">
        <f>IF(J3864="Yes","",IF(H3864&gt;=I3864,1,0))</f>
        <v/>
      </c>
      <c r="O3864" s="21">
        <f>IF(I3864&lt;=5000000,"Under $5M",IF(I3864&lt;=20000000,"$5M-20M",IF(I3864&lt;=50000000,"$20M-50M",IF(I3864&lt;=100000000,"$50M-100M","$100M+"))))</f>
        <v/>
      </c>
      <c r="P3864" s="21">
        <f>IF(E3864&lt;=90,"90 or less",IF(E3864&lt;=105,"91-105",IF(E3864&lt;=120,"106-120",IF(E3864&lt;=140,"121-140","Over 140"))))</f>
        <v/>
      </c>
      <c r="Q3864" s="28">
        <f>INT(C3864/10)*10</f>
        <v/>
      </c>
    </row>
    <row r="3865">
      <c r="A3865" s="21" t="n">
        <v>3942</v>
      </c>
      <c r="B3865" s="21" t="inlineStr">
        <is>
          <t>For a Good Time, Call...</t>
        </is>
      </c>
      <c r="C3865" s="21" t="n">
        <v>2012</v>
      </c>
      <c r="D3865" s="21" t="inlineStr">
        <is>
          <t>USA</t>
        </is>
      </c>
      <c r="E3865" s="21" t="n">
        <v>88</v>
      </c>
      <c r="F3865" s="21" t="inlineStr">
        <is>
          <t>English</t>
        </is>
      </c>
      <c r="G3865" s="21" t="inlineStr">
        <is>
          <t>R</t>
        </is>
      </c>
      <c r="H3865" s="22" t="n">
        <v>1243961</v>
      </c>
      <c r="I3865" s="22" t="n">
        <v>850000</v>
      </c>
      <c r="J3865" s="21">
        <f>IF(OR(H3865="",H3865=25529689.5),"Yes","No")</f>
        <v/>
      </c>
      <c r="K3865" s="21">
        <f>IF(AND(D3865="USA",C3865&gt;=1980,J3865="No"),"Yes","No")</f>
        <v/>
      </c>
      <c r="L3865" s="26">
        <f>IF(J3865="Yes","",H3865-I3865)</f>
        <v/>
      </c>
      <c r="M3865" s="27">
        <f>IF(OR(J3865="Yes",I3865=0),"",H3865/I3865)</f>
        <v/>
      </c>
      <c r="N3865" s="21">
        <f>IF(J3865="Yes","",IF(H3865&gt;=I3865,1,0))</f>
        <v/>
      </c>
      <c r="O3865" s="21">
        <f>IF(I3865&lt;=5000000,"Under $5M",IF(I3865&lt;=20000000,"$5M-20M",IF(I3865&lt;=50000000,"$20M-50M",IF(I3865&lt;=100000000,"$50M-100M","$100M+"))))</f>
        <v/>
      </c>
      <c r="P3865" s="21">
        <f>IF(E3865&lt;=90,"90 or less",IF(E3865&lt;=105,"91-105",IF(E3865&lt;=120,"106-120",IF(E3865&lt;=140,"121-140","Over 140"))))</f>
        <v/>
      </c>
      <c r="Q3865" s="28">
        <f>INT(C3865/10)*10</f>
        <v/>
      </c>
    </row>
    <row r="3866">
      <c r="A3866" s="21" t="n">
        <v>3943</v>
      </c>
      <c r="B3866" s="21" t="inlineStr">
        <is>
          <t>For Greater Glory: The True Story of Cristiada</t>
        </is>
      </c>
      <c r="C3866" s="21" t="n">
        <v>2012</v>
      </c>
      <c r="D3866" s="21" t="inlineStr">
        <is>
          <t>Mexico</t>
        </is>
      </c>
      <c r="E3866" s="21" t="n">
        <v>145</v>
      </c>
      <c r="F3866" s="21" t="inlineStr">
        <is>
          <t>Spanish</t>
        </is>
      </c>
      <c r="G3866" s="21" t="inlineStr">
        <is>
          <t>R</t>
        </is>
      </c>
      <c r="H3866" s="22" t="n">
        <v>5669081</v>
      </c>
      <c r="I3866" s="22" t="n">
        <v>10818775</v>
      </c>
      <c r="J3866" s="21">
        <f>IF(OR(H3866="",H3866=25529689.5),"Yes","No")</f>
        <v/>
      </c>
      <c r="K3866" s="21">
        <f>IF(AND(D3866="USA",C3866&gt;=1980,J3866="No"),"Yes","No")</f>
        <v/>
      </c>
      <c r="L3866" s="26">
        <f>IF(J3866="Yes","",H3866-I3866)</f>
        <v/>
      </c>
      <c r="M3866" s="27">
        <f>IF(OR(J3866="Yes",I3866=0),"",H3866/I3866)</f>
        <v/>
      </c>
      <c r="N3866" s="21">
        <f>IF(J3866="Yes","",IF(H3866&gt;=I3866,1,0))</f>
        <v/>
      </c>
      <c r="O3866" s="21">
        <f>IF(I3866&lt;=5000000,"Under $5M",IF(I3866&lt;=20000000,"$5M-20M",IF(I3866&lt;=50000000,"$20M-50M",IF(I3866&lt;=100000000,"$50M-100M","$100M+"))))</f>
        <v/>
      </c>
      <c r="P3866" s="21">
        <f>IF(E3866&lt;=90,"90 or less",IF(E3866&lt;=105,"91-105",IF(E3866&lt;=120,"106-120",IF(E3866&lt;=140,"121-140","Over 140"))))</f>
        <v/>
      </c>
      <c r="Q3866" s="28">
        <f>INT(C3866/10)*10</f>
        <v/>
      </c>
    </row>
    <row r="3867">
      <c r="A3867" s="21" t="n">
        <v>3944</v>
      </c>
      <c r="B3867" s="21" t="inlineStr">
        <is>
          <t>Frances Ha</t>
        </is>
      </c>
      <c r="C3867" s="21" t="n">
        <v>2012</v>
      </c>
      <c r="D3867" s="21" t="inlineStr">
        <is>
          <t>USA</t>
        </is>
      </c>
      <c r="E3867" s="21" t="n">
        <v>86</v>
      </c>
      <c r="F3867" s="21" t="inlineStr">
        <is>
          <t>English</t>
        </is>
      </c>
      <c r="G3867" s="21" t="inlineStr">
        <is>
          <t>R</t>
        </is>
      </c>
      <c r="H3867" s="22" t="n">
        <v>4063238</v>
      </c>
      <c r="I3867" s="22" t="n">
        <v>20000000</v>
      </c>
      <c r="J3867" s="21">
        <f>IF(OR(H3867="",H3867=25529689.5),"Yes","No")</f>
        <v/>
      </c>
      <c r="K3867" s="21">
        <f>IF(AND(D3867="USA",C3867&gt;=1980,J3867="No"),"Yes","No")</f>
        <v/>
      </c>
      <c r="L3867" s="26">
        <f>IF(J3867="Yes","",H3867-I3867)</f>
        <v/>
      </c>
      <c r="M3867" s="27">
        <f>IF(OR(J3867="Yes",I3867=0),"",H3867/I3867)</f>
        <v/>
      </c>
      <c r="N3867" s="21">
        <f>IF(J3867="Yes","",IF(H3867&gt;=I3867,1,0))</f>
        <v/>
      </c>
      <c r="O3867" s="21">
        <f>IF(I3867&lt;=5000000,"Under $5M",IF(I3867&lt;=20000000,"$5M-20M",IF(I3867&lt;=50000000,"$20M-50M",IF(I3867&lt;=100000000,"$50M-100M","$100M+"))))</f>
        <v/>
      </c>
      <c r="P3867" s="21">
        <f>IF(E3867&lt;=90,"90 or less",IF(E3867&lt;=105,"91-105",IF(E3867&lt;=120,"106-120",IF(E3867&lt;=140,"121-140","Over 140"))))</f>
        <v/>
      </c>
      <c r="Q3867" s="28">
        <f>INT(C3867/10)*10</f>
        <v/>
      </c>
    </row>
    <row r="3868">
      <c r="A3868" s="21" t="n">
        <v>3945</v>
      </c>
      <c r="B3868" s="21" t="inlineStr">
        <is>
          <t>Frankenweenie</t>
        </is>
      </c>
      <c r="C3868" s="21" t="n">
        <v>2012</v>
      </c>
      <c r="D3868" s="21" t="inlineStr">
        <is>
          <t>USA</t>
        </is>
      </c>
      <c r="E3868" s="21" t="n">
        <v>87</v>
      </c>
      <c r="F3868" s="21" t="inlineStr">
        <is>
          <t>English</t>
        </is>
      </c>
      <c r="G3868" s="21" t="inlineStr">
        <is>
          <t>PG</t>
        </is>
      </c>
      <c r="H3868" s="22" t="n">
        <v>35287788</v>
      </c>
      <c r="I3868" s="22" t="n">
        <v>39000000</v>
      </c>
      <c r="J3868" s="21">
        <f>IF(OR(H3868="",H3868=25529689.5),"Yes","No")</f>
        <v/>
      </c>
      <c r="K3868" s="21">
        <f>IF(AND(D3868="USA",C3868&gt;=1980,J3868="No"),"Yes","No")</f>
        <v/>
      </c>
      <c r="L3868" s="26">
        <f>IF(J3868="Yes","",H3868-I3868)</f>
        <v/>
      </c>
      <c r="M3868" s="27">
        <f>IF(OR(J3868="Yes",I3868=0),"",H3868/I3868)</f>
        <v/>
      </c>
      <c r="N3868" s="21">
        <f>IF(J3868="Yes","",IF(H3868&gt;=I3868,1,0))</f>
        <v/>
      </c>
      <c r="O3868" s="21">
        <f>IF(I3868&lt;=5000000,"Under $5M",IF(I3868&lt;=20000000,"$5M-20M",IF(I3868&lt;=50000000,"$20M-50M",IF(I3868&lt;=100000000,"$50M-100M","$100M+"))))</f>
        <v/>
      </c>
      <c r="P3868" s="21">
        <f>IF(E3868&lt;=90,"90 or less",IF(E3868&lt;=105,"91-105",IF(E3868&lt;=120,"106-120",IF(E3868&lt;=140,"121-140","Over 140"))))</f>
        <v/>
      </c>
      <c r="Q3868" s="28">
        <f>INT(C3868/10)*10</f>
        <v/>
      </c>
    </row>
    <row r="3869">
      <c r="A3869" s="21" t="n">
        <v>3946</v>
      </c>
      <c r="B3869" s="21" t="inlineStr">
        <is>
          <t>Freaky Deaky</t>
        </is>
      </c>
      <c r="C3869" s="21" t="n">
        <v>2012</v>
      </c>
      <c r="D3869" s="21" t="inlineStr">
        <is>
          <t>USA</t>
        </is>
      </c>
      <c r="E3869" s="21" t="n">
        <v>90</v>
      </c>
      <c r="F3869" s="21" t="inlineStr">
        <is>
          <t>English</t>
        </is>
      </c>
      <c r="G3869" s="21" t="inlineStr">
        <is>
          <t>R</t>
        </is>
      </c>
      <c r="H3869" s="22" t="n">
        <v>25529689.5</v>
      </c>
      <c r="I3869" s="22" t="n">
        <v>6000000</v>
      </c>
      <c r="J3869" s="21">
        <f>IF(OR(H3869="",H3869=25529689.5),"Yes","No")</f>
        <v/>
      </c>
      <c r="K3869" s="21">
        <f>IF(AND(D3869="USA",C3869&gt;=1980,J3869="No"),"Yes","No")</f>
        <v/>
      </c>
      <c r="L3869" s="26">
        <f>IF(J3869="Yes","",H3869-I3869)</f>
        <v/>
      </c>
      <c r="M3869" s="27">
        <f>IF(OR(J3869="Yes",I3869=0),"",H3869/I3869)</f>
        <v/>
      </c>
      <c r="N3869" s="21">
        <f>IF(J3869="Yes","",IF(H3869&gt;=I3869,1,0))</f>
        <v/>
      </c>
      <c r="O3869" s="21">
        <f>IF(I3869&lt;=5000000,"Under $5M",IF(I3869&lt;=20000000,"$5M-20M",IF(I3869&lt;=50000000,"$20M-50M",IF(I3869&lt;=100000000,"$50M-100M","$100M+"))))</f>
        <v/>
      </c>
      <c r="P3869" s="21">
        <f>IF(E3869&lt;=90,"90 or less",IF(E3869&lt;=105,"91-105",IF(E3869&lt;=120,"106-120",IF(E3869&lt;=140,"121-140","Over 140"))))</f>
        <v/>
      </c>
      <c r="Q3869" s="28">
        <f>INT(C3869/10)*10</f>
        <v/>
      </c>
    </row>
    <row r="3870">
      <c r="A3870" s="21" t="n">
        <v>3947</v>
      </c>
      <c r="B3870" s="21" t="inlineStr">
        <is>
          <t>Fun Size</t>
        </is>
      </c>
      <c r="C3870" s="21" t="n">
        <v>2012</v>
      </c>
      <c r="D3870" s="21" t="inlineStr">
        <is>
          <t>USA</t>
        </is>
      </c>
      <c r="E3870" s="21" t="n">
        <v>86</v>
      </c>
      <c r="F3870" s="21" t="inlineStr">
        <is>
          <t>English</t>
        </is>
      </c>
      <c r="G3870" s="21" t="inlineStr">
        <is>
          <t>PG-13</t>
        </is>
      </c>
      <c r="H3870" s="22" t="n">
        <v>9402410</v>
      </c>
      <c r="I3870" s="22" t="n">
        <v>14000000</v>
      </c>
      <c r="J3870" s="21">
        <f>IF(OR(H3870="",H3870=25529689.5),"Yes","No")</f>
        <v/>
      </c>
      <c r="K3870" s="21">
        <f>IF(AND(D3870="USA",C3870&gt;=1980,J3870="No"),"Yes","No")</f>
        <v/>
      </c>
      <c r="L3870" s="26">
        <f>IF(J3870="Yes","",H3870-I3870)</f>
        <v/>
      </c>
      <c r="M3870" s="27">
        <f>IF(OR(J3870="Yes",I3870=0),"",H3870/I3870)</f>
        <v/>
      </c>
      <c r="N3870" s="21">
        <f>IF(J3870="Yes","",IF(H3870&gt;=I3870,1,0))</f>
        <v/>
      </c>
      <c r="O3870" s="21">
        <f>IF(I3870&lt;=5000000,"Under $5M",IF(I3870&lt;=20000000,"$5M-20M",IF(I3870&lt;=50000000,"$20M-50M",IF(I3870&lt;=100000000,"$50M-100M","$100M+"))))</f>
        <v/>
      </c>
      <c r="P3870" s="21">
        <f>IF(E3870&lt;=90,"90 or less",IF(E3870&lt;=105,"91-105",IF(E3870&lt;=120,"106-120",IF(E3870&lt;=140,"121-140","Over 140"))))</f>
        <v/>
      </c>
      <c r="Q3870" s="28">
        <f>INT(C3870/10)*10</f>
        <v/>
      </c>
    </row>
    <row r="3871">
      <c r="A3871" s="21" t="n">
        <v>3948</v>
      </c>
      <c r="B3871" s="21" t="inlineStr">
        <is>
          <t>Girls Gone Dead</t>
        </is>
      </c>
      <c r="C3871" s="21" t="n">
        <v>2012</v>
      </c>
      <c r="D3871" s="21" t="inlineStr">
        <is>
          <t>USA</t>
        </is>
      </c>
      <c r="E3871" s="21" t="n">
        <v>104</v>
      </c>
      <c r="F3871" s="21" t="inlineStr">
        <is>
          <t>English</t>
        </is>
      </c>
      <c r="G3871" s="21" t="inlineStr">
        <is>
          <t>R</t>
        </is>
      </c>
      <c r="H3871" s="22" t="n">
        <v>25529689.5</v>
      </c>
      <c r="I3871" s="22" t="n">
        <v>500000</v>
      </c>
      <c r="J3871" s="21">
        <f>IF(OR(H3871="",H3871=25529689.5),"Yes","No")</f>
        <v/>
      </c>
      <c r="K3871" s="21">
        <f>IF(AND(D3871="USA",C3871&gt;=1980,J3871="No"),"Yes","No")</f>
        <v/>
      </c>
      <c r="L3871" s="26">
        <f>IF(J3871="Yes","",H3871-I3871)</f>
        <v/>
      </c>
      <c r="M3871" s="27">
        <f>IF(OR(J3871="Yes",I3871=0),"",H3871/I3871)</f>
        <v/>
      </c>
      <c r="N3871" s="21">
        <f>IF(J3871="Yes","",IF(H3871&gt;=I3871,1,0))</f>
        <v/>
      </c>
      <c r="O3871" s="21">
        <f>IF(I3871&lt;=5000000,"Under $5M",IF(I3871&lt;=20000000,"$5M-20M",IF(I3871&lt;=50000000,"$20M-50M",IF(I3871&lt;=100000000,"$50M-100M","$100M+"))))</f>
        <v/>
      </c>
      <c r="P3871" s="21">
        <f>IF(E3871&lt;=90,"90 or less",IF(E3871&lt;=105,"91-105",IF(E3871&lt;=120,"106-120",IF(E3871&lt;=140,"121-140","Over 140"))))</f>
        <v/>
      </c>
      <c r="Q3871" s="28">
        <f>INT(C3871/10)*10</f>
        <v/>
      </c>
    </row>
    <row r="3872">
      <c r="A3872" s="21" t="n">
        <v>3949</v>
      </c>
      <c r="B3872" s="21" t="inlineStr">
        <is>
          <t>Good Deeds</t>
        </is>
      </c>
      <c r="C3872" s="21" t="n">
        <v>2012</v>
      </c>
      <c r="D3872" s="21" t="inlineStr">
        <is>
          <t>USA</t>
        </is>
      </c>
      <c r="E3872" s="21" t="n">
        <v>110</v>
      </c>
      <c r="F3872" s="21" t="inlineStr">
        <is>
          <t>English</t>
        </is>
      </c>
      <c r="G3872" s="21" t="inlineStr">
        <is>
          <t>PG-13</t>
        </is>
      </c>
      <c r="H3872" s="22" t="n">
        <v>35010192</v>
      </c>
      <c r="I3872" s="22" t="n">
        <v>20000000</v>
      </c>
      <c r="J3872" s="21">
        <f>IF(OR(H3872="",H3872=25529689.5),"Yes","No")</f>
        <v/>
      </c>
      <c r="K3872" s="21">
        <f>IF(AND(D3872="USA",C3872&gt;=1980,J3872="No"),"Yes","No")</f>
        <v/>
      </c>
      <c r="L3872" s="26">
        <f>IF(J3872="Yes","",H3872-I3872)</f>
        <v/>
      </c>
      <c r="M3872" s="27">
        <f>IF(OR(J3872="Yes",I3872=0),"",H3872/I3872)</f>
        <v/>
      </c>
      <c r="N3872" s="21">
        <f>IF(J3872="Yes","",IF(H3872&gt;=I3872,1,0))</f>
        <v/>
      </c>
      <c r="O3872" s="21">
        <f>IF(I3872&lt;=5000000,"Under $5M",IF(I3872&lt;=20000000,"$5M-20M",IF(I3872&lt;=50000000,"$20M-50M",IF(I3872&lt;=100000000,"$50M-100M","$100M+"))))</f>
        <v/>
      </c>
      <c r="P3872" s="21">
        <f>IF(E3872&lt;=90,"90 or less",IF(E3872&lt;=105,"91-105",IF(E3872&lt;=120,"106-120",IF(E3872&lt;=140,"121-140","Over 140"))))</f>
        <v/>
      </c>
      <c r="Q3872" s="28">
        <f>INT(C3872/10)*10</f>
        <v/>
      </c>
    </row>
    <row r="3873">
      <c r="A3873" s="21" t="n">
        <v>3950</v>
      </c>
      <c r="B3873" s="21" t="inlineStr">
        <is>
          <t>Grabbers</t>
        </is>
      </c>
      <c r="C3873" s="21" t="n">
        <v>2012</v>
      </c>
      <c r="D3873" s="21" t="inlineStr">
        <is>
          <t>UK</t>
        </is>
      </c>
      <c r="E3873" s="21" t="n">
        <v>94</v>
      </c>
      <c r="F3873" s="21" t="inlineStr">
        <is>
          <t>English</t>
        </is>
      </c>
      <c r="G3873" s="21" t="inlineStr">
        <is>
          <t>Not Rated</t>
        </is>
      </c>
      <c r="H3873" s="22" t="n">
        <v>25529689.5</v>
      </c>
      <c r="I3873" s="22" t="n">
        <v>4000000</v>
      </c>
      <c r="J3873" s="21">
        <f>IF(OR(H3873="",H3873=25529689.5),"Yes","No")</f>
        <v/>
      </c>
      <c r="K3873" s="21">
        <f>IF(AND(D3873="USA",C3873&gt;=1980,J3873="No"),"Yes","No")</f>
        <v/>
      </c>
      <c r="L3873" s="26">
        <f>IF(J3873="Yes","",H3873-I3873)</f>
        <v/>
      </c>
      <c r="M3873" s="27">
        <f>IF(OR(J3873="Yes",I3873=0),"",H3873/I3873)</f>
        <v/>
      </c>
      <c r="N3873" s="21">
        <f>IF(J3873="Yes","",IF(H3873&gt;=I3873,1,0))</f>
        <v/>
      </c>
      <c r="O3873" s="21">
        <f>IF(I3873&lt;=5000000,"Under $5M",IF(I3873&lt;=20000000,"$5M-20M",IF(I3873&lt;=50000000,"$20M-50M",IF(I3873&lt;=100000000,"$50M-100M","$100M+"))))</f>
        <v/>
      </c>
      <c r="P3873" s="21">
        <f>IF(E3873&lt;=90,"90 or less",IF(E3873&lt;=105,"91-105",IF(E3873&lt;=120,"106-120",IF(E3873&lt;=140,"121-140","Over 140"))))</f>
        <v/>
      </c>
      <c r="Q3873" s="28">
        <f>INT(C3873/10)*10</f>
        <v/>
      </c>
    </row>
    <row r="3874">
      <c r="A3874" s="21" t="n">
        <v>3951</v>
      </c>
      <c r="B3874" s="21" t="inlineStr">
        <is>
          <t>Hardflip</t>
        </is>
      </c>
      <c r="C3874" s="21" t="n">
        <v>2012</v>
      </c>
      <c r="D3874" s="21" t="inlineStr">
        <is>
          <t>USA</t>
        </is>
      </c>
      <c r="E3874" s="21" t="n">
        <v>112</v>
      </c>
      <c r="F3874" s="21" t="inlineStr">
        <is>
          <t>English</t>
        </is>
      </c>
      <c r="G3874" s="21" t="inlineStr">
        <is>
          <t>PG-13</t>
        </is>
      </c>
      <c r="H3874" s="22" t="n">
        <v>96734</v>
      </c>
      <c r="I3874" s="22" t="n">
        <v>1000000</v>
      </c>
      <c r="J3874" s="21">
        <f>IF(OR(H3874="",H3874=25529689.5),"Yes","No")</f>
        <v/>
      </c>
      <c r="K3874" s="21">
        <f>IF(AND(D3874="USA",C3874&gt;=1980,J3874="No"),"Yes","No")</f>
        <v/>
      </c>
      <c r="L3874" s="26">
        <f>IF(J3874="Yes","",H3874-I3874)</f>
        <v/>
      </c>
      <c r="M3874" s="27">
        <f>IF(OR(J3874="Yes",I3874=0),"",H3874/I3874)</f>
        <v/>
      </c>
      <c r="N3874" s="21">
        <f>IF(J3874="Yes","",IF(H3874&gt;=I3874,1,0))</f>
        <v/>
      </c>
      <c r="O3874" s="21">
        <f>IF(I3874&lt;=5000000,"Under $5M",IF(I3874&lt;=20000000,"$5M-20M",IF(I3874&lt;=50000000,"$20M-50M",IF(I3874&lt;=100000000,"$50M-100M","$100M+"))))</f>
        <v/>
      </c>
      <c r="P3874" s="21">
        <f>IF(E3874&lt;=90,"90 or less",IF(E3874&lt;=105,"91-105",IF(E3874&lt;=120,"106-120",IF(E3874&lt;=140,"121-140","Over 140"))))</f>
        <v/>
      </c>
      <c r="Q3874" s="28">
        <f>INT(C3874/10)*10</f>
        <v/>
      </c>
    </row>
    <row r="3875">
      <c r="A3875" s="21" t="n">
        <v>3952</v>
      </c>
      <c r="B3875" s="21" t="inlineStr">
        <is>
          <t>Hayride</t>
        </is>
      </c>
      <c r="C3875" s="21" t="n">
        <v>2012</v>
      </c>
      <c r="D3875" s="21" t="inlineStr">
        <is>
          <t>USA</t>
        </is>
      </c>
      <c r="E3875" s="21" t="n">
        <v>93</v>
      </c>
      <c r="F3875" s="21" t="inlineStr">
        <is>
          <t>English</t>
        </is>
      </c>
      <c r="G3875" s="21" t="inlineStr">
        <is>
          <t>Not Rated</t>
        </is>
      </c>
      <c r="H3875" s="22" t="n">
        <v>25529689.5</v>
      </c>
      <c r="I3875" s="22" t="n">
        <v>60000</v>
      </c>
      <c r="J3875" s="21">
        <f>IF(OR(H3875="",H3875=25529689.5),"Yes","No")</f>
        <v/>
      </c>
      <c r="K3875" s="21">
        <f>IF(AND(D3875="USA",C3875&gt;=1980,J3875="No"),"Yes","No")</f>
        <v/>
      </c>
      <c r="L3875" s="26">
        <f>IF(J3875="Yes","",H3875-I3875)</f>
        <v/>
      </c>
      <c r="M3875" s="27">
        <f>IF(OR(J3875="Yes",I3875=0),"",H3875/I3875)</f>
        <v/>
      </c>
      <c r="N3875" s="21">
        <f>IF(J3875="Yes","",IF(H3875&gt;=I3875,1,0))</f>
        <v/>
      </c>
      <c r="O3875" s="21">
        <f>IF(I3875&lt;=5000000,"Under $5M",IF(I3875&lt;=20000000,"$5M-20M",IF(I3875&lt;=50000000,"$20M-50M",IF(I3875&lt;=100000000,"$50M-100M","$100M+"))))</f>
        <v/>
      </c>
      <c r="P3875" s="21">
        <f>IF(E3875&lt;=90,"90 or less",IF(E3875&lt;=105,"91-105",IF(E3875&lt;=120,"106-120",IF(E3875&lt;=140,"121-140","Over 140"))))</f>
        <v/>
      </c>
      <c r="Q3875" s="28">
        <f>INT(C3875/10)*10</f>
        <v/>
      </c>
    </row>
    <row r="3876">
      <c r="A3876" s="21" t="n">
        <v>3953</v>
      </c>
      <c r="B3876" s="21" t="inlineStr">
        <is>
          <t>Here Comes the Boom</t>
        </is>
      </c>
      <c r="C3876" s="21" t="n">
        <v>2012</v>
      </c>
      <c r="D3876" s="21" t="inlineStr">
        <is>
          <t>USA</t>
        </is>
      </c>
      <c r="E3876" s="21" t="n">
        <v>105</v>
      </c>
      <c r="F3876" s="21" t="inlineStr">
        <is>
          <t>English</t>
        </is>
      </c>
      <c r="G3876" s="21" t="inlineStr">
        <is>
          <t>PG</t>
        </is>
      </c>
      <c r="H3876" s="22" t="n">
        <v>45290318</v>
      </c>
      <c r="I3876" s="22" t="n">
        <v>42000000</v>
      </c>
      <c r="J3876" s="21">
        <f>IF(OR(H3876="",H3876=25529689.5),"Yes","No")</f>
        <v/>
      </c>
      <c r="K3876" s="21">
        <f>IF(AND(D3876="USA",C3876&gt;=1980,J3876="No"),"Yes","No")</f>
        <v/>
      </c>
      <c r="L3876" s="26">
        <f>IF(J3876="Yes","",H3876-I3876)</f>
        <v/>
      </c>
      <c r="M3876" s="27">
        <f>IF(OR(J3876="Yes",I3876=0),"",H3876/I3876)</f>
        <v/>
      </c>
      <c r="N3876" s="21">
        <f>IF(J3876="Yes","",IF(H3876&gt;=I3876,1,0))</f>
        <v/>
      </c>
      <c r="O3876" s="21">
        <f>IF(I3876&lt;=5000000,"Under $5M",IF(I3876&lt;=20000000,"$5M-20M",IF(I3876&lt;=50000000,"$20M-50M",IF(I3876&lt;=100000000,"$50M-100M","$100M+"))))</f>
        <v/>
      </c>
      <c r="P3876" s="21">
        <f>IF(E3876&lt;=90,"90 or less",IF(E3876&lt;=105,"91-105",IF(E3876&lt;=120,"106-120",IF(E3876&lt;=140,"121-140","Over 140"))))</f>
        <v/>
      </c>
      <c r="Q3876" s="28">
        <f>INT(C3876/10)*10</f>
        <v/>
      </c>
    </row>
    <row r="3877">
      <c r="A3877" s="21" t="n">
        <v>3954</v>
      </c>
      <c r="B3877" s="21" t="inlineStr">
        <is>
          <t>Hit and Run</t>
        </is>
      </c>
      <c r="C3877" s="21" t="n">
        <v>2012</v>
      </c>
      <c r="D3877" s="21" t="inlineStr">
        <is>
          <t>USA</t>
        </is>
      </c>
      <c r="E3877" s="21" t="n">
        <v>100</v>
      </c>
      <c r="F3877" s="21" t="inlineStr">
        <is>
          <t>English</t>
        </is>
      </c>
      <c r="G3877" s="21" t="inlineStr">
        <is>
          <t>R</t>
        </is>
      </c>
      <c r="H3877" s="22" t="n">
        <v>13746550</v>
      </c>
      <c r="I3877" s="22" t="n">
        <v>2000000</v>
      </c>
      <c r="J3877" s="21">
        <f>IF(OR(H3877="",H3877=25529689.5),"Yes","No")</f>
        <v/>
      </c>
      <c r="K3877" s="21">
        <f>IF(AND(D3877="USA",C3877&gt;=1980,J3877="No"),"Yes","No")</f>
        <v/>
      </c>
      <c r="L3877" s="26">
        <f>IF(J3877="Yes","",H3877-I3877)</f>
        <v/>
      </c>
      <c r="M3877" s="27">
        <f>IF(OR(J3877="Yes",I3877=0),"",H3877/I3877)</f>
        <v/>
      </c>
      <c r="N3877" s="21">
        <f>IF(J3877="Yes","",IF(H3877&gt;=I3877,1,0))</f>
        <v/>
      </c>
      <c r="O3877" s="21">
        <f>IF(I3877&lt;=5000000,"Under $5M",IF(I3877&lt;=20000000,"$5M-20M",IF(I3877&lt;=50000000,"$20M-50M",IF(I3877&lt;=100000000,"$50M-100M","$100M+"))))</f>
        <v/>
      </c>
      <c r="P3877" s="21">
        <f>IF(E3877&lt;=90,"90 or less",IF(E3877&lt;=105,"91-105",IF(E3877&lt;=120,"106-120",IF(E3877&lt;=140,"121-140","Over 140"))))</f>
        <v/>
      </c>
      <c r="Q3877" s="28">
        <f>INT(C3877/10)*10</f>
        <v/>
      </c>
    </row>
    <row r="3878">
      <c r="A3878" s="21" t="n">
        <v>3955</v>
      </c>
      <c r="B3878" s="21" t="inlineStr">
        <is>
          <t>Holy Motors</t>
        </is>
      </c>
      <c r="C3878" s="21" t="n">
        <v>2012</v>
      </c>
      <c r="D3878" s="21" t="inlineStr">
        <is>
          <t>France</t>
        </is>
      </c>
      <c r="E3878" s="21" t="n">
        <v>115</v>
      </c>
      <c r="F3878" s="21" t="inlineStr">
        <is>
          <t>French</t>
        </is>
      </c>
      <c r="G3878" s="21" t="inlineStr">
        <is>
          <t>Not Rated</t>
        </is>
      </c>
      <c r="H3878" s="22" t="n">
        <v>25529689.5</v>
      </c>
      <c r="I3878" s="22" t="n">
        <v>20000000</v>
      </c>
      <c r="J3878" s="21">
        <f>IF(OR(H3878="",H3878=25529689.5),"Yes","No")</f>
        <v/>
      </c>
      <c r="K3878" s="21">
        <f>IF(AND(D3878="USA",C3878&gt;=1980,J3878="No"),"Yes","No")</f>
        <v/>
      </c>
      <c r="L3878" s="26">
        <f>IF(J3878="Yes","",H3878-I3878)</f>
        <v/>
      </c>
      <c r="M3878" s="27">
        <f>IF(OR(J3878="Yes",I3878=0),"",H3878/I3878)</f>
        <v/>
      </c>
      <c r="N3878" s="21">
        <f>IF(J3878="Yes","",IF(H3878&gt;=I3878,1,0))</f>
        <v/>
      </c>
      <c r="O3878" s="21">
        <f>IF(I3878&lt;=5000000,"Under $5M",IF(I3878&lt;=20000000,"$5M-20M",IF(I3878&lt;=50000000,"$20M-50M",IF(I3878&lt;=100000000,"$50M-100M","$100M+"))))</f>
        <v/>
      </c>
      <c r="P3878" s="21">
        <f>IF(E3878&lt;=90,"90 or less",IF(E3878&lt;=105,"91-105",IF(E3878&lt;=120,"106-120",IF(E3878&lt;=140,"121-140","Over 140"))))</f>
        <v/>
      </c>
      <c r="Q3878" s="28">
        <f>INT(C3878/10)*10</f>
        <v/>
      </c>
    </row>
    <row r="3879">
      <c r="A3879" s="21" t="n">
        <v>3956</v>
      </c>
      <c r="B3879" s="21" t="inlineStr">
        <is>
          <t>Hope Springs</t>
        </is>
      </c>
      <c r="C3879" s="21" t="n">
        <v>2012</v>
      </c>
      <c r="D3879" s="21" t="inlineStr">
        <is>
          <t>USA</t>
        </is>
      </c>
      <c r="E3879" s="21" t="n">
        <v>100</v>
      </c>
      <c r="F3879" s="21" t="inlineStr">
        <is>
          <t>English</t>
        </is>
      </c>
      <c r="G3879" s="21" t="inlineStr">
        <is>
          <t>PG-13</t>
        </is>
      </c>
      <c r="H3879" s="22" t="n">
        <v>63536011</v>
      </c>
      <c r="I3879" s="22" t="n">
        <v>30000000</v>
      </c>
      <c r="J3879" s="21">
        <f>IF(OR(H3879="",H3879=25529689.5),"Yes","No")</f>
        <v/>
      </c>
      <c r="K3879" s="21">
        <f>IF(AND(D3879="USA",C3879&gt;=1980,J3879="No"),"Yes","No")</f>
        <v/>
      </c>
      <c r="L3879" s="26">
        <f>IF(J3879="Yes","",H3879-I3879)</f>
        <v/>
      </c>
      <c r="M3879" s="27">
        <f>IF(OR(J3879="Yes",I3879=0),"",H3879/I3879)</f>
        <v/>
      </c>
      <c r="N3879" s="21">
        <f>IF(J3879="Yes","",IF(H3879&gt;=I3879,1,0))</f>
        <v/>
      </c>
      <c r="O3879" s="21">
        <f>IF(I3879&lt;=5000000,"Under $5M",IF(I3879&lt;=20000000,"$5M-20M",IF(I3879&lt;=50000000,"$20M-50M",IF(I3879&lt;=100000000,"$50M-100M","$100M+"))))</f>
        <v/>
      </c>
      <c r="P3879" s="21">
        <f>IF(E3879&lt;=90,"90 or less",IF(E3879&lt;=105,"91-105",IF(E3879&lt;=120,"106-120",IF(E3879&lt;=140,"121-140","Over 140"))))</f>
        <v/>
      </c>
      <c r="Q3879" s="28">
        <f>INT(C3879/10)*10</f>
        <v/>
      </c>
    </row>
    <row r="3880">
      <c r="A3880" s="21" t="n">
        <v>3957</v>
      </c>
      <c r="B3880" s="21" t="inlineStr">
        <is>
          <t>Hotel Transylvania</t>
        </is>
      </c>
      <c r="C3880" s="21" t="n">
        <v>2012</v>
      </c>
      <c r="D3880" s="21" t="inlineStr">
        <is>
          <t>USA</t>
        </is>
      </c>
      <c r="E3880" s="21" t="n">
        <v>91</v>
      </c>
      <c r="F3880" s="21" t="inlineStr">
        <is>
          <t>English</t>
        </is>
      </c>
      <c r="G3880" s="21" t="inlineStr">
        <is>
          <t>PG</t>
        </is>
      </c>
      <c r="H3880" s="22" t="n">
        <v>148313048</v>
      </c>
      <c r="I3880" s="22" t="n">
        <v>85000000</v>
      </c>
      <c r="J3880" s="21">
        <f>IF(OR(H3880="",H3880=25529689.5),"Yes","No")</f>
        <v/>
      </c>
      <c r="K3880" s="21">
        <f>IF(AND(D3880="USA",C3880&gt;=1980,J3880="No"),"Yes","No")</f>
        <v/>
      </c>
      <c r="L3880" s="26">
        <f>IF(J3880="Yes","",H3880-I3880)</f>
        <v/>
      </c>
      <c r="M3880" s="27">
        <f>IF(OR(J3880="Yes",I3880=0),"",H3880/I3880)</f>
        <v/>
      </c>
      <c r="N3880" s="21">
        <f>IF(J3880="Yes","",IF(H3880&gt;=I3880,1,0))</f>
        <v/>
      </c>
      <c r="O3880" s="21">
        <f>IF(I3880&lt;=5000000,"Under $5M",IF(I3880&lt;=20000000,"$5M-20M",IF(I3880&lt;=50000000,"$20M-50M",IF(I3880&lt;=100000000,"$50M-100M","$100M+"))))</f>
        <v/>
      </c>
      <c r="P3880" s="21">
        <f>IF(E3880&lt;=90,"90 or less",IF(E3880&lt;=105,"91-105",IF(E3880&lt;=120,"106-120",IF(E3880&lt;=140,"121-140","Over 140"))))</f>
        <v/>
      </c>
      <c r="Q3880" s="28">
        <f>INT(C3880/10)*10</f>
        <v/>
      </c>
    </row>
    <row r="3881">
      <c r="A3881" s="21" t="n">
        <v>3958</v>
      </c>
      <c r="B3881" s="21" t="inlineStr">
        <is>
          <t>House at the End of the Street</t>
        </is>
      </c>
      <c r="C3881" s="21" t="n">
        <v>2012</v>
      </c>
      <c r="D3881" s="21" t="inlineStr">
        <is>
          <t>Canada</t>
        </is>
      </c>
      <c r="E3881" s="21" t="n">
        <v>101</v>
      </c>
      <c r="F3881" s="21" t="inlineStr">
        <is>
          <t>English</t>
        </is>
      </c>
      <c r="G3881" s="21" t="inlineStr">
        <is>
          <t>PG-13</t>
        </is>
      </c>
      <c r="H3881" s="22" t="n">
        <v>31607598</v>
      </c>
      <c r="I3881" s="22" t="n">
        <v>6900000</v>
      </c>
      <c r="J3881" s="21">
        <f>IF(OR(H3881="",H3881=25529689.5),"Yes","No")</f>
        <v/>
      </c>
      <c r="K3881" s="21">
        <f>IF(AND(D3881="USA",C3881&gt;=1980,J3881="No"),"Yes","No")</f>
        <v/>
      </c>
      <c r="L3881" s="26">
        <f>IF(J3881="Yes","",H3881-I3881)</f>
        <v/>
      </c>
      <c r="M3881" s="27">
        <f>IF(OR(J3881="Yes",I3881=0),"",H3881/I3881)</f>
        <v/>
      </c>
      <c r="N3881" s="21">
        <f>IF(J3881="Yes","",IF(H3881&gt;=I3881,1,0))</f>
        <v/>
      </c>
      <c r="O3881" s="21">
        <f>IF(I3881&lt;=5000000,"Under $5M",IF(I3881&lt;=20000000,"$5M-20M",IF(I3881&lt;=50000000,"$20M-50M",IF(I3881&lt;=100000000,"$50M-100M","$100M+"))))</f>
        <v/>
      </c>
      <c r="P3881" s="21">
        <f>IF(E3881&lt;=90,"90 or less",IF(E3881&lt;=105,"91-105",IF(E3881&lt;=120,"106-120",IF(E3881&lt;=140,"121-140","Over 140"))))</f>
        <v/>
      </c>
      <c r="Q3881" s="28">
        <f>INT(C3881/10)*10</f>
        <v/>
      </c>
    </row>
    <row r="3882">
      <c r="A3882" s="21" t="n">
        <v>3959</v>
      </c>
      <c r="B3882" s="21" t="inlineStr">
        <is>
          <t>Ice Age: Continental Drift</t>
        </is>
      </c>
      <c r="C3882" s="21" t="n">
        <v>2012</v>
      </c>
      <c r="D3882" s="21" t="inlineStr">
        <is>
          <t>USA</t>
        </is>
      </c>
      <c r="E3882" s="21" t="n">
        <v>88</v>
      </c>
      <c r="F3882" s="21" t="inlineStr">
        <is>
          <t>English</t>
        </is>
      </c>
      <c r="G3882" s="21" t="inlineStr">
        <is>
          <t>PG</t>
        </is>
      </c>
      <c r="H3882" s="22" t="n">
        <v>161317423</v>
      </c>
      <c r="I3882" s="22" t="n">
        <v>95000000</v>
      </c>
      <c r="J3882" s="21">
        <f>IF(OR(H3882="",H3882=25529689.5),"Yes","No")</f>
        <v/>
      </c>
      <c r="K3882" s="21">
        <f>IF(AND(D3882="USA",C3882&gt;=1980,J3882="No"),"Yes","No")</f>
        <v/>
      </c>
      <c r="L3882" s="26">
        <f>IF(J3882="Yes","",H3882-I3882)</f>
        <v/>
      </c>
      <c r="M3882" s="27">
        <f>IF(OR(J3882="Yes",I3882=0),"",H3882/I3882)</f>
        <v/>
      </c>
      <c r="N3882" s="21">
        <f>IF(J3882="Yes","",IF(H3882&gt;=I3882,1,0))</f>
        <v/>
      </c>
      <c r="O3882" s="21">
        <f>IF(I3882&lt;=5000000,"Under $5M",IF(I3882&lt;=20000000,"$5M-20M",IF(I3882&lt;=50000000,"$20M-50M",IF(I3882&lt;=100000000,"$50M-100M","$100M+"))))</f>
        <v/>
      </c>
      <c r="P3882" s="21">
        <f>IF(E3882&lt;=90,"90 or less",IF(E3882&lt;=105,"91-105",IF(E3882&lt;=120,"106-120",IF(E3882&lt;=140,"121-140","Over 140"))))</f>
        <v/>
      </c>
      <c r="Q3882" s="28">
        <f>INT(C3882/10)*10</f>
        <v/>
      </c>
    </row>
    <row r="3883">
      <c r="A3883" s="21" t="n">
        <v>3960</v>
      </c>
      <c r="B3883" s="21" t="inlineStr">
        <is>
          <t>Indie Game: The Movie</t>
        </is>
      </c>
      <c r="C3883" s="21" t="n">
        <v>2012</v>
      </c>
      <c r="D3883" s="21" t="inlineStr">
        <is>
          <t>Canada</t>
        </is>
      </c>
      <c r="E3883" s="21" t="n">
        <v>103</v>
      </c>
      <c r="F3883" s="21" t="inlineStr">
        <is>
          <t>English</t>
        </is>
      </c>
      <c r="G3883" s="21" t="inlineStr">
        <is>
          <t>Not Rated</t>
        </is>
      </c>
      <c r="H3883" s="22" t="n">
        <v>25529689.5</v>
      </c>
      <c r="I3883" s="22" t="n">
        <v>100000</v>
      </c>
      <c r="J3883" s="21">
        <f>IF(OR(H3883="",H3883=25529689.5),"Yes","No")</f>
        <v/>
      </c>
      <c r="K3883" s="21">
        <f>IF(AND(D3883="USA",C3883&gt;=1980,J3883="No"),"Yes","No")</f>
        <v/>
      </c>
      <c r="L3883" s="26">
        <f>IF(J3883="Yes","",H3883-I3883)</f>
        <v/>
      </c>
      <c r="M3883" s="27">
        <f>IF(OR(J3883="Yes",I3883=0),"",H3883/I3883)</f>
        <v/>
      </c>
      <c r="N3883" s="21">
        <f>IF(J3883="Yes","",IF(H3883&gt;=I3883,1,0))</f>
        <v/>
      </c>
      <c r="O3883" s="21">
        <f>IF(I3883&lt;=5000000,"Under $5M",IF(I3883&lt;=20000000,"$5M-20M",IF(I3883&lt;=50000000,"$20M-50M",IF(I3883&lt;=100000000,"$50M-100M","$100M+"))))</f>
        <v/>
      </c>
      <c r="P3883" s="21">
        <f>IF(E3883&lt;=90,"90 or less",IF(E3883&lt;=105,"91-105",IF(E3883&lt;=120,"106-120",IF(E3883&lt;=140,"121-140","Over 140"))))</f>
        <v/>
      </c>
      <c r="Q3883" s="28">
        <f>INT(C3883/10)*10</f>
        <v/>
      </c>
    </row>
    <row r="3884">
      <c r="A3884" s="21" t="n">
        <v>3961</v>
      </c>
      <c r="B3884" s="21" t="inlineStr">
        <is>
          <t>Inescapable</t>
        </is>
      </c>
      <c r="C3884" s="21" t="n">
        <v>2012</v>
      </c>
      <c r="D3884" s="21" t="inlineStr">
        <is>
          <t>Canada</t>
        </is>
      </c>
      <c r="E3884" s="21" t="n">
        <v>93</v>
      </c>
      <c r="F3884" s="21" t="inlineStr">
        <is>
          <t>English</t>
        </is>
      </c>
      <c r="G3884" s="21" t="inlineStr">
        <is>
          <t>R</t>
        </is>
      </c>
      <c r="H3884" s="22" t="n">
        <v>4063</v>
      </c>
      <c r="I3884" s="22" t="n">
        <v>4000000</v>
      </c>
      <c r="J3884" s="21">
        <f>IF(OR(H3884="",H3884=25529689.5),"Yes","No")</f>
        <v/>
      </c>
      <c r="K3884" s="21">
        <f>IF(AND(D3884="USA",C3884&gt;=1980,J3884="No"),"Yes","No")</f>
        <v/>
      </c>
      <c r="L3884" s="26">
        <f>IF(J3884="Yes","",H3884-I3884)</f>
        <v/>
      </c>
      <c r="M3884" s="27">
        <f>IF(OR(J3884="Yes",I3884=0),"",H3884/I3884)</f>
        <v/>
      </c>
      <c r="N3884" s="21">
        <f>IF(J3884="Yes","",IF(H3884&gt;=I3884,1,0))</f>
        <v/>
      </c>
      <c r="O3884" s="21">
        <f>IF(I3884&lt;=5000000,"Under $5M",IF(I3884&lt;=20000000,"$5M-20M",IF(I3884&lt;=50000000,"$20M-50M",IF(I3884&lt;=100000000,"$50M-100M","$100M+"))))</f>
        <v/>
      </c>
      <c r="P3884" s="21">
        <f>IF(E3884&lt;=90,"90 or less",IF(E3884&lt;=105,"91-105",IF(E3884&lt;=120,"106-120",IF(E3884&lt;=140,"121-140","Over 140"))))</f>
        <v/>
      </c>
      <c r="Q3884" s="28">
        <f>INT(C3884/10)*10</f>
        <v/>
      </c>
    </row>
    <row r="3885">
      <c r="A3885" s="21" t="n">
        <v>3962</v>
      </c>
      <c r="B3885" s="21" t="inlineStr">
        <is>
          <t>Jab Tak Hai Jaan</t>
        </is>
      </c>
      <c r="C3885" s="21" t="n">
        <v>2012</v>
      </c>
      <c r="D3885" s="21" t="inlineStr">
        <is>
          <t>India</t>
        </is>
      </c>
      <c r="E3885" s="21" t="n">
        <v>176</v>
      </c>
      <c r="F3885" s="21" t="inlineStr">
        <is>
          <t>Hindi</t>
        </is>
      </c>
      <c r="G3885" s="21" t="inlineStr">
        <is>
          <t>Not Rated</t>
        </is>
      </c>
      <c r="H3885" s="22" t="n">
        <v>3047539</v>
      </c>
      <c r="I3885" s="22" t="n">
        <v>7217600</v>
      </c>
      <c r="J3885" s="21">
        <f>IF(OR(H3885="",H3885=25529689.5),"Yes","No")</f>
        <v/>
      </c>
      <c r="K3885" s="21">
        <f>IF(AND(D3885="USA",C3885&gt;=1980,J3885="No"),"Yes","No")</f>
        <v/>
      </c>
      <c r="L3885" s="26">
        <f>IF(J3885="Yes","",H3885-I3885)</f>
        <v/>
      </c>
      <c r="M3885" s="27">
        <f>IF(OR(J3885="Yes",I3885=0),"",H3885/I3885)</f>
        <v/>
      </c>
      <c r="N3885" s="21">
        <f>IF(J3885="Yes","",IF(H3885&gt;=I3885,1,0))</f>
        <v/>
      </c>
      <c r="O3885" s="21">
        <f>IF(I3885&lt;=5000000,"Under $5M",IF(I3885&lt;=20000000,"$5M-20M",IF(I3885&lt;=50000000,"$20M-50M",IF(I3885&lt;=100000000,"$50M-100M","$100M+"))))</f>
        <v/>
      </c>
      <c r="P3885" s="21">
        <f>IF(E3885&lt;=90,"90 or less",IF(E3885&lt;=105,"91-105",IF(E3885&lt;=120,"106-120",IF(E3885&lt;=140,"121-140","Over 140"))))</f>
        <v/>
      </c>
      <c r="Q3885" s="28">
        <f>INT(C3885/10)*10</f>
        <v/>
      </c>
    </row>
    <row r="3886">
      <c r="A3886" s="21" t="n">
        <v>3963</v>
      </c>
      <c r="B3886" s="21" t="inlineStr">
        <is>
          <t>Jack Reacher</t>
        </is>
      </c>
      <c r="C3886" s="21" t="n">
        <v>2012</v>
      </c>
      <c r="D3886" s="21" t="inlineStr">
        <is>
          <t>USA</t>
        </is>
      </c>
      <c r="E3886" s="21" t="n">
        <v>130</v>
      </c>
      <c r="F3886" s="21" t="inlineStr">
        <is>
          <t>English</t>
        </is>
      </c>
      <c r="G3886" s="21" t="inlineStr">
        <is>
          <t>PG-13</t>
        </is>
      </c>
      <c r="H3886" s="22" t="n">
        <v>80033643</v>
      </c>
      <c r="I3886" s="22" t="n">
        <v>60000000</v>
      </c>
      <c r="J3886" s="21">
        <f>IF(OR(H3886="",H3886=25529689.5),"Yes","No")</f>
        <v/>
      </c>
      <c r="K3886" s="21">
        <f>IF(AND(D3886="USA",C3886&gt;=1980,J3886="No"),"Yes","No")</f>
        <v/>
      </c>
      <c r="L3886" s="26">
        <f>IF(J3886="Yes","",H3886-I3886)</f>
        <v/>
      </c>
      <c r="M3886" s="27">
        <f>IF(OR(J3886="Yes",I3886=0),"",H3886/I3886)</f>
        <v/>
      </c>
      <c r="N3886" s="21">
        <f>IF(J3886="Yes","",IF(H3886&gt;=I3886,1,0))</f>
        <v/>
      </c>
      <c r="O3886" s="21">
        <f>IF(I3886&lt;=5000000,"Under $5M",IF(I3886&lt;=20000000,"$5M-20M",IF(I3886&lt;=50000000,"$20M-50M",IF(I3886&lt;=100000000,"$50M-100M","$100M+"))))</f>
        <v/>
      </c>
      <c r="P3886" s="21">
        <f>IF(E3886&lt;=90,"90 or less",IF(E3886&lt;=105,"91-105",IF(E3886&lt;=120,"106-120",IF(E3886&lt;=140,"121-140","Over 140"))))</f>
        <v/>
      </c>
      <c r="Q3886" s="28">
        <f>INT(C3886/10)*10</f>
        <v/>
      </c>
    </row>
    <row r="3887">
      <c r="A3887" s="21" t="n">
        <v>3965</v>
      </c>
      <c r="B3887" s="21" t="inlineStr">
        <is>
          <t>John Carter</t>
        </is>
      </c>
      <c r="C3887" s="21" t="n">
        <v>2012</v>
      </c>
      <c r="D3887" s="21" t="inlineStr">
        <is>
          <t>USA</t>
        </is>
      </c>
      <c r="E3887" s="21" t="n">
        <v>132</v>
      </c>
      <c r="F3887" s="21" t="inlineStr">
        <is>
          <t>English</t>
        </is>
      </c>
      <c r="G3887" s="21" t="inlineStr">
        <is>
          <t>PG-13</t>
        </is>
      </c>
      <c r="H3887" s="22" t="n">
        <v>73058679</v>
      </c>
      <c r="I3887" s="22" t="n">
        <v>263700000</v>
      </c>
      <c r="J3887" s="21">
        <f>IF(OR(H3887="",H3887=25529689.5),"Yes","No")</f>
        <v/>
      </c>
      <c r="K3887" s="21">
        <f>IF(AND(D3887="USA",C3887&gt;=1980,J3887="No"),"Yes","No")</f>
        <v/>
      </c>
      <c r="L3887" s="26">
        <f>IF(J3887="Yes","",H3887-I3887)</f>
        <v/>
      </c>
      <c r="M3887" s="27">
        <f>IF(OR(J3887="Yes",I3887=0),"",H3887/I3887)</f>
        <v/>
      </c>
      <c r="N3887" s="21">
        <f>IF(J3887="Yes","",IF(H3887&gt;=I3887,1,0))</f>
        <v/>
      </c>
      <c r="O3887" s="21">
        <f>IF(I3887&lt;=5000000,"Under $5M",IF(I3887&lt;=20000000,"$5M-20M",IF(I3887&lt;=50000000,"$20M-50M",IF(I3887&lt;=100000000,"$50M-100M","$100M+"))))</f>
        <v/>
      </c>
      <c r="P3887" s="21">
        <f>IF(E3887&lt;=90,"90 or less",IF(E3887&lt;=105,"91-105",IF(E3887&lt;=120,"106-120",IF(E3887&lt;=140,"121-140","Over 140"))))</f>
        <v/>
      </c>
      <c r="Q3887" s="28">
        <f>INT(C3887/10)*10</f>
        <v/>
      </c>
    </row>
    <row r="3888">
      <c r="A3888" s="21" t="n">
        <v>3966</v>
      </c>
      <c r="B3888" s="21" t="inlineStr">
        <is>
          <t>Journey 2: The Mysterious Island</t>
        </is>
      </c>
      <c r="C3888" s="21" t="n">
        <v>2012</v>
      </c>
      <c r="D3888" s="21" t="inlineStr">
        <is>
          <t>USA</t>
        </is>
      </c>
      <c r="E3888" s="21" t="n">
        <v>94</v>
      </c>
      <c r="F3888" s="21" t="inlineStr">
        <is>
          <t>English</t>
        </is>
      </c>
      <c r="G3888" s="21" t="inlineStr">
        <is>
          <t>PG</t>
        </is>
      </c>
      <c r="H3888" s="22" t="n">
        <v>103812241</v>
      </c>
      <c r="I3888" s="22" t="n">
        <v>79000000</v>
      </c>
      <c r="J3888" s="21">
        <f>IF(OR(H3888="",H3888=25529689.5),"Yes","No")</f>
        <v/>
      </c>
      <c r="K3888" s="21">
        <f>IF(AND(D3888="USA",C3888&gt;=1980,J3888="No"),"Yes","No")</f>
        <v/>
      </c>
      <c r="L3888" s="26">
        <f>IF(J3888="Yes","",H3888-I3888)</f>
        <v/>
      </c>
      <c r="M3888" s="27">
        <f>IF(OR(J3888="Yes",I3888=0),"",H3888/I3888)</f>
        <v/>
      </c>
      <c r="N3888" s="21">
        <f>IF(J3888="Yes","",IF(H3888&gt;=I3888,1,0))</f>
        <v/>
      </c>
      <c r="O3888" s="21">
        <f>IF(I3888&lt;=5000000,"Under $5M",IF(I3888&lt;=20000000,"$5M-20M",IF(I3888&lt;=50000000,"$20M-50M",IF(I3888&lt;=100000000,"$50M-100M","$100M+"))))</f>
        <v/>
      </c>
      <c r="P3888" s="21">
        <f>IF(E3888&lt;=90,"90 or less",IF(E3888&lt;=105,"91-105",IF(E3888&lt;=120,"106-120",IF(E3888&lt;=140,"121-140","Over 140"))))</f>
        <v/>
      </c>
      <c r="Q3888" s="28">
        <f>INT(C3888/10)*10</f>
        <v/>
      </c>
    </row>
    <row r="3889">
      <c r="A3889" s="21" t="n">
        <v>3967</v>
      </c>
      <c r="B3889" s="21" t="inlineStr">
        <is>
          <t>Joyful Noise</t>
        </is>
      </c>
      <c r="C3889" s="21" t="n">
        <v>2012</v>
      </c>
      <c r="D3889" s="21" t="inlineStr">
        <is>
          <t>USA</t>
        </is>
      </c>
      <c r="E3889" s="21" t="n">
        <v>118</v>
      </c>
      <c r="F3889" s="21" t="inlineStr">
        <is>
          <t>English</t>
        </is>
      </c>
      <c r="G3889" s="21" t="inlineStr">
        <is>
          <t>PG-13</t>
        </is>
      </c>
      <c r="H3889" s="22" t="n">
        <v>30920167</v>
      </c>
      <c r="I3889" s="22" t="n">
        <v>25000000</v>
      </c>
      <c r="J3889" s="21">
        <f>IF(OR(H3889="",H3889=25529689.5),"Yes","No")</f>
        <v/>
      </c>
      <c r="K3889" s="21">
        <f>IF(AND(D3889="USA",C3889&gt;=1980,J3889="No"),"Yes","No")</f>
        <v/>
      </c>
      <c r="L3889" s="26">
        <f>IF(J3889="Yes","",H3889-I3889)</f>
        <v/>
      </c>
      <c r="M3889" s="27">
        <f>IF(OR(J3889="Yes",I3889=0),"",H3889/I3889)</f>
        <v/>
      </c>
      <c r="N3889" s="21">
        <f>IF(J3889="Yes","",IF(H3889&gt;=I3889,1,0))</f>
        <v/>
      </c>
      <c r="O3889" s="21">
        <f>IF(I3889&lt;=5000000,"Under $5M",IF(I3889&lt;=20000000,"$5M-20M",IF(I3889&lt;=50000000,"$20M-50M",IF(I3889&lt;=100000000,"$50M-100M","$100M+"))))</f>
        <v/>
      </c>
      <c r="P3889" s="21">
        <f>IF(E3889&lt;=90,"90 or less",IF(E3889&lt;=105,"91-105",IF(E3889&lt;=120,"106-120",IF(E3889&lt;=140,"121-140","Over 140"))))</f>
        <v/>
      </c>
      <c r="Q3889" s="28">
        <f>INT(C3889/10)*10</f>
        <v/>
      </c>
    </row>
    <row r="3890">
      <c r="A3890" s="21" t="n">
        <v>3968</v>
      </c>
      <c r="B3890" s="21" t="inlineStr">
        <is>
          <t>Katy Perry: Part of Me</t>
        </is>
      </c>
      <c r="C3890" s="21" t="n">
        <v>2012</v>
      </c>
      <c r="D3890" s="21" t="inlineStr">
        <is>
          <t>USA</t>
        </is>
      </c>
      <c r="E3890" s="21" t="n">
        <v>93</v>
      </c>
      <c r="F3890" s="21" t="inlineStr">
        <is>
          <t>English</t>
        </is>
      </c>
      <c r="G3890" s="21" t="inlineStr">
        <is>
          <t>PG</t>
        </is>
      </c>
      <c r="H3890" s="22" t="n">
        <v>25240988</v>
      </c>
      <c r="I3890" s="22" t="n">
        <v>12000000</v>
      </c>
      <c r="J3890" s="21">
        <f>IF(OR(H3890="",H3890=25529689.5),"Yes","No")</f>
        <v/>
      </c>
      <c r="K3890" s="21">
        <f>IF(AND(D3890="USA",C3890&gt;=1980,J3890="No"),"Yes","No")</f>
        <v/>
      </c>
      <c r="L3890" s="26">
        <f>IF(J3890="Yes","",H3890-I3890)</f>
        <v/>
      </c>
      <c r="M3890" s="27">
        <f>IF(OR(J3890="Yes",I3890=0),"",H3890/I3890)</f>
        <v/>
      </c>
      <c r="N3890" s="21">
        <f>IF(J3890="Yes","",IF(H3890&gt;=I3890,1,0))</f>
        <v/>
      </c>
      <c r="O3890" s="21">
        <f>IF(I3890&lt;=5000000,"Under $5M",IF(I3890&lt;=20000000,"$5M-20M",IF(I3890&lt;=50000000,"$20M-50M",IF(I3890&lt;=100000000,"$50M-100M","$100M+"))))</f>
        <v/>
      </c>
      <c r="P3890" s="21">
        <f>IF(E3890&lt;=90,"90 or less",IF(E3890&lt;=105,"91-105",IF(E3890&lt;=120,"106-120",IF(E3890&lt;=140,"121-140","Over 140"))))</f>
        <v/>
      </c>
      <c r="Q3890" s="28">
        <f>INT(C3890/10)*10</f>
        <v/>
      </c>
    </row>
    <row r="3891">
      <c r="A3891" s="21" t="n">
        <v>3969</v>
      </c>
      <c r="B3891" s="21" t="inlineStr">
        <is>
          <t>Khiladi 786</t>
        </is>
      </c>
      <c r="C3891" s="21" t="n">
        <v>2012</v>
      </c>
      <c r="D3891" s="21" t="inlineStr">
        <is>
          <t>India</t>
        </is>
      </c>
      <c r="E3891" s="21" t="n">
        <v>141</v>
      </c>
      <c r="F3891" s="21" t="inlineStr">
        <is>
          <t>Hindi</t>
        </is>
      </c>
      <c r="G3891" s="21" t="inlineStr">
        <is>
          <t>Not Rated</t>
        </is>
      </c>
      <c r="H3891" s="22" t="n">
        <v>352684</v>
      </c>
      <c r="I3891" s="22" t="n">
        <v>20000000</v>
      </c>
      <c r="J3891" s="21">
        <f>IF(OR(H3891="",H3891=25529689.5),"Yes","No")</f>
        <v/>
      </c>
      <c r="K3891" s="21">
        <f>IF(AND(D3891="USA",C3891&gt;=1980,J3891="No"),"Yes","No")</f>
        <v/>
      </c>
      <c r="L3891" s="26">
        <f>IF(J3891="Yes","",H3891-I3891)</f>
        <v/>
      </c>
      <c r="M3891" s="27">
        <f>IF(OR(J3891="Yes",I3891=0),"",H3891/I3891)</f>
        <v/>
      </c>
      <c r="N3891" s="21">
        <f>IF(J3891="Yes","",IF(H3891&gt;=I3891,1,0))</f>
        <v/>
      </c>
      <c r="O3891" s="21">
        <f>IF(I3891&lt;=5000000,"Under $5M",IF(I3891&lt;=20000000,"$5M-20M",IF(I3891&lt;=50000000,"$20M-50M",IF(I3891&lt;=100000000,"$50M-100M","$100M+"))))</f>
        <v/>
      </c>
      <c r="P3891" s="21">
        <f>IF(E3891&lt;=90,"90 or less",IF(E3891&lt;=105,"91-105",IF(E3891&lt;=120,"106-120",IF(E3891&lt;=140,"121-140","Over 140"))))</f>
        <v/>
      </c>
      <c r="Q3891" s="28">
        <f>INT(C3891/10)*10</f>
        <v/>
      </c>
    </row>
    <row r="3892">
      <c r="A3892" s="21" t="n">
        <v>3970</v>
      </c>
      <c r="B3892" s="21" t="inlineStr">
        <is>
          <t>Killing Them Softly</t>
        </is>
      </c>
      <c r="C3892" s="21" t="n">
        <v>2012</v>
      </c>
      <c r="D3892" s="21" t="inlineStr">
        <is>
          <t>USA</t>
        </is>
      </c>
      <c r="E3892" s="21" t="n">
        <v>97</v>
      </c>
      <c r="F3892" s="21" t="inlineStr">
        <is>
          <t>English</t>
        </is>
      </c>
      <c r="G3892" s="21" t="inlineStr">
        <is>
          <t>R</t>
        </is>
      </c>
      <c r="H3892" s="22" t="n">
        <v>14938570</v>
      </c>
      <c r="I3892" s="22" t="n">
        <v>15000000</v>
      </c>
      <c r="J3892" s="21">
        <f>IF(OR(H3892="",H3892=25529689.5),"Yes","No")</f>
        <v/>
      </c>
      <c r="K3892" s="21">
        <f>IF(AND(D3892="USA",C3892&gt;=1980,J3892="No"),"Yes","No")</f>
        <v/>
      </c>
      <c r="L3892" s="26">
        <f>IF(J3892="Yes","",H3892-I3892)</f>
        <v/>
      </c>
      <c r="M3892" s="27">
        <f>IF(OR(J3892="Yes",I3892=0),"",H3892/I3892)</f>
        <v/>
      </c>
      <c r="N3892" s="21">
        <f>IF(J3892="Yes","",IF(H3892&gt;=I3892,1,0))</f>
        <v/>
      </c>
      <c r="O3892" s="21">
        <f>IF(I3892&lt;=5000000,"Under $5M",IF(I3892&lt;=20000000,"$5M-20M",IF(I3892&lt;=50000000,"$20M-50M",IF(I3892&lt;=100000000,"$50M-100M","$100M+"))))</f>
        <v/>
      </c>
      <c r="P3892" s="21">
        <f>IF(E3892&lt;=90,"90 or less",IF(E3892&lt;=105,"91-105",IF(E3892&lt;=120,"106-120",IF(E3892&lt;=140,"121-140","Over 140"))))</f>
        <v/>
      </c>
      <c r="Q3892" s="28">
        <f>INT(C3892/10)*10</f>
        <v/>
      </c>
    </row>
    <row r="3893">
      <c r="A3893" s="21" t="n">
        <v>3971</v>
      </c>
      <c r="B3893" s="21" t="inlineStr">
        <is>
          <t>Les MisÃ©rables</t>
        </is>
      </c>
      <c r="C3893" s="21" t="n">
        <v>2012</v>
      </c>
      <c r="D3893" s="21" t="inlineStr">
        <is>
          <t>USA</t>
        </is>
      </c>
      <c r="E3893" s="21" t="n">
        <v>158</v>
      </c>
      <c r="F3893" s="21" t="inlineStr">
        <is>
          <t>English</t>
        </is>
      </c>
      <c r="G3893" s="21" t="inlineStr">
        <is>
          <t>PG-13</t>
        </is>
      </c>
      <c r="H3893" s="22" t="n">
        <v>148775460</v>
      </c>
      <c r="I3893" s="22" t="n">
        <v>61000000</v>
      </c>
      <c r="J3893" s="21">
        <f>IF(OR(H3893="",H3893=25529689.5),"Yes","No")</f>
        <v/>
      </c>
      <c r="K3893" s="21">
        <f>IF(AND(D3893="USA",C3893&gt;=1980,J3893="No"),"Yes","No")</f>
        <v/>
      </c>
      <c r="L3893" s="26">
        <f>IF(J3893="Yes","",H3893-I3893)</f>
        <v/>
      </c>
      <c r="M3893" s="27">
        <f>IF(OR(J3893="Yes",I3893=0),"",H3893/I3893)</f>
        <v/>
      </c>
      <c r="N3893" s="21">
        <f>IF(J3893="Yes","",IF(H3893&gt;=I3893,1,0))</f>
        <v/>
      </c>
      <c r="O3893" s="21">
        <f>IF(I3893&lt;=5000000,"Under $5M",IF(I3893&lt;=20000000,"$5M-20M",IF(I3893&lt;=50000000,"$20M-50M",IF(I3893&lt;=100000000,"$50M-100M","$100M+"))))</f>
        <v/>
      </c>
      <c r="P3893" s="21">
        <f>IF(E3893&lt;=90,"90 or less",IF(E3893&lt;=105,"91-105",IF(E3893&lt;=120,"106-120",IF(E3893&lt;=140,"121-140","Over 140"))))</f>
        <v/>
      </c>
      <c r="Q3893" s="28">
        <f>INT(C3893/10)*10</f>
        <v/>
      </c>
    </row>
    <row r="3894">
      <c r="A3894" s="21" t="n">
        <v>3972</v>
      </c>
      <c r="B3894" s="21" t="inlineStr">
        <is>
          <t>Life of Pi</t>
        </is>
      </c>
      <c r="C3894" s="21" t="n">
        <v>2012</v>
      </c>
      <c r="D3894" s="21" t="inlineStr">
        <is>
          <t>USA</t>
        </is>
      </c>
      <c r="E3894" s="21" t="n">
        <v>127</v>
      </c>
      <c r="F3894" s="21" t="inlineStr">
        <is>
          <t>English</t>
        </is>
      </c>
      <c r="G3894" s="21" t="inlineStr">
        <is>
          <t>PG</t>
        </is>
      </c>
      <c r="H3894" s="22" t="n">
        <v>124976634</v>
      </c>
      <c r="I3894" s="22" t="n">
        <v>120000000</v>
      </c>
      <c r="J3894" s="21">
        <f>IF(OR(H3894="",H3894=25529689.5),"Yes","No")</f>
        <v/>
      </c>
      <c r="K3894" s="21">
        <f>IF(AND(D3894="USA",C3894&gt;=1980,J3894="No"),"Yes","No")</f>
        <v/>
      </c>
      <c r="L3894" s="26">
        <f>IF(J3894="Yes","",H3894-I3894)</f>
        <v/>
      </c>
      <c r="M3894" s="27">
        <f>IF(OR(J3894="Yes",I3894=0),"",H3894/I3894)</f>
        <v/>
      </c>
      <c r="N3894" s="21">
        <f>IF(J3894="Yes","",IF(H3894&gt;=I3894,1,0))</f>
        <v/>
      </c>
      <c r="O3894" s="21">
        <f>IF(I3894&lt;=5000000,"Under $5M",IF(I3894&lt;=20000000,"$5M-20M",IF(I3894&lt;=50000000,"$20M-50M",IF(I3894&lt;=100000000,"$50M-100M","$100M+"))))</f>
        <v/>
      </c>
      <c r="P3894" s="21">
        <f>IF(E3894&lt;=90,"90 or less",IF(E3894&lt;=105,"91-105",IF(E3894&lt;=120,"106-120",IF(E3894&lt;=140,"121-140","Over 140"))))</f>
        <v/>
      </c>
      <c r="Q3894" s="28">
        <f>INT(C3894/10)*10</f>
        <v/>
      </c>
    </row>
    <row r="3895">
      <c r="A3895" s="21" t="n">
        <v>3973</v>
      </c>
      <c r="B3895" s="21" t="inlineStr">
        <is>
          <t>Lincoln</t>
        </is>
      </c>
      <c r="C3895" s="21" t="n">
        <v>2012</v>
      </c>
      <c r="D3895" s="21" t="inlineStr">
        <is>
          <t>USA</t>
        </is>
      </c>
      <c r="E3895" s="21" t="n">
        <v>150</v>
      </c>
      <c r="F3895" s="21" t="inlineStr">
        <is>
          <t>English</t>
        </is>
      </c>
      <c r="G3895" s="21" t="inlineStr">
        <is>
          <t>PG-13</t>
        </is>
      </c>
      <c r="H3895" s="22" t="n">
        <v>182204440</v>
      </c>
      <c r="I3895" s="22" t="n">
        <v>65000000</v>
      </c>
      <c r="J3895" s="21">
        <f>IF(OR(H3895="",H3895=25529689.5),"Yes","No")</f>
        <v/>
      </c>
      <c r="K3895" s="21">
        <f>IF(AND(D3895="USA",C3895&gt;=1980,J3895="No"),"Yes","No")</f>
        <v/>
      </c>
      <c r="L3895" s="26">
        <f>IF(J3895="Yes","",H3895-I3895)</f>
        <v/>
      </c>
      <c r="M3895" s="27">
        <f>IF(OR(J3895="Yes",I3895=0),"",H3895/I3895)</f>
        <v/>
      </c>
      <c r="N3895" s="21">
        <f>IF(J3895="Yes","",IF(H3895&gt;=I3895,1,0))</f>
        <v/>
      </c>
      <c r="O3895" s="21">
        <f>IF(I3895&lt;=5000000,"Under $5M",IF(I3895&lt;=20000000,"$5M-20M",IF(I3895&lt;=50000000,"$20M-50M",IF(I3895&lt;=100000000,"$50M-100M","$100M+"))))</f>
        <v/>
      </c>
      <c r="P3895" s="21">
        <f>IF(E3895&lt;=90,"90 or less",IF(E3895&lt;=105,"91-105",IF(E3895&lt;=120,"106-120",IF(E3895&lt;=140,"121-140","Over 140"))))</f>
        <v/>
      </c>
      <c r="Q3895" s="28">
        <f>INT(C3895/10)*10</f>
        <v/>
      </c>
    </row>
    <row r="3896">
      <c r="A3896" s="21" t="n">
        <v>3974</v>
      </c>
      <c r="B3896" s="21" t="inlineStr">
        <is>
          <t>Lockout</t>
        </is>
      </c>
      <c r="C3896" s="21" t="n">
        <v>2012</v>
      </c>
      <c r="D3896" s="21" t="inlineStr">
        <is>
          <t>France</t>
        </is>
      </c>
      <c r="E3896" s="21" t="n">
        <v>95</v>
      </c>
      <c r="F3896" s="21" t="inlineStr">
        <is>
          <t>English</t>
        </is>
      </c>
      <c r="G3896" s="21" t="inlineStr">
        <is>
          <t>PG-13</t>
        </is>
      </c>
      <c r="H3896" s="22" t="n">
        <v>14291570</v>
      </c>
      <c r="I3896" s="22" t="n">
        <v>20000000</v>
      </c>
      <c r="J3896" s="21">
        <f>IF(OR(H3896="",H3896=25529689.5),"Yes","No")</f>
        <v/>
      </c>
      <c r="K3896" s="21">
        <f>IF(AND(D3896="USA",C3896&gt;=1980,J3896="No"),"Yes","No")</f>
        <v/>
      </c>
      <c r="L3896" s="26">
        <f>IF(J3896="Yes","",H3896-I3896)</f>
        <v/>
      </c>
      <c r="M3896" s="27">
        <f>IF(OR(J3896="Yes",I3896=0),"",H3896/I3896)</f>
        <v/>
      </c>
      <c r="N3896" s="21">
        <f>IF(J3896="Yes","",IF(H3896&gt;=I3896,1,0))</f>
        <v/>
      </c>
      <c r="O3896" s="21">
        <f>IF(I3896&lt;=5000000,"Under $5M",IF(I3896&lt;=20000000,"$5M-20M",IF(I3896&lt;=50000000,"$20M-50M",IF(I3896&lt;=100000000,"$50M-100M","$100M+"))))</f>
        <v/>
      </c>
      <c r="P3896" s="21">
        <f>IF(E3896&lt;=90,"90 or less",IF(E3896&lt;=105,"91-105",IF(E3896&lt;=120,"106-120",IF(E3896&lt;=140,"121-140","Over 140"))))</f>
        <v/>
      </c>
      <c r="Q3896" s="28">
        <f>INT(C3896/10)*10</f>
        <v/>
      </c>
    </row>
    <row r="3897">
      <c r="A3897" s="21" t="n">
        <v>3975</v>
      </c>
      <c r="B3897" s="21" t="inlineStr">
        <is>
          <t>LOL</t>
        </is>
      </c>
      <c r="C3897" s="21" t="n">
        <v>2012</v>
      </c>
      <c r="D3897" s="21" t="inlineStr">
        <is>
          <t>USA</t>
        </is>
      </c>
      <c r="E3897" s="21" t="n">
        <v>97</v>
      </c>
      <c r="F3897" s="21" t="inlineStr">
        <is>
          <t>English</t>
        </is>
      </c>
      <c r="G3897" s="21" t="inlineStr">
        <is>
          <t>PG-13</t>
        </is>
      </c>
      <c r="H3897" s="22" t="n">
        <v>25529689.5</v>
      </c>
      <c r="I3897" s="22" t="n">
        <v>11000000</v>
      </c>
      <c r="J3897" s="21">
        <f>IF(OR(H3897="",H3897=25529689.5),"Yes","No")</f>
        <v/>
      </c>
      <c r="K3897" s="21">
        <f>IF(AND(D3897="USA",C3897&gt;=1980,J3897="No"),"Yes","No")</f>
        <v/>
      </c>
      <c r="L3897" s="26">
        <f>IF(J3897="Yes","",H3897-I3897)</f>
        <v/>
      </c>
      <c r="M3897" s="27">
        <f>IF(OR(J3897="Yes",I3897=0),"",H3897/I3897)</f>
        <v/>
      </c>
      <c r="N3897" s="21">
        <f>IF(J3897="Yes","",IF(H3897&gt;=I3897,1,0))</f>
        <v/>
      </c>
      <c r="O3897" s="21">
        <f>IF(I3897&lt;=5000000,"Under $5M",IF(I3897&lt;=20000000,"$5M-20M",IF(I3897&lt;=50000000,"$20M-50M",IF(I3897&lt;=100000000,"$50M-100M","$100M+"))))</f>
        <v/>
      </c>
      <c r="P3897" s="21">
        <f>IF(E3897&lt;=90,"90 or less",IF(E3897&lt;=105,"91-105",IF(E3897&lt;=120,"106-120",IF(E3897&lt;=140,"121-140","Over 140"))))</f>
        <v/>
      </c>
      <c r="Q3897" s="28">
        <f>INT(C3897/10)*10</f>
        <v/>
      </c>
    </row>
    <row r="3898">
      <c r="A3898" s="21" t="n">
        <v>3976</v>
      </c>
      <c r="B3898" s="21" t="inlineStr">
        <is>
          <t>Looper</t>
        </is>
      </c>
      <c r="C3898" s="21" t="n">
        <v>2012</v>
      </c>
      <c r="D3898" s="21" t="inlineStr">
        <is>
          <t>USA</t>
        </is>
      </c>
      <c r="E3898" s="21" t="n">
        <v>119</v>
      </c>
      <c r="F3898" s="21" t="inlineStr">
        <is>
          <t>English</t>
        </is>
      </c>
      <c r="G3898" s="21" t="inlineStr">
        <is>
          <t>R</t>
        </is>
      </c>
      <c r="H3898" s="22" t="n">
        <v>66468315</v>
      </c>
      <c r="I3898" s="22" t="n">
        <v>30000000</v>
      </c>
      <c r="J3898" s="21">
        <f>IF(OR(H3898="",H3898=25529689.5),"Yes","No")</f>
        <v/>
      </c>
      <c r="K3898" s="21">
        <f>IF(AND(D3898="USA",C3898&gt;=1980,J3898="No"),"Yes","No")</f>
        <v/>
      </c>
      <c r="L3898" s="26">
        <f>IF(J3898="Yes","",H3898-I3898)</f>
        <v/>
      </c>
      <c r="M3898" s="27">
        <f>IF(OR(J3898="Yes",I3898=0),"",H3898/I3898)</f>
        <v/>
      </c>
      <c r="N3898" s="21">
        <f>IF(J3898="Yes","",IF(H3898&gt;=I3898,1,0))</f>
        <v/>
      </c>
      <c r="O3898" s="21">
        <f>IF(I3898&lt;=5000000,"Under $5M",IF(I3898&lt;=20000000,"$5M-20M",IF(I3898&lt;=50000000,"$20M-50M",IF(I3898&lt;=100000000,"$50M-100M","$100M+"))))</f>
        <v/>
      </c>
      <c r="P3898" s="21">
        <f>IF(E3898&lt;=90,"90 or less",IF(E3898&lt;=105,"91-105",IF(E3898&lt;=120,"106-120",IF(E3898&lt;=140,"121-140","Over 140"))))</f>
        <v/>
      </c>
      <c r="Q3898" s="28">
        <f>INT(C3898/10)*10</f>
        <v/>
      </c>
    </row>
    <row r="3899">
      <c r="A3899" s="21" t="n">
        <v>3977</v>
      </c>
      <c r="B3899" s="21" t="inlineStr">
        <is>
          <t>Madagascar 3: Europe's Most Wanted</t>
        </is>
      </c>
      <c r="C3899" s="21" t="n">
        <v>2012</v>
      </c>
      <c r="D3899" s="21" t="inlineStr">
        <is>
          <t>USA</t>
        </is>
      </c>
      <c r="E3899" s="21" t="n">
        <v>93</v>
      </c>
      <c r="F3899" s="21" t="inlineStr">
        <is>
          <t>English</t>
        </is>
      </c>
      <c r="G3899" s="21" t="inlineStr">
        <is>
          <t>PG</t>
        </is>
      </c>
      <c r="H3899" s="22" t="n">
        <v>216366733</v>
      </c>
      <c r="I3899" s="22" t="n">
        <v>145000000</v>
      </c>
      <c r="J3899" s="21">
        <f>IF(OR(H3899="",H3899=25529689.5),"Yes","No")</f>
        <v/>
      </c>
      <c r="K3899" s="21">
        <f>IF(AND(D3899="USA",C3899&gt;=1980,J3899="No"),"Yes","No")</f>
        <v/>
      </c>
      <c r="L3899" s="26">
        <f>IF(J3899="Yes","",H3899-I3899)</f>
        <v/>
      </c>
      <c r="M3899" s="27">
        <f>IF(OR(J3899="Yes",I3899=0),"",H3899/I3899)</f>
        <v/>
      </c>
      <c r="N3899" s="21">
        <f>IF(J3899="Yes","",IF(H3899&gt;=I3899,1,0))</f>
        <v/>
      </c>
      <c r="O3899" s="21">
        <f>IF(I3899&lt;=5000000,"Under $5M",IF(I3899&lt;=20000000,"$5M-20M",IF(I3899&lt;=50000000,"$20M-50M",IF(I3899&lt;=100000000,"$50M-100M","$100M+"))))</f>
        <v/>
      </c>
      <c r="P3899" s="21">
        <f>IF(E3899&lt;=90,"90 or less",IF(E3899&lt;=105,"91-105",IF(E3899&lt;=120,"106-120",IF(E3899&lt;=140,"121-140","Over 140"))))</f>
        <v/>
      </c>
      <c r="Q3899" s="28">
        <f>INT(C3899/10)*10</f>
        <v/>
      </c>
    </row>
    <row r="3900">
      <c r="A3900" s="21" t="n">
        <v>3978</v>
      </c>
      <c r="B3900" s="21" t="inlineStr">
        <is>
          <t>Madea's Witness Protection</t>
        </is>
      </c>
      <c r="C3900" s="21" t="n">
        <v>2012</v>
      </c>
      <c r="D3900" s="21" t="inlineStr">
        <is>
          <t>USA</t>
        </is>
      </c>
      <c r="E3900" s="21" t="n">
        <v>114</v>
      </c>
      <c r="F3900" s="21" t="inlineStr">
        <is>
          <t>English</t>
        </is>
      </c>
      <c r="G3900" s="21" t="inlineStr">
        <is>
          <t>PG-13</t>
        </is>
      </c>
      <c r="H3900" s="22" t="n">
        <v>65623128</v>
      </c>
      <c r="I3900" s="22" t="n">
        <v>20000000</v>
      </c>
      <c r="J3900" s="21">
        <f>IF(OR(H3900="",H3900=25529689.5),"Yes","No")</f>
        <v/>
      </c>
      <c r="K3900" s="21">
        <f>IF(AND(D3900="USA",C3900&gt;=1980,J3900="No"),"Yes","No")</f>
        <v/>
      </c>
      <c r="L3900" s="26">
        <f>IF(J3900="Yes","",H3900-I3900)</f>
        <v/>
      </c>
      <c r="M3900" s="27">
        <f>IF(OR(J3900="Yes",I3900=0),"",H3900/I3900)</f>
        <v/>
      </c>
      <c r="N3900" s="21">
        <f>IF(J3900="Yes","",IF(H3900&gt;=I3900,1,0))</f>
        <v/>
      </c>
      <c r="O3900" s="21">
        <f>IF(I3900&lt;=5000000,"Under $5M",IF(I3900&lt;=20000000,"$5M-20M",IF(I3900&lt;=50000000,"$20M-50M",IF(I3900&lt;=100000000,"$50M-100M","$100M+"))))</f>
        <v/>
      </c>
      <c r="P3900" s="21">
        <f>IF(E3900&lt;=90,"90 or less",IF(E3900&lt;=105,"91-105",IF(E3900&lt;=120,"106-120",IF(E3900&lt;=140,"121-140","Over 140"))))</f>
        <v/>
      </c>
      <c r="Q3900" s="28">
        <f>INT(C3900/10)*10</f>
        <v/>
      </c>
    </row>
    <row r="3901">
      <c r="A3901" s="21" t="n">
        <v>3979</v>
      </c>
      <c r="B3901" s="21" t="inlineStr">
        <is>
          <t>Magic Mike</t>
        </is>
      </c>
      <c r="C3901" s="21" t="n">
        <v>2012</v>
      </c>
      <c r="D3901" s="21" t="inlineStr">
        <is>
          <t>USA</t>
        </is>
      </c>
      <c r="E3901" s="21" t="n">
        <v>110</v>
      </c>
      <c r="F3901" s="21" t="inlineStr">
        <is>
          <t>English</t>
        </is>
      </c>
      <c r="G3901" s="21" t="inlineStr">
        <is>
          <t>R</t>
        </is>
      </c>
      <c r="H3901" s="22" t="n">
        <v>113709992</v>
      </c>
      <c r="I3901" s="22" t="n">
        <v>7000000</v>
      </c>
      <c r="J3901" s="21">
        <f>IF(OR(H3901="",H3901=25529689.5),"Yes","No")</f>
        <v/>
      </c>
      <c r="K3901" s="21">
        <f>IF(AND(D3901="USA",C3901&gt;=1980,J3901="No"),"Yes","No")</f>
        <v/>
      </c>
      <c r="L3901" s="26">
        <f>IF(J3901="Yes","",H3901-I3901)</f>
        <v/>
      </c>
      <c r="M3901" s="27">
        <f>IF(OR(J3901="Yes",I3901=0),"",H3901/I3901)</f>
        <v/>
      </c>
      <c r="N3901" s="21">
        <f>IF(J3901="Yes","",IF(H3901&gt;=I3901,1,0))</f>
        <v/>
      </c>
      <c r="O3901" s="21">
        <f>IF(I3901&lt;=5000000,"Under $5M",IF(I3901&lt;=20000000,"$5M-20M",IF(I3901&lt;=50000000,"$20M-50M",IF(I3901&lt;=100000000,"$50M-100M","$100M+"))))</f>
        <v/>
      </c>
      <c r="P3901" s="21">
        <f>IF(E3901&lt;=90,"90 or less",IF(E3901&lt;=105,"91-105",IF(E3901&lt;=120,"106-120",IF(E3901&lt;=140,"121-140","Over 140"))))</f>
        <v/>
      </c>
      <c r="Q3901" s="28">
        <f>INT(C3901/10)*10</f>
        <v/>
      </c>
    </row>
    <row r="3902">
      <c r="A3902" s="21" t="n">
        <v>3980</v>
      </c>
      <c r="B3902" s="21" t="inlineStr">
        <is>
          <t>Man on a Ledge</t>
        </is>
      </c>
      <c r="C3902" s="21" t="n">
        <v>2012</v>
      </c>
      <c r="D3902" s="21" t="inlineStr">
        <is>
          <t>USA</t>
        </is>
      </c>
      <c r="E3902" s="21" t="n">
        <v>102</v>
      </c>
      <c r="F3902" s="21" t="inlineStr">
        <is>
          <t>English</t>
        </is>
      </c>
      <c r="G3902" s="21" t="inlineStr">
        <is>
          <t>PG-13</t>
        </is>
      </c>
      <c r="H3902" s="22" t="n">
        <v>18600911</v>
      </c>
      <c r="I3902" s="22" t="n">
        <v>42000000</v>
      </c>
      <c r="J3902" s="21">
        <f>IF(OR(H3902="",H3902=25529689.5),"Yes","No")</f>
        <v/>
      </c>
      <c r="K3902" s="21">
        <f>IF(AND(D3902="USA",C3902&gt;=1980,J3902="No"),"Yes","No")</f>
        <v/>
      </c>
      <c r="L3902" s="26">
        <f>IF(J3902="Yes","",H3902-I3902)</f>
        <v/>
      </c>
      <c r="M3902" s="27">
        <f>IF(OR(J3902="Yes",I3902=0),"",H3902/I3902)</f>
        <v/>
      </c>
      <c r="N3902" s="21">
        <f>IF(J3902="Yes","",IF(H3902&gt;=I3902,1,0))</f>
        <v/>
      </c>
      <c r="O3902" s="21">
        <f>IF(I3902&lt;=5000000,"Under $5M",IF(I3902&lt;=20000000,"$5M-20M",IF(I3902&lt;=50000000,"$20M-50M",IF(I3902&lt;=100000000,"$50M-100M","$100M+"))))</f>
        <v/>
      </c>
      <c r="P3902" s="21">
        <f>IF(E3902&lt;=90,"90 or less",IF(E3902&lt;=105,"91-105",IF(E3902&lt;=120,"106-120",IF(E3902&lt;=140,"121-140","Over 140"))))</f>
        <v/>
      </c>
      <c r="Q3902" s="28">
        <f>INT(C3902/10)*10</f>
        <v/>
      </c>
    </row>
    <row r="3903">
      <c r="A3903" s="21" t="n">
        <v>3981</v>
      </c>
      <c r="B3903" s="21" t="inlineStr">
        <is>
          <t>Maniac</t>
        </is>
      </c>
      <c r="C3903" s="21" t="n">
        <v>2012</v>
      </c>
      <c r="D3903" s="21" t="inlineStr">
        <is>
          <t>France</t>
        </is>
      </c>
      <c r="E3903" s="21" t="n">
        <v>89</v>
      </c>
      <c r="F3903" s="21" t="inlineStr">
        <is>
          <t>English</t>
        </is>
      </c>
      <c r="G3903" s="21" t="inlineStr">
        <is>
          <t>Not Rated</t>
        </is>
      </c>
      <c r="H3903" s="22" t="n">
        <v>12843</v>
      </c>
      <c r="I3903" s="22" t="n">
        <v>6000000</v>
      </c>
      <c r="J3903" s="21">
        <f>IF(OR(H3903="",H3903=25529689.5),"Yes","No")</f>
        <v/>
      </c>
      <c r="K3903" s="21">
        <f>IF(AND(D3903="USA",C3903&gt;=1980,J3903="No"),"Yes","No")</f>
        <v/>
      </c>
      <c r="L3903" s="26">
        <f>IF(J3903="Yes","",H3903-I3903)</f>
        <v/>
      </c>
      <c r="M3903" s="27">
        <f>IF(OR(J3903="Yes",I3903=0),"",H3903/I3903)</f>
        <v/>
      </c>
      <c r="N3903" s="21">
        <f>IF(J3903="Yes","",IF(H3903&gt;=I3903,1,0))</f>
        <v/>
      </c>
      <c r="O3903" s="21">
        <f>IF(I3903&lt;=5000000,"Under $5M",IF(I3903&lt;=20000000,"$5M-20M",IF(I3903&lt;=50000000,"$20M-50M",IF(I3903&lt;=100000000,"$50M-100M","$100M+"))))</f>
        <v/>
      </c>
      <c r="P3903" s="21">
        <f>IF(E3903&lt;=90,"90 or less",IF(E3903&lt;=105,"91-105",IF(E3903&lt;=120,"106-120",IF(E3903&lt;=140,"121-140","Over 140"))))</f>
        <v/>
      </c>
      <c r="Q3903" s="28">
        <f>INT(C3903/10)*10</f>
        <v/>
      </c>
    </row>
    <row r="3904">
      <c r="A3904" s="21" t="n">
        <v>3982</v>
      </c>
      <c r="B3904" s="21" t="inlineStr">
        <is>
          <t>Men in Black 3</t>
        </is>
      </c>
      <c r="C3904" s="21" t="n">
        <v>2012</v>
      </c>
      <c r="D3904" s="21" t="inlineStr">
        <is>
          <t>USA</t>
        </is>
      </c>
      <c r="E3904" s="21" t="n">
        <v>106</v>
      </c>
      <c r="F3904" s="21" t="inlineStr">
        <is>
          <t>English</t>
        </is>
      </c>
      <c r="G3904" s="21" t="inlineStr">
        <is>
          <t>PG-13</t>
        </is>
      </c>
      <c r="H3904" s="22" t="n">
        <v>179020854</v>
      </c>
      <c r="I3904" s="22" t="n">
        <v>225000000</v>
      </c>
      <c r="J3904" s="21">
        <f>IF(OR(H3904="",H3904=25529689.5),"Yes","No")</f>
        <v/>
      </c>
      <c r="K3904" s="21">
        <f>IF(AND(D3904="USA",C3904&gt;=1980,J3904="No"),"Yes","No")</f>
        <v/>
      </c>
      <c r="L3904" s="26">
        <f>IF(J3904="Yes","",H3904-I3904)</f>
        <v/>
      </c>
      <c r="M3904" s="27">
        <f>IF(OR(J3904="Yes",I3904=0),"",H3904/I3904)</f>
        <v/>
      </c>
      <c r="N3904" s="21">
        <f>IF(J3904="Yes","",IF(H3904&gt;=I3904,1,0))</f>
        <v/>
      </c>
      <c r="O3904" s="21">
        <f>IF(I3904&lt;=5000000,"Under $5M",IF(I3904&lt;=20000000,"$5M-20M",IF(I3904&lt;=50000000,"$20M-50M",IF(I3904&lt;=100000000,"$50M-100M","$100M+"))))</f>
        <v/>
      </c>
      <c r="P3904" s="21">
        <f>IF(E3904&lt;=90,"90 or less",IF(E3904&lt;=105,"91-105",IF(E3904&lt;=120,"106-120",IF(E3904&lt;=140,"121-140","Over 140"))))</f>
        <v/>
      </c>
      <c r="Q3904" s="28">
        <f>INT(C3904/10)*10</f>
        <v/>
      </c>
    </row>
    <row r="3905">
      <c r="A3905" s="21" t="n">
        <v>3983</v>
      </c>
      <c r="B3905" s="21" t="inlineStr">
        <is>
          <t>Middle of Nowhere</t>
        </is>
      </c>
      <c r="C3905" s="21" t="n">
        <v>2012</v>
      </c>
      <c r="D3905" s="21" t="inlineStr">
        <is>
          <t>USA</t>
        </is>
      </c>
      <c r="E3905" s="21" t="n">
        <v>97</v>
      </c>
      <c r="F3905" s="21" t="inlineStr">
        <is>
          <t>English</t>
        </is>
      </c>
      <c r="G3905" s="21" t="inlineStr">
        <is>
          <t>R</t>
        </is>
      </c>
      <c r="H3905" s="22" t="n">
        <v>78030</v>
      </c>
      <c r="I3905" s="22" t="n">
        <v>200000</v>
      </c>
      <c r="J3905" s="21">
        <f>IF(OR(H3905="",H3905=25529689.5),"Yes","No")</f>
        <v/>
      </c>
      <c r="K3905" s="21">
        <f>IF(AND(D3905="USA",C3905&gt;=1980,J3905="No"),"Yes","No")</f>
        <v/>
      </c>
      <c r="L3905" s="26">
        <f>IF(J3905="Yes","",H3905-I3905)</f>
        <v/>
      </c>
      <c r="M3905" s="27">
        <f>IF(OR(J3905="Yes",I3905=0),"",H3905/I3905)</f>
        <v/>
      </c>
      <c r="N3905" s="21">
        <f>IF(J3905="Yes","",IF(H3905&gt;=I3905,1,0))</f>
        <v/>
      </c>
      <c r="O3905" s="21">
        <f>IF(I3905&lt;=5000000,"Under $5M",IF(I3905&lt;=20000000,"$5M-20M",IF(I3905&lt;=50000000,"$20M-50M",IF(I3905&lt;=100000000,"$50M-100M","$100M+"))))</f>
        <v/>
      </c>
      <c r="P3905" s="21">
        <f>IF(E3905&lt;=90,"90 or less",IF(E3905&lt;=105,"91-105",IF(E3905&lt;=120,"106-120",IF(E3905&lt;=140,"121-140","Over 140"))))</f>
        <v/>
      </c>
      <c r="Q3905" s="28">
        <f>INT(C3905/10)*10</f>
        <v/>
      </c>
    </row>
    <row r="3906">
      <c r="A3906" s="21" t="n">
        <v>3984</v>
      </c>
      <c r="B3906" s="21" t="inlineStr">
        <is>
          <t>Mirror Mirror</t>
        </is>
      </c>
      <c r="C3906" s="21" t="n">
        <v>2012</v>
      </c>
      <c r="D3906" s="21" t="inlineStr">
        <is>
          <t>USA</t>
        </is>
      </c>
      <c r="E3906" s="21" t="n">
        <v>106</v>
      </c>
      <c r="F3906" s="21" t="inlineStr">
        <is>
          <t>English</t>
        </is>
      </c>
      <c r="G3906" s="21" t="inlineStr">
        <is>
          <t>PG</t>
        </is>
      </c>
      <c r="H3906" s="22" t="n">
        <v>64933670</v>
      </c>
      <c r="I3906" s="22" t="n">
        <v>85000000</v>
      </c>
      <c r="J3906" s="21">
        <f>IF(OR(H3906="",H3906=25529689.5),"Yes","No")</f>
        <v/>
      </c>
      <c r="K3906" s="21">
        <f>IF(AND(D3906="USA",C3906&gt;=1980,J3906="No"),"Yes","No")</f>
        <v/>
      </c>
      <c r="L3906" s="26">
        <f>IF(J3906="Yes","",H3906-I3906)</f>
        <v/>
      </c>
      <c r="M3906" s="27">
        <f>IF(OR(J3906="Yes",I3906=0),"",H3906/I3906)</f>
        <v/>
      </c>
      <c r="N3906" s="21">
        <f>IF(J3906="Yes","",IF(H3906&gt;=I3906,1,0))</f>
        <v/>
      </c>
      <c r="O3906" s="21">
        <f>IF(I3906&lt;=5000000,"Under $5M",IF(I3906&lt;=20000000,"$5M-20M",IF(I3906&lt;=50000000,"$20M-50M",IF(I3906&lt;=100000000,"$50M-100M","$100M+"))))</f>
        <v/>
      </c>
      <c r="P3906" s="21">
        <f>IF(E3906&lt;=90,"90 or less",IF(E3906&lt;=105,"91-105",IF(E3906&lt;=120,"106-120",IF(E3906&lt;=140,"121-140","Over 140"))))</f>
        <v/>
      </c>
      <c r="Q3906" s="28">
        <f>INT(C3906/10)*10</f>
        <v/>
      </c>
    </row>
    <row r="3907">
      <c r="A3907" s="21" t="n">
        <v>3985</v>
      </c>
      <c r="B3907" s="21" t="inlineStr">
        <is>
          <t>Moonrise Kingdom</t>
        </is>
      </c>
      <c r="C3907" s="21" t="n">
        <v>2012</v>
      </c>
      <c r="D3907" s="21" t="inlineStr">
        <is>
          <t>USA</t>
        </is>
      </c>
      <c r="E3907" s="21" t="n">
        <v>94</v>
      </c>
      <c r="F3907" s="21" t="inlineStr">
        <is>
          <t>English</t>
        </is>
      </c>
      <c r="G3907" s="21" t="inlineStr">
        <is>
          <t>PG-13</t>
        </is>
      </c>
      <c r="H3907" s="22" t="n">
        <v>45507053</v>
      </c>
      <c r="I3907" s="22" t="n">
        <v>16000000</v>
      </c>
      <c r="J3907" s="21">
        <f>IF(OR(H3907="",H3907=25529689.5),"Yes","No")</f>
        <v/>
      </c>
      <c r="K3907" s="21">
        <f>IF(AND(D3907="USA",C3907&gt;=1980,J3907="No"),"Yes","No")</f>
        <v/>
      </c>
      <c r="L3907" s="26">
        <f>IF(J3907="Yes","",H3907-I3907)</f>
        <v/>
      </c>
      <c r="M3907" s="27">
        <f>IF(OR(J3907="Yes",I3907=0),"",H3907/I3907)</f>
        <v/>
      </c>
      <c r="N3907" s="21">
        <f>IF(J3907="Yes","",IF(H3907&gt;=I3907,1,0))</f>
        <v/>
      </c>
      <c r="O3907" s="21">
        <f>IF(I3907&lt;=5000000,"Under $5M",IF(I3907&lt;=20000000,"$5M-20M",IF(I3907&lt;=50000000,"$20M-50M",IF(I3907&lt;=100000000,"$50M-100M","$100M+"))))</f>
        <v/>
      </c>
      <c r="P3907" s="21">
        <f>IF(E3907&lt;=90,"90 or less",IF(E3907&lt;=105,"91-105",IF(E3907&lt;=120,"106-120",IF(E3907&lt;=140,"121-140","Over 140"))))</f>
        <v/>
      </c>
      <c r="Q3907" s="28">
        <f>INT(C3907/10)*10</f>
        <v/>
      </c>
    </row>
    <row r="3908">
      <c r="A3908" s="21" t="n">
        <v>3986</v>
      </c>
      <c r="B3908" s="21" t="inlineStr">
        <is>
          <t>Mud</t>
        </is>
      </c>
      <c r="C3908" s="21" t="n">
        <v>2012</v>
      </c>
      <c r="D3908" s="21" t="inlineStr">
        <is>
          <t>USA</t>
        </is>
      </c>
      <c r="E3908" s="21" t="n">
        <v>130</v>
      </c>
      <c r="F3908" s="21" t="inlineStr">
        <is>
          <t>English</t>
        </is>
      </c>
      <c r="G3908" s="21" t="inlineStr">
        <is>
          <t>PG-13</t>
        </is>
      </c>
      <c r="H3908" s="22" t="n">
        <v>21589307</v>
      </c>
      <c r="I3908" s="22" t="n">
        <v>10000000</v>
      </c>
      <c r="J3908" s="21">
        <f>IF(OR(H3908="",H3908=25529689.5),"Yes","No")</f>
        <v/>
      </c>
      <c r="K3908" s="21">
        <f>IF(AND(D3908="USA",C3908&gt;=1980,J3908="No"),"Yes","No")</f>
        <v/>
      </c>
      <c r="L3908" s="26">
        <f>IF(J3908="Yes","",H3908-I3908)</f>
        <v/>
      </c>
      <c r="M3908" s="27">
        <f>IF(OR(J3908="Yes",I3908=0),"",H3908/I3908)</f>
        <v/>
      </c>
      <c r="N3908" s="21">
        <f>IF(J3908="Yes","",IF(H3908&gt;=I3908,1,0))</f>
        <v/>
      </c>
      <c r="O3908" s="21">
        <f>IF(I3908&lt;=5000000,"Under $5M",IF(I3908&lt;=20000000,"$5M-20M",IF(I3908&lt;=50000000,"$20M-50M",IF(I3908&lt;=100000000,"$50M-100M","$100M+"))))</f>
        <v/>
      </c>
      <c r="P3908" s="21">
        <f>IF(E3908&lt;=90,"90 or less",IF(E3908&lt;=105,"91-105",IF(E3908&lt;=120,"106-120",IF(E3908&lt;=140,"121-140","Over 140"))))</f>
        <v/>
      </c>
      <c r="Q3908" s="28">
        <f>INT(C3908/10)*10</f>
        <v/>
      </c>
    </row>
    <row r="3909">
      <c r="A3909" s="21" t="n">
        <v>3987</v>
      </c>
      <c r="B3909" s="21" t="inlineStr">
        <is>
          <t>No Vacancy</t>
        </is>
      </c>
      <c r="C3909" s="21" t="n">
        <v>2012</v>
      </c>
      <c r="D3909" s="21" t="inlineStr">
        <is>
          <t>USA</t>
        </is>
      </c>
      <c r="E3909" s="21" t="n">
        <v>81</v>
      </c>
      <c r="F3909" s="21" t="inlineStr">
        <is>
          <t>English</t>
        </is>
      </c>
      <c r="G3909" s="21" t="inlineStr">
        <is>
          <t>R</t>
        </is>
      </c>
      <c r="H3909" s="22" t="n">
        <v>25529689.5</v>
      </c>
      <c r="I3909" s="22" t="n">
        <v>4000000</v>
      </c>
      <c r="J3909" s="21">
        <f>IF(OR(H3909="",H3909=25529689.5),"Yes","No")</f>
        <v/>
      </c>
      <c r="K3909" s="21">
        <f>IF(AND(D3909="USA",C3909&gt;=1980,J3909="No"),"Yes","No")</f>
        <v/>
      </c>
      <c r="L3909" s="26">
        <f>IF(J3909="Yes","",H3909-I3909)</f>
        <v/>
      </c>
      <c r="M3909" s="27">
        <f>IF(OR(J3909="Yes",I3909=0),"",H3909/I3909)</f>
        <v/>
      </c>
      <c r="N3909" s="21">
        <f>IF(J3909="Yes","",IF(H3909&gt;=I3909,1,0))</f>
        <v/>
      </c>
      <c r="O3909" s="21">
        <f>IF(I3909&lt;=5000000,"Under $5M",IF(I3909&lt;=20000000,"$5M-20M",IF(I3909&lt;=50000000,"$20M-50M",IF(I3909&lt;=100000000,"$50M-100M","$100M+"))))</f>
        <v/>
      </c>
      <c r="P3909" s="21">
        <f>IF(E3909&lt;=90,"90 or less",IF(E3909&lt;=105,"91-105",IF(E3909&lt;=120,"106-120",IF(E3909&lt;=140,"121-140","Over 140"))))</f>
        <v/>
      </c>
      <c r="Q3909" s="28">
        <f>INT(C3909/10)*10</f>
        <v/>
      </c>
    </row>
    <row r="3910">
      <c r="A3910" s="21" t="n">
        <v>3988</v>
      </c>
      <c r="B3910" s="21" t="inlineStr">
        <is>
          <t>Now Is Good</t>
        </is>
      </c>
      <c r="C3910" s="21" t="n">
        <v>2012</v>
      </c>
      <c r="D3910" s="21" t="inlineStr">
        <is>
          <t>UK</t>
        </is>
      </c>
      <c r="E3910" s="21" t="n">
        <v>103</v>
      </c>
      <c r="F3910" s="21" t="inlineStr">
        <is>
          <t>English</t>
        </is>
      </c>
      <c r="G3910" s="21" t="inlineStr">
        <is>
          <t>PG-13</t>
        </is>
      </c>
      <c r="H3910" s="22" t="n">
        <v>25529689.5</v>
      </c>
      <c r="I3910" s="22" t="n">
        <v>20000000</v>
      </c>
      <c r="J3910" s="21">
        <f>IF(OR(H3910="",H3910=25529689.5),"Yes","No")</f>
        <v/>
      </c>
      <c r="K3910" s="21">
        <f>IF(AND(D3910="USA",C3910&gt;=1980,J3910="No"),"Yes","No")</f>
        <v/>
      </c>
      <c r="L3910" s="26">
        <f>IF(J3910="Yes","",H3910-I3910)</f>
        <v/>
      </c>
      <c r="M3910" s="27">
        <f>IF(OR(J3910="Yes",I3910=0),"",H3910/I3910)</f>
        <v/>
      </c>
      <c r="N3910" s="21">
        <f>IF(J3910="Yes","",IF(H3910&gt;=I3910,1,0))</f>
        <v/>
      </c>
      <c r="O3910" s="21">
        <f>IF(I3910&lt;=5000000,"Under $5M",IF(I3910&lt;=20000000,"$5M-20M",IF(I3910&lt;=50000000,"$20M-50M",IF(I3910&lt;=100000000,"$50M-100M","$100M+"))))</f>
        <v/>
      </c>
      <c r="P3910" s="21">
        <f>IF(E3910&lt;=90,"90 or less",IF(E3910&lt;=105,"91-105",IF(E3910&lt;=120,"106-120",IF(E3910&lt;=140,"121-140","Over 140"))))</f>
        <v/>
      </c>
      <c r="Q3910" s="28">
        <f>INT(C3910/10)*10</f>
        <v/>
      </c>
    </row>
    <row r="3911">
      <c r="A3911" s="21" t="n">
        <v>3989</v>
      </c>
      <c r="B3911" s="21" t="inlineStr">
        <is>
          <t>On the Road</t>
        </is>
      </c>
      <c r="C3911" s="21" t="n">
        <v>2012</v>
      </c>
      <c r="D3911" s="21" t="inlineStr">
        <is>
          <t>France</t>
        </is>
      </c>
      <c r="E3911" s="21" t="n">
        <v>137</v>
      </c>
      <c r="F3911" s="21" t="inlineStr">
        <is>
          <t>English</t>
        </is>
      </c>
      <c r="G3911" s="21" t="inlineStr">
        <is>
          <t>R</t>
        </is>
      </c>
      <c r="H3911" s="22" t="n">
        <v>717753</v>
      </c>
      <c r="I3911" s="22" t="n">
        <v>25000000</v>
      </c>
      <c r="J3911" s="21">
        <f>IF(OR(H3911="",H3911=25529689.5),"Yes","No")</f>
        <v/>
      </c>
      <c r="K3911" s="21">
        <f>IF(AND(D3911="USA",C3911&gt;=1980,J3911="No"),"Yes","No")</f>
        <v/>
      </c>
      <c r="L3911" s="26">
        <f>IF(J3911="Yes","",H3911-I3911)</f>
        <v/>
      </c>
      <c r="M3911" s="27">
        <f>IF(OR(J3911="Yes",I3911=0),"",H3911/I3911)</f>
        <v/>
      </c>
      <c r="N3911" s="21">
        <f>IF(J3911="Yes","",IF(H3911&gt;=I3911,1,0))</f>
        <v/>
      </c>
      <c r="O3911" s="21">
        <f>IF(I3911&lt;=5000000,"Under $5M",IF(I3911&lt;=20000000,"$5M-20M",IF(I3911&lt;=50000000,"$20M-50M",IF(I3911&lt;=100000000,"$50M-100M","$100M+"))))</f>
        <v/>
      </c>
      <c r="P3911" s="21">
        <f>IF(E3911&lt;=90,"90 or less",IF(E3911&lt;=105,"91-105",IF(E3911&lt;=120,"106-120",IF(E3911&lt;=140,"121-140","Over 140"))))</f>
        <v/>
      </c>
      <c r="Q3911" s="28">
        <f>INT(C3911/10)*10</f>
        <v/>
      </c>
    </row>
    <row r="3912">
      <c r="A3912" s="21" t="n">
        <v>3990</v>
      </c>
      <c r="B3912" s="21" t="inlineStr">
        <is>
          <t>One for the Money</t>
        </is>
      </c>
      <c r="C3912" s="21" t="n">
        <v>2012</v>
      </c>
      <c r="D3912" s="21" t="inlineStr">
        <is>
          <t>USA</t>
        </is>
      </c>
      <c r="E3912" s="21" t="n">
        <v>91</v>
      </c>
      <c r="F3912" s="21" t="inlineStr">
        <is>
          <t>English</t>
        </is>
      </c>
      <c r="G3912" s="21" t="inlineStr">
        <is>
          <t>PG-13</t>
        </is>
      </c>
      <c r="H3912" s="22" t="n">
        <v>26404753</v>
      </c>
      <c r="I3912" s="22" t="n">
        <v>40000000</v>
      </c>
      <c r="J3912" s="21">
        <f>IF(OR(H3912="",H3912=25529689.5),"Yes","No")</f>
        <v/>
      </c>
      <c r="K3912" s="21">
        <f>IF(AND(D3912="USA",C3912&gt;=1980,J3912="No"),"Yes","No")</f>
        <v/>
      </c>
      <c r="L3912" s="26">
        <f>IF(J3912="Yes","",H3912-I3912)</f>
        <v/>
      </c>
      <c r="M3912" s="27">
        <f>IF(OR(J3912="Yes",I3912=0),"",H3912/I3912)</f>
        <v/>
      </c>
      <c r="N3912" s="21">
        <f>IF(J3912="Yes","",IF(H3912&gt;=I3912,1,0))</f>
        <v/>
      </c>
      <c r="O3912" s="21">
        <f>IF(I3912&lt;=5000000,"Under $5M",IF(I3912&lt;=20000000,"$5M-20M",IF(I3912&lt;=50000000,"$20M-50M",IF(I3912&lt;=100000000,"$50M-100M","$100M+"))))</f>
        <v/>
      </c>
      <c r="P3912" s="21">
        <f>IF(E3912&lt;=90,"90 or less",IF(E3912&lt;=105,"91-105",IF(E3912&lt;=120,"106-120",IF(E3912&lt;=140,"121-140","Over 140"))))</f>
        <v/>
      </c>
      <c r="Q3912" s="28">
        <f>INT(C3912/10)*10</f>
        <v/>
      </c>
    </row>
    <row r="3913">
      <c r="A3913" s="21" t="n">
        <v>3991</v>
      </c>
      <c r="B3913" s="21" t="inlineStr">
        <is>
          <t>Outside Bet</t>
        </is>
      </c>
      <c r="C3913" s="21" t="n">
        <v>2012</v>
      </c>
      <c r="D3913" s="21" t="inlineStr">
        <is>
          <t>UK</t>
        </is>
      </c>
      <c r="E3913" s="21" t="n">
        <v>101</v>
      </c>
      <c r="F3913" s="21" t="inlineStr">
        <is>
          <t>English</t>
        </is>
      </c>
      <c r="G3913" s="21" t="n"/>
      <c r="H3913" s="22" t="n">
        <v>25529689.5</v>
      </c>
      <c r="I3913" s="22" t="n">
        <v>7500000</v>
      </c>
      <c r="J3913" s="21">
        <f>IF(OR(H3913="",H3913=25529689.5),"Yes","No")</f>
        <v/>
      </c>
      <c r="K3913" s="21">
        <f>IF(AND(D3913="USA",C3913&gt;=1980,J3913="No"),"Yes","No")</f>
        <v/>
      </c>
      <c r="L3913" s="26">
        <f>IF(J3913="Yes","",H3913-I3913)</f>
        <v/>
      </c>
      <c r="M3913" s="27">
        <f>IF(OR(J3913="Yes",I3913=0),"",H3913/I3913)</f>
        <v/>
      </c>
      <c r="N3913" s="21">
        <f>IF(J3913="Yes","",IF(H3913&gt;=I3913,1,0))</f>
        <v/>
      </c>
      <c r="O3913" s="21">
        <f>IF(I3913&lt;=5000000,"Under $5M",IF(I3913&lt;=20000000,"$5M-20M",IF(I3913&lt;=50000000,"$20M-50M",IF(I3913&lt;=100000000,"$50M-100M","$100M+"))))</f>
        <v/>
      </c>
      <c r="P3913" s="21">
        <f>IF(E3913&lt;=90,"90 or less",IF(E3913&lt;=105,"91-105",IF(E3913&lt;=120,"106-120",IF(E3913&lt;=140,"121-140","Over 140"))))</f>
        <v/>
      </c>
      <c r="Q3913" s="28">
        <f>INT(C3913/10)*10</f>
        <v/>
      </c>
    </row>
    <row r="3914">
      <c r="A3914" s="21" t="n">
        <v>3992</v>
      </c>
      <c r="B3914" s="21" t="inlineStr">
        <is>
          <t>Paranormal Activity 4</t>
        </is>
      </c>
      <c r="C3914" s="21" t="n">
        <v>2012</v>
      </c>
      <c r="D3914" s="21" t="inlineStr">
        <is>
          <t>USA</t>
        </is>
      </c>
      <c r="E3914" s="21" t="n">
        <v>96</v>
      </c>
      <c r="F3914" s="21" t="inlineStr">
        <is>
          <t>English</t>
        </is>
      </c>
      <c r="G3914" s="21" t="inlineStr">
        <is>
          <t>R</t>
        </is>
      </c>
      <c r="H3914" s="22" t="n">
        <v>53884821</v>
      </c>
      <c r="I3914" s="22" t="n">
        <v>5000000</v>
      </c>
      <c r="J3914" s="21">
        <f>IF(OR(H3914="",H3914=25529689.5),"Yes","No")</f>
        <v/>
      </c>
      <c r="K3914" s="21">
        <f>IF(AND(D3914="USA",C3914&gt;=1980,J3914="No"),"Yes","No")</f>
        <v/>
      </c>
      <c r="L3914" s="26">
        <f>IF(J3914="Yes","",H3914-I3914)</f>
        <v/>
      </c>
      <c r="M3914" s="27">
        <f>IF(OR(J3914="Yes",I3914=0),"",H3914/I3914)</f>
        <v/>
      </c>
      <c r="N3914" s="21">
        <f>IF(J3914="Yes","",IF(H3914&gt;=I3914,1,0))</f>
        <v/>
      </c>
      <c r="O3914" s="21">
        <f>IF(I3914&lt;=5000000,"Under $5M",IF(I3914&lt;=20000000,"$5M-20M",IF(I3914&lt;=50000000,"$20M-50M",IF(I3914&lt;=100000000,"$50M-100M","$100M+"))))</f>
        <v/>
      </c>
      <c r="P3914" s="21">
        <f>IF(E3914&lt;=90,"90 or less",IF(E3914&lt;=105,"91-105",IF(E3914&lt;=120,"106-120",IF(E3914&lt;=140,"121-140","Over 140"))))</f>
        <v/>
      </c>
      <c r="Q3914" s="28">
        <f>INT(C3914/10)*10</f>
        <v/>
      </c>
    </row>
    <row r="3915">
      <c r="A3915" s="21" t="n">
        <v>3993</v>
      </c>
      <c r="B3915" s="21" t="inlineStr">
        <is>
          <t>ParaNorman</t>
        </is>
      </c>
      <c r="C3915" s="21" t="n">
        <v>2012</v>
      </c>
      <c r="D3915" s="21" t="inlineStr">
        <is>
          <t>USA</t>
        </is>
      </c>
      <c r="E3915" s="21" t="n">
        <v>92</v>
      </c>
      <c r="F3915" s="21" t="inlineStr">
        <is>
          <t>English</t>
        </is>
      </c>
      <c r="G3915" s="21" t="inlineStr">
        <is>
          <t>PG</t>
        </is>
      </c>
      <c r="H3915" s="22" t="n">
        <v>55994557</v>
      </c>
      <c r="I3915" s="22" t="n">
        <v>60000000</v>
      </c>
      <c r="J3915" s="21">
        <f>IF(OR(H3915="",H3915=25529689.5),"Yes","No")</f>
        <v/>
      </c>
      <c r="K3915" s="21">
        <f>IF(AND(D3915="USA",C3915&gt;=1980,J3915="No"),"Yes","No")</f>
        <v/>
      </c>
      <c r="L3915" s="26">
        <f>IF(J3915="Yes","",H3915-I3915)</f>
        <v/>
      </c>
      <c r="M3915" s="27">
        <f>IF(OR(J3915="Yes",I3915=0),"",H3915/I3915)</f>
        <v/>
      </c>
      <c r="N3915" s="21">
        <f>IF(J3915="Yes","",IF(H3915&gt;=I3915,1,0))</f>
        <v/>
      </c>
      <c r="O3915" s="21">
        <f>IF(I3915&lt;=5000000,"Under $5M",IF(I3915&lt;=20000000,"$5M-20M",IF(I3915&lt;=50000000,"$20M-50M",IF(I3915&lt;=100000000,"$50M-100M","$100M+"))))</f>
        <v/>
      </c>
      <c r="P3915" s="21">
        <f>IF(E3915&lt;=90,"90 or less",IF(E3915&lt;=105,"91-105",IF(E3915&lt;=120,"106-120",IF(E3915&lt;=140,"121-140","Over 140"))))</f>
        <v/>
      </c>
      <c r="Q3915" s="28">
        <f>INT(C3915/10)*10</f>
        <v/>
      </c>
    </row>
    <row r="3916">
      <c r="A3916" s="21" t="n">
        <v>3994</v>
      </c>
      <c r="B3916" s="21" t="inlineStr">
        <is>
          <t>Parental Guidance</t>
        </is>
      </c>
      <c r="C3916" s="21" t="n">
        <v>2012</v>
      </c>
      <c r="D3916" s="21" t="inlineStr">
        <is>
          <t>USA</t>
        </is>
      </c>
      <c r="E3916" s="21" t="n">
        <v>105</v>
      </c>
      <c r="F3916" s="21" t="inlineStr">
        <is>
          <t>English</t>
        </is>
      </c>
      <c r="G3916" s="21" t="inlineStr">
        <is>
          <t>PG</t>
        </is>
      </c>
      <c r="H3916" s="22" t="n">
        <v>77264926</v>
      </c>
      <c r="I3916" s="22" t="n">
        <v>25000000</v>
      </c>
      <c r="J3916" s="21">
        <f>IF(OR(H3916="",H3916=25529689.5),"Yes","No")</f>
        <v/>
      </c>
      <c r="K3916" s="21">
        <f>IF(AND(D3916="USA",C3916&gt;=1980,J3916="No"),"Yes","No")</f>
        <v/>
      </c>
      <c r="L3916" s="26">
        <f>IF(J3916="Yes","",H3916-I3916)</f>
        <v/>
      </c>
      <c r="M3916" s="27">
        <f>IF(OR(J3916="Yes",I3916=0),"",H3916/I3916)</f>
        <v/>
      </c>
      <c r="N3916" s="21">
        <f>IF(J3916="Yes","",IF(H3916&gt;=I3916,1,0))</f>
        <v/>
      </c>
      <c r="O3916" s="21">
        <f>IF(I3916&lt;=5000000,"Under $5M",IF(I3916&lt;=20000000,"$5M-20M",IF(I3916&lt;=50000000,"$20M-50M",IF(I3916&lt;=100000000,"$50M-100M","$100M+"))))</f>
        <v/>
      </c>
      <c r="P3916" s="21">
        <f>IF(E3916&lt;=90,"90 or less",IF(E3916&lt;=105,"91-105",IF(E3916&lt;=120,"106-120",IF(E3916&lt;=140,"121-140","Over 140"))))</f>
        <v/>
      </c>
      <c r="Q3916" s="28">
        <f>INT(C3916/10)*10</f>
        <v/>
      </c>
    </row>
    <row r="3917">
      <c r="A3917" s="21" t="n">
        <v>3995</v>
      </c>
      <c r="B3917" s="21" t="inlineStr">
        <is>
          <t>Pitch Perfect</t>
        </is>
      </c>
      <c r="C3917" s="21" t="n">
        <v>2012</v>
      </c>
      <c r="D3917" s="21" t="inlineStr">
        <is>
          <t>USA</t>
        </is>
      </c>
      <c r="E3917" s="21" t="n">
        <v>112</v>
      </c>
      <c r="F3917" s="21" t="inlineStr">
        <is>
          <t>English</t>
        </is>
      </c>
      <c r="G3917" s="21" t="inlineStr">
        <is>
          <t>PG-13</t>
        </is>
      </c>
      <c r="H3917" s="22" t="n">
        <v>64998368</v>
      </c>
      <c r="I3917" s="22" t="n">
        <v>17000000</v>
      </c>
      <c r="J3917" s="21">
        <f>IF(OR(H3917="",H3917=25529689.5),"Yes","No")</f>
        <v/>
      </c>
      <c r="K3917" s="21">
        <f>IF(AND(D3917="USA",C3917&gt;=1980,J3917="No"),"Yes","No")</f>
        <v/>
      </c>
      <c r="L3917" s="26">
        <f>IF(J3917="Yes","",H3917-I3917)</f>
        <v/>
      </c>
      <c r="M3917" s="27">
        <f>IF(OR(J3917="Yes",I3917=0),"",H3917/I3917)</f>
        <v/>
      </c>
      <c r="N3917" s="21">
        <f>IF(J3917="Yes","",IF(H3917&gt;=I3917,1,0))</f>
        <v/>
      </c>
      <c r="O3917" s="21">
        <f>IF(I3917&lt;=5000000,"Under $5M",IF(I3917&lt;=20000000,"$5M-20M",IF(I3917&lt;=50000000,"$20M-50M",IF(I3917&lt;=100000000,"$50M-100M","$100M+"))))</f>
        <v/>
      </c>
      <c r="P3917" s="21">
        <f>IF(E3917&lt;=90,"90 or less",IF(E3917&lt;=105,"91-105",IF(E3917&lt;=120,"106-120",IF(E3917&lt;=140,"121-140","Over 140"))))</f>
        <v/>
      </c>
      <c r="Q3917" s="28">
        <f>INT(C3917/10)*10</f>
        <v/>
      </c>
    </row>
    <row r="3918">
      <c r="A3918" s="21" t="n">
        <v>3996</v>
      </c>
      <c r="B3918" s="21" t="inlineStr">
        <is>
          <t>Playing for Keeps</t>
        </is>
      </c>
      <c r="C3918" s="21" t="n">
        <v>2012</v>
      </c>
      <c r="D3918" s="21" t="inlineStr">
        <is>
          <t>USA</t>
        </is>
      </c>
      <c r="E3918" s="21" t="n">
        <v>105</v>
      </c>
      <c r="F3918" s="21" t="inlineStr">
        <is>
          <t>English</t>
        </is>
      </c>
      <c r="G3918" s="21" t="inlineStr">
        <is>
          <t>PG-13</t>
        </is>
      </c>
      <c r="H3918" s="22" t="n">
        <v>13101142</v>
      </c>
      <c r="I3918" s="22" t="n">
        <v>35000000</v>
      </c>
      <c r="J3918" s="21">
        <f>IF(OR(H3918="",H3918=25529689.5),"Yes","No")</f>
        <v/>
      </c>
      <c r="K3918" s="21">
        <f>IF(AND(D3918="USA",C3918&gt;=1980,J3918="No"),"Yes","No")</f>
        <v/>
      </c>
      <c r="L3918" s="26">
        <f>IF(J3918="Yes","",H3918-I3918)</f>
        <v/>
      </c>
      <c r="M3918" s="27">
        <f>IF(OR(J3918="Yes",I3918=0),"",H3918/I3918)</f>
        <v/>
      </c>
      <c r="N3918" s="21">
        <f>IF(J3918="Yes","",IF(H3918&gt;=I3918,1,0))</f>
        <v/>
      </c>
      <c r="O3918" s="21">
        <f>IF(I3918&lt;=5000000,"Under $5M",IF(I3918&lt;=20000000,"$5M-20M",IF(I3918&lt;=50000000,"$20M-50M",IF(I3918&lt;=100000000,"$50M-100M","$100M+"))))</f>
        <v/>
      </c>
      <c r="P3918" s="21">
        <f>IF(E3918&lt;=90,"90 or less",IF(E3918&lt;=105,"91-105",IF(E3918&lt;=120,"106-120",IF(E3918&lt;=140,"121-140","Over 140"))))</f>
        <v/>
      </c>
      <c r="Q3918" s="28">
        <f>INT(C3918/10)*10</f>
        <v/>
      </c>
    </row>
    <row r="3919">
      <c r="A3919" s="21" t="n">
        <v>3997</v>
      </c>
      <c r="B3919" s="21" t="inlineStr">
        <is>
          <t>Premium Rush</t>
        </is>
      </c>
      <c r="C3919" s="21" t="n">
        <v>2012</v>
      </c>
      <c r="D3919" s="21" t="inlineStr">
        <is>
          <t>USA</t>
        </is>
      </c>
      <c r="E3919" s="21" t="n">
        <v>91</v>
      </c>
      <c r="F3919" s="21" t="inlineStr">
        <is>
          <t>English</t>
        </is>
      </c>
      <c r="G3919" s="21" t="inlineStr">
        <is>
          <t>PG-13</t>
        </is>
      </c>
      <c r="H3919" s="22" t="n">
        <v>20275446</v>
      </c>
      <c r="I3919" s="22" t="n">
        <v>35000000</v>
      </c>
      <c r="J3919" s="21">
        <f>IF(OR(H3919="",H3919=25529689.5),"Yes","No")</f>
        <v/>
      </c>
      <c r="K3919" s="21">
        <f>IF(AND(D3919="USA",C3919&gt;=1980,J3919="No"),"Yes","No")</f>
        <v/>
      </c>
      <c r="L3919" s="26">
        <f>IF(J3919="Yes","",H3919-I3919)</f>
        <v/>
      </c>
      <c r="M3919" s="27">
        <f>IF(OR(J3919="Yes",I3919=0),"",H3919/I3919)</f>
        <v/>
      </c>
      <c r="N3919" s="21">
        <f>IF(J3919="Yes","",IF(H3919&gt;=I3919,1,0))</f>
        <v/>
      </c>
      <c r="O3919" s="21">
        <f>IF(I3919&lt;=5000000,"Under $5M",IF(I3919&lt;=20000000,"$5M-20M",IF(I3919&lt;=50000000,"$20M-50M",IF(I3919&lt;=100000000,"$50M-100M","$100M+"))))</f>
        <v/>
      </c>
      <c r="P3919" s="21">
        <f>IF(E3919&lt;=90,"90 or less",IF(E3919&lt;=105,"91-105",IF(E3919&lt;=120,"106-120",IF(E3919&lt;=140,"121-140","Over 140"))))</f>
        <v/>
      </c>
      <c r="Q3919" s="28">
        <f>INT(C3919/10)*10</f>
        <v/>
      </c>
    </row>
    <row r="3920">
      <c r="A3920" s="21" t="n">
        <v>3998</v>
      </c>
      <c r="B3920" s="21" t="inlineStr">
        <is>
          <t>Project X</t>
        </is>
      </c>
      <c r="C3920" s="21" t="n">
        <v>2012</v>
      </c>
      <c r="D3920" s="21" t="inlineStr">
        <is>
          <t>USA</t>
        </is>
      </c>
      <c r="E3920" s="21" t="n">
        <v>93</v>
      </c>
      <c r="F3920" s="21" t="inlineStr">
        <is>
          <t>English</t>
        </is>
      </c>
      <c r="G3920" s="21" t="inlineStr">
        <is>
          <t>R</t>
        </is>
      </c>
      <c r="H3920" s="22" t="n">
        <v>54724272</v>
      </c>
      <c r="I3920" s="22" t="n">
        <v>12000000</v>
      </c>
      <c r="J3920" s="21">
        <f>IF(OR(H3920="",H3920=25529689.5),"Yes","No")</f>
        <v/>
      </c>
      <c r="K3920" s="21">
        <f>IF(AND(D3920="USA",C3920&gt;=1980,J3920="No"),"Yes","No")</f>
        <v/>
      </c>
      <c r="L3920" s="26">
        <f>IF(J3920="Yes","",H3920-I3920)</f>
        <v/>
      </c>
      <c r="M3920" s="27">
        <f>IF(OR(J3920="Yes",I3920=0),"",H3920/I3920)</f>
        <v/>
      </c>
      <c r="N3920" s="21">
        <f>IF(J3920="Yes","",IF(H3920&gt;=I3920,1,0))</f>
        <v/>
      </c>
      <c r="O3920" s="21">
        <f>IF(I3920&lt;=5000000,"Under $5M",IF(I3920&lt;=20000000,"$5M-20M",IF(I3920&lt;=50000000,"$20M-50M",IF(I3920&lt;=100000000,"$50M-100M","$100M+"))))</f>
        <v/>
      </c>
      <c r="P3920" s="21">
        <f>IF(E3920&lt;=90,"90 or less",IF(E3920&lt;=105,"91-105",IF(E3920&lt;=120,"106-120",IF(E3920&lt;=140,"121-140","Over 140"))))</f>
        <v/>
      </c>
      <c r="Q3920" s="28">
        <f>INT(C3920/10)*10</f>
        <v/>
      </c>
    </row>
    <row r="3921">
      <c r="A3921" s="21" t="n">
        <v>3999</v>
      </c>
      <c r="B3921" s="21" t="inlineStr">
        <is>
          <t>Prometheus</t>
        </is>
      </c>
      <c r="C3921" s="21" t="n">
        <v>2012</v>
      </c>
      <c r="D3921" s="21" t="inlineStr">
        <is>
          <t>USA</t>
        </is>
      </c>
      <c r="E3921" s="21" t="n">
        <v>124</v>
      </c>
      <c r="F3921" s="21" t="inlineStr">
        <is>
          <t>English</t>
        </is>
      </c>
      <c r="G3921" s="21" t="inlineStr">
        <is>
          <t>R</t>
        </is>
      </c>
      <c r="H3921" s="22" t="n">
        <v>126464904</v>
      </c>
      <c r="I3921" s="22" t="n">
        <v>130000000</v>
      </c>
      <c r="J3921" s="21">
        <f>IF(OR(H3921="",H3921=25529689.5),"Yes","No")</f>
        <v/>
      </c>
      <c r="K3921" s="21">
        <f>IF(AND(D3921="USA",C3921&gt;=1980,J3921="No"),"Yes","No")</f>
        <v/>
      </c>
      <c r="L3921" s="26">
        <f>IF(J3921="Yes","",H3921-I3921)</f>
        <v/>
      </c>
      <c r="M3921" s="27">
        <f>IF(OR(J3921="Yes",I3921=0),"",H3921/I3921)</f>
        <v/>
      </c>
      <c r="N3921" s="21">
        <f>IF(J3921="Yes","",IF(H3921&gt;=I3921,1,0))</f>
        <v/>
      </c>
      <c r="O3921" s="21">
        <f>IF(I3921&lt;=5000000,"Under $5M",IF(I3921&lt;=20000000,"$5M-20M",IF(I3921&lt;=50000000,"$20M-50M",IF(I3921&lt;=100000000,"$50M-100M","$100M+"))))</f>
        <v/>
      </c>
      <c r="P3921" s="21">
        <f>IF(E3921&lt;=90,"90 or less",IF(E3921&lt;=105,"91-105",IF(E3921&lt;=120,"106-120",IF(E3921&lt;=140,"121-140","Over 140"))))</f>
        <v/>
      </c>
      <c r="Q3921" s="28">
        <f>INT(C3921/10)*10</f>
        <v/>
      </c>
    </row>
    <row r="3922">
      <c r="A3922" s="21" t="n">
        <v>4000</v>
      </c>
      <c r="B3922" s="21" t="inlineStr">
        <is>
          <t>Promised Land</t>
        </is>
      </c>
      <c r="C3922" s="21" t="n">
        <v>2012</v>
      </c>
      <c r="D3922" s="21" t="inlineStr">
        <is>
          <t>USA</t>
        </is>
      </c>
      <c r="E3922" s="21" t="n">
        <v>106</v>
      </c>
      <c r="F3922" s="21" t="inlineStr">
        <is>
          <t>English</t>
        </is>
      </c>
      <c r="G3922" s="21" t="inlineStr">
        <is>
          <t>R</t>
        </is>
      </c>
      <c r="H3922" s="22" t="n">
        <v>7556708</v>
      </c>
      <c r="I3922" s="22" t="n">
        <v>15000000</v>
      </c>
      <c r="J3922" s="21">
        <f>IF(OR(H3922="",H3922=25529689.5),"Yes","No")</f>
        <v/>
      </c>
      <c r="K3922" s="21">
        <f>IF(AND(D3922="USA",C3922&gt;=1980,J3922="No"),"Yes","No")</f>
        <v/>
      </c>
      <c r="L3922" s="26">
        <f>IF(J3922="Yes","",H3922-I3922)</f>
        <v/>
      </c>
      <c r="M3922" s="27">
        <f>IF(OR(J3922="Yes",I3922=0),"",H3922/I3922)</f>
        <v/>
      </c>
      <c r="N3922" s="21">
        <f>IF(J3922="Yes","",IF(H3922&gt;=I3922,1,0))</f>
        <v/>
      </c>
      <c r="O3922" s="21">
        <f>IF(I3922&lt;=5000000,"Under $5M",IF(I3922&lt;=20000000,"$5M-20M",IF(I3922&lt;=50000000,"$20M-50M",IF(I3922&lt;=100000000,"$50M-100M","$100M+"))))</f>
        <v/>
      </c>
      <c r="P3922" s="21">
        <f>IF(E3922&lt;=90,"90 or less",IF(E3922&lt;=105,"91-105",IF(E3922&lt;=120,"106-120",IF(E3922&lt;=140,"121-140","Over 140"))))</f>
        <v/>
      </c>
      <c r="Q3922" s="28">
        <f>INT(C3922/10)*10</f>
        <v/>
      </c>
    </row>
    <row r="3923">
      <c r="A3923" s="21" t="n">
        <v>4001</v>
      </c>
      <c r="B3923" s="21" t="inlineStr">
        <is>
          <t>Quartet</t>
        </is>
      </c>
      <c r="C3923" s="21" t="n">
        <v>2012</v>
      </c>
      <c r="D3923" s="21" t="inlineStr">
        <is>
          <t>UK</t>
        </is>
      </c>
      <c r="E3923" s="21" t="n">
        <v>98</v>
      </c>
      <c r="F3923" s="21" t="inlineStr">
        <is>
          <t>English</t>
        </is>
      </c>
      <c r="G3923" s="21" t="inlineStr">
        <is>
          <t>PG-13</t>
        </is>
      </c>
      <c r="H3923" s="22" t="n">
        <v>18381787</v>
      </c>
      <c r="I3923" s="22" t="n">
        <v>11000000</v>
      </c>
      <c r="J3923" s="21">
        <f>IF(OR(H3923="",H3923=25529689.5),"Yes","No")</f>
        <v/>
      </c>
      <c r="K3923" s="21">
        <f>IF(AND(D3923="USA",C3923&gt;=1980,J3923="No"),"Yes","No")</f>
        <v/>
      </c>
      <c r="L3923" s="26">
        <f>IF(J3923="Yes","",H3923-I3923)</f>
        <v/>
      </c>
      <c r="M3923" s="27">
        <f>IF(OR(J3923="Yes",I3923=0),"",H3923/I3923)</f>
        <v/>
      </c>
      <c r="N3923" s="21">
        <f>IF(J3923="Yes","",IF(H3923&gt;=I3923,1,0))</f>
        <v/>
      </c>
      <c r="O3923" s="21">
        <f>IF(I3923&lt;=5000000,"Under $5M",IF(I3923&lt;=20000000,"$5M-20M",IF(I3923&lt;=50000000,"$20M-50M",IF(I3923&lt;=100000000,"$50M-100M","$100M+"))))</f>
        <v/>
      </c>
      <c r="P3923" s="21">
        <f>IF(E3923&lt;=90,"90 or less",IF(E3923&lt;=105,"91-105",IF(E3923&lt;=120,"106-120",IF(E3923&lt;=140,"121-140","Over 140"))))</f>
        <v/>
      </c>
      <c r="Q3923" s="28">
        <f>INT(C3923/10)*10</f>
        <v/>
      </c>
    </row>
    <row r="3924">
      <c r="A3924" s="21" t="n">
        <v>4002</v>
      </c>
      <c r="B3924" s="21" t="inlineStr">
        <is>
          <t>Red Lights</t>
        </is>
      </c>
      <c r="C3924" s="21" t="n">
        <v>2012</v>
      </c>
      <c r="D3924" s="21" t="inlineStr">
        <is>
          <t>Spain</t>
        </is>
      </c>
      <c r="E3924" s="21" t="n">
        <v>114</v>
      </c>
      <c r="F3924" s="21" t="inlineStr">
        <is>
          <t>English</t>
        </is>
      </c>
      <c r="G3924" s="21" t="inlineStr">
        <is>
          <t>R</t>
        </is>
      </c>
      <c r="H3924" s="22" t="n">
        <v>25529689.5</v>
      </c>
      <c r="I3924" s="22" t="n">
        <v>14000000</v>
      </c>
      <c r="J3924" s="21">
        <f>IF(OR(H3924="",H3924=25529689.5),"Yes","No")</f>
        <v/>
      </c>
      <c r="K3924" s="21">
        <f>IF(AND(D3924="USA",C3924&gt;=1980,J3924="No"),"Yes","No")</f>
        <v/>
      </c>
      <c r="L3924" s="26">
        <f>IF(J3924="Yes","",H3924-I3924)</f>
        <v/>
      </c>
      <c r="M3924" s="27">
        <f>IF(OR(J3924="Yes",I3924=0),"",H3924/I3924)</f>
        <v/>
      </c>
      <c r="N3924" s="21">
        <f>IF(J3924="Yes","",IF(H3924&gt;=I3924,1,0))</f>
        <v/>
      </c>
      <c r="O3924" s="21">
        <f>IF(I3924&lt;=5000000,"Under $5M",IF(I3924&lt;=20000000,"$5M-20M",IF(I3924&lt;=50000000,"$20M-50M",IF(I3924&lt;=100000000,"$50M-100M","$100M+"))))</f>
        <v/>
      </c>
      <c r="P3924" s="21">
        <f>IF(E3924&lt;=90,"90 or less",IF(E3924&lt;=105,"91-105",IF(E3924&lt;=120,"106-120",IF(E3924&lt;=140,"121-140","Over 140"))))</f>
        <v/>
      </c>
      <c r="Q3924" s="28">
        <f>INT(C3924/10)*10</f>
        <v/>
      </c>
    </row>
    <row r="3925">
      <c r="A3925" s="21" t="n">
        <v>4003</v>
      </c>
      <c r="B3925" s="21" t="inlineStr">
        <is>
          <t>Red Tails</t>
        </is>
      </c>
      <c r="C3925" s="21" t="n">
        <v>2012</v>
      </c>
      <c r="D3925" s="21" t="inlineStr">
        <is>
          <t>USA</t>
        </is>
      </c>
      <c r="E3925" s="21" t="n">
        <v>125</v>
      </c>
      <c r="F3925" s="21" t="inlineStr">
        <is>
          <t>English</t>
        </is>
      </c>
      <c r="G3925" s="21" t="inlineStr">
        <is>
          <t>PG-13</t>
        </is>
      </c>
      <c r="H3925" s="22" t="n">
        <v>49875589</v>
      </c>
      <c r="I3925" s="22" t="n">
        <v>58000000</v>
      </c>
      <c r="J3925" s="21">
        <f>IF(OR(H3925="",H3925=25529689.5),"Yes","No")</f>
        <v/>
      </c>
      <c r="K3925" s="21">
        <f>IF(AND(D3925="USA",C3925&gt;=1980,J3925="No"),"Yes","No")</f>
        <v/>
      </c>
      <c r="L3925" s="26">
        <f>IF(J3925="Yes","",H3925-I3925)</f>
        <v/>
      </c>
      <c r="M3925" s="27">
        <f>IF(OR(J3925="Yes",I3925=0),"",H3925/I3925)</f>
        <v/>
      </c>
      <c r="N3925" s="21">
        <f>IF(J3925="Yes","",IF(H3925&gt;=I3925,1,0))</f>
        <v/>
      </c>
      <c r="O3925" s="21">
        <f>IF(I3925&lt;=5000000,"Under $5M",IF(I3925&lt;=20000000,"$5M-20M",IF(I3925&lt;=50000000,"$20M-50M",IF(I3925&lt;=100000000,"$50M-100M","$100M+"))))</f>
        <v/>
      </c>
      <c r="P3925" s="21">
        <f>IF(E3925&lt;=90,"90 or less",IF(E3925&lt;=105,"91-105",IF(E3925&lt;=120,"106-120",IF(E3925&lt;=140,"121-140","Over 140"))))</f>
        <v/>
      </c>
      <c r="Q3925" s="28">
        <f>INT(C3925/10)*10</f>
        <v/>
      </c>
    </row>
    <row r="3926">
      <c r="A3926" s="21" t="n">
        <v>4004</v>
      </c>
      <c r="B3926" s="21" t="inlineStr">
        <is>
          <t>Resident Evil: Retribution</t>
        </is>
      </c>
      <c r="C3926" s="21" t="n">
        <v>2012</v>
      </c>
      <c r="D3926" s="21" t="inlineStr">
        <is>
          <t>Germany</t>
        </is>
      </c>
      <c r="E3926" s="21" t="n">
        <v>96</v>
      </c>
      <c r="F3926" s="21" t="inlineStr">
        <is>
          <t>English</t>
        </is>
      </c>
      <c r="G3926" s="21" t="inlineStr">
        <is>
          <t>R</t>
        </is>
      </c>
      <c r="H3926" s="22" t="n">
        <v>42345531</v>
      </c>
      <c r="I3926" s="22" t="n">
        <v>65000000</v>
      </c>
      <c r="J3926" s="21">
        <f>IF(OR(H3926="",H3926=25529689.5),"Yes","No")</f>
        <v/>
      </c>
      <c r="K3926" s="21">
        <f>IF(AND(D3926="USA",C3926&gt;=1980,J3926="No"),"Yes","No")</f>
        <v/>
      </c>
      <c r="L3926" s="26">
        <f>IF(J3926="Yes","",H3926-I3926)</f>
        <v/>
      </c>
      <c r="M3926" s="27">
        <f>IF(OR(J3926="Yes",I3926=0),"",H3926/I3926)</f>
        <v/>
      </c>
      <c r="N3926" s="21">
        <f>IF(J3926="Yes","",IF(H3926&gt;=I3926,1,0))</f>
        <v/>
      </c>
      <c r="O3926" s="21">
        <f>IF(I3926&lt;=5000000,"Under $5M",IF(I3926&lt;=20000000,"$5M-20M",IF(I3926&lt;=50000000,"$20M-50M",IF(I3926&lt;=100000000,"$50M-100M","$100M+"))))</f>
        <v/>
      </c>
      <c r="P3926" s="21">
        <f>IF(E3926&lt;=90,"90 or less",IF(E3926&lt;=105,"91-105",IF(E3926&lt;=120,"106-120",IF(E3926&lt;=140,"121-140","Over 140"))))</f>
        <v/>
      </c>
      <c r="Q3926" s="28">
        <f>INT(C3926/10)*10</f>
        <v/>
      </c>
    </row>
    <row r="3927">
      <c r="A3927" s="21" t="n">
        <v>4005</v>
      </c>
      <c r="B3927" s="21" t="inlineStr">
        <is>
          <t>Restless</t>
        </is>
      </c>
      <c r="C3927" s="21" t="n">
        <v>2012</v>
      </c>
      <c r="D3927" s="21" t="inlineStr">
        <is>
          <t>UK</t>
        </is>
      </c>
      <c r="E3927" s="21" t="n">
        <v>180</v>
      </c>
      <c r="F3927" s="21" t="inlineStr">
        <is>
          <t>English</t>
        </is>
      </c>
      <c r="G3927" s="21" t="n"/>
      <c r="H3927" s="22" t="n">
        <v>25529689.5</v>
      </c>
      <c r="I3927" s="22" t="n">
        <v>20000000</v>
      </c>
      <c r="J3927" s="21">
        <f>IF(OR(H3927="",H3927=25529689.5),"Yes","No")</f>
        <v/>
      </c>
      <c r="K3927" s="21">
        <f>IF(AND(D3927="USA",C3927&gt;=1980,J3927="No"),"Yes","No")</f>
        <v/>
      </c>
      <c r="L3927" s="26">
        <f>IF(J3927="Yes","",H3927-I3927)</f>
        <v/>
      </c>
      <c r="M3927" s="27">
        <f>IF(OR(J3927="Yes",I3927=0),"",H3927/I3927)</f>
        <v/>
      </c>
      <c r="N3927" s="21">
        <f>IF(J3927="Yes","",IF(H3927&gt;=I3927,1,0))</f>
        <v/>
      </c>
      <c r="O3927" s="21">
        <f>IF(I3927&lt;=5000000,"Under $5M",IF(I3927&lt;=20000000,"$5M-20M",IF(I3927&lt;=50000000,"$20M-50M",IF(I3927&lt;=100000000,"$50M-100M","$100M+"))))</f>
        <v/>
      </c>
      <c r="P3927" s="21">
        <f>IF(E3927&lt;=90,"90 or less",IF(E3927&lt;=105,"91-105",IF(E3927&lt;=120,"106-120",IF(E3927&lt;=140,"121-140","Over 140"))))</f>
        <v/>
      </c>
      <c r="Q3927" s="28">
        <f>INT(C3927/10)*10</f>
        <v/>
      </c>
    </row>
    <row r="3928">
      <c r="A3928" s="21" t="n">
        <v>4006</v>
      </c>
      <c r="B3928" s="21" t="inlineStr">
        <is>
          <t>Rise of the Guardians</t>
        </is>
      </c>
      <c r="C3928" s="21" t="n">
        <v>2012</v>
      </c>
      <c r="D3928" s="21" t="inlineStr">
        <is>
          <t>USA</t>
        </is>
      </c>
      <c r="E3928" s="21" t="n">
        <v>97</v>
      </c>
      <c r="F3928" s="21" t="inlineStr">
        <is>
          <t>English</t>
        </is>
      </c>
      <c r="G3928" s="21" t="inlineStr">
        <is>
          <t>PG</t>
        </is>
      </c>
      <c r="H3928" s="22" t="n">
        <v>103400692</v>
      </c>
      <c r="I3928" s="22" t="n">
        <v>145000000</v>
      </c>
      <c r="J3928" s="21">
        <f>IF(OR(H3928="",H3928=25529689.5),"Yes","No")</f>
        <v/>
      </c>
      <c r="K3928" s="21">
        <f>IF(AND(D3928="USA",C3928&gt;=1980,J3928="No"),"Yes","No")</f>
        <v/>
      </c>
      <c r="L3928" s="26">
        <f>IF(J3928="Yes","",H3928-I3928)</f>
        <v/>
      </c>
      <c r="M3928" s="27">
        <f>IF(OR(J3928="Yes",I3928=0),"",H3928/I3928)</f>
        <v/>
      </c>
      <c r="N3928" s="21">
        <f>IF(J3928="Yes","",IF(H3928&gt;=I3928,1,0))</f>
        <v/>
      </c>
      <c r="O3928" s="21">
        <f>IF(I3928&lt;=5000000,"Under $5M",IF(I3928&lt;=20000000,"$5M-20M",IF(I3928&lt;=50000000,"$20M-50M",IF(I3928&lt;=100000000,"$50M-100M","$100M+"))))</f>
        <v/>
      </c>
      <c r="P3928" s="21">
        <f>IF(E3928&lt;=90,"90 or less",IF(E3928&lt;=105,"91-105",IF(E3928&lt;=120,"106-120",IF(E3928&lt;=140,"121-140","Over 140"))))</f>
        <v/>
      </c>
      <c r="Q3928" s="28">
        <f>INT(C3928/10)*10</f>
        <v/>
      </c>
    </row>
    <row r="3929">
      <c r="A3929" s="21" t="n">
        <v>4007</v>
      </c>
      <c r="B3929" s="21" t="inlineStr">
        <is>
          <t>Robot &amp; Frank</t>
        </is>
      </c>
      <c r="C3929" s="21" t="n">
        <v>2012</v>
      </c>
      <c r="D3929" s="21" t="inlineStr">
        <is>
          <t>USA</t>
        </is>
      </c>
      <c r="E3929" s="21" t="n">
        <v>89</v>
      </c>
      <c r="F3929" s="21" t="inlineStr">
        <is>
          <t>English</t>
        </is>
      </c>
      <c r="G3929" s="21" t="inlineStr">
        <is>
          <t>PG-13</t>
        </is>
      </c>
      <c r="H3929" s="22" t="n">
        <v>3325638</v>
      </c>
      <c r="I3929" s="22" t="n">
        <v>2500000</v>
      </c>
      <c r="J3929" s="21">
        <f>IF(OR(H3929="",H3929=25529689.5),"Yes","No")</f>
        <v/>
      </c>
      <c r="K3929" s="21">
        <f>IF(AND(D3929="USA",C3929&gt;=1980,J3929="No"),"Yes","No")</f>
        <v/>
      </c>
      <c r="L3929" s="26">
        <f>IF(J3929="Yes","",H3929-I3929)</f>
        <v/>
      </c>
      <c r="M3929" s="27">
        <f>IF(OR(J3929="Yes",I3929=0),"",H3929/I3929)</f>
        <v/>
      </c>
      <c r="N3929" s="21">
        <f>IF(J3929="Yes","",IF(H3929&gt;=I3929,1,0))</f>
        <v/>
      </c>
      <c r="O3929" s="21">
        <f>IF(I3929&lt;=5000000,"Under $5M",IF(I3929&lt;=20000000,"$5M-20M",IF(I3929&lt;=50000000,"$20M-50M",IF(I3929&lt;=100000000,"$50M-100M","$100M+"))))</f>
        <v/>
      </c>
      <c r="P3929" s="21">
        <f>IF(E3929&lt;=90,"90 or less",IF(E3929&lt;=105,"91-105",IF(E3929&lt;=120,"106-120",IF(E3929&lt;=140,"121-140","Over 140"))))</f>
        <v/>
      </c>
      <c r="Q3929" s="28">
        <f>INT(C3929/10)*10</f>
        <v/>
      </c>
    </row>
    <row r="3930">
      <c r="A3930" s="21" t="n">
        <v>4008</v>
      </c>
      <c r="B3930" s="21" t="inlineStr">
        <is>
          <t>Rock of Ages</t>
        </is>
      </c>
      <c r="C3930" s="21" t="n">
        <v>2012</v>
      </c>
      <c r="D3930" s="21" t="inlineStr">
        <is>
          <t>USA</t>
        </is>
      </c>
      <c r="E3930" s="21" t="n">
        <v>136</v>
      </c>
      <c r="F3930" s="21" t="inlineStr">
        <is>
          <t>English</t>
        </is>
      </c>
      <c r="G3930" s="21" t="inlineStr">
        <is>
          <t>PG-13</t>
        </is>
      </c>
      <c r="H3930" s="22" t="n">
        <v>38509342</v>
      </c>
      <c r="I3930" s="22" t="n">
        <v>75000000</v>
      </c>
      <c r="J3930" s="21">
        <f>IF(OR(H3930="",H3930=25529689.5),"Yes","No")</f>
        <v/>
      </c>
      <c r="K3930" s="21">
        <f>IF(AND(D3930="USA",C3930&gt;=1980,J3930="No"),"Yes","No")</f>
        <v/>
      </c>
      <c r="L3930" s="26">
        <f>IF(J3930="Yes","",H3930-I3930)</f>
        <v/>
      </c>
      <c r="M3930" s="27">
        <f>IF(OR(J3930="Yes",I3930=0),"",H3930/I3930)</f>
        <v/>
      </c>
      <c r="N3930" s="21">
        <f>IF(J3930="Yes","",IF(H3930&gt;=I3930,1,0))</f>
        <v/>
      </c>
      <c r="O3930" s="21">
        <f>IF(I3930&lt;=5000000,"Under $5M",IF(I3930&lt;=20000000,"$5M-20M",IF(I3930&lt;=50000000,"$20M-50M",IF(I3930&lt;=100000000,"$50M-100M","$100M+"))))</f>
        <v/>
      </c>
      <c r="P3930" s="21">
        <f>IF(E3930&lt;=90,"90 or less",IF(E3930&lt;=105,"91-105",IF(E3930&lt;=120,"106-120",IF(E3930&lt;=140,"121-140","Over 140"))))</f>
        <v/>
      </c>
      <c r="Q3930" s="28">
        <f>INT(C3930/10)*10</f>
        <v/>
      </c>
    </row>
    <row r="3931">
      <c r="A3931" s="21" t="n">
        <v>4009</v>
      </c>
      <c r="B3931" s="21" t="inlineStr">
        <is>
          <t>Run, Hide, Die</t>
        </is>
      </c>
      <c r="C3931" s="21" t="n">
        <v>2012</v>
      </c>
      <c r="D3931" s="21" t="inlineStr">
        <is>
          <t>USA</t>
        </is>
      </c>
      <c r="E3931" s="21" t="n">
        <v>75</v>
      </c>
      <c r="F3931" s="21" t="inlineStr">
        <is>
          <t>English</t>
        </is>
      </c>
      <c r="G3931" s="21" t="n"/>
      <c r="H3931" s="22" t="n">
        <v>25529689.5</v>
      </c>
      <c r="I3931" s="22" t="n">
        <v>50000</v>
      </c>
      <c r="J3931" s="21">
        <f>IF(OR(H3931="",H3931=25529689.5),"Yes","No")</f>
        <v/>
      </c>
      <c r="K3931" s="21">
        <f>IF(AND(D3931="USA",C3931&gt;=1980,J3931="No"),"Yes","No")</f>
        <v/>
      </c>
      <c r="L3931" s="26">
        <f>IF(J3931="Yes","",H3931-I3931)</f>
        <v/>
      </c>
      <c r="M3931" s="27">
        <f>IF(OR(J3931="Yes",I3931=0),"",H3931/I3931)</f>
        <v/>
      </c>
      <c r="N3931" s="21">
        <f>IF(J3931="Yes","",IF(H3931&gt;=I3931,1,0))</f>
        <v/>
      </c>
      <c r="O3931" s="21">
        <f>IF(I3931&lt;=5000000,"Under $5M",IF(I3931&lt;=20000000,"$5M-20M",IF(I3931&lt;=50000000,"$20M-50M",IF(I3931&lt;=100000000,"$50M-100M","$100M+"))))</f>
        <v/>
      </c>
      <c r="P3931" s="21">
        <f>IF(E3931&lt;=90,"90 or less",IF(E3931&lt;=105,"91-105",IF(E3931&lt;=120,"106-120",IF(E3931&lt;=140,"121-140","Over 140"))))</f>
        <v/>
      </c>
      <c r="Q3931" s="28">
        <f>INT(C3931/10)*10</f>
        <v/>
      </c>
    </row>
    <row r="3932">
      <c r="A3932" s="21" t="n">
        <v>4010</v>
      </c>
      <c r="B3932" s="21" t="inlineStr">
        <is>
          <t>Safe</t>
        </is>
      </c>
      <c r="C3932" s="21" t="n">
        <v>2012</v>
      </c>
      <c r="D3932" s="21" t="inlineStr">
        <is>
          <t>USA</t>
        </is>
      </c>
      <c r="E3932" s="21" t="n">
        <v>94</v>
      </c>
      <c r="F3932" s="21" t="inlineStr">
        <is>
          <t>English</t>
        </is>
      </c>
      <c r="G3932" s="21" t="inlineStr">
        <is>
          <t>R</t>
        </is>
      </c>
      <c r="H3932" s="22" t="n">
        <v>17120019</v>
      </c>
      <c r="I3932" s="22" t="n">
        <v>30000000</v>
      </c>
      <c r="J3932" s="21">
        <f>IF(OR(H3932="",H3932=25529689.5),"Yes","No")</f>
        <v/>
      </c>
      <c r="K3932" s="21">
        <f>IF(AND(D3932="USA",C3932&gt;=1980,J3932="No"),"Yes","No")</f>
        <v/>
      </c>
      <c r="L3932" s="26">
        <f>IF(J3932="Yes","",H3932-I3932)</f>
        <v/>
      </c>
      <c r="M3932" s="27">
        <f>IF(OR(J3932="Yes",I3932=0),"",H3932/I3932)</f>
        <v/>
      </c>
      <c r="N3932" s="21">
        <f>IF(J3932="Yes","",IF(H3932&gt;=I3932,1,0))</f>
        <v/>
      </c>
      <c r="O3932" s="21">
        <f>IF(I3932&lt;=5000000,"Under $5M",IF(I3932&lt;=20000000,"$5M-20M",IF(I3932&lt;=50000000,"$20M-50M",IF(I3932&lt;=100000000,"$50M-100M","$100M+"))))</f>
        <v/>
      </c>
      <c r="P3932" s="21">
        <f>IF(E3932&lt;=90,"90 or less",IF(E3932&lt;=105,"91-105",IF(E3932&lt;=120,"106-120",IF(E3932&lt;=140,"121-140","Over 140"))))</f>
        <v/>
      </c>
      <c r="Q3932" s="28">
        <f>INT(C3932/10)*10</f>
        <v/>
      </c>
    </row>
    <row r="3933">
      <c r="A3933" s="21" t="n">
        <v>4011</v>
      </c>
      <c r="B3933" s="21" t="inlineStr">
        <is>
          <t>Safe House</t>
        </is>
      </c>
      <c r="C3933" s="21" t="n">
        <v>2012</v>
      </c>
      <c r="D3933" s="21" t="inlineStr">
        <is>
          <t>USA</t>
        </is>
      </c>
      <c r="E3933" s="21" t="n">
        <v>115</v>
      </c>
      <c r="F3933" s="21" t="inlineStr">
        <is>
          <t>English</t>
        </is>
      </c>
      <c r="G3933" s="21" t="inlineStr">
        <is>
          <t>R</t>
        </is>
      </c>
      <c r="H3933" s="22" t="n">
        <v>126149655</v>
      </c>
      <c r="I3933" s="22" t="n">
        <v>85000000</v>
      </c>
      <c r="J3933" s="21">
        <f>IF(OR(H3933="",H3933=25529689.5),"Yes","No")</f>
        <v/>
      </c>
      <c r="K3933" s="21">
        <f>IF(AND(D3933="USA",C3933&gt;=1980,J3933="No"),"Yes","No")</f>
        <v/>
      </c>
      <c r="L3933" s="26">
        <f>IF(J3933="Yes","",H3933-I3933)</f>
        <v/>
      </c>
      <c r="M3933" s="27">
        <f>IF(OR(J3933="Yes",I3933=0),"",H3933/I3933)</f>
        <v/>
      </c>
      <c r="N3933" s="21">
        <f>IF(J3933="Yes","",IF(H3933&gt;=I3933,1,0))</f>
        <v/>
      </c>
      <c r="O3933" s="21">
        <f>IF(I3933&lt;=5000000,"Under $5M",IF(I3933&lt;=20000000,"$5M-20M",IF(I3933&lt;=50000000,"$20M-50M",IF(I3933&lt;=100000000,"$50M-100M","$100M+"))))</f>
        <v/>
      </c>
      <c r="P3933" s="21">
        <f>IF(E3933&lt;=90,"90 or less",IF(E3933&lt;=105,"91-105",IF(E3933&lt;=120,"106-120",IF(E3933&lt;=140,"121-140","Over 140"))))</f>
        <v/>
      </c>
      <c r="Q3933" s="28">
        <f>INT(C3933/10)*10</f>
        <v/>
      </c>
    </row>
    <row r="3934">
      <c r="A3934" s="21" t="n">
        <v>4012</v>
      </c>
      <c r="B3934" s="21" t="inlineStr">
        <is>
          <t>Safety Not Guaranteed</t>
        </is>
      </c>
      <c r="C3934" s="21" t="n">
        <v>2012</v>
      </c>
      <c r="D3934" s="21" t="inlineStr">
        <is>
          <t>USA</t>
        </is>
      </c>
      <c r="E3934" s="21" t="n">
        <v>86</v>
      </c>
      <c r="F3934" s="21" t="inlineStr">
        <is>
          <t>English</t>
        </is>
      </c>
      <c r="G3934" s="21" t="inlineStr">
        <is>
          <t>R</t>
        </is>
      </c>
      <c r="H3934" s="22" t="n">
        <v>4007792</v>
      </c>
      <c r="I3934" s="22" t="n">
        <v>750000</v>
      </c>
      <c r="J3934" s="21">
        <f>IF(OR(H3934="",H3934=25529689.5),"Yes","No")</f>
        <v/>
      </c>
      <c r="K3934" s="21">
        <f>IF(AND(D3934="USA",C3934&gt;=1980,J3934="No"),"Yes","No")</f>
        <v/>
      </c>
      <c r="L3934" s="26">
        <f>IF(J3934="Yes","",H3934-I3934)</f>
        <v/>
      </c>
      <c r="M3934" s="27">
        <f>IF(OR(J3934="Yes",I3934=0),"",H3934/I3934)</f>
        <v/>
      </c>
      <c r="N3934" s="21">
        <f>IF(J3934="Yes","",IF(H3934&gt;=I3934,1,0))</f>
        <v/>
      </c>
      <c r="O3934" s="21">
        <f>IF(I3934&lt;=5000000,"Under $5M",IF(I3934&lt;=20000000,"$5M-20M",IF(I3934&lt;=50000000,"$20M-50M",IF(I3934&lt;=100000000,"$50M-100M","$100M+"))))</f>
        <v/>
      </c>
      <c r="P3934" s="21">
        <f>IF(E3934&lt;=90,"90 or less",IF(E3934&lt;=105,"91-105",IF(E3934&lt;=120,"106-120",IF(E3934&lt;=140,"121-140","Over 140"))))</f>
        <v/>
      </c>
      <c r="Q3934" s="28">
        <f>INT(C3934/10)*10</f>
        <v/>
      </c>
    </row>
    <row r="3935">
      <c r="A3935" s="21" t="n">
        <v>4013</v>
      </c>
      <c r="B3935" s="21" t="inlineStr">
        <is>
          <t>Sanctuary;  Quite a Conundrum</t>
        </is>
      </c>
      <c r="C3935" s="21" t="n">
        <v>2012</v>
      </c>
      <c r="D3935" s="21" t="inlineStr">
        <is>
          <t>USA</t>
        </is>
      </c>
      <c r="E3935" s="21" t="n">
        <v>82</v>
      </c>
      <c r="F3935" s="21" t="inlineStr">
        <is>
          <t>English</t>
        </is>
      </c>
      <c r="G3935" s="21" t="n"/>
      <c r="H3935" s="22" t="n">
        <v>25529689.5</v>
      </c>
      <c r="I3935" s="22" t="n">
        <v>200000</v>
      </c>
      <c r="J3935" s="21">
        <f>IF(OR(H3935="",H3935=25529689.5),"Yes","No")</f>
        <v/>
      </c>
      <c r="K3935" s="21">
        <f>IF(AND(D3935="USA",C3935&gt;=1980,J3935="No"),"Yes","No")</f>
        <v/>
      </c>
      <c r="L3935" s="26">
        <f>IF(J3935="Yes","",H3935-I3935)</f>
        <v/>
      </c>
      <c r="M3935" s="27">
        <f>IF(OR(J3935="Yes",I3935=0),"",H3935/I3935)</f>
        <v/>
      </c>
      <c r="N3935" s="21">
        <f>IF(J3935="Yes","",IF(H3935&gt;=I3935,1,0))</f>
        <v/>
      </c>
      <c r="O3935" s="21">
        <f>IF(I3935&lt;=5000000,"Under $5M",IF(I3935&lt;=20000000,"$5M-20M",IF(I3935&lt;=50000000,"$20M-50M",IF(I3935&lt;=100000000,"$50M-100M","$100M+"))))</f>
        <v/>
      </c>
      <c r="P3935" s="21">
        <f>IF(E3935&lt;=90,"90 or less",IF(E3935&lt;=105,"91-105",IF(E3935&lt;=120,"106-120",IF(E3935&lt;=140,"121-140","Over 140"))))</f>
        <v/>
      </c>
      <c r="Q3935" s="28">
        <f>INT(C3935/10)*10</f>
        <v/>
      </c>
    </row>
    <row r="3936">
      <c r="A3936" s="21" t="n">
        <v>4014</v>
      </c>
      <c r="B3936" s="21" t="inlineStr">
        <is>
          <t>Savages</t>
        </is>
      </c>
      <c r="C3936" s="21" t="n">
        <v>2012</v>
      </c>
      <c r="D3936" s="21" t="inlineStr">
        <is>
          <t>USA</t>
        </is>
      </c>
      <c r="E3936" s="21" t="n">
        <v>141</v>
      </c>
      <c r="F3936" s="21" t="inlineStr">
        <is>
          <t>English</t>
        </is>
      </c>
      <c r="G3936" s="21" t="inlineStr">
        <is>
          <t>R</t>
        </is>
      </c>
      <c r="H3936" s="22" t="n">
        <v>47307550</v>
      </c>
      <c r="I3936" s="22" t="n">
        <v>45000000</v>
      </c>
      <c r="J3936" s="21">
        <f>IF(OR(H3936="",H3936=25529689.5),"Yes","No")</f>
        <v/>
      </c>
      <c r="K3936" s="21">
        <f>IF(AND(D3936="USA",C3936&gt;=1980,J3936="No"),"Yes","No")</f>
        <v/>
      </c>
      <c r="L3936" s="26">
        <f>IF(J3936="Yes","",H3936-I3936)</f>
        <v/>
      </c>
      <c r="M3936" s="27">
        <f>IF(OR(J3936="Yes",I3936=0),"",H3936/I3936)</f>
        <v/>
      </c>
      <c r="N3936" s="21">
        <f>IF(J3936="Yes","",IF(H3936&gt;=I3936,1,0))</f>
        <v/>
      </c>
      <c r="O3936" s="21">
        <f>IF(I3936&lt;=5000000,"Under $5M",IF(I3936&lt;=20000000,"$5M-20M",IF(I3936&lt;=50000000,"$20M-50M",IF(I3936&lt;=100000000,"$50M-100M","$100M+"))))</f>
        <v/>
      </c>
      <c r="P3936" s="21">
        <f>IF(E3936&lt;=90,"90 or less",IF(E3936&lt;=105,"91-105",IF(E3936&lt;=120,"106-120",IF(E3936&lt;=140,"121-140","Over 140"))))</f>
        <v/>
      </c>
      <c r="Q3936" s="28">
        <f>INT(C3936/10)*10</f>
        <v/>
      </c>
    </row>
    <row r="3937">
      <c r="A3937" s="21" t="n">
        <v>4015</v>
      </c>
      <c r="B3937" s="21" t="inlineStr">
        <is>
          <t>Seeking a Friend for the End of the World</t>
        </is>
      </c>
      <c r="C3937" s="21" t="n">
        <v>2012</v>
      </c>
      <c r="D3937" s="21" t="inlineStr">
        <is>
          <t>USA</t>
        </is>
      </c>
      <c r="E3937" s="21" t="n">
        <v>101</v>
      </c>
      <c r="F3937" s="21" t="inlineStr">
        <is>
          <t>English</t>
        </is>
      </c>
      <c r="G3937" s="21" t="inlineStr">
        <is>
          <t>R</t>
        </is>
      </c>
      <c r="H3937" s="22" t="n">
        <v>6619173</v>
      </c>
      <c r="I3937" s="22" t="n">
        <v>10000000</v>
      </c>
      <c r="J3937" s="21">
        <f>IF(OR(H3937="",H3937=25529689.5),"Yes","No")</f>
        <v/>
      </c>
      <c r="K3937" s="21">
        <f>IF(AND(D3937="USA",C3937&gt;=1980,J3937="No"),"Yes","No")</f>
        <v/>
      </c>
      <c r="L3937" s="26">
        <f>IF(J3937="Yes","",H3937-I3937)</f>
        <v/>
      </c>
      <c r="M3937" s="27">
        <f>IF(OR(J3937="Yes",I3937=0),"",H3937/I3937)</f>
        <v/>
      </c>
      <c r="N3937" s="21">
        <f>IF(J3937="Yes","",IF(H3937&gt;=I3937,1,0))</f>
        <v/>
      </c>
      <c r="O3937" s="21">
        <f>IF(I3937&lt;=5000000,"Under $5M",IF(I3937&lt;=20000000,"$5M-20M",IF(I3937&lt;=50000000,"$20M-50M",IF(I3937&lt;=100000000,"$50M-100M","$100M+"))))</f>
        <v/>
      </c>
      <c r="P3937" s="21">
        <f>IF(E3937&lt;=90,"90 or less",IF(E3937&lt;=105,"91-105",IF(E3937&lt;=120,"106-120",IF(E3937&lt;=140,"121-140","Over 140"))))</f>
        <v/>
      </c>
      <c r="Q3937" s="28">
        <f>INT(C3937/10)*10</f>
        <v/>
      </c>
    </row>
    <row r="3938">
      <c r="A3938" s="21" t="n">
        <v>4016</v>
      </c>
      <c r="B3938" s="21" t="inlineStr">
        <is>
          <t>Seven Psychopaths</t>
        </is>
      </c>
      <c r="C3938" s="21" t="n">
        <v>2012</v>
      </c>
      <c r="D3938" s="21" t="inlineStr">
        <is>
          <t>UK</t>
        </is>
      </c>
      <c r="E3938" s="21" t="n">
        <v>110</v>
      </c>
      <c r="F3938" s="21" t="inlineStr">
        <is>
          <t>English</t>
        </is>
      </c>
      <c r="G3938" s="21" t="inlineStr">
        <is>
          <t>R</t>
        </is>
      </c>
      <c r="H3938" s="22" t="n">
        <v>14989761</v>
      </c>
      <c r="I3938" s="22" t="n">
        <v>15000000</v>
      </c>
      <c r="J3938" s="21">
        <f>IF(OR(H3938="",H3938=25529689.5),"Yes","No")</f>
        <v/>
      </c>
      <c r="K3938" s="21">
        <f>IF(AND(D3938="USA",C3938&gt;=1980,J3938="No"),"Yes","No")</f>
        <v/>
      </c>
      <c r="L3938" s="26">
        <f>IF(J3938="Yes","",H3938-I3938)</f>
        <v/>
      </c>
      <c r="M3938" s="27">
        <f>IF(OR(J3938="Yes",I3938=0),"",H3938/I3938)</f>
        <v/>
      </c>
      <c r="N3938" s="21">
        <f>IF(J3938="Yes","",IF(H3938&gt;=I3938,1,0))</f>
        <v/>
      </c>
      <c r="O3938" s="21">
        <f>IF(I3938&lt;=5000000,"Under $5M",IF(I3938&lt;=20000000,"$5M-20M",IF(I3938&lt;=50000000,"$20M-50M",IF(I3938&lt;=100000000,"$50M-100M","$100M+"))))</f>
        <v/>
      </c>
      <c r="P3938" s="21">
        <f>IF(E3938&lt;=90,"90 or less",IF(E3938&lt;=105,"91-105",IF(E3938&lt;=120,"106-120",IF(E3938&lt;=140,"121-140","Over 140"))))</f>
        <v/>
      </c>
      <c r="Q3938" s="28">
        <f>INT(C3938/10)*10</f>
        <v/>
      </c>
    </row>
    <row r="3939">
      <c r="A3939" s="21" t="n">
        <v>4017</v>
      </c>
      <c r="B3939" s="21" t="inlineStr">
        <is>
          <t>Shanghai Calling</t>
        </is>
      </c>
      <c r="C3939" s="21" t="n">
        <v>2012</v>
      </c>
      <c r="D3939" s="21" t="inlineStr">
        <is>
          <t>USA</t>
        </is>
      </c>
      <c r="E3939" s="21" t="n">
        <v>100</v>
      </c>
      <c r="F3939" s="21" t="inlineStr">
        <is>
          <t>English</t>
        </is>
      </c>
      <c r="G3939" s="21" t="inlineStr">
        <is>
          <t>PG-13</t>
        </is>
      </c>
      <c r="H3939" s="22" t="n">
        <v>10443</v>
      </c>
      <c r="I3939" s="22" t="n">
        <v>20000000</v>
      </c>
      <c r="J3939" s="21">
        <f>IF(OR(H3939="",H3939=25529689.5),"Yes","No")</f>
        <v/>
      </c>
      <c r="K3939" s="21">
        <f>IF(AND(D3939="USA",C3939&gt;=1980,J3939="No"),"Yes","No")</f>
        <v/>
      </c>
      <c r="L3939" s="26">
        <f>IF(J3939="Yes","",H3939-I3939)</f>
        <v/>
      </c>
      <c r="M3939" s="27">
        <f>IF(OR(J3939="Yes",I3939=0),"",H3939/I3939)</f>
        <v/>
      </c>
      <c r="N3939" s="21">
        <f>IF(J3939="Yes","",IF(H3939&gt;=I3939,1,0))</f>
        <v/>
      </c>
      <c r="O3939" s="21">
        <f>IF(I3939&lt;=5000000,"Under $5M",IF(I3939&lt;=20000000,"$5M-20M",IF(I3939&lt;=50000000,"$20M-50M",IF(I3939&lt;=100000000,"$50M-100M","$100M+"))))</f>
        <v/>
      </c>
      <c r="P3939" s="21">
        <f>IF(E3939&lt;=90,"90 or less",IF(E3939&lt;=105,"91-105",IF(E3939&lt;=120,"106-120",IF(E3939&lt;=140,"121-140","Over 140"))))</f>
        <v/>
      </c>
      <c r="Q3939" s="28">
        <f>INT(C3939/10)*10</f>
        <v/>
      </c>
    </row>
    <row r="3940">
      <c r="A3940" s="21" t="n">
        <v>4018</v>
      </c>
      <c r="B3940" s="21" t="inlineStr">
        <is>
          <t>Should've Been Romeo</t>
        </is>
      </c>
      <c r="C3940" s="21" t="n">
        <v>2012</v>
      </c>
      <c r="D3940" s="21" t="inlineStr">
        <is>
          <t>USA</t>
        </is>
      </c>
      <c r="E3940" s="21" t="n">
        <v>104</v>
      </c>
      <c r="F3940" s="21" t="inlineStr">
        <is>
          <t>English</t>
        </is>
      </c>
      <c r="G3940" s="21" t="n"/>
      <c r="H3940" s="22" t="n">
        <v>25529689.5</v>
      </c>
      <c r="I3940" s="22" t="n">
        <v>5000000</v>
      </c>
      <c r="J3940" s="21">
        <f>IF(OR(H3940="",H3940=25529689.5),"Yes","No")</f>
        <v/>
      </c>
      <c r="K3940" s="21">
        <f>IF(AND(D3940="USA",C3940&gt;=1980,J3940="No"),"Yes","No")</f>
        <v/>
      </c>
      <c r="L3940" s="26">
        <f>IF(J3940="Yes","",H3940-I3940)</f>
        <v/>
      </c>
      <c r="M3940" s="27">
        <f>IF(OR(J3940="Yes",I3940=0),"",H3940/I3940)</f>
        <v/>
      </c>
      <c r="N3940" s="21">
        <f>IF(J3940="Yes","",IF(H3940&gt;=I3940,1,0))</f>
        <v/>
      </c>
      <c r="O3940" s="21">
        <f>IF(I3940&lt;=5000000,"Under $5M",IF(I3940&lt;=20000000,"$5M-20M",IF(I3940&lt;=50000000,"$20M-50M",IF(I3940&lt;=100000000,"$50M-100M","$100M+"))))</f>
        <v/>
      </c>
      <c r="P3940" s="21">
        <f>IF(E3940&lt;=90,"90 or less",IF(E3940&lt;=105,"91-105",IF(E3940&lt;=120,"106-120",IF(E3940&lt;=140,"121-140","Over 140"))))</f>
        <v/>
      </c>
      <c r="Q3940" s="28">
        <f>INT(C3940/10)*10</f>
        <v/>
      </c>
    </row>
    <row r="3941">
      <c r="A3941" s="21" t="n">
        <v>4019</v>
      </c>
      <c r="B3941" s="21" t="inlineStr">
        <is>
          <t>Silent Hill: Revelation 3D</t>
        </is>
      </c>
      <c r="C3941" s="21" t="n">
        <v>2012</v>
      </c>
      <c r="D3941" s="21" t="inlineStr">
        <is>
          <t>France</t>
        </is>
      </c>
      <c r="E3941" s="21" t="n">
        <v>95</v>
      </c>
      <c r="F3941" s="21" t="inlineStr">
        <is>
          <t>English</t>
        </is>
      </c>
      <c r="G3941" s="21" t="inlineStr">
        <is>
          <t>R</t>
        </is>
      </c>
      <c r="H3941" s="22" t="n">
        <v>17529157</v>
      </c>
      <c r="I3941" s="22" t="n">
        <v>20000000</v>
      </c>
      <c r="J3941" s="21">
        <f>IF(OR(H3941="",H3941=25529689.5),"Yes","No")</f>
        <v/>
      </c>
      <c r="K3941" s="21">
        <f>IF(AND(D3941="USA",C3941&gt;=1980,J3941="No"),"Yes","No")</f>
        <v/>
      </c>
      <c r="L3941" s="26">
        <f>IF(J3941="Yes","",H3941-I3941)</f>
        <v/>
      </c>
      <c r="M3941" s="27">
        <f>IF(OR(J3941="Yes",I3941=0),"",H3941/I3941)</f>
        <v/>
      </c>
      <c r="N3941" s="21">
        <f>IF(J3941="Yes","",IF(H3941&gt;=I3941,1,0))</f>
        <v/>
      </c>
      <c r="O3941" s="21">
        <f>IF(I3941&lt;=5000000,"Under $5M",IF(I3941&lt;=20000000,"$5M-20M",IF(I3941&lt;=50000000,"$20M-50M",IF(I3941&lt;=100000000,"$50M-100M","$100M+"))))</f>
        <v/>
      </c>
      <c r="P3941" s="21">
        <f>IF(E3941&lt;=90,"90 or less",IF(E3941&lt;=105,"91-105",IF(E3941&lt;=120,"106-120",IF(E3941&lt;=140,"121-140","Over 140"))))</f>
        <v/>
      </c>
      <c r="Q3941" s="28">
        <f>INT(C3941/10)*10</f>
        <v/>
      </c>
    </row>
    <row r="3942">
      <c r="A3942" s="21" t="n">
        <v>4020</v>
      </c>
      <c r="B3942" s="21" t="inlineStr">
        <is>
          <t>Silver Linings Playbook</t>
        </is>
      </c>
      <c r="C3942" s="21" t="n">
        <v>2012</v>
      </c>
      <c r="D3942" s="21" t="inlineStr">
        <is>
          <t>USA</t>
        </is>
      </c>
      <c r="E3942" s="21" t="n">
        <v>122</v>
      </c>
      <c r="F3942" s="21" t="inlineStr">
        <is>
          <t>English</t>
        </is>
      </c>
      <c r="G3942" s="21" t="inlineStr">
        <is>
          <t>R</t>
        </is>
      </c>
      <c r="H3942" s="22" t="n">
        <v>132088910</v>
      </c>
      <c r="I3942" s="22" t="n">
        <v>21000000</v>
      </c>
      <c r="J3942" s="21">
        <f>IF(OR(H3942="",H3942=25529689.5),"Yes","No")</f>
        <v/>
      </c>
      <c r="K3942" s="21">
        <f>IF(AND(D3942="USA",C3942&gt;=1980,J3942="No"),"Yes","No")</f>
        <v/>
      </c>
      <c r="L3942" s="26">
        <f>IF(J3942="Yes","",H3942-I3942)</f>
        <v/>
      </c>
      <c r="M3942" s="27">
        <f>IF(OR(J3942="Yes",I3942=0),"",H3942/I3942)</f>
        <v/>
      </c>
      <c r="N3942" s="21">
        <f>IF(J3942="Yes","",IF(H3942&gt;=I3942,1,0))</f>
        <v/>
      </c>
      <c r="O3942" s="21">
        <f>IF(I3942&lt;=5000000,"Under $5M",IF(I3942&lt;=20000000,"$5M-20M",IF(I3942&lt;=50000000,"$20M-50M",IF(I3942&lt;=100000000,"$50M-100M","$100M+"))))</f>
        <v/>
      </c>
      <c r="P3942" s="21">
        <f>IF(E3942&lt;=90,"90 or less",IF(E3942&lt;=105,"91-105",IF(E3942&lt;=120,"106-120",IF(E3942&lt;=140,"121-140","Over 140"))))</f>
        <v/>
      </c>
      <c r="Q3942" s="28">
        <f>INT(C3942/10)*10</f>
        <v/>
      </c>
    </row>
    <row r="3943">
      <c r="A3943" s="21" t="n">
        <v>4021</v>
      </c>
      <c r="B3943" s="21" t="inlineStr">
        <is>
          <t>Sinister</t>
        </is>
      </c>
      <c r="C3943" s="21" t="n">
        <v>2012</v>
      </c>
      <c r="D3943" s="21" t="inlineStr">
        <is>
          <t>USA</t>
        </is>
      </c>
      <c r="E3943" s="21" t="n">
        <v>110</v>
      </c>
      <c r="F3943" s="21" t="inlineStr">
        <is>
          <t>English</t>
        </is>
      </c>
      <c r="G3943" s="21" t="inlineStr">
        <is>
          <t>R</t>
        </is>
      </c>
      <c r="H3943" s="22" t="n">
        <v>48056940</v>
      </c>
      <c r="I3943" s="22" t="n">
        <v>3000000</v>
      </c>
      <c r="J3943" s="21">
        <f>IF(OR(H3943="",H3943=25529689.5),"Yes","No")</f>
        <v/>
      </c>
      <c r="K3943" s="21">
        <f>IF(AND(D3943="USA",C3943&gt;=1980,J3943="No"),"Yes","No")</f>
        <v/>
      </c>
      <c r="L3943" s="26">
        <f>IF(J3943="Yes","",H3943-I3943)</f>
        <v/>
      </c>
      <c r="M3943" s="27">
        <f>IF(OR(J3943="Yes",I3943=0),"",H3943/I3943)</f>
        <v/>
      </c>
      <c r="N3943" s="21">
        <f>IF(J3943="Yes","",IF(H3943&gt;=I3943,1,0))</f>
        <v/>
      </c>
      <c r="O3943" s="21">
        <f>IF(I3943&lt;=5000000,"Under $5M",IF(I3943&lt;=20000000,"$5M-20M",IF(I3943&lt;=50000000,"$20M-50M",IF(I3943&lt;=100000000,"$50M-100M","$100M+"))))</f>
        <v/>
      </c>
      <c r="P3943" s="21">
        <f>IF(E3943&lt;=90,"90 or less",IF(E3943&lt;=105,"91-105",IF(E3943&lt;=120,"106-120",IF(E3943&lt;=140,"121-140","Over 140"))))</f>
        <v/>
      </c>
      <c r="Q3943" s="28">
        <f>INT(C3943/10)*10</f>
        <v/>
      </c>
    </row>
    <row r="3944">
      <c r="A3944" s="21" t="n">
        <v>4022</v>
      </c>
      <c r="B3944" s="21" t="inlineStr">
        <is>
          <t>Skyfall</t>
        </is>
      </c>
      <c r="C3944" s="21" t="n">
        <v>2012</v>
      </c>
      <c r="D3944" s="21" t="inlineStr">
        <is>
          <t>UK</t>
        </is>
      </c>
      <c r="E3944" s="21" t="n">
        <v>143</v>
      </c>
      <c r="F3944" s="21" t="inlineStr">
        <is>
          <t>English</t>
        </is>
      </c>
      <c r="G3944" s="21" t="inlineStr">
        <is>
          <t>PG-13</t>
        </is>
      </c>
      <c r="H3944" s="22" t="n">
        <v>304360277</v>
      </c>
      <c r="I3944" s="22" t="n">
        <v>200000000</v>
      </c>
      <c r="J3944" s="21">
        <f>IF(OR(H3944="",H3944=25529689.5),"Yes","No")</f>
        <v/>
      </c>
      <c r="K3944" s="21">
        <f>IF(AND(D3944="USA",C3944&gt;=1980,J3944="No"),"Yes","No")</f>
        <v/>
      </c>
      <c r="L3944" s="26">
        <f>IF(J3944="Yes","",H3944-I3944)</f>
        <v/>
      </c>
      <c r="M3944" s="27">
        <f>IF(OR(J3944="Yes",I3944=0),"",H3944/I3944)</f>
        <v/>
      </c>
      <c r="N3944" s="21">
        <f>IF(J3944="Yes","",IF(H3944&gt;=I3944,1,0))</f>
        <v/>
      </c>
      <c r="O3944" s="21">
        <f>IF(I3944&lt;=5000000,"Under $5M",IF(I3944&lt;=20000000,"$5M-20M",IF(I3944&lt;=50000000,"$20M-50M",IF(I3944&lt;=100000000,"$50M-100M","$100M+"))))</f>
        <v/>
      </c>
      <c r="P3944" s="21">
        <f>IF(E3944&lt;=90,"90 or less",IF(E3944&lt;=105,"91-105",IF(E3944&lt;=120,"106-120",IF(E3944&lt;=140,"121-140","Over 140"))))</f>
        <v/>
      </c>
      <c r="Q3944" s="28">
        <f>INT(C3944/10)*10</f>
        <v/>
      </c>
    </row>
    <row r="3945">
      <c r="A3945" s="21" t="n">
        <v>4024</v>
      </c>
      <c r="B3945" s="21" t="inlineStr">
        <is>
          <t>Small Apartments</t>
        </is>
      </c>
      <c r="C3945" s="21" t="n">
        <v>2012</v>
      </c>
      <c r="D3945" s="21" t="inlineStr">
        <is>
          <t>USA</t>
        </is>
      </c>
      <c r="E3945" s="21" t="n">
        <v>96</v>
      </c>
      <c r="F3945" s="21" t="inlineStr">
        <is>
          <t>English</t>
        </is>
      </c>
      <c r="G3945" s="21" t="inlineStr">
        <is>
          <t>R</t>
        </is>
      </c>
      <c r="H3945" s="22" t="n">
        <v>25529689.5</v>
      </c>
      <c r="I3945" s="22" t="n">
        <v>2000000</v>
      </c>
      <c r="J3945" s="21">
        <f>IF(OR(H3945="",H3945=25529689.5),"Yes","No")</f>
        <v/>
      </c>
      <c r="K3945" s="21">
        <f>IF(AND(D3945="USA",C3945&gt;=1980,J3945="No"),"Yes","No")</f>
        <v/>
      </c>
      <c r="L3945" s="26">
        <f>IF(J3945="Yes","",H3945-I3945)</f>
        <v/>
      </c>
      <c r="M3945" s="27">
        <f>IF(OR(J3945="Yes",I3945=0),"",H3945/I3945)</f>
        <v/>
      </c>
      <c r="N3945" s="21">
        <f>IF(J3945="Yes","",IF(H3945&gt;=I3945,1,0))</f>
        <v/>
      </c>
      <c r="O3945" s="21">
        <f>IF(I3945&lt;=5000000,"Under $5M",IF(I3945&lt;=20000000,"$5M-20M",IF(I3945&lt;=50000000,"$20M-50M",IF(I3945&lt;=100000000,"$50M-100M","$100M+"))))</f>
        <v/>
      </c>
      <c r="P3945" s="21">
        <f>IF(E3945&lt;=90,"90 or less",IF(E3945&lt;=105,"91-105",IF(E3945&lt;=120,"106-120",IF(E3945&lt;=140,"121-140","Over 140"))))</f>
        <v/>
      </c>
      <c r="Q3945" s="28">
        <f>INT(C3945/10)*10</f>
        <v/>
      </c>
    </row>
    <row r="3946">
      <c r="A3946" s="21" t="n">
        <v>4025</v>
      </c>
      <c r="B3946" s="21" t="inlineStr">
        <is>
          <t>Snow Queen</t>
        </is>
      </c>
      <c r="C3946" s="21" t="n">
        <v>2012</v>
      </c>
      <c r="D3946" s="21" t="inlineStr">
        <is>
          <t>Russia</t>
        </is>
      </c>
      <c r="E3946" s="21" t="n">
        <v>80</v>
      </c>
      <c r="F3946" s="21" t="inlineStr">
        <is>
          <t>Russian</t>
        </is>
      </c>
      <c r="G3946" s="21" t="inlineStr">
        <is>
          <t>PG</t>
        </is>
      </c>
      <c r="H3946" s="22" t="n">
        <v>25529689.5</v>
      </c>
      <c r="I3946" s="22" t="n">
        <v>7000000</v>
      </c>
      <c r="J3946" s="21">
        <f>IF(OR(H3946="",H3946=25529689.5),"Yes","No")</f>
        <v/>
      </c>
      <c r="K3946" s="21">
        <f>IF(AND(D3946="USA",C3946&gt;=1980,J3946="No"),"Yes","No")</f>
        <v/>
      </c>
      <c r="L3946" s="26">
        <f>IF(J3946="Yes","",H3946-I3946)</f>
        <v/>
      </c>
      <c r="M3946" s="27">
        <f>IF(OR(J3946="Yes",I3946=0),"",H3946/I3946)</f>
        <v/>
      </c>
      <c r="N3946" s="21">
        <f>IF(J3946="Yes","",IF(H3946&gt;=I3946,1,0))</f>
        <v/>
      </c>
      <c r="O3946" s="21">
        <f>IF(I3946&lt;=5000000,"Under $5M",IF(I3946&lt;=20000000,"$5M-20M",IF(I3946&lt;=50000000,"$20M-50M",IF(I3946&lt;=100000000,"$50M-100M","$100M+"))))</f>
        <v/>
      </c>
      <c r="P3946" s="21">
        <f>IF(E3946&lt;=90,"90 or less",IF(E3946&lt;=105,"91-105",IF(E3946&lt;=120,"106-120",IF(E3946&lt;=140,"121-140","Over 140"))))</f>
        <v/>
      </c>
      <c r="Q3946" s="28">
        <f>INT(C3946/10)*10</f>
        <v/>
      </c>
    </row>
    <row r="3947">
      <c r="A3947" s="21" t="n">
        <v>4026</v>
      </c>
      <c r="B3947" s="21" t="inlineStr">
        <is>
          <t>Snow White and the Huntsman</t>
        </is>
      </c>
      <c r="C3947" s="21" t="n">
        <v>2012</v>
      </c>
      <c r="D3947" s="21" t="inlineStr">
        <is>
          <t>USA</t>
        </is>
      </c>
      <c r="E3947" s="21" t="n">
        <v>132</v>
      </c>
      <c r="F3947" s="21" t="inlineStr">
        <is>
          <t>English</t>
        </is>
      </c>
      <c r="G3947" s="21" t="inlineStr">
        <is>
          <t>PG-13</t>
        </is>
      </c>
      <c r="H3947" s="22" t="n">
        <v>155111815</v>
      </c>
      <c r="I3947" s="22" t="n">
        <v>170000000</v>
      </c>
      <c r="J3947" s="21">
        <f>IF(OR(H3947="",H3947=25529689.5),"Yes","No")</f>
        <v/>
      </c>
      <c r="K3947" s="21">
        <f>IF(AND(D3947="USA",C3947&gt;=1980,J3947="No"),"Yes","No")</f>
        <v/>
      </c>
      <c r="L3947" s="26">
        <f>IF(J3947="Yes","",H3947-I3947)</f>
        <v/>
      </c>
      <c r="M3947" s="27">
        <f>IF(OR(J3947="Yes",I3947=0),"",H3947/I3947)</f>
        <v/>
      </c>
      <c r="N3947" s="21">
        <f>IF(J3947="Yes","",IF(H3947&gt;=I3947,1,0))</f>
        <v/>
      </c>
      <c r="O3947" s="21">
        <f>IF(I3947&lt;=5000000,"Under $5M",IF(I3947&lt;=20000000,"$5M-20M",IF(I3947&lt;=50000000,"$20M-50M",IF(I3947&lt;=100000000,"$50M-100M","$100M+"))))</f>
        <v/>
      </c>
      <c r="P3947" s="21">
        <f>IF(E3947&lt;=90,"90 or less",IF(E3947&lt;=105,"91-105",IF(E3947&lt;=120,"106-120",IF(E3947&lt;=140,"121-140","Over 140"))))</f>
        <v/>
      </c>
      <c r="Q3947" s="28">
        <f>INT(C3947/10)*10</f>
        <v/>
      </c>
    </row>
    <row r="3948">
      <c r="A3948" s="21" t="n">
        <v>4027</v>
      </c>
      <c r="B3948" s="21" t="inlineStr">
        <is>
          <t>Snow White: A Deadly Summer</t>
        </is>
      </c>
      <c r="C3948" s="21" t="n">
        <v>2012</v>
      </c>
      <c r="D3948" s="21" t="inlineStr">
        <is>
          <t>USA</t>
        </is>
      </c>
      <c r="E3948" s="21" t="n">
        <v>83</v>
      </c>
      <c r="F3948" s="21" t="inlineStr">
        <is>
          <t>English</t>
        </is>
      </c>
      <c r="G3948" s="21" t="inlineStr">
        <is>
          <t>PG-13</t>
        </is>
      </c>
      <c r="H3948" s="22" t="n">
        <v>25529689.5</v>
      </c>
      <c r="I3948" s="22" t="n">
        <v>1000000</v>
      </c>
      <c r="J3948" s="21">
        <f>IF(OR(H3948="",H3948=25529689.5),"Yes","No")</f>
        <v/>
      </c>
      <c r="K3948" s="21">
        <f>IF(AND(D3948="USA",C3948&gt;=1980,J3948="No"),"Yes","No")</f>
        <v/>
      </c>
      <c r="L3948" s="26">
        <f>IF(J3948="Yes","",H3948-I3948)</f>
        <v/>
      </c>
      <c r="M3948" s="27">
        <f>IF(OR(J3948="Yes",I3948=0),"",H3948/I3948)</f>
        <v/>
      </c>
      <c r="N3948" s="21">
        <f>IF(J3948="Yes","",IF(H3948&gt;=I3948,1,0))</f>
        <v/>
      </c>
      <c r="O3948" s="21">
        <f>IF(I3948&lt;=5000000,"Under $5M",IF(I3948&lt;=20000000,"$5M-20M",IF(I3948&lt;=50000000,"$20M-50M",IF(I3948&lt;=100000000,"$50M-100M","$100M+"))))</f>
        <v/>
      </c>
      <c r="P3948" s="21">
        <f>IF(E3948&lt;=90,"90 or less",IF(E3948&lt;=105,"91-105",IF(E3948&lt;=120,"106-120",IF(E3948&lt;=140,"121-140","Over 140"))))</f>
        <v/>
      </c>
      <c r="Q3948" s="28">
        <f>INT(C3948/10)*10</f>
        <v/>
      </c>
    </row>
    <row r="3949">
      <c r="A3949" s="21" t="n">
        <v>4028</v>
      </c>
      <c r="B3949" s="21" t="inlineStr">
        <is>
          <t>Sparkle</t>
        </is>
      </c>
      <c r="C3949" s="21" t="n">
        <v>2012</v>
      </c>
      <c r="D3949" s="21" t="inlineStr">
        <is>
          <t>USA</t>
        </is>
      </c>
      <c r="E3949" s="21" t="n">
        <v>116</v>
      </c>
      <c r="F3949" s="21" t="inlineStr">
        <is>
          <t>English</t>
        </is>
      </c>
      <c r="G3949" s="21" t="inlineStr">
        <is>
          <t>PG-13</t>
        </is>
      </c>
      <c r="H3949" s="22" t="n">
        <v>24397469</v>
      </c>
      <c r="I3949" s="22" t="n">
        <v>17000000</v>
      </c>
      <c r="J3949" s="21">
        <f>IF(OR(H3949="",H3949=25529689.5),"Yes","No")</f>
        <v/>
      </c>
      <c r="K3949" s="21">
        <f>IF(AND(D3949="USA",C3949&gt;=1980,J3949="No"),"Yes","No")</f>
        <v/>
      </c>
      <c r="L3949" s="26">
        <f>IF(J3949="Yes","",H3949-I3949)</f>
        <v/>
      </c>
      <c r="M3949" s="27">
        <f>IF(OR(J3949="Yes",I3949=0),"",H3949/I3949)</f>
        <v/>
      </c>
      <c r="N3949" s="21">
        <f>IF(J3949="Yes","",IF(H3949&gt;=I3949,1,0))</f>
        <v/>
      </c>
      <c r="O3949" s="21">
        <f>IF(I3949&lt;=5000000,"Under $5M",IF(I3949&lt;=20000000,"$5M-20M",IF(I3949&lt;=50000000,"$20M-50M",IF(I3949&lt;=100000000,"$50M-100M","$100M+"))))</f>
        <v/>
      </c>
      <c r="P3949" s="21">
        <f>IF(E3949&lt;=90,"90 or less",IF(E3949&lt;=105,"91-105",IF(E3949&lt;=120,"106-120",IF(E3949&lt;=140,"121-140","Over 140"))))</f>
        <v/>
      </c>
      <c r="Q3949" s="28">
        <f>INT(C3949/10)*10</f>
        <v/>
      </c>
    </row>
    <row r="3950">
      <c r="A3950" s="21" t="n">
        <v>4029</v>
      </c>
      <c r="B3950" s="21" t="inlineStr">
        <is>
          <t>Spring Breakers</t>
        </is>
      </c>
      <c r="C3950" s="21" t="n">
        <v>2012</v>
      </c>
      <c r="D3950" s="21" t="inlineStr">
        <is>
          <t>USA</t>
        </is>
      </c>
      <c r="E3950" s="21" t="n">
        <v>94</v>
      </c>
      <c r="F3950" s="21" t="inlineStr">
        <is>
          <t>English</t>
        </is>
      </c>
      <c r="G3950" s="21" t="inlineStr">
        <is>
          <t>R</t>
        </is>
      </c>
      <c r="H3950" s="22" t="n">
        <v>14123773</v>
      </c>
      <c r="I3950" s="22" t="n">
        <v>5000000</v>
      </c>
      <c r="J3950" s="21">
        <f>IF(OR(H3950="",H3950=25529689.5),"Yes","No")</f>
        <v/>
      </c>
      <c r="K3950" s="21">
        <f>IF(AND(D3950="USA",C3950&gt;=1980,J3950="No"),"Yes","No")</f>
        <v/>
      </c>
      <c r="L3950" s="26">
        <f>IF(J3950="Yes","",H3950-I3950)</f>
        <v/>
      </c>
      <c r="M3950" s="27">
        <f>IF(OR(J3950="Yes",I3950=0),"",H3950/I3950)</f>
        <v/>
      </c>
      <c r="N3950" s="21">
        <f>IF(J3950="Yes","",IF(H3950&gt;=I3950,1,0))</f>
        <v/>
      </c>
      <c r="O3950" s="21">
        <f>IF(I3950&lt;=5000000,"Under $5M",IF(I3950&lt;=20000000,"$5M-20M",IF(I3950&lt;=50000000,"$20M-50M",IF(I3950&lt;=100000000,"$50M-100M","$100M+"))))</f>
        <v/>
      </c>
      <c r="P3950" s="21">
        <f>IF(E3950&lt;=90,"90 or less",IF(E3950&lt;=105,"91-105",IF(E3950&lt;=120,"106-120",IF(E3950&lt;=140,"121-140","Over 140"))))</f>
        <v/>
      </c>
      <c r="Q3950" s="28">
        <f>INT(C3950/10)*10</f>
        <v/>
      </c>
    </row>
    <row r="3951">
      <c r="A3951" s="21" t="n">
        <v>4030</v>
      </c>
      <c r="B3951" s="21" t="inlineStr">
        <is>
          <t>Step Up Revolution</t>
        </is>
      </c>
      <c r="C3951" s="21" t="n">
        <v>2012</v>
      </c>
      <c r="D3951" s="21" t="inlineStr">
        <is>
          <t>USA</t>
        </is>
      </c>
      <c r="E3951" s="21" t="n">
        <v>99</v>
      </c>
      <c r="F3951" s="21" t="inlineStr">
        <is>
          <t>English</t>
        </is>
      </c>
      <c r="G3951" s="21" t="inlineStr">
        <is>
          <t>PG-13</t>
        </is>
      </c>
      <c r="H3951" s="22" t="n">
        <v>35057332</v>
      </c>
      <c r="I3951" s="22" t="n">
        <v>33000000</v>
      </c>
      <c r="J3951" s="21">
        <f>IF(OR(H3951="",H3951=25529689.5),"Yes","No")</f>
        <v/>
      </c>
      <c r="K3951" s="21">
        <f>IF(AND(D3951="USA",C3951&gt;=1980,J3951="No"),"Yes","No")</f>
        <v/>
      </c>
      <c r="L3951" s="26">
        <f>IF(J3951="Yes","",H3951-I3951)</f>
        <v/>
      </c>
      <c r="M3951" s="27">
        <f>IF(OR(J3951="Yes",I3951=0),"",H3951/I3951)</f>
        <v/>
      </c>
      <c r="N3951" s="21">
        <f>IF(J3951="Yes","",IF(H3951&gt;=I3951,1,0))</f>
        <v/>
      </c>
      <c r="O3951" s="21">
        <f>IF(I3951&lt;=5000000,"Under $5M",IF(I3951&lt;=20000000,"$5M-20M",IF(I3951&lt;=50000000,"$20M-50M",IF(I3951&lt;=100000000,"$50M-100M","$100M+"))))</f>
        <v/>
      </c>
      <c r="P3951" s="21">
        <f>IF(E3951&lt;=90,"90 or less",IF(E3951&lt;=105,"91-105",IF(E3951&lt;=120,"106-120",IF(E3951&lt;=140,"121-140","Over 140"))))</f>
        <v/>
      </c>
      <c r="Q3951" s="28">
        <f>INT(C3951/10)*10</f>
        <v/>
      </c>
    </row>
    <row r="3952">
      <c r="A3952" s="21" t="n">
        <v>4031</v>
      </c>
      <c r="B3952" s="21" t="inlineStr">
        <is>
          <t>Stitches</t>
        </is>
      </c>
      <c r="C3952" s="21" t="n">
        <v>2012</v>
      </c>
      <c r="D3952" s="21" t="inlineStr">
        <is>
          <t>Ireland</t>
        </is>
      </c>
      <c r="E3952" s="21" t="n">
        <v>86</v>
      </c>
      <c r="F3952" s="21" t="inlineStr">
        <is>
          <t>English</t>
        </is>
      </c>
      <c r="G3952" s="21" t="inlineStr">
        <is>
          <t>R</t>
        </is>
      </c>
      <c r="H3952" s="22" t="n">
        <v>25529689.5</v>
      </c>
      <c r="I3952" s="22" t="n">
        <v>20000000</v>
      </c>
      <c r="J3952" s="21">
        <f>IF(OR(H3952="",H3952=25529689.5),"Yes","No")</f>
        <v/>
      </c>
      <c r="K3952" s="21">
        <f>IF(AND(D3952="USA",C3952&gt;=1980,J3952="No"),"Yes","No")</f>
        <v/>
      </c>
      <c r="L3952" s="26">
        <f>IF(J3952="Yes","",H3952-I3952)</f>
        <v/>
      </c>
      <c r="M3952" s="27">
        <f>IF(OR(J3952="Yes",I3952=0),"",H3952/I3952)</f>
        <v/>
      </c>
      <c r="N3952" s="21">
        <f>IF(J3952="Yes","",IF(H3952&gt;=I3952,1,0))</f>
        <v/>
      </c>
      <c r="O3952" s="21">
        <f>IF(I3952&lt;=5000000,"Under $5M",IF(I3952&lt;=20000000,"$5M-20M",IF(I3952&lt;=50000000,"$20M-50M",IF(I3952&lt;=100000000,"$50M-100M","$100M+"))))</f>
        <v/>
      </c>
      <c r="P3952" s="21">
        <f>IF(E3952&lt;=90,"90 or less",IF(E3952&lt;=105,"91-105",IF(E3952&lt;=120,"106-120",IF(E3952&lt;=140,"121-140","Over 140"))))</f>
        <v/>
      </c>
      <c r="Q3952" s="28">
        <f>INT(C3952/10)*10</f>
        <v/>
      </c>
    </row>
    <row r="3953">
      <c r="A3953" s="21" t="n">
        <v>4032</v>
      </c>
      <c r="B3953" s="21" t="inlineStr">
        <is>
          <t>Stolen</t>
        </is>
      </c>
      <c r="C3953" s="21" t="n">
        <v>2012</v>
      </c>
      <c r="D3953" s="21" t="inlineStr">
        <is>
          <t>USA</t>
        </is>
      </c>
      <c r="E3953" s="21" t="n">
        <v>96</v>
      </c>
      <c r="F3953" s="21" t="inlineStr">
        <is>
          <t>English</t>
        </is>
      </c>
      <c r="G3953" s="21" t="inlineStr">
        <is>
          <t>R</t>
        </is>
      </c>
      <c r="H3953" s="22" t="n">
        <v>183125</v>
      </c>
      <c r="I3953" s="22" t="n">
        <v>35000000</v>
      </c>
      <c r="J3953" s="21">
        <f>IF(OR(H3953="",H3953=25529689.5),"Yes","No")</f>
        <v/>
      </c>
      <c r="K3953" s="21">
        <f>IF(AND(D3953="USA",C3953&gt;=1980,J3953="No"),"Yes","No")</f>
        <v/>
      </c>
      <c r="L3953" s="26">
        <f>IF(J3953="Yes","",H3953-I3953)</f>
        <v/>
      </c>
      <c r="M3953" s="27">
        <f>IF(OR(J3953="Yes",I3953=0),"",H3953/I3953)</f>
        <v/>
      </c>
      <c r="N3953" s="21">
        <f>IF(J3953="Yes","",IF(H3953&gt;=I3953,1,0))</f>
        <v/>
      </c>
      <c r="O3953" s="21">
        <f>IF(I3953&lt;=5000000,"Under $5M",IF(I3953&lt;=20000000,"$5M-20M",IF(I3953&lt;=50000000,"$20M-50M",IF(I3953&lt;=100000000,"$50M-100M","$100M+"))))</f>
        <v/>
      </c>
      <c r="P3953" s="21">
        <f>IF(E3953&lt;=90,"90 or less",IF(E3953&lt;=105,"91-105",IF(E3953&lt;=120,"106-120",IF(E3953&lt;=140,"121-140","Over 140"))))</f>
        <v/>
      </c>
      <c r="Q3953" s="28">
        <f>INT(C3953/10)*10</f>
        <v/>
      </c>
    </row>
    <row r="3954">
      <c r="A3954" s="21" t="n">
        <v>4033</v>
      </c>
      <c r="B3954" s="21" t="inlineStr">
        <is>
          <t>Supercapitalist</t>
        </is>
      </c>
      <c r="C3954" s="21" t="n">
        <v>2012</v>
      </c>
      <c r="D3954" s="21" t="inlineStr">
        <is>
          <t>USA</t>
        </is>
      </c>
      <c r="E3954" s="21" t="n">
        <v>102</v>
      </c>
      <c r="F3954" s="21" t="inlineStr">
        <is>
          <t>English</t>
        </is>
      </c>
      <c r="G3954" s="21" t="inlineStr">
        <is>
          <t>Not Rated</t>
        </is>
      </c>
      <c r="H3954" s="22" t="n">
        <v>13220</v>
      </c>
      <c r="I3954" s="22" t="n">
        <v>20000000</v>
      </c>
      <c r="J3954" s="21">
        <f>IF(OR(H3954="",H3954=25529689.5),"Yes","No")</f>
        <v/>
      </c>
      <c r="K3954" s="21">
        <f>IF(AND(D3954="USA",C3954&gt;=1980,J3954="No"),"Yes","No")</f>
        <v/>
      </c>
      <c r="L3954" s="26">
        <f>IF(J3954="Yes","",H3954-I3954)</f>
        <v/>
      </c>
      <c r="M3954" s="27">
        <f>IF(OR(J3954="Yes",I3954=0),"",H3954/I3954)</f>
        <v/>
      </c>
      <c r="N3954" s="21">
        <f>IF(J3954="Yes","",IF(H3954&gt;=I3954,1,0))</f>
        <v/>
      </c>
      <c r="O3954" s="21">
        <f>IF(I3954&lt;=5000000,"Under $5M",IF(I3954&lt;=20000000,"$5M-20M",IF(I3954&lt;=50000000,"$20M-50M",IF(I3954&lt;=100000000,"$50M-100M","$100M+"))))</f>
        <v/>
      </c>
      <c r="P3954" s="21">
        <f>IF(E3954&lt;=90,"90 or less",IF(E3954&lt;=105,"91-105",IF(E3954&lt;=120,"106-120",IF(E3954&lt;=140,"121-140","Over 140"))))</f>
        <v/>
      </c>
      <c r="Q3954" s="28">
        <f>INT(C3954/10)*10</f>
        <v/>
      </c>
    </row>
    <row r="3955">
      <c r="A3955" s="21" t="n">
        <v>4034</v>
      </c>
      <c r="B3955" s="21" t="inlineStr">
        <is>
          <t>Supporting Characters</t>
        </is>
      </c>
      <c r="C3955" s="21" t="n">
        <v>2012</v>
      </c>
      <c r="D3955" s="21" t="inlineStr">
        <is>
          <t>USA</t>
        </is>
      </c>
      <c r="E3955" s="21" t="n">
        <v>87</v>
      </c>
      <c r="F3955" s="21" t="inlineStr">
        <is>
          <t>English</t>
        </is>
      </c>
      <c r="G3955" s="21" t="inlineStr">
        <is>
          <t>Not Rated</t>
        </is>
      </c>
      <c r="H3955" s="22" t="n">
        <v>25529689.5</v>
      </c>
      <c r="I3955" s="22" t="n">
        <v>20000000</v>
      </c>
      <c r="J3955" s="21">
        <f>IF(OR(H3955="",H3955=25529689.5),"Yes","No")</f>
        <v/>
      </c>
      <c r="K3955" s="21">
        <f>IF(AND(D3955="USA",C3955&gt;=1980,J3955="No"),"Yes","No")</f>
        <v/>
      </c>
      <c r="L3955" s="26">
        <f>IF(J3955="Yes","",H3955-I3955)</f>
        <v/>
      </c>
      <c r="M3955" s="27">
        <f>IF(OR(J3955="Yes",I3955=0),"",H3955/I3955)</f>
        <v/>
      </c>
      <c r="N3955" s="21">
        <f>IF(J3955="Yes","",IF(H3955&gt;=I3955,1,0))</f>
        <v/>
      </c>
      <c r="O3955" s="21">
        <f>IF(I3955&lt;=5000000,"Under $5M",IF(I3955&lt;=20000000,"$5M-20M",IF(I3955&lt;=50000000,"$20M-50M",IF(I3955&lt;=100000000,"$50M-100M","$100M+"))))</f>
        <v/>
      </c>
      <c r="P3955" s="21">
        <f>IF(E3955&lt;=90,"90 or less",IF(E3955&lt;=105,"91-105",IF(E3955&lt;=120,"106-120",IF(E3955&lt;=140,"121-140","Over 140"))))</f>
        <v/>
      </c>
      <c r="Q3955" s="28">
        <f>INT(C3955/10)*10</f>
        <v/>
      </c>
    </row>
    <row r="3956">
      <c r="A3956" s="21" t="n">
        <v>4035</v>
      </c>
      <c r="B3956" s="21" t="inlineStr">
        <is>
          <t>Taken 2</t>
        </is>
      </c>
      <c r="C3956" s="21" t="n">
        <v>2012</v>
      </c>
      <c r="D3956" s="21" t="inlineStr">
        <is>
          <t>France</t>
        </is>
      </c>
      <c r="E3956" s="21" t="n">
        <v>98</v>
      </c>
      <c r="F3956" s="21" t="inlineStr">
        <is>
          <t>English</t>
        </is>
      </c>
      <c r="G3956" s="21" t="inlineStr">
        <is>
          <t>PG-13</t>
        </is>
      </c>
      <c r="H3956" s="22" t="n">
        <v>139852971</v>
      </c>
      <c r="I3956" s="22" t="n">
        <v>45000000</v>
      </c>
      <c r="J3956" s="21">
        <f>IF(OR(H3956="",H3956=25529689.5),"Yes","No")</f>
        <v/>
      </c>
      <c r="K3956" s="21">
        <f>IF(AND(D3956="USA",C3956&gt;=1980,J3956="No"),"Yes","No")</f>
        <v/>
      </c>
      <c r="L3956" s="26">
        <f>IF(J3956="Yes","",H3956-I3956)</f>
        <v/>
      </c>
      <c r="M3956" s="27">
        <f>IF(OR(J3956="Yes",I3956=0),"",H3956/I3956)</f>
        <v/>
      </c>
      <c r="N3956" s="21">
        <f>IF(J3956="Yes","",IF(H3956&gt;=I3956,1,0))</f>
        <v/>
      </c>
      <c r="O3956" s="21">
        <f>IF(I3956&lt;=5000000,"Under $5M",IF(I3956&lt;=20000000,"$5M-20M",IF(I3956&lt;=50000000,"$20M-50M",IF(I3956&lt;=100000000,"$50M-100M","$100M+"))))</f>
        <v/>
      </c>
      <c r="P3956" s="21">
        <f>IF(E3956&lt;=90,"90 or less",IF(E3956&lt;=105,"91-105",IF(E3956&lt;=120,"106-120",IF(E3956&lt;=140,"121-140","Over 140"))))</f>
        <v/>
      </c>
      <c r="Q3956" s="28">
        <f>INT(C3956/10)*10</f>
        <v/>
      </c>
    </row>
    <row r="3957">
      <c r="A3957" s="21" t="n">
        <v>4036</v>
      </c>
      <c r="B3957" s="21" t="inlineStr">
        <is>
          <t>Ted</t>
        </is>
      </c>
      <c r="C3957" s="21" t="n">
        <v>2012</v>
      </c>
      <c r="D3957" s="21" t="inlineStr">
        <is>
          <t>USA</t>
        </is>
      </c>
      <c r="E3957" s="21" t="n">
        <v>112</v>
      </c>
      <c r="F3957" s="21" t="inlineStr">
        <is>
          <t>English</t>
        </is>
      </c>
      <c r="G3957" s="21" t="inlineStr">
        <is>
          <t>R</t>
        </is>
      </c>
      <c r="H3957" s="22" t="n">
        <v>218628680</v>
      </c>
      <c r="I3957" s="22" t="n">
        <v>50000000</v>
      </c>
      <c r="J3957" s="21">
        <f>IF(OR(H3957="",H3957=25529689.5),"Yes","No")</f>
        <v/>
      </c>
      <c r="K3957" s="21">
        <f>IF(AND(D3957="USA",C3957&gt;=1980,J3957="No"),"Yes","No")</f>
        <v/>
      </c>
      <c r="L3957" s="26">
        <f>IF(J3957="Yes","",H3957-I3957)</f>
        <v/>
      </c>
      <c r="M3957" s="27">
        <f>IF(OR(J3957="Yes",I3957=0),"",H3957/I3957)</f>
        <v/>
      </c>
      <c r="N3957" s="21">
        <f>IF(J3957="Yes","",IF(H3957&gt;=I3957,1,0))</f>
        <v/>
      </c>
      <c r="O3957" s="21">
        <f>IF(I3957&lt;=5000000,"Under $5M",IF(I3957&lt;=20000000,"$5M-20M",IF(I3957&lt;=50000000,"$20M-50M",IF(I3957&lt;=100000000,"$50M-100M","$100M+"))))</f>
        <v/>
      </c>
      <c r="P3957" s="21">
        <f>IF(E3957&lt;=90,"90 or less",IF(E3957&lt;=105,"91-105",IF(E3957&lt;=120,"106-120",IF(E3957&lt;=140,"121-140","Over 140"))))</f>
        <v/>
      </c>
      <c r="Q3957" s="28">
        <f>INT(C3957/10)*10</f>
        <v/>
      </c>
    </row>
    <row r="3958">
      <c r="A3958" s="21" t="n">
        <v>4037</v>
      </c>
      <c r="B3958" s="21" t="inlineStr">
        <is>
          <t>That's My Boy</t>
        </is>
      </c>
      <c r="C3958" s="21" t="n">
        <v>2012</v>
      </c>
      <c r="D3958" s="21" t="inlineStr">
        <is>
          <t>USA</t>
        </is>
      </c>
      <c r="E3958" s="21" t="n">
        <v>116</v>
      </c>
      <c r="F3958" s="21" t="inlineStr">
        <is>
          <t>English</t>
        </is>
      </c>
      <c r="G3958" s="21" t="inlineStr">
        <is>
          <t>R</t>
        </is>
      </c>
      <c r="H3958" s="22" t="n">
        <v>36931089</v>
      </c>
      <c r="I3958" s="22" t="n">
        <v>70000000</v>
      </c>
      <c r="J3958" s="21">
        <f>IF(OR(H3958="",H3958=25529689.5),"Yes","No")</f>
        <v/>
      </c>
      <c r="K3958" s="21">
        <f>IF(AND(D3958="USA",C3958&gt;=1980,J3958="No"),"Yes","No")</f>
        <v/>
      </c>
      <c r="L3958" s="26">
        <f>IF(J3958="Yes","",H3958-I3958)</f>
        <v/>
      </c>
      <c r="M3958" s="27">
        <f>IF(OR(J3958="Yes",I3958=0),"",H3958/I3958)</f>
        <v/>
      </c>
      <c r="N3958" s="21">
        <f>IF(J3958="Yes","",IF(H3958&gt;=I3958,1,0))</f>
        <v/>
      </c>
      <c r="O3958" s="21">
        <f>IF(I3958&lt;=5000000,"Under $5M",IF(I3958&lt;=20000000,"$5M-20M",IF(I3958&lt;=50000000,"$20M-50M",IF(I3958&lt;=100000000,"$50M-100M","$100M+"))))</f>
        <v/>
      </c>
      <c r="P3958" s="21">
        <f>IF(E3958&lt;=90,"90 or less",IF(E3958&lt;=105,"91-105",IF(E3958&lt;=120,"106-120",IF(E3958&lt;=140,"121-140","Over 140"))))</f>
        <v/>
      </c>
      <c r="Q3958" s="28">
        <f>INT(C3958/10)*10</f>
        <v/>
      </c>
    </row>
    <row r="3959">
      <c r="A3959" s="21" t="n">
        <v>4038</v>
      </c>
      <c r="B3959" s="21" t="inlineStr">
        <is>
          <t>The Act of Killing</t>
        </is>
      </c>
      <c r="C3959" s="21" t="n">
        <v>2012</v>
      </c>
      <c r="D3959" s="21" t="inlineStr">
        <is>
          <t>UK</t>
        </is>
      </c>
      <c r="E3959" s="21" t="n">
        <v>96</v>
      </c>
      <c r="F3959" s="21" t="inlineStr">
        <is>
          <t>Indonesian</t>
        </is>
      </c>
      <c r="G3959" s="21" t="inlineStr">
        <is>
          <t>Not Rated</t>
        </is>
      </c>
      <c r="H3959" s="22" t="n">
        <v>484221</v>
      </c>
      <c r="I3959" s="22" t="n">
        <v>1000000</v>
      </c>
      <c r="J3959" s="21">
        <f>IF(OR(H3959="",H3959=25529689.5),"Yes","No")</f>
        <v/>
      </c>
      <c r="K3959" s="21">
        <f>IF(AND(D3959="USA",C3959&gt;=1980,J3959="No"),"Yes","No")</f>
        <v/>
      </c>
      <c r="L3959" s="26">
        <f>IF(J3959="Yes","",H3959-I3959)</f>
        <v/>
      </c>
      <c r="M3959" s="27">
        <f>IF(OR(J3959="Yes",I3959=0),"",H3959/I3959)</f>
        <v/>
      </c>
      <c r="N3959" s="21">
        <f>IF(J3959="Yes","",IF(H3959&gt;=I3959,1,0))</f>
        <v/>
      </c>
      <c r="O3959" s="21">
        <f>IF(I3959&lt;=5000000,"Under $5M",IF(I3959&lt;=20000000,"$5M-20M",IF(I3959&lt;=50000000,"$20M-50M",IF(I3959&lt;=100000000,"$50M-100M","$100M+"))))</f>
        <v/>
      </c>
      <c r="P3959" s="21">
        <f>IF(E3959&lt;=90,"90 or less",IF(E3959&lt;=105,"91-105",IF(E3959&lt;=120,"106-120",IF(E3959&lt;=140,"121-140","Over 140"))))</f>
        <v/>
      </c>
      <c r="Q3959" s="28">
        <f>INT(C3959/10)*10</f>
        <v/>
      </c>
    </row>
    <row r="3960">
      <c r="A3960" s="21" t="n">
        <v>4039</v>
      </c>
      <c r="B3960" s="21" t="inlineStr">
        <is>
          <t>The Amazing Spider-Man</t>
        </is>
      </c>
      <c r="C3960" s="21" t="n">
        <v>2012</v>
      </c>
      <c r="D3960" s="21" t="inlineStr">
        <is>
          <t>USA</t>
        </is>
      </c>
      <c r="E3960" s="21" t="n">
        <v>153</v>
      </c>
      <c r="F3960" s="21" t="inlineStr">
        <is>
          <t>English</t>
        </is>
      </c>
      <c r="G3960" s="21" t="inlineStr">
        <is>
          <t>PG-13</t>
        </is>
      </c>
      <c r="H3960" s="22" t="n">
        <v>262030663</v>
      </c>
      <c r="I3960" s="22" t="n">
        <v>230000000</v>
      </c>
      <c r="J3960" s="21">
        <f>IF(OR(H3960="",H3960=25529689.5),"Yes","No")</f>
        <v/>
      </c>
      <c r="K3960" s="21">
        <f>IF(AND(D3960="USA",C3960&gt;=1980,J3960="No"),"Yes","No")</f>
        <v/>
      </c>
      <c r="L3960" s="26">
        <f>IF(J3960="Yes","",H3960-I3960)</f>
        <v/>
      </c>
      <c r="M3960" s="27">
        <f>IF(OR(J3960="Yes",I3960=0),"",H3960/I3960)</f>
        <v/>
      </c>
      <c r="N3960" s="21">
        <f>IF(J3960="Yes","",IF(H3960&gt;=I3960,1,0))</f>
        <v/>
      </c>
      <c r="O3960" s="21">
        <f>IF(I3960&lt;=5000000,"Under $5M",IF(I3960&lt;=20000000,"$5M-20M",IF(I3960&lt;=50000000,"$20M-50M",IF(I3960&lt;=100000000,"$50M-100M","$100M+"))))</f>
        <v/>
      </c>
      <c r="P3960" s="21">
        <f>IF(E3960&lt;=90,"90 or less",IF(E3960&lt;=105,"91-105",IF(E3960&lt;=120,"106-120",IF(E3960&lt;=140,"121-140","Over 140"))))</f>
        <v/>
      </c>
      <c r="Q3960" s="28">
        <f>INT(C3960/10)*10</f>
        <v/>
      </c>
    </row>
    <row r="3961">
      <c r="A3961" s="21" t="n">
        <v>4040</v>
      </c>
      <c r="B3961" s="21" t="inlineStr">
        <is>
          <t>The Apparition</t>
        </is>
      </c>
      <c r="C3961" s="21" t="n">
        <v>2012</v>
      </c>
      <c r="D3961" s="21" t="inlineStr">
        <is>
          <t>USA</t>
        </is>
      </c>
      <c r="E3961" s="21" t="n">
        <v>83</v>
      </c>
      <c r="F3961" s="21" t="inlineStr">
        <is>
          <t>English</t>
        </is>
      </c>
      <c r="G3961" s="21" t="inlineStr">
        <is>
          <t>PG-13</t>
        </is>
      </c>
      <c r="H3961" s="22" t="n">
        <v>4930798</v>
      </c>
      <c r="I3961" s="22" t="n">
        <v>17000000</v>
      </c>
      <c r="J3961" s="21">
        <f>IF(OR(H3961="",H3961=25529689.5),"Yes","No")</f>
        <v/>
      </c>
      <c r="K3961" s="21">
        <f>IF(AND(D3961="USA",C3961&gt;=1980,J3961="No"),"Yes","No")</f>
        <v/>
      </c>
      <c r="L3961" s="26">
        <f>IF(J3961="Yes","",H3961-I3961)</f>
        <v/>
      </c>
      <c r="M3961" s="27">
        <f>IF(OR(J3961="Yes",I3961=0),"",H3961/I3961)</f>
        <v/>
      </c>
      <c r="N3961" s="21">
        <f>IF(J3961="Yes","",IF(H3961&gt;=I3961,1,0))</f>
        <v/>
      </c>
      <c r="O3961" s="21">
        <f>IF(I3961&lt;=5000000,"Under $5M",IF(I3961&lt;=20000000,"$5M-20M",IF(I3961&lt;=50000000,"$20M-50M",IF(I3961&lt;=100000000,"$50M-100M","$100M+"))))</f>
        <v/>
      </c>
      <c r="P3961" s="21">
        <f>IF(E3961&lt;=90,"90 or less",IF(E3961&lt;=105,"91-105",IF(E3961&lt;=120,"106-120",IF(E3961&lt;=140,"121-140","Over 140"))))</f>
        <v/>
      </c>
      <c r="Q3961" s="28">
        <f>INT(C3961/10)*10</f>
        <v/>
      </c>
    </row>
    <row r="3962">
      <c r="A3962" s="21" t="n">
        <v>4041</v>
      </c>
      <c r="B3962" s="21" t="inlineStr">
        <is>
          <t>The Avengers</t>
        </is>
      </c>
      <c r="C3962" s="21" t="n">
        <v>2012</v>
      </c>
      <c r="D3962" s="21" t="inlineStr">
        <is>
          <t>USA</t>
        </is>
      </c>
      <c r="E3962" s="21" t="n">
        <v>173</v>
      </c>
      <c r="F3962" s="21" t="inlineStr">
        <is>
          <t>English</t>
        </is>
      </c>
      <c r="G3962" s="21" t="inlineStr">
        <is>
          <t>PG-13</t>
        </is>
      </c>
      <c r="H3962" s="22" t="n">
        <v>623279547</v>
      </c>
      <c r="I3962" s="22" t="n">
        <v>220000000</v>
      </c>
      <c r="J3962" s="21">
        <f>IF(OR(H3962="",H3962=25529689.5),"Yes","No")</f>
        <v/>
      </c>
      <c r="K3962" s="21">
        <f>IF(AND(D3962="USA",C3962&gt;=1980,J3962="No"),"Yes","No")</f>
        <v/>
      </c>
      <c r="L3962" s="26">
        <f>IF(J3962="Yes","",H3962-I3962)</f>
        <v/>
      </c>
      <c r="M3962" s="27">
        <f>IF(OR(J3962="Yes",I3962=0),"",H3962/I3962)</f>
        <v/>
      </c>
      <c r="N3962" s="21">
        <f>IF(J3962="Yes","",IF(H3962&gt;=I3962,1,0))</f>
        <v/>
      </c>
      <c r="O3962" s="21">
        <f>IF(I3962&lt;=5000000,"Under $5M",IF(I3962&lt;=20000000,"$5M-20M",IF(I3962&lt;=50000000,"$20M-50M",IF(I3962&lt;=100000000,"$50M-100M","$100M+"))))</f>
        <v/>
      </c>
      <c r="P3962" s="21">
        <f>IF(E3962&lt;=90,"90 or less",IF(E3962&lt;=105,"91-105",IF(E3962&lt;=120,"106-120",IF(E3962&lt;=140,"121-140","Over 140"))))</f>
        <v/>
      </c>
      <c r="Q3962" s="28">
        <f>INT(C3962/10)*10</f>
        <v/>
      </c>
    </row>
    <row r="3963">
      <c r="A3963" s="21" t="n">
        <v>4043</v>
      </c>
      <c r="B3963" s="21" t="inlineStr">
        <is>
          <t>The Bourne Legacy</t>
        </is>
      </c>
      <c r="C3963" s="21" t="n">
        <v>2012</v>
      </c>
      <c r="D3963" s="21" t="inlineStr">
        <is>
          <t>USA</t>
        </is>
      </c>
      <c r="E3963" s="21" t="n">
        <v>135</v>
      </c>
      <c r="F3963" s="21" t="inlineStr">
        <is>
          <t>English</t>
        </is>
      </c>
      <c r="G3963" s="21" t="inlineStr">
        <is>
          <t>PG-13</t>
        </is>
      </c>
      <c r="H3963" s="22" t="n">
        <v>113165635</v>
      </c>
      <c r="I3963" s="22" t="n">
        <v>125000000</v>
      </c>
      <c r="J3963" s="21">
        <f>IF(OR(H3963="",H3963=25529689.5),"Yes","No")</f>
        <v/>
      </c>
      <c r="K3963" s="21">
        <f>IF(AND(D3963="USA",C3963&gt;=1980,J3963="No"),"Yes","No")</f>
        <v/>
      </c>
      <c r="L3963" s="26">
        <f>IF(J3963="Yes","",H3963-I3963)</f>
        <v/>
      </c>
      <c r="M3963" s="27">
        <f>IF(OR(J3963="Yes",I3963=0),"",H3963/I3963)</f>
        <v/>
      </c>
      <c r="N3963" s="21">
        <f>IF(J3963="Yes","",IF(H3963&gt;=I3963,1,0))</f>
        <v/>
      </c>
      <c r="O3963" s="21">
        <f>IF(I3963&lt;=5000000,"Under $5M",IF(I3963&lt;=20000000,"$5M-20M",IF(I3963&lt;=50000000,"$20M-50M",IF(I3963&lt;=100000000,"$50M-100M","$100M+"))))</f>
        <v/>
      </c>
      <c r="P3963" s="21">
        <f>IF(E3963&lt;=90,"90 or less",IF(E3963&lt;=105,"91-105",IF(E3963&lt;=120,"106-120",IF(E3963&lt;=140,"121-140","Over 140"))))</f>
        <v/>
      </c>
      <c r="Q3963" s="28">
        <f>INT(C3963/10)*10</f>
        <v/>
      </c>
    </row>
    <row r="3964">
      <c r="A3964" s="21" t="n">
        <v>4044</v>
      </c>
      <c r="B3964" s="21" t="inlineStr">
        <is>
          <t>The Brass Teapot</t>
        </is>
      </c>
      <c r="C3964" s="21" t="n">
        <v>2012</v>
      </c>
      <c r="D3964" s="21" t="inlineStr">
        <is>
          <t>USA</t>
        </is>
      </c>
      <c r="E3964" s="21" t="n">
        <v>101</v>
      </c>
      <c r="F3964" s="21" t="inlineStr">
        <is>
          <t>English</t>
        </is>
      </c>
      <c r="G3964" s="21" t="inlineStr">
        <is>
          <t>R</t>
        </is>
      </c>
      <c r="H3964" s="22" t="n">
        <v>6643</v>
      </c>
      <c r="I3964" s="22" t="n">
        <v>900000</v>
      </c>
      <c r="J3964" s="21">
        <f>IF(OR(H3964="",H3964=25529689.5),"Yes","No")</f>
        <v/>
      </c>
      <c r="K3964" s="21">
        <f>IF(AND(D3964="USA",C3964&gt;=1980,J3964="No"),"Yes","No")</f>
        <v/>
      </c>
      <c r="L3964" s="26">
        <f>IF(J3964="Yes","",H3964-I3964)</f>
        <v/>
      </c>
      <c r="M3964" s="27">
        <f>IF(OR(J3964="Yes",I3964=0),"",H3964/I3964)</f>
        <v/>
      </c>
      <c r="N3964" s="21">
        <f>IF(J3964="Yes","",IF(H3964&gt;=I3964,1,0))</f>
        <v/>
      </c>
      <c r="O3964" s="21">
        <f>IF(I3964&lt;=5000000,"Under $5M",IF(I3964&lt;=20000000,"$5M-20M",IF(I3964&lt;=50000000,"$20M-50M",IF(I3964&lt;=100000000,"$50M-100M","$100M+"))))</f>
        <v/>
      </c>
      <c r="P3964" s="21">
        <f>IF(E3964&lt;=90,"90 or less",IF(E3964&lt;=105,"91-105",IF(E3964&lt;=120,"106-120",IF(E3964&lt;=140,"121-140","Over 140"))))</f>
        <v/>
      </c>
      <c r="Q3964" s="28">
        <f>INT(C3964/10)*10</f>
        <v/>
      </c>
    </row>
    <row r="3965">
      <c r="A3965" s="21" t="n">
        <v>4045</v>
      </c>
      <c r="B3965" s="21" t="inlineStr">
        <is>
          <t>The Cabin in the Woods</t>
        </is>
      </c>
      <c r="C3965" s="21" t="n">
        <v>2012</v>
      </c>
      <c r="D3965" s="21" t="inlineStr">
        <is>
          <t>USA</t>
        </is>
      </c>
      <c r="E3965" s="21" t="n">
        <v>95</v>
      </c>
      <c r="F3965" s="21" t="inlineStr">
        <is>
          <t>English</t>
        </is>
      </c>
      <c r="G3965" s="21" t="inlineStr">
        <is>
          <t>R</t>
        </is>
      </c>
      <c r="H3965" s="22" t="n">
        <v>42043633</v>
      </c>
      <c r="I3965" s="22" t="n">
        <v>30000000</v>
      </c>
      <c r="J3965" s="21">
        <f>IF(OR(H3965="",H3965=25529689.5),"Yes","No")</f>
        <v/>
      </c>
      <c r="K3965" s="21">
        <f>IF(AND(D3965="USA",C3965&gt;=1980,J3965="No"),"Yes","No")</f>
        <v/>
      </c>
      <c r="L3965" s="26">
        <f>IF(J3965="Yes","",H3965-I3965)</f>
        <v/>
      </c>
      <c r="M3965" s="27">
        <f>IF(OR(J3965="Yes",I3965=0),"",H3965/I3965)</f>
        <v/>
      </c>
      <c r="N3965" s="21">
        <f>IF(J3965="Yes","",IF(H3965&gt;=I3965,1,0))</f>
        <v/>
      </c>
      <c r="O3965" s="21">
        <f>IF(I3965&lt;=5000000,"Under $5M",IF(I3965&lt;=20000000,"$5M-20M",IF(I3965&lt;=50000000,"$20M-50M",IF(I3965&lt;=100000000,"$50M-100M","$100M+"))))</f>
        <v/>
      </c>
      <c r="P3965" s="21">
        <f>IF(E3965&lt;=90,"90 or less",IF(E3965&lt;=105,"91-105",IF(E3965&lt;=120,"106-120",IF(E3965&lt;=140,"121-140","Over 140"))))</f>
        <v/>
      </c>
      <c r="Q3965" s="28">
        <f>INT(C3965/10)*10</f>
        <v/>
      </c>
    </row>
    <row r="3966">
      <c r="A3966" s="21" t="n">
        <v>4046</v>
      </c>
      <c r="B3966" s="21" t="inlineStr">
        <is>
          <t>The Campaign</t>
        </is>
      </c>
      <c r="C3966" s="21" t="n">
        <v>2012</v>
      </c>
      <c r="D3966" s="21" t="inlineStr">
        <is>
          <t>USA</t>
        </is>
      </c>
      <c r="E3966" s="21" t="n">
        <v>85</v>
      </c>
      <c r="F3966" s="21" t="inlineStr">
        <is>
          <t>English</t>
        </is>
      </c>
      <c r="G3966" s="21" t="inlineStr">
        <is>
          <t>R</t>
        </is>
      </c>
      <c r="H3966" s="22" t="n">
        <v>86897182</v>
      </c>
      <c r="I3966" s="22" t="n">
        <v>95000000</v>
      </c>
      <c r="J3966" s="21">
        <f>IF(OR(H3966="",H3966=25529689.5),"Yes","No")</f>
        <v/>
      </c>
      <c r="K3966" s="21">
        <f>IF(AND(D3966="USA",C3966&gt;=1980,J3966="No"),"Yes","No")</f>
        <v/>
      </c>
      <c r="L3966" s="26">
        <f>IF(J3966="Yes","",H3966-I3966)</f>
        <v/>
      </c>
      <c r="M3966" s="27">
        <f>IF(OR(J3966="Yes",I3966=0),"",H3966/I3966)</f>
        <v/>
      </c>
      <c r="N3966" s="21">
        <f>IF(J3966="Yes","",IF(H3966&gt;=I3966,1,0))</f>
        <v/>
      </c>
      <c r="O3966" s="21">
        <f>IF(I3966&lt;=5000000,"Under $5M",IF(I3966&lt;=20000000,"$5M-20M",IF(I3966&lt;=50000000,"$20M-50M",IF(I3966&lt;=100000000,"$50M-100M","$100M+"))))</f>
        <v/>
      </c>
      <c r="P3966" s="21">
        <f>IF(E3966&lt;=90,"90 or less",IF(E3966&lt;=105,"91-105",IF(E3966&lt;=120,"106-120",IF(E3966&lt;=140,"121-140","Over 140"))))</f>
        <v/>
      </c>
      <c r="Q3966" s="28">
        <f>INT(C3966/10)*10</f>
        <v/>
      </c>
    </row>
    <row r="3967">
      <c r="A3967" s="21" t="n">
        <v>4047</v>
      </c>
      <c r="B3967" s="21" t="inlineStr">
        <is>
          <t>The Cold Light of Day</t>
        </is>
      </c>
      <c r="C3967" s="21" t="n">
        <v>2012</v>
      </c>
      <c r="D3967" s="21" t="inlineStr">
        <is>
          <t>USA</t>
        </is>
      </c>
      <c r="E3967" s="21" t="n">
        <v>93</v>
      </c>
      <c r="F3967" s="21" t="inlineStr">
        <is>
          <t>English</t>
        </is>
      </c>
      <c r="G3967" s="21" t="inlineStr">
        <is>
          <t>PG-13</t>
        </is>
      </c>
      <c r="H3967" s="22" t="n">
        <v>3749061</v>
      </c>
      <c r="I3967" s="22" t="n">
        <v>20000000</v>
      </c>
      <c r="J3967" s="21">
        <f>IF(OR(H3967="",H3967=25529689.5),"Yes","No")</f>
        <v/>
      </c>
      <c r="K3967" s="21">
        <f>IF(AND(D3967="USA",C3967&gt;=1980,J3967="No"),"Yes","No")</f>
        <v/>
      </c>
      <c r="L3967" s="26">
        <f>IF(J3967="Yes","",H3967-I3967)</f>
        <v/>
      </c>
      <c r="M3967" s="27">
        <f>IF(OR(J3967="Yes",I3967=0),"",H3967/I3967)</f>
        <v/>
      </c>
      <c r="N3967" s="21">
        <f>IF(J3967="Yes","",IF(H3967&gt;=I3967,1,0))</f>
        <v/>
      </c>
      <c r="O3967" s="21">
        <f>IF(I3967&lt;=5000000,"Under $5M",IF(I3967&lt;=20000000,"$5M-20M",IF(I3967&lt;=50000000,"$20M-50M",IF(I3967&lt;=100000000,"$50M-100M","$100M+"))))</f>
        <v/>
      </c>
      <c r="P3967" s="21">
        <f>IF(E3967&lt;=90,"90 or less",IF(E3967&lt;=105,"91-105",IF(E3967&lt;=120,"106-120",IF(E3967&lt;=140,"121-140","Over 140"))))</f>
        <v/>
      </c>
      <c r="Q3967" s="28">
        <f>INT(C3967/10)*10</f>
        <v/>
      </c>
    </row>
    <row r="3968">
      <c r="A3968" s="21" t="n">
        <v>4048</v>
      </c>
      <c r="B3968" s="21" t="inlineStr">
        <is>
          <t>The Collection</t>
        </is>
      </c>
      <c r="C3968" s="21" t="n">
        <v>2012</v>
      </c>
      <c r="D3968" s="21" t="inlineStr">
        <is>
          <t>USA</t>
        </is>
      </c>
      <c r="E3968" s="21" t="n">
        <v>82</v>
      </c>
      <c r="F3968" s="21" t="inlineStr">
        <is>
          <t>English</t>
        </is>
      </c>
      <c r="G3968" s="21" t="inlineStr">
        <is>
          <t>R</t>
        </is>
      </c>
      <c r="H3968" s="22" t="n">
        <v>6842058</v>
      </c>
      <c r="I3968" s="22" t="n">
        <v>10000000</v>
      </c>
      <c r="J3968" s="21">
        <f>IF(OR(H3968="",H3968=25529689.5),"Yes","No")</f>
        <v/>
      </c>
      <c r="K3968" s="21">
        <f>IF(AND(D3968="USA",C3968&gt;=1980,J3968="No"),"Yes","No")</f>
        <v/>
      </c>
      <c r="L3968" s="26">
        <f>IF(J3968="Yes","",H3968-I3968)</f>
        <v/>
      </c>
      <c r="M3968" s="27">
        <f>IF(OR(J3968="Yes",I3968=0),"",H3968/I3968)</f>
        <v/>
      </c>
      <c r="N3968" s="21">
        <f>IF(J3968="Yes","",IF(H3968&gt;=I3968,1,0))</f>
        <v/>
      </c>
      <c r="O3968" s="21">
        <f>IF(I3968&lt;=5000000,"Under $5M",IF(I3968&lt;=20000000,"$5M-20M",IF(I3968&lt;=50000000,"$20M-50M",IF(I3968&lt;=100000000,"$50M-100M","$100M+"))))</f>
        <v/>
      </c>
      <c r="P3968" s="21">
        <f>IF(E3968&lt;=90,"90 or less",IF(E3968&lt;=105,"91-105",IF(E3968&lt;=120,"106-120",IF(E3968&lt;=140,"121-140","Over 140"))))</f>
        <v/>
      </c>
      <c r="Q3968" s="28">
        <f>INT(C3968/10)*10</f>
        <v/>
      </c>
    </row>
    <row r="3969">
      <c r="A3969" s="21" t="n">
        <v>4049</v>
      </c>
      <c r="B3969" s="21" t="inlineStr">
        <is>
          <t>The Dark Knight Rises</t>
        </is>
      </c>
      <c r="C3969" s="21" t="n">
        <v>2012</v>
      </c>
      <c r="D3969" s="21" t="inlineStr">
        <is>
          <t>USA</t>
        </is>
      </c>
      <c r="E3969" s="21" t="n">
        <v>164</v>
      </c>
      <c r="F3969" s="21" t="inlineStr">
        <is>
          <t>English</t>
        </is>
      </c>
      <c r="G3969" s="21" t="inlineStr">
        <is>
          <t>PG-13</t>
        </is>
      </c>
      <c r="H3969" s="22" t="n">
        <v>448130642</v>
      </c>
      <c r="I3969" s="22" t="n">
        <v>250000000</v>
      </c>
      <c r="J3969" s="21">
        <f>IF(OR(H3969="",H3969=25529689.5),"Yes","No")</f>
        <v/>
      </c>
      <c r="K3969" s="21">
        <f>IF(AND(D3969="USA",C3969&gt;=1980,J3969="No"),"Yes","No")</f>
        <v/>
      </c>
      <c r="L3969" s="26">
        <f>IF(J3969="Yes","",H3969-I3969)</f>
        <v/>
      </c>
      <c r="M3969" s="27">
        <f>IF(OR(J3969="Yes",I3969=0),"",H3969/I3969)</f>
        <v/>
      </c>
      <c r="N3969" s="21">
        <f>IF(J3969="Yes","",IF(H3969&gt;=I3969,1,0))</f>
        <v/>
      </c>
      <c r="O3969" s="21">
        <f>IF(I3969&lt;=5000000,"Under $5M",IF(I3969&lt;=20000000,"$5M-20M",IF(I3969&lt;=50000000,"$20M-50M",IF(I3969&lt;=100000000,"$50M-100M","$100M+"))))</f>
        <v/>
      </c>
      <c r="P3969" s="21">
        <f>IF(E3969&lt;=90,"90 or less",IF(E3969&lt;=105,"91-105",IF(E3969&lt;=120,"106-120",IF(E3969&lt;=140,"121-140","Over 140"))))</f>
        <v/>
      </c>
      <c r="Q3969" s="28">
        <f>INT(C3969/10)*10</f>
        <v/>
      </c>
    </row>
    <row r="3970">
      <c r="A3970" s="21" t="n">
        <v>4050</v>
      </c>
      <c r="B3970" s="21" t="inlineStr">
        <is>
          <t>The Devil Inside</t>
        </is>
      </c>
      <c r="C3970" s="21" t="n">
        <v>2012</v>
      </c>
      <c r="D3970" s="21" t="inlineStr">
        <is>
          <t>USA</t>
        </is>
      </c>
      <c r="E3970" s="21" t="n">
        <v>83</v>
      </c>
      <c r="F3970" s="21" t="inlineStr">
        <is>
          <t>English</t>
        </is>
      </c>
      <c r="G3970" s="21" t="inlineStr">
        <is>
          <t>R</t>
        </is>
      </c>
      <c r="H3970" s="22" t="n">
        <v>53245055</v>
      </c>
      <c r="I3970" s="22" t="n">
        <v>1000000</v>
      </c>
      <c r="J3970" s="21">
        <f>IF(OR(H3970="",H3970=25529689.5),"Yes","No")</f>
        <v/>
      </c>
      <c r="K3970" s="21">
        <f>IF(AND(D3970="USA",C3970&gt;=1980,J3970="No"),"Yes","No")</f>
        <v/>
      </c>
      <c r="L3970" s="26">
        <f>IF(J3970="Yes","",H3970-I3970)</f>
        <v/>
      </c>
      <c r="M3970" s="27">
        <f>IF(OR(J3970="Yes",I3970=0),"",H3970/I3970)</f>
        <v/>
      </c>
      <c r="N3970" s="21">
        <f>IF(J3970="Yes","",IF(H3970&gt;=I3970,1,0))</f>
        <v/>
      </c>
      <c r="O3970" s="21">
        <f>IF(I3970&lt;=5000000,"Under $5M",IF(I3970&lt;=20000000,"$5M-20M",IF(I3970&lt;=50000000,"$20M-50M",IF(I3970&lt;=100000000,"$50M-100M","$100M+"))))</f>
        <v/>
      </c>
      <c r="P3970" s="21">
        <f>IF(E3970&lt;=90,"90 or less",IF(E3970&lt;=105,"91-105",IF(E3970&lt;=120,"106-120",IF(E3970&lt;=140,"121-140","Over 140"))))</f>
        <v/>
      </c>
      <c r="Q3970" s="28">
        <f>INT(C3970/10)*10</f>
        <v/>
      </c>
    </row>
    <row r="3971">
      <c r="A3971" s="21" t="n">
        <v>4051</v>
      </c>
      <c r="B3971" s="21" t="inlineStr">
        <is>
          <t>The Dictator</t>
        </is>
      </c>
      <c r="C3971" s="21" t="n">
        <v>2012</v>
      </c>
      <c r="D3971" s="21" t="inlineStr">
        <is>
          <t>USA</t>
        </is>
      </c>
      <c r="E3971" s="21" t="n">
        <v>99</v>
      </c>
      <c r="F3971" s="21" t="inlineStr">
        <is>
          <t>English</t>
        </is>
      </c>
      <c r="G3971" s="21" t="inlineStr">
        <is>
          <t>R</t>
        </is>
      </c>
      <c r="H3971" s="22" t="n">
        <v>59617068</v>
      </c>
      <c r="I3971" s="22" t="n">
        <v>65000000</v>
      </c>
      <c r="J3971" s="21">
        <f>IF(OR(H3971="",H3971=25529689.5),"Yes","No")</f>
        <v/>
      </c>
      <c r="K3971" s="21">
        <f>IF(AND(D3971="USA",C3971&gt;=1980,J3971="No"),"Yes","No")</f>
        <v/>
      </c>
      <c r="L3971" s="26">
        <f>IF(J3971="Yes","",H3971-I3971)</f>
        <v/>
      </c>
      <c r="M3971" s="27">
        <f>IF(OR(J3971="Yes",I3971=0),"",H3971/I3971)</f>
        <v/>
      </c>
      <c r="N3971" s="21">
        <f>IF(J3971="Yes","",IF(H3971&gt;=I3971,1,0))</f>
        <v/>
      </c>
      <c r="O3971" s="21">
        <f>IF(I3971&lt;=5000000,"Under $5M",IF(I3971&lt;=20000000,"$5M-20M",IF(I3971&lt;=50000000,"$20M-50M",IF(I3971&lt;=100000000,"$50M-100M","$100M+"))))</f>
        <v/>
      </c>
      <c r="P3971" s="21">
        <f>IF(E3971&lt;=90,"90 or less",IF(E3971&lt;=105,"91-105",IF(E3971&lt;=120,"106-120",IF(E3971&lt;=140,"121-140","Over 140"))))</f>
        <v/>
      </c>
      <c r="Q3971" s="28">
        <f>INT(C3971/10)*10</f>
        <v/>
      </c>
    </row>
    <row r="3972">
      <c r="A3972" s="21" t="n">
        <v>4052</v>
      </c>
      <c r="B3972" s="21" t="inlineStr">
        <is>
          <t>The Expendables 2</t>
        </is>
      </c>
      <c r="C3972" s="21" t="n">
        <v>2012</v>
      </c>
      <c r="D3972" s="21" t="inlineStr">
        <is>
          <t>USA</t>
        </is>
      </c>
      <c r="E3972" s="21" t="n">
        <v>103</v>
      </c>
      <c r="F3972" s="21" t="inlineStr">
        <is>
          <t>English</t>
        </is>
      </c>
      <c r="G3972" s="21" t="inlineStr">
        <is>
          <t>R</t>
        </is>
      </c>
      <c r="H3972" s="22" t="n">
        <v>85017401</v>
      </c>
      <c r="I3972" s="22" t="n">
        <v>92000000</v>
      </c>
      <c r="J3972" s="21">
        <f>IF(OR(H3972="",H3972=25529689.5),"Yes","No")</f>
        <v/>
      </c>
      <c r="K3972" s="21">
        <f>IF(AND(D3972="USA",C3972&gt;=1980,J3972="No"),"Yes","No")</f>
        <v/>
      </c>
      <c r="L3972" s="26">
        <f>IF(J3972="Yes","",H3972-I3972)</f>
        <v/>
      </c>
      <c r="M3972" s="27">
        <f>IF(OR(J3972="Yes",I3972=0),"",H3972/I3972)</f>
        <v/>
      </c>
      <c r="N3972" s="21">
        <f>IF(J3972="Yes","",IF(H3972&gt;=I3972,1,0))</f>
        <v/>
      </c>
      <c r="O3972" s="21">
        <f>IF(I3972&lt;=5000000,"Under $5M",IF(I3972&lt;=20000000,"$5M-20M",IF(I3972&lt;=50000000,"$20M-50M",IF(I3972&lt;=100000000,"$50M-100M","$100M+"))))</f>
        <v/>
      </c>
      <c r="P3972" s="21">
        <f>IF(E3972&lt;=90,"90 or less",IF(E3972&lt;=105,"91-105",IF(E3972&lt;=120,"106-120",IF(E3972&lt;=140,"121-140","Over 140"))))</f>
        <v/>
      </c>
      <c r="Q3972" s="28">
        <f>INT(C3972/10)*10</f>
        <v/>
      </c>
    </row>
    <row r="3973">
      <c r="A3973" s="21" t="n">
        <v>4053</v>
      </c>
      <c r="B3973" s="21" t="inlineStr">
        <is>
          <t>The Five-Year Engagement</t>
        </is>
      </c>
      <c r="C3973" s="21" t="n">
        <v>2012</v>
      </c>
      <c r="D3973" s="21" t="inlineStr">
        <is>
          <t>USA</t>
        </is>
      </c>
      <c r="E3973" s="21" t="n">
        <v>131</v>
      </c>
      <c r="F3973" s="21" t="inlineStr">
        <is>
          <t>English</t>
        </is>
      </c>
      <c r="G3973" s="21" t="inlineStr">
        <is>
          <t>R</t>
        </is>
      </c>
      <c r="H3973" s="22" t="n">
        <v>28644770</v>
      </c>
      <c r="I3973" s="22" t="n">
        <v>30000000</v>
      </c>
      <c r="J3973" s="21">
        <f>IF(OR(H3973="",H3973=25529689.5),"Yes","No")</f>
        <v/>
      </c>
      <c r="K3973" s="21">
        <f>IF(AND(D3973="USA",C3973&gt;=1980,J3973="No"),"Yes","No")</f>
        <v/>
      </c>
      <c r="L3973" s="26">
        <f>IF(J3973="Yes","",H3973-I3973)</f>
        <v/>
      </c>
      <c r="M3973" s="27">
        <f>IF(OR(J3973="Yes",I3973=0),"",H3973/I3973)</f>
        <v/>
      </c>
      <c r="N3973" s="21">
        <f>IF(J3973="Yes","",IF(H3973&gt;=I3973,1,0))</f>
        <v/>
      </c>
      <c r="O3973" s="21">
        <f>IF(I3973&lt;=5000000,"Under $5M",IF(I3973&lt;=20000000,"$5M-20M",IF(I3973&lt;=50000000,"$20M-50M",IF(I3973&lt;=100000000,"$50M-100M","$100M+"))))</f>
        <v/>
      </c>
      <c r="P3973" s="21">
        <f>IF(E3973&lt;=90,"90 or less",IF(E3973&lt;=105,"91-105",IF(E3973&lt;=120,"106-120",IF(E3973&lt;=140,"121-140","Over 140"))))</f>
        <v/>
      </c>
      <c r="Q3973" s="28">
        <f>INT(C3973/10)*10</f>
        <v/>
      </c>
    </row>
    <row r="3974">
      <c r="A3974" s="21" t="n">
        <v>4054</v>
      </c>
      <c r="B3974" s="21" t="inlineStr">
        <is>
          <t>The Frozen</t>
        </is>
      </c>
      <c r="C3974" s="21" t="n">
        <v>2012</v>
      </c>
      <c r="D3974" s="21" t="inlineStr">
        <is>
          <t>USA</t>
        </is>
      </c>
      <c r="E3974" s="21" t="n">
        <v>95</v>
      </c>
      <c r="F3974" s="21" t="inlineStr">
        <is>
          <t>English</t>
        </is>
      </c>
      <c r="G3974" s="21" t="inlineStr">
        <is>
          <t>PG-13</t>
        </is>
      </c>
      <c r="H3974" s="22" t="n">
        <v>25529689.5</v>
      </c>
      <c r="I3974" s="22" t="n">
        <v>250000</v>
      </c>
      <c r="J3974" s="21">
        <f>IF(OR(H3974="",H3974=25529689.5),"Yes","No")</f>
        <v/>
      </c>
      <c r="K3974" s="21">
        <f>IF(AND(D3974="USA",C3974&gt;=1980,J3974="No"),"Yes","No")</f>
        <v/>
      </c>
      <c r="L3974" s="26">
        <f>IF(J3974="Yes","",H3974-I3974)</f>
        <v/>
      </c>
      <c r="M3974" s="27">
        <f>IF(OR(J3974="Yes",I3974=0),"",H3974/I3974)</f>
        <v/>
      </c>
      <c r="N3974" s="21">
        <f>IF(J3974="Yes","",IF(H3974&gt;=I3974,1,0))</f>
        <v/>
      </c>
      <c r="O3974" s="21">
        <f>IF(I3974&lt;=5000000,"Under $5M",IF(I3974&lt;=20000000,"$5M-20M",IF(I3974&lt;=50000000,"$20M-50M",IF(I3974&lt;=100000000,"$50M-100M","$100M+"))))</f>
        <v/>
      </c>
      <c r="P3974" s="21">
        <f>IF(E3974&lt;=90,"90 or less",IF(E3974&lt;=105,"91-105",IF(E3974&lt;=120,"106-120",IF(E3974&lt;=140,"121-140","Over 140"))))</f>
        <v/>
      </c>
      <c r="Q3974" s="28">
        <f>INT(C3974/10)*10</f>
        <v/>
      </c>
    </row>
    <row r="3975">
      <c r="A3975" s="21" t="n">
        <v>4055</v>
      </c>
      <c r="B3975" s="21" t="inlineStr">
        <is>
          <t>The Gatekeepers</t>
        </is>
      </c>
      <c r="C3975" s="21" t="n">
        <v>2012</v>
      </c>
      <c r="D3975" s="21" t="inlineStr">
        <is>
          <t>Israel</t>
        </is>
      </c>
      <c r="E3975" s="21" t="n">
        <v>101</v>
      </c>
      <c r="F3975" s="21" t="inlineStr">
        <is>
          <t>Hebrew</t>
        </is>
      </c>
      <c r="G3975" s="21" t="inlineStr">
        <is>
          <t>PG-13</t>
        </is>
      </c>
      <c r="H3975" s="22" t="n">
        <v>2408553</v>
      </c>
      <c r="I3975" s="22" t="n">
        <v>20000000</v>
      </c>
      <c r="J3975" s="21">
        <f>IF(OR(H3975="",H3975=25529689.5),"Yes","No")</f>
        <v/>
      </c>
      <c r="K3975" s="21">
        <f>IF(AND(D3975="USA",C3975&gt;=1980,J3975="No"),"Yes","No")</f>
        <v/>
      </c>
      <c r="L3975" s="26">
        <f>IF(J3975="Yes","",H3975-I3975)</f>
        <v/>
      </c>
      <c r="M3975" s="27">
        <f>IF(OR(J3975="Yes",I3975=0),"",H3975/I3975)</f>
        <v/>
      </c>
      <c r="N3975" s="21">
        <f>IF(J3975="Yes","",IF(H3975&gt;=I3975,1,0))</f>
        <v/>
      </c>
      <c r="O3975" s="21">
        <f>IF(I3975&lt;=5000000,"Under $5M",IF(I3975&lt;=20000000,"$5M-20M",IF(I3975&lt;=50000000,"$20M-50M",IF(I3975&lt;=100000000,"$50M-100M","$100M+"))))</f>
        <v/>
      </c>
      <c r="P3975" s="21">
        <f>IF(E3975&lt;=90,"90 or less",IF(E3975&lt;=105,"91-105",IF(E3975&lt;=120,"106-120",IF(E3975&lt;=140,"121-140","Over 140"))))</f>
        <v/>
      </c>
      <c r="Q3975" s="28">
        <f>INT(C3975/10)*10</f>
        <v/>
      </c>
    </row>
    <row r="3976">
      <c r="A3976" s="21" t="n">
        <v>4056</v>
      </c>
      <c r="B3976" s="21" t="inlineStr">
        <is>
          <t>The Ghastly Love of Johnny X</t>
        </is>
      </c>
      <c r="C3976" s="21" t="n">
        <v>2012</v>
      </c>
      <c r="D3976" s="21" t="inlineStr">
        <is>
          <t>USA</t>
        </is>
      </c>
      <c r="E3976" s="21" t="n">
        <v>106</v>
      </c>
      <c r="F3976" s="21" t="inlineStr">
        <is>
          <t>English</t>
        </is>
      </c>
      <c r="G3976" s="21" t="inlineStr">
        <is>
          <t>Not Rated</t>
        </is>
      </c>
      <c r="H3976" s="22" t="n">
        <v>2436</v>
      </c>
      <c r="I3976" s="22" t="n">
        <v>2000000</v>
      </c>
      <c r="J3976" s="21">
        <f>IF(OR(H3976="",H3976=25529689.5),"Yes","No")</f>
        <v/>
      </c>
      <c r="K3976" s="21">
        <f>IF(AND(D3976="USA",C3976&gt;=1980,J3976="No"),"Yes","No")</f>
        <v/>
      </c>
      <c r="L3976" s="26">
        <f>IF(J3976="Yes","",H3976-I3976)</f>
        <v/>
      </c>
      <c r="M3976" s="27">
        <f>IF(OR(J3976="Yes",I3976=0),"",H3976/I3976)</f>
        <v/>
      </c>
      <c r="N3976" s="21">
        <f>IF(J3976="Yes","",IF(H3976&gt;=I3976,1,0))</f>
        <v/>
      </c>
      <c r="O3976" s="21">
        <f>IF(I3976&lt;=5000000,"Under $5M",IF(I3976&lt;=20000000,"$5M-20M",IF(I3976&lt;=50000000,"$20M-50M",IF(I3976&lt;=100000000,"$50M-100M","$100M+"))))</f>
        <v/>
      </c>
      <c r="P3976" s="21">
        <f>IF(E3976&lt;=90,"90 or less",IF(E3976&lt;=105,"91-105",IF(E3976&lt;=120,"106-120",IF(E3976&lt;=140,"121-140","Over 140"))))</f>
        <v/>
      </c>
      <c r="Q3976" s="28">
        <f>INT(C3976/10)*10</f>
        <v/>
      </c>
    </row>
    <row r="3977">
      <c r="A3977" s="21" t="n">
        <v>4057</v>
      </c>
      <c r="B3977" s="21" t="inlineStr">
        <is>
          <t>The Guilt Trip</t>
        </is>
      </c>
      <c r="C3977" s="21" t="n">
        <v>2012</v>
      </c>
      <c r="D3977" s="21" t="inlineStr">
        <is>
          <t>USA</t>
        </is>
      </c>
      <c r="E3977" s="21" t="n">
        <v>95</v>
      </c>
      <c r="F3977" s="21" t="inlineStr">
        <is>
          <t>English</t>
        </is>
      </c>
      <c r="G3977" s="21" t="inlineStr">
        <is>
          <t>PG-13</t>
        </is>
      </c>
      <c r="H3977" s="22" t="n">
        <v>37101011</v>
      </c>
      <c r="I3977" s="22" t="n">
        <v>40000000</v>
      </c>
      <c r="J3977" s="21">
        <f>IF(OR(H3977="",H3977=25529689.5),"Yes","No")</f>
        <v/>
      </c>
      <c r="K3977" s="21">
        <f>IF(AND(D3977="USA",C3977&gt;=1980,J3977="No"),"Yes","No")</f>
        <v/>
      </c>
      <c r="L3977" s="26">
        <f>IF(J3977="Yes","",H3977-I3977)</f>
        <v/>
      </c>
      <c r="M3977" s="27">
        <f>IF(OR(J3977="Yes",I3977=0),"",H3977/I3977)</f>
        <v/>
      </c>
      <c r="N3977" s="21">
        <f>IF(J3977="Yes","",IF(H3977&gt;=I3977,1,0))</f>
        <v/>
      </c>
      <c r="O3977" s="21">
        <f>IF(I3977&lt;=5000000,"Under $5M",IF(I3977&lt;=20000000,"$5M-20M",IF(I3977&lt;=50000000,"$20M-50M",IF(I3977&lt;=100000000,"$50M-100M","$100M+"))))</f>
        <v/>
      </c>
      <c r="P3977" s="21">
        <f>IF(E3977&lt;=90,"90 or less",IF(E3977&lt;=105,"91-105",IF(E3977&lt;=120,"106-120",IF(E3977&lt;=140,"121-140","Over 140"))))</f>
        <v/>
      </c>
      <c r="Q3977" s="28">
        <f>INT(C3977/10)*10</f>
        <v/>
      </c>
    </row>
    <row r="3978">
      <c r="A3978" s="21" t="n">
        <v>4058</v>
      </c>
      <c r="B3978" s="21" t="inlineStr">
        <is>
          <t>The Hobbit: An Unexpected Journey</t>
        </is>
      </c>
      <c r="C3978" s="21" t="n">
        <v>2012</v>
      </c>
      <c r="D3978" s="21" t="inlineStr">
        <is>
          <t>USA</t>
        </is>
      </c>
      <c r="E3978" s="21" t="n">
        <v>182</v>
      </c>
      <c r="F3978" s="21" t="inlineStr">
        <is>
          <t>English</t>
        </is>
      </c>
      <c r="G3978" s="21" t="inlineStr">
        <is>
          <t>PG-13</t>
        </is>
      </c>
      <c r="H3978" s="22" t="n">
        <v>303001229</v>
      </c>
      <c r="I3978" s="22" t="n">
        <v>180000000</v>
      </c>
      <c r="J3978" s="21">
        <f>IF(OR(H3978="",H3978=25529689.5),"Yes","No")</f>
        <v/>
      </c>
      <c r="K3978" s="21">
        <f>IF(AND(D3978="USA",C3978&gt;=1980,J3978="No"),"Yes","No")</f>
        <v/>
      </c>
      <c r="L3978" s="26">
        <f>IF(J3978="Yes","",H3978-I3978)</f>
        <v/>
      </c>
      <c r="M3978" s="27">
        <f>IF(OR(J3978="Yes",I3978=0),"",H3978/I3978)</f>
        <v/>
      </c>
      <c r="N3978" s="21">
        <f>IF(J3978="Yes","",IF(H3978&gt;=I3978,1,0))</f>
        <v/>
      </c>
      <c r="O3978" s="21">
        <f>IF(I3978&lt;=5000000,"Under $5M",IF(I3978&lt;=20000000,"$5M-20M",IF(I3978&lt;=50000000,"$20M-50M",IF(I3978&lt;=100000000,"$50M-100M","$100M+"))))</f>
        <v/>
      </c>
      <c r="P3978" s="21">
        <f>IF(E3978&lt;=90,"90 or less",IF(E3978&lt;=105,"91-105",IF(E3978&lt;=120,"106-120",IF(E3978&lt;=140,"121-140","Over 140"))))</f>
        <v/>
      </c>
      <c r="Q3978" s="28">
        <f>INT(C3978/10)*10</f>
        <v/>
      </c>
    </row>
    <row r="3979">
      <c r="A3979" s="21" t="n">
        <v>4059</v>
      </c>
      <c r="B3979" s="21" t="inlineStr">
        <is>
          <t>The Hunger Games</t>
        </is>
      </c>
      <c r="C3979" s="21" t="n">
        <v>2012</v>
      </c>
      <c r="D3979" s="21" t="inlineStr">
        <is>
          <t>USA</t>
        </is>
      </c>
      <c r="E3979" s="21" t="n">
        <v>142</v>
      </c>
      <c r="F3979" s="21" t="inlineStr">
        <is>
          <t>English</t>
        </is>
      </c>
      <c r="G3979" s="21" t="inlineStr">
        <is>
          <t>PG-13</t>
        </is>
      </c>
      <c r="H3979" s="22" t="n">
        <v>407999255</v>
      </c>
      <c r="I3979" s="22" t="n">
        <v>78000000</v>
      </c>
      <c r="J3979" s="21">
        <f>IF(OR(H3979="",H3979=25529689.5),"Yes","No")</f>
        <v/>
      </c>
      <c r="K3979" s="21">
        <f>IF(AND(D3979="USA",C3979&gt;=1980,J3979="No"),"Yes","No")</f>
        <v/>
      </c>
      <c r="L3979" s="26">
        <f>IF(J3979="Yes","",H3979-I3979)</f>
        <v/>
      </c>
      <c r="M3979" s="27">
        <f>IF(OR(J3979="Yes",I3979=0),"",H3979/I3979)</f>
        <v/>
      </c>
      <c r="N3979" s="21">
        <f>IF(J3979="Yes","",IF(H3979&gt;=I3979,1,0))</f>
        <v/>
      </c>
      <c r="O3979" s="21">
        <f>IF(I3979&lt;=5000000,"Under $5M",IF(I3979&lt;=20000000,"$5M-20M",IF(I3979&lt;=50000000,"$20M-50M",IF(I3979&lt;=100000000,"$50M-100M","$100M+"))))</f>
        <v/>
      </c>
      <c r="P3979" s="21">
        <f>IF(E3979&lt;=90,"90 or less",IF(E3979&lt;=105,"91-105",IF(E3979&lt;=120,"106-120",IF(E3979&lt;=140,"121-140","Over 140"))))</f>
        <v/>
      </c>
      <c r="Q3979" s="28">
        <f>INT(C3979/10)*10</f>
        <v/>
      </c>
    </row>
    <row r="3980">
      <c r="A3980" s="21" t="n">
        <v>4060</v>
      </c>
      <c r="B3980" s="21" t="inlineStr">
        <is>
          <t>The Hunt</t>
        </is>
      </c>
      <c r="C3980" s="21" t="n">
        <v>2012</v>
      </c>
      <c r="D3980" s="21" t="inlineStr">
        <is>
          <t>Denmark</t>
        </is>
      </c>
      <c r="E3980" s="21" t="n">
        <v>115</v>
      </c>
      <c r="F3980" s="21" t="inlineStr">
        <is>
          <t>Danish</t>
        </is>
      </c>
      <c r="G3980" s="21" t="inlineStr">
        <is>
          <t>R</t>
        </is>
      </c>
      <c r="H3980" s="22" t="n">
        <v>610968</v>
      </c>
      <c r="I3980" s="22" t="n">
        <v>3800000</v>
      </c>
      <c r="J3980" s="21">
        <f>IF(OR(H3980="",H3980=25529689.5),"Yes","No")</f>
        <v/>
      </c>
      <c r="K3980" s="21">
        <f>IF(AND(D3980="USA",C3980&gt;=1980,J3980="No"),"Yes","No")</f>
        <v/>
      </c>
      <c r="L3980" s="26">
        <f>IF(J3980="Yes","",H3980-I3980)</f>
        <v/>
      </c>
      <c r="M3980" s="27">
        <f>IF(OR(J3980="Yes",I3980=0),"",H3980/I3980)</f>
        <v/>
      </c>
      <c r="N3980" s="21">
        <f>IF(J3980="Yes","",IF(H3980&gt;=I3980,1,0))</f>
        <v/>
      </c>
      <c r="O3980" s="21">
        <f>IF(I3980&lt;=5000000,"Under $5M",IF(I3980&lt;=20000000,"$5M-20M",IF(I3980&lt;=50000000,"$20M-50M",IF(I3980&lt;=100000000,"$50M-100M","$100M+"))))</f>
        <v/>
      </c>
      <c r="P3980" s="21">
        <f>IF(E3980&lt;=90,"90 or less",IF(E3980&lt;=105,"91-105",IF(E3980&lt;=120,"106-120",IF(E3980&lt;=140,"121-140","Over 140"))))</f>
        <v/>
      </c>
      <c r="Q3980" s="28">
        <f>INT(C3980/10)*10</f>
        <v/>
      </c>
    </row>
    <row r="3981">
      <c r="A3981" s="21" t="n">
        <v>4061</v>
      </c>
      <c r="B3981" s="21" t="inlineStr">
        <is>
          <t>The Iceman</t>
        </is>
      </c>
      <c r="C3981" s="21" t="n">
        <v>2012</v>
      </c>
      <c r="D3981" s="21" t="inlineStr">
        <is>
          <t>USA</t>
        </is>
      </c>
      <c r="E3981" s="21" t="n">
        <v>106</v>
      </c>
      <c r="F3981" s="21" t="inlineStr">
        <is>
          <t>English</t>
        </is>
      </c>
      <c r="G3981" s="21" t="inlineStr">
        <is>
          <t>R</t>
        </is>
      </c>
      <c r="H3981" s="22" t="n">
        <v>1939441</v>
      </c>
      <c r="I3981" s="22" t="n">
        <v>10000000</v>
      </c>
      <c r="J3981" s="21">
        <f>IF(OR(H3981="",H3981=25529689.5),"Yes","No")</f>
        <v/>
      </c>
      <c r="K3981" s="21">
        <f>IF(AND(D3981="USA",C3981&gt;=1980,J3981="No"),"Yes","No")</f>
        <v/>
      </c>
      <c r="L3981" s="26">
        <f>IF(J3981="Yes","",H3981-I3981)</f>
        <v/>
      </c>
      <c r="M3981" s="27">
        <f>IF(OR(J3981="Yes",I3981=0),"",H3981/I3981)</f>
        <v/>
      </c>
      <c r="N3981" s="21">
        <f>IF(J3981="Yes","",IF(H3981&gt;=I3981,1,0))</f>
        <v/>
      </c>
      <c r="O3981" s="21">
        <f>IF(I3981&lt;=5000000,"Under $5M",IF(I3981&lt;=20000000,"$5M-20M",IF(I3981&lt;=50000000,"$20M-50M",IF(I3981&lt;=100000000,"$50M-100M","$100M+"))))</f>
        <v/>
      </c>
      <c r="P3981" s="21">
        <f>IF(E3981&lt;=90,"90 or less",IF(E3981&lt;=105,"91-105",IF(E3981&lt;=120,"106-120",IF(E3981&lt;=140,"121-140","Over 140"))))</f>
        <v/>
      </c>
      <c r="Q3981" s="28">
        <f>INT(C3981/10)*10</f>
        <v/>
      </c>
    </row>
    <row r="3982">
      <c r="A3982" s="21" t="n">
        <v>4062</v>
      </c>
      <c r="B3982" s="21" t="inlineStr">
        <is>
          <t>The Impossible</t>
        </is>
      </c>
      <c r="C3982" s="21" t="n">
        <v>2012</v>
      </c>
      <c r="D3982" s="21" t="inlineStr">
        <is>
          <t>Spain</t>
        </is>
      </c>
      <c r="E3982" s="21" t="n">
        <v>114</v>
      </c>
      <c r="F3982" s="21" t="inlineStr">
        <is>
          <t>English</t>
        </is>
      </c>
      <c r="G3982" s="21" t="inlineStr">
        <is>
          <t>PG-13</t>
        </is>
      </c>
      <c r="H3982" s="22" t="n">
        <v>18996755</v>
      </c>
      <c r="I3982" s="22" t="n">
        <v>45000000</v>
      </c>
      <c r="J3982" s="21">
        <f>IF(OR(H3982="",H3982=25529689.5),"Yes","No")</f>
        <v/>
      </c>
      <c r="K3982" s="21">
        <f>IF(AND(D3982="USA",C3982&gt;=1980,J3982="No"),"Yes","No")</f>
        <v/>
      </c>
      <c r="L3982" s="26">
        <f>IF(J3982="Yes","",H3982-I3982)</f>
        <v/>
      </c>
      <c r="M3982" s="27">
        <f>IF(OR(J3982="Yes",I3982=0),"",H3982/I3982)</f>
        <v/>
      </c>
      <c r="N3982" s="21">
        <f>IF(J3982="Yes","",IF(H3982&gt;=I3982,1,0))</f>
        <v/>
      </c>
      <c r="O3982" s="21">
        <f>IF(I3982&lt;=5000000,"Under $5M",IF(I3982&lt;=20000000,"$5M-20M",IF(I3982&lt;=50000000,"$20M-50M",IF(I3982&lt;=100000000,"$50M-100M","$100M+"))))</f>
        <v/>
      </c>
      <c r="P3982" s="21">
        <f>IF(E3982&lt;=90,"90 or less",IF(E3982&lt;=105,"91-105",IF(E3982&lt;=120,"106-120",IF(E3982&lt;=140,"121-140","Over 140"))))</f>
        <v/>
      </c>
      <c r="Q3982" s="28">
        <f>INT(C3982/10)*10</f>
        <v/>
      </c>
    </row>
    <row r="3983">
      <c r="A3983" s="21" t="n">
        <v>4063</v>
      </c>
      <c r="B3983" s="21" t="inlineStr">
        <is>
          <t>The King of Najayo</t>
        </is>
      </c>
      <c r="C3983" s="21" t="n">
        <v>2012</v>
      </c>
      <c r="D3983" s="21" t="inlineStr">
        <is>
          <t>Dominican Republic</t>
        </is>
      </c>
      <c r="E3983" s="21" t="n">
        <v>101</v>
      </c>
      <c r="F3983" s="21" t="inlineStr">
        <is>
          <t>Spanish</t>
        </is>
      </c>
      <c r="G3983" s="21" t="inlineStr">
        <is>
          <t>R</t>
        </is>
      </c>
      <c r="H3983" s="22" t="n">
        <v>25529689.5</v>
      </c>
      <c r="I3983" s="22" t="n">
        <v>500000</v>
      </c>
      <c r="J3983" s="21">
        <f>IF(OR(H3983="",H3983=25529689.5),"Yes","No")</f>
        <v/>
      </c>
      <c r="K3983" s="21">
        <f>IF(AND(D3983="USA",C3983&gt;=1980,J3983="No"),"Yes","No")</f>
        <v/>
      </c>
      <c r="L3983" s="26">
        <f>IF(J3983="Yes","",H3983-I3983)</f>
        <v/>
      </c>
      <c r="M3983" s="27">
        <f>IF(OR(J3983="Yes",I3983=0),"",H3983/I3983)</f>
        <v/>
      </c>
      <c r="N3983" s="21">
        <f>IF(J3983="Yes","",IF(H3983&gt;=I3983,1,0))</f>
        <v/>
      </c>
      <c r="O3983" s="21">
        <f>IF(I3983&lt;=5000000,"Under $5M",IF(I3983&lt;=20000000,"$5M-20M",IF(I3983&lt;=50000000,"$20M-50M",IF(I3983&lt;=100000000,"$50M-100M","$100M+"))))</f>
        <v/>
      </c>
      <c r="P3983" s="21">
        <f>IF(E3983&lt;=90,"90 or less",IF(E3983&lt;=105,"91-105",IF(E3983&lt;=120,"106-120",IF(E3983&lt;=140,"121-140","Over 140"))))</f>
        <v/>
      </c>
      <c r="Q3983" s="28">
        <f>INT(C3983/10)*10</f>
        <v/>
      </c>
    </row>
    <row r="3984">
      <c r="A3984" s="21" t="n">
        <v>4064</v>
      </c>
      <c r="B3984" s="21" t="inlineStr">
        <is>
          <t>The Lords of Salem</t>
        </is>
      </c>
      <c r="C3984" s="21" t="n">
        <v>2012</v>
      </c>
      <c r="D3984" s="21" t="inlineStr">
        <is>
          <t>USA</t>
        </is>
      </c>
      <c r="E3984" s="21" t="n">
        <v>101</v>
      </c>
      <c r="F3984" s="21" t="inlineStr">
        <is>
          <t>English</t>
        </is>
      </c>
      <c r="G3984" s="21" t="inlineStr">
        <is>
          <t>R</t>
        </is>
      </c>
      <c r="H3984" s="22" t="n">
        <v>1163508</v>
      </c>
      <c r="I3984" s="22" t="n">
        <v>2500000</v>
      </c>
      <c r="J3984" s="21">
        <f>IF(OR(H3984="",H3984=25529689.5),"Yes","No")</f>
        <v/>
      </c>
      <c r="K3984" s="21">
        <f>IF(AND(D3984="USA",C3984&gt;=1980,J3984="No"),"Yes","No")</f>
        <v/>
      </c>
      <c r="L3984" s="26">
        <f>IF(J3984="Yes","",H3984-I3984)</f>
        <v/>
      </c>
      <c r="M3984" s="27">
        <f>IF(OR(J3984="Yes",I3984=0),"",H3984/I3984)</f>
        <v/>
      </c>
      <c r="N3984" s="21">
        <f>IF(J3984="Yes","",IF(H3984&gt;=I3984,1,0))</f>
        <v/>
      </c>
      <c r="O3984" s="21">
        <f>IF(I3984&lt;=5000000,"Under $5M",IF(I3984&lt;=20000000,"$5M-20M",IF(I3984&lt;=50000000,"$20M-50M",IF(I3984&lt;=100000000,"$50M-100M","$100M+"))))</f>
        <v/>
      </c>
      <c r="P3984" s="21">
        <f>IF(E3984&lt;=90,"90 or less",IF(E3984&lt;=105,"91-105",IF(E3984&lt;=120,"106-120",IF(E3984&lt;=140,"121-140","Over 140"))))</f>
        <v/>
      </c>
      <c r="Q3984" s="28">
        <f>INT(C3984/10)*10</f>
        <v/>
      </c>
    </row>
    <row r="3985">
      <c r="A3985" s="21" t="n">
        <v>4065</v>
      </c>
      <c r="B3985" s="21" t="inlineStr">
        <is>
          <t>The Lucky One</t>
        </is>
      </c>
      <c r="C3985" s="21" t="n">
        <v>2012</v>
      </c>
      <c r="D3985" s="21" t="inlineStr">
        <is>
          <t>USA</t>
        </is>
      </c>
      <c r="E3985" s="21" t="n">
        <v>101</v>
      </c>
      <c r="F3985" s="21" t="inlineStr">
        <is>
          <t>English</t>
        </is>
      </c>
      <c r="G3985" s="21" t="inlineStr">
        <is>
          <t>PG-13</t>
        </is>
      </c>
      <c r="H3985" s="22" t="n">
        <v>60443237</v>
      </c>
      <c r="I3985" s="22" t="n">
        <v>25000000</v>
      </c>
      <c r="J3985" s="21">
        <f>IF(OR(H3985="",H3985=25529689.5),"Yes","No")</f>
        <v/>
      </c>
      <c r="K3985" s="21">
        <f>IF(AND(D3985="USA",C3985&gt;=1980,J3985="No"),"Yes","No")</f>
        <v/>
      </c>
      <c r="L3985" s="26">
        <f>IF(J3985="Yes","",H3985-I3985)</f>
        <v/>
      </c>
      <c r="M3985" s="27">
        <f>IF(OR(J3985="Yes",I3985=0),"",H3985/I3985)</f>
        <v/>
      </c>
      <c r="N3985" s="21">
        <f>IF(J3985="Yes","",IF(H3985&gt;=I3985,1,0))</f>
        <v/>
      </c>
      <c r="O3985" s="21">
        <f>IF(I3985&lt;=5000000,"Under $5M",IF(I3985&lt;=20000000,"$5M-20M",IF(I3985&lt;=50000000,"$20M-50M",IF(I3985&lt;=100000000,"$50M-100M","$100M+"))))</f>
        <v/>
      </c>
      <c r="P3985" s="21">
        <f>IF(E3985&lt;=90,"90 or less",IF(E3985&lt;=105,"91-105",IF(E3985&lt;=120,"106-120",IF(E3985&lt;=140,"121-140","Over 140"))))</f>
        <v/>
      </c>
      <c r="Q3985" s="28">
        <f>INT(C3985/10)*10</f>
        <v/>
      </c>
    </row>
    <row r="3986">
      <c r="A3986" s="21" t="n">
        <v>4066</v>
      </c>
      <c r="B3986" s="21" t="inlineStr">
        <is>
          <t>The Man with the Iron Fists</t>
        </is>
      </c>
      <c r="C3986" s="21" t="n">
        <v>2012</v>
      </c>
      <c r="D3986" s="21" t="inlineStr">
        <is>
          <t>USA</t>
        </is>
      </c>
      <c r="E3986" s="21" t="n">
        <v>107</v>
      </c>
      <c r="F3986" s="21" t="inlineStr">
        <is>
          <t>English</t>
        </is>
      </c>
      <c r="G3986" s="21" t="inlineStr">
        <is>
          <t>R</t>
        </is>
      </c>
      <c r="H3986" s="22" t="n">
        <v>15608545</v>
      </c>
      <c r="I3986" s="22" t="n">
        <v>15000000</v>
      </c>
      <c r="J3986" s="21">
        <f>IF(OR(H3986="",H3986=25529689.5),"Yes","No")</f>
        <v/>
      </c>
      <c r="K3986" s="21">
        <f>IF(AND(D3986="USA",C3986&gt;=1980,J3986="No"),"Yes","No")</f>
        <v/>
      </c>
      <c r="L3986" s="26">
        <f>IF(J3986="Yes","",H3986-I3986)</f>
        <v/>
      </c>
      <c r="M3986" s="27">
        <f>IF(OR(J3986="Yes",I3986=0),"",H3986/I3986)</f>
        <v/>
      </c>
      <c r="N3986" s="21">
        <f>IF(J3986="Yes","",IF(H3986&gt;=I3986,1,0))</f>
        <v/>
      </c>
      <c r="O3986" s="21">
        <f>IF(I3986&lt;=5000000,"Under $5M",IF(I3986&lt;=20000000,"$5M-20M",IF(I3986&lt;=50000000,"$20M-50M",IF(I3986&lt;=100000000,"$50M-100M","$100M+"))))</f>
        <v/>
      </c>
      <c r="P3986" s="21">
        <f>IF(E3986&lt;=90,"90 or less",IF(E3986&lt;=105,"91-105",IF(E3986&lt;=120,"106-120",IF(E3986&lt;=140,"121-140","Over 140"))))</f>
        <v/>
      </c>
      <c r="Q3986" s="28">
        <f>INT(C3986/10)*10</f>
        <v/>
      </c>
    </row>
    <row r="3987">
      <c r="A3987" s="21" t="n">
        <v>4067</v>
      </c>
      <c r="B3987" s="21" t="inlineStr">
        <is>
          <t>The Master</t>
        </is>
      </c>
      <c r="C3987" s="21" t="n">
        <v>2012</v>
      </c>
      <c r="D3987" s="21" t="inlineStr">
        <is>
          <t>USA</t>
        </is>
      </c>
      <c r="E3987" s="21" t="n">
        <v>144</v>
      </c>
      <c r="F3987" s="21" t="inlineStr">
        <is>
          <t>English</t>
        </is>
      </c>
      <c r="G3987" s="21" t="inlineStr">
        <is>
          <t>R</t>
        </is>
      </c>
      <c r="H3987" s="22" t="n">
        <v>16377274</v>
      </c>
      <c r="I3987" s="22" t="n">
        <v>32000000</v>
      </c>
      <c r="J3987" s="21">
        <f>IF(OR(H3987="",H3987=25529689.5),"Yes","No")</f>
        <v/>
      </c>
      <c r="K3987" s="21">
        <f>IF(AND(D3987="USA",C3987&gt;=1980,J3987="No"),"Yes","No")</f>
        <v/>
      </c>
      <c r="L3987" s="26">
        <f>IF(J3987="Yes","",H3987-I3987)</f>
        <v/>
      </c>
      <c r="M3987" s="27">
        <f>IF(OR(J3987="Yes",I3987=0),"",H3987/I3987)</f>
        <v/>
      </c>
      <c r="N3987" s="21">
        <f>IF(J3987="Yes","",IF(H3987&gt;=I3987,1,0))</f>
        <v/>
      </c>
      <c r="O3987" s="21">
        <f>IF(I3987&lt;=5000000,"Under $5M",IF(I3987&lt;=20000000,"$5M-20M",IF(I3987&lt;=50000000,"$20M-50M",IF(I3987&lt;=100000000,"$50M-100M","$100M+"))))</f>
        <v/>
      </c>
      <c r="P3987" s="21">
        <f>IF(E3987&lt;=90,"90 or less",IF(E3987&lt;=105,"91-105",IF(E3987&lt;=120,"106-120",IF(E3987&lt;=140,"121-140","Over 140"))))</f>
        <v/>
      </c>
      <c r="Q3987" s="28">
        <f>INT(C3987/10)*10</f>
        <v/>
      </c>
    </row>
    <row r="3988">
      <c r="A3988" s="21" t="n">
        <v>4068</v>
      </c>
      <c r="B3988" s="21" t="inlineStr">
        <is>
          <t>The Odd Life of Timothy Green</t>
        </is>
      </c>
      <c r="C3988" s="21" t="n">
        <v>2012</v>
      </c>
      <c r="D3988" s="21" t="inlineStr">
        <is>
          <t>USA</t>
        </is>
      </c>
      <c r="E3988" s="21" t="n">
        <v>105</v>
      </c>
      <c r="F3988" s="21" t="inlineStr">
        <is>
          <t>English</t>
        </is>
      </c>
      <c r="G3988" s="21" t="inlineStr">
        <is>
          <t>PG</t>
        </is>
      </c>
      <c r="H3988" s="22" t="n">
        <v>51853450</v>
      </c>
      <c r="I3988" s="22" t="n">
        <v>25000000</v>
      </c>
      <c r="J3988" s="21">
        <f>IF(OR(H3988="",H3988=25529689.5),"Yes","No")</f>
        <v/>
      </c>
      <c r="K3988" s="21">
        <f>IF(AND(D3988="USA",C3988&gt;=1980,J3988="No"),"Yes","No")</f>
        <v/>
      </c>
      <c r="L3988" s="26">
        <f>IF(J3988="Yes","",H3988-I3988)</f>
        <v/>
      </c>
      <c r="M3988" s="27">
        <f>IF(OR(J3988="Yes",I3988=0),"",H3988/I3988)</f>
        <v/>
      </c>
      <c r="N3988" s="21">
        <f>IF(J3988="Yes","",IF(H3988&gt;=I3988,1,0))</f>
        <v/>
      </c>
      <c r="O3988" s="21">
        <f>IF(I3988&lt;=5000000,"Under $5M",IF(I3988&lt;=20000000,"$5M-20M",IF(I3988&lt;=50000000,"$20M-50M",IF(I3988&lt;=100000000,"$50M-100M","$100M+"))))</f>
        <v/>
      </c>
      <c r="P3988" s="21">
        <f>IF(E3988&lt;=90,"90 or less",IF(E3988&lt;=105,"91-105",IF(E3988&lt;=120,"106-120",IF(E3988&lt;=140,"121-140","Over 140"))))</f>
        <v/>
      </c>
      <c r="Q3988" s="28">
        <f>INT(C3988/10)*10</f>
        <v/>
      </c>
    </row>
    <row r="3989">
      <c r="A3989" s="21" t="n">
        <v>4069</v>
      </c>
      <c r="B3989" s="21" t="inlineStr">
        <is>
          <t>The Oogieloves in the Big Balloon Adventure</t>
        </is>
      </c>
      <c r="C3989" s="21" t="n">
        <v>2012</v>
      </c>
      <c r="D3989" s="21" t="inlineStr">
        <is>
          <t>USA</t>
        </is>
      </c>
      <c r="E3989" s="21" t="n">
        <v>88</v>
      </c>
      <c r="F3989" s="21" t="inlineStr">
        <is>
          <t>English</t>
        </is>
      </c>
      <c r="G3989" s="21" t="inlineStr">
        <is>
          <t>G</t>
        </is>
      </c>
      <c r="H3989" s="22" t="n">
        <v>1064277</v>
      </c>
      <c r="I3989" s="22" t="n">
        <v>20000000</v>
      </c>
      <c r="J3989" s="21">
        <f>IF(OR(H3989="",H3989=25529689.5),"Yes","No")</f>
        <v/>
      </c>
      <c r="K3989" s="21">
        <f>IF(AND(D3989="USA",C3989&gt;=1980,J3989="No"),"Yes","No")</f>
        <v/>
      </c>
      <c r="L3989" s="26">
        <f>IF(J3989="Yes","",H3989-I3989)</f>
        <v/>
      </c>
      <c r="M3989" s="27">
        <f>IF(OR(J3989="Yes",I3989=0),"",H3989/I3989)</f>
        <v/>
      </c>
      <c r="N3989" s="21">
        <f>IF(J3989="Yes","",IF(H3989&gt;=I3989,1,0))</f>
        <v/>
      </c>
      <c r="O3989" s="21">
        <f>IF(I3989&lt;=5000000,"Under $5M",IF(I3989&lt;=20000000,"$5M-20M",IF(I3989&lt;=50000000,"$20M-50M",IF(I3989&lt;=100000000,"$50M-100M","$100M+"))))</f>
        <v/>
      </c>
      <c r="P3989" s="21">
        <f>IF(E3989&lt;=90,"90 or less",IF(E3989&lt;=105,"91-105",IF(E3989&lt;=120,"106-120",IF(E3989&lt;=140,"121-140","Over 140"))))</f>
        <v/>
      </c>
      <c r="Q3989" s="28">
        <f>INT(C3989/10)*10</f>
        <v/>
      </c>
    </row>
    <row r="3990">
      <c r="A3990" s="21" t="n">
        <v>4070</v>
      </c>
      <c r="B3990" s="21" t="inlineStr">
        <is>
          <t>The Other Dream Team</t>
        </is>
      </c>
      <c r="C3990" s="21" t="n">
        <v>2012</v>
      </c>
      <c r="D3990" s="21" t="inlineStr">
        <is>
          <t>USA</t>
        </is>
      </c>
      <c r="E3990" s="21" t="n">
        <v>89</v>
      </c>
      <c r="F3990" s="21" t="inlineStr">
        <is>
          <t>English</t>
        </is>
      </c>
      <c r="G3990" s="21" t="inlineStr">
        <is>
          <t>Not Rated</t>
        </is>
      </c>
      <c r="H3990" s="22" t="n">
        <v>133778</v>
      </c>
      <c r="I3990" s="22" t="n">
        <v>500000</v>
      </c>
      <c r="J3990" s="21">
        <f>IF(OR(H3990="",H3990=25529689.5),"Yes","No")</f>
        <v/>
      </c>
      <c r="K3990" s="21">
        <f>IF(AND(D3990="USA",C3990&gt;=1980,J3990="No"),"Yes","No")</f>
        <v/>
      </c>
      <c r="L3990" s="26">
        <f>IF(J3990="Yes","",H3990-I3990)</f>
        <v/>
      </c>
      <c r="M3990" s="27">
        <f>IF(OR(J3990="Yes",I3990=0),"",H3990/I3990)</f>
        <v/>
      </c>
      <c r="N3990" s="21">
        <f>IF(J3990="Yes","",IF(H3990&gt;=I3990,1,0))</f>
        <v/>
      </c>
      <c r="O3990" s="21">
        <f>IF(I3990&lt;=5000000,"Under $5M",IF(I3990&lt;=20000000,"$5M-20M",IF(I3990&lt;=50000000,"$20M-50M",IF(I3990&lt;=100000000,"$50M-100M","$100M+"))))</f>
        <v/>
      </c>
      <c r="P3990" s="21">
        <f>IF(E3990&lt;=90,"90 or less",IF(E3990&lt;=105,"91-105",IF(E3990&lt;=120,"106-120",IF(E3990&lt;=140,"121-140","Over 140"))))</f>
        <v/>
      </c>
      <c r="Q3990" s="28">
        <f>INT(C3990/10)*10</f>
        <v/>
      </c>
    </row>
    <row r="3991">
      <c r="A3991" s="21" t="n">
        <v>4071</v>
      </c>
      <c r="B3991" s="21" t="inlineStr">
        <is>
          <t>The Perks of Being a Wallflower</t>
        </is>
      </c>
      <c r="C3991" s="21" t="n">
        <v>2012</v>
      </c>
      <c r="D3991" s="21" t="inlineStr">
        <is>
          <t>USA</t>
        </is>
      </c>
      <c r="E3991" s="21" t="n">
        <v>102</v>
      </c>
      <c r="F3991" s="21" t="inlineStr">
        <is>
          <t>English</t>
        </is>
      </c>
      <c r="G3991" s="21" t="inlineStr">
        <is>
          <t>PG-13</t>
        </is>
      </c>
      <c r="H3991" s="22" t="n">
        <v>17738570</v>
      </c>
      <c r="I3991" s="22" t="n">
        <v>13000000</v>
      </c>
      <c r="J3991" s="21">
        <f>IF(OR(H3991="",H3991=25529689.5),"Yes","No")</f>
        <v/>
      </c>
      <c r="K3991" s="21">
        <f>IF(AND(D3991="USA",C3991&gt;=1980,J3991="No"),"Yes","No")</f>
        <v/>
      </c>
      <c r="L3991" s="26">
        <f>IF(J3991="Yes","",H3991-I3991)</f>
        <v/>
      </c>
      <c r="M3991" s="27">
        <f>IF(OR(J3991="Yes",I3991=0),"",H3991/I3991)</f>
        <v/>
      </c>
      <c r="N3991" s="21">
        <f>IF(J3991="Yes","",IF(H3991&gt;=I3991,1,0))</f>
        <v/>
      </c>
      <c r="O3991" s="21">
        <f>IF(I3991&lt;=5000000,"Under $5M",IF(I3991&lt;=20000000,"$5M-20M",IF(I3991&lt;=50000000,"$20M-50M",IF(I3991&lt;=100000000,"$50M-100M","$100M+"))))</f>
        <v/>
      </c>
      <c r="P3991" s="21">
        <f>IF(E3991&lt;=90,"90 or less",IF(E3991&lt;=105,"91-105",IF(E3991&lt;=120,"106-120",IF(E3991&lt;=140,"121-140","Over 140"))))</f>
        <v/>
      </c>
      <c r="Q3991" s="28">
        <f>INT(C3991/10)*10</f>
        <v/>
      </c>
    </row>
    <row r="3992">
      <c r="A3992" s="21" t="n">
        <v>4072</v>
      </c>
      <c r="B3992" s="21" t="inlineStr">
        <is>
          <t>The Pirates! Band of Misfits</t>
        </is>
      </c>
      <c r="C3992" s="21" t="n">
        <v>2012</v>
      </c>
      <c r="D3992" s="21" t="inlineStr">
        <is>
          <t>UK</t>
        </is>
      </c>
      <c r="E3992" s="21" t="n">
        <v>88</v>
      </c>
      <c r="F3992" s="21" t="inlineStr">
        <is>
          <t>English</t>
        </is>
      </c>
      <c r="G3992" s="21" t="inlineStr">
        <is>
          <t>PG</t>
        </is>
      </c>
      <c r="H3992" s="22" t="n">
        <v>31051126</v>
      </c>
      <c r="I3992" s="22" t="n">
        <v>55000000</v>
      </c>
      <c r="J3992" s="21">
        <f>IF(OR(H3992="",H3992=25529689.5),"Yes","No")</f>
        <v/>
      </c>
      <c r="K3992" s="21">
        <f>IF(AND(D3992="USA",C3992&gt;=1980,J3992="No"),"Yes","No")</f>
        <v/>
      </c>
      <c r="L3992" s="26">
        <f>IF(J3992="Yes","",H3992-I3992)</f>
        <v/>
      </c>
      <c r="M3992" s="27">
        <f>IF(OR(J3992="Yes",I3992=0),"",H3992/I3992)</f>
        <v/>
      </c>
      <c r="N3992" s="21">
        <f>IF(J3992="Yes","",IF(H3992&gt;=I3992,1,0))</f>
        <v/>
      </c>
      <c r="O3992" s="21">
        <f>IF(I3992&lt;=5000000,"Under $5M",IF(I3992&lt;=20000000,"$5M-20M",IF(I3992&lt;=50000000,"$20M-50M",IF(I3992&lt;=100000000,"$50M-100M","$100M+"))))</f>
        <v/>
      </c>
      <c r="P3992" s="21">
        <f>IF(E3992&lt;=90,"90 or less",IF(E3992&lt;=105,"91-105",IF(E3992&lt;=120,"106-120",IF(E3992&lt;=140,"121-140","Over 140"))))</f>
        <v/>
      </c>
      <c r="Q3992" s="28">
        <f>INT(C3992/10)*10</f>
        <v/>
      </c>
    </row>
    <row r="3993">
      <c r="A3993" s="21" t="n">
        <v>4073</v>
      </c>
      <c r="B3993" s="21" t="inlineStr">
        <is>
          <t>The Place Beyond the Pines</t>
        </is>
      </c>
      <c r="C3993" s="21" t="n">
        <v>2012</v>
      </c>
      <c r="D3993" s="21" t="inlineStr">
        <is>
          <t>USA</t>
        </is>
      </c>
      <c r="E3993" s="21" t="n">
        <v>140</v>
      </c>
      <c r="F3993" s="21" t="inlineStr">
        <is>
          <t>English</t>
        </is>
      </c>
      <c r="G3993" s="21" t="inlineStr">
        <is>
          <t>R</t>
        </is>
      </c>
      <c r="H3993" s="22" t="n">
        <v>21383298</v>
      </c>
      <c r="I3993" s="22" t="n">
        <v>15000000</v>
      </c>
      <c r="J3993" s="21">
        <f>IF(OR(H3993="",H3993=25529689.5),"Yes","No")</f>
        <v/>
      </c>
      <c r="K3993" s="21">
        <f>IF(AND(D3993="USA",C3993&gt;=1980,J3993="No"),"Yes","No")</f>
        <v/>
      </c>
      <c r="L3993" s="26">
        <f>IF(J3993="Yes","",H3993-I3993)</f>
        <v/>
      </c>
      <c r="M3993" s="27">
        <f>IF(OR(J3993="Yes",I3993=0),"",H3993/I3993)</f>
        <v/>
      </c>
      <c r="N3993" s="21">
        <f>IF(J3993="Yes","",IF(H3993&gt;=I3993,1,0))</f>
        <v/>
      </c>
      <c r="O3993" s="21">
        <f>IF(I3993&lt;=5000000,"Under $5M",IF(I3993&lt;=20000000,"$5M-20M",IF(I3993&lt;=50000000,"$20M-50M",IF(I3993&lt;=100000000,"$50M-100M","$100M+"))))</f>
        <v/>
      </c>
      <c r="P3993" s="21">
        <f>IF(E3993&lt;=90,"90 or less",IF(E3993&lt;=105,"91-105",IF(E3993&lt;=120,"106-120",IF(E3993&lt;=140,"121-140","Over 140"))))</f>
        <v/>
      </c>
      <c r="Q3993" s="28">
        <f>INT(C3993/10)*10</f>
        <v/>
      </c>
    </row>
    <row r="3994">
      <c r="A3994" s="21" t="n">
        <v>4074</v>
      </c>
      <c r="B3994" s="21" t="inlineStr">
        <is>
          <t>The Possession</t>
        </is>
      </c>
      <c r="C3994" s="21" t="n">
        <v>2012</v>
      </c>
      <c r="D3994" s="21" t="inlineStr">
        <is>
          <t>USA</t>
        </is>
      </c>
      <c r="E3994" s="21" t="n">
        <v>92</v>
      </c>
      <c r="F3994" s="21" t="inlineStr">
        <is>
          <t>English</t>
        </is>
      </c>
      <c r="G3994" s="21" t="inlineStr">
        <is>
          <t>PG-13</t>
        </is>
      </c>
      <c r="H3994" s="22" t="n">
        <v>49122319</v>
      </c>
      <c r="I3994" s="22" t="n">
        <v>14000000</v>
      </c>
      <c r="J3994" s="21">
        <f>IF(OR(H3994="",H3994=25529689.5),"Yes","No")</f>
        <v/>
      </c>
      <c r="K3994" s="21">
        <f>IF(AND(D3994="USA",C3994&gt;=1980,J3994="No"),"Yes","No")</f>
        <v/>
      </c>
      <c r="L3994" s="26">
        <f>IF(J3994="Yes","",H3994-I3994)</f>
        <v/>
      </c>
      <c r="M3994" s="27">
        <f>IF(OR(J3994="Yes",I3994=0),"",H3994/I3994)</f>
        <v/>
      </c>
      <c r="N3994" s="21">
        <f>IF(J3994="Yes","",IF(H3994&gt;=I3994,1,0))</f>
        <v/>
      </c>
      <c r="O3994" s="21">
        <f>IF(I3994&lt;=5000000,"Under $5M",IF(I3994&lt;=20000000,"$5M-20M",IF(I3994&lt;=50000000,"$20M-50M",IF(I3994&lt;=100000000,"$50M-100M","$100M+"))))</f>
        <v/>
      </c>
      <c r="P3994" s="21">
        <f>IF(E3994&lt;=90,"90 or less",IF(E3994&lt;=105,"91-105",IF(E3994&lt;=120,"106-120",IF(E3994&lt;=140,"121-140","Over 140"))))</f>
        <v/>
      </c>
      <c r="Q3994" s="28">
        <f>INT(C3994/10)*10</f>
        <v/>
      </c>
    </row>
    <row r="3995">
      <c r="A3995" s="21" t="n">
        <v>4076</v>
      </c>
      <c r="B3995" s="21" t="inlineStr">
        <is>
          <t>The Raven</t>
        </is>
      </c>
      <c r="C3995" s="21" t="n">
        <v>2012</v>
      </c>
      <c r="D3995" s="21" t="inlineStr">
        <is>
          <t>USA</t>
        </is>
      </c>
      <c r="E3995" s="21" t="n">
        <v>110</v>
      </c>
      <c r="F3995" s="21" t="inlineStr">
        <is>
          <t>English</t>
        </is>
      </c>
      <c r="G3995" s="21" t="inlineStr">
        <is>
          <t>R</t>
        </is>
      </c>
      <c r="H3995" s="22" t="n">
        <v>16005978</v>
      </c>
      <c r="I3995" s="22" t="n">
        <v>26000000</v>
      </c>
      <c r="J3995" s="21">
        <f>IF(OR(H3995="",H3995=25529689.5),"Yes","No")</f>
        <v/>
      </c>
      <c r="K3995" s="21">
        <f>IF(AND(D3995="USA",C3995&gt;=1980,J3995="No"),"Yes","No")</f>
        <v/>
      </c>
      <c r="L3995" s="26">
        <f>IF(J3995="Yes","",H3995-I3995)</f>
        <v/>
      </c>
      <c r="M3995" s="27">
        <f>IF(OR(J3995="Yes",I3995=0),"",H3995/I3995)</f>
        <v/>
      </c>
      <c r="N3995" s="21">
        <f>IF(J3995="Yes","",IF(H3995&gt;=I3995,1,0))</f>
        <v/>
      </c>
      <c r="O3995" s="21">
        <f>IF(I3995&lt;=5000000,"Under $5M",IF(I3995&lt;=20000000,"$5M-20M",IF(I3995&lt;=50000000,"$20M-50M",IF(I3995&lt;=100000000,"$50M-100M","$100M+"))))</f>
        <v/>
      </c>
      <c r="P3995" s="21">
        <f>IF(E3995&lt;=90,"90 or less",IF(E3995&lt;=105,"91-105",IF(E3995&lt;=120,"106-120",IF(E3995&lt;=140,"121-140","Over 140"))))</f>
        <v/>
      </c>
      <c r="Q3995" s="28">
        <f>INT(C3995/10)*10</f>
        <v/>
      </c>
    </row>
    <row r="3996">
      <c r="A3996" s="21" t="n">
        <v>4077</v>
      </c>
      <c r="B3996" s="21" t="inlineStr">
        <is>
          <t>The Sessions</t>
        </is>
      </c>
      <c r="C3996" s="21" t="n">
        <v>2012</v>
      </c>
      <c r="D3996" s="21" t="inlineStr">
        <is>
          <t>USA</t>
        </is>
      </c>
      <c r="E3996" s="21" t="n">
        <v>95</v>
      </c>
      <c r="F3996" s="21" t="inlineStr">
        <is>
          <t>English</t>
        </is>
      </c>
      <c r="G3996" s="21" t="inlineStr">
        <is>
          <t>R</t>
        </is>
      </c>
      <c r="H3996" s="22" t="n">
        <v>5997134</v>
      </c>
      <c r="I3996" s="22" t="n">
        <v>1000000</v>
      </c>
      <c r="J3996" s="21">
        <f>IF(OR(H3996="",H3996=25529689.5),"Yes","No")</f>
        <v/>
      </c>
      <c r="K3996" s="21">
        <f>IF(AND(D3996="USA",C3996&gt;=1980,J3996="No"),"Yes","No")</f>
        <v/>
      </c>
      <c r="L3996" s="26">
        <f>IF(J3996="Yes","",H3996-I3996)</f>
        <v/>
      </c>
      <c r="M3996" s="27">
        <f>IF(OR(J3996="Yes",I3996=0),"",H3996/I3996)</f>
        <v/>
      </c>
      <c r="N3996" s="21">
        <f>IF(J3996="Yes","",IF(H3996&gt;=I3996,1,0))</f>
        <v/>
      </c>
      <c r="O3996" s="21">
        <f>IF(I3996&lt;=5000000,"Under $5M",IF(I3996&lt;=20000000,"$5M-20M",IF(I3996&lt;=50000000,"$20M-50M",IF(I3996&lt;=100000000,"$50M-100M","$100M+"))))</f>
        <v/>
      </c>
      <c r="P3996" s="21">
        <f>IF(E3996&lt;=90,"90 or less",IF(E3996&lt;=105,"91-105",IF(E3996&lt;=120,"106-120",IF(E3996&lt;=140,"121-140","Over 140"))))</f>
        <v/>
      </c>
      <c r="Q3996" s="28">
        <f>INT(C3996/10)*10</f>
        <v/>
      </c>
    </row>
    <row r="3997">
      <c r="A3997" s="21" t="n">
        <v>4078</v>
      </c>
      <c r="B3997" s="21" t="inlineStr">
        <is>
          <t>The Sweeney</t>
        </is>
      </c>
      <c r="C3997" s="21" t="n">
        <v>2012</v>
      </c>
      <c r="D3997" s="21" t="inlineStr">
        <is>
          <t>UK</t>
        </is>
      </c>
      <c r="E3997" s="21" t="n">
        <v>112</v>
      </c>
      <c r="F3997" s="21" t="inlineStr">
        <is>
          <t>English</t>
        </is>
      </c>
      <c r="G3997" s="21" t="inlineStr">
        <is>
          <t>R</t>
        </is>
      </c>
      <c r="H3997" s="22" t="n">
        <v>26345</v>
      </c>
      <c r="I3997" s="22" t="n">
        <v>3000000</v>
      </c>
      <c r="J3997" s="21">
        <f>IF(OR(H3997="",H3997=25529689.5),"Yes","No")</f>
        <v/>
      </c>
      <c r="K3997" s="21">
        <f>IF(AND(D3997="USA",C3997&gt;=1980,J3997="No"),"Yes","No")</f>
        <v/>
      </c>
      <c r="L3997" s="26">
        <f>IF(J3997="Yes","",H3997-I3997)</f>
        <v/>
      </c>
      <c r="M3997" s="27">
        <f>IF(OR(J3997="Yes",I3997=0),"",H3997/I3997)</f>
        <v/>
      </c>
      <c r="N3997" s="21">
        <f>IF(J3997="Yes","",IF(H3997&gt;=I3997,1,0))</f>
        <v/>
      </c>
      <c r="O3997" s="21">
        <f>IF(I3997&lt;=5000000,"Under $5M",IF(I3997&lt;=20000000,"$5M-20M",IF(I3997&lt;=50000000,"$20M-50M",IF(I3997&lt;=100000000,"$50M-100M","$100M+"))))</f>
        <v/>
      </c>
      <c r="P3997" s="21">
        <f>IF(E3997&lt;=90,"90 or less",IF(E3997&lt;=105,"91-105",IF(E3997&lt;=120,"106-120",IF(E3997&lt;=140,"121-140","Over 140"))))</f>
        <v/>
      </c>
      <c r="Q3997" s="28">
        <f>INT(C3997/10)*10</f>
        <v/>
      </c>
    </row>
    <row r="3998">
      <c r="A3998" s="21" t="n">
        <v>4079</v>
      </c>
      <c r="B3998" s="21" t="inlineStr">
        <is>
          <t>The Three Stooges</t>
        </is>
      </c>
      <c r="C3998" s="21" t="n">
        <v>2012</v>
      </c>
      <c r="D3998" s="21" t="inlineStr">
        <is>
          <t>USA</t>
        </is>
      </c>
      <c r="E3998" s="21" t="n">
        <v>92</v>
      </c>
      <c r="F3998" s="21" t="inlineStr">
        <is>
          <t>English</t>
        </is>
      </c>
      <c r="G3998" s="21" t="inlineStr">
        <is>
          <t>PG</t>
        </is>
      </c>
      <c r="H3998" s="22" t="n">
        <v>44328238</v>
      </c>
      <c r="I3998" s="22" t="n">
        <v>20000000</v>
      </c>
      <c r="J3998" s="21">
        <f>IF(OR(H3998="",H3998=25529689.5),"Yes","No")</f>
        <v/>
      </c>
      <c r="K3998" s="21">
        <f>IF(AND(D3998="USA",C3998&gt;=1980,J3998="No"),"Yes","No")</f>
        <v/>
      </c>
      <c r="L3998" s="26">
        <f>IF(J3998="Yes","",H3998-I3998)</f>
        <v/>
      </c>
      <c r="M3998" s="27">
        <f>IF(OR(J3998="Yes",I3998=0),"",H3998/I3998)</f>
        <v/>
      </c>
      <c r="N3998" s="21">
        <f>IF(J3998="Yes","",IF(H3998&gt;=I3998,1,0))</f>
        <v/>
      </c>
      <c r="O3998" s="21">
        <f>IF(I3998&lt;=5000000,"Under $5M",IF(I3998&lt;=20000000,"$5M-20M",IF(I3998&lt;=50000000,"$20M-50M",IF(I3998&lt;=100000000,"$50M-100M","$100M+"))))</f>
        <v/>
      </c>
      <c r="P3998" s="21">
        <f>IF(E3998&lt;=90,"90 or less",IF(E3998&lt;=105,"91-105",IF(E3998&lt;=120,"106-120",IF(E3998&lt;=140,"121-140","Over 140"))))</f>
        <v/>
      </c>
      <c r="Q3998" s="28">
        <f>INT(C3998/10)*10</f>
        <v/>
      </c>
    </row>
    <row r="3999">
      <c r="A3999" s="21" t="n">
        <v>4080</v>
      </c>
      <c r="B3999" s="21" t="inlineStr">
        <is>
          <t>The Twilight Saga: Breaking Dawn - Part 2</t>
        </is>
      </c>
      <c r="C3999" s="21" t="n">
        <v>2012</v>
      </c>
      <c r="D3999" s="21" t="inlineStr">
        <is>
          <t>USA</t>
        </is>
      </c>
      <c r="E3999" s="21" t="n">
        <v>115</v>
      </c>
      <c r="F3999" s="21" t="inlineStr">
        <is>
          <t>English</t>
        </is>
      </c>
      <c r="G3999" s="21" t="inlineStr">
        <is>
          <t>PG-13</t>
        </is>
      </c>
      <c r="H3999" s="22" t="n">
        <v>292298923</v>
      </c>
      <c r="I3999" s="22" t="n">
        <v>120000000</v>
      </c>
      <c r="J3999" s="21">
        <f>IF(OR(H3999="",H3999=25529689.5),"Yes","No")</f>
        <v/>
      </c>
      <c r="K3999" s="21">
        <f>IF(AND(D3999="USA",C3999&gt;=1980,J3999="No"),"Yes","No")</f>
        <v/>
      </c>
      <c r="L3999" s="26">
        <f>IF(J3999="Yes","",H3999-I3999)</f>
        <v/>
      </c>
      <c r="M3999" s="27">
        <f>IF(OR(J3999="Yes",I3999=0),"",H3999/I3999)</f>
        <v/>
      </c>
      <c r="N3999" s="21">
        <f>IF(J3999="Yes","",IF(H3999&gt;=I3999,1,0))</f>
        <v/>
      </c>
      <c r="O3999" s="21">
        <f>IF(I3999&lt;=5000000,"Under $5M",IF(I3999&lt;=20000000,"$5M-20M",IF(I3999&lt;=50000000,"$20M-50M",IF(I3999&lt;=100000000,"$50M-100M","$100M+"))))</f>
        <v/>
      </c>
      <c r="P3999" s="21">
        <f>IF(E3999&lt;=90,"90 or less",IF(E3999&lt;=105,"91-105",IF(E3999&lt;=120,"106-120",IF(E3999&lt;=140,"121-140","Over 140"))))</f>
        <v/>
      </c>
      <c r="Q3999" s="28">
        <f>INT(C3999/10)*10</f>
        <v/>
      </c>
    </row>
    <row r="4000">
      <c r="A4000" s="21" t="n">
        <v>4082</v>
      </c>
      <c r="B4000" s="21" t="inlineStr">
        <is>
          <t>The Vow</t>
        </is>
      </c>
      <c r="C4000" s="21" t="n">
        <v>2012</v>
      </c>
      <c r="D4000" s="21" t="inlineStr">
        <is>
          <t>USA</t>
        </is>
      </c>
      <c r="E4000" s="21" t="n">
        <v>104</v>
      </c>
      <c r="F4000" s="21" t="inlineStr">
        <is>
          <t>English</t>
        </is>
      </c>
      <c r="G4000" s="21" t="inlineStr">
        <is>
          <t>PG-13</t>
        </is>
      </c>
      <c r="H4000" s="22" t="n">
        <v>125014030</v>
      </c>
      <c r="I4000" s="22" t="n">
        <v>30000000</v>
      </c>
      <c r="J4000" s="21">
        <f>IF(OR(H4000="",H4000=25529689.5),"Yes","No")</f>
        <v/>
      </c>
      <c r="K4000" s="21">
        <f>IF(AND(D4000="USA",C4000&gt;=1980,J4000="No"),"Yes","No")</f>
        <v/>
      </c>
      <c r="L4000" s="26">
        <f>IF(J4000="Yes","",H4000-I4000)</f>
        <v/>
      </c>
      <c r="M4000" s="27">
        <f>IF(OR(J4000="Yes",I4000=0),"",H4000/I4000)</f>
        <v/>
      </c>
      <c r="N4000" s="21">
        <f>IF(J4000="Yes","",IF(H4000&gt;=I4000,1,0))</f>
        <v/>
      </c>
      <c r="O4000" s="21">
        <f>IF(I4000&lt;=5000000,"Under $5M",IF(I4000&lt;=20000000,"$5M-20M",IF(I4000&lt;=50000000,"$20M-50M",IF(I4000&lt;=100000000,"$50M-100M","$100M+"))))</f>
        <v/>
      </c>
      <c r="P4000" s="21">
        <f>IF(E4000&lt;=90,"90 or less",IF(E4000&lt;=105,"91-105",IF(E4000&lt;=120,"106-120",IF(E4000&lt;=140,"121-140","Over 140"))))</f>
        <v/>
      </c>
      <c r="Q4000" s="28">
        <f>INT(C4000/10)*10</f>
        <v/>
      </c>
    </row>
    <row r="4001">
      <c r="A4001" s="21" t="n">
        <v>4083</v>
      </c>
      <c r="B4001" s="21" t="inlineStr">
        <is>
          <t>The Watch</t>
        </is>
      </c>
      <c r="C4001" s="21" t="n">
        <v>2012</v>
      </c>
      <c r="D4001" s="21" t="inlineStr">
        <is>
          <t>USA</t>
        </is>
      </c>
      <c r="E4001" s="21" t="n">
        <v>102</v>
      </c>
      <c r="F4001" s="21" t="inlineStr">
        <is>
          <t>English</t>
        </is>
      </c>
      <c r="G4001" s="21" t="inlineStr">
        <is>
          <t>R</t>
        </is>
      </c>
      <c r="H4001" s="22" t="n">
        <v>34350553</v>
      </c>
      <c r="I4001" s="22" t="n">
        <v>68000000</v>
      </c>
      <c r="J4001" s="21">
        <f>IF(OR(H4001="",H4001=25529689.5),"Yes","No")</f>
        <v/>
      </c>
      <c r="K4001" s="21">
        <f>IF(AND(D4001="USA",C4001&gt;=1980,J4001="No"),"Yes","No")</f>
        <v/>
      </c>
      <c r="L4001" s="26">
        <f>IF(J4001="Yes","",H4001-I4001)</f>
        <v/>
      </c>
      <c r="M4001" s="27">
        <f>IF(OR(J4001="Yes",I4001=0),"",H4001/I4001)</f>
        <v/>
      </c>
      <c r="N4001" s="21">
        <f>IF(J4001="Yes","",IF(H4001&gt;=I4001,1,0))</f>
        <v/>
      </c>
      <c r="O4001" s="21">
        <f>IF(I4001&lt;=5000000,"Under $5M",IF(I4001&lt;=20000000,"$5M-20M",IF(I4001&lt;=50000000,"$20M-50M",IF(I4001&lt;=100000000,"$50M-100M","$100M+"))))</f>
        <v/>
      </c>
      <c r="P4001" s="21">
        <f>IF(E4001&lt;=90,"90 or less",IF(E4001&lt;=105,"91-105",IF(E4001&lt;=120,"106-120",IF(E4001&lt;=140,"121-140","Over 140"))))</f>
        <v/>
      </c>
      <c r="Q4001" s="28">
        <f>INT(C4001/10)*10</f>
        <v/>
      </c>
    </row>
    <row r="4002">
      <c r="A4002" s="21" t="n">
        <v>4085</v>
      </c>
      <c r="B4002" s="21" t="inlineStr">
        <is>
          <t>The Woman in Black</t>
        </is>
      </c>
      <c r="C4002" s="21" t="n">
        <v>2012</v>
      </c>
      <c r="D4002" s="21" t="inlineStr">
        <is>
          <t>UK</t>
        </is>
      </c>
      <c r="E4002" s="21" t="n">
        <v>95</v>
      </c>
      <c r="F4002" s="21" t="inlineStr">
        <is>
          <t>English</t>
        </is>
      </c>
      <c r="G4002" s="21" t="inlineStr">
        <is>
          <t>PG-13</t>
        </is>
      </c>
      <c r="H4002" s="22" t="n">
        <v>54322273</v>
      </c>
      <c r="I4002" s="22" t="n">
        <v>17000000</v>
      </c>
      <c r="J4002" s="21">
        <f>IF(OR(H4002="",H4002=25529689.5),"Yes","No")</f>
        <v/>
      </c>
      <c r="K4002" s="21">
        <f>IF(AND(D4002="USA",C4002&gt;=1980,J4002="No"),"Yes","No")</f>
        <v/>
      </c>
      <c r="L4002" s="26">
        <f>IF(J4002="Yes","",H4002-I4002)</f>
        <v/>
      </c>
      <c r="M4002" s="27">
        <f>IF(OR(J4002="Yes",I4002=0),"",H4002/I4002)</f>
        <v/>
      </c>
      <c r="N4002" s="21">
        <f>IF(J4002="Yes","",IF(H4002&gt;=I4002,1,0))</f>
        <v/>
      </c>
      <c r="O4002" s="21">
        <f>IF(I4002&lt;=5000000,"Under $5M",IF(I4002&lt;=20000000,"$5M-20M",IF(I4002&lt;=50000000,"$20M-50M",IF(I4002&lt;=100000000,"$50M-100M","$100M+"))))</f>
        <v/>
      </c>
      <c r="P4002" s="21">
        <f>IF(E4002&lt;=90,"90 or less",IF(E4002&lt;=105,"91-105",IF(E4002&lt;=120,"106-120",IF(E4002&lt;=140,"121-140","Over 140"))))</f>
        <v/>
      </c>
      <c r="Q4002" s="28">
        <f>INT(C4002/10)*10</f>
        <v/>
      </c>
    </row>
    <row r="4003">
      <c r="A4003" s="21" t="n">
        <v>4086</v>
      </c>
      <c r="B4003" s="21" t="inlineStr">
        <is>
          <t>The Words</t>
        </is>
      </c>
      <c r="C4003" s="21" t="n">
        <v>2012</v>
      </c>
      <c r="D4003" s="21" t="inlineStr">
        <is>
          <t>USA</t>
        </is>
      </c>
      <c r="E4003" s="21" t="n">
        <v>102</v>
      </c>
      <c r="F4003" s="21" t="inlineStr">
        <is>
          <t>English</t>
        </is>
      </c>
      <c r="G4003" s="21" t="inlineStr">
        <is>
          <t>PG-13</t>
        </is>
      </c>
      <c r="H4003" s="22" t="n">
        <v>11434867</v>
      </c>
      <c r="I4003" s="22" t="n">
        <v>6000000</v>
      </c>
      <c r="J4003" s="21">
        <f>IF(OR(H4003="",H4003=25529689.5),"Yes","No")</f>
        <v/>
      </c>
      <c r="K4003" s="21">
        <f>IF(AND(D4003="USA",C4003&gt;=1980,J4003="No"),"Yes","No")</f>
        <v/>
      </c>
      <c r="L4003" s="26">
        <f>IF(J4003="Yes","",H4003-I4003)</f>
        <v/>
      </c>
      <c r="M4003" s="27">
        <f>IF(OR(J4003="Yes",I4003=0),"",H4003/I4003)</f>
        <v/>
      </c>
      <c r="N4003" s="21">
        <f>IF(J4003="Yes","",IF(H4003&gt;=I4003,1,0))</f>
        <v/>
      </c>
      <c r="O4003" s="21">
        <f>IF(I4003&lt;=5000000,"Under $5M",IF(I4003&lt;=20000000,"$5M-20M",IF(I4003&lt;=50000000,"$20M-50M",IF(I4003&lt;=100000000,"$50M-100M","$100M+"))))</f>
        <v/>
      </c>
      <c r="P4003" s="21">
        <f>IF(E4003&lt;=90,"90 or less",IF(E4003&lt;=105,"91-105",IF(E4003&lt;=120,"106-120",IF(E4003&lt;=140,"121-140","Over 140"))))</f>
        <v/>
      </c>
      <c r="Q4003" s="28">
        <f>INT(C4003/10)*10</f>
        <v/>
      </c>
    </row>
    <row r="4004">
      <c r="A4004" s="21" t="n">
        <v>4087</v>
      </c>
      <c r="B4004" s="21" t="inlineStr">
        <is>
          <t>Theresa Is a Mother</t>
        </is>
      </c>
      <c r="C4004" s="21" t="n">
        <v>2012</v>
      </c>
      <c r="D4004" s="21" t="inlineStr">
        <is>
          <t>USA</t>
        </is>
      </c>
      <c r="E4004" s="21" t="n">
        <v>105</v>
      </c>
      <c r="F4004" s="21" t="inlineStr">
        <is>
          <t>English</t>
        </is>
      </c>
      <c r="G4004" s="21" t="n"/>
      <c r="H4004" s="22" t="n">
        <v>25529689.5</v>
      </c>
      <c r="I4004" s="22" t="n">
        <v>200000</v>
      </c>
      <c r="J4004" s="21">
        <f>IF(OR(H4004="",H4004=25529689.5),"Yes","No")</f>
        <v/>
      </c>
      <c r="K4004" s="21">
        <f>IF(AND(D4004="USA",C4004&gt;=1980,J4004="No"),"Yes","No")</f>
        <v/>
      </c>
      <c r="L4004" s="26">
        <f>IF(J4004="Yes","",H4004-I4004)</f>
        <v/>
      </c>
      <c r="M4004" s="27">
        <f>IF(OR(J4004="Yes",I4004=0),"",H4004/I4004)</f>
        <v/>
      </c>
      <c r="N4004" s="21">
        <f>IF(J4004="Yes","",IF(H4004&gt;=I4004,1,0))</f>
        <v/>
      </c>
      <c r="O4004" s="21">
        <f>IF(I4004&lt;=5000000,"Under $5M",IF(I4004&lt;=20000000,"$5M-20M",IF(I4004&lt;=50000000,"$20M-50M",IF(I4004&lt;=100000000,"$50M-100M","$100M+"))))</f>
        <v/>
      </c>
      <c r="P4004" s="21">
        <f>IF(E4004&lt;=90,"90 or less",IF(E4004&lt;=105,"91-105",IF(E4004&lt;=120,"106-120",IF(E4004&lt;=140,"121-140","Over 140"))))</f>
        <v/>
      </c>
      <c r="Q4004" s="28">
        <f>INT(C4004/10)*10</f>
        <v/>
      </c>
    </row>
    <row r="4005">
      <c r="A4005" s="21" t="n">
        <v>4088</v>
      </c>
      <c r="B4005" s="21" t="inlineStr">
        <is>
          <t>Think Like a Man</t>
        </is>
      </c>
      <c r="C4005" s="21" t="n">
        <v>2012</v>
      </c>
      <c r="D4005" s="21" t="inlineStr">
        <is>
          <t>USA</t>
        </is>
      </c>
      <c r="E4005" s="21" t="n">
        <v>122</v>
      </c>
      <c r="F4005" s="21" t="inlineStr">
        <is>
          <t>English</t>
        </is>
      </c>
      <c r="G4005" s="21" t="inlineStr">
        <is>
          <t>PG-13</t>
        </is>
      </c>
      <c r="H4005" s="22" t="n">
        <v>91547205</v>
      </c>
      <c r="I4005" s="22" t="n">
        <v>12000000</v>
      </c>
      <c r="J4005" s="21">
        <f>IF(OR(H4005="",H4005=25529689.5),"Yes","No")</f>
        <v/>
      </c>
      <c r="K4005" s="21">
        <f>IF(AND(D4005="USA",C4005&gt;=1980,J4005="No"),"Yes","No")</f>
        <v/>
      </c>
      <c r="L4005" s="26">
        <f>IF(J4005="Yes","",H4005-I4005)</f>
        <v/>
      </c>
      <c r="M4005" s="27">
        <f>IF(OR(J4005="Yes",I4005=0),"",H4005/I4005)</f>
        <v/>
      </c>
      <c r="N4005" s="21">
        <f>IF(J4005="Yes","",IF(H4005&gt;=I4005,1,0))</f>
        <v/>
      </c>
      <c r="O4005" s="21">
        <f>IF(I4005&lt;=5000000,"Under $5M",IF(I4005&lt;=20000000,"$5M-20M",IF(I4005&lt;=50000000,"$20M-50M",IF(I4005&lt;=100000000,"$50M-100M","$100M+"))))</f>
        <v/>
      </c>
      <c r="P4005" s="21">
        <f>IF(E4005&lt;=90,"90 or less",IF(E4005&lt;=105,"91-105",IF(E4005&lt;=120,"106-120",IF(E4005&lt;=140,"121-140","Over 140"))))</f>
        <v/>
      </c>
      <c r="Q4005" s="28">
        <f>INT(C4005/10)*10</f>
        <v/>
      </c>
    </row>
    <row r="4006">
      <c r="A4006" s="21" t="n">
        <v>4089</v>
      </c>
      <c r="B4006" s="21" t="inlineStr">
        <is>
          <t>This Is 40</t>
        </is>
      </c>
      <c r="C4006" s="21" t="n">
        <v>2012</v>
      </c>
      <c r="D4006" s="21" t="inlineStr">
        <is>
          <t>USA</t>
        </is>
      </c>
      <c r="E4006" s="21" t="n">
        <v>134</v>
      </c>
      <c r="F4006" s="21" t="inlineStr">
        <is>
          <t>English</t>
        </is>
      </c>
      <c r="G4006" s="21" t="inlineStr">
        <is>
          <t>R</t>
        </is>
      </c>
      <c r="H4006" s="22" t="n">
        <v>67523385</v>
      </c>
      <c r="I4006" s="22" t="n">
        <v>35000000</v>
      </c>
      <c r="J4006" s="21">
        <f>IF(OR(H4006="",H4006=25529689.5),"Yes","No")</f>
        <v/>
      </c>
      <c r="K4006" s="21">
        <f>IF(AND(D4006="USA",C4006&gt;=1980,J4006="No"),"Yes","No")</f>
        <v/>
      </c>
      <c r="L4006" s="26">
        <f>IF(J4006="Yes","",H4006-I4006)</f>
        <v/>
      </c>
      <c r="M4006" s="27">
        <f>IF(OR(J4006="Yes",I4006=0),"",H4006/I4006)</f>
        <v/>
      </c>
      <c r="N4006" s="21">
        <f>IF(J4006="Yes","",IF(H4006&gt;=I4006,1,0))</f>
        <v/>
      </c>
      <c r="O4006" s="21">
        <f>IF(I4006&lt;=5000000,"Under $5M",IF(I4006&lt;=20000000,"$5M-20M",IF(I4006&lt;=50000000,"$20M-50M",IF(I4006&lt;=100000000,"$50M-100M","$100M+"))))</f>
        <v/>
      </c>
      <c r="P4006" s="21">
        <f>IF(E4006&lt;=90,"90 or less",IF(E4006&lt;=105,"91-105",IF(E4006&lt;=120,"106-120",IF(E4006&lt;=140,"121-140","Over 140"))))</f>
        <v/>
      </c>
      <c r="Q4006" s="28">
        <f>INT(C4006/10)*10</f>
        <v/>
      </c>
    </row>
    <row r="4007">
      <c r="A4007" s="21" t="n">
        <v>4090</v>
      </c>
      <c r="B4007" s="21" t="inlineStr">
        <is>
          <t>This Means War</t>
        </is>
      </c>
      <c r="C4007" s="21" t="n">
        <v>2012</v>
      </c>
      <c r="D4007" s="21" t="inlineStr">
        <is>
          <t>USA</t>
        </is>
      </c>
      <c r="E4007" s="21" t="n">
        <v>103</v>
      </c>
      <c r="F4007" s="21" t="inlineStr">
        <is>
          <t>English</t>
        </is>
      </c>
      <c r="G4007" s="21" t="inlineStr">
        <is>
          <t>PG-13</t>
        </is>
      </c>
      <c r="H4007" s="22" t="n">
        <v>54758461</v>
      </c>
      <c r="I4007" s="22" t="n">
        <v>65000000</v>
      </c>
      <c r="J4007" s="21">
        <f>IF(OR(H4007="",H4007=25529689.5),"Yes","No")</f>
        <v/>
      </c>
      <c r="K4007" s="21">
        <f>IF(AND(D4007="USA",C4007&gt;=1980,J4007="No"),"Yes","No")</f>
        <v/>
      </c>
      <c r="L4007" s="26">
        <f>IF(J4007="Yes","",H4007-I4007)</f>
        <v/>
      </c>
      <c r="M4007" s="27">
        <f>IF(OR(J4007="Yes",I4007=0),"",H4007/I4007)</f>
        <v/>
      </c>
      <c r="N4007" s="21">
        <f>IF(J4007="Yes","",IF(H4007&gt;=I4007,1,0))</f>
        <v/>
      </c>
      <c r="O4007" s="21">
        <f>IF(I4007&lt;=5000000,"Under $5M",IF(I4007&lt;=20000000,"$5M-20M",IF(I4007&lt;=50000000,"$20M-50M",IF(I4007&lt;=100000000,"$50M-100M","$100M+"))))</f>
        <v/>
      </c>
      <c r="P4007" s="21">
        <f>IF(E4007&lt;=90,"90 or less",IF(E4007&lt;=105,"91-105",IF(E4007&lt;=120,"106-120",IF(E4007&lt;=140,"121-140","Over 140"))))</f>
        <v/>
      </c>
      <c r="Q4007" s="28">
        <f>INT(C4007/10)*10</f>
        <v/>
      </c>
    </row>
    <row r="4008">
      <c r="A4008" s="21" t="n">
        <v>4091</v>
      </c>
      <c r="B4008" s="21" t="inlineStr">
        <is>
          <t>Tim and Eric's Billion Dollar Movie</t>
        </is>
      </c>
      <c r="C4008" s="21" t="n">
        <v>2012</v>
      </c>
      <c r="D4008" s="21" t="inlineStr">
        <is>
          <t>USA</t>
        </is>
      </c>
      <c r="E4008" s="21" t="n">
        <v>93</v>
      </c>
      <c r="F4008" s="21" t="inlineStr">
        <is>
          <t>English</t>
        </is>
      </c>
      <c r="G4008" s="21" t="inlineStr">
        <is>
          <t>R</t>
        </is>
      </c>
      <c r="H4008" s="22" t="n">
        <v>200803</v>
      </c>
      <c r="I4008" s="22" t="n">
        <v>3000000</v>
      </c>
      <c r="J4008" s="21">
        <f>IF(OR(H4008="",H4008=25529689.5),"Yes","No")</f>
        <v/>
      </c>
      <c r="K4008" s="21">
        <f>IF(AND(D4008="USA",C4008&gt;=1980,J4008="No"),"Yes","No")</f>
        <v/>
      </c>
      <c r="L4008" s="26">
        <f>IF(J4008="Yes","",H4008-I4008)</f>
        <v/>
      </c>
      <c r="M4008" s="27">
        <f>IF(OR(J4008="Yes",I4008=0),"",H4008/I4008)</f>
        <v/>
      </c>
      <c r="N4008" s="21">
        <f>IF(J4008="Yes","",IF(H4008&gt;=I4008,1,0))</f>
        <v/>
      </c>
      <c r="O4008" s="21">
        <f>IF(I4008&lt;=5000000,"Under $5M",IF(I4008&lt;=20000000,"$5M-20M",IF(I4008&lt;=50000000,"$20M-50M",IF(I4008&lt;=100000000,"$50M-100M","$100M+"))))</f>
        <v/>
      </c>
      <c r="P4008" s="21">
        <f>IF(E4008&lt;=90,"90 or less",IF(E4008&lt;=105,"91-105",IF(E4008&lt;=120,"106-120",IF(E4008&lt;=140,"121-140","Over 140"))))</f>
        <v/>
      </c>
      <c r="Q4008" s="28">
        <f>INT(C4008/10)*10</f>
        <v/>
      </c>
    </row>
    <row r="4009">
      <c r="A4009" s="21" t="n">
        <v>4092</v>
      </c>
      <c r="B4009" s="21" t="inlineStr">
        <is>
          <t>To Rome with Love</t>
        </is>
      </c>
      <c r="C4009" s="21" t="n">
        <v>2012</v>
      </c>
      <c r="D4009" s="21" t="inlineStr">
        <is>
          <t>USA</t>
        </is>
      </c>
      <c r="E4009" s="21" t="n">
        <v>112</v>
      </c>
      <c r="F4009" s="21" t="inlineStr">
        <is>
          <t>English</t>
        </is>
      </c>
      <c r="G4009" s="21" t="inlineStr">
        <is>
          <t>R</t>
        </is>
      </c>
      <c r="H4009" s="22" t="n">
        <v>16684352</v>
      </c>
      <c r="I4009" s="22" t="n">
        <v>17000000</v>
      </c>
      <c r="J4009" s="21">
        <f>IF(OR(H4009="",H4009=25529689.5),"Yes","No")</f>
        <v/>
      </c>
      <c r="K4009" s="21">
        <f>IF(AND(D4009="USA",C4009&gt;=1980,J4009="No"),"Yes","No")</f>
        <v/>
      </c>
      <c r="L4009" s="26">
        <f>IF(J4009="Yes","",H4009-I4009)</f>
        <v/>
      </c>
      <c r="M4009" s="27">
        <f>IF(OR(J4009="Yes",I4009=0),"",H4009/I4009)</f>
        <v/>
      </c>
      <c r="N4009" s="21">
        <f>IF(J4009="Yes","",IF(H4009&gt;=I4009,1,0))</f>
        <v/>
      </c>
      <c r="O4009" s="21">
        <f>IF(I4009&lt;=5000000,"Under $5M",IF(I4009&lt;=20000000,"$5M-20M",IF(I4009&lt;=50000000,"$20M-50M",IF(I4009&lt;=100000000,"$50M-100M","$100M+"))))</f>
        <v/>
      </c>
      <c r="P4009" s="21">
        <f>IF(E4009&lt;=90,"90 or less",IF(E4009&lt;=105,"91-105",IF(E4009&lt;=120,"106-120",IF(E4009&lt;=140,"121-140","Over 140"))))</f>
        <v/>
      </c>
      <c r="Q4009" s="28">
        <f>INT(C4009/10)*10</f>
        <v/>
      </c>
    </row>
    <row r="4010">
      <c r="A4010" s="21" t="n">
        <v>4093</v>
      </c>
      <c r="B4010" s="21" t="inlineStr">
        <is>
          <t>Trade of Innocents</t>
        </is>
      </c>
      <c r="C4010" s="21" t="n">
        <v>2012</v>
      </c>
      <c r="D4010" s="21" t="inlineStr">
        <is>
          <t>USA</t>
        </is>
      </c>
      <c r="E4010" s="21" t="n">
        <v>88</v>
      </c>
      <c r="F4010" s="21" t="inlineStr">
        <is>
          <t>English</t>
        </is>
      </c>
      <c r="G4010" s="21" t="inlineStr">
        <is>
          <t>PG-13</t>
        </is>
      </c>
      <c r="H4010" s="22" t="n">
        <v>15059</v>
      </c>
      <c r="I4010" s="22" t="n">
        <v>20000000</v>
      </c>
      <c r="J4010" s="21">
        <f>IF(OR(H4010="",H4010=25529689.5),"Yes","No")</f>
        <v/>
      </c>
      <c r="K4010" s="21">
        <f>IF(AND(D4010="USA",C4010&gt;=1980,J4010="No"),"Yes","No")</f>
        <v/>
      </c>
      <c r="L4010" s="26">
        <f>IF(J4010="Yes","",H4010-I4010)</f>
        <v/>
      </c>
      <c r="M4010" s="27">
        <f>IF(OR(J4010="Yes",I4010=0),"",H4010/I4010)</f>
        <v/>
      </c>
      <c r="N4010" s="21">
        <f>IF(J4010="Yes","",IF(H4010&gt;=I4010,1,0))</f>
        <v/>
      </c>
      <c r="O4010" s="21">
        <f>IF(I4010&lt;=5000000,"Under $5M",IF(I4010&lt;=20000000,"$5M-20M",IF(I4010&lt;=50000000,"$20M-50M",IF(I4010&lt;=100000000,"$50M-100M","$100M+"))))</f>
        <v/>
      </c>
      <c r="P4010" s="21">
        <f>IF(E4010&lt;=90,"90 or less",IF(E4010&lt;=105,"91-105",IF(E4010&lt;=120,"106-120",IF(E4010&lt;=140,"121-140","Over 140"))))</f>
        <v/>
      </c>
      <c r="Q4010" s="28">
        <f>INT(C4010/10)*10</f>
        <v/>
      </c>
    </row>
    <row r="4011">
      <c r="A4011" s="21" t="n">
        <v>4094</v>
      </c>
      <c r="B4011" s="21" t="inlineStr">
        <is>
          <t>Trouble with the Curve</t>
        </is>
      </c>
      <c r="C4011" s="21" t="n">
        <v>2012</v>
      </c>
      <c r="D4011" s="21" t="inlineStr">
        <is>
          <t>USA</t>
        </is>
      </c>
      <c r="E4011" s="21" t="n">
        <v>111</v>
      </c>
      <c r="F4011" s="21" t="inlineStr">
        <is>
          <t>English</t>
        </is>
      </c>
      <c r="G4011" s="21" t="inlineStr">
        <is>
          <t>PG-13</t>
        </is>
      </c>
      <c r="H4011" s="22" t="n">
        <v>35754555</v>
      </c>
      <c r="I4011" s="22" t="n">
        <v>20000000</v>
      </c>
      <c r="J4011" s="21">
        <f>IF(OR(H4011="",H4011=25529689.5),"Yes","No")</f>
        <v/>
      </c>
      <c r="K4011" s="21">
        <f>IF(AND(D4011="USA",C4011&gt;=1980,J4011="No"),"Yes","No")</f>
        <v/>
      </c>
      <c r="L4011" s="26">
        <f>IF(J4011="Yes","",H4011-I4011)</f>
        <v/>
      </c>
      <c r="M4011" s="27">
        <f>IF(OR(J4011="Yes",I4011=0),"",H4011/I4011)</f>
        <v/>
      </c>
      <c r="N4011" s="21">
        <f>IF(J4011="Yes","",IF(H4011&gt;=I4011,1,0))</f>
        <v/>
      </c>
      <c r="O4011" s="21">
        <f>IF(I4011&lt;=5000000,"Under $5M",IF(I4011&lt;=20000000,"$5M-20M",IF(I4011&lt;=50000000,"$20M-50M",IF(I4011&lt;=100000000,"$50M-100M","$100M+"))))</f>
        <v/>
      </c>
      <c r="P4011" s="21">
        <f>IF(E4011&lt;=90,"90 or less",IF(E4011&lt;=105,"91-105",IF(E4011&lt;=120,"106-120",IF(E4011&lt;=140,"121-140","Over 140"))))</f>
        <v/>
      </c>
      <c r="Q4011" s="28">
        <f>INT(C4011/10)*10</f>
        <v/>
      </c>
    </row>
    <row r="4012">
      <c r="A4012" s="21" t="n">
        <v>4095</v>
      </c>
      <c r="B4012" s="21" t="inlineStr">
        <is>
          <t>Truth or Die</t>
        </is>
      </c>
      <c r="C4012" s="21" t="n">
        <v>2012</v>
      </c>
      <c r="D4012" s="21" t="inlineStr">
        <is>
          <t>UK</t>
        </is>
      </c>
      <c r="E4012" s="21" t="n">
        <v>96</v>
      </c>
      <c r="F4012" s="21" t="inlineStr">
        <is>
          <t>English</t>
        </is>
      </c>
      <c r="G4012" s="21" t="inlineStr">
        <is>
          <t>Not Rated</t>
        </is>
      </c>
      <c r="H4012" s="22" t="n">
        <v>25529689.5</v>
      </c>
      <c r="I4012" s="22" t="n">
        <v>1000000</v>
      </c>
      <c r="J4012" s="21">
        <f>IF(OR(H4012="",H4012=25529689.5),"Yes","No")</f>
        <v/>
      </c>
      <c r="K4012" s="21">
        <f>IF(AND(D4012="USA",C4012&gt;=1980,J4012="No"),"Yes","No")</f>
        <v/>
      </c>
      <c r="L4012" s="26">
        <f>IF(J4012="Yes","",H4012-I4012)</f>
        <v/>
      </c>
      <c r="M4012" s="27">
        <f>IF(OR(J4012="Yes",I4012=0),"",H4012/I4012)</f>
        <v/>
      </c>
      <c r="N4012" s="21">
        <f>IF(J4012="Yes","",IF(H4012&gt;=I4012,1,0))</f>
        <v/>
      </c>
      <c r="O4012" s="21">
        <f>IF(I4012&lt;=5000000,"Under $5M",IF(I4012&lt;=20000000,"$5M-20M",IF(I4012&lt;=50000000,"$20M-50M",IF(I4012&lt;=100000000,"$50M-100M","$100M+"))))</f>
        <v/>
      </c>
      <c r="P4012" s="21">
        <f>IF(E4012&lt;=90,"90 or less",IF(E4012&lt;=105,"91-105",IF(E4012&lt;=120,"106-120",IF(E4012&lt;=140,"121-140","Over 140"))))</f>
        <v/>
      </c>
      <c r="Q4012" s="28">
        <f>INT(C4012/10)*10</f>
        <v/>
      </c>
    </row>
    <row r="4013">
      <c r="A4013" s="21" t="n">
        <v>4096</v>
      </c>
      <c r="B4013" s="21" t="inlineStr">
        <is>
          <t>Underworld: Awakening</t>
        </is>
      </c>
      <c r="C4013" s="21" t="n">
        <v>2012</v>
      </c>
      <c r="D4013" s="21" t="inlineStr">
        <is>
          <t>USA</t>
        </is>
      </c>
      <c r="E4013" s="21" t="n">
        <v>88</v>
      </c>
      <c r="F4013" s="21" t="inlineStr">
        <is>
          <t>English</t>
        </is>
      </c>
      <c r="G4013" s="21" t="inlineStr">
        <is>
          <t>R</t>
        </is>
      </c>
      <c r="H4013" s="22" t="n">
        <v>62321039</v>
      </c>
      <c r="I4013" s="22" t="n">
        <v>70000000</v>
      </c>
      <c r="J4013" s="21">
        <f>IF(OR(H4013="",H4013=25529689.5),"Yes","No")</f>
        <v/>
      </c>
      <c r="K4013" s="21">
        <f>IF(AND(D4013="USA",C4013&gt;=1980,J4013="No"),"Yes","No")</f>
        <v/>
      </c>
      <c r="L4013" s="26">
        <f>IF(J4013="Yes","",H4013-I4013)</f>
        <v/>
      </c>
      <c r="M4013" s="27">
        <f>IF(OR(J4013="Yes",I4013=0),"",H4013/I4013)</f>
        <v/>
      </c>
      <c r="N4013" s="21">
        <f>IF(J4013="Yes","",IF(H4013&gt;=I4013,1,0))</f>
        <v/>
      </c>
      <c r="O4013" s="21">
        <f>IF(I4013&lt;=5000000,"Under $5M",IF(I4013&lt;=20000000,"$5M-20M",IF(I4013&lt;=50000000,"$20M-50M",IF(I4013&lt;=100000000,"$50M-100M","$100M+"))))</f>
        <v/>
      </c>
      <c r="P4013" s="21">
        <f>IF(E4013&lt;=90,"90 or less",IF(E4013&lt;=105,"91-105",IF(E4013&lt;=120,"106-120",IF(E4013&lt;=140,"121-140","Over 140"))))</f>
        <v/>
      </c>
      <c r="Q4013" s="28">
        <f>INT(C4013/10)*10</f>
        <v/>
      </c>
    </row>
    <row r="4014">
      <c r="A4014" s="21" t="n">
        <v>4097</v>
      </c>
      <c r="B4014" s="21" t="inlineStr">
        <is>
          <t>Vamps</t>
        </is>
      </c>
      <c r="C4014" s="21" t="n">
        <v>2012</v>
      </c>
      <c r="D4014" s="21" t="inlineStr">
        <is>
          <t>USA</t>
        </is>
      </c>
      <c r="E4014" s="21" t="n">
        <v>92</v>
      </c>
      <c r="F4014" s="21" t="inlineStr">
        <is>
          <t>English</t>
        </is>
      </c>
      <c r="G4014" s="21" t="inlineStr">
        <is>
          <t>PG-13</t>
        </is>
      </c>
      <c r="H4014" s="22" t="n">
        <v>2964</v>
      </c>
      <c r="I4014" s="22" t="n">
        <v>16000000</v>
      </c>
      <c r="J4014" s="21">
        <f>IF(OR(H4014="",H4014=25529689.5),"Yes","No")</f>
        <v/>
      </c>
      <c r="K4014" s="21">
        <f>IF(AND(D4014="USA",C4014&gt;=1980,J4014="No"),"Yes","No")</f>
        <v/>
      </c>
      <c r="L4014" s="26">
        <f>IF(J4014="Yes","",H4014-I4014)</f>
        <v/>
      </c>
      <c r="M4014" s="27">
        <f>IF(OR(J4014="Yes",I4014=0),"",H4014/I4014)</f>
        <v/>
      </c>
      <c r="N4014" s="21">
        <f>IF(J4014="Yes","",IF(H4014&gt;=I4014,1,0))</f>
        <v/>
      </c>
      <c r="O4014" s="21">
        <f>IF(I4014&lt;=5000000,"Under $5M",IF(I4014&lt;=20000000,"$5M-20M",IF(I4014&lt;=50000000,"$20M-50M",IF(I4014&lt;=100000000,"$50M-100M","$100M+"))))</f>
        <v/>
      </c>
      <c r="P4014" s="21">
        <f>IF(E4014&lt;=90,"90 or less",IF(E4014&lt;=105,"91-105",IF(E4014&lt;=120,"106-120",IF(E4014&lt;=140,"121-140","Over 140"))))</f>
        <v/>
      </c>
      <c r="Q4014" s="28">
        <f>INT(C4014/10)*10</f>
        <v/>
      </c>
    </row>
    <row r="4015">
      <c r="A4015" s="21" t="n">
        <v>4098</v>
      </c>
      <c r="B4015" s="21" t="inlineStr">
        <is>
          <t>Vessel</t>
        </is>
      </c>
      <c r="C4015" s="21" t="n">
        <v>2012</v>
      </c>
      <c r="D4015" s="21" t="inlineStr">
        <is>
          <t>USA</t>
        </is>
      </c>
      <c r="E4015" s="21" t="n">
        <v>14</v>
      </c>
      <c r="F4015" s="21" t="inlineStr">
        <is>
          <t>English</t>
        </is>
      </c>
      <c r="G4015" s="21" t="n"/>
      <c r="H4015" s="22" t="n">
        <v>25529689.5</v>
      </c>
      <c r="I4015" s="22" t="n">
        <v>20000000</v>
      </c>
      <c r="J4015" s="21">
        <f>IF(OR(H4015="",H4015=25529689.5),"Yes","No")</f>
        <v/>
      </c>
      <c r="K4015" s="21">
        <f>IF(AND(D4015="USA",C4015&gt;=1980,J4015="No"),"Yes","No")</f>
        <v/>
      </c>
      <c r="L4015" s="26">
        <f>IF(J4015="Yes","",H4015-I4015)</f>
        <v/>
      </c>
      <c r="M4015" s="27">
        <f>IF(OR(J4015="Yes",I4015=0),"",H4015/I4015)</f>
        <v/>
      </c>
      <c r="N4015" s="21">
        <f>IF(J4015="Yes","",IF(H4015&gt;=I4015,1,0))</f>
        <v/>
      </c>
      <c r="O4015" s="21">
        <f>IF(I4015&lt;=5000000,"Under $5M",IF(I4015&lt;=20000000,"$5M-20M",IF(I4015&lt;=50000000,"$20M-50M",IF(I4015&lt;=100000000,"$50M-100M","$100M+"))))</f>
        <v/>
      </c>
      <c r="P4015" s="21">
        <f>IF(E4015&lt;=90,"90 or less",IF(E4015&lt;=105,"91-105",IF(E4015&lt;=120,"106-120",IF(E4015&lt;=140,"121-140","Over 140"))))</f>
        <v/>
      </c>
      <c r="Q4015" s="28">
        <f>INT(C4015/10)*10</f>
        <v/>
      </c>
    </row>
    <row r="4016">
      <c r="A4016" s="21" t="n">
        <v>4099</v>
      </c>
      <c r="B4016" s="21" t="inlineStr">
        <is>
          <t>Wanderlust</t>
        </is>
      </c>
      <c r="C4016" s="21" t="n">
        <v>2012</v>
      </c>
      <c r="D4016" s="21" t="inlineStr">
        <is>
          <t>USA</t>
        </is>
      </c>
      <c r="E4016" s="21" t="n">
        <v>98</v>
      </c>
      <c r="F4016" s="21" t="inlineStr">
        <is>
          <t>English</t>
        </is>
      </c>
      <c r="G4016" s="21" t="inlineStr">
        <is>
          <t>R</t>
        </is>
      </c>
      <c r="H4016" s="22" t="n">
        <v>17225675</v>
      </c>
      <c r="I4016" s="22" t="n">
        <v>20000000</v>
      </c>
      <c r="J4016" s="21">
        <f>IF(OR(H4016="",H4016=25529689.5),"Yes","No")</f>
        <v/>
      </c>
      <c r="K4016" s="21">
        <f>IF(AND(D4016="USA",C4016&gt;=1980,J4016="No"),"Yes","No")</f>
        <v/>
      </c>
      <c r="L4016" s="26">
        <f>IF(J4016="Yes","",H4016-I4016)</f>
        <v/>
      </c>
      <c r="M4016" s="27">
        <f>IF(OR(J4016="Yes",I4016=0),"",H4016/I4016)</f>
        <v/>
      </c>
      <c r="N4016" s="21">
        <f>IF(J4016="Yes","",IF(H4016&gt;=I4016,1,0))</f>
        <v/>
      </c>
      <c r="O4016" s="21">
        <f>IF(I4016&lt;=5000000,"Under $5M",IF(I4016&lt;=20000000,"$5M-20M",IF(I4016&lt;=50000000,"$20M-50M",IF(I4016&lt;=100000000,"$50M-100M","$100M+"))))</f>
        <v/>
      </c>
      <c r="P4016" s="21">
        <f>IF(E4016&lt;=90,"90 or less",IF(E4016&lt;=105,"91-105",IF(E4016&lt;=120,"106-120",IF(E4016&lt;=140,"121-140","Over 140"))))</f>
        <v/>
      </c>
      <c r="Q4016" s="28">
        <f>INT(C4016/10)*10</f>
        <v/>
      </c>
    </row>
    <row r="4017">
      <c r="A4017" s="21" t="n">
        <v>4100</v>
      </c>
      <c r="B4017" s="21" t="inlineStr">
        <is>
          <t>What to Expect When You're Expecting</t>
        </is>
      </c>
      <c r="C4017" s="21" t="n">
        <v>2012</v>
      </c>
      <c r="D4017" s="21" t="inlineStr">
        <is>
          <t>USA</t>
        </is>
      </c>
      <c r="E4017" s="21" t="n">
        <v>110</v>
      </c>
      <c r="F4017" s="21" t="inlineStr">
        <is>
          <t>English</t>
        </is>
      </c>
      <c r="G4017" s="21" t="inlineStr">
        <is>
          <t>PG-13</t>
        </is>
      </c>
      <c r="H4017" s="22" t="n">
        <v>41102171</v>
      </c>
      <c r="I4017" s="22" t="n">
        <v>40000000</v>
      </c>
      <c r="J4017" s="21">
        <f>IF(OR(H4017="",H4017=25529689.5),"Yes","No")</f>
        <v/>
      </c>
      <c r="K4017" s="21">
        <f>IF(AND(D4017="USA",C4017&gt;=1980,J4017="No"),"Yes","No")</f>
        <v/>
      </c>
      <c r="L4017" s="26">
        <f>IF(J4017="Yes","",H4017-I4017)</f>
        <v/>
      </c>
      <c r="M4017" s="27">
        <f>IF(OR(J4017="Yes",I4017=0),"",H4017/I4017)</f>
        <v/>
      </c>
      <c r="N4017" s="21">
        <f>IF(J4017="Yes","",IF(H4017&gt;=I4017,1,0))</f>
        <v/>
      </c>
      <c r="O4017" s="21">
        <f>IF(I4017&lt;=5000000,"Under $5M",IF(I4017&lt;=20000000,"$5M-20M",IF(I4017&lt;=50000000,"$20M-50M",IF(I4017&lt;=100000000,"$50M-100M","$100M+"))))</f>
        <v/>
      </c>
      <c r="P4017" s="21">
        <f>IF(E4017&lt;=90,"90 or less",IF(E4017&lt;=105,"91-105",IF(E4017&lt;=120,"106-120",IF(E4017&lt;=140,"121-140","Over 140"))))</f>
        <v/>
      </c>
      <c r="Q4017" s="28">
        <f>INT(C4017/10)*10</f>
        <v/>
      </c>
    </row>
    <row r="4018">
      <c r="A4018" s="21" t="n">
        <v>4101</v>
      </c>
      <c r="B4018" s="21" t="inlineStr">
        <is>
          <t>When the Lights Went Out</t>
        </is>
      </c>
      <c r="C4018" s="21" t="n">
        <v>2012</v>
      </c>
      <c r="D4018" s="21" t="inlineStr">
        <is>
          <t>UK</t>
        </is>
      </c>
      <c r="E4018" s="21" t="n">
        <v>86</v>
      </c>
      <c r="F4018" s="21" t="inlineStr">
        <is>
          <t>English</t>
        </is>
      </c>
      <c r="G4018" s="21" t="n"/>
      <c r="H4018" s="22" t="n">
        <v>25529689.5</v>
      </c>
      <c r="I4018" s="22" t="n">
        <v>20000000</v>
      </c>
      <c r="J4018" s="21">
        <f>IF(OR(H4018="",H4018=25529689.5),"Yes","No")</f>
        <v/>
      </c>
      <c r="K4018" s="21">
        <f>IF(AND(D4018="USA",C4018&gt;=1980,J4018="No"),"Yes","No")</f>
        <v/>
      </c>
      <c r="L4018" s="26">
        <f>IF(J4018="Yes","",H4018-I4018)</f>
        <v/>
      </c>
      <c r="M4018" s="27">
        <f>IF(OR(J4018="Yes",I4018=0),"",H4018/I4018)</f>
        <v/>
      </c>
      <c r="N4018" s="21">
        <f>IF(J4018="Yes","",IF(H4018&gt;=I4018,1,0))</f>
        <v/>
      </c>
      <c r="O4018" s="21">
        <f>IF(I4018&lt;=5000000,"Under $5M",IF(I4018&lt;=20000000,"$5M-20M",IF(I4018&lt;=50000000,"$20M-50M",IF(I4018&lt;=100000000,"$50M-100M","$100M+"))))</f>
        <v/>
      </c>
      <c r="P4018" s="21">
        <f>IF(E4018&lt;=90,"90 or less",IF(E4018&lt;=105,"91-105",IF(E4018&lt;=120,"106-120",IF(E4018&lt;=140,"121-140","Over 140"))))</f>
        <v/>
      </c>
      <c r="Q4018" s="28">
        <f>INT(C4018/10)*10</f>
        <v/>
      </c>
    </row>
    <row r="4019">
      <c r="A4019" s="21" t="n">
        <v>4102</v>
      </c>
      <c r="B4019" s="21" t="inlineStr">
        <is>
          <t>Won't Back Down</t>
        </is>
      </c>
      <c r="C4019" s="21" t="n">
        <v>2012</v>
      </c>
      <c r="D4019" s="21" t="inlineStr">
        <is>
          <t>USA</t>
        </is>
      </c>
      <c r="E4019" s="21" t="n">
        <v>121</v>
      </c>
      <c r="F4019" s="21" t="inlineStr">
        <is>
          <t>English</t>
        </is>
      </c>
      <c r="G4019" s="21" t="inlineStr">
        <is>
          <t>PG</t>
        </is>
      </c>
      <c r="H4019" s="22" t="n">
        <v>5308553</v>
      </c>
      <c r="I4019" s="22" t="n">
        <v>20000000</v>
      </c>
      <c r="J4019" s="21">
        <f>IF(OR(H4019="",H4019=25529689.5),"Yes","No")</f>
        <v/>
      </c>
      <c r="K4019" s="21">
        <f>IF(AND(D4019="USA",C4019&gt;=1980,J4019="No"),"Yes","No")</f>
        <v/>
      </c>
      <c r="L4019" s="26">
        <f>IF(J4019="Yes","",H4019-I4019)</f>
        <v/>
      </c>
      <c r="M4019" s="27">
        <f>IF(OR(J4019="Yes",I4019=0),"",H4019/I4019)</f>
        <v/>
      </c>
      <c r="N4019" s="21">
        <f>IF(J4019="Yes","",IF(H4019&gt;=I4019,1,0))</f>
        <v/>
      </c>
      <c r="O4019" s="21">
        <f>IF(I4019&lt;=5000000,"Under $5M",IF(I4019&lt;=20000000,"$5M-20M",IF(I4019&lt;=50000000,"$20M-50M",IF(I4019&lt;=100000000,"$50M-100M","$100M+"))))</f>
        <v/>
      </c>
      <c r="P4019" s="21">
        <f>IF(E4019&lt;=90,"90 or less",IF(E4019&lt;=105,"91-105",IF(E4019&lt;=120,"106-120",IF(E4019&lt;=140,"121-140","Over 140"))))</f>
        <v/>
      </c>
      <c r="Q4019" s="28">
        <f>INT(C4019/10)*10</f>
        <v/>
      </c>
    </row>
    <row r="4020">
      <c r="A4020" s="21" t="n">
        <v>4103</v>
      </c>
      <c r="B4020" s="21" t="inlineStr">
        <is>
          <t>Wrath of the Titans</t>
        </is>
      </c>
      <c r="C4020" s="21" t="n">
        <v>2012</v>
      </c>
      <c r="D4020" s="21" t="inlineStr">
        <is>
          <t>USA</t>
        </is>
      </c>
      <c r="E4020" s="21" t="n">
        <v>99</v>
      </c>
      <c r="F4020" s="21" t="inlineStr">
        <is>
          <t>English</t>
        </is>
      </c>
      <c r="G4020" s="21" t="inlineStr">
        <is>
          <t>PG-13</t>
        </is>
      </c>
      <c r="H4020" s="22" t="n">
        <v>83640426</v>
      </c>
      <c r="I4020" s="22" t="n">
        <v>150000000</v>
      </c>
      <c r="J4020" s="21">
        <f>IF(OR(H4020="",H4020=25529689.5),"Yes","No")</f>
        <v/>
      </c>
      <c r="K4020" s="21">
        <f>IF(AND(D4020="USA",C4020&gt;=1980,J4020="No"),"Yes","No")</f>
        <v/>
      </c>
      <c r="L4020" s="26">
        <f>IF(J4020="Yes","",H4020-I4020)</f>
        <v/>
      </c>
      <c r="M4020" s="27">
        <f>IF(OR(J4020="Yes",I4020=0),"",H4020/I4020)</f>
        <v/>
      </c>
      <c r="N4020" s="21">
        <f>IF(J4020="Yes","",IF(H4020&gt;=I4020,1,0))</f>
        <v/>
      </c>
      <c r="O4020" s="21">
        <f>IF(I4020&lt;=5000000,"Under $5M",IF(I4020&lt;=20000000,"$5M-20M",IF(I4020&lt;=50000000,"$20M-50M",IF(I4020&lt;=100000000,"$50M-100M","$100M+"))))</f>
        <v/>
      </c>
      <c r="P4020" s="21">
        <f>IF(E4020&lt;=90,"90 or less",IF(E4020&lt;=105,"91-105",IF(E4020&lt;=120,"106-120",IF(E4020&lt;=140,"121-140","Over 140"))))</f>
        <v/>
      </c>
      <c r="Q4020" s="28">
        <f>INT(C4020/10)*10</f>
        <v/>
      </c>
    </row>
    <row r="4021">
      <c r="A4021" s="21" t="n">
        <v>4104</v>
      </c>
      <c r="B4021" s="21" t="inlineStr">
        <is>
          <t>Wreck-It Ralph</t>
        </is>
      </c>
      <c r="C4021" s="21" t="n">
        <v>2012</v>
      </c>
      <c r="D4021" s="21" t="inlineStr">
        <is>
          <t>USA</t>
        </is>
      </c>
      <c r="E4021" s="21" t="n">
        <v>101</v>
      </c>
      <c r="F4021" s="21" t="inlineStr">
        <is>
          <t>English</t>
        </is>
      </c>
      <c r="G4021" s="21" t="inlineStr">
        <is>
          <t>PG</t>
        </is>
      </c>
      <c r="H4021" s="22" t="n">
        <v>189412677</v>
      </c>
      <c r="I4021" s="22" t="n">
        <v>165000000</v>
      </c>
      <c r="J4021" s="21">
        <f>IF(OR(H4021="",H4021=25529689.5),"Yes","No")</f>
        <v/>
      </c>
      <c r="K4021" s="21">
        <f>IF(AND(D4021="USA",C4021&gt;=1980,J4021="No"),"Yes","No")</f>
        <v/>
      </c>
      <c r="L4021" s="26">
        <f>IF(J4021="Yes","",H4021-I4021)</f>
        <v/>
      </c>
      <c r="M4021" s="27">
        <f>IF(OR(J4021="Yes",I4021=0),"",H4021/I4021)</f>
        <v/>
      </c>
      <c r="N4021" s="21">
        <f>IF(J4021="Yes","",IF(H4021&gt;=I4021,1,0))</f>
        <v/>
      </c>
      <c r="O4021" s="21">
        <f>IF(I4021&lt;=5000000,"Under $5M",IF(I4021&lt;=20000000,"$5M-20M",IF(I4021&lt;=50000000,"$20M-50M",IF(I4021&lt;=100000000,"$50M-100M","$100M+"))))</f>
        <v/>
      </c>
      <c r="P4021" s="21">
        <f>IF(E4021&lt;=90,"90 or less",IF(E4021&lt;=105,"91-105",IF(E4021&lt;=120,"106-120",IF(E4021&lt;=140,"121-140","Over 140"))))</f>
        <v/>
      </c>
      <c r="Q4021" s="28">
        <f>INT(C4021/10)*10</f>
        <v/>
      </c>
    </row>
    <row r="4022">
      <c r="A4022" s="21" t="n">
        <v>4105</v>
      </c>
      <c r="B4022" s="21" t="inlineStr">
        <is>
          <t>Zambezia</t>
        </is>
      </c>
      <c r="C4022" s="21" t="n">
        <v>2012</v>
      </c>
      <c r="D4022" s="21" t="inlineStr">
        <is>
          <t>South Africa</t>
        </is>
      </c>
      <c r="E4022" s="21" t="n">
        <v>83</v>
      </c>
      <c r="F4022" s="21" t="inlineStr">
        <is>
          <t>English</t>
        </is>
      </c>
      <c r="G4022" s="21" t="inlineStr">
        <is>
          <t>G</t>
        </is>
      </c>
      <c r="H4022" s="22" t="n">
        <v>25529689.5</v>
      </c>
      <c r="I4022" s="22" t="n">
        <v>20000000</v>
      </c>
      <c r="J4022" s="21">
        <f>IF(OR(H4022="",H4022=25529689.5),"Yes","No")</f>
        <v/>
      </c>
      <c r="K4022" s="21">
        <f>IF(AND(D4022="USA",C4022&gt;=1980,J4022="No"),"Yes","No")</f>
        <v/>
      </c>
      <c r="L4022" s="26">
        <f>IF(J4022="Yes","",H4022-I4022)</f>
        <v/>
      </c>
      <c r="M4022" s="27">
        <f>IF(OR(J4022="Yes",I4022=0),"",H4022/I4022)</f>
        <v/>
      </c>
      <c r="N4022" s="21">
        <f>IF(J4022="Yes","",IF(H4022&gt;=I4022,1,0))</f>
        <v/>
      </c>
      <c r="O4022" s="21">
        <f>IF(I4022&lt;=5000000,"Under $5M",IF(I4022&lt;=20000000,"$5M-20M",IF(I4022&lt;=50000000,"$20M-50M",IF(I4022&lt;=100000000,"$50M-100M","$100M+"))))</f>
        <v/>
      </c>
      <c r="P4022" s="21">
        <f>IF(E4022&lt;=90,"90 or less",IF(E4022&lt;=105,"91-105",IF(E4022&lt;=120,"106-120",IF(E4022&lt;=140,"121-140","Over 140"))))</f>
        <v/>
      </c>
      <c r="Q4022" s="28">
        <f>INT(C4022/10)*10</f>
        <v/>
      </c>
    </row>
    <row r="4023">
      <c r="A4023" s="21" t="n">
        <v>4106</v>
      </c>
      <c r="B4023" s="21" t="inlineStr">
        <is>
          <t>Zero Dark Thirty</t>
        </is>
      </c>
      <c r="C4023" s="21" t="n">
        <v>2012</v>
      </c>
      <c r="D4023" s="21" t="inlineStr">
        <is>
          <t>USA</t>
        </is>
      </c>
      <c r="E4023" s="21" t="n">
        <v>157</v>
      </c>
      <c r="F4023" s="21" t="inlineStr">
        <is>
          <t>English</t>
        </is>
      </c>
      <c r="G4023" s="21" t="inlineStr">
        <is>
          <t>R</t>
        </is>
      </c>
      <c r="H4023" s="22" t="n">
        <v>95720716</v>
      </c>
      <c r="I4023" s="22" t="n">
        <v>40000000</v>
      </c>
      <c r="J4023" s="21">
        <f>IF(OR(H4023="",H4023=25529689.5),"Yes","No")</f>
        <v/>
      </c>
      <c r="K4023" s="21">
        <f>IF(AND(D4023="USA",C4023&gt;=1980,J4023="No"),"Yes","No")</f>
        <v/>
      </c>
      <c r="L4023" s="26">
        <f>IF(J4023="Yes","",H4023-I4023)</f>
        <v/>
      </c>
      <c r="M4023" s="27">
        <f>IF(OR(J4023="Yes",I4023=0),"",H4023/I4023)</f>
        <v/>
      </c>
      <c r="N4023" s="21">
        <f>IF(J4023="Yes","",IF(H4023&gt;=I4023,1,0))</f>
        <v/>
      </c>
      <c r="O4023" s="21">
        <f>IF(I4023&lt;=5000000,"Under $5M",IF(I4023&lt;=20000000,"$5M-20M",IF(I4023&lt;=50000000,"$20M-50M",IF(I4023&lt;=100000000,"$50M-100M","$100M+"))))</f>
        <v/>
      </c>
      <c r="P4023" s="21">
        <f>IF(E4023&lt;=90,"90 or less",IF(E4023&lt;=105,"91-105",IF(E4023&lt;=120,"106-120",IF(E4023&lt;=140,"121-140","Over 140"))))</f>
        <v/>
      </c>
      <c r="Q4023" s="28">
        <f>INT(C4023/10)*10</f>
        <v/>
      </c>
    </row>
    <row r="4024">
      <c r="A4024" s="21" t="n">
        <v>4107</v>
      </c>
      <c r="B4024" s="21" t="inlineStr">
        <is>
          <t>12 Years a Slave</t>
        </is>
      </c>
      <c r="C4024" s="21" t="n">
        <v>2013</v>
      </c>
      <c r="D4024" s="21" t="inlineStr">
        <is>
          <t>USA</t>
        </is>
      </c>
      <c r="E4024" s="21" t="n">
        <v>134</v>
      </c>
      <c r="F4024" s="21" t="inlineStr">
        <is>
          <t>English</t>
        </is>
      </c>
      <c r="G4024" s="21" t="inlineStr">
        <is>
          <t>R</t>
        </is>
      </c>
      <c r="H4024" s="22" t="n">
        <v>56667870</v>
      </c>
      <c r="I4024" s="22" t="n">
        <v>20000000</v>
      </c>
      <c r="J4024" s="21">
        <f>IF(OR(H4024="",H4024=25529689.5),"Yes","No")</f>
        <v/>
      </c>
      <c r="K4024" s="21">
        <f>IF(AND(D4024="USA",C4024&gt;=1980,J4024="No"),"Yes","No")</f>
        <v/>
      </c>
      <c r="L4024" s="26">
        <f>IF(J4024="Yes","",H4024-I4024)</f>
        <v/>
      </c>
      <c r="M4024" s="27">
        <f>IF(OR(J4024="Yes",I4024=0),"",H4024/I4024)</f>
        <v/>
      </c>
      <c r="N4024" s="21">
        <f>IF(J4024="Yes","",IF(H4024&gt;=I4024,1,0))</f>
        <v/>
      </c>
      <c r="O4024" s="21">
        <f>IF(I4024&lt;=5000000,"Under $5M",IF(I4024&lt;=20000000,"$5M-20M",IF(I4024&lt;=50000000,"$20M-50M",IF(I4024&lt;=100000000,"$50M-100M","$100M+"))))</f>
        <v/>
      </c>
      <c r="P4024" s="21">
        <f>IF(E4024&lt;=90,"90 or less",IF(E4024&lt;=105,"91-105",IF(E4024&lt;=120,"106-120",IF(E4024&lt;=140,"121-140","Over 140"))))</f>
        <v/>
      </c>
      <c r="Q4024" s="28">
        <f>INT(C4024/10)*10</f>
        <v/>
      </c>
    </row>
    <row r="4025">
      <c r="A4025" s="21" t="n">
        <v>4108</v>
      </c>
      <c r="B4025" s="21" t="inlineStr">
        <is>
          <t>1982</t>
        </is>
      </c>
      <c r="C4025" s="21" t="n">
        <v>2013</v>
      </c>
      <c r="D4025" s="21" t="inlineStr">
        <is>
          <t>USA</t>
        </is>
      </c>
      <c r="E4025" s="21" t="n">
        <v>90</v>
      </c>
      <c r="F4025" s="21" t="inlineStr">
        <is>
          <t>English</t>
        </is>
      </c>
      <c r="G4025" s="21" t="inlineStr">
        <is>
          <t>R</t>
        </is>
      </c>
      <c r="H4025" s="22" t="n">
        <v>25529689.5</v>
      </c>
      <c r="I4025" s="22" t="n">
        <v>1000000</v>
      </c>
      <c r="J4025" s="21">
        <f>IF(OR(H4025="",H4025=25529689.5),"Yes","No")</f>
        <v/>
      </c>
      <c r="K4025" s="21">
        <f>IF(AND(D4025="USA",C4025&gt;=1980,J4025="No"),"Yes","No")</f>
        <v/>
      </c>
      <c r="L4025" s="26">
        <f>IF(J4025="Yes","",H4025-I4025)</f>
        <v/>
      </c>
      <c r="M4025" s="27">
        <f>IF(OR(J4025="Yes",I4025=0),"",H4025/I4025)</f>
        <v/>
      </c>
      <c r="N4025" s="21">
        <f>IF(J4025="Yes","",IF(H4025&gt;=I4025,1,0))</f>
        <v/>
      </c>
      <c r="O4025" s="21">
        <f>IF(I4025&lt;=5000000,"Under $5M",IF(I4025&lt;=20000000,"$5M-20M",IF(I4025&lt;=50000000,"$20M-50M",IF(I4025&lt;=100000000,"$50M-100M","$100M+"))))</f>
        <v/>
      </c>
      <c r="P4025" s="21">
        <f>IF(E4025&lt;=90,"90 or less",IF(E4025&lt;=105,"91-105",IF(E4025&lt;=120,"106-120",IF(E4025&lt;=140,"121-140","Over 140"))))</f>
        <v/>
      </c>
      <c r="Q4025" s="28">
        <f>INT(C4025/10)*10</f>
        <v/>
      </c>
    </row>
    <row r="4026">
      <c r="A4026" s="21" t="n">
        <v>4109</v>
      </c>
      <c r="B4026" s="21" t="inlineStr">
        <is>
          <t>2 Guns</t>
        </is>
      </c>
      <c r="C4026" s="21" t="n">
        <v>2013</v>
      </c>
      <c r="D4026" s="21" t="inlineStr">
        <is>
          <t>USA</t>
        </is>
      </c>
      <c r="E4026" s="21" t="n">
        <v>109</v>
      </c>
      <c r="F4026" s="21" t="inlineStr">
        <is>
          <t>English</t>
        </is>
      </c>
      <c r="G4026" s="21" t="inlineStr">
        <is>
          <t>R</t>
        </is>
      </c>
      <c r="H4026" s="22" t="n">
        <v>75573300</v>
      </c>
      <c r="I4026" s="22" t="n">
        <v>61000000</v>
      </c>
      <c r="J4026" s="21">
        <f>IF(OR(H4026="",H4026=25529689.5),"Yes","No")</f>
        <v/>
      </c>
      <c r="K4026" s="21">
        <f>IF(AND(D4026="USA",C4026&gt;=1980,J4026="No"),"Yes","No")</f>
        <v/>
      </c>
      <c r="L4026" s="26">
        <f>IF(J4026="Yes","",H4026-I4026)</f>
        <v/>
      </c>
      <c r="M4026" s="27">
        <f>IF(OR(J4026="Yes",I4026=0),"",H4026/I4026)</f>
        <v/>
      </c>
      <c r="N4026" s="21">
        <f>IF(J4026="Yes","",IF(H4026&gt;=I4026,1,0))</f>
        <v/>
      </c>
      <c r="O4026" s="21">
        <f>IF(I4026&lt;=5000000,"Under $5M",IF(I4026&lt;=20000000,"$5M-20M",IF(I4026&lt;=50000000,"$20M-50M",IF(I4026&lt;=100000000,"$50M-100M","$100M+"))))</f>
        <v/>
      </c>
      <c r="P4026" s="21">
        <f>IF(E4026&lt;=90,"90 or less",IF(E4026&lt;=105,"91-105",IF(E4026&lt;=120,"106-120",IF(E4026&lt;=140,"121-140","Over 140"))))</f>
        <v/>
      </c>
      <c r="Q4026" s="28">
        <f>INT(C4026/10)*10</f>
        <v/>
      </c>
    </row>
    <row r="4027">
      <c r="A4027" s="21" t="n">
        <v>4110</v>
      </c>
      <c r="B4027" s="21" t="inlineStr">
        <is>
          <t>20 Feet from Stardom</t>
        </is>
      </c>
      <c r="C4027" s="21" t="n">
        <v>2013</v>
      </c>
      <c r="D4027" s="21" t="inlineStr">
        <is>
          <t>USA</t>
        </is>
      </c>
      <c r="E4027" s="21" t="n">
        <v>91</v>
      </c>
      <c r="F4027" s="21" t="inlineStr">
        <is>
          <t>English</t>
        </is>
      </c>
      <c r="G4027" s="21" t="inlineStr">
        <is>
          <t>PG-13</t>
        </is>
      </c>
      <c r="H4027" s="22" t="n">
        <v>4946250</v>
      </c>
      <c r="I4027" s="22" t="n">
        <v>1000000</v>
      </c>
      <c r="J4027" s="21">
        <f>IF(OR(H4027="",H4027=25529689.5),"Yes","No")</f>
        <v/>
      </c>
      <c r="K4027" s="21">
        <f>IF(AND(D4027="USA",C4027&gt;=1980,J4027="No"),"Yes","No")</f>
        <v/>
      </c>
      <c r="L4027" s="26">
        <f>IF(J4027="Yes","",H4027-I4027)</f>
        <v/>
      </c>
      <c r="M4027" s="27">
        <f>IF(OR(J4027="Yes",I4027=0),"",H4027/I4027)</f>
        <v/>
      </c>
      <c r="N4027" s="21">
        <f>IF(J4027="Yes","",IF(H4027&gt;=I4027,1,0))</f>
        <v/>
      </c>
      <c r="O4027" s="21">
        <f>IF(I4027&lt;=5000000,"Under $5M",IF(I4027&lt;=20000000,"$5M-20M",IF(I4027&lt;=50000000,"$20M-50M",IF(I4027&lt;=100000000,"$50M-100M","$100M+"))))</f>
        <v/>
      </c>
      <c r="P4027" s="21">
        <f>IF(E4027&lt;=90,"90 or less",IF(E4027&lt;=105,"91-105",IF(E4027&lt;=120,"106-120",IF(E4027&lt;=140,"121-140","Over 140"))))</f>
        <v/>
      </c>
      <c r="Q4027" s="28">
        <f>INT(C4027/10)*10</f>
        <v/>
      </c>
    </row>
    <row r="4028">
      <c r="A4028" s="21" t="n">
        <v>4111</v>
      </c>
      <c r="B4028" s="21" t="inlineStr">
        <is>
          <t>21 &amp; Over</t>
        </is>
      </c>
      <c r="C4028" s="21" t="n">
        <v>2013</v>
      </c>
      <c r="D4028" s="21" t="inlineStr">
        <is>
          <t>USA</t>
        </is>
      </c>
      <c r="E4028" s="21" t="n">
        <v>93</v>
      </c>
      <c r="F4028" s="21" t="inlineStr">
        <is>
          <t>English</t>
        </is>
      </c>
      <c r="G4028" s="21" t="inlineStr">
        <is>
          <t>R</t>
        </is>
      </c>
      <c r="H4028" s="22" t="n">
        <v>25675765</v>
      </c>
      <c r="I4028" s="22" t="n">
        <v>13000000</v>
      </c>
      <c r="J4028" s="21">
        <f>IF(OR(H4028="",H4028=25529689.5),"Yes","No")</f>
        <v/>
      </c>
      <c r="K4028" s="21">
        <f>IF(AND(D4028="USA",C4028&gt;=1980,J4028="No"),"Yes","No")</f>
        <v/>
      </c>
      <c r="L4028" s="26">
        <f>IF(J4028="Yes","",H4028-I4028)</f>
        <v/>
      </c>
      <c r="M4028" s="27">
        <f>IF(OR(J4028="Yes",I4028=0),"",H4028/I4028)</f>
        <v/>
      </c>
      <c r="N4028" s="21">
        <f>IF(J4028="Yes","",IF(H4028&gt;=I4028,1,0))</f>
        <v/>
      </c>
      <c r="O4028" s="21">
        <f>IF(I4028&lt;=5000000,"Under $5M",IF(I4028&lt;=20000000,"$5M-20M",IF(I4028&lt;=50000000,"$20M-50M",IF(I4028&lt;=100000000,"$50M-100M","$100M+"))))</f>
        <v/>
      </c>
      <c r="P4028" s="21">
        <f>IF(E4028&lt;=90,"90 or less",IF(E4028&lt;=105,"91-105",IF(E4028&lt;=120,"106-120",IF(E4028&lt;=140,"121-140","Over 140"))))</f>
        <v/>
      </c>
      <c r="Q4028" s="28">
        <f>INT(C4028/10)*10</f>
        <v/>
      </c>
    </row>
    <row r="4029">
      <c r="A4029" s="21" t="n">
        <v>4112</v>
      </c>
      <c r="B4029" s="21" t="inlineStr">
        <is>
          <t>30 Nights of Paranormal Activity with the Devil Inside the Girl with the Dragon Tattoo</t>
        </is>
      </c>
      <c r="C4029" s="21" t="n">
        <v>2013</v>
      </c>
      <c r="D4029" s="21" t="inlineStr">
        <is>
          <t>USA</t>
        </is>
      </c>
      <c r="E4029" s="21" t="n">
        <v>80</v>
      </c>
      <c r="F4029" s="21" t="inlineStr">
        <is>
          <t>English</t>
        </is>
      </c>
      <c r="G4029" s="21" t="inlineStr">
        <is>
          <t>R</t>
        </is>
      </c>
      <c r="H4029" s="22" t="n">
        <v>25529689.5</v>
      </c>
      <c r="I4029" s="22" t="n">
        <v>3000000</v>
      </c>
      <c r="J4029" s="21">
        <f>IF(OR(H4029="",H4029=25529689.5),"Yes","No")</f>
        <v/>
      </c>
      <c r="K4029" s="21">
        <f>IF(AND(D4029="USA",C4029&gt;=1980,J4029="No"),"Yes","No")</f>
        <v/>
      </c>
      <c r="L4029" s="26">
        <f>IF(J4029="Yes","",H4029-I4029)</f>
        <v/>
      </c>
      <c r="M4029" s="27">
        <f>IF(OR(J4029="Yes",I4029=0),"",H4029/I4029)</f>
        <v/>
      </c>
      <c r="N4029" s="21">
        <f>IF(J4029="Yes","",IF(H4029&gt;=I4029,1,0))</f>
        <v/>
      </c>
      <c r="O4029" s="21">
        <f>IF(I4029&lt;=5000000,"Under $5M",IF(I4029&lt;=20000000,"$5M-20M",IF(I4029&lt;=50000000,"$20M-50M",IF(I4029&lt;=100000000,"$50M-100M","$100M+"))))</f>
        <v/>
      </c>
      <c r="P4029" s="21">
        <f>IF(E4029&lt;=90,"90 or less",IF(E4029&lt;=105,"91-105",IF(E4029&lt;=120,"106-120",IF(E4029&lt;=140,"121-140","Over 140"))))</f>
        <v/>
      </c>
      <c r="Q4029" s="28">
        <f>INT(C4029/10)*10</f>
        <v/>
      </c>
    </row>
    <row r="4030">
      <c r="A4030" s="21" t="n">
        <v>4113</v>
      </c>
      <c r="B4030" s="21" t="inlineStr">
        <is>
          <t>42</t>
        </is>
      </c>
      <c r="C4030" s="21" t="n">
        <v>2013</v>
      </c>
      <c r="D4030" s="21" t="inlineStr">
        <is>
          <t>USA</t>
        </is>
      </c>
      <c r="E4030" s="21" t="n">
        <v>128</v>
      </c>
      <c r="F4030" s="21" t="inlineStr">
        <is>
          <t>English</t>
        </is>
      </c>
      <c r="G4030" s="21" t="inlineStr">
        <is>
          <t>PG-13</t>
        </is>
      </c>
      <c r="H4030" s="22" t="n">
        <v>95001343</v>
      </c>
      <c r="I4030" s="22" t="n">
        <v>40000000</v>
      </c>
      <c r="J4030" s="21">
        <f>IF(OR(H4030="",H4030=25529689.5),"Yes","No")</f>
        <v/>
      </c>
      <c r="K4030" s="21">
        <f>IF(AND(D4030="USA",C4030&gt;=1980,J4030="No"),"Yes","No")</f>
        <v/>
      </c>
      <c r="L4030" s="26">
        <f>IF(J4030="Yes","",H4030-I4030)</f>
        <v/>
      </c>
      <c r="M4030" s="27">
        <f>IF(OR(J4030="Yes",I4030=0),"",H4030/I4030)</f>
        <v/>
      </c>
      <c r="N4030" s="21">
        <f>IF(J4030="Yes","",IF(H4030&gt;=I4030,1,0))</f>
        <v/>
      </c>
      <c r="O4030" s="21">
        <f>IF(I4030&lt;=5000000,"Under $5M",IF(I4030&lt;=20000000,"$5M-20M",IF(I4030&lt;=50000000,"$20M-50M",IF(I4030&lt;=100000000,"$50M-100M","$100M+"))))</f>
        <v/>
      </c>
      <c r="P4030" s="21">
        <f>IF(E4030&lt;=90,"90 or less",IF(E4030&lt;=105,"91-105",IF(E4030&lt;=120,"106-120",IF(E4030&lt;=140,"121-140","Over 140"))))</f>
        <v/>
      </c>
      <c r="Q4030" s="28">
        <f>INT(C4030/10)*10</f>
        <v/>
      </c>
    </row>
    <row r="4031">
      <c r="A4031" s="21" t="n">
        <v>4114</v>
      </c>
      <c r="B4031" s="21" t="inlineStr">
        <is>
          <t>47 Ronin</t>
        </is>
      </c>
      <c r="C4031" s="21" t="n">
        <v>2013</v>
      </c>
      <c r="D4031" s="21" t="inlineStr">
        <is>
          <t>USA</t>
        </is>
      </c>
      <c r="E4031" s="21" t="n">
        <v>128</v>
      </c>
      <c r="F4031" s="21" t="inlineStr">
        <is>
          <t>English</t>
        </is>
      </c>
      <c r="G4031" s="21" t="inlineStr">
        <is>
          <t>PG-13</t>
        </is>
      </c>
      <c r="H4031" s="22" t="n">
        <v>38297305</v>
      </c>
      <c r="I4031" s="22" t="n">
        <v>175000000</v>
      </c>
      <c r="J4031" s="21">
        <f>IF(OR(H4031="",H4031=25529689.5),"Yes","No")</f>
        <v/>
      </c>
      <c r="K4031" s="21">
        <f>IF(AND(D4031="USA",C4031&gt;=1980,J4031="No"),"Yes","No")</f>
        <v/>
      </c>
      <c r="L4031" s="26">
        <f>IF(J4031="Yes","",H4031-I4031)</f>
        <v/>
      </c>
      <c r="M4031" s="27">
        <f>IF(OR(J4031="Yes",I4031=0),"",H4031/I4031)</f>
        <v/>
      </c>
      <c r="N4031" s="21">
        <f>IF(J4031="Yes","",IF(H4031&gt;=I4031,1,0))</f>
        <v/>
      </c>
      <c r="O4031" s="21">
        <f>IF(I4031&lt;=5000000,"Under $5M",IF(I4031&lt;=20000000,"$5M-20M",IF(I4031&lt;=50000000,"$20M-50M",IF(I4031&lt;=100000000,"$50M-100M","$100M+"))))</f>
        <v/>
      </c>
      <c r="P4031" s="21">
        <f>IF(E4031&lt;=90,"90 or less",IF(E4031&lt;=105,"91-105",IF(E4031&lt;=120,"106-120",IF(E4031&lt;=140,"121-140","Over 140"))))</f>
        <v/>
      </c>
      <c r="Q4031" s="28">
        <f>INT(C4031/10)*10</f>
        <v/>
      </c>
    </row>
    <row r="4032">
      <c r="A4032" s="21" t="n">
        <v>4115</v>
      </c>
      <c r="B4032" s="21" t="inlineStr">
        <is>
          <t>A Good Day to Die Hard</t>
        </is>
      </c>
      <c r="C4032" s="21" t="n">
        <v>2013</v>
      </c>
      <c r="D4032" s="21" t="inlineStr">
        <is>
          <t>USA</t>
        </is>
      </c>
      <c r="E4032" s="21" t="n">
        <v>101</v>
      </c>
      <c r="F4032" s="21" t="inlineStr">
        <is>
          <t>English</t>
        </is>
      </c>
      <c r="G4032" s="21" t="inlineStr">
        <is>
          <t>R</t>
        </is>
      </c>
      <c r="H4032" s="22" t="n">
        <v>67344392</v>
      </c>
      <c r="I4032" s="22" t="n">
        <v>92000000</v>
      </c>
      <c r="J4032" s="21">
        <f>IF(OR(H4032="",H4032=25529689.5),"Yes","No")</f>
        <v/>
      </c>
      <c r="K4032" s="21">
        <f>IF(AND(D4032="USA",C4032&gt;=1980,J4032="No"),"Yes","No")</f>
        <v/>
      </c>
      <c r="L4032" s="26">
        <f>IF(J4032="Yes","",H4032-I4032)</f>
        <v/>
      </c>
      <c r="M4032" s="27">
        <f>IF(OR(J4032="Yes",I4032=0),"",H4032/I4032)</f>
        <v/>
      </c>
      <c r="N4032" s="21">
        <f>IF(J4032="Yes","",IF(H4032&gt;=I4032,1,0))</f>
        <v/>
      </c>
      <c r="O4032" s="21">
        <f>IF(I4032&lt;=5000000,"Under $5M",IF(I4032&lt;=20000000,"$5M-20M",IF(I4032&lt;=50000000,"$20M-50M",IF(I4032&lt;=100000000,"$50M-100M","$100M+"))))</f>
        <v/>
      </c>
      <c r="P4032" s="21">
        <f>IF(E4032&lt;=90,"90 or less",IF(E4032&lt;=105,"91-105",IF(E4032&lt;=120,"106-120",IF(E4032&lt;=140,"121-140","Over 140"))))</f>
        <v/>
      </c>
      <c r="Q4032" s="28">
        <f>INT(C4032/10)*10</f>
        <v/>
      </c>
    </row>
    <row r="4033">
      <c r="A4033" s="21" t="n">
        <v>4116</v>
      </c>
      <c r="B4033" s="21" t="inlineStr">
        <is>
          <t>A Haunted House</t>
        </is>
      </c>
      <c r="C4033" s="21" t="n">
        <v>2013</v>
      </c>
      <c r="D4033" s="21" t="inlineStr">
        <is>
          <t>USA</t>
        </is>
      </c>
      <c r="E4033" s="21" t="n">
        <v>86</v>
      </c>
      <c r="F4033" s="21" t="inlineStr">
        <is>
          <t>English</t>
        </is>
      </c>
      <c r="G4033" s="21" t="inlineStr">
        <is>
          <t>R</t>
        </is>
      </c>
      <c r="H4033" s="22" t="n">
        <v>40041683</v>
      </c>
      <c r="I4033" s="22" t="n">
        <v>2500000</v>
      </c>
      <c r="J4033" s="21">
        <f>IF(OR(H4033="",H4033=25529689.5),"Yes","No")</f>
        <v/>
      </c>
      <c r="K4033" s="21">
        <f>IF(AND(D4033="USA",C4033&gt;=1980,J4033="No"),"Yes","No")</f>
        <v/>
      </c>
      <c r="L4033" s="26">
        <f>IF(J4033="Yes","",H4033-I4033)</f>
        <v/>
      </c>
      <c r="M4033" s="27">
        <f>IF(OR(J4033="Yes",I4033=0),"",H4033/I4033)</f>
        <v/>
      </c>
      <c r="N4033" s="21">
        <f>IF(J4033="Yes","",IF(H4033&gt;=I4033,1,0))</f>
        <v/>
      </c>
      <c r="O4033" s="21">
        <f>IF(I4033&lt;=5000000,"Under $5M",IF(I4033&lt;=20000000,"$5M-20M",IF(I4033&lt;=50000000,"$20M-50M",IF(I4033&lt;=100000000,"$50M-100M","$100M+"))))</f>
        <v/>
      </c>
      <c r="P4033" s="21">
        <f>IF(E4033&lt;=90,"90 or less",IF(E4033&lt;=105,"91-105",IF(E4033&lt;=120,"106-120",IF(E4033&lt;=140,"121-140","Over 140"))))</f>
        <v/>
      </c>
      <c r="Q4033" s="28">
        <f>INT(C4033/10)*10</f>
        <v/>
      </c>
    </row>
    <row r="4034">
      <c r="A4034" s="21" t="n">
        <v>4117</v>
      </c>
      <c r="B4034" s="21" t="inlineStr">
        <is>
          <t>A Madea Christmas</t>
        </is>
      </c>
      <c r="C4034" s="21" t="n">
        <v>2013</v>
      </c>
      <c r="D4034" s="21" t="inlineStr">
        <is>
          <t>USA</t>
        </is>
      </c>
      <c r="E4034" s="21" t="n">
        <v>100</v>
      </c>
      <c r="F4034" s="21" t="inlineStr">
        <is>
          <t>English</t>
        </is>
      </c>
      <c r="G4034" s="21" t="inlineStr">
        <is>
          <t>PG-13</t>
        </is>
      </c>
      <c r="H4034" s="22" t="n">
        <v>52528330</v>
      </c>
      <c r="I4034" s="22" t="n">
        <v>25000000</v>
      </c>
      <c r="J4034" s="21">
        <f>IF(OR(H4034="",H4034=25529689.5),"Yes","No")</f>
        <v/>
      </c>
      <c r="K4034" s="21">
        <f>IF(AND(D4034="USA",C4034&gt;=1980,J4034="No"),"Yes","No")</f>
        <v/>
      </c>
      <c r="L4034" s="26">
        <f>IF(J4034="Yes","",H4034-I4034)</f>
        <v/>
      </c>
      <c r="M4034" s="27">
        <f>IF(OR(J4034="Yes",I4034=0),"",H4034/I4034)</f>
        <v/>
      </c>
      <c r="N4034" s="21">
        <f>IF(J4034="Yes","",IF(H4034&gt;=I4034,1,0))</f>
        <v/>
      </c>
      <c r="O4034" s="21">
        <f>IF(I4034&lt;=5000000,"Under $5M",IF(I4034&lt;=20000000,"$5M-20M",IF(I4034&lt;=50000000,"$20M-50M",IF(I4034&lt;=100000000,"$50M-100M","$100M+"))))</f>
        <v/>
      </c>
      <c r="P4034" s="21">
        <f>IF(E4034&lt;=90,"90 or less",IF(E4034&lt;=105,"91-105",IF(E4034&lt;=120,"106-120",IF(E4034&lt;=140,"121-140","Over 140"))))</f>
        <v/>
      </c>
      <c r="Q4034" s="28">
        <f>INT(C4034/10)*10</f>
        <v/>
      </c>
    </row>
    <row r="4035">
      <c r="A4035" s="21" t="n">
        <v>4118</v>
      </c>
      <c r="B4035" s="21" t="inlineStr">
        <is>
          <t>A Plague So Pleasant</t>
        </is>
      </c>
      <c r="C4035" s="21" t="n">
        <v>2013</v>
      </c>
      <c r="D4035" s="21" t="inlineStr">
        <is>
          <t>USA</t>
        </is>
      </c>
      <c r="E4035" s="21" t="n">
        <v>76</v>
      </c>
      <c r="F4035" s="21" t="inlineStr">
        <is>
          <t>English</t>
        </is>
      </c>
      <c r="G4035" s="21" t="n"/>
      <c r="H4035" s="22" t="n">
        <v>25529689.5</v>
      </c>
      <c r="I4035" s="22" t="n">
        <v>1400</v>
      </c>
      <c r="J4035" s="21">
        <f>IF(OR(H4035="",H4035=25529689.5),"Yes","No")</f>
        <v/>
      </c>
      <c r="K4035" s="21">
        <f>IF(AND(D4035="USA",C4035&gt;=1980,J4035="No"),"Yes","No")</f>
        <v/>
      </c>
      <c r="L4035" s="26">
        <f>IF(J4035="Yes","",H4035-I4035)</f>
        <v/>
      </c>
      <c r="M4035" s="27">
        <f>IF(OR(J4035="Yes",I4035=0),"",H4035/I4035)</f>
        <v/>
      </c>
      <c r="N4035" s="21">
        <f>IF(J4035="Yes","",IF(H4035&gt;=I4035,1,0))</f>
        <v/>
      </c>
      <c r="O4035" s="21">
        <f>IF(I4035&lt;=5000000,"Under $5M",IF(I4035&lt;=20000000,"$5M-20M",IF(I4035&lt;=50000000,"$20M-50M",IF(I4035&lt;=100000000,"$50M-100M","$100M+"))))</f>
        <v/>
      </c>
      <c r="P4035" s="21">
        <f>IF(E4035&lt;=90,"90 or less",IF(E4035&lt;=105,"91-105",IF(E4035&lt;=120,"106-120",IF(E4035&lt;=140,"121-140","Over 140"))))</f>
        <v/>
      </c>
      <c r="Q4035" s="28">
        <f>INT(C4035/10)*10</f>
        <v/>
      </c>
    </row>
    <row r="4036">
      <c r="A4036" s="21" t="n">
        <v>4119</v>
      </c>
      <c r="B4036" s="21" t="inlineStr">
        <is>
          <t>A True Story</t>
        </is>
      </c>
      <c r="C4036" s="21" t="n">
        <v>2013</v>
      </c>
      <c r="D4036" s="21" t="inlineStr">
        <is>
          <t>USA</t>
        </is>
      </c>
      <c r="E4036" s="21" t="n">
        <v>96</v>
      </c>
      <c r="F4036" s="21" t="inlineStr">
        <is>
          <t>English</t>
        </is>
      </c>
      <c r="G4036" s="21" t="n"/>
      <c r="H4036" s="22" t="n">
        <v>25529689.5</v>
      </c>
      <c r="I4036" s="22" t="n">
        <v>45000</v>
      </c>
      <c r="J4036" s="21">
        <f>IF(OR(H4036="",H4036=25529689.5),"Yes","No")</f>
        <v/>
      </c>
      <c r="K4036" s="21">
        <f>IF(AND(D4036="USA",C4036&gt;=1980,J4036="No"),"Yes","No")</f>
        <v/>
      </c>
      <c r="L4036" s="26">
        <f>IF(J4036="Yes","",H4036-I4036)</f>
        <v/>
      </c>
      <c r="M4036" s="27">
        <f>IF(OR(J4036="Yes",I4036=0),"",H4036/I4036)</f>
        <v/>
      </c>
      <c r="N4036" s="21">
        <f>IF(J4036="Yes","",IF(H4036&gt;=I4036,1,0))</f>
        <v/>
      </c>
      <c r="O4036" s="21">
        <f>IF(I4036&lt;=5000000,"Under $5M",IF(I4036&lt;=20000000,"$5M-20M",IF(I4036&lt;=50000000,"$20M-50M",IF(I4036&lt;=100000000,"$50M-100M","$100M+"))))</f>
        <v/>
      </c>
      <c r="P4036" s="21">
        <f>IF(E4036&lt;=90,"90 or less",IF(E4036&lt;=105,"91-105",IF(E4036&lt;=120,"106-120",IF(E4036&lt;=140,"121-140","Over 140"))))</f>
        <v/>
      </c>
      <c r="Q4036" s="28">
        <f>INT(C4036/10)*10</f>
        <v/>
      </c>
    </row>
    <row r="4037">
      <c r="A4037" s="21" t="n">
        <v>4120</v>
      </c>
      <c r="B4037" s="21" t="inlineStr">
        <is>
          <t>ABCD (Any Body Can Dance)</t>
        </is>
      </c>
      <c r="C4037" s="21" t="n">
        <v>2013</v>
      </c>
      <c r="D4037" s="21" t="inlineStr">
        <is>
          <t>India</t>
        </is>
      </c>
      <c r="E4037" s="21" t="n">
        <v>160</v>
      </c>
      <c r="F4037" s="21" t="inlineStr">
        <is>
          <t>Hindi</t>
        </is>
      </c>
      <c r="G4037" s="21" t="inlineStr">
        <is>
          <t>Not Rated</t>
        </is>
      </c>
      <c r="H4037" s="22" t="n">
        <v>95236</v>
      </c>
      <c r="I4037" s="22" t="n">
        <v>20000000</v>
      </c>
      <c r="J4037" s="21">
        <f>IF(OR(H4037="",H4037=25529689.5),"Yes","No")</f>
        <v/>
      </c>
      <c r="K4037" s="21">
        <f>IF(AND(D4037="USA",C4037&gt;=1980,J4037="No"),"Yes","No")</f>
        <v/>
      </c>
      <c r="L4037" s="26">
        <f>IF(J4037="Yes","",H4037-I4037)</f>
        <v/>
      </c>
      <c r="M4037" s="27">
        <f>IF(OR(J4037="Yes",I4037=0),"",H4037/I4037)</f>
        <v/>
      </c>
      <c r="N4037" s="21">
        <f>IF(J4037="Yes","",IF(H4037&gt;=I4037,1,0))</f>
        <v/>
      </c>
      <c r="O4037" s="21">
        <f>IF(I4037&lt;=5000000,"Under $5M",IF(I4037&lt;=20000000,"$5M-20M",IF(I4037&lt;=50000000,"$20M-50M",IF(I4037&lt;=100000000,"$50M-100M","$100M+"))))</f>
        <v/>
      </c>
      <c r="P4037" s="21">
        <f>IF(E4037&lt;=90,"90 or less",IF(E4037&lt;=105,"91-105",IF(E4037&lt;=120,"106-120",IF(E4037&lt;=140,"121-140","Over 140"))))</f>
        <v/>
      </c>
      <c r="Q4037" s="28">
        <f>INT(C4037/10)*10</f>
        <v/>
      </c>
    </row>
    <row r="4038">
      <c r="A4038" s="21" t="n">
        <v>4121</v>
      </c>
      <c r="B4038" s="21" t="inlineStr">
        <is>
          <t>About Time</t>
        </is>
      </c>
      <c r="C4038" s="21" t="n">
        <v>2013</v>
      </c>
      <c r="D4038" s="21" t="inlineStr">
        <is>
          <t>UK</t>
        </is>
      </c>
      <c r="E4038" s="21" t="n">
        <v>123</v>
      </c>
      <c r="F4038" s="21" t="inlineStr">
        <is>
          <t>English</t>
        </is>
      </c>
      <c r="G4038" s="21" t="inlineStr">
        <is>
          <t>R</t>
        </is>
      </c>
      <c r="H4038" s="22" t="n">
        <v>15294553</v>
      </c>
      <c r="I4038" s="22" t="n">
        <v>12000000</v>
      </c>
      <c r="J4038" s="21">
        <f>IF(OR(H4038="",H4038=25529689.5),"Yes","No")</f>
        <v/>
      </c>
      <c r="K4038" s="21">
        <f>IF(AND(D4038="USA",C4038&gt;=1980,J4038="No"),"Yes","No")</f>
        <v/>
      </c>
      <c r="L4038" s="26">
        <f>IF(J4038="Yes","",H4038-I4038)</f>
        <v/>
      </c>
      <c r="M4038" s="27">
        <f>IF(OR(J4038="Yes",I4038=0),"",H4038/I4038)</f>
        <v/>
      </c>
      <c r="N4038" s="21">
        <f>IF(J4038="Yes","",IF(H4038&gt;=I4038,1,0))</f>
        <v/>
      </c>
      <c r="O4038" s="21">
        <f>IF(I4038&lt;=5000000,"Under $5M",IF(I4038&lt;=20000000,"$5M-20M",IF(I4038&lt;=50000000,"$20M-50M",IF(I4038&lt;=100000000,"$50M-100M","$100M+"))))</f>
        <v/>
      </c>
      <c r="P4038" s="21">
        <f>IF(E4038&lt;=90,"90 or less",IF(E4038&lt;=105,"91-105",IF(E4038&lt;=120,"106-120",IF(E4038&lt;=140,"121-140","Over 140"))))</f>
        <v/>
      </c>
      <c r="Q4038" s="28">
        <f>INT(C4038/10)*10</f>
        <v/>
      </c>
    </row>
    <row r="4039">
      <c r="A4039" s="21" t="n">
        <v>4122</v>
      </c>
      <c r="B4039" s="21" t="inlineStr">
        <is>
          <t>Admission</t>
        </is>
      </c>
      <c r="C4039" s="21" t="n">
        <v>2013</v>
      </c>
      <c r="D4039" s="21" t="inlineStr">
        <is>
          <t>USA</t>
        </is>
      </c>
      <c r="E4039" s="21" t="n">
        <v>107</v>
      </c>
      <c r="F4039" s="21" t="inlineStr">
        <is>
          <t>English</t>
        </is>
      </c>
      <c r="G4039" s="21" t="inlineStr">
        <is>
          <t>PG-13</t>
        </is>
      </c>
      <c r="H4039" s="22" t="n">
        <v>18004225</v>
      </c>
      <c r="I4039" s="22" t="n">
        <v>13000000</v>
      </c>
      <c r="J4039" s="21">
        <f>IF(OR(H4039="",H4039=25529689.5),"Yes","No")</f>
        <v/>
      </c>
      <c r="K4039" s="21">
        <f>IF(AND(D4039="USA",C4039&gt;=1980,J4039="No"),"Yes","No")</f>
        <v/>
      </c>
      <c r="L4039" s="26">
        <f>IF(J4039="Yes","",H4039-I4039)</f>
        <v/>
      </c>
      <c r="M4039" s="27">
        <f>IF(OR(J4039="Yes",I4039=0),"",H4039/I4039)</f>
        <v/>
      </c>
      <c r="N4039" s="21">
        <f>IF(J4039="Yes","",IF(H4039&gt;=I4039,1,0))</f>
        <v/>
      </c>
      <c r="O4039" s="21">
        <f>IF(I4039&lt;=5000000,"Under $5M",IF(I4039&lt;=20000000,"$5M-20M",IF(I4039&lt;=50000000,"$20M-50M",IF(I4039&lt;=100000000,"$50M-100M","$100M+"))))</f>
        <v/>
      </c>
      <c r="P4039" s="21">
        <f>IF(E4039&lt;=90,"90 or less",IF(E4039&lt;=105,"91-105",IF(E4039&lt;=120,"106-120",IF(E4039&lt;=140,"121-140","Over 140"))))</f>
        <v/>
      </c>
      <c r="Q4039" s="28">
        <f>INT(C4039/10)*10</f>
        <v/>
      </c>
    </row>
    <row r="4040">
      <c r="A4040" s="21" t="n">
        <v>4123</v>
      </c>
      <c r="B4040" s="21" t="inlineStr">
        <is>
          <t>Adore</t>
        </is>
      </c>
      <c r="C4040" s="21" t="n">
        <v>2013</v>
      </c>
      <c r="D4040" s="21" t="inlineStr">
        <is>
          <t>Australia</t>
        </is>
      </c>
      <c r="E4040" s="21" t="n">
        <v>112</v>
      </c>
      <c r="F4040" s="21" t="inlineStr">
        <is>
          <t>English</t>
        </is>
      </c>
      <c r="G4040" s="21" t="inlineStr">
        <is>
          <t>R</t>
        </is>
      </c>
      <c r="H4040" s="22" t="n">
        <v>317125</v>
      </c>
      <c r="I4040" s="22" t="n">
        <v>16000000</v>
      </c>
      <c r="J4040" s="21">
        <f>IF(OR(H4040="",H4040=25529689.5),"Yes","No")</f>
        <v/>
      </c>
      <c r="K4040" s="21">
        <f>IF(AND(D4040="USA",C4040&gt;=1980,J4040="No"),"Yes","No")</f>
        <v/>
      </c>
      <c r="L4040" s="26">
        <f>IF(J4040="Yes","",H4040-I4040)</f>
        <v/>
      </c>
      <c r="M4040" s="27">
        <f>IF(OR(J4040="Yes",I4040=0),"",H4040/I4040)</f>
        <v/>
      </c>
      <c r="N4040" s="21">
        <f>IF(J4040="Yes","",IF(H4040&gt;=I4040,1,0))</f>
        <v/>
      </c>
      <c r="O4040" s="21">
        <f>IF(I4040&lt;=5000000,"Under $5M",IF(I4040&lt;=20000000,"$5M-20M",IF(I4040&lt;=50000000,"$20M-50M",IF(I4040&lt;=100000000,"$50M-100M","$100M+"))))</f>
        <v/>
      </c>
      <c r="P4040" s="21">
        <f>IF(E4040&lt;=90,"90 or less",IF(E4040&lt;=105,"91-105",IF(E4040&lt;=120,"106-120",IF(E4040&lt;=140,"121-140","Over 140"))))</f>
        <v/>
      </c>
      <c r="Q4040" s="28">
        <f>INT(C4040/10)*10</f>
        <v/>
      </c>
    </row>
    <row r="4041">
      <c r="A4041" s="21" t="n">
        <v>4124</v>
      </c>
      <c r="B4041" s="21" t="inlineStr">
        <is>
          <t>After Earth</t>
        </is>
      </c>
      <c r="C4041" s="21" t="n">
        <v>2013</v>
      </c>
      <c r="D4041" s="21" t="inlineStr">
        <is>
          <t>USA</t>
        </is>
      </c>
      <c r="E4041" s="21" t="n">
        <v>100</v>
      </c>
      <c r="F4041" s="21" t="inlineStr">
        <is>
          <t>English</t>
        </is>
      </c>
      <c r="G4041" s="21" t="inlineStr">
        <is>
          <t>PG-13</t>
        </is>
      </c>
      <c r="H4041" s="22" t="n">
        <v>60522097</v>
      </c>
      <c r="I4041" s="22" t="n">
        <v>130000000</v>
      </c>
      <c r="J4041" s="21">
        <f>IF(OR(H4041="",H4041=25529689.5),"Yes","No")</f>
        <v/>
      </c>
      <c r="K4041" s="21">
        <f>IF(AND(D4041="USA",C4041&gt;=1980,J4041="No"),"Yes","No")</f>
        <v/>
      </c>
      <c r="L4041" s="26">
        <f>IF(J4041="Yes","",H4041-I4041)</f>
        <v/>
      </c>
      <c r="M4041" s="27">
        <f>IF(OR(J4041="Yes",I4041=0),"",H4041/I4041)</f>
        <v/>
      </c>
      <c r="N4041" s="21">
        <f>IF(J4041="Yes","",IF(H4041&gt;=I4041,1,0))</f>
        <v/>
      </c>
      <c r="O4041" s="21">
        <f>IF(I4041&lt;=5000000,"Under $5M",IF(I4041&lt;=20000000,"$5M-20M",IF(I4041&lt;=50000000,"$20M-50M",IF(I4041&lt;=100000000,"$50M-100M","$100M+"))))</f>
        <v/>
      </c>
      <c r="P4041" s="21">
        <f>IF(E4041&lt;=90,"90 or less",IF(E4041&lt;=105,"91-105",IF(E4041&lt;=120,"106-120",IF(E4041&lt;=140,"121-140","Over 140"))))</f>
        <v/>
      </c>
      <c r="Q4041" s="28">
        <f>INT(C4041/10)*10</f>
        <v/>
      </c>
    </row>
    <row r="4042">
      <c r="A4042" s="21" t="n">
        <v>4125</v>
      </c>
      <c r="B4042" s="21" t="inlineStr">
        <is>
          <t>Against the Wild</t>
        </is>
      </c>
      <c r="C4042" s="21" t="n">
        <v>2013</v>
      </c>
      <c r="D4042" s="21" t="inlineStr">
        <is>
          <t>Canada</t>
        </is>
      </c>
      <c r="E4042" s="21" t="n">
        <v>90</v>
      </c>
      <c r="F4042" s="21" t="inlineStr">
        <is>
          <t>English</t>
        </is>
      </c>
      <c r="G4042" s="21" t="inlineStr">
        <is>
          <t>PG</t>
        </is>
      </c>
      <c r="H4042" s="22" t="n">
        <v>25529689.5</v>
      </c>
      <c r="I4042" s="22" t="n">
        <v>2000000</v>
      </c>
      <c r="J4042" s="21">
        <f>IF(OR(H4042="",H4042=25529689.5),"Yes","No")</f>
        <v/>
      </c>
      <c r="K4042" s="21">
        <f>IF(AND(D4042="USA",C4042&gt;=1980,J4042="No"),"Yes","No")</f>
        <v/>
      </c>
      <c r="L4042" s="26">
        <f>IF(J4042="Yes","",H4042-I4042)</f>
        <v/>
      </c>
      <c r="M4042" s="27">
        <f>IF(OR(J4042="Yes",I4042=0),"",H4042/I4042)</f>
        <v/>
      </c>
      <c r="N4042" s="21">
        <f>IF(J4042="Yes","",IF(H4042&gt;=I4042,1,0))</f>
        <v/>
      </c>
      <c r="O4042" s="21">
        <f>IF(I4042&lt;=5000000,"Under $5M",IF(I4042&lt;=20000000,"$5M-20M",IF(I4042&lt;=50000000,"$20M-50M",IF(I4042&lt;=100000000,"$50M-100M","$100M+"))))</f>
        <v/>
      </c>
      <c r="P4042" s="21">
        <f>IF(E4042&lt;=90,"90 or less",IF(E4042&lt;=105,"91-105",IF(E4042&lt;=120,"106-120",IF(E4042&lt;=140,"121-140","Over 140"))))</f>
        <v/>
      </c>
      <c r="Q4042" s="28">
        <f>INT(C4042/10)*10</f>
        <v/>
      </c>
    </row>
    <row r="4043">
      <c r="A4043" s="21" t="n">
        <v>4126</v>
      </c>
      <c r="B4043" s="21" t="inlineStr">
        <is>
          <t>All Is Bright</t>
        </is>
      </c>
      <c r="C4043" s="21" t="n">
        <v>2013</v>
      </c>
      <c r="D4043" s="21" t="inlineStr">
        <is>
          <t>USA</t>
        </is>
      </c>
      <c r="E4043" s="21" t="n">
        <v>107</v>
      </c>
      <c r="F4043" s="21" t="inlineStr">
        <is>
          <t>English</t>
        </is>
      </c>
      <c r="G4043" s="21" t="inlineStr">
        <is>
          <t>R</t>
        </is>
      </c>
      <c r="H4043" s="22" t="n">
        <v>4556</v>
      </c>
      <c r="I4043" s="22" t="n">
        <v>20000000</v>
      </c>
      <c r="J4043" s="21">
        <f>IF(OR(H4043="",H4043=25529689.5),"Yes","No")</f>
        <v/>
      </c>
      <c r="K4043" s="21">
        <f>IF(AND(D4043="USA",C4043&gt;=1980,J4043="No"),"Yes","No")</f>
        <v/>
      </c>
      <c r="L4043" s="26">
        <f>IF(J4043="Yes","",H4043-I4043)</f>
        <v/>
      </c>
      <c r="M4043" s="27">
        <f>IF(OR(J4043="Yes",I4043=0),"",H4043/I4043)</f>
        <v/>
      </c>
      <c r="N4043" s="21">
        <f>IF(J4043="Yes","",IF(H4043&gt;=I4043,1,0))</f>
        <v/>
      </c>
      <c r="O4043" s="21">
        <f>IF(I4043&lt;=5000000,"Under $5M",IF(I4043&lt;=20000000,"$5M-20M",IF(I4043&lt;=50000000,"$20M-50M",IF(I4043&lt;=100000000,"$50M-100M","$100M+"))))</f>
        <v/>
      </c>
      <c r="P4043" s="21">
        <f>IF(E4043&lt;=90,"90 or less",IF(E4043&lt;=105,"91-105",IF(E4043&lt;=120,"106-120",IF(E4043&lt;=140,"121-140","Over 140"))))</f>
        <v/>
      </c>
      <c r="Q4043" s="28">
        <f>INT(C4043/10)*10</f>
        <v/>
      </c>
    </row>
    <row r="4044">
      <c r="A4044" s="21" t="n">
        <v>4127</v>
      </c>
      <c r="B4044" s="21" t="inlineStr">
        <is>
          <t>All Is Lost</t>
        </is>
      </c>
      <c r="C4044" s="21" t="n">
        <v>2013</v>
      </c>
      <c r="D4044" s="21" t="inlineStr">
        <is>
          <t>USA</t>
        </is>
      </c>
      <c r="E4044" s="21" t="n">
        <v>106</v>
      </c>
      <c r="F4044" s="21" t="inlineStr">
        <is>
          <t>English</t>
        </is>
      </c>
      <c r="G4044" s="21" t="inlineStr">
        <is>
          <t>PG-13</t>
        </is>
      </c>
      <c r="H4044" s="22" t="n">
        <v>6262942</v>
      </c>
      <c r="I4044" s="22" t="n">
        <v>9000000</v>
      </c>
      <c r="J4044" s="21">
        <f>IF(OR(H4044="",H4044=25529689.5),"Yes","No")</f>
        <v/>
      </c>
      <c r="K4044" s="21">
        <f>IF(AND(D4044="USA",C4044&gt;=1980,J4044="No"),"Yes","No")</f>
        <v/>
      </c>
      <c r="L4044" s="26">
        <f>IF(J4044="Yes","",H4044-I4044)</f>
        <v/>
      </c>
      <c r="M4044" s="27">
        <f>IF(OR(J4044="Yes",I4044=0),"",H4044/I4044)</f>
        <v/>
      </c>
      <c r="N4044" s="21">
        <f>IF(J4044="Yes","",IF(H4044&gt;=I4044,1,0))</f>
        <v/>
      </c>
      <c r="O4044" s="21">
        <f>IF(I4044&lt;=5000000,"Under $5M",IF(I4044&lt;=20000000,"$5M-20M",IF(I4044&lt;=50000000,"$20M-50M",IF(I4044&lt;=100000000,"$50M-100M","$100M+"))))</f>
        <v/>
      </c>
      <c r="P4044" s="21">
        <f>IF(E4044&lt;=90,"90 or less",IF(E4044&lt;=105,"91-105",IF(E4044&lt;=120,"106-120",IF(E4044&lt;=140,"121-140","Over 140"))))</f>
        <v/>
      </c>
      <c r="Q4044" s="28">
        <f>INT(C4044/10)*10</f>
        <v/>
      </c>
    </row>
    <row r="4045">
      <c r="A4045" s="21" t="n">
        <v>4128</v>
      </c>
      <c r="B4045" s="21" t="inlineStr">
        <is>
          <t>Along the Roadside</t>
        </is>
      </c>
      <c r="C4045" s="21" t="n">
        <v>2013</v>
      </c>
      <c r="D4045" s="21" t="inlineStr">
        <is>
          <t>USA</t>
        </is>
      </c>
      <c r="E4045" s="21" t="n">
        <v>108</v>
      </c>
      <c r="F4045" s="21" t="inlineStr">
        <is>
          <t>English</t>
        </is>
      </c>
      <c r="G4045" s="21" t="n"/>
      <c r="H4045" s="22" t="n">
        <v>25529689.5</v>
      </c>
      <c r="I4045" s="22" t="n">
        <v>250000</v>
      </c>
      <c r="J4045" s="21">
        <f>IF(OR(H4045="",H4045=25529689.5),"Yes","No")</f>
        <v/>
      </c>
      <c r="K4045" s="21">
        <f>IF(AND(D4045="USA",C4045&gt;=1980,J4045="No"),"Yes","No")</f>
        <v/>
      </c>
      <c r="L4045" s="26">
        <f>IF(J4045="Yes","",H4045-I4045)</f>
        <v/>
      </c>
      <c r="M4045" s="27">
        <f>IF(OR(J4045="Yes",I4045=0),"",H4045/I4045)</f>
        <v/>
      </c>
      <c r="N4045" s="21">
        <f>IF(J4045="Yes","",IF(H4045&gt;=I4045,1,0))</f>
        <v/>
      </c>
      <c r="O4045" s="21">
        <f>IF(I4045&lt;=5000000,"Under $5M",IF(I4045&lt;=20000000,"$5M-20M",IF(I4045&lt;=50000000,"$20M-50M",IF(I4045&lt;=100000000,"$50M-100M","$100M+"))))</f>
        <v/>
      </c>
      <c r="P4045" s="21">
        <f>IF(E4045&lt;=90,"90 or less",IF(E4045&lt;=105,"91-105",IF(E4045&lt;=120,"106-120",IF(E4045&lt;=140,"121-140","Over 140"))))</f>
        <v/>
      </c>
      <c r="Q4045" s="28">
        <f>INT(C4045/10)*10</f>
        <v/>
      </c>
    </row>
    <row r="4046">
      <c r="A4046" s="21" t="n">
        <v>4129</v>
      </c>
      <c r="B4046" s="21" t="inlineStr">
        <is>
          <t>American Hustle</t>
        </is>
      </c>
      <c r="C4046" s="21" t="n">
        <v>2013</v>
      </c>
      <c r="D4046" s="21" t="inlineStr">
        <is>
          <t>USA</t>
        </is>
      </c>
      <c r="E4046" s="21" t="n">
        <v>138</v>
      </c>
      <c r="F4046" s="21" t="inlineStr">
        <is>
          <t>English</t>
        </is>
      </c>
      <c r="G4046" s="21" t="inlineStr">
        <is>
          <t>R</t>
        </is>
      </c>
      <c r="H4046" s="22" t="n">
        <v>150117807</v>
      </c>
      <c r="I4046" s="22" t="n">
        <v>40000000</v>
      </c>
      <c r="J4046" s="21">
        <f>IF(OR(H4046="",H4046=25529689.5),"Yes","No")</f>
        <v/>
      </c>
      <c r="K4046" s="21">
        <f>IF(AND(D4046="USA",C4046&gt;=1980,J4046="No"),"Yes","No")</f>
        <v/>
      </c>
      <c r="L4046" s="26">
        <f>IF(J4046="Yes","",H4046-I4046)</f>
        <v/>
      </c>
      <c r="M4046" s="27">
        <f>IF(OR(J4046="Yes",I4046=0),"",H4046/I4046)</f>
        <v/>
      </c>
      <c r="N4046" s="21">
        <f>IF(J4046="Yes","",IF(H4046&gt;=I4046,1,0))</f>
        <v/>
      </c>
      <c r="O4046" s="21">
        <f>IF(I4046&lt;=5000000,"Under $5M",IF(I4046&lt;=20000000,"$5M-20M",IF(I4046&lt;=50000000,"$20M-50M",IF(I4046&lt;=100000000,"$50M-100M","$100M+"))))</f>
        <v/>
      </c>
      <c r="P4046" s="21">
        <f>IF(E4046&lt;=90,"90 or less",IF(E4046&lt;=105,"91-105",IF(E4046&lt;=120,"106-120",IF(E4046&lt;=140,"121-140","Over 140"))))</f>
        <v/>
      </c>
      <c r="Q4046" s="28">
        <f>INT(C4046/10)*10</f>
        <v/>
      </c>
    </row>
    <row r="4047">
      <c r="A4047" s="21" t="n">
        <v>4130</v>
      </c>
      <c r="B4047" s="21" t="inlineStr">
        <is>
          <t>Anchorman 2: The Legend Continues</t>
        </is>
      </c>
      <c r="C4047" s="21" t="n">
        <v>2013</v>
      </c>
      <c r="D4047" s="21" t="inlineStr">
        <is>
          <t>USA</t>
        </is>
      </c>
      <c r="E4047" s="21" t="n">
        <v>143</v>
      </c>
      <c r="F4047" s="21" t="inlineStr">
        <is>
          <t>English</t>
        </is>
      </c>
      <c r="G4047" s="21" t="inlineStr">
        <is>
          <t>PG-13</t>
        </is>
      </c>
      <c r="H4047" s="22" t="n">
        <v>2175312</v>
      </c>
      <c r="I4047" s="22" t="n">
        <v>50000000</v>
      </c>
      <c r="J4047" s="21">
        <f>IF(OR(H4047="",H4047=25529689.5),"Yes","No")</f>
        <v/>
      </c>
      <c r="K4047" s="21">
        <f>IF(AND(D4047="USA",C4047&gt;=1980,J4047="No"),"Yes","No")</f>
        <v/>
      </c>
      <c r="L4047" s="26">
        <f>IF(J4047="Yes","",H4047-I4047)</f>
        <v/>
      </c>
      <c r="M4047" s="27">
        <f>IF(OR(J4047="Yes",I4047=0),"",H4047/I4047)</f>
        <v/>
      </c>
      <c r="N4047" s="21">
        <f>IF(J4047="Yes","",IF(H4047&gt;=I4047,1,0))</f>
        <v/>
      </c>
      <c r="O4047" s="21">
        <f>IF(I4047&lt;=5000000,"Under $5M",IF(I4047&lt;=20000000,"$5M-20M",IF(I4047&lt;=50000000,"$20M-50M",IF(I4047&lt;=100000000,"$50M-100M","$100M+"))))</f>
        <v/>
      </c>
      <c r="P4047" s="21">
        <f>IF(E4047&lt;=90,"90 or less",IF(E4047&lt;=105,"91-105",IF(E4047&lt;=120,"106-120",IF(E4047&lt;=140,"121-140","Over 140"))))</f>
        <v/>
      </c>
      <c r="Q4047" s="28">
        <f>INT(C4047/10)*10</f>
        <v/>
      </c>
    </row>
    <row r="4048">
      <c r="A4048" s="21" t="n">
        <v>4131</v>
      </c>
      <c r="B4048" s="21" t="inlineStr">
        <is>
          <t>Antarctica: A Year on Ice</t>
        </is>
      </c>
      <c r="C4048" s="21" t="n">
        <v>2013</v>
      </c>
      <c r="D4048" s="21" t="inlineStr">
        <is>
          <t>New Zealand</t>
        </is>
      </c>
      <c r="E4048" s="21" t="n">
        <v>91</v>
      </c>
      <c r="F4048" s="21" t="inlineStr">
        <is>
          <t>English</t>
        </is>
      </c>
      <c r="G4048" s="21" t="inlineStr">
        <is>
          <t>PG</t>
        </is>
      </c>
      <c r="H4048" s="22" t="n">
        <v>287761</v>
      </c>
      <c r="I4048" s="22" t="n">
        <v>1000000</v>
      </c>
      <c r="J4048" s="21">
        <f>IF(OR(H4048="",H4048=25529689.5),"Yes","No")</f>
        <v/>
      </c>
      <c r="K4048" s="21">
        <f>IF(AND(D4048="USA",C4048&gt;=1980,J4048="No"),"Yes","No")</f>
        <v/>
      </c>
      <c r="L4048" s="26">
        <f>IF(J4048="Yes","",H4048-I4048)</f>
        <v/>
      </c>
      <c r="M4048" s="27">
        <f>IF(OR(J4048="Yes",I4048=0),"",H4048/I4048)</f>
        <v/>
      </c>
      <c r="N4048" s="21">
        <f>IF(J4048="Yes","",IF(H4048&gt;=I4048,1,0))</f>
        <v/>
      </c>
      <c r="O4048" s="21">
        <f>IF(I4048&lt;=5000000,"Under $5M",IF(I4048&lt;=20000000,"$5M-20M",IF(I4048&lt;=50000000,"$20M-50M",IF(I4048&lt;=100000000,"$50M-100M","$100M+"))))</f>
        <v/>
      </c>
      <c r="P4048" s="21">
        <f>IF(E4048&lt;=90,"90 or less",IF(E4048&lt;=105,"91-105",IF(E4048&lt;=120,"106-120",IF(E4048&lt;=140,"121-140","Over 140"))))</f>
        <v/>
      </c>
      <c r="Q4048" s="28">
        <f>INT(C4048/10)*10</f>
        <v/>
      </c>
    </row>
    <row r="4049">
      <c r="A4049" s="21" t="n">
        <v>4132</v>
      </c>
      <c r="B4049" s="21" t="inlineStr">
        <is>
          <t>Aroused</t>
        </is>
      </c>
      <c r="C4049" s="21" t="n">
        <v>2013</v>
      </c>
      <c r="D4049" s="21" t="inlineStr">
        <is>
          <t>USA</t>
        </is>
      </c>
      <c r="E4049" s="21" t="n">
        <v>66</v>
      </c>
      <c r="F4049" s="21" t="inlineStr">
        <is>
          <t>English</t>
        </is>
      </c>
      <c r="G4049" s="21" t="n"/>
      <c r="H4049" s="22" t="n">
        <v>25529689.5</v>
      </c>
      <c r="I4049" s="22" t="n">
        <v>150000</v>
      </c>
      <c r="J4049" s="21">
        <f>IF(OR(H4049="",H4049=25529689.5),"Yes","No")</f>
        <v/>
      </c>
      <c r="K4049" s="21">
        <f>IF(AND(D4049="USA",C4049&gt;=1980,J4049="No"),"Yes","No")</f>
        <v/>
      </c>
      <c r="L4049" s="26">
        <f>IF(J4049="Yes","",H4049-I4049)</f>
        <v/>
      </c>
      <c r="M4049" s="27">
        <f>IF(OR(J4049="Yes",I4049=0),"",H4049/I4049)</f>
        <v/>
      </c>
      <c r="N4049" s="21">
        <f>IF(J4049="Yes","",IF(H4049&gt;=I4049,1,0))</f>
        <v/>
      </c>
      <c r="O4049" s="21">
        <f>IF(I4049&lt;=5000000,"Under $5M",IF(I4049&lt;=20000000,"$5M-20M",IF(I4049&lt;=50000000,"$20M-50M",IF(I4049&lt;=100000000,"$50M-100M","$100M+"))))</f>
        <v/>
      </c>
      <c r="P4049" s="21">
        <f>IF(E4049&lt;=90,"90 or less",IF(E4049&lt;=105,"91-105",IF(E4049&lt;=120,"106-120",IF(E4049&lt;=140,"121-140","Over 140"))))</f>
        <v/>
      </c>
      <c r="Q4049" s="28">
        <f>INT(C4049/10)*10</f>
        <v/>
      </c>
    </row>
    <row r="4050">
      <c r="A4050" s="21" t="n">
        <v>4133</v>
      </c>
      <c r="B4050" s="21" t="inlineStr">
        <is>
          <t>August: Osage County</t>
        </is>
      </c>
      <c r="C4050" s="21" t="n">
        <v>2013</v>
      </c>
      <c r="D4050" s="21" t="inlineStr">
        <is>
          <t>USA</t>
        </is>
      </c>
      <c r="E4050" s="21" t="n">
        <v>121</v>
      </c>
      <c r="F4050" s="21" t="inlineStr">
        <is>
          <t>English</t>
        </is>
      </c>
      <c r="G4050" s="21" t="inlineStr">
        <is>
          <t>R</t>
        </is>
      </c>
      <c r="H4050" s="22" t="n">
        <v>37738400</v>
      </c>
      <c r="I4050" s="22" t="n">
        <v>25000000</v>
      </c>
      <c r="J4050" s="21">
        <f>IF(OR(H4050="",H4050=25529689.5),"Yes","No")</f>
        <v/>
      </c>
      <c r="K4050" s="21">
        <f>IF(AND(D4050="USA",C4050&gt;=1980,J4050="No"),"Yes","No")</f>
        <v/>
      </c>
      <c r="L4050" s="26">
        <f>IF(J4050="Yes","",H4050-I4050)</f>
        <v/>
      </c>
      <c r="M4050" s="27">
        <f>IF(OR(J4050="Yes",I4050=0),"",H4050/I4050)</f>
        <v/>
      </c>
      <c r="N4050" s="21">
        <f>IF(J4050="Yes","",IF(H4050&gt;=I4050,1,0))</f>
        <v/>
      </c>
      <c r="O4050" s="21">
        <f>IF(I4050&lt;=5000000,"Under $5M",IF(I4050&lt;=20000000,"$5M-20M",IF(I4050&lt;=50000000,"$20M-50M",IF(I4050&lt;=100000000,"$50M-100M","$100M+"))))</f>
        <v/>
      </c>
      <c r="P4050" s="21">
        <f>IF(E4050&lt;=90,"90 or less",IF(E4050&lt;=105,"91-105",IF(E4050&lt;=120,"106-120",IF(E4050&lt;=140,"121-140","Over 140"))))</f>
        <v/>
      </c>
      <c r="Q4050" s="28">
        <f>INT(C4050/10)*10</f>
        <v/>
      </c>
    </row>
    <row r="4051">
      <c r="A4051" s="21" t="n">
        <v>4134</v>
      </c>
      <c r="B4051" s="21" t="inlineStr">
        <is>
          <t>Bad Grandpa</t>
        </is>
      </c>
      <c r="C4051" s="21" t="n">
        <v>2013</v>
      </c>
      <c r="D4051" s="21" t="inlineStr">
        <is>
          <t>USA</t>
        </is>
      </c>
      <c r="E4051" s="21" t="n">
        <v>102</v>
      </c>
      <c r="F4051" s="21" t="inlineStr">
        <is>
          <t>English</t>
        </is>
      </c>
      <c r="G4051" s="21" t="inlineStr">
        <is>
          <t>R</t>
        </is>
      </c>
      <c r="H4051" s="22" t="n">
        <v>101978840</v>
      </c>
      <c r="I4051" s="22" t="n">
        <v>15000000</v>
      </c>
      <c r="J4051" s="21">
        <f>IF(OR(H4051="",H4051=25529689.5),"Yes","No")</f>
        <v/>
      </c>
      <c r="K4051" s="21">
        <f>IF(AND(D4051="USA",C4051&gt;=1980,J4051="No"),"Yes","No")</f>
        <v/>
      </c>
      <c r="L4051" s="26">
        <f>IF(J4051="Yes","",H4051-I4051)</f>
        <v/>
      </c>
      <c r="M4051" s="27">
        <f>IF(OR(J4051="Yes",I4051=0),"",H4051/I4051)</f>
        <v/>
      </c>
      <c r="N4051" s="21">
        <f>IF(J4051="Yes","",IF(H4051&gt;=I4051,1,0))</f>
        <v/>
      </c>
      <c r="O4051" s="21">
        <f>IF(I4051&lt;=5000000,"Under $5M",IF(I4051&lt;=20000000,"$5M-20M",IF(I4051&lt;=50000000,"$20M-50M",IF(I4051&lt;=100000000,"$50M-100M","$100M+"))))</f>
        <v/>
      </c>
      <c r="P4051" s="21">
        <f>IF(E4051&lt;=90,"90 or less",IF(E4051&lt;=105,"91-105",IF(E4051&lt;=120,"106-120",IF(E4051&lt;=140,"121-140","Over 140"))))</f>
        <v/>
      </c>
      <c r="Q4051" s="28">
        <f>INT(C4051/10)*10</f>
        <v/>
      </c>
    </row>
    <row r="4052">
      <c r="A4052" s="21" t="n">
        <v>4135</v>
      </c>
      <c r="B4052" s="21" t="inlineStr">
        <is>
          <t>Bad Words</t>
        </is>
      </c>
      <c r="C4052" s="21" t="n">
        <v>2013</v>
      </c>
      <c r="D4052" s="21" t="inlineStr">
        <is>
          <t>USA</t>
        </is>
      </c>
      <c r="E4052" s="21" t="n">
        <v>89</v>
      </c>
      <c r="F4052" s="21" t="inlineStr">
        <is>
          <t>English</t>
        </is>
      </c>
      <c r="G4052" s="21" t="inlineStr">
        <is>
          <t>R</t>
        </is>
      </c>
      <c r="H4052" s="22" t="n">
        <v>7764027</v>
      </c>
      <c r="I4052" s="22" t="n">
        <v>10000000</v>
      </c>
      <c r="J4052" s="21">
        <f>IF(OR(H4052="",H4052=25529689.5),"Yes","No")</f>
        <v/>
      </c>
      <c r="K4052" s="21">
        <f>IF(AND(D4052="USA",C4052&gt;=1980,J4052="No"),"Yes","No")</f>
        <v/>
      </c>
      <c r="L4052" s="26">
        <f>IF(J4052="Yes","",H4052-I4052)</f>
        <v/>
      </c>
      <c r="M4052" s="27">
        <f>IF(OR(J4052="Yes",I4052=0),"",H4052/I4052)</f>
        <v/>
      </c>
      <c r="N4052" s="21">
        <f>IF(J4052="Yes","",IF(H4052&gt;=I4052,1,0))</f>
        <v/>
      </c>
      <c r="O4052" s="21">
        <f>IF(I4052&lt;=5000000,"Under $5M",IF(I4052&lt;=20000000,"$5M-20M",IF(I4052&lt;=50000000,"$20M-50M",IF(I4052&lt;=100000000,"$50M-100M","$100M+"))))</f>
        <v/>
      </c>
      <c r="P4052" s="21">
        <f>IF(E4052&lt;=90,"90 or less",IF(E4052&lt;=105,"91-105",IF(E4052&lt;=120,"106-120",IF(E4052&lt;=140,"121-140","Over 140"))))</f>
        <v/>
      </c>
      <c r="Q4052" s="28">
        <f>INT(C4052/10)*10</f>
        <v/>
      </c>
    </row>
    <row r="4053">
      <c r="A4053" s="21" t="n">
        <v>4136</v>
      </c>
      <c r="B4053" s="21" t="inlineStr">
        <is>
          <t>Baggage Claim</t>
        </is>
      </c>
      <c r="C4053" s="21" t="n">
        <v>2013</v>
      </c>
      <c r="D4053" s="21" t="inlineStr">
        <is>
          <t>USA</t>
        </is>
      </c>
      <c r="E4053" s="21" t="n">
        <v>96</v>
      </c>
      <c r="F4053" s="21" t="inlineStr">
        <is>
          <t>English</t>
        </is>
      </c>
      <c r="G4053" s="21" t="inlineStr">
        <is>
          <t>PG-13</t>
        </is>
      </c>
      <c r="H4053" s="22" t="n">
        <v>21564616</v>
      </c>
      <c r="I4053" s="22" t="n">
        <v>8500000</v>
      </c>
      <c r="J4053" s="21">
        <f>IF(OR(H4053="",H4053=25529689.5),"Yes","No")</f>
        <v/>
      </c>
      <c r="K4053" s="21">
        <f>IF(AND(D4053="USA",C4053&gt;=1980,J4053="No"),"Yes","No")</f>
        <v/>
      </c>
      <c r="L4053" s="26">
        <f>IF(J4053="Yes","",H4053-I4053)</f>
        <v/>
      </c>
      <c r="M4053" s="27">
        <f>IF(OR(J4053="Yes",I4053=0),"",H4053/I4053)</f>
        <v/>
      </c>
      <c r="N4053" s="21">
        <f>IF(J4053="Yes","",IF(H4053&gt;=I4053,1,0))</f>
        <v/>
      </c>
      <c r="O4053" s="21">
        <f>IF(I4053&lt;=5000000,"Under $5M",IF(I4053&lt;=20000000,"$5M-20M",IF(I4053&lt;=50000000,"$20M-50M",IF(I4053&lt;=100000000,"$50M-100M","$100M+"))))</f>
        <v/>
      </c>
      <c r="P4053" s="21">
        <f>IF(E4053&lt;=90,"90 or less",IF(E4053&lt;=105,"91-105",IF(E4053&lt;=120,"106-120",IF(E4053&lt;=140,"121-140","Over 140"))))</f>
        <v/>
      </c>
      <c r="Q4053" s="28">
        <f>INT(C4053/10)*10</f>
        <v/>
      </c>
    </row>
    <row r="4054">
      <c r="A4054" s="21" t="n">
        <v>4137</v>
      </c>
      <c r="B4054" s="21" t="inlineStr">
        <is>
          <t>Banshee Chapter</t>
        </is>
      </c>
      <c r="C4054" s="21" t="n">
        <v>2013</v>
      </c>
      <c r="D4054" s="21" t="inlineStr">
        <is>
          <t>Germany</t>
        </is>
      </c>
      <c r="E4054" s="21" t="n">
        <v>87</v>
      </c>
      <c r="F4054" s="21" t="inlineStr">
        <is>
          <t>English</t>
        </is>
      </c>
      <c r="G4054" s="21" t="inlineStr">
        <is>
          <t>R</t>
        </is>
      </c>
      <c r="H4054" s="22" t="n">
        <v>25529689.5</v>
      </c>
      <c r="I4054" s="22" t="n">
        <v>950000</v>
      </c>
      <c r="J4054" s="21">
        <f>IF(OR(H4054="",H4054=25529689.5),"Yes","No")</f>
        <v/>
      </c>
      <c r="K4054" s="21">
        <f>IF(AND(D4054="USA",C4054&gt;=1980,J4054="No"),"Yes","No")</f>
        <v/>
      </c>
      <c r="L4054" s="26">
        <f>IF(J4054="Yes","",H4054-I4054)</f>
        <v/>
      </c>
      <c r="M4054" s="27">
        <f>IF(OR(J4054="Yes",I4054=0),"",H4054/I4054)</f>
        <v/>
      </c>
      <c r="N4054" s="21">
        <f>IF(J4054="Yes","",IF(H4054&gt;=I4054,1,0))</f>
        <v/>
      </c>
      <c r="O4054" s="21">
        <f>IF(I4054&lt;=5000000,"Under $5M",IF(I4054&lt;=20000000,"$5M-20M",IF(I4054&lt;=50000000,"$20M-50M",IF(I4054&lt;=100000000,"$50M-100M","$100M+"))))</f>
        <v/>
      </c>
      <c r="P4054" s="21">
        <f>IF(E4054&lt;=90,"90 or less",IF(E4054&lt;=105,"91-105",IF(E4054&lt;=120,"106-120",IF(E4054&lt;=140,"121-140","Over 140"))))</f>
        <v/>
      </c>
      <c r="Q4054" s="28">
        <f>INT(C4054/10)*10</f>
        <v/>
      </c>
    </row>
    <row r="4055">
      <c r="A4055" s="21" t="n">
        <v>4138</v>
      </c>
      <c r="B4055" s="21" t="inlineStr">
        <is>
          <t>Barfi</t>
        </is>
      </c>
      <c r="C4055" s="21" t="n">
        <v>2013</v>
      </c>
      <c r="D4055" s="21" t="inlineStr">
        <is>
          <t>India</t>
        </is>
      </c>
      <c r="E4055" s="21" t="n">
        <v>104</v>
      </c>
      <c r="F4055" s="21" t="inlineStr">
        <is>
          <t>Kannada</t>
        </is>
      </c>
      <c r="G4055" s="21" t="n"/>
      <c r="H4055" s="22" t="n">
        <v>25529689.5</v>
      </c>
      <c r="I4055" s="22" t="n">
        <v>20000000</v>
      </c>
      <c r="J4055" s="21">
        <f>IF(OR(H4055="",H4055=25529689.5),"Yes","No")</f>
        <v/>
      </c>
      <c r="K4055" s="21">
        <f>IF(AND(D4055="USA",C4055&gt;=1980,J4055="No"),"Yes","No")</f>
        <v/>
      </c>
      <c r="L4055" s="26">
        <f>IF(J4055="Yes","",H4055-I4055)</f>
        <v/>
      </c>
      <c r="M4055" s="27">
        <f>IF(OR(J4055="Yes",I4055=0),"",H4055/I4055)</f>
        <v/>
      </c>
      <c r="N4055" s="21">
        <f>IF(J4055="Yes","",IF(H4055&gt;=I4055,1,0))</f>
        <v/>
      </c>
      <c r="O4055" s="21">
        <f>IF(I4055&lt;=5000000,"Under $5M",IF(I4055&lt;=20000000,"$5M-20M",IF(I4055&lt;=50000000,"$20M-50M",IF(I4055&lt;=100000000,"$50M-100M","$100M+"))))</f>
        <v/>
      </c>
      <c r="P4055" s="21">
        <f>IF(E4055&lt;=90,"90 or less",IF(E4055&lt;=105,"91-105",IF(E4055&lt;=120,"106-120",IF(E4055&lt;=140,"121-140","Over 140"))))</f>
        <v/>
      </c>
      <c r="Q4055" s="28">
        <f>INT(C4055/10)*10</f>
        <v/>
      </c>
    </row>
    <row r="4056">
      <c r="A4056" s="21" t="n">
        <v>4139</v>
      </c>
      <c r="B4056" s="21" t="inlineStr">
        <is>
          <t>Batman: The Dark Knight Returns, Part 2</t>
        </is>
      </c>
      <c r="C4056" s="21" t="n">
        <v>2013</v>
      </c>
      <c r="D4056" s="21" t="inlineStr">
        <is>
          <t>USA</t>
        </is>
      </c>
      <c r="E4056" s="21" t="n">
        <v>148</v>
      </c>
      <c r="F4056" s="21" t="inlineStr">
        <is>
          <t>English</t>
        </is>
      </c>
      <c r="G4056" s="21" t="inlineStr">
        <is>
          <t>PG-13</t>
        </is>
      </c>
      <c r="H4056" s="22" t="n">
        <v>25529689.5</v>
      </c>
      <c r="I4056" s="22" t="n">
        <v>3500000</v>
      </c>
      <c r="J4056" s="21">
        <f>IF(OR(H4056="",H4056=25529689.5),"Yes","No")</f>
        <v/>
      </c>
      <c r="K4056" s="21">
        <f>IF(AND(D4056="USA",C4056&gt;=1980,J4056="No"),"Yes","No")</f>
        <v/>
      </c>
      <c r="L4056" s="26">
        <f>IF(J4056="Yes","",H4056-I4056)</f>
        <v/>
      </c>
      <c r="M4056" s="27">
        <f>IF(OR(J4056="Yes",I4056=0),"",H4056/I4056)</f>
        <v/>
      </c>
      <c r="N4056" s="21">
        <f>IF(J4056="Yes","",IF(H4056&gt;=I4056,1,0))</f>
        <v/>
      </c>
      <c r="O4056" s="21">
        <f>IF(I4056&lt;=5000000,"Under $5M",IF(I4056&lt;=20000000,"$5M-20M",IF(I4056&lt;=50000000,"$20M-50M",IF(I4056&lt;=100000000,"$50M-100M","$100M+"))))</f>
        <v/>
      </c>
      <c r="P4056" s="21">
        <f>IF(E4056&lt;=90,"90 or less",IF(E4056&lt;=105,"91-105",IF(E4056&lt;=120,"106-120",IF(E4056&lt;=140,"121-140","Over 140"))))</f>
        <v/>
      </c>
      <c r="Q4056" s="28">
        <f>INT(C4056/10)*10</f>
        <v/>
      </c>
    </row>
    <row r="4057">
      <c r="A4057" s="21" t="n">
        <v>4140</v>
      </c>
      <c r="B4057" s="21" t="inlineStr">
        <is>
          <t>Battle of the Year</t>
        </is>
      </c>
      <c r="C4057" s="21" t="n">
        <v>2013</v>
      </c>
      <c r="D4057" s="21" t="inlineStr">
        <is>
          <t>USA</t>
        </is>
      </c>
      <c r="E4057" s="21" t="n">
        <v>110</v>
      </c>
      <c r="F4057" s="21" t="inlineStr">
        <is>
          <t>English</t>
        </is>
      </c>
      <c r="G4057" s="21" t="inlineStr">
        <is>
          <t>PG-13</t>
        </is>
      </c>
      <c r="H4057" s="22" t="n">
        <v>8888355</v>
      </c>
      <c r="I4057" s="22" t="n">
        <v>20000000</v>
      </c>
      <c r="J4057" s="21">
        <f>IF(OR(H4057="",H4057=25529689.5),"Yes","No")</f>
        <v/>
      </c>
      <c r="K4057" s="21">
        <f>IF(AND(D4057="USA",C4057&gt;=1980,J4057="No"),"Yes","No")</f>
        <v/>
      </c>
      <c r="L4057" s="26">
        <f>IF(J4057="Yes","",H4057-I4057)</f>
        <v/>
      </c>
      <c r="M4057" s="27">
        <f>IF(OR(J4057="Yes",I4057=0),"",H4057/I4057)</f>
        <v/>
      </c>
      <c r="N4057" s="21">
        <f>IF(J4057="Yes","",IF(H4057&gt;=I4057,1,0))</f>
        <v/>
      </c>
      <c r="O4057" s="21">
        <f>IF(I4057&lt;=5000000,"Under $5M",IF(I4057&lt;=20000000,"$5M-20M",IF(I4057&lt;=50000000,"$20M-50M",IF(I4057&lt;=100000000,"$50M-100M","$100M+"))))</f>
        <v/>
      </c>
      <c r="P4057" s="21">
        <f>IF(E4057&lt;=90,"90 or less",IF(E4057&lt;=105,"91-105",IF(E4057&lt;=120,"106-120",IF(E4057&lt;=140,"121-140","Over 140"))))</f>
        <v/>
      </c>
      <c r="Q4057" s="28">
        <f>INT(C4057/10)*10</f>
        <v/>
      </c>
    </row>
    <row r="4058">
      <c r="A4058" s="21" t="n">
        <v>4141</v>
      </c>
      <c r="B4058" s="21" t="inlineStr">
        <is>
          <t>Beautiful Creatures</t>
        </is>
      </c>
      <c r="C4058" s="21" t="n">
        <v>2013</v>
      </c>
      <c r="D4058" s="21" t="inlineStr">
        <is>
          <t>USA</t>
        </is>
      </c>
      <c r="E4058" s="21" t="n">
        <v>124</v>
      </c>
      <c r="F4058" s="21" t="inlineStr">
        <is>
          <t>English</t>
        </is>
      </c>
      <c r="G4058" s="21" t="inlineStr">
        <is>
          <t>PG-13</t>
        </is>
      </c>
      <c r="H4058" s="22" t="n">
        <v>19445217</v>
      </c>
      <c r="I4058" s="22" t="n">
        <v>60000000</v>
      </c>
      <c r="J4058" s="21">
        <f>IF(OR(H4058="",H4058=25529689.5),"Yes","No")</f>
        <v/>
      </c>
      <c r="K4058" s="21">
        <f>IF(AND(D4058="USA",C4058&gt;=1980,J4058="No"),"Yes","No")</f>
        <v/>
      </c>
      <c r="L4058" s="26">
        <f>IF(J4058="Yes","",H4058-I4058)</f>
        <v/>
      </c>
      <c r="M4058" s="27">
        <f>IF(OR(J4058="Yes",I4058=0),"",H4058/I4058)</f>
        <v/>
      </c>
      <c r="N4058" s="21">
        <f>IF(J4058="Yes","",IF(H4058&gt;=I4058,1,0))</f>
        <v/>
      </c>
      <c r="O4058" s="21">
        <f>IF(I4058&lt;=5000000,"Under $5M",IF(I4058&lt;=20000000,"$5M-20M",IF(I4058&lt;=50000000,"$20M-50M",IF(I4058&lt;=100000000,"$50M-100M","$100M+"))))</f>
        <v/>
      </c>
      <c r="P4058" s="21">
        <f>IF(E4058&lt;=90,"90 or less",IF(E4058&lt;=105,"91-105",IF(E4058&lt;=120,"106-120",IF(E4058&lt;=140,"121-140","Over 140"))))</f>
        <v/>
      </c>
      <c r="Q4058" s="28">
        <f>INT(C4058/10)*10</f>
        <v/>
      </c>
    </row>
    <row r="4059">
      <c r="A4059" s="21" t="n">
        <v>4142</v>
      </c>
      <c r="B4059" s="21" t="inlineStr">
        <is>
          <t>Before Midnight</t>
        </is>
      </c>
      <c r="C4059" s="21" t="n">
        <v>2013</v>
      </c>
      <c r="D4059" s="21" t="inlineStr">
        <is>
          <t>USA</t>
        </is>
      </c>
      <c r="E4059" s="21" t="n">
        <v>109</v>
      </c>
      <c r="F4059" s="21" t="inlineStr">
        <is>
          <t>English</t>
        </is>
      </c>
      <c r="G4059" s="21" t="inlineStr">
        <is>
          <t>R</t>
        </is>
      </c>
      <c r="H4059" s="22" t="n">
        <v>8114507</v>
      </c>
      <c r="I4059" s="22" t="n">
        <v>3000000</v>
      </c>
      <c r="J4059" s="21">
        <f>IF(OR(H4059="",H4059=25529689.5),"Yes","No")</f>
        <v/>
      </c>
      <c r="K4059" s="21">
        <f>IF(AND(D4059="USA",C4059&gt;=1980,J4059="No"),"Yes","No")</f>
        <v/>
      </c>
      <c r="L4059" s="26">
        <f>IF(J4059="Yes","",H4059-I4059)</f>
        <v/>
      </c>
      <c r="M4059" s="27">
        <f>IF(OR(J4059="Yes",I4059=0),"",H4059/I4059)</f>
        <v/>
      </c>
      <c r="N4059" s="21">
        <f>IF(J4059="Yes","",IF(H4059&gt;=I4059,1,0))</f>
        <v/>
      </c>
      <c r="O4059" s="21">
        <f>IF(I4059&lt;=5000000,"Under $5M",IF(I4059&lt;=20000000,"$5M-20M",IF(I4059&lt;=50000000,"$20M-50M",IF(I4059&lt;=100000000,"$50M-100M","$100M+"))))</f>
        <v/>
      </c>
      <c r="P4059" s="21">
        <f>IF(E4059&lt;=90,"90 or less",IF(E4059&lt;=105,"91-105",IF(E4059&lt;=120,"106-120",IF(E4059&lt;=140,"121-140","Over 140"))))</f>
        <v/>
      </c>
      <c r="Q4059" s="28">
        <f>INT(C4059/10)*10</f>
        <v/>
      </c>
    </row>
    <row r="4060">
      <c r="A4060" s="21" t="n">
        <v>4143</v>
      </c>
      <c r="B4060" s="21" t="inlineStr">
        <is>
          <t>Begin Again</t>
        </is>
      </c>
      <c r="C4060" s="21" t="n">
        <v>2013</v>
      </c>
      <c r="D4060" s="21" t="inlineStr">
        <is>
          <t>USA</t>
        </is>
      </c>
      <c r="E4060" s="21" t="n">
        <v>104</v>
      </c>
      <c r="F4060" s="21" t="inlineStr">
        <is>
          <t>English</t>
        </is>
      </c>
      <c r="G4060" s="21" t="inlineStr">
        <is>
          <t>R</t>
        </is>
      </c>
      <c r="H4060" s="22" t="n">
        <v>16168741</v>
      </c>
      <c r="I4060" s="22" t="n">
        <v>8000000</v>
      </c>
      <c r="J4060" s="21">
        <f>IF(OR(H4060="",H4060=25529689.5),"Yes","No")</f>
        <v/>
      </c>
      <c r="K4060" s="21">
        <f>IF(AND(D4060="USA",C4060&gt;=1980,J4060="No"),"Yes","No")</f>
        <v/>
      </c>
      <c r="L4060" s="26">
        <f>IF(J4060="Yes","",H4060-I4060)</f>
        <v/>
      </c>
      <c r="M4060" s="27">
        <f>IF(OR(J4060="Yes",I4060=0),"",H4060/I4060)</f>
        <v/>
      </c>
      <c r="N4060" s="21">
        <f>IF(J4060="Yes","",IF(H4060&gt;=I4060,1,0))</f>
        <v/>
      </c>
      <c r="O4060" s="21">
        <f>IF(I4060&lt;=5000000,"Under $5M",IF(I4060&lt;=20000000,"$5M-20M",IF(I4060&lt;=50000000,"$20M-50M",IF(I4060&lt;=100000000,"$50M-100M","$100M+"))))</f>
        <v/>
      </c>
      <c r="P4060" s="21">
        <f>IF(E4060&lt;=90,"90 or less",IF(E4060&lt;=105,"91-105",IF(E4060&lt;=120,"106-120",IF(E4060&lt;=140,"121-140","Over 140"))))</f>
        <v/>
      </c>
      <c r="Q4060" s="28">
        <f>INT(C4060/10)*10</f>
        <v/>
      </c>
    </row>
    <row r="4061">
      <c r="A4061" s="21" t="n">
        <v>4144</v>
      </c>
      <c r="B4061" s="21" t="inlineStr">
        <is>
          <t>Bending Steel</t>
        </is>
      </c>
      <c r="C4061" s="21" t="n">
        <v>2013</v>
      </c>
      <c r="D4061" s="21" t="inlineStr">
        <is>
          <t>USA</t>
        </is>
      </c>
      <c r="E4061" s="21" t="n">
        <v>92</v>
      </c>
      <c r="F4061" s="21" t="inlineStr">
        <is>
          <t>English</t>
        </is>
      </c>
      <c r="G4061" s="21" t="n"/>
      <c r="H4061" s="22" t="n">
        <v>25529689.5</v>
      </c>
      <c r="I4061" s="22" t="n">
        <v>50000</v>
      </c>
      <c r="J4061" s="21">
        <f>IF(OR(H4061="",H4061=25529689.5),"Yes","No")</f>
        <v/>
      </c>
      <c r="K4061" s="21">
        <f>IF(AND(D4061="USA",C4061&gt;=1980,J4061="No"),"Yes","No")</f>
        <v/>
      </c>
      <c r="L4061" s="26">
        <f>IF(J4061="Yes","",H4061-I4061)</f>
        <v/>
      </c>
      <c r="M4061" s="27">
        <f>IF(OR(J4061="Yes",I4061=0),"",H4061/I4061)</f>
        <v/>
      </c>
      <c r="N4061" s="21">
        <f>IF(J4061="Yes","",IF(H4061&gt;=I4061,1,0))</f>
        <v/>
      </c>
      <c r="O4061" s="21">
        <f>IF(I4061&lt;=5000000,"Under $5M",IF(I4061&lt;=20000000,"$5M-20M",IF(I4061&lt;=50000000,"$20M-50M",IF(I4061&lt;=100000000,"$50M-100M","$100M+"))))</f>
        <v/>
      </c>
      <c r="P4061" s="21">
        <f>IF(E4061&lt;=90,"90 or less",IF(E4061&lt;=105,"91-105",IF(E4061&lt;=120,"106-120",IF(E4061&lt;=140,"121-140","Over 140"))))</f>
        <v/>
      </c>
      <c r="Q4061" s="28">
        <f>INT(C4061/10)*10</f>
        <v/>
      </c>
    </row>
    <row r="4062">
      <c r="A4062" s="21" t="n">
        <v>4145</v>
      </c>
      <c r="B4062" s="21" t="inlineStr">
        <is>
          <t>Black Nativity</t>
        </is>
      </c>
      <c r="C4062" s="21" t="n">
        <v>2013</v>
      </c>
      <c r="D4062" s="21" t="inlineStr">
        <is>
          <t>USA</t>
        </is>
      </c>
      <c r="E4062" s="21" t="n">
        <v>93</v>
      </c>
      <c r="F4062" s="21" t="inlineStr">
        <is>
          <t>English</t>
        </is>
      </c>
      <c r="G4062" s="21" t="inlineStr">
        <is>
          <t>PG</t>
        </is>
      </c>
      <c r="H4062" s="22" t="n">
        <v>7017178</v>
      </c>
      <c r="I4062" s="22" t="n">
        <v>17500000</v>
      </c>
      <c r="J4062" s="21">
        <f>IF(OR(H4062="",H4062=25529689.5),"Yes","No")</f>
        <v/>
      </c>
      <c r="K4062" s="21">
        <f>IF(AND(D4062="USA",C4062&gt;=1980,J4062="No"),"Yes","No")</f>
        <v/>
      </c>
      <c r="L4062" s="26">
        <f>IF(J4062="Yes","",H4062-I4062)</f>
        <v/>
      </c>
      <c r="M4062" s="27">
        <f>IF(OR(J4062="Yes",I4062=0),"",H4062/I4062)</f>
        <v/>
      </c>
      <c r="N4062" s="21">
        <f>IF(J4062="Yes","",IF(H4062&gt;=I4062,1,0))</f>
        <v/>
      </c>
      <c r="O4062" s="21">
        <f>IF(I4062&lt;=5000000,"Under $5M",IF(I4062&lt;=20000000,"$5M-20M",IF(I4062&lt;=50000000,"$20M-50M",IF(I4062&lt;=100000000,"$50M-100M","$100M+"))))</f>
        <v/>
      </c>
      <c r="P4062" s="21">
        <f>IF(E4062&lt;=90,"90 or less",IF(E4062&lt;=105,"91-105",IF(E4062&lt;=120,"106-120",IF(E4062&lt;=140,"121-140","Over 140"))))</f>
        <v/>
      </c>
      <c r="Q4062" s="28">
        <f>INT(C4062/10)*10</f>
        <v/>
      </c>
    </row>
    <row r="4063">
      <c r="A4063" s="21" t="n">
        <v>4146</v>
      </c>
      <c r="B4063" s="21" t="inlineStr">
        <is>
          <t>Blood Ties</t>
        </is>
      </c>
      <c r="C4063" s="21" t="n">
        <v>2013</v>
      </c>
      <c r="D4063" s="21" t="inlineStr">
        <is>
          <t>France</t>
        </is>
      </c>
      <c r="E4063" s="21" t="n">
        <v>144</v>
      </c>
      <c r="F4063" s="21" t="inlineStr">
        <is>
          <t>English</t>
        </is>
      </c>
      <c r="G4063" s="21" t="inlineStr">
        <is>
          <t>R</t>
        </is>
      </c>
      <c r="H4063" s="22" t="n">
        <v>41229</v>
      </c>
      <c r="I4063" s="22" t="n">
        <v>25500000</v>
      </c>
      <c r="J4063" s="21">
        <f>IF(OR(H4063="",H4063=25529689.5),"Yes","No")</f>
        <v/>
      </c>
      <c r="K4063" s="21">
        <f>IF(AND(D4063="USA",C4063&gt;=1980,J4063="No"),"Yes","No")</f>
        <v/>
      </c>
      <c r="L4063" s="26">
        <f>IF(J4063="Yes","",H4063-I4063)</f>
        <v/>
      </c>
      <c r="M4063" s="27">
        <f>IF(OR(J4063="Yes",I4063=0),"",H4063/I4063)</f>
        <v/>
      </c>
      <c r="N4063" s="21">
        <f>IF(J4063="Yes","",IF(H4063&gt;=I4063,1,0))</f>
        <v/>
      </c>
      <c r="O4063" s="21">
        <f>IF(I4063&lt;=5000000,"Under $5M",IF(I4063&lt;=20000000,"$5M-20M",IF(I4063&lt;=50000000,"$20M-50M",IF(I4063&lt;=100000000,"$50M-100M","$100M+"))))</f>
        <v/>
      </c>
      <c r="P4063" s="21">
        <f>IF(E4063&lt;=90,"90 or less",IF(E4063&lt;=105,"91-105",IF(E4063&lt;=120,"106-120",IF(E4063&lt;=140,"121-140","Over 140"))))</f>
        <v/>
      </c>
      <c r="Q4063" s="28">
        <f>INT(C4063/10)*10</f>
        <v/>
      </c>
    </row>
    <row r="4064">
      <c r="A4064" s="21" t="n">
        <v>4147</v>
      </c>
      <c r="B4064" s="21" t="inlineStr">
        <is>
          <t>Blue Jasmine</t>
        </is>
      </c>
      <c r="C4064" s="21" t="n">
        <v>2013</v>
      </c>
      <c r="D4064" s="21" t="inlineStr">
        <is>
          <t>USA</t>
        </is>
      </c>
      <c r="E4064" s="21" t="n">
        <v>98</v>
      </c>
      <c r="F4064" s="21" t="inlineStr">
        <is>
          <t>English</t>
        </is>
      </c>
      <c r="G4064" s="21" t="inlineStr">
        <is>
          <t>PG-13</t>
        </is>
      </c>
      <c r="H4064" s="22" t="n">
        <v>33404871</v>
      </c>
      <c r="I4064" s="22" t="n">
        <v>18000000</v>
      </c>
      <c r="J4064" s="21">
        <f>IF(OR(H4064="",H4064=25529689.5),"Yes","No")</f>
        <v/>
      </c>
      <c r="K4064" s="21">
        <f>IF(AND(D4064="USA",C4064&gt;=1980,J4064="No"),"Yes","No")</f>
        <v/>
      </c>
      <c r="L4064" s="26">
        <f>IF(J4064="Yes","",H4064-I4064)</f>
        <v/>
      </c>
      <c r="M4064" s="27">
        <f>IF(OR(J4064="Yes",I4064=0),"",H4064/I4064)</f>
        <v/>
      </c>
      <c r="N4064" s="21">
        <f>IF(J4064="Yes","",IF(H4064&gt;=I4064,1,0))</f>
        <v/>
      </c>
      <c r="O4064" s="21">
        <f>IF(I4064&lt;=5000000,"Under $5M",IF(I4064&lt;=20000000,"$5M-20M",IF(I4064&lt;=50000000,"$20M-50M",IF(I4064&lt;=100000000,"$50M-100M","$100M+"))))</f>
        <v/>
      </c>
      <c r="P4064" s="21">
        <f>IF(E4064&lt;=90,"90 or less",IF(E4064&lt;=105,"91-105",IF(E4064&lt;=120,"106-120",IF(E4064&lt;=140,"121-140","Over 140"))))</f>
        <v/>
      </c>
      <c r="Q4064" s="28">
        <f>INT(C4064/10)*10</f>
        <v/>
      </c>
    </row>
    <row r="4065">
      <c r="A4065" s="21" t="n">
        <v>4148</v>
      </c>
      <c r="B4065" s="21" t="inlineStr">
        <is>
          <t>Blue Ruin</t>
        </is>
      </c>
      <c r="C4065" s="21" t="n">
        <v>2013</v>
      </c>
      <c r="D4065" s="21" t="inlineStr">
        <is>
          <t>USA</t>
        </is>
      </c>
      <c r="E4065" s="21" t="n">
        <v>90</v>
      </c>
      <c r="F4065" s="21" t="inlineStr">
        <is>
          <t>English</t>
        </is>
      </c>
      <c r="G4065" s="21" t="inlineStr">
        <is>
          <t>R</t>
        </is>
      </c>
      <c r="H4065" s="22" t="n">
        <v>258113</v>
      </c>
      <c r="I4065" s="22" t="n">
        <v>1066167</v>
      </c>
      <c r="J4065" s="21">
        <f>IF(OR(H4065="",H4065=25529689.5),"Yes","No")</f>
        <v/>
      </c>
      <c r="K4065" s="21">
        <f>IF(AND(D4065="USA",C4065&gt;=1980,J4065="No"),"Yes","No")</f>
        <v/>
      </c>
      <c r="L4065" s="26">
        <f>IF(J4065="Yes","",H4065-I4065)</f>
        <v/>
      </c>
      <c r="M4065" s="27">
        <f>IF(OR(J4065="Yes",I4065=0),"",H4065/I4065)</f>
        <v/>
      </c>
      <c r="N4065" s="21">
        <f>IF(J4065="Yes","",IF(H4065&gt;=I4065,1,0))</f>
        <v/>
      </c>
      <c r="O4065" s="21">
        <f>IF(I4065&lt;=5000000,"Under $5M",IF(I4065&lt;=20000000,"$5M-20M",IF(I4065&lt;=50000000,"$20M-50M",IF(I4065&lt;=100000000,"$50M-100M","$100M+"))))</f>
        <v/>
      </c>
      <c r="P4065" s="21">
        <f>IF(E4065&lt;=90,"90 or less",IF(E4065&lt;=105,"91-105",IF(E4065&lt;=120,"106-120",IF(E4065&lt;=140,"121-140","Over 140"))))</f>
        <v/>
      </c>
      <c r="Q4065" s="28">
        <f>INT(C4065/10)*10</f>
        <v/>
      </c>
    </row>
    <row r="4066">
      <c r="A4066" s="21" t="n">
        <v>4149</v>
      </c>
      <c r="B4066" s="21" t="inlineStr">
        <is>
          <t>Broken City</t>
        </is>
      </c>
      <c r="C4066" s="21" t="n">
        <v>2013</v>
      </c>
      <c r="D4066" s="21" t="inlineStr">
        <is>
          <t>USA</t>
        </is>
      </c>
      <c r="E4066" s="21" t="n">
        <v>109</v>
      </c>
      <c r="F4066" s="21" t="inlineStr">
        <is>
          <t>English</t>
        </is>
      </c>
      <c r="G4066" s="21" t="inlineStr">
        <is>
          <t>R</t>
        </is>
      </c>
      <c r="H4066" s="22" t="n">
        <v>19692608</v>
      </c>
      <c r="I4066" s="22" t="n">
        <v>35000000</v>
      </c>
      <c r="J4066" s="21">
        <f>IF(OR(H4066="",H4066=25529689.5),"Yes","No")</f>
        <v/>
      </c>
      <c r="K4066" s="21">
        <f>IF(AND(D4066="USA",C4066&gt;=1980,J4066="No"),"Yes","No")</f>
        <v/>
      </c>
      <c r="L4066" s="26">
        <f>IF(J4066="Yes","",H4066-I4066)</f>
        <v/>
      </c>
      <c r="M4066" s="27">
        <f>IF(OR(J4066="Yes",I4066=0),"",H4066/I4066)</f>
        <v/>
      </c>
      <c r="N4066" s="21">
        <f>IF(J4066="Yes","",IF(H4066&gt;=I4066,1,0))</f>
        <v/>
      </c>
      <c r="O4066" s="21">
        <f>IF(I4066&lt;=5000000,"Under $5M",IF(I4066&lt;=20000000,"$5M-20M",IF(I4066&lt;=50000000,"$20M-50M",IF(I4066&lt;=100000000,"$50M-100M","$100M+"))))</f>
        <v/>
      </c>
      <c r="P4066" s="21">
        <f>IF(E4066&lt;=90,"90 or less",IF(E4066&lt;=105,"91-105",IF(E4066&lt;=120,"106-120",IF(E4066&lt;=140,"121-140","Over 140"))))</f>
        <v/>
      </c>
      <c r="Q4066" s="28">
        <f>INT(C4066/10)*10</f>
        <v/>
      </c>
    </row>
    <row r="4067">
      <c r="A4067" s="21" t="n">
        <v>4150</v>
      </c>
      <c r="B4067" s="21" t="inlineStr">
        <is>
          <t>Buen DÃ­a, RamÃ³n</t>
        </is>
      </c>
      <c r="C4067" s="21" t="n">
        <v>2013</v>
      </c>
      <c r="D4067" s="21" t="inlineStr">
        <is>
          <t>Mexico</t>
        </is>
      </c>
      <c r="E4067" s="21" t="n">
        <v>120</v>
      </c>
      <c r="F4067" s="21" t="inlineStr">
        <is>
          <t>German</t>
        </is>
      </c>
      <c r="G4067" s="21" t="inlineStr">
        <is>
          <t>PG-13</t>
        </is>
      </c>
      <c r="H4067" s="22" t="n">
        <v>100412</v>
      </c>
      <c r="I4067" s="22" t="n">
        <v>4000000</v>
      </c>
      <c r="J4067" s="21">
        <f>IF(OR(H4067="",H4067=25529689.5),"Yes","No")</f>
        <v/>
      </c>
      <c r="K4067" s="21">
        <f>IF(AND(D4067="USA",C4067&gt;=1980,J4067="No"),"Yes","No")</f>
        <v/>
      </c>
      <c r="L4067" s="26">
        <f>IF(J4067="Yes","",H4067-I4067)</f>
        <v/>
      </c>
      <c r="M4067" s="27">
        <f>IF(OR(J4067="Yes",I4067=0),"",H4067/I4067)</f>
        <v/>
      </c>
      <c r="N4067" s="21">
        <f>IF(J4067="Yes","",IF(H4067&gt;=I4067,1,0))</f>
        <v/>
      </c>
      <c r="O4067" s="21">
        <f>IF(I4067&lt;=5000000,"Under $5M",IF(I4067&lt;=20000000,"$5M-20M",IF(I4067&lt;=50000000,"$20M-50M",IF(I4067&lt;=100000000,"$50M-100M","$100M+"))))</f>
        <v/>
      </c>
      <c r="P4067" s="21">
        <f>IF(E4067&lt;=90,"90 or less",IF(E4067&lt;=105,"91-105",IF(E4067&lt;=120,"106-120",IF(E4067&lt;=140,"121-140","Over 140"))))</f>
        <v/>
      </c>
      <c r="Q4067" s="28">
        <f>INT(C4067/10)*10</f>
        <v/>
      </c>
    </row>
    <row r="4068">
      <c r="A4068" s="21" t="n">
        <v>4151</v>
      </c>
      <c r="B4068" s="21" t="inlineStr">
        <is>
          <t>Captain Phillips</t>
        </is>
      </c>
      <c r="C4068" s="21" t="n">
        <v>2013</v>
      </c>
      <c r="D4068" s="21" t="inlineStr">
        <is>
          <t>USA</t>
        </is>
      </c>
      <c r="E4068" s="21" t="n">
        <v>134</v>
      </c>
      <c r="F4068" s="21" t="inlineStr">
        <is>
          <t>English</t>
        </is>
      </c>
      <c r="G4068" s="21" t="inlineStr">
        <is>
          <t>PG-13</t>
        </is>
      </c>
      <c r="H4068" s="22" t="n">
        <v>107100855</v>
      </c>
      <c r="I4068" s="22" t="n">
        <v>55000000</v>
      </c>
      <c r="J4068" s="21">
        <f>IF(OR(H4068="",H4068=25529689.5),"Yes","No")</f>
        <v/>
      </c>
      <c r="K4068" s="21">
        <f>IF(AND(D4068="USA",C4068&gt;=1980,J4068="No"),"Yes","No")</f>
        <v/>
      </c>
      <c r="L4068" s="26">
        <f>IF(J4068="Yes","",H4068-I4068)</f>
        <v/>
      </c>
      <c r="M4068" s="27">
        <f>IF(OR(J4068="Yes",I4068=0),"",H4068/I4068)</f>
        <v/>
      </c>
      <c r="N4068" s="21">
        <f>IF(J4068="Yes","",IF(H4068&gt;=I4068,1,0))</f>
        <v/>
      </c>
      <c r="O4068" s="21">
        <f>IF(I4068&lt;=5000000,"Under $5M",IF(I4068&lt;=20000000,"$5M-20M",IF(I4068&lt;=50000000,"$20M-50M",IF(I4068&lt;=100000000,"$50M-100M","$100M+"))))</f>
        <v/>
      </c>
      <c r="P4068" s="21">
        <f>IF(E4068&lt;=90,"90 or less",IF(E4068&lt;=105,"91-105",IF(E4068&lt;=120,"106-120",IF(E4068&lt;=140,"121-140","Over 140"))))</f>
        <v/>
      </c>
      <c r="Q4068" s="28">
        <f>INT(C4068/10)*10</f>
        <v/>
      </c>
    </row>
    <row r="4069">
      <c r="A4069" s="21" t="n">
        <v>4152</v>
      </c>
      <c r="B4069" s="21" t="inlineStr">
        <is>
          <t>Carrie</t>
        </is>
      </c>
      <c r="C4069" s="21" t="n">
        <v>2013</v>
      </c>
      <c r="D4069" s="21" t="inlineStr">
        <is>
          <t>USA</t>
        </is>
      </c>
      <c r="E4069" s="21" t="n">
        <v>100</v>
      </c>
      <c r="F4069" s="21" t="inlineStr">
        <is>
          <t>English</t>
        </is>
      </c>
      <c r="G4069" s="21" t="inlineStr">
        <is>
          <t>R</t>
        </is>
      </c>
      <c r="H4069" s="22" t="n">
        <v>35266619</v>
      </c>
      <c r="I4069" s="22" t="n">
        <v>30000000</v>
      </c>
      <c r="J4069" s="21">
        <f>IF(OR(H4069="",H4069=25529689.5),"Yes","No")</f>
        <v/>
      </c>
      <c r="K4069" s="21">
        <f>IF(AND(D4069="USA",C4069&gt;=1980,J4069="No"),"Yes","No")</f>
        <v/>
      </c>
      <c r="L4069" s="26">
        <f>IF(J4069="Yes","",H4069-I4069)</f>
        <v/>
      </c>
      <c r="M4069" s="27">
        <f>IF(OR(J4069="Yes",I4069=0),"",H4069/I4069)</f>
        <v/>
      </c>
      <c r="N4069" s="21">
        <f>IF(J4069="Yes","",IF(H4069&gt;=I4069,1,0))</f>
        <v/>
      </c>
      <c r="O4069" s="21">
        <f>IF(I4069&lt;=5000000,"Under $5M",IF(I4069&lt;=20000000,"$5M-20M",IF(I4069&lt;=50000000,"$20M-50M",IF(I4069&lt;=100000000,"$50M-100M","$100M+"))))</f>
        <v/>
      </c>
      <c r="P4069" s="21">
        <f>IF(E4069&lt;=90,"90 or less",IF(E4069&lt;=105,"91-105",IF(E4069&lt;=120,"106-120",IF(E4069&lt;=140,"121-140","Over 140"))))</f>
        <v/>
      </c>
      <c r="Q4069" s="28">
        <f>INT(C4069/10)*10</f>
        <v/>
      </c>
    </row>
    <row r="4070">
      <c r="A4070" s="21" t="n">
        <v>4154</v>
      </c>
      <c r="B4070" s="21" t="inlineStr">
        <is>
          <t>Cheap Thrills</t>
        </is>
      </c>
      <c r="C4070" s="21" t="n">
        <v>2013</v>
      </c>
      <c r="D4070" s="21" t="inlineStr">
        <is>
          <t>USA</t>
        </is>
      </c>
      <c r="E4070" s="21" t="n">
        <v>88</v>
      </c>
      <c r="F4070" s="21" t="inlineStr">
        <is>
          <t>English</t>
        </is>
      </c>
      <c r="G4070" s="21" t="inlineStr">
        <is>
          <t>Not Rated</t>
        </is>
      </c>
      <c r="H4070" s="22" t="n">
        <v>59379</v>
      </c>
      <c r="I4070" s="22" t="n">
        <v>200000</v>
      </c>
      <c r="J4070" s="21">
        <f>IF(OR(H4070="",H4070=25529689.5),"Yes","No")</f>
        <v/>
      </c>
      <c r="K4070" s="21">
        <f>IF(AND(D4070="USA",C4070&gt;=1980,J4070="No"),"Yes","No")</f>
        <v/>
      </c>
      <c r="L4070" s="26">
        <f>IF(J4070="Yes","",H4070-I4070)</f>
        <v/>
      </c>
      <c r="M4070" s="27">
        <f>IF(OR(J4070="Yes",I4070=0),"",H4070/I4070)</f>
        <v/>
      </c>
      <c r="N4070" s="21">
        <f>IF(J4070="Yes","",IF(H4070&gt;=I4070,1,0))</f>
        <v/>
      </c>
      <c r="O4070" s="21">
        <f>IF(I4070&lt;=5000000,"Under $5M",IF(I4070&lt;=20000000,"$5M-20M",IF(I4070&lt;=50000000,"$20M-50M",IF(I4070&lt;=100000000,"$50M-100M","$100M+"))))</f>
        <v/>
      </c>
      <c r="P4070" s="21">
        <f>IF(E4070&lt;=90,"90 or less",IF(E4070&lt;=105,"91-105",IF(E4070&lt;=120,"106-120",IF(E4070&lt;=140,"121-140","Over 140"))))</f>
        <v/>
      </c>
      <c r="Q4070" s="28">
        <f>INT(C4070/10)*10</f>
        <v/>
      </c>
    </row>
    <row r="4071">
      <c r="A4071" s="21" t="n">
        <v>4155</v>
      </c>
      <c r="B4071" s="21" t="inlineStr">
        <is>
          <t>Cinco de Mayo, La Batalla</t>
        </is>
      </c>
      <c r="C4071" s="21" t="n">
        <v>2013</v>
      </c>
      <c r="D4071" s="21" t="inlineStr">
        <is>
          <t>Mexico</t>
        </is>
      </c>
      <c r="E4071" s="21" t="n">
        <v>125</v>
      </c>
      <c r="F4071" s="21" t="inlineStr">
        <is>
          <t>Spanish</t>
        </is>
      </c>
      <c r="G4071" s="21" t="inlineStr">
        <is>
          <t>R</t>
        </is>
      </c>
      <c r="H4071" s="22" t="n">
        <v>169379</v>
      </c>
      <c r="I4071" s="22" t="n">
        <v>10000000</v>
      </c>
      <c r="J4071" s="21">
        <f>IF(OR(H4071="",H4071=25529689.5),"Yes","No")</f>
        <v/>
      </c>
      <c r="K4071" s="21">
        <f>IF(AND(D4071="USA",C4071&gt;=1980,J4071="No"),"Yes","No")</f>
        <v/>
      </c>
      <c r="L4071" s="26">
        <f>IF(J4071="Yes","",H4071-I4071)</f>
        <v/>
      </c>
      <c r="M4071" s="27">
        <f>IF(OR(J4071="Yes",I4071=0),"",H4071/I4071)</f>
        <v/>
      </c>
      <c r="N4071" s="21">
        <f>IF(J4071="Yes","",IF(H4071&gt;=I4071,1,0))</f>
        <v/>
      </c>
      <c r="O4071" s="21">
        <f>IF(I4071&lt;=5000000,"Under $5M",IF(I4071&lt;=20000000,"$5M-20M",IF(I4071&lt;=50000000,"$20M-50M",IF(I4071&lt;=100000000,"$50M-100M","$100M+"))))</f>
        <v/>
      </c>
      <c r="P4071" s="21">
        <f>IF(E4071&lt;=90,"90 or less",IF(E4071&lt;=105,"91-105",IF(E4071&lt;=120,"106-120",IF(E4071&lt;=140,"121-140","Over 140"))))</f>
        <v/>
      </c>
      <c r="Q4071" s="28">
        <f>INT(C4071/10)*10</f>
        <v/>
      </c>
    </row>
    <row r="4072">
      <c r="A4072" s="21" t="n">
        <v>4156</v>
      </c>
      <c r="B4072" s="21" t="inlineStr">
        <is>
          <t>Cloudy with a Chance of Meatballs 2</t>
        </is>
      </c>
      <c r="C4072" s="21" t="n">
        <v>2013</v>
      </c>
      <c r="D4072" s="21" t="inlineStr">
        <is>
          <t>USA</t>
        </is>
      </c>
      <c r="E4072" s="21" t="n">
        <v>95</v>
      </c>
      <c r="F4072" s="21" t="inlineStr">
        <is>
          <t>English</t>
        </is>
      </c>
      <c r="G4072" s="21" t="inlineStr">
        <is>
          <t>PG</t>
        </is>
      </c>
      <c r="H4072" s="22" t="n">
        <v>119793567</v>
      </c>
      <c r="I4072" s="22" t="n">
        <v>78000000</v>
      </c>
      <c r="J4072" s="21">
        <f>IF(OR(H4072="",H4072=25529689.5),"Yes","No")</f>
        <v/>
      </c>
      <c r="K4072" s="21">
        <f>IF(AND(D4072="USA",C4072&gt;=1980,J4072="No"),"Yes","No")</f>
        <v/>
      </c>
      <c r="L4072" s="26">
        <f>IF(J4072="Yes","",H4072-I4072)</f>
        <v/>
      </c>
      <c r="M4072" s="27">
        <f>IF(OR(J4072="Yes",I4072=0),"",H4072/I4072)</f>
        <v/>
      </c>
      <c r="N4072" s="21">
        <f>IF(J4072="Yes","",IF(H4072&gt;=I4072,1,0))</f>
        <v/>
      </c>
      <c r="O4072" s="21">
        <f>IF(I4072&lt;=5000000,"Under $5M",IF(I4072&lt;=20000000,"$5M-20M",IF(I4072&lt;=50000000,"$20M-50M",IF(I4072&lt;=100000000,"$50M-100M","$100M+"))))</f>
        <v/>
      </c>
      <c r="P4072" s="21">
        <f>IF(E4072&lt;=90,"90 or less",IF(E4072&lt;=105,"91-105",IF(E4072&lt;=120,"106-120",IF(E4072&lt;=140,"121-140","Over 140"))))</f>
        <v/>
      </c>
      <c r="Q4072" s="28">
        <f>INT(C4072/10)*10</f>
        <v/>
      </c>
    </row>
    <row r="4073">
      <c r="A4073" s="21" t="n">
        <v>4157</v>
      </c>
      <c r="B4073" s="21" t="inlineStr">
        <is>
          <t>Coffee Town</t>
        </is>
      </c>
      <c r="C4073" s="21" t="n">
        <v>2013</v>
      </c>
      <c r="D4073" s="21" t="inlineStr">
        <is>
          <t>USA</t>
        </is>
      </c>
      <c r="E4073" s="21" t="n">
        <v>87</v>
      </c>
      <c r="F4073" s="21" t="inlineStr">
        <is>
          <t>English</t>
        </is>
      </c>
      <c r="G4073" s="21" t="n"/>
      <c r="H4073" s="22" t="n">
        <v>25529689.5</v>
      </c>
      <c r="I4073" s="22" t="n">
        <v>2000000</v>
      </c>
      <c r="J4073" s="21">
        <f>IF(OR(H4073="",H4073=25529689.5),"Yes","No")</f>
        <v/>
      </c>
      <c r="K4073" s="21">
        <f>IF(AND(D4073="USA",C4073&gt;=1980,J4073="No"),"Yes","No")</f>
        <v/>
      </c>
      <c r="L4073" s="26">
        <f>IF(J4073="Yes","",H4073-I4073)</f>
        <v/>
      </c>
      <c r="M4073" s="27">
        <f>IF(OR(J4073="Yes",I4073=0),"",H4073/I4073)</f>
        <v/>
      </c>
      <c r="N4073" s="21">
        <f>IF(J4073="Yes","",IF(H4073&gt;=I4073,1,0))</f>
        <v/>
      </c>
      <c r="O4073" s="21">
        <f>IF(I4073&lt;=5000000,"Under $5M",IF(I4073&lt;=20000000,"$5M-20M",IF(I4073&lt;=50000000,"$20M-50M",IF(I4073&lt;=100000000,"$50M-100M","$100M+"))))</f>
        <v/>
      </c>
      <c r="P4073" s="21">
        <f>IF(E4073&lt;=90,"90 or less",IF(E4073&lt;=105,"91-105",IF(E4073&lt;=120,"106-120",IF(E4073&lt;=140,"121-140","Over 140"))))</f>
        <v/>
      </c>
      <c r="Q4073" s="28">
        <f>INT(C4073/10)*10</f>
        <v/>
      </c>
    </row>
    <row r="4074">
      <c r="A4074" s="21" t="n">
        <v>4158</v>
      </c>
      <c r="B4074" s="21" t="inlineStr">
        <is>
          <t>Dallas Buyers Club</t>
        </is>
      </c>
      <c r="C4074" s="21" t="n">
        <v>2013</v>
      </c>
      <c r="D4074" s="21" t="inlineStr">
        <is>
          <t>USA</t>
        </is>
      </c>
      <c r="E4074" s="21" t="n">
        <v>117</v>
      </c>
      <c r="F4074" s="21" t="inlineStr">
        <is>
          <t>English</t>
        </is>
      </c>
      <c r="G4074" s="21" t="inlineStr">
        <is>
          <t>R</t>
        </is>
      </c>
      <c r="H4074" s="22" t="n">
        <v>27296514</v>
      </c>
      <c r="I4074" s="22" t="n">
        <v>5000000</v>
      </c>
      <c r="J4074" s="21">
        <f>IF(OR(H4074="",H4074=25529689.5),"Yes","No")</f>
        <v/>
      </c>
      <c r="K4074" s="21">
        <f>IF(AND(D4074="USA",C4074&gt;=1980,J4074="No"),"Yes","No")</f>
        <v/>
      </c>
      <c r="L4074" s="26">
        <f>IF(J4074="Yes","",H4074-I4074)</f>
        <v/>
      </c>
      <c r="M4074" s="27">
        <f>IF(OR(J4074="Yes",I4074=0),"",H4074/I4074)</f>
        <v/>
      </c>
      <c r="N4074" s="21">
        <f>IF(J4074="Yes","",IF(H4074&gt;=I4074,1,0))</f>
        <v/>
      </c>
      <c r="O4074" s="21">
        <f>IF(I4074&lt;=5000000,"Under $5M",IF(I4074&lt;=20000000,"$5M-20M",IF(I4074&lt;=50000000,"$20M-50M",IF(I4074&lt;=100000000,"$50M-100M","$100M+"))))</f>
        <v/>
      </c>
      <c r="P4074" s="21">
        <f>IF(E4074&lt;=90,"90 or less",IF(E4074&lt;=105,"91-105",IF(E4074&lt;=120,"106-120",IF(E4074&lt;=140,"121-140","Over 140"))))</f>
        <v/>
      </c>
      <c r="Q4074" s="28">
        <f>INT(C4074/10)*10</f>
        <v/>
      </c>
    </row>
    <row r="4075">
      <c r="A4075" s="21" t="n">
        <v>4159</v>
      </c>
      <c r="B4075" s="21" t="inlineStr">
        <is>
          <t>Dead Man Down</t>
        </is>
      </c>
      <c r="C4075" s="21" t="n">
        <v>2013</v>
      </c>
      <c r="D4075" s="21" t="inlineStr">
        <is>
          <t>USA</t>
        </is>
      </c>
      <c r="E4075" s="21" t="n">
        <v>118</v>
      </c>
      <c r="F4075" s="21" t="inlineStr">
        <is>
          <t>English</t>
        </is>
      </c>
      <c r="G4075" s="21" t="inlineStr">
        <is>
          <t>R</t>
        </is>
      </c>
      <c r="H4075" s="22" t="n">
        <v>10880926</v>
      </c>
      <c r="I4075" s="22" t="n">
        <v>30000000</v>
      </c>
      <c r="J4075" s="21">
        <f>IF(OR(H4075="",H4075=25529689.5),"Yes","No")</f>
        <v/>
      </c>
      <c r="K4075" s="21">
        <f>IF(AND(D4075="USA",C4075&gt;=1980,J4075="No"),"Yes","No")</f>
        <v/>
      </c>
      <c r="L4075" s="26">
        <f>IF(J4075="Yes","",H4075-I4075)</f>
        <v/>
      </c>
      <c r="M4075" s="27">
        <f>IF(OR(J4075="Yes",I4075=0),"",H4075/I4075)</f>
        <v/>
      </c>
      <c r="N4075" s="21">
        <f>IF(J4075="Yes","",IF(H4075&gt;=I4075,1,0))</f>
        <v/>
      </c>
      <c r="O4075" s="21">
        <f>IF(I4075&lt;=5000000,"Under $5M",IF(I4075&lt;=20000000,"$5M-20M",IF(I4075&lt;=50000000,"$20M-50M",IF(I4075&lt;=100000000,"$50M-100M","$100M+"))))</f>
        <v/>
      </c>
      <c r="P4075" s="21">
        <f>IF(E4075&lt;=90,"90 or less",IF(E4075&lt;=105,"91-105",IF(E4075&lt;=120,"106-120",IF(E4075&lt;=140,"121-140","Over 140"))))</f>
        <v/>
      </c>
      <c r="Q4075" s="28">
        <f>INT(C4075/10)*10</f>
        <v/>
      </c>
    </row>
    <row r="4076">
      <c r="A4076" s="21" t="n">
        <v>4160</v>
      </c>
      <c r="B4076" s="21" t="inlineStr">
        <is>
          <t>Delivery Man</t>
        </is>
      </c>
      <c r="C4076" s="21" t="n">
        <v>2013</v>
      </c>
      <c r="D4076" s="21" t="inlineStr">
        <is>
          <t>USA</t>
        </is>
      </c>
      <c r="E4076" s="21" t="n">
        <v>105</v>
      </c>
      <c r="F4076" s="21" t="inlineStr">
        <is>
          <t>English</t>
        </is>
      </c>
      <c r="G4076" s="21" t="inlineStr">
        <is>
          <t>PG-13</t>
        </is>
      </c>
      <c r="H4076" s="22" t="n">
        <v>30659817</v>
      </c>
      <c r="I4076" s="22" t="n">
        <v>26000000</v>
      </c>
      <c r="J4076" s="21">
        <f>IF(OR(H4076="",H4076=25529689.5),"Yes","No")</f>
        <v/>
      </c>
      <c r="K4076" s="21">
        <f>IF(AND(D4076="USA",C4076&gt;=1980,J4076="No"),"Yes","No")</f>
        <v/>
      </c>
      <c r="L4076" s="26">
        <f>IF(J4076="Yes","",H4076-I4076)</f>
        <v/>
      </c>
      <c r="M4076" s="27">
        <f>IF(OR(J4076="Yes",I4076=0),"",H4076/I4076)</f>
        <v/>
      </c>
      <c r="N4076" s="21">
        <f>IF(J4076="Yes","",IF(H4076&gt;=I4076,1,0))</f>
        <v/>
      </c>
      <c r="O4076" s="21">
        <f>IF(I4076&lt;=5000000,"Under $5M",IF(I4076&lt;=20000000,"$5M-20M",IF(I4076&lt;=50000000,"$20M-50M",IF(I4076&lt;=100000000,"$50M-100M","$100M+"))))</f>
        <v/>
      </c>
      <c r="P4076" s="21">
        <f>IF(E4076&lt;=90,"90 or less",IF(E4076&lt;=105,"91-105",IF(E4076&lt;=120,"106-120",IF(E4076&lt;=140,"121-140","Over 140"))))</f>
        <v/>
      </c>
      <c r="Q4076" s="28">
        <f>INT(C4076/10)*10</f>
        <v/>
      </c>
    </row>
    <row r="4077">
      <c r="A4077" s="21" t="n">
        <v>4161</v>
      </c>
      <c r="B4077" s="21" t="inlineStr">
        <is>
          <t>Despicable Me 2</t>
        </is>
      </c>
      <c r="C4077" s="21" t="n">
        <v>2013</v>
      </c>
      <c r="D4077" s="21" t="inlineStr">
        <is>
          <t>USA</t>
        </is>
      </c>
      <c r="E4077" s="21" t="n">
        <v>98</v>
      </c>
      <c r="F4077" s="21" t="inlineStr">
        <is>
          <t>English</t>
        </is>
      </c>
      <c r="G4077" s="21" t="inlineStr">
        <is>
          <t>PG</t>
        </is>
      </c>
      <c r="H4077" s="22" t="n">
        <v>368049635</v>
      </c>
      <c r="I4077" s="22" t="n">
        <v>76000000</v>
      </c>
      <c r="J4077" s="21">
        <f>IF(OR(H4077="",H4077=25529689.5),"Yes","No")</f>
        <v/>
      </c>
      <c r="K4077" s="21">
        <f>IF(AND(D4077="USA",C4077&gt;=1980,J4077="No"),"Yes","No")</f>
        <v/>
      </c>
      <c r="L4077" s="26">
        <f>IF(J4077="Yes","",H4077-I4077)</f>
        <v/>
      </c>
      <c r="M4077" s="27">
        <f>IF(OR(J4077="Yes",I4077=0),"",H4077/I4077)</f>
        <v/>
      </c>
      <c r="N4077" s="21">
        <f>IF(J4077="Yes","",IF(H4077&gt;=I4077,1,0))</f>
        <v/>
      </c>
      <c r="O4077" s="21">
        <f>IF(I4077&lt;=5000000,"Under $5M",IF(I4077&lt;=20000000,"$5M-20M",IF(I4077&lt;=50000000,"$20M-50M",IF(I4077&lt;=100000000,"$50M-100M","$100M+"))))</f>
        <v/>
      </c>
      <c r="P4077" s="21">
        <f>IF(E4077&lt;=90,"90 or less",IF(E4077&lt;=105,"91-105",IF(E4077&lt;=120,"106-120",IF(E4077&lt;=140,"121-140","Over 140"))))</f>
        <v/>
      </c>
      <c r="Q4077" s="28">
        <f>INT(C4077/10)*10</f>
        <v/>
      </c>
    </row>
    <row r="4078">
      <c r="A4078" s="21" t="n">
        <v>4162</v>
      </c>
      <c r="B4078" s="21" t="inlineStr">
        <is>
          <t>Dom Hemingway</t>
        </is>
      </c>
      <c r="C4078" s="21" t="n">
        <v>2013</v>
      </c>
      <c r="D4078" s="21" t="inlineStr">
        <is>
          <t>UK</t>
        </is>
      </c>
      <c r="E4078" s="21" t="n">
        <v>93</v>
      </c>
      <c r="F4078" s="21" t="inlineStr">
        <is>
          <t>English</t>
        </is>
      </c>
      <c r="G4078" s="21" t="inlineStr">
        <is>
          <t>R</t>
        </is>
      </c>
      <c r="H4078" s="22" t="n">
        <v>518134</v>
      </c>
      <c r="I4078" s="22" t="n">
        <v>20000000</v>
      </c>
      <c r="J4078" s="21">
        <f>IF(OR(H4078="",H4078=25529689.5),"Yes","No")</f>
        <v/>
      </c>
      <c r="K4078" s="21">
        <f>IF(AND(D4078="USA",C4078&gt;=1980,J4078="No"),"Yes","No")</f>
        <v/>
      </c>
      <c r="L4078" s="26">
        <f>IF(J4078="Yes","",H4078-I4078)</f>
        <v/>
      </c>
      <c r="M4078" s="27">
        <f>IF(OR(J4078="Yes",I4078=0),"",H4078/I4078)</f>
        <v/>
      </c>
      <c r="N4078" s="21">
        <f>IF(J4078="Yes","",IF(H4078&gt;=I4078,1,0))</f>
        <v/>
      </c>
      <c r="O4078" s="21">
        <f>IF(I4078&lt;=5000000,"Under $5M",IF(I4078&lt;=20000000,"$5M-20M",IF(I4078&lt;=50000000,"$20M-50M",IF(I4078&lt;=100000000,"$50M-100M","$100M+"))))</f>
        <v/>
      </c>
      <c r="P4078" s="21">
        <f>IF(E4078&lt;=90,"90 or less",IF(E4078&lt;=105,"91-105",IF(E4078&lt;=120,"106-120",IF(E4078&lt;=140,"121-140","Over 140"))))</f>
        <v/>
      </c>
      <c r="Q4078" s="28">
        <f>INT(C4078/10)*10</f>
        <v/>
      </c>
    </row>
    <row r="4079">
      <c r="A4079" s="21" t="n">
        <v>4163</v>
      </c>
      <c r="B4079" s="21" t="inlineStr">
        <is>
          <t>Don Jon</t>
        </is>
      </c>
      <c r="C4079" s="21" t="n">
        <v>2013</v>
      </c>
      <c r="D4079" s="21" t="inlineStr">
        <is>
          <t>USA</t>
        </is>
      </c>
      <c r="E4079" s="21" t="n">
        <v>90</v>
      </c>
      <c r="F4079" s="21" t="inlineStr">
        <is>
          <t>English</t>
        </is>
      </c>
      <c r="G4079" s="21" t="inlineStr">
        <is>
          <t>R</t>
        </is>
      </c>
      <c r="H4079" s="22" t="n">
        <v>24475193</v>
      </c>
      <c r="I4079" s="22" t="n">
        <v>3000000</v>
      </c>
      <c r="J4079" s="21">
        <f>IF(OR(H4079="",H4079=25529689.5),"Yes","No")</f>
        <v/>
      </c>
      <c r="K4079" s="21">
        <f>IF(AND(D4079="USA",C4079&gt;=1980,J4079="No"),"Yes","No")</f>
        <v/>
      </c>
      <c r="L4079" s="26">
        <f>IF(J4079="Yes","",H4079-I4079)</f>
        <v/>
      </c>
      <c r="M4079" s="27">
        <f>IF(OR(J4079="Yes",I4079=0),"",H4079/I4079)</f>
        <v/>
      </c>
      <c r="N4079" s="21">
        <f>IF(J4079="Yes","",IF(H4079&gt;=I4079,1,0))</f>
        <v/>
      </c>
      <c r="O4079" s="21">
        <f>IF(I4079&lt;=5000000,"Under $5M",IF(I4079&lt;=20000000,"$5M-20M",IF(I4079&lt;=50000000,"$20M-50M",IF(I4079&lt;=100000000,"$50M-100M","$100M+"))))</f>
        <v/>
      </c>
      <c r="P4079" s="21">
        <f>IF(E4079&lt;=90,"90 or less",IF(E4079&lt;=105,"91-105",IF(E4079&lt;=120,"106-120",IF(E4079&lt;=140,"121-140","Over 140"))))</f>
        <v/>
      </c>
      <c r="Q4079" s="28">
        <f>INT(C4079/10)*10</f>
        <v/>
      </c>
    </row>
    <row r="4080">
      <c r="A4080" s="21" t="n">
        <v>4164</v>
      </c>
      <c r="B4080" s="21" t="inlineStr">
        <is>
          <t>Drinking Buddies</t>
        </is>
      </c>
      <c r="C4080" s="21" t="n">
        <v>2013</v>
      </c>
      <c r="D4080" s="21" t="inlineStr">
        <is>
          <t>USA</t>
        </is>
      </c>
      <c r="E4080" s="21" t="n">
        <v>90</v>
      </c>
      <c r="F4080" s="21" t="inlineStr">
        <is>
          <t>English</t>
        </is>
      </c>
      <c r="G4080" s="21" t="inlineStr">
        <is>
          <t>R</t>
        </is>
      </c>
      <c r="H4080" s="22" t="n">
        <v>342936</v>
      </c>
      <c r="I4080" s="22" t="n">
        <v>20000000</v>
      </c>
      <c r="J4080" s="21">
        <f>IF(OR(H4080="",H4080=25529689.5),"Yes","No")</f>
        <v/>
      </c>
      <c r="K4080" s="21">
        <f>IF(AND(D4080="USA",C4080&gt;=1980,J4080="No"),"Yes","No")</f>
        <v/>
      </c>
      <c r="L4080" s="26">
        <f>IF(J4080="Yes","",H4080-I4080)</f>
        <v/>
      </c>
      <c r="M4080" s="27">
        <f>IF(OR(J4080="Yes",I4080=0),"",H4080/I4080)</f>
        <v/>
      </c>
      <c r="N4080" s="21">
        <f>IF(J4080="Yes","",IF(H4080&gt;=I4080,1,0))</f>
        <v/>
      </c>
      <c r="O4080" s="21">
        <f>IF(I4080&lt;=5000000,"Under $5M",IF(I4080&lt;=20000000,"$5M-20M",IF(I4080&lt;=50000000,"$20M-50M",IF(I4080&lt;=100000000,"$50M-100M","$100M+"))))</f>
        <v/>
      </c>
      <c r="P4080" s="21">
        <f>IF(E4080&lt;=90,"90 or less",IF(E4080&lt;=105,"91-105",IF(E4080&lt;=120,"106-120",IF(E4080&lt;=140,"121-140","Over 140"))))</f>
        <v/>
      </c>
      <c r="Q4080" s="28">
        <f>INT(C4080/10)*10</f>
        <v/>
      </c>
    </row>
    <row r="4081">
      <c r="A4081" s="21" t="n">
        <v>4165</v>
      </c>
      <c r="B4081" s="21" t="inlineStr">
        <is>
          <t>Dry Spell</t>
        </is>
      </c>
      <c r="C4081" s="21" t="n">
        <v>2013</v>
      </c>
      <c r="D4081" s="21" t="inlineStr">
        <is>
          <t>USA</t>
        </is>
      </c>
      <c r="E4081" s="21" t="n">
        <v>90</v>
      </c>
      <c r="F4081" s="21" t="inlineStr">
        <is>
          <t>English</t>
        </is>
      </c>
      <c r="G4081" s="21" t="n"/>
      <c r="H4081" s="22" t="n">
        <v>25529689.5</v>
      </c>
      <c r="I4081" s="22" t="n">
        <v>22000</v>
      </c>
      <c r="J4081" s="21">
        <f>IF(OR(H4081="",H4081=25529689.5),"Yes","No")</f>
        <v/>
      </c>
      <c r="K4081" s="21">
        <f>IF(AND(D4081="USA",C4081&gt;=1980,J4081="No"),"Yes","No")</f>
        <v/>
      </c>
      <c r="L4081" s="26">
        <f>IF(J4081="Yes","",H4081-I4081)</f>
        <v/>
      </c>
      <c r="M4081" s="27">
        <f>IF(OR(J4081="Yes",I4081=0),"",H4081/I4081)</f>
        <v/>
      </c>
      <c r="N4081" s="21">
        <f>IF(J4081="Yes","",IF(H4081&gt;=I4081,1,0))</f>
        <v/>
      </c>
      <c r="O4081" s="21">
        <f>IF(I4081&lt;=5000000,"Under $5M",IF(I4081&lt;=20000000,"$5M-20M",IF(I4081&lt;=50000000,"$20M-50M",IF(I4081&lt;=100000000,"$50M-100M","$100M+"))))</f>
        <v/>
      </c>
      <c r="P4081" s="21">
        <f>IF(E4081&lt;=90,"90 or less",IF(E4081&lt;=105,"91-105",IF(E4081&lt;=120,"106-120",IF(E4081&lt;=140,"121-140","Over 140"))))</f>
        <v/>
      </c>
      <c r="Q4081" s="28">
        <f>INT(C4081/10)*10</f>
        <v/>
      </c>
    </row>
    <row r="4082">
      <c r="A4082" s="21" t="n">
        <v>4166</v>
      </c>
      <c r="B4082" s="21" t="inlineStr">
        <is>
          <t>Echo Dr.</t>
        </is>
      </c>
      <c r="C4082" s="21" t="n">
        <v>2013</v>
      </c>
      <c r="D4082" s="21" t="inlineStr">
        <is>
          <t>USA</t>
        </is>
      </c>
      <c r="E4082" s="21" t="n">
        <v>81</v>
      </c>
      <c r="F4082" s="21" t="inlineStr">
        <is>
          <t>English</t>
        </is>
      </c>
      <c r="G4082" s="21" t="n"/>
      <c r="H4082" s="22" t="n">
        <v>25529689.5</v>
      </c>
      <c r="I4082" s="22" t="n">
        <v>100000</v>
      </c>
      <c r="J4082" s="21">
        <f>IF(OR(H4082="",H4082=25529689.5),"Yes","No")</f>
        <v/>
      </c>
      <c r="K4082" s="21">
        <f>IF(AND(D4082="USA",C4082&gt;=1980,J4082="No"),"Yes","No")</f>
        <v/>
      </c>
      <c r="L4082" s="26">
        <f>IF(J4082="Yes","",H4082-I4082)</f>
        <v/>
      </c>
      <c r="M4082" s="27">
        <f>IF(OR(J4082="Yes",I4082=0),"",H4082/I4082)</f>
        <v/>
      </c>
      <c r="N4082" s="21">
        <f>IF(J4082="Yes","",IF(H4082&gt;=I4082,1,0))</f>
        <v/>
      </c>
      <c r="O4082" s="21">
        <f>IF(I4082&lt;=5000000,"Under $5M",IF(I4082&lt;=20000000,"$5M-20M",IF(I4082&lt;=50000000,"$20M-50M",IF(I4082&lt;=100000000,"$50M-100M","$100M+"))))</f>
        <v/>
      </c>
      <c r="P4082" s="21">
        <f>IF(E4082&lt;=90,"90 or less",IF(E4082&lt;=105,"91-105",IF(E4082&lt;=120,"106-120",IF(E4082&lt;=140,"121-140","Over 140"))))</f>
        <v/>
      </c>
      <c r="Q4082" s="28">
        <f>INT(C4082/10)*10</f>
        <v/>
      </c>
    </row>
    <row r="4083">
      <c r="A4083" s="21" t="n">
        <v>4167</v>
      </c>
      <c r="B4083" s="21" t="inlineStr">
        <is>
          <t>Elysium</t>
        </is>
      </c>
      <c r="C4083" s="21" t="n">
        <v>2013</v>
      </c>
      <c r="D4083" s="21" t="inlineStr">
        <is>
          <t>USA</t>
        </is>
      </c>
      <c r="E4083" s="21" t="n">
        <v>109</v>
      </c>
      <c r="F4083" s="21" t="inlineStr">
        <is>
          <t>English</t>
        </is>
      </c>
      <c r="G4083" s="21" t="inlineStr">
        <is>
          <t>R</t>
        </is>
      </c>
      <c r="H4083" s="22" t="n">
        <v>93050117</v>
      </c>
      <c r="I4083" s="22" t="n">
        <v>115000000</v>
      </c>
      <c r="J4083" s="21">
        <f>IF(OR(H4083="",H4083=25529689.5),"Yes","No")</f>
        <v/>
      </c>
      <c r="K4083" s="21">
        <f>IF(AND(D4083="USA",C4083&gt;=1980,J4083="No"),"Yes","No")</f>
        <v/>
      </c>
      <c r="L4083" s="26">
        <f>IF(J4083="Yes","",H4083-I4083)</f>
        <v/>
      </c>
      <c r="M4083" s="27">
        <f>IF(OR(J4083="Yes",I4083=0),"",H4083/I4083)</f>
        <v/>
      </c>
      <c r="N4083" s="21">
        <f>IF(J4083="Yes","",IF(H4083&gt;=I4083,1,0))</f>
        <v/>
      </c>
      <c r="O4083" s="21">
        <f>IF(I4083&lt;=5000000,"Under $5M",IF(I4083&lt;=20000000,"$5M-20M",IF(I4083&lt;=50000000,"$20M-50M",IF(I4083&lt;=100000000,"$50M-100M","$100M+"))))</f>
        <v/>
      </c>
      <c r="P4083" s="21">
        <f>IF(E4083&lt;=90,"90 or less",IF(E4083&lt;=105,"91-105",IF(E4083&lt;=120,"106-120",IF(E4083&lt;=140,"121-140","Over 140"))))</f>
        <v/>
      </c>
      <c r="Q4083" s="28">
        <f>INT(C4083/10)*10</f>
        <v/>
      </c>
    </row>
    <row r="4084">
      <c r="A4084" s="21" t="n">
        <v>4168</v>
      </c>
      <c r="B4084" s="21" t="inlineStr">
        <is>
          <t>Ender's Game</t>
        </is>
      </c>
      <c r="C4084" s="21" t="n">
        <v>2013</v>
      </c>
      <c r="D4084" s="21" t="inlineStr">
        <is>
          <t>USA</t>
        </is>
      </c>
      <c r="E4084" s="21" t="n">
        <v>114</v>
      </c>
      <c r="F4084" s="21" t="inlineStr">
        <is>
          <t>English</t>
        </is>
      </c>
      <c r="G4084" s="21" t="inlineStr">
        <is>
          <t>PG-13</t>
        </is>
      </c>
      <c r="H4084" s="22" t="n">
        <v>61656849</v>
      </c>
      <c r="I4084" s="22" t="n">
        <v>110000000</v>
      </c>
      <c r="J4084" s="21">
        <f>IF(OR(H4084="",H4084=25529689.5),"Yes","No")</f>
        <v/>
      </c>
      <c r="K4084" s="21">
        <f>IF(AND(D4084="USA",C4084&gt;=1980,J4084="No"),"Yes","No")</f>
        <v/>
      </c>
      <c r="L4084" s="26">
        <f>IF(J4084="Yes","",H4084-I4084)</f>
        <v/>
      </c>
      <c r="M4084" s="27">
        <f>IF(OR(J4084="Yes",I4084=0),"",H4084/I4084)</f>
        <v/>
      </c>
      <c r="N4084" s="21">
        <f>IF(J4084="Yes","",IF(H4084&gt;=I4084,1,0))</f>
        <v/>
      </c>
      <c r="O4084" s="21">
        <f>IF(I4084&lt;=5000000,"Under $5M",IF(I4084&lt;=20000000,"$5M-20M",IF(I4084&lt;=50000000,"$20M-50M",IF(I4084&lt;=100000000,"$50M-100M","$100M+"))))</f>
        <v/>
      </c>
      <c r="P4084" s="21">
        <f>IF(E4084&lt;=90,"90 or less",IF(E4084&lt;=105,"91-105",IF(E4084&lt;=120,"106-120",IF(E4084&lt;=140,"121-140","Over 140"))))</f>
        <v/>
      </c>
      <c r="Q4084" s="28">
        <f>INT(C4084/10)*10</f>
        <v/>
      </c>
    </row>
    <row r="4085">
      <c r="A4085" s="21" t="n">
        <v>4169</v>
      </c>
      <c r="B4085" s="21" t="inlineStr">
        <is>
          <t>Enough Said</t>
        </is>
      </c>
      <c r="C4085" s="21" t="n">
        <v>2013</v>
      </c>
      <c r="D4085" s="21" t="inlineStr">
        <is>
          <t>USA</t>
        </is>
      </c>
      <c r="E4085" s="21" t="n">
        <v>93</v>
      </c>
      <c r="F4085" s="21" t="inlineStr">
        <is>
          <t>English</t>
        </is>
      </c>
      <c r="G4085" s="21" t="inlineStr">
        <is>
          <t>PG-13</t>
        </is>
      </c>
      <c r="H4085" s="22" t="n">
        <v>17536788</v>
      </c>
      <c r="I4085" s="22" t="n">
        <v>8000000</v>
      </c>
      <c r="J4085" s="21">
        <f>IF(OR(H4085="",H4085=25529689.5),"Yes","No")</f>
        <v/>
      </c>
      <c r="K4085" s="21">
        <f>IF(AND(D4085="USA",C4085&gt;=1980,J4085="No"),"Yes","No")</f>
        <v/>
      </c>
      <c r="L4085" s="26">
        <f>IF(J4085="Yes","",H4085-I4085)</f>
        <v/>
      </c>
      <c r="M4085" s="27">
        <f>IF(OR(J4085="Yes",I4085=0),"",H4085/I4085)</f>
        <v/>
      </c>
      <c r="N4085" s="21">
        <f>IF(J4085="Yes","",IF(H4085&gt;=I4085,1,0))</f>
        <v/>
      </c>
      <c r="O4085" s="21">
        <f>IF(I4085&lt;=5000000,"Under $5M",IF(I4085&lt;=20000000,"$5M-20M",IF(I4085&lt;=50000000,"$20M-50M",IF(I4085&lt;=100000000,"$50M-100M","$100M+"))))</f>
        <v/>
      </c>
      <c r="P4085" s="21">
        <f>IF(E4085&lt;=90,"90 or less",IF(E4085&lt;=105,"91-105",IF(E4085&lt;=120,"106-120",IF(E4085&lt;=140,"121-140","Over 140"))))</f>
        <v/>
      </c>
      <c r="Q4085" s="28">
        <f>INT(C4085/10)*10</f>
        <v/>
      </c>
    </row>
    <row r="4086">
      <c r="A4086" s="21" t="n">
        <v>4170</v>
      </c>
      <c r="B4086" s="21" t="inlineStr">
        <is>
          <t>Enter the Dangerous Mind</t>
        </is>
      </c>
      <c r="C4086" s="21" t="n">
        <v>2013</v>
      </c>
      <c r="D4086" s="21" t="inlineStr">
        <is>
          <t>USA</t>
        </is>
      </c>
      <c r="E4086" s="21" t="n">
        <v>88</v>
      </c>
      <c r="F4086" s="21" t="inlineStr">
        <is>
          <t>English</t>
        </is>
      </c>
      <c r="G4086" s="21" t="n"/>
      <c r="H4086" s="22" t="n">
        <v>25529689.5</v>
      </c>
      <c r="I4086" s="22" t="n">
        <v>800000</v>
      </c>
      <c r="J4086" s="21">
        <f>IF(OR(H4086="",H4086=25529689.5),"Yes","No")</f>
        <v/>
      </c>
      <c r="K4086" s="21">
        <f>IF(AND(D4086="USA",C4086&gt;=1980,J4086="No"),"Yes","No")</f>
        <v/>
      </c>
      <c r="L4086" s="26">
        <f>IF(J4086="Yes","",H4086-I4086)</f>
        <v/>
      </c>
      <c r="M4086" s="27">
        <f>IF(OR(J4086="Yes",I4086=0),"",H4086/I4086)</f>
        <v/>
      </c>
      <c r="N4086" s="21">
        <f>IF(J4086="Yes","",IF(H4086&gt;=I4086,1,0))</f>
        <v/>
      </c>
      <c r="O4086" s="21">
        <f>IF(I4086&lt;=5000000,"Under $5M",IF(I4086&lt;=20000000,"$5M-20M",IF(I4086&lt;=50000000,"$20M-50M",IF(I4086&lt;=100000000,"$50M-100M","$100M+"))))</f>
        <v/>
      </c>
      <c r="P4086" s="21">
        <f>IF(E4086&lt;=90,"90 or less",IF(E4086&lt;=105,"91-105",IF(E4086&lt;=120,"106-120",IF(E4086&lt;=140,"121-140","Over 140"))))</f>
        <v/>
      </c>
      <c r="Q4086" s="28">
        <f>INT(C4086/10)*10</f>
        <v/>
      </c>
    </row>
    <row r="4087">
      <c r="A4087" s="21" t="n">
        <v>4171</v>
      </c>
      <c r="B4087" s="21" t="inlineStr">
        <is>
          <t>Epic</t>
        </is>
      </c>
      <c r="C4087" s="21" t="n">
        <v>2013</v>
      </c>
      <c r="D4087" s="21" t="inlineStr">
        <is>
          <t>USA</t>
        </is>
      </c>
      <c r="E4087" s="21" t="n">
        <v>102</v>
      </c>
      <c r="F4087" s="21" t="inlineStr">
        <is>
          <t>English</t>
        </is>
      </c>
      <c r="G4087" s="21" t="inlineStr">
        <is>
          <t>PG</t>
        </is>
      </c>
      <c r="H4087" s="22" t="n">
        <v>107515297</v>
      </c>
      <c r="I4087" s="22" t="n">
        <v>100000000</v>
      </c>
      <c r="J4087" s="21">
        <f>IF(OR(H4087="",H4087=25529689.5),"Yes","No")</f>
        <v/>
      </c>
      <c r="K4087" s="21">
        <f>IF(AND(D4087="USA",C4087&gt;=1980,J4087="No"),"Yes","No")</f>
        <v/>
      </c>
      <c r="L4087" s="26">
        <f>IF(J4087="Yes","",H4087-I4087)</f>
        <v/>
      </c>
      <c r="M4087" s="27">
        <f>IF(OR(J4087="Yes",I4087=0),"",H4087/I4087)</f>
        <v/>
      </c>
      <c r="N4087" s="21">
        <f>IF(J4087="Yes","",IF(H4087&gt;=I4087,1,0))</f>
        <v/>
      </c>
      <c r="O4087" s="21">
        <f>IF(I4087&lt;=5000000,"Under $5M",IF(I4087&lt;=20000000,"$5M-20M",IF(I4087&lt;=50000000,"$20M-50M",IF(I4087&lt;=100000000,"$50M-100M","$100M+"))))</f>
        <v/>
      </c>
      <c r="P4087" s="21">
        <f>IF(E4087&lt;=90,"90 or less",IF(E4087&lt;=105,"91-105",IF(E4087&lt;=120,"106-120",IF(E4087&lt;=140,"121-140","Over 140"))))</f>
        <v/>
      </c>
      <c r="Q4087" s="28">
        <f>INT(C4087/10)*10</f>
        <v/>
      </c>
    </row>
    <row r="4088">
      <c r="A4088" s="21" t="n">
        <v>4172</v>
      </c>
      <c r="B4088" s="21" t="inlineStr">
        <is>
          <t>Escape from Planet Earth</t>
        </is>
      </c>
      <c r="C4088" s="21" t="n">
        <v>2013</v>
      </c>
      <c r="D4088" s="21" t="inlineStr">
        <is>
          <t>USA</t>
        </is>
      </c>
      <c r="E4088" s="21" t="n">
        <v>89</v>
      </c>
      <c r="F4088" s="21" t="inlineStr">
        <is>
          <t>English</t>
        </is>
      </c>
      <c r="G4088" s="21" t="inlineStr">
        <is>
          <t>PG</t>
        </is>
      </c>
      <c r="H4088" s="22" t="n">
        <v>57011847</v>
      </c>
      <c r="I4088" s="22" t="n">
        <v>40000000</v>
      </c>
      <c r="J4088" s="21">
        <f>IF(OR(H4088="",H4088=25529689.5),"Yes","No")</f>
        <v/>
      </c>
      <c r="K4088" s="21">
        <f>IF(AND(D4088="USA",C4088&gt;=1980,J4088="No"),"Yes","No")</f>
        <v/>
      </c>
      <c r="L4088" s="26">
        <f>IF(J4088="Yes","",H4088-I4088)</f>
        <v/>
      </c>
      <c r="M4088" s="27">
        <f>IF(OR(J4088="Yes",I4088=0),"",H4088/I4088)</f>
        <v/>
      </c>
      <c r="N4088" s="21">
        <f>IF(J4088="Yes","",IF(H4088&gt;=I4088,1,0))</f>
        <v/>
      </c>
      <c r="O4088" s="21">
        <f>IF(I4088&lt;=5000000,"Under $5M",IF(I4088&lt;=20000000,"$5M-20M",IF(I4088&lt;=50000000,"$20M-50M",IF(I4088&lt;=100000000,"$50M-100M","$100M+"))))</f>
        <v/>
      </c>
      <c r="P4088" s="21">
        <f>IF(E4088&lt;=90,"90 or less",IF(E4088&lt;=105,"91-105",IF(E4088&lt;=120,"106-120",IF(E4088&lt;=140,"121-140","Over 140"))))</f>
        <v/>
      </c>
      <c r="Q4088" s="28">
        <f>INT(C4088/10)*10</f>
        <v/>
      </c>
    </row>
    <row r="4089">
      <c r="A4089" s="21" t="n">
        <v>4173</v>
      </c>
      <c r="B4089" s="21" t="inlineStr">
        <is>
          <t>Escape from Tomorrow</t>
        </is>
      </c>
      <c r="C4089" s="21" t="n">
        <v>2013</v>
      </c>
      <c r="D4089" s="21" t="inlineStr">
        <is>
          <t>USA</t>
        </is>
      </c>
      <c r="E4089" s="21" t="n">
        <v>90</v>
      </c>
      <c r="F4089" s="21" t="inlineStr">
        <is>
          <t>English</t>
        </is>
      </c>
      <c r="G4089" s="21" t="inlineStr">
        <is>
          <t>Not Rated</t>
        </is>
      </c>
      <c r="H4089" s="22" t="n">
        <v>169719</v>
      </c>
      <c r="I4089" s="22" t="n">
        <v>20000000</v>
      </c>
      <c r="J4089" s="21">
        <f>IF(OR(H4089="",H4089=25529689.5),"Yes","No")</f>
        <v/>
      </c>
      <c r="K4089" s="21">
        <f>IF(AND(D4089="USA",C4089&gt;=1980,J4089="No"),"Yes","No")</f>
        <v/>
      </c>
      <c r="L4089" s="26">
        <f>IF(J4089="Yes","",H4089-I4089)</f>
        <v/>
      </c>
      <c r="M4089" s="27">
        <f>IF(OR(J4089="Yes",I4089=0),"",H4089/I4089)</f>
        <v/>
      </c>
      <c r="N4089" s="21">
        <f>IF(J4089="Yes","",IF(H4089&gt;=I4089,1,0))</f>
        <v/>
      </c>
      <c r="O4089" s="21">
        <f>IF(I4089&lt;=5000000,"Under $5M",IF(I4089&lt;=20000000,"$5M-20M",IF(I4089&lt;=50000000,"$20M-50M",IF(I4089&lt;=100000000,"$50M-100M","$100M+"))))</f>
        <v/>
      </c>
      <c r="P4089" s="21">
        <f>IF(E4089&lt;=90,"90 or less",IF(E4089&lt;=105,"91-105",IF(E4089&lt;=120,"106-120",IF(E4089&lt;=140,"121-140","Over 140"))))</f>
        <v/>
      </c>
      <c r="Q4089" s="28">
        <f>INT(C4089/10)*10</f>
        <v/>
      </c>
    </row>
    <row r="4090">
      <c r="A4090" s="21" t="n">
        <v>4174</v>
      </c>
      <c r="B4090" s="21" t="inlineStr">
        <is>
          <t>Escape Plan</t>
        </is>
      </c>
      <c r="C4090" s="21" t="n">
        <v>2013</v>
      </c>
      <c r="D4090" s="21" t="inlineStr">
        <is>
          <t>USA</t>
        </is>
      </c>
      <c r="E4090" s="21" t="n">
        <v>115</v>
      </c>
      <c r="F4090" s="21" t="inlineStr">
        <is>
          <t>English</t>
        </is>
      </c>
      <c r="G4090" s="21" t="inlineStr">
        <is>
          <t>R</t>
        </is>
      </c>
      <c r="H4090" s="22" t="n">
        <v>25121291</v>
      </c>
      <c r="I4090" s="22" t="n">
        <v>50000000</v>
      </c>
      <c r="J4090" s="21">
        <f>IF(OR(H4090="",H4090=25529689.5),"Yes","No")</f>
        <v/>
      </c>
      <c r="K4090" s="21">
        <f>IF(AND(D4090="USA",C4090&gt;=1980,J4090="No"),"Yes","No")</f>
        <v/>
      </c>
      <c r="L4090" s="26">
        <f>IF(J4090="Yes","",H4090-I4090)</f>
        <v/>
      </c>
      <c r="M4090" s="27">
        <f>IF(OR(J4090="Yes",I4090=0),"",H4090/I4090)</f>
        <v/>
      </c>
      <c r="N4090" s="21">
        <f>IF(J4090="Yes","",IF(H4090&gt;=I4090,1,0))</f>
        <v/>
      </c>
      <c r="O4090" s="21">
        <f>IF(I4090&lt;=5000000,"Under $5M",IF(I4090&lt;=20000000,"$5M-20M",IF(I4090&lt;=50000000,"$20M-50M",IF(I4090&lt;=100000000,"$50M-100M","$100M+"))))</f>
        <v/>
      </c>
      <c r="P4090" s="21">
        <f>IF(E4090&lt;=90,"90 or less",IF(E4090&lt;=105,"91-105",IF(E4090&lt;=120,"106-120",IF(E4090&lt;=140,"121-140","Over 140"))))</f>
        <v/>
      </c>
      <c r="Q4090" s="28">
        <f>INT(C4090/10)*10</f>
        <v/>
      </c>
    </row>
    <row r="4091">
      <c r="A4091" s="21" t="n">
        <v>4175</v>
      </c>
      <c r="B4091" s="21" t="inlineStr">
        <is>
          <t>Evil Dead</t>
        </is>
      </c>
      <c r="C4091" s="21" t="n">
        <v>2013</v>
      </c>
      <c r="D4091" s="21" t="inlineStr">
        <is>
          <t>USA</t>
        </is>
      </c>
      <c r="E4091" s="21" t="n">
        <v>96</v>
      </c>
      <c r="F4091" s="21" t="inlineStr">
        <is>
          <t>English</t>
        </is>
      </c>
      <c r="G4091" s="21" t="inlineStr">
        <is>
          <t>R</t>
        </is>
      </c>
      <c r="H4091" s="22" t="n">
        <v>54239856</v>
      </c>
      <c r="I4091" s="22" t="n">
        <v>17000000</v>
      </c>
      <c r="J4091" s="21">
        <f>IF(OR(H4091="",H4091=25529689.5),"Yes","No")</f>
        <v/>
      </c>
      <c r="K4091" s="21">
        <f>IF(AND(D4091="USA",C4091&gt;=1980,J4091="No"),"Yes","No")</f>
        <v/>
      </c>
      <c r="L4091" s="26">
        <f>IF(J4091="Yes","",H4091-I4091)</f>
        <v/>
      </c>
      <c r="M4091" s="27">
        <f>IF(OR(J4091="Yes",I4091=0),"",H4091/I4091)</f>
        <v/>
      </c>
      <c r="N4091" s="21">
        <f>IF(J4091="Yes","",IF(H4091&gt;=I4091,1,0))</f>
        <v/>
      </c>
      <c r="O4091" s="21">
        <f>IF(I4091&lt;=5000000,"Under $5M",IF(I4091&lt;=20000000,"$5M-20M",IF(I4091&lt;=50000000,"$20M-50M",IF(I4091&lt;=100000000,"$50M-100M","$100M+"))))</f>
        <v/>
      </c>
      <c r="P4091" s="21">
        <f>IF(E4091&lt;=90,"90 or less",IF(E4091&lt;=105,"91-105",IF(E4091&lt;=120,"106-120",IF(E4091&lt;=140,"121-140","Over 140"))))</f>
        <v/>
      </c>
      <c r="Q4091" s="28">
        <f>INT(C4091/10)*10</f>
        <v/>
      </c>
    </row>
    <row r="4092">
      <c r="A4092" s="21" t="n">
        <v>4176</v>
      </c>
      <c r="B4092" s="21" t="inlineStr">
        <is>
          <t>Faith Connections</t>
        </is>
      </c>
      <c r="C4092" s="21" t="n">
        <v>2013</v>
      </c>
      <c r="D4092" s="21" t="inlineStr">
        <is>
          <t>India</t>
        </is>
      </c>
      <c r="E4092" s="21" t="n">
        <v>115</v>
      </c>
      <c r="F4092" s="21" t="inlineStr">
        <is>
          <t>Hindi</t>
        </is>
      </c>
      <c r="G4092" s="21" t="n"/>
      <c r="H4092" s="22" t="n">
        <v>25529689.5</v>
      </c>
      <c r="I4092" s="22" t="n">
        <v>550000</v>
      </c>
      <c r="J4092" s="21">
        <f>IF(OR(H4092="",H4092=25529689.5),"Yes","No")</f>
        <v/>
      </c>
      <c r="K4092" s="21">
        <f>IF(AND(D4092="USA",C4092&gt;=1980,J4092="No"),"Yes","No")</f>
        <v/>
      </c>
      <c r="L4092" s="26">
        <f>IF(J4092="Yes","",H4092-I4092)</f>
        <v/>
      </c>
      <c r="M4092" s="27">
        <f>IF(OR(J4092="Yes",I4092=0),"",H4092/I4092)</f>
        <v/>
      </c>
      <c r="N4092" s="21">
        <f>IF(J4092="Yes","",IF(H4092&gt;=I4092,1,0))</f>
        <v/>
      </c>
      <c r="O4092" s="21">
        <f>IF(I4092&lt;=5000000,"Under $5M",IF(I4092&lt;=20000000,"$5M-20M",IF(I4092&lt;=50000000,"$20M-50M",IF(I4092&lt;=100000000,"$50M-100M","$100M+"))))</f>
        <v/>
      </c>
      <c r="P4092" s="21">
        <f>IF(E4092&lt;=90,"90 or less",IF(E4092&lt;=105,"91-105",IF(E4092&lt;=120,"106-120",IF(E4092&lt;=140,"121-140","Over 140"))))</f>
        <v/>
      </c>
      <c r="Q4092" s="28">
        <f>INT(C4092/10)*10</f>
        <v/>
      </c>
    </row>
    <row r="4093">
      <c r="A4093" s="21" t="n">
        <v>4177</v>
      </c>
      <c r="B4093" s="21" t="inlineStr">
        <is>
          <t>Firestorm</t>
        </is>
      </c>
      <c r="C4093" s="21" t="n">
        <v>2013</v>
      </c>
      <c r="D4093" s="21" t="inlineStr">
        <is>
          <t>China</t>
        </is>
      </c>
      <c r="E4093" s="21" t="n">
        <v>118</v>
      </c>
      <c r="F4093" s="21" t="inlineStr">
        <is>
          <t>Mandarin</t>
        </is>
      </c>
      <c r="G4093" s="21" t="n"/>
      <c r="H4093" s="22" t="n">
        <v>25529689.5</v>
      </c>
      <c r="I4093" s="22" t="n">
        <v>20000000</v>
      </c>
      <c r="J4093" s="21">
        <f>IF(OR(H4093="",H4093=25529689.5),"Yes","No")</f>
        <v/>
      </c>
      <c r="K4093" s="21">
        <f>IF(AND(D4093="USA",C4093&gt;=1980,J4093="No"),"Yes","No")</f>
        <v/>
      </c>
      <c r="L4093" s="26">
        <f>IF(J4093="Yes","",H4093-I4093)</f>
        <v/>
      </c>
      <c r="M4093" s="27">
        <f>IF(OR(J4093="Yes",I4093=0),"",H4093/I4093)</f>
        <v/>
      </c>
      <c r="N4093" s="21">
        <f>IF(J4093="Yes","",IF(H4093&gt;=I4093,1,0))</f>
        <v/>
      </c>
      <c r="O4093" s="21">
        <f>IF(I4093&lt;=5000000,"Under $5M",IF(I4093&lt;=20000000,"$5M-20M",IF(I4093&lt;=50000000,"$20M-50M",IF(I4093&lt;=100000000,"$50M-100M","$100M+"))))</f>
        <v/>
      </c>
      <c r="P4093" s="21">
        <f>IF(E4093&lt;=90,"90 or less",IF(E4093&lt;=105,"91-105",IF(E4093&lt;=120,"106-120",IF(E4093&lt;=140,"121-140","Over 140"))))</f>
        <v/>
      </c>
      <c r="Q4093" s="28">
        <f>INT(C4093/10)*10</f>
        <v/>
      </c>
    </row>
    <row r="4094">
      <c r="A4094" s="21" t="n">
        <v>4178</v>
      </c>
      <c r="B4094" s="21" t="inlineStr">
        <is>
          <t>Free Birds</t>
        </is>
      </c>
      <c r="C4094" s="21" t="n">
        <v>2013</v>
      </c>
      <c r="D4094" s="21" t="inlineStr">
        <is>
          <t>USA</t>
        </is>
      </c>
      <c r="E4094" s="21" t="n">
        <v>91</v>
      </c>
      <c r="F4094" s="21" t="inlineStr">
        <is>
          <t>English</t>
        </is>
      </c>
      <c r="G4094" s="21" t="inlineStr">
        <is>
          <t>PG</t>
        </is>
      </c>
      <c r="H4094" s="22" t="n">
        <v>55747724</v>
      </c>
      <c r="I4094" s="22" t="n">
        <v>55000000</v>
      </c>
      <c r="J4094" s="21">
        <f>IF(OR(H4094="",H4094=25529689.5),"Yes","No")</f>
        <v/>
      </c>
      <c r="K4094" s="21">
        <f>IF(AND(D4094="USA",C4094&gt;=1980,J4094="No"),"Yes","No")</f>
        <v/>
      </c>
      <c r="L4094" s="26">
        <f>IF(J4094="Yes","",H4094-I4094)</f>
        <v/>
      </c>
      <c r="M4094" s="27">
        <f>IF(OR(J4094="Yes",I4094=0),"",H4094/I4094)</f>
        <v/>
      </c>
      <c r="N4094" s="21">
        <f>IF(J4094="Yes","",IF(H4094&gt;=I4094,1,0))</f>
        <v/>
      </c>
      <c r="O4094" s="21">
        <f>IF(I4094&lt;=5000000,"Under $5M",IF(I4094&lt;=20000000,"$5M-20M",IF(I4094&lt;=50000000,"$20M-50M",IF(I4094&lt;=100000000,"$50M-100M","$100M+"))))</f>
        <v/>
      </c>
      <c r="P4094" s="21">
        <f>IF(E4094&lt;=90,"90 or less",IF(E4094&lt;=105,"91-105",IF(E4094&lt;=120,"106-120",IF(E4094&lt;=140,"121-140","Over 140"))))</f>
        <v/>
      </c>
      <c r="Q4094" s="28">
        <f>INT(C4094/10)*10</f>
        <v/>
      </c>
    </row>
    <row r="4095">
      <c r="A4095" s="21" t="n">
        <v>4179</v>
      </c>
      <c r="B4095" s="21" t="inlineStr">
        <is>
          <t>Frozen</t>
        </is>
      </c>
      <c r="C4095" s="21" t="n">
        <v>2013</v>
      </c>
      <c r="D4095" s="21" t="inlineStr">
        <is>
          <t>USA</t>
        </is>
      </c>
      <c r="E4095" s="21" t="n">
        <v>102</v>
      </c>
      <c r="F4095" s="21" t="inlineStr">
        <is>
          <t>English</t>
        </is>
      </c>
      <c r="G4095" s="21" t="inlineStr">
        <is>
          <t>PG</t>
        </is>
      </c>
      <c r="H4095" s="22" t="n">
        <v>400736600</v>
      </c>
      <c r="I4095" s="22" t="n">
        <v>150000000</v>
      </c>
      <c r="J4095" s="21">
        <f>IF(OR(H4095="",H4095=25529689.5),"Yes","No")</f>
        <v/>
      </c>
      <c r="K4095" s="21">
        <f>IF(AND(D4095="USA",C4095&gt;=1980,J4095="No"),"Yes","No")</f>
        <v/>
      </c>
      <c r="L4095" s="26">
        <f>IF(J4095="Yes","",H4095-I4095)</f>
        <v/>
      </c>
      <c r="M4095" s="27">
        <f>IF(OR(J4095="Yes",I4095=0),"",H4095/I4095)</f>
        <v/>
      </c>
      <c r="N4095" s="21">
        <f>IF(J4095="Yes","",IF(H4095&gt;=I4095,1,0))</f>
        <v/>
      </c>
      <c r="O4095" s="21">
        <f>IF(I4095&lt;=5000000,"Under $5M",IF(I4095&lt;=20000000,"$5M-20M",IF(I4095&lt;=50000000,"$20M-50M",IF(I4095&lt;=100000000,"$50M-100M","$100M+"))))</f>
        <v/>
      </c>
      <c r="P4095" s="21">
        <f>IF(E4095&lt;=90,"90 or less",IF(E4095&lt;=105,"91-105",IF(E4095&lt;=120,"106-120",IF(E4095&lt;=140,"121-140","Over 140"))))</f>
        <v/>
      </c>
      <c r="Q4095" s="28">
        <f>INT(C4095/10)*10</f>
        <v/>
      </c>
    </row>
    <row r="4096">
      <c r="A4096" s="21" t="n">
        <v>4180</v>
      </c>
      <c r="B4096" s="21" t="inlineStr">
        <is>
          <t>Fruitvale Station</t>
        </is>
      </c>
      <c r="C4096" s="21" t="n">
        <v>2013</v>
      </c>
      <c r="D4096" s="21" t="inlineStr">
        <is>
          <t>USA</t>
        </is>
      </c>
      <c r="E4096" s="21" t="n">
        <v>85</v>
      </c>
      <c r="F4096" s="21" t="inlineStr">
        <is>
          <t>English</t>
        </is>
      </c>
      <c r="G4096" s="21" t="inlineStr">
        <is>
          <t>R</t>
        </is>
      </c>
      <c r="H4096" s="22" t="n">
        <v>16097842</v>
      </c>
      <c r="I4096" s="22" t="n">
        <v>900000</v>
      </c>
      <c r="J4096" s="21">
        <f>IF(OR(H4096="",H4096=25529689.5),"Yes","No")</f>
        <v/>
      </c>
      <c r="K4096" s="21">
        <f>IF(AND(D4096="USA",C4096&gt;=1980,J4096="No"),"Yes","No")</f>
        <v/>
      </c>
      <c r="L4096" s="26">
        <f>IF(J4096="Yes","",H4096-I4096)</f>
        <v/>
      </c>
      <c r="M4096" s="27">
        <f>IF(OR(J4096="Yes",I4096=0),"",H4096/I4096)</f>
        <v/>
      </c>
      <c r="N4096" s="21">
        <f>IF(J4096="Yes","",IF(H4096&gt;=I4096,1,0))</f>
        <v/>
      </c>
      <c r="O4096" s="21">
        <f>IF(I4096&lt;=5000000,"Under $5M",IF(I4096&lt;=20000000,"$5M-20M",IF(I4096&lt;=50000000,"$20M-50M",IF(I4096&lt;=100000000,"$50M-100M","$100M+"))))</f>
        <v/>
      </c>
      <c r="P4096" s="21">
        <f>IF(E4096&lt;=90,"90 or less",IF(E4096&lt;=105,"91-105",IF(E4096&lt;=120,"106-120",IF(E4096&lt;=140,"121-140","Over 140"))))</f>
        <v/>
      </c>
      <c r="Q4096" s="28">
        <f>INT(C4096/10)*10</f>
        <v/>
      </c>
    </row>
    <row r="4097">
      <c r="A4097" s="21" t="n">
        <v>4181</v>
      </c>
      <c r="B4097" s="21" t="inlineStr">
        <is>
          <t>G.I. Joe: Retaliation</t>
        </is>
      </c>
      <c r="C4097" s="21" t="n">
        <v>2013</v>
      </c>
      <c r="D4097" s="21" t="inlineStr">
        <is>
          <t>USA</t>
        </is>
      </c>
      <c r="E4097" s="21" t="n">
        <v>122</v>
      </c>
      <c r="F4097" s="21" t="inlineStr">
        <is>
          <t>English</t>
        </is>
      </c>
      <c r="G4097" s="21" t="inlineStr">
        <is>
          <t>PG-13</t>
        </is>
      </c>
      <c r="H4097" s="22" t="n">
        <v>122512052</v>
      </c>
      <c r="I4097" s="22" t="n">
        <v>130000000</v>
      </c>
      <c r="J4097" s="21">
        <f>IF(OR(H4097="",H4097=25529689.5),"Yes","No")</f>
        <v/>
      </c>
      <c r="K4097" s="21">
        <f>IF(AND(D4097="USA",C4097&gt;=1980,J4097="No"),"Yes","No")</f>
        <v/>
      </c>
      <c r="L4097" s="26">
        <f>IF(J4097="Yes","",H4097-I4097)</f>
        <v/>
      </c>
      <c r="M4097" s="27">
        <f>IF(OR(J4097="Yes",I4097=0),"",H4097/I4097)</f>
        <v/>
      </c>
      <c r="N4097" s="21">
        <f>IF(J4097="Yes","",IF(H4097&gt;=I4097,1,0))</f>
        <v/>
      </c>
      <c r="O4097" s="21">
        <f>IF(I4097&lt;=5000000,"Under $5M",IF(I4097&lt;=20000000,"$5M-20M",IF(I4097&lt;=50000000,"$20M-50M",IF(I4097&lt;=100000000,"$50M-100M","$100M+"))))</f>
        <v/>
      </c>
      <c r="P4097" s="21">
        <f>IF(E4097&lt;=90,"90 or less",IF(E4097&lt;=105,"91-105",IF(E4097&lt;=120,"106-120",IF(E4097&lt;=140,"121-140","Over 140"))))</f>
        <v/>
      </c>
      <c r="Q4097" s="28">
        <f>INT(C4097/10)*10</f>
        <v/>
      </c>
    </row>
    <row r="4098">
      <c r="A4098" s="21" t="n">
        <v>4182</v>
      </c>
      <c r="B4098" s="21" t="inlineStr">
        <is>
          <t>Gangster Squad</t>
        </is>
      </c>
      <c r="C4098" s="21" t="n">
        <v>2013</v>
      </c>
      <c r="D4098" s="21" t="inlineStr">
        <is>
          <t>USA</t>
        </is>
      </c>
      <c r="E4098" s="21" t="n">
        <v>113</v>
      </c>
      <c r="F4098" s="21" t="inlineStr">
        <is>
          <t>English</t>
        </is>
      </c>
      <c r="G4098" s="21" t="inlineStr">
        <is>
          <t>R</t>
        </is>
      </c>
      <c r="H4098" s="22" t="n">
        <v>45996718</v>
      </c>
      <c r="I4098" s="22" t="n">
        <v>60000000</v>
      </c>
      <c r="J4098" s="21">
        <f>IF(OR(H4098="",H4098=25529689.5),"Yes","No")</f>
        <v/>
      </c>
      <c r="K4098" s="21">
        <f>IF(AND(D4098="USA",C4098&gt;=1980,J4098="No"),"Yes","No")</f>
        <v/>
      </c>
      <c r="L4098" s="26">
        <f>IF(J4098="Yes","",H4098-I4098)</f>
        <v/>
      </c>
      <c r="M4098" s="27">
        <f>IF(OR(J4098="Yes",I4098=0),"",H4098/I4098)</f>
        <v/>
      </c>
      <c r="N4098" s="21">
        <f>IF(J4098="Yes","",IF(H4098&gt;=I4098,1,0))</f>
        <v/>
      </c>
      <c r="O4098" s="21">
        <f>IF(I4098&lt;=5000000,"Under $5M",IF(I4098&lt;=20000000,"$5M-20M",IF(I4098&lt;=50000000,"$20M-50M",IF(I4098&lt;=100000000,"$50M-100M","$100M+"))))</f>
        <v/>
      </c>
      <c r="P4098" s="21">
        <f>IF(E4098&lt;=90,"90 or less",IF(E4098&lt;=105,"91-105",IF(E4098&lt;=120,"106-120",IF(E4098&lt;=140,"121-140","Over 140"))))</f>
        <v/>
      </c>
      <c r="Q4098" s="28">
        <f>INT(C4098/10)*10</f>
        <v/>
      </c>
    </row>
    <row r="4099">
      <c r="A4099" s="21" t="n">
        <v>4183</v>
      </c>
      <c r="B4099" s="21" t="inlineStr">
        <is>
          <t>Getaway</t>
        </is>
      </c>
      <c r="C4099" s="21" t="n">
        <v>2013</v>
      </c>
      <c r="D4099" s="21" t="inlineStr">
        <is>
          <t>USA</t>
        </is>
      </c>
      <c r="E4099" s="21" t="n">
        <v>90</v>
      </c>
      <c r="F4099" s="21" t="inlineStr">
        <is>
          <t>English</t>
        </is>
      </c>
      <c r="G4099" s="21" t="inlineStr">
        <is>
          <t>PG-13</t>
        </is>
      </c>
      <c r="H4099" s="22" t="n">
        <v>10494494</v>
      </c>
      <c r="I4099" s="22" t="n">
        <v>18000000</v>
      </c>
      <c r="J4099" s="21">
        <f>IF(OR(H4099="",H4099=25529689.5),"Yes","No")</f>
        <v/>
      </c>
      <c r="K4099" s="21">
        <f>IF(AND(D4099="USA",C4099&gt;=1980,J4099="No"),"Yes","No")</f>
        <v/>
      </c>
      <c r="L4099" s="26">
        <f>IF(J4099="Yes","",H4099-I4099)</f>
        <v/>
      </c>
      <c r="M4099" s="27">
        <f>IF(OR(J4099="Yes",I4099=0),"",H4099/I4099)</f>
        <v/>
      </c>
      <c r="N4099" s="21">
        <f>IF(J4099="Yes","",IF(H4099&gt;=I4099,1,0))</f>
        <v/>
      </c>
      <c r="O4099" s="21">
        <f>IF(I4099&lt;=5000000,"Under $5M",IF(I4099&lt;=20000000,"$5M-20M",IF(I4099&lt;=50000000,"$20M-50M",IF(I4099&lt;=100000000,"$50M-100M","$100M+"))))</f>
        <v/>
      </c>
      <c r="P4099" s="21">
        <f>IF(E4099&lt;=90,"90 or less",IF(E4099&lt;=105,"91-105",IF(E4099&lt;=120,"106-120",IF(E4099&lt;=140,"121-140","Over 140"))))</f>
        <v/>
      </c>
      <c r="Q4099" s="28">
        <f>INT(C4099/10)*10</f>
        <v/>
      </c>
    </row>
    <row r="4100">
      <c r="A4100" s="21" t="n">
        <v>4184</v>
      </c>
      <c r="B4100" s="21" t="inlineStr">
        <is>
          <t>Grace Unplugged</t>
        </is>
      </c>
      <c r="C4100" s="21" t="n">
        <v>2013</v>
      </c>
      <c r="D4100" s="21" t="inlineStr">
        <is>
          <t>USA</t>
        </is>
      </c>
      <c r="E4100" s="21" t="n">
        <v>102</v>
      </c>
      <c r="F4100" s="21" t="inlineStr">
        <is>
          <t>English</t>
        </is>
      </c>
      <c r="G4100" s="21" t="inlineStr">
        <is>
          <t>PG</t>
        </is>
      </c>
      <c r="H4100" s="22" t="n">
        <v>2507106</v>
      </c>
      <c r="I4100" s="22" t="n">
        <v>20000000</v>
      </c>
      <c r="J4100" s="21">
        <f>IF(OR(H4100="",H4100=25529689.5),"Yes","No")</f>
        <v/>
      </c>
      <c r="K4100" s="21">
        <f>IF(AND(D4100="USA",C4100&gt;=1980,J4100="No"),"Yes","No")</f>
        <v/>
      </c>
      <c r="L4100" s="26">
        <f>IF(J4100="Yes","",H4100-I4100)</f>
        <v/>
      </c>
      <c r="M4100" s="27">
        <f>IF(OR(J4100="Yes",I4100=0),"",H4100/I4100)</f>
        <v/>
      </c>
      <c r="N4100" s="21">
        <f>IF(J4100="Yes","",IF(H4100&gt;=I4100,1,0))</f>
        <v/>
      </c>
      <c r="O4100" s="21">
        <f>IF(I4100&lt;=5000000,"Under $5M",IF(I4100&lt;=20000000,"$5M-20M",IF(I4100&lt;=50000000,"$20M-50M",IF(I4100&lt;=100000000,"$50M-100M","$100M+"))))</f>
        <v/>
      </c>
      <c r="P4100" s="21">
        <f>IF(E4100&lt;=90,"90 or less",IF(E4100&lt;=105,"91-105",IF(E4100&lt;=120,"106-120",IF(E4100&lt;=140,"121-140","Over 140"))))</f>
        <v/>
      </c>
      <c r="Q4100" s="28">
        <f>INT(C4100/10)*10</f>
        <v/>
      </c>
    </row>
    <row r="4101">
      <c r="A4101" s="21" t="n">
        <v>4185</v>
      </c>
      <c r="B4101" s="21" t="inlineStr">
        <is>
          <t>Gravity</t>
        </is>
      </c>
      <c r="C4101" s="21" t="n">
        <v>2013</v>
      </c>
      <c r="D4101" s="21" t="inlineStr">
        <is>
          <t>UK</t>
        </is>
      </c>
      <c r="E4101" s="21" t="n">
        <v>91</v>
      </c>
      <c r="F4101" s="21" t="inlineStr">
        <is>
          <t>English</t>
        </is>
      </c>
      <c r="G4101" s="21" t="inlineStr">
        <is>
          <t>PG-13</t>
        </is>
      </c>
      <c r="H4101" s="22" t="n">
        <v>274084951</v>
      </c>
      <c r="I4101" s="22" t="n">
        <v>100000000</v>
      </c>
      <c r="J4101" s="21">
        <f>IF(OR(H4101="",H4101=25529689.5),"Yes","No")</f>
        <v/>
      </c>
      <c r="K4101" s="21">
        <f>IF(AND(D4101="USA",C4101&gt;=1980,J4101="No"),"Yes","No")</f>
        <v/>
      </c>
      <c r="L4101" s="26">
        <f>IF(J4101="Yes","",H4101-I4101)</f>
        <v/>
      </c>
      <c r="M4101" s="27">
        <f>IF(OR(J4101="Yes",I4101=0),"",H4101/I4101)</f>
        <v/>
      </c>
      <c r="N4101" s="21">
        <f>IF(J4101="Yes","",IF(H4101&gt;=I4101,1,0))</f>
        <v/>
      </c>
      <c r="O4101" s="21">
        <f>IF(I4101&lt;=5000000,"Under $5M",IF(I4101&lt;=20000000,"$5M-20M",IF(I4101&lt;=50000000,"$20M-50M",IF(I4101&lt;=100000000,"$50M-100M","$100M+"))))</f>
        <v/>
      </c>
      <c r="P4101" s="21">
        <f>IF(E4101&lt;=90,"90 or less",IF(E4101&lt;=105,"91-105",IF(E4101&lt;=120,"106-120",IF(E4101&lt;=140,"121-140","Over 140"))))</f>
        <v/>
      </c>
      <c r="Q4101" s="28">
        <f>INT(C4101/10)*10</f>
        <v/>
      </c>
    </row>
    <row r="4102">
      <c r="A4102" s="21" t="n">
        <v>4186</v>
      </c>
      <c r="B4102" s="21" t="inlineStr">
        <is>
          <t>Green Street 3: Never Back Down</t>
        </is>
      </c>
      <c r="C4102" s="21" t="n">
        <v>2013</v>
      </c>
      <c r="D4102" s="21" t="inlineStr">
        <is>
          <t>UK</t>
        </is>
      </c>
      <c r="E4102" s="21" t="n">
        <v>93</v>
      </c>
      <c r="F4102" s="21" t="inlineStr">
        <is>
          <t>English</t>
        </is>
      </c>
      <c r="G4102" s="21" t="inlineStr">
        <is>
          <t>R</t>
        </is>
      </c>
      <c r="H4102" s="22" t="n">
        <v>25529689.5</v>
      </c>
      <c r="I4102" s="22" t="n">
        <v>20000000</v>
      </c>
      <c r="J4102" s="21">
        <f>IF(OR(H4102="",H4102=25529689.5),"Yes","No")</f>
        <v/>
      </c>
      <c r="K4102" s="21">
        <f>IF(AND(D4102="USA",C4102&gt;=1980,J4102="No"),"Yes","No")</f>
        <v/>
      </c>
      <c r="L4102" s="26">
        <f>IF(J4102="Yes","",H4102-I4102)</f>
        <v/>
      </c>
      <c r="M4102" s="27">
        <f>IF(OR(J4102="Yes",I4102=0),"",H4102/I4102)</f>
        <v/>
      </c>
      <c r="N4102" s="21">
        <f>IF(J4102="Yes","",IF(H4102&gt;=I4102,1,0))</f>
        <v/>
      </c>
      <c r="O4102" s="21">
        <f>IF(I4102&lt;=5000000,"Under $5M",IF(I4102&lt;=20000000,"$5M-20M",IF(I4102&lt;=50000000,"$20M-50M",IF(I4102&lt;=100000000,"$50M-100M","$100M+"))))</f>
        <v/>
      </c>
      <c r="P4102" s="21">
        <f>IF(E4102&lt;=90,"90 or less",IF(E4102&lt;=105,"91-105",IF(E4102&lt;=120,"106-120",IF(E4102&lt;=140,"121-140","Over 140"))))</f>
        <v/>
      </c>
      <c r="Q4102" s="28">
        <f>INT(C4102/10)*10</f>
        <v/>
      </c>
    </row>
    <row r="4103">
      <c r="A4103" s="21" t="n">
        <v>4187</v>
      </c>
      <c r="B4103" s="21" t="inlineStr">
        <is>
          <t>Grown Ups 2</t>
        </is>
      </c>
      <c r="C4103" s="21" t="n">
        <v>2013</v>
      </c>
      <c r="D4103" s="21" t="inlineStr">
        <is>
          <t>USA</t>
        </is>
      </c>
      <c r="E4103" s="21" t="n">
        <v>101</v>
      </c>
      <c r="F4103" s="21" t="inlineStr">
        <is>
          <t>English</t>
        </is>
      </c>
      <c r="G4103" s="21" t="inlineStr">
        <is>
          <t>PG-13</t>
        </is>
      </c>
      <c r="H4103" s="22" t="n">
        <v>133668525</v>
      </c>
      <c r="I4103" s="22" t="n">
        <v>80000000</v>
      </c>
      <c r="J4103" s="21">
        <f>IF(OR(H4103="",H4103=25529689.5),"Yes","No")</f>
        <v/>
      </c>
      <c r="K4103" s="21">
        <f>IF(AND(D4103="USA",C4103&gt;=1980,J4103="No"),"Yes","No")</f>
        <v/>
      </c>
      <c r="L4103" s="26">
        <f>IF(J4103="Yes","",H4103-I4103)</f>
        <v/>
      </c>
      <c r="M4103" s="27">
        <f>IF(OR(J4103="Yes",I4103=0),"",H4103/I4103)</f>
        <v/>
      </c>
      <c r="N4103" s="21">
        <f>IF(J4103="Yes","",IF(H4103&gt;=I4103,1,0))</f>
        <v/>
      </c>
      <c r="O4103" s="21">
        <f>IF(I4103&lt;=5000000,"Under $5M",IF(I4103&lt;=20000000,"$5M-20M",IF(I4103&lt;=50000000,"$20M-50M",IF(I4103&lt;=100000000,"$50M-100M","$100M+"))))</f>
        <v/>
      </c>
      <c r="P4103" s="21">
        <f>IF(E4103&lt;=90,"90 or less",IF(E4103&lt;=105,"91-105",IF(E4103&lt;=120,"106-120",IF(E4103&lt;=140,"121-140","Over 140"))))</f>
        <v/>
      </c>
      <c r="Q4103" s="28">
        <f>INT(C4103/10)*10</f>
        <v/>
      </c>
    </row>
    <row r="4104">
      <c r="A4104" s="21" t="n">
        <v>4188</v>
      </c>
      <c r="B4104" s="21" t="inlineStr">
        <is>
          <t>Grudge Match</t>
        </is>
      </c>
      <c r="C4104" s="21" t="n">
        <v>2013</v>
      </c>
      <c r="D4104" s="21" t="inlineStr">
        <is>
          <t>USA</t>
        </is>
      </c>
      <c r="E4104" s="21" t="n">
        <v>113</v>
      </c>
      <c r="F4104" s="21" t="inlineStr">
        <is>
          <t>English</t>
        </is>
      </c>
      <c r="G4104" s="21" t="inlineStr">
        <is>
          <t>PG-13</t>
        </is>
      </c>
      <c r="H4104" s="22" t="n">
        <v>29802761</v>
      </c>
      <c r="I4104" s="22" t="n">
        <v>40000000</v>
      </c>
      <c r="J4104" s="21">
        <f>IF(OR(H4104="",H4104=25529689.5),"Yes","No")</f>
        <v/>
      </c>
      <c r="K4104" s="21">
        <f>IF(AND(D4104="USA",C4104&gt;=1980,J4104="No"),"Yes","No")</f>
        <v/>
      </c>
      <c r="L4104" s="26">
        <f>IF(J4104="Yes","",H4104-I4104)</f>
        <v/>
      </c>
      <c r="M4104" s="27">
        <f>IF(OR(J4104="Yes",I4104=0),"",H4104/I4104)</f>
        <v/>
      </c>
      <c r="N4104" s="21">
        <f>IF(J4104="Yes","",IF(H4104&gt;=I4104,1,0))</f>
        <v/>
      </c>
      <c r="O4104" s="21">
        <f>IF(I4104&lt;=5000000,"Under $5M",IF(I4104&lt;=20000000,"$5M-20M",IF(I4104&lt;=50000000,"$20M-50M",IF(I4104&lt;=100000000,"$50M-100M","$100M+"))))</f>
        <v/>
      </c>
      <c r="P4104" s="21">
        <f>IF(E4104&lt;=90,"90 or less",IF(E4104&lt;=105,"91-105",IF(E4104&lt;=120,"106-120",IF(E4104&lt;=140,"121-140","Over 140"))))</f>
        <v/>
      </c>
      <c r="Q4104" s="28">
        <f>INT(C4104/10)*10</f>
        <v/>
      </c>
    </row>
    <row r="4105">
      <c r="A4105" s="21" t="n">
        <v>4189</v>
      </c>
      <c r="B4105" s="21" t="inlineStr">
        <is>
          <t>Hansel &amp; Gretel Get Baked</t>
        </is>
      </c>
      <c r="C4105" s="21" t="n">
        <v>2013</v>
      </c>
      <c r="D4105" s="21" t="inlineStr">
        <is>
          <t>USA</t>
        </is>
      </c>
      <c r="E4105" s="21" t="n">
        <v>86</v>
      </c>
      <c r="F4105" s="21" t="inlineStr">
        <is>
          <t>English</t>
        </is>
      </c>
      <c r="G4105" s="21" t="n"/>
      <c r="H4105" s="22" t="n">
        <v>25529689.5</v>
      </c>
      <c r="I4105" s="22" t="n">
        <v>4500000</v>
      </c>
      <c r="J4105" s="21">
        <f>IF(OR(H4105="",H4105=25529689.5),"Yes","No")</f>
        <v/>
      </c>
      <c r="K4105" s="21">
        <f>IF(AND(D4105="USA",C4105&gt;=1980,J4105="No"),"Yes","No")</f>
        <v/>
      </c>
      <c r="L4105" s="26">
        <f>IF(J4105="Yes","",H4105-I4105)</f>
        <v/>
      </c>
      <c r="M4105" s="27">
        <f>IF(OR(J4105="Yes",I4105=0),"",H4105/I4105)</f>
        <v/>
      </c>
      <c r="N4105" s="21">
        <f>IF(J4105="Yes","",IF(H4105&gt;=I4105,1,0))</f>
        <v/>
      </c>
      <c r="O4105" s="21">
        <f>IF(I4105&lt;=5000000,"Under $5M",IF(I4105&lt;=20000000,"$5M-20M",IF(I4105&lt;=50000000,"$20M-50M",IF(I4105&lt;=100000000,"$50M-100M","$100M+"))))</f>
        <v/>
      </c>
      <c r="P4105" s="21">
        <f>IF(E4105&lt;=90,"90 or less",IF(E4105&lt;=105,"91-105",IF(E4105&lt;=120,"106-120",IF(E4105&lt;=140,"121-140","Over 140"))))</f>
        <v/>
      </c>
      <c r="Q4105" s="28">
        <f>INT(C4105/10)*10</f>
        <v/>
      </c>
    </row>
    <row r="4106">
      <c r="A4106" s="21" t="n">
        <v>4190</v>
      </c>
      <c r="B4106" s="21" t="inlineStr">
        <is>
          <t>Hansel &amp; Gretel: Witch Hunters</t>
        </is>
      </c>
      <c r="C4106" s="21" t="n">
        <v>2013</v>
      </c>
      <c r="D4106" s="21" t="inlineStr">
        <is>
          <t>Germany</t>
        </is>
      </c>
      <c r="E4106" s="21" t="n">
        <v>98</v>
      </c>
      <c r="F4106" s="21" t="inlineStr">
        <is>
          <t>English</t>
        </is>
      </c>
      <c r="G4106" s="21" t="inlineStr">
        <is>
          <t>R</t>
        </is>
      </c>
      <c r="H4106" s="22" t="n">
        <v>55682070</v>
      </c>
      <c r="I4106" s="22" t="n">
        <v>50000000</v>
      </c>
      <c r="J4106" s="21">
        <f>IF(OR(H4106="",H4106=25529689.5),"Yes","No")</f>
        <v/>
      </c>
      <c r="K4106" s="21">
        <f>IF(AND(D4106="USA",C4106&gt;=1980,J4106="No"),"Yes","No")</f>
        <v/>
      </c>
      <c r="L4106" s="26">
        <f>IF(J4106="Yes","",H4106-I4106)</f>
        <v/>
      </c>
      <c r="M4106" s="27">
        <f>IF(OR(J4106="Yes",I4106=0),"",H4106/I4106)</f>
        <v/>
      </c>
      <c r="N4106" s="21">
        <f>IF(J4106="Yes","",IF(H4106&gt;=I4106,1,0))</f>
        <v/>
      </c>
      <c r="O4106" s="21">
        <f>IF(I4106&lt;=5000000,"Under $5M",IF(I4106&lt;=20000000,"$5M-20M",IF(I4106&lt;=50000000,"$20M-50M",IF(I4106&lt;=100000000,"$50M-100M","$100M+"))))</f>
        <v/>
      </c>
      <c r="P4106" s="21">
        <f>IF(E4106&lt;=90,"90 or less",IF(E4106&lt;=105,"91-105",IF(E4106&lt;=120,"106-120",IF(E4106&lt;=140,"121-140","Over 140"))))</f>
        <v/>
      </c>
      <c r="Q4106" s="28">
        <f>INT(C4106/10)*10</f>
        <v/>
      </c>
    </row>
    <row r="4107">
      <c r="A4107" s="21" t="n">
        <v>4191</v>
      </c>
      <c r="B4107" s="21" t="inlineStr">
        <is>
          <t>Hard to Be a God</t>
        </is>
      </c>
      <c r="C4107" s="21" t="n">
        <v>2013</v>
      </c>
      <c r="D4107" s="21" t="inlineStr">
        <is>
          <t>Russia</t>
        </is>
      </c>
      <c r="E4107" s="21" t="n">
        <v>177</v>
      </c>
      <c r="F4107" s="21" t="inlineStr">
        <is>
          <t>Russian</t>
        </is>
      </c>
      <c r="G4107" s="21" t="inlineStr">
        <is>
          <t>Not Rated</t>
        </is>
      </c>
      <c r="H4107" s="22" t="n">
        <v>25529689.5</v>
      </c>
      <c r="I4107" s="22" t="n">
        <v>7000000</v>
      </c>
      <c r="J4107" s="21">
        <f>IF(OR(H4107="",H4107=25529689.5),"Yes","No")</f>
        <v/>
      </c>
      <c r="K4107" s="21">
        <f>IF(AND(D4107="USA",C4107&gt;=1980,J4107="No"),"Yes","No")</f>
        <v/>
      </c>
      <c r="L4107" s="26">
        <f>IF(J4107="Yes","",H4107-I4107)</f>
        <v/>
      </c>
      <c r="M4107" s="27">
        <f>IF(OR(J4107="Yes",I4107=0),"",H4107/I4107)</f>
        <v/>
      </c>
      <c r="N4107" s="21">
        <f>IF(J4107="Yes","",IF(H4107&gt;=I4107,1,0))</f>
        <v/>
      </c>
      <c r="O4107" s="21">
        <f>IF(I4107&lt;=5000000,"Under $5M",IF(I4107&lt;=20000000,"$5M-20M",IF(I4107&lt;=50000000,"$20M-50M",IF(I4107&lt;=100000000,"$50M-100M","$100M+"))))</f>
        <v/>
      </c>
      <c r="P4107" s="21">
        <f>IF(E4107&lt;=90,"90 or less",IF(E4107&lt;=105,"91-105",IF(E4107&lt;=120,"106-120",IF(E4107&lt;=140,"121-140","Over 140"))))</f>
        <v/>
      </c>
      <c r="Q4107" s="28">
        <f>INT(C4107/10)*10</f>
        <v/>
      </c>
    </row>
    <row r="4108">
      <c r="A4108" s="21" t="n">
        <v>4192</v>
      </c>
      <c r="B4108" s="21" t="inlineStr">
        <is>
          <t>Harlock: Space Pirate</t>
        </is>
      </c>
      <c r="C4108" s="21" t="n">
        <v>2013</v>
      </c>
      <c r="D4108" s="21" t="inlineStr">
        <is>
          <t>Japan</t>
        </is>
      </c>
      <c r="E4108" s="21" t="n">
        <v>115</v>
      </c>
      <c r="F4108" s="21" t="inlineStr">
        <is>
          <t>Japanese</t>
        </is>
      </c>
      <c r="G4108" s="21" t="inlineStr">
        <is>
          <t>Not Rated</t>
        </is>
      </c>
      <c r="H4108" s="22" t="n">
        <v>25529689.5</v>
      </c>
      <c r="I4108" s="22" t="n">
        <v>30000000</v>
      </c>
      <c r="J4108" s="21">
        <f>IF(OR(H4108="",H4108=25529689.5),"Yes","No")</f>
        <v/>
      </c>
      <c r="K4108" s="21">
        <f>IF(AND(D4108="USA",C4108&gt;=1980,J4108="No"),"Yes","No")</f>
        <v/>
      </c>
      <c r="L4108" s="26">
        <f>IF(J4108="Yes","",H4108-I4108)</f>
        <v/>
      </c>
      <c r="M4108" s="27">
        <f>IF(OR(J4108="Yes",I4108=0),"",H4108/I4108)</f>
        <v/>
      </c>
      <c r="N4108" s="21">
        <f>IF(J4108="Yes","",IF(H4108&gt;=I4108,1,0))</f>
        <v/>
      </c>
      <c r="O4108" s="21">
        <f>IF(I4108&lt;=5000000,"Under $5M",IF(I4108&lt;=20000000,"$5M-20M",IF(I4108&lt;=50000000,"$20M-50M",IF(I4108&lt;=100000000,"$50M-100M","$100M+"))))</f>
        <v/>
      </c>
      <c r="P4108" s="21">
        <f>IF(E4108&lt;=90,"90 or less",IF(E4108&lt;=105,"91-105",IF(E4108&lt;=120,"106-120",IF(E4108&lt;=140,"121-140","Over 140"))))</f>
        <v/>
      </c>
      <c r="Q4108" s="28">
        <f>INT(C4108/10)*10</f>
        <v/>
      </c>
    </row>
    <row r="4109">
      <c r="A4109" s="21" t="n">
        <v>4193</v>
      </c>
      <c r="B4109" s="21" t="inlineStr">
        <is>
          <t>Heli</t>
        </is>
      </c>
      <c r="C4109" s="21" t="n">
        <v>2013</v>
      </c>
      <c r="D4109" s="21" t="inlineStr">
        <is>
          <t>Mexico</t>
        </is>
      </c>
      <c r="E4109" s="21" t="n">
        <v>105</v>
      </c>
      <c r="F4109" s="21" t="inlineStr">
        <is>
          <t>Spanish</t>
        </is>
      </c>
      <c r="G4109" s="21" t="inlineStr">
        <is>
          <t>Not Rated</t>
        </is>
      </c>
      <c r="H4109" s="22" t="n">
        <v>25529689.5</v>
      </c>
      <c r="I4109" s="22" t="n">
        <v>1000000</v>
      </c>
      <c r="J4109" s="21">
        <f>IF(OR(H4109="",H4109=25529689.5),"Yes","No")</f>
        <v/>
      </c>
      <c r="K4109" s="21">
        <f>IF(AND(D4109="USA",C4109&gt;=1980,J4109="No"),"Yes","No")</f>
        <v/>
      </c>
      <c r="L4109" s="26">
        <f>IF(J4109="Yes","",H4109-I4109)</f>
        <v/>
      </c>
      <c r="M4109" s="27">
        <f>IF(OR(J4109="Yes",I4109=0),"",H4109/I4109)</f>
        <v/>
      </c>
      <c r="N4109" s="21">
        <f>IF(J4109="Yes","",IF(H4109&gt;=I4109,1,0))</f>
        <v/>
      </c>
      <c r="O4109" s="21">
        <f>IF(I4109&lt;=5000000,"Under $5M",IF(I4109&lt;=20000000,"$5M-20M",IF(I4109&lt;=50000000,"$20M-50M",IF(I4109&lt;=100000000,"$50M-100M","$100M+"))))</f>
        <v/>
      </c>
      <c r="P4109" s="21">
        <f>IF(E4109&lt;=90,"90 or less",IF(E4109&lt;=105,"91-105",IF(E4109&lt;=120,"106-120",IF(E4109&lt;=140,"121-140","Over 140"))))</f>
        <v/>
      </c>
      <c r="Q4109" s="28">
        <f>INT(C4109/10)*10</f>
        <v/>
      </c>
    </row>
    <row r="4110">
      <c r="A4110" s="21" t="n">
        <v>4194</v>
      </c>
      <c r="B4110" s="21" t="inlineStr">
        <is>
          <t>Her</t>
        </is>
      </c>
      <c r="C4110" s="21" t="n">
        <v>2013</v>
      </c>
      <c r="D4110" s="21" t="inlineStr">
        <is>
          <t>USA</t>
        </is>
      </c>
      <c r="E4110" s="21" t="n">
        <v>126</v>
      </c>
      <c r="F4110" s="21" t="inlineStr">
        <is>
          <t>English</t>
        </is>
      </c>
      <c r="G4110" s="21" t="inlineStr">
        <is>
          <t>R</t>
        </is>
      </c>
      <c r="H4110" s="22" t="n">
        <v>25556065</v>
      </c>
      <c r="I4110" s="22" t="n">
        <v>23000000</v>
      </c>
      <c r="J4110" s="21">
        <f>IF(OR(H4110="",H4110=25529689.5),"Yes","No")</f>
        <v/>
      </c>
      <c r="K4110" s="21">
        <f>IF(AND(D4110="USA",C4110&gt;=1980,J4110="No"),"Yes","No")</f>
        <v/>
      </c>
      <c r="L4110" s="26">
        <f>IF(J4110="Yes","",H4110-I4110)</f>
        <v/>
      </c>
      <c r="M4110" s="27">
        <f>IF(OR(J4110="Yes",I4110=0),"",H4110/I4110)</f>
        <v/>
      </c>
      <c r="N4110" s="21">
        <f>IF(J4110="Yes","",IF(H4110&gt;=I4110,1,0))</f>
        <v/>
      </c>
      <c r="O4110" s="21">
        <f>IF(I4110&lt;=5000000,"Under $5M",IF(I4110&lt;=20000000,"$5M-20M",IF(I4110&lt;=50000000,"$20M-50M",IF(I4110&lt;=100000000,"$50M-100M","$100M+"))))</f>
        <v/>
      </c>
      <c r="P4110" s="21">
        <f>IF(E4110&lt;=90,"90 or less",IF(E4110&lt;=105,"91-105",IF(E4110&lt;=120,"106-120",IF(E4110&lt;=140,"121-140","Over 140"))))</f>
        <v/>
      </c>
      <c r="Q4110" s="28">
        <f>INT(C4110/10)*10</f>
        <v/>
      </c>
    </row>
    <row r="4111">
      <c r="A4111" s="21" t="n">
        <v>4195</v>
      </c>
      <c r="B4111" s="21" t="inlineStr">
        <is>
          <t>Her Cry: La Llorona Investigation</t>
        </is>
      </c>
      <c r="C4111" s="21" t="n">
        <v>2013</v>
      </c>
      <c r="D4111" s="21" t="inlineStr">
        <is>
          <t>USA</t>
        </is>
      </c>
      <c r="E4111" s="21" t="n">
        <v>89</v>
      </c>
      <c r="F4111" s="21" t="inlineStr">
        <is>
          <t>English</t>
        </is>
      </c>
      <c r="G4111" s="21" t="inlineStr">
        <is>
          <t>Not Rated</t>
        </is>
      </c>
      <c r="H4111" s="22" t="n">
        <v>25529689.5</v>
      </c>
      <c r="I4111" s="22" t="n">
        <v>60000</v>
      </c>
      <c r="J4111" s="21">
        <f>IF(OR(H4111="",H4111=25529689.5),"Yes","No")</f>
        <v/>
      </c>
      <c r="K4111" s="21">
        <f>IF(AND(D4111="USA",C4111&gt;=1980,J4111="No"),"Yes","No")</f>
        <v/>
      </c>
      <c r="L4111" s="26">
        <f>IF(J4111="Yes","",H4111-I4111)</f>
        <v/>
      </c>
      <c r="M4111" s="27">
        <f>IF(OR(J4111="Yes",I4111=0),"",H4111/I4111)</f>
        <v/>
      </c>
      <c r="N4111" s="21">
        <f>IF(J4111="Yes","",IF(H4111&gt;=I4111,1,0))</f>
        <v/>
      </c>
      <c r="O4111" s="21">
        <f>IF(I4111&lt;=5000000,"Under $5M",IF(I4111&lt;=20000000,"$5M-20M",IF(I4111&lt;=50000000,"$20M-50M",IF(I4111&lt;=100000000,"$50M-100M","$100M+"))))</f>
        <v/>
      </c>
      <c r="P4111" s="21">
        <f>IF(E4111&lt;=90,"90 or less",IF(E4111&lt;=105,"91-105",IF(E4111&lt;=120,"106-120",IF(E4111&lt;=140,"121-140","Over 140"))))</f>
        <v/>
      </c>
      <c r="Q4111" s="28">
        <f>INT(C4111/10)*10</f>
        <v/>
      </c>
    </row>
    <row r="4112">
      <c r="A4112" s="21" t="n">
        <v>4196</v>
      </c>
      <c r="B4112" s="21" t="inlineStr">
        <is>
          <t>Home Run</t>
        </is>
      </c>
      <c r="C4112" s="21" t="n">
        <v>2013</v>
      </c>
      <c r="D4112" s="21" t="inlineStr">
        <is>
          <t>USA</t>
        </is>
      </c>
      <c r="E4112" s="21" t="n">
        <v>113</v>
      </c>
      <c r="F4112" s="21" t="inlineStr">
        <is>
          <t>English</t>
        </is>
      </c>
      <c r="G4112" s="21" t="inlineStr">
        <is>
          <t>PG-13</t>
        </is>
      </c>
      <c r="H4112" s="22" t="n">
        <v>2859955</v>
      </c>
      <c r="I4112" s="22" t="n">
        <v>1200000</v>
      </c>
      <c r="J4112" s="21">
        <f>IF(OR(H4112="",H4112=25529689.5),"Yes","No")</f>
        <v/>
      </c>
      <c r="K4112" s="21">
        <f>IF(AND(D4112="USA",C4112&gt;=1980,J4112="No"),"Yes","No")</f>
        <v/>
      </c>
      <c r="L4112" s="26">
        <f>IF(J4112="Yes","",H4112-I4112)</f>
        <v/>
      </c>
      <c r="M4112" s="27">
        <f>IF(OR(J4112="Yes",I4112=0),"",H4112/I4112)</f>
        <v/>
      </c>
      <c r="N4112" s="21">
        <f>IF(J4112="Yes","",IF(H4112&gt;=I4112,1,0))</f>
        <v/>
      </c>
      <c r="O4112" s="21">
        <f>IF(I4112&lt;=5000000,"Under $5M",IF(I4112&lt;=20000000,"$5M-20M",IF(I4112&lt;=50000000,"$20M-50M",IF(I4112&lt;=100000000,"$50M-100M","$100M+"))))</f>
        <v/>
      </c>
      <c r="P4112" s="21">
        <f>IF(E4112&lt;=90,"90 or less",IF(E4112&lt;=105,"91-105",IF(E4112&lt;=120,"106-120",IF(E4112&lt;=140,"121-140","Over 140"))))</f>
        <v/>
      </c>
      <c r="Q4112" s="28">
        <f>INT(C4112/10)*10</f>
        <v/>
      </c>
    </row>
    <row r="4113">
      <c r="A4113" s="21" t="n">
        <v>4197</v>
      </c>
      <c r="B4113" s="21" t="inlineStr">
        <is>
          <t>Homefront</t>
        </is>
      </c>
      <c r="C4113" s="21" t="n">
        <v>2013</v>
      </c>
      <c r="D4113" s="21" t="inlineStr">
        <is>
          <t>USA</t>
        </is>
      </c>
      <c r="E4113" s="21" t="n">
        <v>100</v>
      </c>
      <c r="F4113" s="21" t="inlineStr">
        <is>
          <t>English</t>
        </is>
      </c>
      <c r="G4113" s="21" t="inlineStr">
        <is>
          <t>R</t>
        </is>
      </c>
      <c r="H4113" s="22" t="n">
        <v>19783777</v>
      </c>
      <c r="I4113" s="22" t="n">
        <v>22000000</v>
      </c>
      <c r="J4113" s="21">
        <f>IF(OR(H4113="",H4113=25529689.5),"Yes","No")</f>
        <v/>
      </c>
      <c r="K4113" s="21">
        <f>IF(AND(D4113="USA",C4113&gt;=1980,J4113="No"),"Yes","No")</f>
        <v/>
      </c>
      <c r="L4113" s="26">
        <f>IF(J4113="Yes","",H4113-I4113)</f>
        <v/>
      </c>
      <c r="M4113" s="27">
        <f>IF(OR(J4113="Yes",I4113=0),"",H4113/I4113)</f>
        <v/>
      </c>
      <c r="N4113" s="21">
        <f>IF(J4113="Yes","",IF(H4113&gt;=I4113,1,0))</f>
        <v/>
      </c>
      <c r="O4113" s="21">
        <f>IF(I4113&lt;=5000000,"Under $5M",IF(I4113&lt;=20000000,"$5M-20M",IF(I4113&lt;=50000000,"$20M-50M",IF(I4113&lt;=100000000,"$50M-100M","$100M+"))))</f>
        <v/>
      </c>
      <c r="P4113" s="21">
        <f>IF(E4113&lt;=90,"90 or less",IF(E4113&lt;=105,"91-105",IF(E4113&lt;=120,"106-120",IF(E4113&lt;=140,"121-140","Over 140"))))</f>
        <v/>
      </c>
      <c r="Q4113" s="28">
        <f>INT(C4113/10)*10</f>
        <v/>
      </c>
    </row>
    <row r="4114">
      <c r="A4114" s="21" t="n">
        <v>4198</v>
      </c>
      <c r="B4114" s="21" t="inlineStr">
        <is>
          <t>Ida</t>
        </is>
      </c>
      <c r="C4114" s="21" t="n">
        <v>2013</v>
      </c>
      <c r="D4114" s="21" t="inlineStr">
        <is>
          <t>Poland</t>
        </is>
      </c>
      <c r="E4114" s="21" t="n">
        <v>82</v>
      </c>
      <c r="F4114" s="21" t="inlineStr">
        <is>
          <t>Polish</t>
        </is>
      </c>
      <c r="G4114" s="21" t="inlineStr">
        <is>
          <t>PG-13</t>
        </is>
      </c>
      <c r="H4114" s="22" t="n">
        <v>3826455</v>
      </c>
      <c r="I4114" s="22" t="n">
        <v>20000000</v>
      </c>
      <c r="J4114" s="21">
        <f>IF(OR(H4114="",H4114=25529689.5),"Yes","No")</f>
        <v/>
      </c>
      <c r="K4114" s="21">
        <f>IF(AND(D4114="USA",C4114&gt;=1980,J4114="No"),"Yes","No")</f>
        <v/>
      </c>
      <c r="L4114" s="26">
        <f>IF(J4114="Yes","",H4114-I4114)</f>
        <v/>
      </c>
      <c r="M4114" s="27">
        <f>IF(OR(J4114="Yes",I4114=0),"",H4114/I4114)</f>
        <v/>
      </c>
      <c r="N4114" s="21">
        <f>IF(J4114="Yes","",IF(H4114&gt;=I4114,1,0))</f>
        <v/>
      </c>
      <c r="O4114" s="21">
        <f>IF(I4114&lt;=5000000,"Under $5M",IF(I4114&lt;=20000000,"$5M-20M",IF(I4114&lt;=50000000,"$20M-50M",IF(I4114&lt;=100000000,"$50M-100M","$100M+"))))</f>
        <v/>
      </c>
      <c r="P4114" s="21">
        <f>IF(E4114&lt;=90,"90 or less",IF(E4114&lt;=105,"91-105",IF(E4114&lt;=120,"106-120",IF(E4114&lt;=140,"121-140","Over 140"))))</f>
        <v/>
      </c>
      <c r="Q4114" s="28">
        <f>INT(C4114/10)*10</f>
        <v/>
      </c>
    </row>
    <row r="4115">
      <c r="A4115" s="21" t="n">
        <v>4199</v>
      </c>
      <c r="B4115" s="21" t="inlineStr">
        <is>
          <t>Identity Thief</t>
        </is>
      </c>
      <c r="C4115" s="21" t="n">
        <v>2013</v>
      </c>
      <c r="D4115" s="21" t="inlineStr">
        <is>
          <t>USA</t>
        </is>
      </c>
      <c r="E4115" s="21" t="n">
        <v>120</v>
      </c>
      <c r="F4115" s="21" t="inlineStr">
        <is>
          <t>English</t>
        </is>
      </c>
      <c r="G4115" s="21" t="inlineStr">
        <is>
          <t>R</t>
        </is>
      </c>
      <c r="H4115" s="22" t="n">
        <v>134455175</v>
      </c>
      <c r="I4115" s="22" t="n">
        <v>35000000</v>
      </c>
      <c r="J4115" s="21">
        <f>IF(OR(H4115="",H4115=25529689.5),"Yes","No")</f>
        <v/>
      </c>
      <c r="K4115" s="21">
        <f>IF(AND(D4115="USA",C4115&gt;=1980,J4115="No"),"Yes","No")</f>
        <v/>
      </c>
      <c r="L4115" s="26">
        <f>IF(J4115="Yes","",H4115-I4115)</f>
        <v/>
      </c>
      <c r="M4115" s="27">
        <f>IF(OR(J4115="Yes",I4115=0),"",H4115/I4115)</f>
        <v/>
      </c>
      <c r="N4115" s="21">
        <f>IF(J4115="Yes","",IF(H4115&gt;=I4115,1,0))</f>
        <v/>
      </c>
      <c r="O4115" s="21">
        <f>IF(I4115&lt;=5000000,"Under $5M",IF(I4115&lt;=20000000,"$5M-20M",IF(I4115&lt;=50000000,"$20M-50M",IF(I4115&lt;=100000000,"$50M-100M","$100M+"))))</f>
        <v/>
      </c>
      <c r="P4115" s="21">
        <f>IF(E4115&lt;=90,"90 or less",IF(E4115&lt;=105,"91-105",IF(E4115&lt;=120,"106-120",IF(E4115&lt;=140,"121-140","Over 140"))))</f>
        <v/>
      </c>
      <c r="Q4115" s="28">
        <f>INT(C4115/10)*10</f>
        <v/>
      </c>
    </row>
    <row r="4116">
      <c r="A4116" s="21" t="n">
        <v>4200</v>
      </c>
      <c r="B4116" s="21" t="inlineStr">
        <is>
          <t>Independence Daysaster</t>
        </is>
      </c>
      <c r="C4116" s="21" t="n">
        <v>2013</v>
      </c>
      <c r="D4116" s="21" t="inlineStr">
        <is>
          <t>Canada</t>
        </is>
      </c>
      <c r="E4116" s="21" t="n">
        <v>90</v>
      </c>
      <c r="F4116" s="21" t="inlineStr">
        <is>
          <t>English</t>
        </is>
      </c>
      <c r="G4116" s="21" t="inlineStr">
        <is>
          <t>PG-13</t>
        </is>
      </c>
      <c r="H4116" s="22" t="n">
        <v>25529689.5</v>
      </c>
      <c r="I4116" s="22" t="n">
        <v>1800000</v>
      </c>
      <c r="J4116" s="21">
        <f>IF(OR(H4116="",H4116=25529689.5),"Yes","No")</f>
        <v/>
      </c>
      <c r="K4116" s="21">
        <f>IF(AND(D4116="USA",C4116&gt;=1980,J4116="No"),"Yes","No")</f>
        <v/>
      </c>
      <c r="L4116" s="26">
        <f>IF(J4116="Yes","",H4116-I4116)</f>
        <v/>
      </c>
      <c r="M4116" s="27">
        <f>IF(OR(J4116="Yes",I4116=0),"",H4116/I4116)</f>
        <v/>
      </c>
      <c r="N4116" s="21">
        <f>IF(J4116="Yes","",IF(H4116&gt;=I4116,1,0))</f>
        <v/>
      </c>
      <c r="O4116" s="21">
        <f>IF(I4116&lt;=5000000,"Under $5M",IF(I4116&lt;=20000000,"$5M-20M",IF(I4116&lt;=50000000,"$20M-50M",IF(I4116&lt;=100000000,"$50M-100M","$100M+"))))</f>
        <v/>
      </c>
      <c r="P4116" s="21">
        <f>IF(E4116&lt;=90,"90 or less",IF(E4116&lt;=105,"91-105",IF(E4116&lt;=120,"106-120",IF(E4116&lt;=140,"121-140","Over 140"))))</f>
        <v/>
      </c>
      <c r="Q4116" s="28">
        <f>INT(C4116/10)*10</f>
        <v/>
      </c>
    </row>
    <row r="4117">
      <c r="A4117" s="21" t="n">
        <v>4201</v>
      </c>
      <c r="B4117" s="21" t="inlineStr">
        <is>
          <t>Inside Llewyn Davis</t>
        </is>
      </c>
      <c r="C4117" s="21" t="n">
        <v>2013</v>
      </c>
      <c r="D4117" s="21" t="inlineStr">
        <is>
          <t>USA</t>
        </is>
      </c>
      <c r="E4117" s="21" t="n">
        <v>104</v>
      </c>
      <c r="F4117" s="21" t="inlineStr">
        <is>
          <t>English</t>
        </is>
      </c>
      <c r="G4117" s="21" t="inlineStr">
        <is>
          <t>R</t>
        </is>
      </c>
      <c r="H4117" s="22" t="n">
        <v>13214255</v>
      </c>
      <c r="I4117" s="22" t="n">
        <v>11000000</v>
      </c>
      <c r="J4117" s="21">
        <f>IF(OR(H4117="",H4117=25529689.5),"Yes","No")</f>
        <v/>
      </c>
      <c r="K4117" s="21">
        <f>IF(AND(D4117="USA",C4117&gt;=1980,J4117="No"),"Yes","No")</f>
        <v/>
      </c>
      <c r="L4117" s="26">
        <f>IF(J4117="Yes","",H4117-I4117)</f>
        <v/>
      </c>
      <c r="M4117" s="27">
        <f>IF(OR(J4117="Yes",I4117=0),"",H4117/I4117)</f>
        <v/>
      </c>
      <c r="N4117" s="21">
        <f>IF(J4117="Yes","",IF(H4117&gt;=I4117,1,0))</f>
        <v/>
      </c>
      <c r="O4117" s="21">
        <f>IF(I4117&lt;=5000000,"Under $5M",IF(I4117&lt;=20000000,"$5M-20M",IF(I4117&lt;=50000000,"$20M-50M",IF(I4117&lt;=100000000,"$50M-100M","$100M+"))))</f>
        <v/>
      </c>
      <c r="P4117" s="21">
        <f>IF(E4117&lt;=90,"90 or less",IF(E4117&lt;=105,"91-105",IF(E4117&lt;=120,"106-120",IF(E4117&lt;=140,"121-140","Over 140"))))</f>
        <v/>
      </c>
      <c r="Q4117" s="28">
        <f>INT(C4117/10)*10</f>
        <v/>
      </c>
    </row>
    <row r="4118">
      <c r="A4118" s="21" t="n">
        <v>4202</v>
      </c>
      <c r="B4118" s="21" t="inlineStr">
        <is>
          <t>Insidious: Chapter 2</t>
        </is>
      </c>
      <c r="C4118" s="21" t="n">
        <v>2013</v>
      </c>
      <c r="D4118" s="21" t="inlineStr">
        <is>
          <t>USA</t>
        </is>
      </c>
      <c r="E4118" s="21" t="n">
        <v>106</v>
      </c>
      <c r="F4118" s="21" t="inlineStr">
        <is>
          <t>English</t>
        </is>
      </c>
      <c r="G4118" s="21" t="inlineStr">
        <is>
          <t>PG-13</t>
        </is>
      </c>
      <c r="H4118" s="22" t="n">
        <v>83574831</v>
      </c>
      <c r="I4118" s="22" t="n">
        <v>5000000</v>
      </c>
      <c r="J4118" s="21">
        <f>IF(OR(H4118="",H4118=25529689.5),"Yes","No")</f>
        <v/>
      </c>
      <c r="K4118" s="21">
        <f>IF(AND(D4118="USA",C4118&gt;=1980,J4118="No"),"Yes","No")</f>
        <v/>
      </c>
      <c r="L4118" s="26">
        <f>IF(J4118="Yes","",H4118-I4118)</f>
        <v/>
      </c>
      <c r="M4118" s="27">
        <f>IF(OR(J4118="Yes",I4118=0),"",H4118/I4118)</f>
        <v/>
      </c>
      <c r="N4118" s="21">
        <f>IF(J4118="Yes","",IF(H4118&gt;=I4118,1,0))</f>
        <v/>
      </c>
      <c r="O4118" s="21">
        <f>IF(I4118&lt;=5000000,"Under $5M",IF(I4118&lt;=20000000,"$5M-20M",IF(I4118&lt;=50000000,"$20M-50M",IF(I4118&lt;=100000000,"$50M-100M","$100M+"))))</f>
        <v/>
      </c>
      <c r="P4118" s="21">
        <f>IF(E4118&lt;=90,"90 or less",IF(E4118&lt;=105,"91-105",IF(E4118&lt;=120,"106-120",IF(E4118&lt;=140,"121-140","Over 140"))))</f>
        <v/>
      </c>
      <c r="Q4118" s="28">
        <f>INT(C4118/10)*10</f>
        <v/>
      </c>
    </row>
    <row r="4119">
      <c r="A4119" s="21" t="n">
        <v>4203</v>
      </c>
      <c r="B4119" s="21" t="inlineStr">
        <is>
          <t>Instructions Not Included</t>
        </is>
      </c>
      <c r="C4119" s="21" t="n">
        <v>2013</v>
      </c>
      <c r="D4119" s="21" t="inlineStr">
        <is>
          <t>Mexico</t>
        </is>
      </c>
      <c r="E4119" s="21" t="n">
        <v>115</v>
      </c>
      <c r="F4119" s="21" t="inlineStr">
        <is>
          <t>Spanish</t>
        </is>
      </c>
      <c r="G4119" s="21" t="inlineStr">
        <is>
          <t>PG-13</t>
        </is>
      </c>
      <c r="H4119" s="22" t="n">
        <v>44456509</v>
      </c>
      <c r="I4119" s="22" t="n">
        <v>5000000</v>
      </c>
      <c r="J4119" s="21">
        <f>IF(OR(H4119="",H4119=25529689.5),"Yes","No")</f>
        <v/>
      </c>
      <c r="K4119" s="21">
        <f>IF(AND(D4119="USA",C4119&gt;=1980,J4119="No"),"Yes","No")</f>
        <v/>
      </c>
      <c r="L4119" s="26">
        <f>IF(J4119="Yes","",H4119-I4119)</f>
        <v/>
      </c>
      <c r="M4119" s="27">
        <f>IF(OR(J4119="Yes",I4119=0),"",H4119/I4119)</f>
        <v/>
      </c>
      <c r="N4119" s="21">
        <f>IF(J4119="Yes","",IF(H4119&gt;=I4119,1,0))</f>
        <v/>
      </c>
      <c r="O4119" s="21">
        <f>IF(I4119&lt;=5000000,"Under $5M",IF(I4119&lt;=20000000,"$5M-20M",IF(I4119&lt;=50000000,"$20M-50M",IF(I4119&lt;=100000000,"$50M-100M","$100M+"))))</f>
        <v/>
      </c>
      <c r="P4119" s="21">
        <f>IF(E4119&lt;=90,"90 or less",IF(E4119&lt;=105,"91-105",IF(E4119&lt;=120,"106-120",IF(E4119&lt;=140,"121-140","Over 140"))))</f>
        <v/>
      </c>
      <c r="Q4119" s="28">
        <f>INT(C4119/10)*10</f>
        <v/>
      </c>
    </row>
    <row r="4120">
      <c r="A4120" s="21" t="n">
        <v>4204</v>
      </c>
      <c r="B4120" s="21" t="inlineStr">
        <is>
          <t>Iron Man 3</t>
        </is>
      </c>
      <c r="C4120" s="21" t="n">
        <v>2013</v>
      </c>
      <c r="D4120" s="21" t="inlineStr">
        <is>
          <t>USA</t>
        </is>
      </c>
      <c r="E4120" s="21" t="n">
        <v>195</v>
      </c>
      <c r="F4120" s="21" t="inlineStr">
        <is>
          <t>English</t>
        </is>
      </c>
      <c r="G4120" s="21" t="inlineStr">
        <is>
          <t>PG-13</t>
        </is>
      </c>
      <c r="H4120" s="22" t="n">
        <v>408992272</v>
      </c>
      <c r="I4120" s="22" t="n">
        <v>200000000</v>
      </c>
      <c r="J4120" s="21">
        <f>IF(OR(H4120="",H4120=25529689.5),"Yes","No")</f>
        <v/>
      </c>
      <c r="K4120" s="21">
        <f>IF(AND(D4120="USA",C4120&gt;=1980,J4120="No"),"Yes","No")</f>
        <v/>
      </c>
      <c r="L4120" s="26">
        <f>IF(J4120="Yes","",H4120-I4120)</f>
        <v/>
      </c>
      <c r="M4120" s="27">
        <f>IF(OR(J4120="Yes",I4120=0),"",H4120/I4120)</f>
        <v/>
      </c>
      <c r="N4120" s="21">
        <f>IF(J4120="Yes","",IF(H4120&gt;=I4120,1,0))</f>
        <v/>
      </c>
      <c r="O4120" s="21">
        <f>IF(I4120&lt;=5000000,"Under $5M",IF(I4120&lt;=20000000,"$5M-20M",IF(I4120&lt;=50000000,"$20M-50M",IF(I4120&lt;=100000000,"$50M-100M","$100M+"))))</f>
        <v/>
      </c>
      <c r="P4120" s="21">
        <f>IF(E4120&lt;=90,"90 or less",IF(E4120&lt;=105,"91-105",IF(E4120&lt;=120,"106-120",IF(E4120&lt;=140,"121-140","Over 140"))))</f>
        <v/>
      </c>
      <c r="Q4120" s="28">
        <f>INT(C4120/10)*10</f>
        <v/>
      </c>
    </row>
    <row r="4121">
      <c r="A4121" s="21" t="n">
        <v>4205</v>
      </c>
      <c r="B4121" s="21" t="inlineStr">
        <is>
          <t>Jack the Giant Slayer</t>
        </is>
      </c>
      <c r="C4121" s="21" t="n">
        <v>2013</v>
      </c>
      <c r="D4121" s="21" t="inlineStr">
        <is>
          <t>USA</t>
        </is>
      </c>
      <c r="E4121" s="21" t="n">
        <v>114</v>
      </c>
      <c r="F4121" s="21" t="inlineStr">
        <is>
          <t>English</t>
        </is>
      </c>
      <c r="G4121" s="21" t="inlineStr">
        <is>
          <t>PG-13</t>
        </is>
      </c>
      <c r="H4121" s="22" t="n">
        <v>65171860</v>
      </c>
      <c r="I4121" s="22" t="n">
        <v>195000000</v>
      </c>
      <c r="J4121" s="21">
        <f>IF(OR(H4121="",H4121=25529689.5),"Yes","No")</f>
        <v/>
      </c>
      <c r="K4121" s="21">
        <f>IF(AND(D4121="USA",C4121&gt;=1980,J4121="No"),"Yes","No")</f>
        <v/>
      </c>
      <c r="L4121" s="26">
        <f>IF(J4121="Yes","",H4121-I4121)</f>
        <v/>
      </c>
      <c r="M4121" s="27">
        <f>IF(OR(J4121="Yes",I4121=0),"",H4121/I4121)</f>
        <v/>
      </c>
      <c r="N4121" s="21">
        <f>IF(J4121="Yes","",IF(H4121&gt;=I4121,1,0))</f>
        <v/>
      </c>
      <c r="O4121" s="21">
        <f>IF(I4121&lt;=5000000,"Under $5M",IF(I4121&lt;=20000000,"$5M-20M",IF(I4121&lt;=50000000,"$20M-50M",IF(I4121&lt;=100000000,"$50M-100M","$100M+"))))</f>
        <v/>
      </c>
      <c r="P4121" s="21">
        <f>IF(E4121&lt;=90,"90 or less",IF(E4121&lt;=105,"91-105",IF(E4121&lt;=120,"106-120",IF(E4121&lt;=140,"121-140","Over 140"))))</f>
        <v/>
      </c>
      <c r="Q4121" s="28">
        <f>INT(C4121/10)*10</f>
        <v/>
      </c>
    </row>
    <row r="4122">
      <c r="A4122" s="21" t="n">
        <v>4206</v>
      </c>
      <c r="B4122" s="21" t="inlineStr">
        <is>
          <t>Joe</t>
        </is>
      </c>
      <c r="C4122" s="21" t="n">
        <v>2013</v>
      </c>
      <c r="D4122" s="21" t="inlineStr">
        <is>
          <t>USA</t>
        </is>
      </c>
      <c r="E4122" s="21" t="n">
        <v>117</v>
      </c>
      <c r="F4122" s="21" t="inlineStr">
        <is>
          <t>English</t>
        </is>
      </c>
      <c r="G4122" s="21" t="inlineStr">
        <is>
          <t>R</t>
        </is>
      </c>
      <c r="H4122" s="22" t="n">
        <v>371897</v>
      </c>
      <c r="I4122" s="22" t="n">
        <v>4000000</v>
      </c>
      <c r="J4122" s="21">
        <f>IF(OR(H4122="",H4122=25529689.5),"Yes","No")</f>
        <v/>
      </c>
      <c r="K4122" s="21">
        <f>IF(AND(D4122="USA",C4122&gt;=1980,J4122="No"),"Yes","No")</f>
        <v/>
      </c>
      <c r="L4122" s="26">
        <f>IF(J4122="Yes","",H4122-I4122)</f>
        <v/>
      </c>
      <c r="M4122" s="27">
        <f>IF(OR(J4122="Yes",I4122=0),"",H4122/I4122)</f>
        <v/>
      </c>
      <c r="N4122" s="21">
        <f>IF(J4122="Yes","",IF(H4122&gt;=I4122,1,0))</f>
        <v/>
      </c>
      <c r="O4122" s="21">
        <f>IF(I4122&lt;=5000000,"Under $5M",IF(I4122&lt;=20000000,"$5M-20M",IF(I4122&lt;=50000000,"$20M-50M",IF(I4122&lt;=100000000,"$50M-100M","$100M+"))))</f>
        <v/>
      </c>
      <c r="P4122" s="21">
        <f>IF(E4122&lt;=90,"90 or less",IF(E4122&lt;=105,"91-105",IF(E4122&lt;=120,"106-120",IF(E4122&lt;=140,"121-140","Over 140"))))</f>
        <v/>
      </c>
      <c r="Q4122" s="28">
        <f>INT(C4122/10)*10</f>
        <v/>
      </c>
    </row>
    <row r="4123">
      <c r="A4123" s="21" t="n">
        <v>4207</v>
      </c>
      <c r="B4123" s="21" t="inlineStr">
        <is>
          <t>Kevin Hart: Let Me Explain</t>
        </is>
      </c>
      <c r="C4123" s="21" t="n">
        <v>2013</v>
      </c>
      <c r="D4123" s="21" t="inlineStr">
        <is>
          <t>USA</t>
        </is>
      </c>
      <c r="E4123" s="21" t="n">
        <v>75</v>
      </c>
      <c r="F4123" s="21" t="inlineStr">
        <is>
          <t>English</t>
        </is>
      </c>
      <c r="G4123" s="21" t="inlineStr">
        <is>
          <t>R</t>
        </is>
      </c>
      <c r="H4123" s="22" t="n">
        <v>32230907</v>
      </c>
      <c r="I4123" s="22" t="n">
        <v>2500000</v>
      </c>
      <c r="J4123" s="21">
        <f>IF(OR(H4123="",H4123=25529689.5),"Yes","No")</f>
        <v/>
      </c>
      <c r="K4123" s="21">
        <f>IF(AND(D4123="USA",C4123&gt;=1980,J4123="No"),"Yes","No")</f>
        <v/>
      </c>
      <c r="L4123" s="26">
        <f>IF(J4123="Yes","",H4123-I4123)</f>
        <v/>
      </c>
      <c r="M4123" s="27">
        <f>IF(OR(J4123="Yes",I4123=0),"",H4123/I4123)</f>
        <v/>
      </c>
      <c r="N4123" s="21">
        <f>IF(J4123="Yes","",IF(H4123&gt;=I4123,1,0))</f>
        <v/>
      </c>
      <c r="O4123" s="21">
        <f>IF(I4123&lt;=5000000,"Under $5M",IF(I4123&lt;=20000000,"$5M-20M",IF(I4123&lt;=50000000,"$20M-50M",IF(I4123&lt;=100000000,"$50M-100M","$100M+"))))</f>
        <v/>
      </c>
      <c r="P4123" s="21">
        <f>IF(E4123&lt;=90,"90 or less",IF(E4123&lt;=105,"91-105",IF(E4123&lt;=120,"106-120",IF(E4123&lt;=140,"121-140","Over 140"))))</f>
        <v/>
      </c>
      <c r="Q4123" s="28">
        <f>INT(C4123/10)*10</f>
        <v/>
      </c>
    </row>
    <row r="4124">
      <c r="A4124" s="21" t="n">
        <v>4208</v>
      </c>
      <c r="B4124" s="21" t="inlineStr">
        <is>
          <t>Khumba</t>
        </is>
      </c>
      <c r="C4124" s="21" t="n">
        <v>2013</v>
      </c>
      <c r="D4124" s="21" t="inlineStr">
        <is>
          <t>South Africa</t>
        </is>
      </c>
      <c r="E4124" s="21" t="n">
        <v>85</v>
      </c>
      <c r="F4124" s="21" t="inlineStr">
        <is>
          <t>English</t>
        </is>
      </c>
      <c r="G4124" s="21" t="inlineStr">
        <is>
          <t>Not Rated</t>
        </is>
      </c>
      <c r="H4124" s="22" t="n">
        <v>25529689.5</v>
      </c>
      <c r="I4124" s="22" t="n">
        <v>20000000</v>
      </c>
      <c r="J4124" s="21">
        <f>IF(OR(H4124="",H4124=25529689.5),"Yes","No")</f>
        <v/>
      </c>
      <c r="K4124" s="21">
        <f>IF(AND(D4124="USA",C4124&gt;=1980,J4124="No"),"Yes","No")</f>
        <v/>
      </c>
      <c r="L4124" s="26">
        <f>IF(J4124="Yes","",H4124-I4124)</f>
        <v/>
      </c>
      <c r="M4124" s="27">
        <f>IF(OR(J4124="Yes",I4124=0),"",H4124/I4124)</f>
        <v/>
      </c>
      <c r="N4124" s="21">
        <f>IF(J4124="Yes","",IF(H4124&gt;=I4124,1,0))</f>
        <v/>
      </c>
      <c r="O4124" s="21">
        <f>IF(I4124&lt;=5000000,"Under $5M",IF(I4124&lt;=20000000,"$5M-20M",IF(I4124&lt;=50000000,"$20M-50M",IF(I4124&lt;=100000000,"$50M-100M","$100M+"))))</f>
        <v/>
      </c>
      <c r="P4124" s="21">
        <f>IF(E4124&lt;=90,"90 or less",IF(E4124&lt;=105,"91-105",IF(E4124&lt;=120,"106-120",IF(E4124&lt;=140,"121-140","Over 140"))))</f>
        <v/>
      </c>
      <c r="Q4124" s="28">
        <f>INT(C4124/10)*10</f>
        <v/>
      </c>
    </row>
    <row r="4125">
      <c r="A4125" s="21" t="n">
        <v>4209</v>
      </c>
      <c r="B4125" s="21" t="inlineStr">
        <is>
          <t>Kick-Ass 2</t>
        </is>
      </c>
      <c r="C4125" s="21" t="n">
        <v>2013</v>
      </c>
      <c r="D4125" s="21" t="inlineStr">
        <is>
          <t>USA</t>
        </is>
      </c>
      <c r="E4125" s="21" t="n">
        <v>103</v>
      </c>
      <c r="F4125" s="21" t="inlineStr">
        <is>
          <t>English</t>
        </is>
      </c>
      <c r="G4125" s="21" t="inlineStr">
        <is>
          <t>R</t>
        </is>
      </c>
      <c r="H4125" s="22" t="n">
        <v>28751715</v>
      </c>
      <c r="I4125" s="22" t="n">
        <v>28000000</v>
      </c>
      <c r="J4125" s="21">
        <f>IF(OR(H4125="",H4125=25529689.5),"Yes","No")</f>
        <v/>
      </c>
      <c r="K4125" s="21">
        <f>IF(AND(D4125="USA",C4125&gt;=1980,J4125="No"),"Yes","No")</f>
        <v/>
      </c>
      <c r="L4125" s="26">
        <f>IF(J4125="Yes","",H4125-I4125)</f>
        <v/>
      </c>
      <c r="M4125" s="27">
        <f>IF(OR(J4125="Yes",I4125=0),"",H4125/I4125)</f>
        <v/>
      </c>
      <c r="N4125" s="21">
        <f>IF(J4125="Yes","",IF(H4125&gt;=I4125,1,0))</f>
        <v/>
      </c>
      <c r="O4125" s="21">
        <f>IF(I4125&lt;=5000000,"Under $5M",IF(I4125&lt;=20000000,"$5M-20M",IF(I4125&lt;=50000000,"$20M-50M",IF(I4125&lt;=100000000,"$50M-100M","$100M+"))))</f>
        <v/>
      </c>
      <c r="P4125" s="21">
        <f>IF(E4125&lt;=90,"90 or less",IF(E4125&lt;=105,"91-105",IF(E4125&lt;=120,"106-120",IF(E4125&lt;=140,"121-140","Over 140"))))</f>
        <v/>
      </c>
      <c r="Q4125" s="28">
        <f>INT(C4125/10)*10</f>
        <v/>
      </c>
    </row>
    <row r="4126">
      <c r="A4126" s="21" t="n">
        <v>4210</v>
      </c>
      <c r="B4126" s="21" t="inlineStr">
        <is>
          <t>Labor Day</t>
        </is>
      </c>
      <c r="C4126" s="21" t="n">
        <v>2013</v>
      </c>
      <c r="D4126" s="21" t="inlineStr">
        <is>
          <t>USA</t>
        </is>
      </c>
      <c r="E4126" s="21" t="n">
        <v>111</v>
      </c>
      <c r="F4126" s="21" t="inlineStr">
        <is>
          <t>English</t>
        </is>
      </c>
      <c r="G4126" s="21" t="inlineStr">
        <is>
          <t>PG-13</t>
        </is>
      </c>
      <c r="H4126" s="22" t="n">
        <v>13362308</v>
      </c>
      <c r="I4126" s="22" t="n">
        <v>18000000</v>
      </c>
      <c r="J4126" s="21">
        <f>IF(OR(H4126="",H4126=25529689.5),"Yes","No")</f>
        <v/>
      </c>
      <c r="K4126" s="21">
        <f>IF(AND(D4126="USA",C4126&gt;=1980,J4126="No"),"Yes","No")</f>
        <v/>
      </c>
      <c r="L4126" s="26">
        <f>IF(J4126="Yes","",H4126-I4126)</f>
        <v/>
      </c>
      <c r="M4126" s="27">
        <f>IF(OR(J4126="Yes",I4126=0),"",H4126/I4126)</f>
        <v/>
      </c>
      <c r="N4126" s="21">
        <f>IF(J4126="Yes","",IF(H4126&gt;=I4126,1,0))</f>
        <v/>
      </c>
      <c r="O4126" s="21">
        <f>IF(I4126&lt;=5000000,"Under $5M",IF(I4126&lt;=20000000,"$5M-20M",IF(I4126&lt;=50000000,"$20M-50M",IF(I4126&lt;=100000000,"$50M-100M","$100M+"))))</f>
        <v/>
      </c>
      <c r="P4126" s="21">
        <f>IF(E4126&lt;=90,"90 or less",IF(E4126&lt;=105,"91-105",IF(E4126&lt;=120,"106-120",IF(E4126&lt;=140,"121-140","Over 140"))))</f>
        <v/>
      </c>
      <c r="Q4126" s="28">
        <f>INT(C4126/10)*10</f>
        <v/>
      </c>
    </row>
    <row r="4127">
      <c r="A4127" s="21" t="n">
        <v>4211</v>
      </c>
      <c r="B4127" s="21" t="inlineStr">
        <is>
          <t>Last Vegas</t>
        </is>
      </c>
      <c r="C4127" s="21" t="n">
        <v>2013</v>
      </c>
      <c r="D4127" s="21" t="inlineStr">
        <is>
          <t>USA</t>
        </is>
      </c>
      <c r="E4127" s="21" t="n">
        <v>105</v>
      </c>
      <c r="F4127" s="21" t="inlineStr">
        <is>
          <t>English</t>
        </is>
      </c>
      <c r="G4127" s="21" t="inlineStr">
        <is>
          <t>PG-13</t>
        </is>
      </c>
      <c r="H4127" s="22" t="n">
        <v>63910583</v>
      </c>
      <c r="I4127" s="22" t="n">
        <v>28000000</v>
      </c>
      <c r="J4127" s="21">
        <f>IF(OR(H4127="",H4127=25529689.5),"Yes","No")</f>
        <v/>
      </c>
      <c r="K4127" s="21">
        <f>IF(AND(D4127="USA",C4127&gt;=1980,J4127="No"),"Yes","No")</f>
        <v/>
      </c>
      <c r="L4127" s="26">
        <f>IF(J4127="Yes","",H4127-I4127)</f>
        <v/>
      </c>
      <c r="M4127" s="27">
        <f>IF(OR(J4127="Yes",I4127=0),"",H4127/I4127)</f>
        <v/>
      </c>
      <c r="N4127" s="21">
        <f>IF(J4127="Yes","",IF(H4127&gt;=I4127,1,0))</f>
        <v/>
      </c>
      <c r="O4127" s="21">
        <f>IF(I4127&lt;=5000000,"Under $5M",IF(I4127&lt;=20000000,"$5M-20M",IF(I4127&lt;=50000000,"$20M-50M",IF(I4127&lt;=100000000,"$50M-100M","$100M+"))))</f>
        <v/>
      </c>
      <c r="P4127" s="21">
        <f>IF(E4127&lt;=90,"90 or less",IF(E4127&lt;=105,"91-105",IF(E4127&lt;=120,"106-120",IF(E4127&lt;=140,"121-140","Over 140"))))</f>
        <v/>
      </c>
      <c r="Q4127" s="28">
        <f>INT(C4127/10)*10</f>
        <v/>
      </c>
    </row>
    <row r="4128">
      <c r="A4128" s="21" t="n">
        <v>4212</v>
      </c>
      <c r="B4128" s="21" t="inlineStr">
        <is>
          <t>Lee Daniels' The Butler</t>
        </is>
      </c>
      <c r="C4128" s="21" t="n">
        <v>2013</v>
      </c>
      <c r="D4128" s="21" t="inlineStr">
        <is>
          <t>USA</t>
        </is>
      </c>
      <c r="E4128" s="21" t="n">
        <v>132</v>
      </c>
      <c r="F4128" s="21" t="inlineStr">
        <is>
          <t>English</t>
        </is>
      </c>
      <c r="G4128" s="21" t="inlineStr">
        <is>
          <t>PG-13</t>
        </is>
      </c>
      <c r="H4128" s="22" t="n">
        <v>116631310</v>
      </c>
      <c r="I4128" s="22" t="n">
        <v>30000000</v>
      </c>
      <c r="J4128" s="21">
        <f>IF(OR(H4128="",H4128=25529689.5),"Yes","No")</f>
        <v/>
      </c>
      <c r="K4128" s="21">
        <f>IF(AND(D4128="USA",C4128&gt;=1980,J4128="No"),"Yes","No")</f>
        <v/>
      </c>
      <c r="L4128" s="26">
        <f>IF(J4128="Yes","",H4128-I4128)</f>
        <v/>
      </c>
      <c r="M4128" s="27">
        <f>IF(OR(J4128="Yes",I4128=0),"",H4128/I4128)</f>
        <v/>
      </c>
      <c r="N4128" s="21">
        <f>IF(J4128="Yes","",IF(H4128&gt;=I4128,1,0))</f>
        <v/>
      </c>
      <c r="O4128" s="21">
        <f>IF(I4128&lt;=5000000,"Under $5M",IF(I4128&lt;=20000000,"$5M-20M",IF(I4128&lt;=50000000,"$20M-50M",IF(I4128&lt;=100000000,"$50M-100M","$100M+"))))</f>
        <v/>
      </c>
      <c r="P4128" s="21">
        <f>IF(E4128&lt;=90,"90 or less",IF(E4128&lt;=105,"91-105",IF(E4128&lt;=120,"106-120",IF(E4128&lt;=140,"121-140","Over 140"))))</f>
        <v/>
      </c>
      <c r="Q4128" s="28">
        <f>INT(C4128/10)*10</f>
        <v/>
      </c>
    </row>
    <row r="4129">
      <c r="A4129" s="21" t="n">
        <v>4213</v>
      </c>
      <c r="B4129" s="21" t="inlineStr">
        <is>
          <t>Legends of Oz: Dorothy's Return</t>
        </is>
      </c>
      <c r="C4129" s="21" t="n">
        <v>2013</v>
      </c>
      <c r="D4129" s="21" t="inlineStr">
        <is>
          <t>USA</t>
        </is>
      </c>
      <c r="E4129" s="21" t="n">
        <v>88</v>
      </c>
      <c r="F4129" s="21" t="inlineStr">
        <is>
          <t>English</t>
        </is>
      </c>
      <c r="G4129" s="21" t="inlineStr">
        <is>
          <t>PG</t>
        </is>
      </c>
      <c r="H4129" s="22" t="n">
        <v>8460990</v>
      </c>
      <c r="I4129" s="22" t="n">
        <v>70000000</v>
      </c>
      <c r="J4129" s="21">
        <f>IF(OR(H4129="",H4129=25529689.5),"Yes","No")</f>
        <v/>
      </c>
      <c r="K4129" s="21">
        <f>IF(AND(D4129="USA",C4129&gt;=1980,J4129="No"),"Yes","No")</f>
        <v/>
      </c>
      <c r="L4129" s="26">
        <f>IF(J4129="Yes","",H4129-I4129)</f>
        <v/>
      </c>
      <c r="M4129" s="27">
        <f>IF(OR(J4129="Yes",I4129=0),"",H4129/I4129)</f>
        <v/>
      </c>
      <c r="N4129" s="21">
        <f>IF(J4129="Yes","",IF(H4129&gt;=I4129,1,0))</f>
        <v/>
      </c>
      <c r="O4129" s="21">
        <f>IF(I4129&lt;=5000000,"Under $5M",IF(I4129&lt;=20000000,"$5M-20M",IF(I4129&lt;=50000000,"$20M-50M",IF(I4129&lt;=100000000,"$50M-100M","$100M+"))))</f>
        <v/>
      </c>
      <c r="P4129" s="21">
        <f>IF(E4129&lt;=90,"90 or less",IF(E4129&lt;=105,"91-105",IF(E4129&lt;=120,"106-120",IF(E4129&lt;=140,"121-140","Over 140"))))</f>
        <v/>
      </c>
      <c r="Q4129" s="28">
        <f>INT(C4129/10)*10</f>
        <v/>
      </c>
    </row>
    <row r="4130">
      <c r="A4130" s="21" t="n">
        <v>4214</v>
      </c>
      <c r="B4130" s="21" t="inlineStr">
        <is>
          <t>Living Dark: The Story of Ted the Caver</t>
        </is>
      </c>
      <c r="C4130" s="21" t="n">
        <v>2013</v>
      </c>
      <c r="D4130" s="21" t="inlineStr">
        <is>
          <t>USA</t>
        </is>
      </c>
      <c r="E4130" s="21" t="n">
        <v>112</v>
      </c>
      <c r="F4130" s="21" t="inlineStr">
        <is>
          <t>English</t>
        </is>
      </c>
      <c r="G4130" s="21" t="inlineStr">
        <is>
          <t>PG-13</t>
        </is>
      </c>
      <c r="H4130" s="22" t="n">
        <v>25529689.5</v>
      </c>
      <c r="I4130" s="22" t="n">
        <v>1750000</v>
      </c>
      <c r="J4130" s="21">
        <f>IF(OR(H4130="",H4130=25529689.5),"Yes","No")</f>
        <v/>
      </c>
      <c r="K4130" s="21">
        <f>IF(AND(D4130="USA",C4130&gt;=1980,J4130="No"),"Yes","No")</f>
        <v/>
      </c>
      <c r="L4130" s="26">
        <f>IF(J4130="Yes","",H4130-I4130)</f>
        <v/>
      </c>
      <c r="M4130" s="27">
        <f>IF(OR(J4130="Yes",I4130=0),"",H4130/I4130)</f>
        <v/>
      </c>
      <c r="N4130" s="21">
        <f>IF(J4130="Yes","",IF(H4130&gt;=I4130,1,0))</f>
        <v/>
      </c>
      <c r="O4130" s="21">
        <f>IF(I4130&lt;=5000000,"Under $5M",IF(I4130&lt;=20000000,"$5M-20M",IF(I4130&lt;=50000000,"$20M-50M",IF(I4130&lt;=100000000,"$50M-100M","$100M+"))))</f>
        <v/>
      </c>
      <c r="P4130" s="21">
        <f>IF(E4130&lt;=90,"90 or less",IF(E4130&lt;=105,"91-105",IF(E4130&lt;=120,"106-120",IF(E4130&lt;=140,"121-140","Over 140"))))</f>
        <v/>
      </c>
      <c r="Q4130" s="28">
        <f>INT(C4130/10)*10</f>
        <v/>
      </c>
    </row>
    <row r="4131">
      <c r="A4131" s="21" t="n">
        <v>4215</v>
      </c>
      <c r="B4131" s="21" t="inlineStr">
        <is>
          <t>Lone Survivor</t>
        </is>
      </c>
      <c r="C4131" s="21" t="n">
        <v>2013</v>
      </c>
      <c r="D4131" s="21" t="inlineStr">
        <is>
          <t>USA</t>
        </is>
      </c>
      <c r="E4131" s="21" t="n">
        <v>121</v>
      </c>
      <c r="F4131" s="21" t="inlineStr">
        <is>
          <t>English</t>
        </is>
      </c>
      <c r="G4131" s="21" t="inlineStr">
        <is>
          <t>R</t>
        </is>
      </c>
      <c r="H4131" s="22" t="n">
        <v>125069696</v>
      </c>
      <c r="I4131" s="22" t="n">
        <v>40000000</v>
      </c>
      <c r="J4131" s="21">
        <f>IF(OR(H4131="",H4131=25529689.5),"Yes","No")</f>
        <v/>
      </c>
      <c r="K4131" s="21">
        <f>IF(AND(D4131="USA",C4131&gt;=1980,J4131="No"),"Yes","No")</f>
        <v/>
      </c>
      <c r="L4131" s="26">
        <f>IF(J4131="Yes","",H4131-I4131)</f>
        <v/>
      </c>
      <c r="M4131" s="27">
        <f>IF(OR(J4131="Yes",I4131=0),"",H4131/I4131)</f>
        <v/>
      </c>
      <c r="N4131" s="21">
        <f>IF(J4131="Yes","",IF(H4131&gt;=I4131,1,0))</f>
        <v/>
      </c>
      <c r="O4131" s="21">
        <f>IF(I4131&lt;=5000000,"Under $5M",IF(I4131&lt;=20000000,"$5M-20M",IF(I4131&lt;=50000000,"$20M-50M",IF(I4131&lt;=100000000,"$50M-100M","$100M+"))))</f>
        <v/>
      </c>
      <c r="P4131" s="21">
        <f>IF(E4131&lt;=90,"90 or less",IF(E4131&lt;=105,"91-105",IF(E4131&lt;=120,"106-120",IF(E4131&lt;=140,"121-140","Over 140"))))</f>
        <v/>
      </c>
      <c r="Q4131" s="28">
        <f>INT(C4131/10)*10</f>
        <v/>
      </c>
    </row>
    <row r="4132">
      <c r="A4132" s="21" t="n">
        <v>4216</v>
      </c>
      <c r="B4132" s="21" t="inlineStr">
        <is>
          <t>Machete Kills</t>
        </is>
      </c>
      <c r="C4132" s="21" t="n">
        <v>2013</v>
      </c>
      <c r="D4132" s="21" t="inlineStr">
        <is>
          <t>Russia</t>
        </is>
      </c>
      <c r="E4132" s="21" t="n">
        <v>107</v>
      </c>
      <c r="F4132" s="21" t="inlineStr">
        <is>
          <t>English</t>
        </is>
      </c>
      <c r="G4132" s="21" t="inlineStr">
        <is>
          <t>R</t>
        </is>
      </c>
      <c r="H4132" s="22" t="n">
        <v>7268659</v>
      </c>
      <c r="I4132" s="22" t="n">
        <v>20000000</v>
      </c>
      <c r="J4132" s="21">
        <f>IF(OR(H4132="",H4132=25529689.5),"Yes","No")</f>
        <v/>
      </c>
      <c r="K4132" s="21">
        <f>IF(AND(D4132="USA",C4132&gt;=1980,J4132="No"),"Yes","No")</f>
        <v/>
      </c>
      <c r="L4132" s="26">
        <f>IF(J4132="Yes","",H4132-I4132)</f>
        <v/>
      </c>
      <c r="M4132" s="27">
        <f>IF(OR(J4132="Yes",I4132=0),"",H4132/I4132)</f>
        <v/>
      </c>
      <c r="N4132" s="21">
        <f>IF(J4132="Yes","",IF(H4132&gt;=I4132,1,0))</f>
        <v/>
      </c>
      <c r="O4132" s="21">
        <f>IF(I4132&lt;=5000000,"Under $5M",IF(I4132&lt;=20000000,"$5M-20M",IF(I4132&lt;=50000000,"$20M-50M",IF(I4132&lt;=100000000,"$50M-100M","$100M+"))))</f>
        <v/>
      </c>
      <c r="P4132" s="21">
        <f>IF(E4132&lt;=90,"90 or less",IF(E4132&lt;=105,"91-105",IF(E4132&lt;=120,"106-120",IF(E4132&lt;=140,"121-140","Over 140"))))</f>
        <v/>
      </c>
      <c r="Q4132" s="28">
        <f>INT(C4132/10)*10</f>
        <v/>
      </c>
    </row>
    <row r="4133">
      <c r="A4133" s="21" t="n">
        <v>4217</v>
      </c>
      <c r="B4133" s="21" t="inlineStr">
        <is>
          <t>Mama</t>
        </is>
      </c>
      <c r="C4133" s="21" t="n">
        <v>2013</v>
      </c>
      <c r="D4133" s="21" t="inlineStr">
        <is>
          <t>Canada</t>
        </is>
      </c>
      <c r="E4133" s="21" t="n">
        <v>100</v>
      </c>
      <c r="F4133" s="21" t="inlineStr">
        <is>
          <t>English</t>
        </is>
      </c>
      <c r="G4133" s="21" t="inlineStr">
        <is>
          <t>PG-13</t>
        </is>
      </c>
      <c r="H4133" s="22" t="n">
        <v>71588220</v>
      </c>
      <c r="I4133" s="22" t="n">
        <v>20000000</v>
      </c>
      <c r="J4133" s="21">
        <f>IF(OR(H4133="",H4133=25529689.5),"Yes","No")</f>
        <v/>
      </c>
      <c r="K4133" s="21">
        <f>IF(AND(D4133="USA",C4133&gt;=1980,J4133="No"),"Yes","No")</f>
        <v/>
      </c>
      <c r="L4133" s="26">
        <f>IF(J4133="Yes","",H4133-I4133)</f>
        <v/>
      </c>
      <c r="M4133" s="27">
        <f>IF(OR(J4133="Yes",I4133=0),"",H4133/I4133)</f>
        <v/>
      </c>
      <c r="N4133" s="21">
        <f>IF(J4133="Yes","",IF(H4133&gt;=I4133,1,0))</f>
        <v/>
      </c>
      <c r="O4133" s="21">
        <f>IF(I4133&lt;=5000000,"Under $5M",IF(I4133&lt;=20000000,"$5M-20M",IF(I4133&lt;=50000000,"$20M-50M",IF(I4133&lt;=100000000,"$50M-100M","$100M+"))))</f>
        <v/>
      </c>
      <c r="P4133" s="21">
        <f>IF(E4133&lt;=90,"90 or less",IF(E4133&lt;=105,"91-105",IF(E4133&lt;=120,"106-120",IF(E4133&lt;=140,"121-140","Over 140"))))</f>
        <v/>
      </c>
      <c r="Q4133" s="28">
        <f>INT(C4133/10)*10</f>
        <v/>
      </c>
    </row>
    <row r="4134">
      <c r="A4134" s="21" t="n">
        <v>4218</v>
      </c>
      <c r="B4134" s="21" t="inlineStr">
        <is>
          <t>Man of Steel</t>
        </is>
      </c>
      <c r="C4134" s="21" t="n">
        <v>2013</v>
      </c>
      <c r="D4134" s="21" t="inlineStr">
        <is>
          <t>USA</t>
        </is>
      </c>
      <c r="E4134" s="21" t="n">
        <v>143</v>
      </c>
      <c r="F4134" s="21" t="inlineStr">
        <is>
          <t>English</t>
        </is>
      </c>
      <c r="G4134" s="21" t="inlineStr">
        <is>
          <t>PG-13</t>
        </is>
      </c>
      <c r="H4134" s="22" t="n">
        <v>291021565</v>
      </c>
      <c r="I4134" s="22" t="n">
        <v>225000000</v>
      </c>
      <c r="J4134" s="21">
        <f>IF(OR(H4134="",H4134=25529689.5),"Yes","No")</f>
        <v/>
      </c>
      <c r="K4134" s="21">
        <f>IF(AND(D4134="USA",C4134&gt;=1980,J4134="No"),"Yes","No")</f>
        <v/>
      </c>
      <c r="L4134" s="26">
        <f>IF(J4134="Yes","",H4134-I4134)</f>
        <v/>
      </c>
      <c r="M4134" s="27">
        <f>IF(OR(J4134="Yes",I4134=0),"",H4134/I4134)</f>
        <v/>
      </c>
      <c r="N4134" s="21">
        <f>IF(J4134="Yes","",IF(H4134&gt;=I4134,1,0))</f>
        <v/>
      </c>
      <c r="O4134" s="21">
        <f>IF(I4134&lt;=5000000,"Under $5M",IF(I4134&lt;=20000000,"$5M-20M",IF(I4134&lt;=50000000,"$20M-50M",IF(I4134&lt;=100000000,"$50M-100M","$100M+"))))</f>
        <v/>
      </c>
      <c r="P4134" s="21">
        <f>IF(E4134&lt;=90,"90 or less",IF(E4134&lt;=105,"91-105",IF(E4134&lt;=120,"106-120",IF(E4134&lt;=140,"121-140","Over 140"))))</f>
        <v/>
      </c>
      <c r="Q4134" s="28">
        <f>INT(C4134/10)*10</f>
        <v/>
      </c>
    </row>
    <row r="4135">
      <c r="A4135" s="21" t="n">
        <v>4219</v>
      </c>
      <c r="B4135" s="21" t="inlineStr">
        <is>
          <t>Mandela: Long Walk to Freedom</t>
        </is>
      </c>
      <c r="C4135" s="21" t="n">
        <v>2013</v>
      </c>
      <c r="D4135" s="21" t="inlineStr">
        <is>
          <t>UK</t>
        </is>
      </c>
      <c r="E4135" s="21" t="n">
        <v>141</v>
      </c>
      <c r="F4135" s="21" t="inlineStr">
        <is>
          <t>English</t>
        </is>
      </c>
      <c r="G4135" s="21" t="inlineStr">
        <is>
          <t>PG-13</t>
        </is>
      </c>
      <c r="H4135" s="22" t="n">
        <v>8324748</v>
      </c>
      <c r="I4135" s="22" t="n">
        <v>35000000</v>
      </c>
      <c r="J4135" s="21">
        <f>IF(OR(H4135="",H4135=25529689.5),"Yes","No")</f>
        <v/>
      </c>
      <c r="K4135" s="21">
        <f>IF(AND(D4135="USA",C4135&gt;=1980,J4135="No"),"Yes","No")</f>
        <v/>
      </c>
      <c r="L4135" s="26">
        <f>IF(J4135="Yes","",H4135-I4135)</f>
        <v/>
      </c>
      <c r="M4135" s="27">
        <f>IF(OR(J4135="Yes",I4135=0),"",H4135/I4135)</f>
        <v/>
      </c>
      <c r="N4135" s="21">
        <f>IF(J4135="Yes","",IF(H4135&gt;=I4135,1,0))</f>
        <v/>
      </c>
      <c r="O4135" s="21">
        <f>IF(I4135&lt;=5000000,"Under $5M",IF(I4135&lt;=20000000,"$5M-20M",IF(I4135&lt;=50000000,"$20M-50M",IF(I4135&lt;=100000000,"$50M-100M","$100M+"))))</f>
        <v/>
      </c>
      <c r="P4135" s="21">
        <f>IF(E4135&lt;=90,"90 or less",IF(E4135&lt;=105,"91-105",IF(E4135&lt;=120,"106-120",IF(E4135&lt;=140,"121-140","Over 140"))))</f>
        <v/>
      </c>
      <c r="Q4135" s="28">
        <f>INT(C4135/10)*10</f>
        <v/>
      </c>
    </row>
    <row r="4136">
      <c r="A4136" s="21" t="n">
        <v>4220</v>
      </c>
      <c r="B4136" s="21" t="inlineStr">
        <is>
          <t>Metallica Through the Never</t>
        </is>
      </c>
      <c r="C4136" s="21" t="n">
        <v>2013</v>
      </c>
      <c r="D4136" s="21" t="inlineStr">
        <is>
          <t>USA</t>
        </is>
      </c>
      <c r="E4136" s="21" t="n">
        <v>93</v>
      </c>
      <c r="F4136" s="21" t="inlineStr">
        <is>
          <t>English</t>
        </is>
      </c>
      <c r="G4136" s="21" t="inlineStr">
        <is>
          <t>R</t>
        </is>
      </c>
      <c r="H4136" s="22" t="n">
        <v>3419967</v>
      </c>
      <c r="I4136" s="22" t="n">
        <v>20000000</v>
      </c>
      <c r="J4136" s="21">
        <f>IF(OR(H4136="",H4136=25529689.5),"Yes","No")</f>
        <v/>
      </c>
      <c r="K4136" s="21">
        <f>IF(AND(D4136="USA",C4136&gt;=1980,J4136="No"),"Yes","No")</f>
        <v/>
      </c>
      <c r="L4136" s="26">
        <f>IF(J4136="Yes","",H4136-I4136)</f>
        <v/>
      </c>
      <c r="M4136" s="27">
        <f>IF(OR(J4136="Yes",I4136=0),"",H4136/I4136)</f>
        <v/>
      </c>
      <c r="N4136" s="21">
        <f>IF(J4136="Yes","",IF(H4136&gt;=I4136,1,0))</f>
        <v/>
      </c>
      <c r="O4136" s="21">
        <f>IF(I4136&lt;=5000000,"Under $5M",IF(I4136&lt;=20000000,"$5M-20M",IF(I4136&lt;=50000000,"$20M-50M",IF(I4136&lt;=100000000,"$50M-100M","$100M+"))))</f>
        <v/>
      </c>
      <c r="P4136" s="21">
        <f>IF(E4136&lt;=90,"90 or less",IF(E4136&lt;=105,"91-105",IF(E4136&lt;=120,"106-120",IF(E4136&lt;=140,"121-140","Over 140"))))</f>
        <v/>
      </c>
      <c r="Q4136" s="28">
        <f>INT(C4136/10)*10</f>
        <v/>
      </c>
    </row>
    <row r="4137">
      <c r="A4137" s="21" t="n">
        <v>4221</v>
      </c>
      <c r="B4137" s="21" t="inlineStr">
        <is>
          <t>Monsters University</t>
        </is>
      </c>
      <c r="C4137" s="21" t="n">
        <v>2013</v>
      </c>
      <c r="D4137" s="21" t="inlineStr">
        <is>
          <t>USA</t>
        </is>
      </c>
      <c r="E4137" s="21" t="n">
        <v>104</v>
      </c>
      <c r="F4137" s="21" t="inlineStr">
        <is>
          <t>English</t>
        </is>
      </c>
      <c r="G4137" s="21" t="inlineStr">
        <is>
          <t>G</t>
        </is>
      </c>
      <c r="H4137" s="22" t="n">
        <v>268488329</v>
      </c>
      <c r="I4137" s="22" t="n">
        <v>200000000</v>
      </c>
      <c r="J4137" s="21">
        <f>IF(OR(H4137="",H4137=25529689.5),"Yes","No")</f>
        <v/>
      </c>
      <c r="K4137" s="21">
        <f>IF(AND(D4137="USA",C4137&gt;=1980,J4137="No"),"Yes","No")</f>
        <v/>
      </c>
      <c r="L4137" s="26">
        <f>IF(J4137="Yes","",H4137-I4137)</f>
        <v/>
      </c>
      <c r="M4137" s="27">
        <f>IF(OR(J4137="Yes",I4137=0),"",H4137/I4137)</f>
        <v/>
      </c>
      <c r="N4137" s="21">
        <f>IF(J4137="Yes","",IF(H4137&gt;=I4137,1,0))</f>
        <v/>
      </c>
      <c r="O4137" s="21">
        <f>IF(I4137&lt;=5000000,"Under $5M",IF(I4137&lt;=20000000,"$5M-20M",IF(I4137&lt;=50000000,"$20M-50M",IF(I4137&lt;=100000000,"$50M-100M","$100M+"))))</f>
        <v/>
      </c>
      <c r="P4137" s="21">
        <f>IF(E4137&lt;=90,"90 or less",IF(E4137&lt;=105,"91-105",IF(E4137&lt;=120,"106-120",IF(E4137&lt;=140,"121-140","Over 140"))))</f>
        <v/>
      </c>
      <c r="Q4137" s="28">
        <f>INT(C4137/10)*10</f>
        <v/>
      </c>
    </row>
    <row r="4138">
      <c r="A4138" s="21" t="n">
        <v>4222</v>
      </c>
      <c r="B4138" s="21" t="inlineStr">
        <is>
          <t>Movie 43</t>
        </is>
      </c>
      <c r="C4138" s="21" t="n">
        <v>2013</v>
      </c>
      <c r="D4138" s="21" t="inlineStr">
        <is>
          <t>USA</t>
        </is>
      </c>
      <c r="E4138" s="21" t="n">
        <v>94</v>
      </c>
      <c r="F4138" s="21" t="inlineStr">
        <is>
          <t>English</t>
        </is>
      </c>
      <c r="G4138" s="21" t="inlineStr">
        <is>
          <t>R</t>
        </is>
      </c>
      <c r="H4138" s="22" t="n">
        <v>8828771</v>
      </c>
      <c r="I4138" s="22" t="n">
        <v>6000000</v>
      </c>
      <c r="J4138" s="21">
        <f>IF(OR(H4138="",H4138=25529689.5),"Yes","No")</f>
        <v/>
      </c>
      <c r="K4138" s="21">
        <f>IF(AND(D4138="USA",C4138&gt;=1980,J4138="No"),"Yes","No")</f>
        <v/>
      </c>
      <c r="L4138" s="26">
        <f>IF(J4138="Yes","",H4138-I4138)</f>
        <v/>
      </c>
      <c r="M4138" s="27">
        <f>IF(OR(J4138="Yes",I4138=0),"",H4138/I4138)</f>
        <v/>
      </c>
      <c r="N4138" s="21">
        <f>IF(J4138="Yes","",IF(H4138&gt;=I4138,1,0))</f>
        <v/>
      </c>
      <c r="O4138" s="21">
        <f>IF(I4138&lt;=5000000,"Under $5M",IF(I4138&lt;=20000000,"$5M-20M",IF(I4138&lt;=50000000,"$20M-50M",IF(I4138&lt;=100000000,"$50M-100M","$100M+"))))</f>
        <v/>
      </c>
      <c r="P4138" s="21">
        <f>IF(E4138&lt;=90,"90 or less",IF(E4138&lt;=105,"91-105",IF(E4138&lt;=120,"106-120",IF(E4138&lt;=140,"121-140","Over 140"))))</f>
        <v/>
      </c>
      <c r="Q4138" s="28">
        <f>INT(C4138/10)*10</f>
        <v/>
      </c>
    </row>
    <row r="4139">
      <c r="A4139" s="21" t="n">
        <v>4223</v>
      </c>
      <c r="B4139" s="21" t="inlineStr">
        <is>
          <t>Mutual Friends</t>
        </is>
      </c>
      <c r="C4139" s="21" t="n">
        <v>2013</v>
      </c>
      <c r="D4139" s="21" t="inlineStr">
        <is>
          <t>USA</t>
        </is>
      </c>
      <c r="E4139" s="21" t="n">
        <v>86</v>
      </c>
      <c r="F4139" s="21" t="inlineStr">
        <is>
          <t>English</t>
        </is>
      </c>
      <c r="G4139" s="21" t="n"/>
      <c r="H4139" s="22" t="n">
        <v>25529689.5</v>
      </c>
      <c r="I4139" s="22" t="n">
        <v>450000</v>
      </c>
      <c r="J4139" s="21">
        <f>IF(OR(H4139="",H4139=25529689.5),"Yes","No")</f>
        <v/>
      </c>
      <c r="K4139" s="21">
        <f>IF(AND(D4139="USA",C4139&gt;=1980,J4139="No"),"Yes","No")</f>
        <v/>
      </c>
      <c r="L4139" s="26">
        <f>IF(J4139="Yes","",H4139-I4139)</f>
        <v/>
      </c>
      <c r="M4139" s="27">
        <f>IF(OR(J4139="Yes",I4139=0),"",H4139/I4139)</f>
        <v/>
      </c>
      <c r="N4139" s="21">
        <f>IF(J4139="Yes","",IF(H4139&gt;=I4139,1,0))</f>
        <v/>
      </c>
      <c r="O4139" s="21">
        <f>IF(I4139&lt;=5000000,"Under $5M",IF(I4139&lt;=20000000,"$5M-20M",IF(I4139&lt;=50000000,"$20M-50M",IF(I4139&lt;=100000000,"$50M-100M","$100M+"))))</f>
        <v/>
      </c>
      <c r="P4139" s="21">
        <f>IF(E4139&lt;=90,"90 or less",IF(E4139&lt;=105,"91-105",IF(E4139&lt;=120,"106-120",IF(E4139&lt;=140,"121-140","Over 140"))))</f>
        <v/>
      </c>
      <c r="Q4139" s="28">
        <f>INT(C4139/10)*10</f>
        <v/>
      </c>
    </row>
    <row r="4140">
      <c r="A4140" s="21" t="n">
        <v>4224</v>
      </c>
      <c r="B4140" s="21" t="inlineStr">
        <is>
          <t>My Lucky Star</t>
        </is>
      </c>
      <c r="C4140" s="21" t="n">
        <v>2013</v>
      </c>
      <c r="D4140" s="21" t="inlineStr">
        <is>
          <t>China</t>
        </is>
      </c>
      <c r="E4140" s="21" t="n">
        <v>114</v>
      </c>
      <c r="F4140" s="21" t="inlineStr">
        <is>
          <t>Chinese</t>
        </is>
      </c>
      <c r="G4140" s="21" t="n"/>
      <c r="H4140" s="22" t="n">
        <v>50000</v>
      </c>
      <c r="I4140" s="22" t="n">
        <v>20000000</v>
      </c>
      <c r="J4140" s="21">
        <f>IF(OR(H4140="",H4140=25529689.5),"Yes","No")</f>
        <v/>
      </c>
      <c r="K4140" s="21">
        <f>IF(AND(D4140="USA",C4140&gt;=1980,J4140="No"),"Yes","No")</f>
        <v/>
      </c>
      <c r="L4140" s="26">
        <f>IF(J4140="Yes","",H4140-I4140)</f>
        <v/>
      </c>
      <c r="M4140" s="27">
        <f>IF(OR(J4140="Yes",I4140=0),"",H4140/I4140)</f>
        <v/>
      </c>
      <c r="N4140" s="21">
        <f>IF(J4140="Yes","",IF(H4140&gt;=I4140,1,0))</f>
        <v/>
      </c>
      <c r="O4140" s="21">
        <f>IF(I4140&lt;=5000000,"Under $5M",IF(I4140&lt;=20000000,"$5M-20M",IF(I4140&lt;=50000000,"$20M-50M",IF(I4140&lt;=100000000,"$50M-100M","$100M+"))))</f>
        <v/>
      </c>
      <c r="P4140" s="21">
        <f>IF(E4140&lt;=90,"90 or less",IF(E4140&lt;=105,"91-105",IF(E4140&lt;=120,"106-120",IF(E4140&lt;=140,"121-140","Over 140"))))</f>
        <v/>
      </c>
      <c r="Q4140" s="28">
        <f>INT(C4140/10)*10</f>
        <v/>
      </c>
    </row>
    <row r="4141">
      <c r="A4141" s="21" t="n">
        <v>4225</v>
      </c>
      <c r="B4141" s="21" t="inlineStr">
        <is>
          <t>Nebraska</t>
        </is>
      </c>
      <c r="C4141" s="21" t="n">
        <v>2013</v>
      </c>
      <c r="D4141" s="21" t="inlineStr">
        <is>
          <t>USA</t>
        </is>
      </c>
      <c r="E4141" s="21" t="n">
        <v>115</v>
      </c>
      <c r="F4141" s="21" t="inlineStr">
        <is>
          <t>English</t>
        </is>
      </c>
      <c r="G4141" s="21" t="inlineStr">
        <is>
          <t>R</t>
        </is>
      </c>
      <c r="H4141" s="22" t="n">
        <v>17613460</v>
      </c>
      <c r="I4141" s="22" t="n">
        <v>12000000</v>
      </c>
      <c r="J4141" s="21">
        <f>IF(OR(H4141="",H4141=25529689.5),"Yes","No")</f>
        <v/>
      </c>
      <c r="K4141" s="21">
        <f>IF(AND(D4141="USA",C4141&gt;=1980,J4141="No"),"Yes","No")</f>
        <v/>
      </c>
      <c r="L4141" s="26">
        <f>IF(J4141="Yes","",H4141-I4141)</f>
        <v/>
      </c>
      <c r="M4141" s="27">
        <f>IF(OR(J4141="Yes",I4141=0),"",H4141/I4141)</f>
        <v/>
      </c>
      <c r="N4141" s="21">
        <f>IF(J4141="Yes","",IF(H4141&gt;=I4141,1,0))</f>
        <v/>
      </c>
      <c r="O4141" s="21">
        <f>IF(I4141&lt;=5000000,"Under $5M",IF(I4141&lt;=20000000,"$5M-20M",IF(I4141&lt;=50000000,"$20M-50M",IF(I4141&lt;=100000000,"$50M-100M","$100M+"))))</f>
        <v/>
      </c>
      <c r="P4141" s="21">
        <f>IF(E4141&lt;=90,"90 or less",IF(E4141&lt;=105,"91-105",IF(E4141&lt;=120,"106-120",IF(E4141&lt;=140,"121-140","Over 140"))))</f>
        <v/>
      </c>
      <c r="Q4141" s="28">
        <f>INT(C4141/10)*10</f>
        <v/>
      </c>
    </row>
    <row r="4142">
      <c r="A4142" s="21" t="n">
        <v>4226</v>
      </c>
      <c r="B4142" s="21" t="inlineStr">
        <is>
          <t>Now You See Me</t>
        </is>
      </c>
      <c r="C4142" s="21" t="n">
        <v>2013</v>
      </c>
      <c r="D4142" s="21" t="inlineStr">
        <is>
          <t>USA</t>
        </is>
      </c>
      <c r="E4142" s="21" t="n">
        <v>125</v>
      </c>
      <c r="F4142" s="21" t="inlineStr">
        <is>
          <t>English</t>
        </is>
      </c>
      <c r="G4142" s="21" t="inlineStr">
        <is>
          <t>PG-13</t>
        </is>
      </c>
      <c r="H4142" s="22" t="n">
        <v>117698894</v>
      </c>
      <c r="I4142" s="22" t="n">
        <v>75000000</v>
      </c>
      <c r="J4142" s="21">
        <f>IF(OR(H4142="",H4142=25529689.5),"Yes","No")</f>
        <v/>
      </c>
      <c r="K4142" s="21">
        <f>IF(AND(D4142="USA",C4142&gt;=1980,J4142="No"),"Yes","No")</f>
        <v/>
      </c>
      <c r="L4142" s="26">
        <f>IF(J4142="Yes","",H4142-I4142)</f>
        <v/>
      </c>
      <c r="M4142" s="27">
        <f>IF(OR(J4142="Yes",I4142=0),"",H4142/I4142)</f>
        <v/>
      </c>
      <c r="N4142" s="21">
        <f>IF(J4142="Yes","",IF(H4142&gt;=I4142,1,0))</f>
        <v/>
      </c>
      <c r="O4142" s="21">
        <f>IF(I4142&lt;=5000000,"Under $5M",IF(I4142&lt;=20000000,"$5M-20M",IF(I4142&lt;=50000000,"$20M-50M",IF(I4142&lt;=100000000,"$50M-100M","$100M+"))))</f>
        <v/>
      </c>
      <c r="P4142" s="21">
        <f>IF(E4142&lt;=90,"90 or less",IF(E4142&lt;=105,"91-105",IF(E4142&lt;=120,"106-120",IF(E4142&lt;=140,"121-140","Over 140"))))</f>
        <v/>
      </c>
      <c r="Q4142" s="28">
        <f>INT(C4142/10)*10</f>
        <v/>
      </c>
    </row>
    <row r="4143">
      <c r="A4143" s="21" t="n">
        <v>4227</v>
      </c>
      <c r="B4143" s="21" t="inlineStr">
        <is>
          <t>Nurse 3D</t>
        </is>
      </c>
      <c r="C4143" s="21" t="n">
        <v>2013</v>
      </c>
      <c r="D4143" s="21" t="inlineStr">
        <is>
          <t>USA</t>
        </is>
      </c>
      <c r="E4143" s="21" t="n">
        <v>84</v>
      </c>
      <c r="F4143" s="21" t="inlineStr">
        <is>
          <t>English</t>
        </is>
      </c>
      <c r="G4143" s="21" t="inlineStr">
        <is>
          <t>R</t>
        </is>
      </c>
      <c r="H4143" s="22" t="n">
        <v>25529689.5</v>
      </c>
      <c r="I4143" s="22" t="n">
        <v>10000000</v>
      </c>
      <c r="J4143" s="21">
        <f>IF(OR(H4143="",H4143=25529689.5),"Yes","No")</f>
        <v/>
      </c>
      <c r="K4143" s="21">
        <f>IF(AND(D4143="USA",C4143&gt;=1980,J4143="No"),"Yes","No")</f>
        <v/>
      </c>
      <c r="L4143" s="26">
        <f>IF(J4143="Yes","",H4143-I4143)</f>
        <v/>
      </c>
      <c r="M4143" s="27">
        <f>IF(OR(J4143="Yes",I4143=0),"",H4143/I4143)</f>
        <v/>
      </c>
      <c r="N4143" s="21">
        <f>IF(J4143="Yes","",IF(H4143&gt;=I4143,1,0))</f>
        <v/>
      </c>
      <c r="O4143" s="21">
        <f>IF(I4143&lt;=5000000,"Under $5M",IF(I4143&lt;=20000000,"$5M-20M",IF(I4143&lt;=50000000,"$20M-50M",IF(I4143&lt;=100000000,"$50M-100M","$100M+"))))</f>
        <v/>
      </c>
      <c r="P4143" s="21">
        <f>IF(E4143&lt;=90,"90 or less",IF(E4143&lt;=105,"91-105",IF(E4143&lt;=120,"106-120",IF(E4143&lt;=140,"121-140","Over 140"))))</f>
        <v/>
      </c>
      <c r="Q4143" s="28">
        <f>INT(C4143/10)*10</f>
        <v/>
      </c>
    </row>
    <row r="4144">
      <c r="A4144" s="21" t="n">
        <v>4228</v>
      </c>
      <c r="B4144" s="21" t="inlineStr">
        <is>
          <t>Oblivion</t>
        </is>
      </c>
      <c r="C4144" s="21" t="n">
        <v>2013</v>
      </c>
      <c r="D4144" s="21" t="inlineStr">
        <is>
          <t>USA</t>
        </is>
      </c>
      <c r="E4144" s="21" t="n">
        <v>124</v>
      </c>
      <c r="F4144" s="21" t="inlineStr">
        <is>
          <t>English</t>
        </is>
      </c>
      <c r="G4144" s="21" t="inlineStr">
        <is>
          <t>PG-13</t>
        </is>
      </c>
      <c r="H4144" s="22" t="n">
        <v>89021735</v>
      </c>
      <c r="I4144" s="22" t="n">
        <v>120000000</v>
      </c>
      <c r="J4144" s="21">
        <f>IF(OR(H4144="",H4144=25529689.5),"Yes","No")</f>
        <v/>
      </c>
      <c r="K4144" s="21">
        <f>IF(AND(D4144="USA",C4144&gt;=1980,J4144="No"),"Yes","No")</f>
        <v/>
      </c>
      <c r="L4144" s="26">
        <f>IF(J4144="Yes","",H4144-I4144)</f>
        <v/>
      </c>
      <c r="M4144" s="27">
        <f>IF(OR(J4144="Yes",I4144=0),"",H4144/I4144)</f>
        <v/>
      </c>
      <c r="N4144" s="21">
        <f>IF(J4144="Yes","",IF(H4144&gt;=I4144,1,0))</f>
        <v/>
      </c>
      <c r="O4144" s="21">
        <f>IF(I4144&lt;=5000000,"Under $5M",IF(I4144&lt;=20000000,"$5M-20M",IF(I4144&lt;=50000000,"$20M-50M",IF(I4144&lt;=100000000,"$50M-100M","$100M+"))))</f>
        <v/>
      </c>
      <c r="P4144" s="21">
        <f>IF(E4144&lt;=90,"90 or less",IF(E4144&lt;=105,"91-105",IF(E4144&lt;=120,"106-120",IF(E4144&lt;=140,"121-140","Over 140"))))</f>
        <v/>
      </c>
      <c r="Q4144" s="28">
        <f>INT(C4144/10)*10</f>
        <v/>
      </c>
    </row>
    <row r="4145">
      <c r="A4145" s="21" t="n">
        <v>4229</v>
      </c>
      <c r="B4145" s="21" t="inlineStr">
        <is>
          <t>Oculus</t>
        </is>
      </c>
      <c r="C4145" s="21" t="n">
        <v>2013</v>
      </c>
      <c r="D4145" s="21" t="inlineStr">
        <is>
          <t>USA</t>
        </is>
      </c>
      <c r="E4145" s="21" t="n">
        <v>104</v>
      </c>
      <c r="F4145" s="21" t="inlineStr">
        <is>
          <t>English</t>
        </is>
      </c>
      <c r="G4145" s="21" t="inlineStr">
        <is>
          <t>R</t>
        </is>
      </c>
      <c r="H4145" s="22" t="n">
        <v>27689474</v>
      </c>
      <c r="I4145" s="22" t="n">
        <v>5000000</v>
      </c>
      <c r="J4145" s="21">
        <f>IF(OR(H4145="",H4145=25529689.5),"Yes","No")</f>
        <v/>
      </c>
      <c r="K4145" s="21">
        <f>IF(AND(D4145="USA",C4145&gt;=1980,J4145="No"),"Yes","No")</f>
        <v/>
      </c>
      <c r="L4145" s="26">
        <f>IF(J4145="Yes","",H4145-I4145)</f>
        <v/>
      </c>
      <c r="M4145" s="27">
        <f>IF(OR(J4145="Yes",I4145=0),"",H4145/I4145)</f>
        <v/>
      </c>
      <c r="N4145" s="21">
        <f>IF(J4145="Yes","",IF(H4145&gt;=I4145,1,0))</f>
        <v/>
      </c>
      <c r="O4145" s="21">
        <f>IF(I4145&lt;=5000000,"Under $5M",IF(I4145&lt;=20000000,"$5M-20M",IF(I4145&lt;=50000000,"$20M-50M",IF(I4145&lt;=100000000,"$50M-100M","$100M+"))))</f>
        <v/>
      </c>
      <c r="P4145" s="21">
        <f>IF(E4145&lt;=90,"90 or less",IF(E4145&lt;=105,"91-105",IF(E4145&lt;=120,"106-120",IF(E4145&lt;=140,"121-140","Over 140"))))</f>
        <v/>
      </c>
      <c r="Q4145" s="28">
        <f>INT(C4145/10)*10</f>
        <v/>
      </c>
    </row>
    <row r="4146">
      <c r="A4146" s="21" t="n">
        <v>4230</v>
      </c>
      <c r="B4146" s="21" t="inlineStr">
        <is>
          <t>Of Horses and Men</t>
        </is>
      </c>
      <c r="C4146" s="21" t="n">
        <v>2013</v>
      </c>
      <c r="D4146" s="21" t="inlineStr">
        <is>
          <t>Iceland</t>
        </is>
      </c>
      <c r="E4146" s="21" t="n">
        <v>81</v>
      </c>
      <c r="F4146" s="21" t="inlineStr">
        <is>
          <t>Icelandic</t>
        </is>
      </c>
      <c r="G4146" s="21" t="n"/>
      <c r="H4146" s="22" t="n">
        <v>11835</v>
      </c>
      <c r="I4146" s="22" t="n">
        <v>10000000</v>
      </c>
      <c r="J4146" s="21">
        <f>IF(OR(H4146="",H4146=25529689.5),"Yes","No")</f>
        <v/>
      </c>
      <c r="K4146" s="21">
        <f>IF(AND(D4146="USA",C4146&gt;=1980,J4146="No"),"Yes","No")</f>
        <v/>
      </c>
      <c r="L4146" s="26">
        <f>IF(J4146="Yes","",H4146-I4146)</f>
        <v/>
      </c>
      <c r="M4146" s="27">
        <f>IF(OR(J4146="Yes",I4146=0),"",H4146/I4146)</f>
        <v/>
      </c>
      <c r="N4146" s="21">
        <f>IF(J4146="Yes","",IF(H4146&gt;=I4146,1,0))</f>
        <v/>
      </c>
      <c r="O4146" s="21">
        <f>IF(I4146&lt;=5000000,"Under $5M",IF(I4146&lt;=20000000,"$5M-20M",IF(I4146&lt;=50000000,"$20M-50M",IF(I4146&lt;=100000000,"$50M-100M","$100M+"))))</f>
        <v/>
      </c>
      <c r="P4146" s="21">
        <f>IF(E4146&lt;=90,"90 or less",IF(E4146&lt;=105,"91-105",IF(E4146&lt;=120,"106-120",IF(E4146&lt;=140,"121-140","Over 140"))))</f>
        <v/>
      </c>
      <c r="Q4146" s="28">
        <f>INT(C4146/10)*10</f>
        <v/>
      </c>
    </row>
    <row r="4147">
      <c r="A4147" s="21" t="n">
        <v>4231</v>
      </c>
      <c r="B4147" s="21" t="inlineStr">
        <is>
          <t>Olympus Has Fallen</t>
        </is>
      </c>
      <c r="C4147" s="21" t="n">
        <v>2013</v>
      </c>
      <c r="D4147" s="21" t="inlineStr">
        <is>
          <t>USA</t>
        </is>
      </c>
      <c r="E4147" s="21" t="n">
        <v>119</v>
      </c>
      <c r="F4147" s="21" t="inlineStr">
        <is>
          <t>English</t>
        </is>
      </c>
      <c r="G4147" s="21" t="inlineStr">
        <is>
          <t>R</t>
        </is>
      </c>
      <c r="H4147" s="22" t="n">
        <v>98895417</v>
      </c>
      <c r="I4147" s="22" t="n">
        <v>70000000</v>
      </c>
      <c r="J4147" s="21">
        <f>IF(OR(H4147="",H4147=25529689.5),"Yes","No")</f>
        <v/>
      </c>
      <c r="K4147" s="21">
        <f>IF(AND(D4147="USA",C4147&gt;=1980,J4147="No"),"Yes","No")</f>
        <v/>
      </c>
      <c r="L4147" s="26">
        <f>IF(J4147="Yes","",H4147-I4147)</f>
        <v/>
      </c>
      <c r="M4147" s="27">
        <f>IF(OR(J4147="Yes",I4147=0),"",H4147/I4147)</f>
        <v/>
      </c>
      <c r="N4147" s="21">
        <f>IF(J4147="Yes","",IF(H4147&gt;=I4147,1,0))</f>
        <v/>
      </c>
      <c r="O4147" s="21">
        <f>IF(I4147&lt;=5000000,"Under $5M",IF(I4147&lt;=20000000,"$5M-20M",IF(I4147&lt;=50000000,"$20M-50M",IF(I4147&lt;=100000000,"$50M-100M","$100M+"))))</f>
        <v/>
      </c>
      <c r="P4147" s="21">
        <f>IF(E4147&lt;=90,"90 or less",IF(E4147&lt;=105,"91-105",IF(E4147&lt;=120,"106-120",IF(E4147&lt;=140,"121-140","Over 140"))))</f>
        <v/>
      </c>
      <c r="Q4147" s="28">
        <f>INT(C4147/10)*10</f>
        <v/>
      </c>
    </row>
    <row r="4148">
      <c r="A4148" s="21" t="n">
        <v>4232</v>
      </c>
      <c r="B4148" s="21" t="inlineStr">
        <is>
          <t>Once Upon a Time in Queens</t>
        </is>
      </c>
      <c r="C4148" s="21" t="n">
        <v>2013</v>
      </c>
      <c r="D4148" s="21" t="inlineStr">
        <is>
          <t>USA</t>
        </is>
      </c>
      <c r="E4148" s="21" t="n">
        <v>98</v>
      </c>
      <c r="F4148" s="21" t="inlineStr">
        <is>
          <t>English</t>
        </is>
      </c>
      <c r="G4148" s="21" t="inlineStr">
        <is>
          <t>R</t>
        </is>
      </c>
      <c r="H4148" s="22" t="n">
        <v>25529689.5</v>
      </c>
      <c r="I4148" s="22" t="n">
        <v>1500000</v>
      </c>
      <c r="J4148" s="21">
        <f>IF(OR(H4148="",H4148=25529689.5),"Yes","No")</f>
        <v/>
      </c>
      <c r="K4148" s="21">
        <f>IF(AND(D4148="USA",C4148&gt;=1980,J4148="No"),"Yes","No")</f>
        <v/>
      </c>
      <c r="L4148" s="26">
        <f>IF(J4148="Yes","",H4148-I4148)</f>
        <v/>
      </c>
      <c r="M4148" s="27">
        <f>IF(OR(J4148="Yes",I4148=0),"",H4148/I4148)</f>
        <v/>
      </c>
      <c r="N4148" s="21">
        <f>IF(J4148="Yes","",IF(H4148&gt;=I4148,1,0))</f>
        <v/>
      </c>
      <c r="O4148" s="21">
        <f>IF(I4148&lt;=5000000,"Under $5M",IF(I4148&lt;=20000000,"$5M-20M",IF(I4148&lt;=50000000,"$20M-50M",IF(I4148&lt;=100000000,"$50M-100M","$100M+"))))</f>
        <v/>
      </c>
      <c r="P4148" s="21">
        <f>IF(E4148&lt;=90,"90 or less",IF(E4148&lt;=105,"91-105",IF(E4148&lt;=120,"106-120",IF(E4148&lt;=140,"121-140","Over 140"))))</f>
        <v/>
      </c>
      <c r="Q4148" s="28">
        <f>INT(C4148/10)*10</f>
        <v/>
      </c>
    </row>
    <row r="4149">
      <c r="A4149" s="21" t="n">
        <v>4233</v>
      </c>
      <c r="B4149" s="21" t="inlineStr">
        <is>
          <t>One Direction: This Is Us</t>
        </is>
      </c>
      <c r="C4149" s="21" t="n">
        <v>2013</v>
      </c>
      <c r="D4149" s="21" t="inlineStr">
        <is>
          <t>USA</t>
        </is>
      </c>
      <c r="E4149" s="21" t="n">
        <v>106</v>
      </c>
      <c r="F4149" s="21" t="inlineStr">
        <is>
          <t>English</t>
        </is>
      </c>
      <c r="G4149" s="21" t="inlineStr">
        <is>
          <t>PG</t>
        </is>
      </c>
      <c r="H4149" s="22" t="n">
        <v>28873374</v>
      </c>
      <c r="I4149" s="22" t="n">
        <v>10000000</v>
      </c>
      <c r="J4149" s="21">
        <f>IF(OR(H4149="",H4149=25529689.5),"Yes","No")</f>
        <v/>
      </c>
      <c r="K4149" s="21">
        <f>IF(AND(D4149="USA",C4149&gt;=1980,J4149="No"),"Yes","No")</f>
        <v/>
      </c>
      <c r="L4149" s="26">
        <f>IF(J4149="Yes","",H4149-I4149)</f>
        <v/>
      </c>
      <c r="M4149" s="27">
        <f>IF(OR(J4149="Yes",I4149=0),"",H4149/I4149)</f>
        <v/>
      </c>
      <c r="N4149" s="21">
        <f>IF(J4149="Yes","",IF(H4149&gt;=I4149,1,0))</f>
        <v/>
      </c>
      <c r="O4149" s="21">
        <f>IF(I4149&lt;=5000000,"Under $5M",IF(I4149&lt;=20000000,"$5M-20M",IF(I4149&lt;=50000000,"$20M-50M",IF(I4149&lt;=100000000,"$50M-100M","$100M+"))))</f>
        <v/>
      </c>
      <c r="P4149" s="21">
        <f>IF(E4149&lt;=90,"90 or less",IF(E4149&lt;=105,"91-105",IF(E4149&lt;=120,"106-120",IF(E4149&lt;=140,"121-140","Over 140"))))</f>
        <v/>
      </c>
      <c r="Q4149" s="28">
        <f>INT(C4149/10)*10</f>
        <v/>
      </c>
    </row>
    <row r="4150">
      <c r="A4150" s="21" t="n">
        <v>4234</v>
      </c>
      <c r="B4150" s="21" t="inlineStr">
        <is>
          <t>Only God Forgives</t>
        </is>
      </c>
      <c r="C4150" s="21" t="n">
        <v>2013</v>
      </c>
      <c r="D4150" s="21" t="inlineStr">
        <is>
          <t>Denmark</t>
        </is>
      </c>
      <c r="E4150" s="21" t="n">
        <v>90</v>
      </c>
      <c r="F4150" s="21" t="inlineStr">
        <is>
          <t>English</t>
        </is>
      </c>
      <c r="G4150" s="21" t="inlineStr">
        <is>
          <t>R</t>
        </is>
      </c>
      <c r="H4150" s="22" t="n">
        <v>778565</v>
      </c>
      <c r="I4150" s="22" t="n">
        <v>4800000</v>
      </c>
      <c r="J4150" s="21">
        <f>IF(OR(H4150="",H4150=25529689.5),"Yes","No")</f>
        <v/>
      </c>
      <c r="K4150" s="21">
        <f>IF(AND(D4150="USA",C4150&gt;=1980,J4150="No"),"Yes","No")</f>
        <v/>
      </c>
      <c r="L4150" s="26">
        <f>IF(J4150="Yes","",H4150-I4150)</f>
        <v/>
      </c>
      <c r="M4150" s="27">
        <f>IF(OR(J4150="Yes",I4150=0),"",H4150/I4150)</f>
        <v/>
      </c>
      <c r="N4150" s="21">
        <f>IF(J4150="Yes","",IF(H4150&gt;=I4150,1,0))</f>
        <v/>
      </c>
      <c r="O4150" s="21">
        <f>IF(I4150&lt;=5000000,"Under $5M",IF(I4150&lt;=20000000,"$5M-20M",IF(I4150&lt;=50000000,"$20M-50M",IF(I4150&lt;=100000000,"$50M-100M","$100M+"))))</f>
        <v/>
      </c>
      <c r="P4150" s="21">
        <f>IF(E4150&lt;=90,"90 or less",IF(E4150&lt;=105,"91-105",IF(E4150&lt;=120,"106-120",IF(E4150&lt;=140,"121-140","Over 140"))))</f>
        <v/>
      </c>
      <c r="Q4150" s="28">
        <f>INT(C4150/10)*10</f>
        <v/>
      </c>
    </row>
    <row r="4151">
      <c r="A4151" s="21" t="n">
        <v>4235</v>
      </c>
      <c r="B4151" s="21" t="inlineStr">
        <is>
          <t>Open Road</t>
        </is>
      </c>
      <c r="C4151" s="21" t="n">
        <v>2013</v>
      </c>
      <c r="D4151" s="21" t="inlineStr">
        <is>
          <t>Brazil</t>
        </is>
      </c>
      <c r="E4151" s="21" t="n">
        <v>85</v>
      </c>
      <c r="F4151" s="21" t="inlineStr">
        <is>
          <t>English</t>
        </is>
      </c>
      <c r="G4151" s="21" t="n"/>
      <c r="H4151" s="22" t="n">
        <v>25529689.5</v>
      </c>
      <c r="I4151" s="22" t="n">
        <v>3000000</v>
      </c>
      <c r="J4151" s="21">
        <f>IF(OR(H4151="",H4151=25529689.5),"Yes","No")</f>
        <v/>
      </c>
      <c r="K4151" s="21">
        <f>IF(AND(D4151="USA",C4151&gt;=1980,J4151="No"),"Yes","No")</f>
        <v/>
      </c>
      <c r="L4151" s="26">
        <f>IF(J4151="Yes","",H4151-I4151)</f>
        <v/>
      </c>
      <c r="M4151" s="27">
        <f>IF(OR(J4151="Yes",I4151=0),"",H4151/I4151)</f>
        <v/>
      </c>
      <c r="N4151" s="21">
        <f>IF(J4151="Yes","",IF(H4151&gt;=I4151,1,0))</f>
        <v/>
      </c>
      <c r="O4151" s="21">
        <f>IF(I4151&lt;=5000000,"Under $5M",IF(I4151&lt;=20000000,"$5M-20M",IF(I4151&lt;=50000000,"$20M-50M",IF(I4151&lt;=100000000,"$50M-100M","$100M+"))))</f>
        <v/>
      </c>
      <c r="P4151" s="21">
        <f>IF(E4151&lt;=90,"90 or less",IF(E4151&lt;=105,"91-105",IF(E4151&lt;=120,"106-120",IF(E4151&lt;=140,"121-140","Over 140"))))</f>
        <v/>
      </c>
      <c r="Q4151" s="28">
        <f>INT(C4151/10)*10</f>
        <v/>
      </c>
    </row>
    <row r="4152">
      <c r="A4152" s="21" t="n">
        <v>4236</v>
      </c>
      <c r="B4152" s="21" t="inlineStr">
        <is>
          <t>Out of Inferno</t>
        </is>
      </c>
      <c r="C4152" s="21" t="n">
        <v>2013</v>
      </c>
      <c r="D4152" s="21" t="inlineStr">
        <is>
          <t>China</t>
        </is>
      </c>
      <c r="E4152" s="21" t="n">
        <v>107</v>
      </c>
      <c r="F4152" s="21" t="inlineStr">
        <is>
          <t>Chinese</t>
        </is>
      </c>
      <c r="G4152" s="21" t="inlineStr">
        <is>
          <t>PG-13</t>
        </is>
      </c>
      <c r="H4152" s="22" t="n">
        <v>25529689.5</v>
      </c>
      <c r="I4152" s="22" t="n">
        <v>20000000</v>
      </c>
      <c r="J4152" s="21">
        <f>IF(OR(H4152="",H4152=25529689.5),"Yes","No")</f>
        <v/>
      </c>
      <c r="K4152" s="21">
        <f>IF(AND(D4152="USA",C4152&gt;=1980,J4152="No"),"Yes","No")</f>
        <v/>
      </c>
      <c r="L4152" s="26">
        <f>IF(J4152="Yes","",H4152-I4152)</f>
        <v/>
      </c>
      <c r="M4152" s="27">
        <f>IF(OR(J4152="Yes",I4152=0),"",H4152/I4152)</f>
        <v/>
      </c>
      <c r="N4152" s="21">
        <f>IF(J4152="Yes","",IF(H4152&gt;=I4152,1,0))</f>
        <v/>
      </c>
      <c r="O4152" s="21">
        <f>IF(I4152&lt;=5000000,"Under $5M",IF(I4152&lt;=20000000,"$5M-20M",IF(I4152&lt;=50000000,"$20M-50M",IF(I4152&lt;=100000000,"$50M-100M","$100M+"))))</f>
        <v/>
      </c>
      <c r="P4152" s="21">
        <f>IF(E4152&lt;=90,"90 or less",IF(E4152&lt;=105,"91-105",IF(E4152&lt;=120,"106-120",IF(E4152&lt;=140,"121-140","Over 140"))))</f>
        <v/>
      </c>
      <c r="Q4152" s="28">
        <f>INT(C4152/10)*10</f>
        <v/>
      </c>
    </row>
    <row r="4153">
      <c r="A4153" s="21" t="n">
        <v>4237</v>
      </c>
      <c r="B4153" s="21" t="inlineStr">
        <is>
          <t>Out of the Furnace</t>
        </is>
      </c>
      <c r="C4153" s="21" t="n">
        <v>2013</v>
      </c>
      <c r="D4153" s="21" t="inlineStr">
        <is>
          <t>USA</t>
        </is>
      </c>
      <c r="E4153" s="21" t="n">
        <v>116</v>
      </c>
      <c r="F4153" s="21" t="inlineStr">
        <is>
          <t>English</t>
        </is>
      </c>
      <c r="G4153" s="21" t="inlineStr">
        <is>
          <t>R</t>
        </is>
      </c>
      <c r="H4153" s="22" t="n">
        <v>11326836</v>
      </c>
      <c r="I4153" s="22" t="n">
        <v>22000000</v>
      </c>
      <c r="J4153" s="21">
        <f>IF(OR(H4153="",H4153=25529689.5),"Yes","No")</f>
        <v/>
      </c>
      <c r="K4153" s="21">
        <f>IF(AND(D4153="USA",C4153&gt;=1980,J4153="No"),"Yes","No")</f>
        <v/>
      </c>
      <c r="L4153" s="26">
        <f>IF(J4153="Yes","",H4153-I4153)</f>
        <v/>
      </c>
      <c r="M4153" s="27">
        <f>IF(OR(J4153="Yes",I4153=0),"",H4153/I4153)</f>
        <v/>
      </c>
      <c r="N4153" s="21">
        <f>IF(J4153="Yes","",IF(H4153&gt;=I4153,1,0))</f>
        <v/>
      </c>
      <c r="O4153" s="21">
        <f>IF(I4153&lt;=5000000,"Under $5M",IF(I4153&lt;=20000000,"$5M-20M",IF(I4153&lt;=50000000,"$20M-50M",IF(I4153&lt;=100000000,"$50M-100M","$100M+"))))</f>
        <v/>
      </c>
      <c r="P4153" s="21">
        <f>IF(E4153&lt;=90,"90 or less",IF(E4153&lt;=105,"91-105",IF(E4153&lt;=120,"106-120",IF(E4153&lt;=140,"121-140","Over 140"))))</f>
        <v/>
      </c>
      <c r="Q4153" s="28">
        <f>INT(C4153/10)*10</f>
        <v/>
      </c>
    </row>
    <row r="4154">
      <c r="A4154" s="21" t="n">
        <v>4238</v>
      </c>
      <c r="B4154" s="21" t="inlineStr">
        <is>
          <t>Oz the Great and Powerful</t>
        </is>
      </c>
      <c r="C4154" s="21" t="n">
        <v>2013</v>
      </c>
      <c r="D4154" s="21" t="inlineStr">
        <is>
          <t>USA</t>
        </is>
      </c>
      <c r="E4154" s="21" t="n">
        <v>130</v>
      </c>
      <c r="F4154" s="21" t="inlineStr">
        <is>
          <t>English</t>
        </is>
      </c>
      <c r="G4154" s="21" t="inlineStr">
        <is>
          <t>PG</t>
        </is>
      </c>
      <c r="H4154" s="22" t="n">
        <v>234903076</v>
      </c>
      <c r="I4154" s="22" t="n">
        <v>215000000</v>
      </c>
      <c r="J4154" s="21">
        <f>IF(OR(H4154="",H4154=25529689.5),"Yes","No")</f>
        <v/>
      </c>
      <c r="K4154" s="21">
        <f>IF(AND(D4154="USA",C4154&gt;=1980,J4154="No"),"Yes","No")</f>
        <v/>
      </c>
      <c r="L4154" s="26">
        <f>IF(J4154="Yes","",H4154-I4154)</f>
        <v/>
      </c>
      <c r="M4154" s="27">
        <f>IF(OR(J4154="Yes",I4154=0),"",H4154/I4154)</f>
        <v/>
      </c>
      <c r="N4154" s="21">
        <f>IF(J4154="Yes","",IF(H4154&gt;=I4154,1,0))</f>
        <v/>
      </c>
      <c r="O4154" s="21">
        <f>IF(I4154&lt;=5000000,"Under $5M",IF(I4154&lt;=20000000,"$5M-20M",IF(I4154&lt;=50000000,"$20M-50M",IF(I4154&lt;=100000000,"$50M-100M","$100M+"))))</f>
        <v/>
      </c>
      <c r="P4154" s="21">
        <f>IF(E4154&lt;=90,"90 or less",IF(E4154&lt;=105,"91-105",IF(E4154&lt;=120,"106-120",IF(E4154&lt;=140,"121-140","Over 140"))))</f>
        <v/>
      </c>
      <c r="Q4154" s="28">
        <f>INT(C4154/10)*10</f>
        <v/>
      </c>
    </row>
    <row r="4155">
      <c r="A4155" s="21" t="n">
        <v>4240</v>
      </c>
      <c r="B4155" s="21" t="inlineStr">
        <is>
          <t>Pacific Rim</t>
        </is>
      </c>
      <c r="C4155" s="21" t="n">
        <v>2013</v>
      </c>
      <c r="D4155" s="21" t="inlineStr">
        <is>
          <t>USA</t>
        </is>
      </c>
      <c r="E4155" s="21" t="n">
        <v>131</v>
      </c>
      <c r="F4155" s="21" t="inlineStr">
        <is>
          <t>English</t>
        </is>
      </c>
      <c r="G4155" s="21" t="inlineStr">
        <is>
          <t>PG-13</t>
        </is>
      </c>
      <c r="H4155" s="22" t="n">
        <v>101785482</v>
      </c>
      <c r="I4155" s="22" t="n">
        <v>190000000</v>
      </c>
      <c r="J4155" s="21">
        <f>IF(OR(H4155="",H4155=25529689.5),"Yes","No")</f>
        <v/>
      </c>
      <c r="K4155" s="21">
        <f>IF(AND(D4155="USA",C4155&gt;=1980,J4155="No"),"Yes","No")</f>
        <v/>
      </c>
      <c r="L4155" s="26">
        <f>IF(J4155="Yes","",H4155-I4155)</f>
        <v/>
      </c>
      <c r="M4155" s="27">
        <f>IF(OR(J4155="Yes",I4155=0),"",H4155/I4155)</f>
        <v/>
      </c>
      <c r="N4155" s="21">
        <f>IF(J4155="Yes","",IF(H4155&gt;=I4155,1,0))</f>
        <v/>
      </c>
      <c r="O4155" s="21">
        <f>IF(I4155&lt;=5000000,"Under $5M",IF(I4155&lt;=20000000,"$5M-20M",IF(I4155&lt;=50000000,"$20M-50M",IF(I4155&lt;=100000000,"$50M-100M","$100M+"))))</f>
        <v/>
      </c>
      <c r="P4155" s="21">
        <f>IF(E4155&lt;=90,"90 or less",IF(E4155&lt;=105,"91-105",IF(E4155&lt;=120,"106-120",IF(E4155&lt;=140,"121-140","Over 140"))))</f>
        <v/>
      </c>
      <c r="Q4155" s="28">
        <f>INT(C4155/10)*10</f>
        <v/>
      </c>
    </row>
    <row r="4156">
      <c r="A4156" s="21" t="n">
        <v>4241</v>
      </c>
      <c r="B4156" s="21" t="inlineStr">
        <is>
          <t>Pain &amp; Gain</t>
        </is>
      </c>
      <c r="C4156" s="21" t="n">
        <v>2013</v>
      </c>
      <c r="D4156" s="21" t="inlineStr">
        <is>
          <t>USA</t>
        </is>
      </c>
      <c r="E4156" s="21" t="n">
        <v>129</v>
      </c>
      <c r="F4156" s="21" t="inlineStr">
        <is>
          <t>English</t>
        </is>
      </c>
      <c r="G4156" s="21" t="inlineStr">
        <is>
          <t>R</t>
        </is>
      </c>
      <c r="H4156" s="22" t="n">
        <v>49874933</v>
      </c>
      <c r="I4156" s="22" t="n">
        <v>26000000</v>
      </c>
      <c r="J4156" s="21">
        <f>IF(OR(H4156="",H4156=25529689.5),"Yes","No")</f>
        <v/>
      </c>
      <c r="K4156" s="21">
        <f>IF(AND(D4156="USA",C4156&gt;=1980,J4156="No"),"Yes","No")</f>
        <v/>
      </c>
      <c r="L4156" s="26">
        <f>IF(J4156="Yes","",H4156-I4156)</f>
        <v/>
      </c>
      <c r="M4156" s="27">
        <f>IF(OR(J4156="Yes",I4156=0),"",H4156/I4156)</f>
        <v/>
      </c>
      <c r="N4156" s="21">
        <f>IF(J4156="Yes","",IF(H4156&gt;=I4156,1,0))</f>
        <v/>
      </c>
      <c r="O4156" s="21">
        <f>IF(I4156&lt;=5000000,"Under $5M",IF(I4156&lt;=20000000,"$5M-20M",IF(I4156&lt;=50000000,"$20M-50M",IF(I4156&lt;=100000000,"$50M-100M","$100M+"))))</f>
        <v/>
      </c>
      <c r="P4156" s="21">
        <f>IF(E4156&lt;=90,"90 or less",IF(E4156&lt;=105,"91-105",IF(E4156&lt;=120,"106-120",IF(E4156&lt;=140,"121-140","Over 140"))))</f>
        <v/>
      </c>
      <c r="Q4156" s="28">
        <f>INT(C4156/10)*10</f>
        <v/>
      </c>
    </row>
    <row r="4157">
      <c r="A4157" s="21" t="n">
        <v>4242</v>
      </c>
      <c r="B4157" s="21" t="inlineStr">
        <is>
          <t>Palo Alto</t>
        </is>
      </c>
      <c r="C4157" s="21" t="n">
        <v>2013</v>
      </c>
      <c r="D4157" s="21" t="inlineStr">
        <is>
          <t>USA</t>
        </is>
      </c>
      <c r="E4157" s="21" t="n">
        <v>100</v>
      </c>
      <c r="F4157" s="21" t="inlineStr">
        <is>
          <t>English</t>
        </is>
      </c>
      <c r="G4157" s="21" t="inlineStr">
        <is>
          <t>R</t>
        </is>
      </c>
      <c r="H4157" s="22" t="n">
        <v>750100</v>
      </c>
      <c r="I4157" s="22" t="n">
        <v>20000000</v>
      </c>
      <c r="J4157" s="21">
        <f>IF(OR(H4157="",H4157=25529689.5),"Yes","No")</f>
        <v/>
      </c>
      <c r="K4157" s="21">
        <f>IF(AND(D4157="USA",C4157&gt;=1980,J4157="No"),"Yes","No")</f>
        <v/>
      </c>
      <c r="L4157" s="26">
        <f>IF(J4157="Yes","",H4157-I4157)</f>
        <v/>
      </c>
      <c r="M4157" s="27">
        <f>IF(OR(J4157="Yes",I4157=0),"",H4157/I4157)</f>
        <v/>
      </c>
      <c r="N4157" s="21">
        <f>IF(J4157="Yes","",IF(H4157&gt;=I4157,1,0))</f>
        <v/>
      </c>
      <c r="O4157" s="21">
        <f>IF(I4157&lt;=5000000,"Under $5M",IF(I4157&lt;=20000000,"$5M-20M",IF(I4157&lt;=50000000,"$20M-50M",IF(I4157&lt;=100000000,"$50M-100M","$100M+"))))</f>
        <v/>
      </c>
      <c r="P4157" s="21">
        <f>IF(E4157&lt;=90,"90 or less",IF(E4157&lt;=105,"91-105",IF(E4157&lt;=120,"106-120",IF(E4157&lt;=140,"121-140","Over 140"))))</f>
        <v/>
      </c>
      <c r="Q4157" s="28">
        <f>INT(C4157/10)*10</f>
        <v/>
      </c>
    </row>
    <row r="4158">
      <c r="A4158" s="21" t="n">
        <v>4243</v>
      </c>
      <c r="B4158" s="21" t="inlineStr">
        <is>
          <t>Parker</t>
        </is>
      </c>
      <c r="C4158" s="21" t="n">
        <v>2013</v>
      </c>
      <c r="D4158" s="21" t="inlineStr">
        <is>
          <t>USA</t>
        </is>
      </c>
      <c r="E4158" s="21" t="n">
        <v>118</v>
      </c>
      <c r="F4158" s="21" t="inlineStr">
        <is>
          <t>English</t>
        </is>
      </c>
      <c r="G4158" s="21" t="inlineStr">
        <is>
          <t>R</t>
        </is>
      </c>
      <c r="H4158" s="22" t="n">
        <v>17609982</v>
      </c>
      <c r="I4158" s="22" t="n">
        <v>35000000</v>
      </c>
      <c r="J4158" s="21">
        <f>IF(OR(H4158="",H4158=25529689.5),"Yes","No")</f>
        <v/>
      </c>
      <c r="K4158" s="21">
        <f>IF(AND(D4158="USA",C4158&gt;=1980,J4158="No"),"Yes","No")</f>
        <v/>
      </c>
      <c r="L4158" s="26">
        <f>IF(J4158="Yes","",H4158-I4158)</f>
        <v/>
      </c>
      <c r="M4158" s="27">
        <f>IF(OR(J4158="Yes",I4158=0),"",H4158/I4158)</f>
        <v/>
      </c>
      <c r="N4158" s="21">
        <f>IF(J4158="Yes","",IF(H4158&gt;=I4158,1,0))</f>
        <v/>
      </c>
      <c r="O4158" s="21">
        <f>IF(I4158&lt;=5000000,"Under $5M",IF(I4158&lt;=20000000,"$5M-20M",IF(I4158&lt;=50000000,"$20M-50M",IF(I4158&lt;=100000000,"$50M-100M","$100M+"))))</f>
        <v/>
      </c>
      <c r="P4158" s="21">
        <f>IF(E4158&lt;=90,"90 or less",IF(E4158&lt;=105,"91-105",IF(E4158&lt;=120,"106-120",IF(E4158&lt;=140,"121-140","Over 140"))))</f>
        <v/>
      </c>
      <c r="Q4158" s="28">
        <f>INT(C4158/10)*10</f>
        <v/>
      </c>
    </row>
    <row r="4159">
      <c r="A4159" s="21" t="n">
        <v>4244</v>
      </c>
      <c r="B4159" s="21" t="inlineStr">
        <is>
          <t>Peeples</t>
        </is>
      </c>
      <c r="C4159" s="21" t="n">
        <v>2013</v>
      </c>
      <c r="D4159" s="21" t="inlineStr">
        <is>
          <t>USA</t>
        </is>
      </c>
      <c r="E4159" s="21" t="n">
        <v>95</v>
      </c>
      <c r="F4159" s="21" t="inlineStr">
        <is>
          <t>English</t>
        </is>
      </c>
      <c r="G4159" s="21" t="inlineStr">
        <is>
          <t>PG-13</t>
        </is>
      </c>
      <c r="H4159" s="22" t="n">
        <v>9123834</v>
      </c>
      <c r="I4159" s="22" t="n">
        <v>15000000</v>
      </c>
      <c r="J4159" s="21">
        <f>IF(OR(H4159="",H4159=25529689.5),"Yes","No")</f>
        <v/>
      </c>
      <c r="K4159" s="21">
        <f>IF(AND(D4159="USA",C4159&gt;=1980,J4159="No"),"Yes","No")</f>
        <v/>
      </c>
      <c r="L4159" s="26">
        <f>IF(J4159="Yes","",H4159-I4159)</f>
        <v/>
      </c>
      <c r="M4159" s="27">
        <f>IF(OR(J4159="Yes",I4159=0),"",H4159/I4159)</f>
        <v/>
      </c>
      <c r="N4159" s="21">
        <f>IF(J4159="Yes","",IF(H4159&gt;=I4159,1,0))</f>
        <v/>
      </c>
      <c r="O4159" s="21">
        <f>IF(I4159&lt;=5000000,"Under $5M",IF(I4159&lt;=20000000,"$5M-20M",IF(I4159&lt;=50000000,"$20M-50M",IF(I4159&lt;=100000000,"$50M-100M","$100M+"))))</f>
        <v/>
      </c>
      <c r="P4159" s="21">
        <f>IF(E4159&lt;=90,"90 or less",IF(E4159&lt;=105,"91-105",IF(E4159&lt;=120,"106-120",IF(E4159&lt;=140,"121-140","Over 140"))))</f>
        <v/>
      </c>
      <c r="Q4159" s="28">
        <f>INT(C4159/10)*10</f>
        <v/>
      </c>
    </row>
    <row r="4160">
      <c r="A4160" s="21" t="n">
        <v>4245</v>
      </c>
      <c r="B4160" s="21" t="inlineStr">
        <is>
          <t>Percy Jackson: Sea of Monsters</t>
        </is>
      </c>
      <c r="C4160" s="21" t="n">
        <v>2013</v>
      </c>
      <c r="D4160" s="21" t="inlineStr">
        <is>
          <t>USA</t>
        </is>
      </c>
      <c r="E4160" s="21" t="n">
        <v>106</v>
      </c>
      <c r="F4160" s="21" t="inlineStr">
        <is>
          <t>English</t>
        </is>
      </c>
      <c r="G4160" s="21" t="inlineStr">
        <is>
          <t>PG</t>
        </is>
      </c>
      <c r="H4160" s="22" t="n">
        <v>68558662</v>
      </c>
      <c r="I4160" s="22" t="n">
        <v>90000000</v>
      </c>
      <c r="J4160" s="21">
        <f>IF(OR(H4160="",H4160=25529689.5),"Yes","No")</f>
        <v/>
      </c>
      <c r="K4160" s="21">
        <f>IF(AND(D4160="USA",C4160&gt;=1980,J4160="No"),"Yes","No")</f>
        <v/>
      </c>
      <c r="L4160" s="26">
        <f>IF(J4160="Yes","",H4160-I4160)</f>
        <v/>
      </c>
      <c r="M4160" s="27">
        <f>IF(OR(J4160="Yes",I4160=0),"",H4160/I4160)</f>
        <v/>
      </c>
      <c r="N4160" s="21">
        <f>IF(J4160="Yes","",IF(H4160&gt;=I4160,1,0))</f>
        <v/>
      </c>
      <c r="O4160" s="21">
        <f>IF(I4160&lt;=5000000,"Under $5M",IF(I4160&lt;=20000000,"$5M-20M",IF(I4160&lt;=50000000,"$20M-50M",IF(I4160&lt;=100000000,"$50M-100M","$100M+"))))</f>
        <v/>
      </c>
      <c r="P4160" s="21">
        <f>IF(E4160&lt;=90,"90 or less",IF(E4160&lt;=105,"91-105",IF(E4160&lt;=120,"106-120",IF(E4160&lt;=140,"121-140","Over 140"))))</f>
        <v/>
      </c>
      <c r="Q4160" s="28">
        <f>INT(C4160/10)*10</f>
        <v/>
      </c>
    </row>
    <row r="4161">
      <c r="A4161" s="21" t="n">
        <v>4246</v>
      </c>
      <c r="B4161" s="21" t="inlineStr">
        <is>
          <t>Philomena</t>
        </is>
      </c>
      <c r="C4161" s="21" t="n">
        <v>2013</v>
      </c>
      <c r="D4161" s="21" t="inlineStr">
        <is>
          <t>UK</t>
        </is>
      </c>
      <c r="E4161" s="21" t="n">
        <v>98</v>
      </c>
      <c r="F4161" s="21" t="inlineStr">
        <is>
          <t>English</t>
        </is>
      </c>
      <c r="G4161" s="21" t="inlineStr">
        <is>
          <t>PG-13</t>
        </is>
      </c>
      <c r="H4161" s="22" t="n">
        <v>37707719</v>
      </c>
      <c r="I4161" s="22" t="n">
        <v>12000000</v>
      </c>
      <c r="J4161" s="21">
        <f>IF(OR(H4161="",H4161=25529689.5),"Yes","No")</f>
        <v/>
      </c>
      <c r="K4161" s="21">
        <f>IF(AND(D4161="USA",C4161&gt;=1980,J4161="No"),"Yes","No")</f>
        <v/>
      </c>
      <c r="L4161" s="26">
        <f>IF(J4161="Yes","",H4161-I4161)</f>
        <v/>
      </c>
      <c r="M4161" s="27">
        <f>IF(OR(J4161="Yes",I4161=0),"",H4161/I4161)</f>
        <v/>
      </c>
      <c r="N4161" s="21">
        <f>IF(J4161="Yes","",IF(H4161&gt;=I4161,1,0))</f>
        <v/>
      </c>
      <c r="O4161" s="21">
        <f>IF(I4161&lt;=5000000,"Under $5M",IF(I4161&lt;=20000000,"$5M-20M",IF(I4161&lt;=50000000,"$20M-50M",IF(I4161&lt;=100000000,"$50M-100M","$100M+"))))</f>
        <v/>
      </c>
      <c r="P4161" s="21">
        <f>IF(E4161&lt;=90,"90 or less",IF(E4161&lt;=105,"91-105",IF(E4161&lt;=120,"106-120",IF(E4161&lt;=140,"121-140","Over 140"))))</f>
        <v/>
      </c>
      <c r="Q4161" s="28">
        <f>INT(C4161/10)*10</f>
        <v/>
      </c>
    </row>
    <row r="4162">
      <c r="A4162" s="21" t="n">
        <v>4247</v>
      </c>
      <c r="B4162" s="21" t="inlineStr">
        <is>
          <t>Plush</t>
        </is>
      </c>
      <c r="C4162" s="21" t="n">
        <v>2013</v>
      </c>
      <c r="D4162" s="21" t="inlineStr">
        <is>
          <t>USA</t>
        </is>
      </c>
      <c r="E4162" s="21" t="n">
        <v>99</v>
      </c>
      <c r="F4162" s="21" t="inlineStr">
        <is>
          <t>English</t>
        </is>
      </c>
      <c r="G4162" s="21" t="inlineStr">
        <is>
          <t>R</t>
        </is>
      </c>
      <c r="H4162" s="22" t="n">
        <v>2843</v>
      </c>
      <c r="I4162" s="22" t="n">
        <v>20000000</v>
      </c>
      <c r="J4162" s="21">
        <f>IF(OR(H4162="",H4162=25529689.5),"Yes","No")</f>
        <v/>
      </c>
      <c r="K4162" s="21">
        <f>IF(AND(D4162="USA",C4162&gt;=1980,J4162="No"),"Yes","No")</f>
        <v/>
      </c>
      <c r="L4162" s="26">
        <f>IF(J4162="Yes","",H4162-I4162)</f>
        <v/>
      </c>
      <c r="M4162" s="27">
        <f>IF(OR(J4162="Yes",I4162=0),"",H4162/I4162)</f>
        <v/>
      </c>
      <c r="N4162" s="21">
        <f>IF(J4162="Yes","",IF(H4162&gt;=I4162,1,0))</f>
        <v/>
      </c>
      <c r="O4162" s="21">
        <f>IF(I4162&lt;=5000000,"Under $5M",IF(I4162&lt;=20000000,"$5M-20M",IF(I4162&lt;=50000000,"$20M-50M",IF(I4162&lt;=100000000,"$50M-100M","$100M+"))))</f>
        <v/>
      </c>
      <c r="P4162" s="21">
        <f>IF(E4162&lt;=90,"90 or less",IF(E4162&lt;=105,"91-105",IF(E4162&lt;=120,"106-120",IF(E4162&lt;=140,"121-140","Over 140"))))</f>
        <v/>
      </c>
      <c r="Q4162" s="28">
        <f>INT(C4162/10)*10</f>
        <v/>
      </c>
    </row>
    <row r="4163">
      <c r="A4163" s="21" t="n">
        <v>4248</v>
      </c>
      <c r="B4163" s="21" t="inlineStr">
        <is>
          <t>Prisoners</t>
        </is>
      </c>
      <c r="C4163" s="21" t="n">
        <v>2013</v>
      </c>
      <c r="D4163" s="21" t="inlineStr">
        <is>
          <t>USA</t>
        </is>
      </c>
      <c r="E4163" s="21" t="n">
        <v>153</v>
      </c>
      <c r="F4163" s="21" t="inlineStr">
        <is>
          <t>English</t>
        </is>
      </c>
      <c r="G4163" s="21" t="inlineStr">
        <is>
          <t>R</t>
        </is>
      </c>
      <c r="H4163" s="22" t="n">
        <v>60962878</v>
      </c>
      <c r="I4163" s="22" t="n">
        <v>46000000</v>
      </c>
      <c r="J4163" s="21">
        <f>IF(OR(H4163="",H4163=25529689.5),"Yes","No")</f>
        <v/>
      </c>
      <c r="K4163" s="21">
        <f>IF(AND(D4163="USA",C4163&gt;=1980,J4163="No"),"Yes","No")</f>
        <v/>
      </c>
      <c r="L4163" s="26">
        <f>IF(J4163="Yes","",H4163-I4163)</f>
        <v/>
      </c>
      <c r="M4163" s="27">
        <f>IF(OR(J4163="Yes",I4163=0),"",H4163/I4163)</f>
        <v/>
      </c>
      <c r="N4163" s="21">
        <f>IF(J4163="Yes","",IF(H4163&gt;=I4163,1,0))</f>
        <v/>
      </c>
      <c r="O4163" s="21">
        <f>IF(I4163&lt;=5000000,"Under $5M",IF(I4163&lt;=20000000,"$5M-20M",IF(I4163&lt;=50000000,"$20M-50M",IF(I4163&lt;=100000000,"$50M-100M","$100M+"))))</f>
        <v/>
      </c>
      <c r="P4163" s="21">
        <f>IF(E4163&lt;=90,"90 or less",IF(E4163&lt;=105,"91-105",IF(E4163&lt;=120,"106-120",IF(E4163&lt;=140,"121-140","Over 140"))))</f>
        <v/>
      </c>
      <c r="Q4163" s="28">
        <f>INT(C4163/10)*10</f>
        <v/>
      </c>
    </row>
    <row r="4164">
      <c r="A4164" s="21" t="n">
        <v>4249</v>
      </c>
      <c r="B4164" s="21" t="inlineStr">
        <is>
          <t>R.I.P.D.</t>
        </is>
      </c>
      <c r="C4164" s="21" t="n">
        <v>2013</v>
      </c>
      <c r="D4164" s="21" t="inlineStr">
        <is>
          <t>USA</t>
        </is>
      </c>
      <c r="E4164" s="21" t="n">
        <v>96</v>
      </c>
      <c r="F4164" s="21" t="inlineStr">
        <is>
          <t>English</t>
        </is>
      </c>
      <c r="G4164" s="21" t="inlineStr">
        <is>
          <t>PG-13</t>
        </is>
      </c>
      <c r="H4164" s="22" t="n">
        <v>33592415</v>
      </c>
      <c r="I4164" s="22" t="n">
        <v>130000000</v>
      </c>
      <c r="J4164" s="21">
        <f>IF(OR(H4164="",H4164=25529689.5),"Yes","No")</f>
        <v/>
      </c>
      <c r="K4164" s="21">
        <f>IF(AND(D4164="USA",C4164&gt;=1980,J4164="No"),"Yes","No")</f>
        <v/>
      </c>
      <c r="L4164" s="26">
        <f>IF(J4164="Yes","",H4164-I4164)</f>
        <v/>
      </c>
      <c r="M4164" s="27">
        <f>IF(OR(J4164="Yes",I4164=0),"",H4164/I4164)</f>
        <v/>
      </c>
      <c r="N4164" s="21">
        <f>IF(J4164="Yes","",IF(H4164&gt;=I4164,1,0))</f>
        <v/>
      </c>
      <c r="O4164" s="21">
        <f>IF(I4164&lt;=5000000,"Under $5M",IF(I4164&lt;=20000000,"$5M-20M",IF(I4164&lt;=50000000,"$20M-50M",IF(I4164&lt;=100000000,"$50M-100M","$100M+"))))</f>
        <v/>
      </c>
      <c r="P4164" s="21">
        <f>IF(E4164&lt;=90,"90 or less",IF(E4164&lt;=105,"91-105",IF(E4164&lt;=120,"106-120",IF(E4164&lt;=140,"121-140","Over 140"))))</f>
        <v/>
      </c>
      <c r="Q4164" s="28">
        <f>INT(C4164/10)*10</f>
        <v/>
      </c>
    </row>
    <row r="4165">
      <c r="A4165" s="21" t="n">
        <v>4250</v>
      </c>
      <c r="B4165" s="21" t="inlineStr">
        <is>
          <t>R100</t>
        </is>
      </c>
      <c r="C4165" s="21" t="n">
        <v>2013</v>
      </c>
      <c r="D4165" s="21" t="inlineStr">
        <is>
          <t>Japan</t>
        </is>
      </c>
      <c r="E4165" s="21" t="n">
        <v>99</v>
      </c>
      <c r="F4165" s="21" t="inlineStr">
        <is>
          <t>Japanese</t>
        </is>
      </c>
      <c r="G4165" s="21" t="inlineStr">
        <is>
          <t>Unrated</t>
        </is>
      </c>
      <c r="H4165" s="22" t="n">
        <v>22770</v>
      </c>
      <c r="I4165" s="22" t="n">
        <v>5500000</v>
      </c>
      <c r="J4165" s="21">
        <f>IF(OR(H4165="",H4165=25529689.5),"Yes","No")</f>
        <v/>
      </c>
      <c r="K4165" s="21">
        <f>IF(AND(D4165="USA",C4165&gt;=1980,J4165="No"),"Yes","No")</f>
        <v/>
      </c>
      <c r="L4165" s="26">
        <f>IF(J4165="Yes","",H4165-I4165)</f>
        <v/>
      </c>
      <c r="M4165" s="27">
        <f>IF(OR(J4165="Yes",I4165=0),"",H4165/I4165)</f>
        <v/>
      </c>
      <c r="N4165" s="21">
        <f>IF(J4165="Yes","",IF(H4165&gt;=I4165,1,0))</f>
        <v/>
      </c>
      <c r="O4165" s="21">
        <f>IF(I4165&lt;=5000000,"Under $5M",IF(I4165&lt;=20000000,"$5M-20M",IF(I4165&lt;=50000000,"$20M-50M",IF(I4165&lt;=100000000,"$50M-100M","$100M+"))))</f>
        <v/>
      </c>
      <c r="P4165" s="21">
        <f>IF(E4165&lt;=90,"90 or less",IF(E4165&lt;=105,"91-105",IF(E4165&lt;=120,"106-120",IF(E4165&lt;=140,"121-140","Over 140"))))</f>
        <v/>
      </c>
      <c r="Q4165" s="28">
        <f>INT(C4165/10)*10</f>
        <v/>
      </c>
    </row>
    <row r="4166">
      <c r="A4166" s="21" t="n">
        <v>4251</v>
      </c>
      <c r="B4166" s="21" t="inlineStr">
        <is>
          <t>RED 2</t>
        </is>
      </c>
      <c r="C4166" s="21" t="n">
        <v>2013</v>
      </c>
      <c r="D4166" s="21" t="inlineStr">
        <is>
          <t>USA</t>
        </is>
      </c>
      <c r="E4166" s="21" t="n">
        <v>116</v>
      </c>
      <c r="F4166" s="21" t="inlineStr">
        <is>
          <t>English</t>
        </is>
      </c>
      <c r="G4166" s="21" t="inlineStr">
        <is>
          <t>PG-13</t>
        </is>
      </c>
      <c r="H4166" s="22" t="n">
        <v>53215979</v>
      </c>
      <c r="I4166" s="22" t="n">
        <v>84000000</v>
      </c>
      <c r="J4166" s="21">
        <f>IF(OR(H4166="",H4166=25529689.5),"Yes","No")</f>
        <v/>
      </c>
      <c r="K4166" s="21">
        <f>IF(AND(D4166="USA",C4166&gt;=1980,J4166="No"),"Yes","No")</f>
        <v/>
      </c>
      <c r="L4166" s="26">
        <f>IF(J4166="Yes","",H4166-I4166)</f>
        <v/>
      </c>
      <c r="M4166" s="27">
        <f>IF(OR(J4166="Yes",I4166=0),"",H4166/I4166)</f>
        <v/>
      </c>
      <c r="N4166" s="21">
        <f>IF(J4166="Yes","",IF(H4166&gt;=I4166,1,0))</f>
        <v/>
      </c>
      <c r="O4166" s="21">
        <f>IF(I4166&lt;=5000000,"Under $5M",IF(I4166&lt;=20000000,"$5M-20M",IF(I4166&lt;=50000000,"$20M-50M",IF(I4166&lt;=100000000,"$50M-100M","$100M+"))))</f>
        <v/>
      </c>
      <c r="P4166" s="21">
        <f>IF(E4166&lt;=90,"90 or less",IF(E4166&lt;=105,"91-105",IF(E4166&lt;=120,"106-120",IF(E4166&lt;=140,"121-140","Over 140"))))</f>
        <v/>
      </c>
      <c r="Q4166" s="28">
        <f>INT(C4166/10)*10</f>
        <v/>
      </c>
    </row>
    <row r="4167">
      <c r="A4167" s="21" t="n">
        <v>4252</v>
      </c>
      <c r="B4167" s="21" t="inlineStr">
        <is>
          <t>Riddick</t>
        </is>
      </c>
      <c r="C4167" s="21" t="n">
        <v>2013</v>
      </c>
      <c r="D4167" s="21" t="inlineStr">
        <is>
          <t>USA</t>
        </is>
      </c>
      <c r="E4167" s="21" t="n">
        <v>127</v>
      </c>
      <c r="F4167" s="21" t="inlineStr">
        <is>
          <t>English</t>
        </is>
      </c>
      <c r="G4167" s="21" t="inlineStr">
        <is>
          <t>R</t>
        </is>
      </c>
      <c r="H4167" s="22" t="n">
        <v>41997790</v>
      </c>
      <c r="I4167" s="22" t="n">
        <v>38000000</v>
      </c>
      <c r="J4167" s="21">
        <f>IF(OR(H4167="",H4167=25529689.5),"Yes","No")</f>
        <v/>
      </c>
      <c r="K4167" s="21">
        <f>IF(AND(D4167="USA",C4167&gt;=1980,J4167="No"),"Yes","No")</f>
        <v/>
      </c>
      <c r="L4167" s="26">
        <f>IF(J4167="Yes","",H4167-I4167)</f>
        <v/>
      </c>
      <c r="M4167" s="27">
        <f>IF(OR(J4167="Yes",I4167=0),"",H4167/I4167)</f>
        <v/>
      </c>
      <c r="N4167" s="21">
        <f>IF(J4167="Yes","",IF(H4167&gt;=I4167,1,0))</f>
        <v/>
      </c>
      <c r="O4167" s="21">
        <f>IF(I4167&lt;=5000000,"Under $5M",IF(I4167&lt;=20000000,"$5M-20M",IF(I4167&lt;=50000000,"$20M-50M",IF(I4167&lt;=100000000,"$50M-100M","$100M+"))))</f>
        <v/>
      </c>
      <c r="P4167" s="21">
        <f>IF(E4167&lt;=90,"90 or less",IF(E4167&lt;=105,"91-105",IF(E4167&lt;=120,"106-120",IF(E4167&lt;=140,"121-140","Over 140"))))</f>
        <v/>
      </c>
      <c r="Q4167" s="28">
        <f>INT(C4167/10)*10</f>
        <v/>
      </c>
    </row>
    <row r="4168">
      <c r="A4168" s="21" t="n">
        <v>4253</v>
      </c>
      <c r="B4168" s="21" t="inlineStr">
        <is>
          <t>Roadside</t>
        </is>
      </c>
      <c r="C4168" s="21" t="n">
        <v>2013</v>
      </c>
      <c r="D4168" s="21" t="inlineStr">
        <is>
          <t>USA</t>
        </is>
      </c>
      <c r="E4168" s="21" t="n">
        <v>81</v>
      </c>
      <c r="F4168" s="21" t="inlineStr">
        <is>
          <t>English</t>
        </is>
      </c>
      <c r="G4168" s="21" t="n"/>
      <c r="H4168" s="22" t="n">
        <v>25529689.5</v>
      </c>
      <c r="I4168" s="22" t="n">
        <v>20000000</v>
      </c>
      <c r="J4168" s="21">
        <f>IF(OR(H4168="",H4168=25529689.5),"Yes","No")</f>
        <v/>
      </c>
      <c r="K4168" s="21">
        <f>IF(AND(D4168="USA",C4168&gt;=1980,J4168="No"),"Yes","No")</f>
        <v/>
      </c>
      <c r="L4168" s="26">
        <f>IF(J4168="Yes","",H4168-I4168)</f>
        <v/>
      </c>
      <c r="M4168" s="27">
        <f>IF(OR(J4168="Yes",I4168=0),"",H4168/I4168)</f>
        <v/>
      </c>
      <c r="N4168" s="21">
        <f>IF(J4168="Yes","",IF(H4168&gt;=I4168,1,0))</f>
        <v/>
      </c>
      <c r="O4168" s="21">
        <f>IF(I4168&lt;=5000000,"Under $5M",IF(I4168&lt;=20000000,"$5M-20M",IF(I4168&lt;=50000000,"$20M-50M",IF(I4168&lt;=100000000,"$50M-100M","$100M+"))))</f>
        <v/>
      </c>
      <c r="P4168" s="21">
        <f>IF(E4168&lt;=90,"90 or less",IF(E4168&lt;=105,"91-105",IF(E4168&lt;=120,"106-120",IF(E4168&lt;=140,"121-140","Over 140"))))</f>
        <v/>
      </c>
      <c r="Q4168" s="28">
        <f>INT(C4168/10)*10</f>
        <v/>
      </c>
    </row>
    <row r="4169">
      <c r="A4169" s="21" t="n">
        <v>4254</v>
      </c>
      <c r="B4169" s="21" t="inlineStr">
        <is>
          <t>Runner Runner</t>
        </is>
      </c>
      <c r="C4169" s="21" t="n">
        <v>2013</v>
      </c>
      <c r="D4169" s="21" t="inlineStr">
        <is>
          <t>USA</t>
        </is>
      </c>
      <c r="E4169" s="21" t="n">
        <v>88</v>
      </c>
      <c r="F4169" s="21" t="inlineStr">
        <is>
          <t>English</t>
        </is>
      </c>
      <c r="G4169" s="21" t="inlineStr">
        <is>
          <t>R</t>
        </is>
      </c>
      <c r="H4169" s="22" t="n">
        <v>19316646</v>
      </c>
      <c r="I4169" s="22" t="n">
        <v>30000000</v>
      </c>
      <c r="J4169" s="21">
        <f>IF(OR(H4169="",H4169=25529689.5),"Yes","No")</f>
        <v/>
      </c>
      <c r="K4169" s="21">
        <f>IF(AND(D4169="USA",C4169&gt;=1980,J4169="No"),"Yes","No")</f>
        <v/>
      </c>
      <c r="L4169" s="26">
        <f>IF(J4169="Yes","",H4169-I4169)</f>
        <v/>
      </c>
      <c r="M4169" s="27">
        <f>IF(OR(J4169="Yes",I4169=0),"",H4169/I4169)</f>
        <v/>
      </c>
      <c r="N4169" s="21">
        <f>IF(J4169="Yes","",IF(H4169&gt;=I4169,1,0))</f>
        <v/>
      </c>
      <c r="O4169" s="21">
        <f>IF(I4169&lt;=5000000,"Under $5M",IF(I4169&lt;=20000000,"$5M-20M",IF(I4169&lt;=50000000,"$20M-50M",IF(I4169&lt;=100000000,"$50M-100M","$100M+"))))</f>
        <v/>
      </c>
      <c r="P4169" s="21">
        <f>IF(E4169&lt;=90,"90 or less",IF(E4169&lt;=105,"91-105",IF(E4169&lt;=120,"106-120",IF(E4169&lt;=140,"121-140","Over 140"))))</f>
        <v/>
      </c>
      <c r="Q4169" s="28">
        <f>INT(C4169/10)*10</f>
        <v/>
      </c>
    </row>
    <row r="4170">
      <c r="A4170" s="21" t="n">
        <v>4255</v>
      </c>
      <c r="B4170" s="21" t="inlineStr">
        <is>
          <t>Rush</t>
        </is>
      </c>
      <c r="C4170" s="21" t="n">
        <v>2013</v>
      </c>
      <c r="D4170" s="21" t="inlineStr">
        <is>
          <t>UK</t>
        </is>
      </c>
      <c r="E4170" s="21" t="n">
        <v>123</v>
      </c>
      <c r="F4170" s="21" t="inlineStr">
        <is>
          <t>English</t>
        </is>
      </c>
      <c r="G4170" s="21" t="inlineStr">
        <is>
          <t>R</t>
        </is>
      </c>
      <c r="H4170" s="22" t="n">
        <v>26903709</v>
      </c>
      <c r="I4170" s="22" t="n">
        <v>38000000</v>
      </c>
      <c r="J4170" s="21">
        <f>IF(OR(H4170="",H4170=25529689.5),"Yes","No")</f>
        <v/>
      </c>
      <c r="K4170" s="21">
        <f>IF(AND(D4170="USA",C4170&gt;=1980,J4170="No"),"Yes","No")</f>
        <v/>
      </c>
      <c r="L4170" s="26">
        <f>IF(J4170="Yes","",H4170-I4170)</f>
        <v/>
      </c>
      <c r="M4170" s="27">
        <f>IF(OR(J4170="Yes",I4170=0),"",H4170/I4170)</f>
        <v/>
      </c>
      <c r="N4170" s="21">
        <f>IF(J4170="Yes","",IF(H4170&gt;=I4170,1,0))</f>
        <v/>
      </c>
      <c r="O4170" s="21">
        <f>IF(I4170&lt;=5000000,"Under $5M",IF(I4170&lt;=20000000,"$5M-20M",IF(I4170&lt;=50000000,"$20M-50M",IF(I4170&lt;=100000000,"$50M-100M","$100M+"))))</f>
        <v/>
      </c>
      <c r="P4170" s="21">
        <f>IF(E4170&lt;=90,"90 or less",IF(E4170&lt;=105,"91-105",IF(E4170&lt;=120,"106-120",IF(E4170&lt;=140,"121-140","Over 140"))))</f>
        <v/>
      </c>
      <c r="Q4170" s="28">
        <f>INT(C4170/10)*10</f>
        <v/>
      </c>
    </row>
    <row r="4171">
      <c r="A4171" s="21" t="n">
        <v>4256</v>
      </c>
      <c r="B4171" s="21" t="inlineStr">
        <is>
          <t>Safe Haven</t>
        </is>
      </c>
      <c r="C4171" s="21" t="n">
        <v>2013</v>
      </c>
      <c r="D4171" s="21" t="inlineStr">
        <is>
          <t>USA</t>
        </is>
      </c>
      <c r="E4171" s="21" t="n">
        <v>115</v>
      </c>
      <c r="F4171" s="21" t="inlineStr">
        <is>
          <t>English</t>
        </is>
      </c>
      <c r="G4171" s="21" t="inlineStr">
        <is>
          <t>PG-13</t>
        </is>
      </c>
      <c r="H4171" s="22" t="n">
        <v>71346930</v>
      </c>
      <c r="I4171" s="22" t="n">
        <v>28000000</v>
      </c>
      <c r="J4171" s="21">
        <f>IF(OR(H4171="",H4171=25529689.5),"Yes","No")</f>
        <v/>
      </c>
      <c r="K4171" s="21">
        <f>IF(AND(D4171="USA",C4171&gt;=1980,J4171="No"),"Yes","No")</f>
        <v/>
      </c>
      <c r="L4171" s="26">
        <f>IF(J4171="Yes","",H4171-I4171)</f>
        <v/>
      </c>
      <c r="M4171" s="27">
        <f>IF(OR(J4171="Yes",I4171=0),"",H4171/I4171)</f>
        <v/>
      </c>
      <c r="N4171" s="21">
        <f>IF(J4171="Yes","",IF(H4171&gt;=I4171,1,0))</f>
        <v/>
      </c>
      <c r="O4171" s="21">
        <f>IF(I4171&lt;=5000000,"Under $5M",IF(I4171&lt;=20000000,"$5M-20M",IF(I4171&lt;=50000000,"$20M-50M",IF(I4171&lt;=100000000,"$50M-100M","$100M+"))))</f>
        <v/>
      </c>
      <c r="P4171" s="21">
        <f>IF(E4171&lt;=90,"90 or less",IF(E4171&lt;=105,"91-105",IF(E4171&lt;=120,"106-120",IF(E4171&lt;=140,"121-140","Over 140"))))</f>
        <v/>
      </c>
      <c r="Q4171" s="28">
        <f>INT(C4171/10)*10</f>
        <v/>
      </c>
    </row>
    <row r="4172">
      <c r="A4172" s="21" t="n">
        <v>4257</v>
      </c>
      <c r="B4172" s="21" t="inlineStr">
        <is>
          <t>Saving Mr. Banks</t>
        </is>
      </c>
      <c r="C4172" s="21" t="n">
        <v>2013</v>
      </c>
      <c r="D4172" s="21" t="inlineStr">
        <is>
          <t>USA</t>
        </is>
      </c>
      <c r="E4172" s="21" t="n">
        <v>125</v>
      </c>
      <c r="F4172" s="21" t="inlineStr">
        <is>
          <t>English</t>
        </is>
      </c>
      <c r="G4172" s="21" t="inlineStr">
        <is>
          <t>PG-13</t>
        </is>
      </c>
      <c r="H4172" s="22" t="n">
        <v>83299761</v>
      </c>
      <c r="I4172" s="22" t="n">
        <v>35000000</v>
      </c>
      <c r="J4172" s="21">
        <f>IF(OR(H4172="",H4172=25529689.5),"Yes","No")</f>
        <v/>
      </c>
      <c r="K4172" s="21">
        <f>IF(AND(D4172="USA",C4172&gt;=1980,J4172="No"),"Yes","No")</f>
        <v/>
      </c>
      <c r="L4172" s="26">
        <f>IF(J4172="Yes","",H4172-I4172)</f>
        <v/>
      </c>
      <c r="M4172" s="27">
        <f>IF(OR(J4172="Yes",I4172=0),"",H4172/I4172)</f>
        <v/>
      </c>
      <c r="N4172" s="21">
        <f>IF(J4172="Yes","",IF(H4172&gt;=I4172,1,0))</f>
        <v/>
      </c>
      <c r="O4172" s="21">
        <f>IF(I4172&lt;=5000000,"Under $5M",IF(I4172&lt;=20000000,"$5M-20M",IF(I4172&lt;=50000000,"$20M-50M",IF(I4172&lt;=100000000,"$50M-100M","$100M+"))))</f>
        <v/>
      </c>
      <c r="P4172" s="21">
        <f>IF(E4172&lt;=90,"90 or less",IF(E4172&lt;=105,"91-105",IF(E4172&lt;=120,"106-120",IF(E4172&lt;=140,"121-140","Over 140"))))</f>
        <v/>
      </c>
      <c r="Q4172" s="28">
        <f>INT(C4172/10)*10</f>
        <v/>
      </c>
    </row>
    <row r="4173">
      <c r="A4173" s="21" t="n">
        <v>4258</v>
      </c>
      <c r="B4173" s="21" t="inlineStr">
        <is>
          <t>Scary Movie 5</t>
        </is>
      </c>
      <c r="C4173" s="21" t="n">
        <v>2013</v>
      </c>
      <c r="D4173" s="21" t="inlineStr">
        <is>
          <t>USA</t>
        </is>
      </c>
      <c r="E4173" s="21" t="n">
        <v>88</v>
      </c>
      <c r="F4173" s="21" t="inlineStr">
        <is>
          <t>English</t>
        </is>
      </c>
      <c r="G4173" s="21" t="inlineStr">
        <is>
          <t>PG-13</t>
        </is>
      </c>
      <c r="H4173" s="22" t="n">
        <v>32014289</v>
      </c>
      <c r="I4173" s="22" t="n">
        <v>20000000</v>
      </c>
      <c r="J4173" s="21">
        <f>IF(OR(H4173="",H4173=25529689.5),"Yes","No")</f>
        <v/>
      </c>
      <c r="K4173" s="21">
        <f>IF(AND(D4173="USA",C4173&gt;=1980,J4173="No"),"Yes","No")</f>
        <v/>
      </c>
      <c r="L4173" s="26">
        <f>IF(J4173="Yes","",H4173-I4173)</f>
        <v/>
      </c>
      <c r="M4173" s="27">
        <f>IF(OR(J4173="Yes",I4173=0),"",H4173/I4173)</f>
        <v/>
      </c>
      <c r="N4173" s="21">
        <f>IF(J4173="Yes","",IF(H4173&gt;=I4173,1,0))</f>
        <v/>
      </c>
      <c r="O4173" s="21">
        <f>IF(I4173&lt;=5000000,"Under $5M",IF(I4173&lt;=20000000,"$5M-20M",IF(I4173&lt;=50000000,"$20M-50M",IF(I4173&lt;=100000000,"$50M-100M","$100M+"))))</f>
        <v/>
      </c>
      <c r="P4173" s="21">
        <f>IF(E4173&lt;=90,"90 or less",IF(E4173&lt;=105,"91-105",IF(E4173&lt;=120,"106-120",IF(E4173&lt;=140,"121-140","Over 140"))))</f>
        <v/>
      </c>
      <c r="Q4173" s="28">
        <f>INT(C4173/10)*10</f>
        <v/>
      </c>
    </row>
    <row r="4174">
      <c r="A4174" s="21" t="n">
        <v>4259</v>
      </c>
      <c r="B4174" s="21" t="inlineStr">
        <is>
          <t>Side Effects</t>
        </is>
      </c>
      <c r="C4174" s="21" t="n">
        <v>2013</v>
      </c>
      <c r="D4174" s="21" t="inlineStr">
        <is>
          <t>USA</t>
        </is>
      </c>
      <c r="E4174" s="21" t="n">
        <v>106</v>
      </c>
      <c r="F4174" s="21" t="inlineStr">
        <is>
          <t>English</t>
        </is>
      </c>
      <c r="G4174" s="21" t="inlineStr">
        <is>
          <t>R</t>
        </is>
      </c>
      <c r="H4174" s="22" t="n">
        <v>32154410</v>
      </c>
      <c r="I4174" s="22" t="n">
        <v>30000000</v>
      </c>
      <c r="J4174" s="21">
        <f>IF(OR(H4174="",H4174=25529689.5),"Yes","No")</f>
        <v/>
      </c>
      <c r="K4174" s="21">
        <f>IF(AND(D4174="USA",C4174&gt;=1980,J4174="No"),"Yes","No")</f>
        <v/>
      </c>
      <c r="L4174" s="26">
        <f>IF(J4174="Yes","",H4174-I4174)</f>
        <v/>
      </c>
      <c r="M4174" s="27">
        <f>IF(OR(J4174="Yes",I4174=0),"",H4174/I4174)</f>
        <v/>
      </c>
      <c r="N4174" s="21">
        <f>IF(J4174="Yes","",IF(H4174&gt;=I4174,1,0))</f>
        <v/>
      </c>
      <c r="O4174" s="21">
        <f>IF(I4174&lt;=5000000,"Under $5M",IF(I4174&lt;=20000000,"$5M-20M",IF(I4174&lt;=50000000,"$20M-50M",IF(I4174&lt;=100000000,"$50M-100M","$100M+"))))</f>
        <v/>
      </c>
      <c r="P4174" s="21">
        <f>IF(E4174&lt;=90,"90 or less",IF(E4174&lt;=105,"91-105",IF(E4174&lt;=120,"106-120",IF(E4174&lt;=140,"121-140","Over 140"))))</f>
        <v/>
      </c>
      <c r="Q4174" s="28">
        <f>INT(C4174/10)*10</f>
        <v/>
      </c>
    </row>
    <row r="4175">
      <c r="A4175" s="21" t="n">
        <v>4261</v>
      </c>
      <c r="B4175" s="21" t="inlineStr">
        <is>
          <t>Signed Sealed Delivered</t>
        </is>
      </c>
      <c r="C4175" s="21" t="n">
        <v>2013</v>
      </c>
      <c r="D4175" s="21" t="inlineStr">
        <is>
          <t>Canada</t>
        </is>
      </c>
      <c r="E4175" s="21" t="n">
        <v>87</v>
      </c>
      <c r="F4175" s="21" t="inlineStr">
        <is>
          <t>English</t>
        </is>
      </c>
      <c r="G4175" s="21" t="n"/>
      <c r="H4175" s="22" t="n">
        <v>25529689.5</v>
      </c>
      <c r="I4175" s="22" t="n">
        <v>20000000</v>
      </c>
      <c r="J4175" s="21">
        <f>IF(OR(H4175="",H4175=25529689.5),"Yes","No")</f>
        <v/>
      </c>
      <c r="K4175" s="21">
        <f>IF(AND(D4175="USA",C4175&gt;=1980,J4175="No"),"Yes","No")</f>
        <v/>
      </c>
      <c r="L4175" s="26">
        <f>IF(J4175="Yes","",H4175-I4175)</f>
        <v/>
      </c>
      <c r="M4175" s="27">
        <f>IF(OR(J4175="Yes",I4175=0),"",H4175/I4175)</f>
        <v/>
      </c>
      <c r="N4175" s="21">
        <f>IF(J4175="Yes","",IF(H4175&gt;=I4175,1,0))</f>
        <v/>
      </c>
      <c r="O4175" s="21">
        <f>IF(I4175&lt;=5000000,"Under $5M",IF(I4175&lt;=20000000,"$5M-20M",IF(I4175&lt;=50000000,"$20M-50M",IF(I4175&lt;=100000000,"$50M-100M","$100M+"))))</f>
        <v/>
      </c>
      <c r="P4175" s="21">
        <f>IF(E4175&lt;=90,"90 or less",IF(E4175&lt;=105,"91-105",IF(E4175&lt;=120,"106-120",IF(E4175&lt;=140,"121-140","Over 140"))))</f>
        <v/>
      </c>
      <c r="Q4175" s="28">
        <f>INT(C4175/10)*10</f>
        <v/>
      </c>
    </row>
    <row r="4176">
      <c r="A4176" s="21" t="n">
        <v>4262</v>
      </c>
      <c r="B4176" s="21" t="inlineStr">
        <is>
          <t>Snitch</t>
        </is>
      </c>
      <c r="C4176" s="21" t="n">
        <v>2013</v>
      </c>
      <c r="D4176" s="21" t="inlineStr">
        <is>
          <t>USA</t>
        </is>
      </c>
      <c r="E4176" s="21" t="n">
        <v>112</v>
      </c>
      <c r="F4176" s="21" t="inlineStr">
        <is>
          <t>English</t>
        </is>
      </c>
      <c r="G4176" s="21" t="inlineStr">
        <is>
          <t>PG-13</t>
        </is>
      </c>
      <c r="H4176" s="22" t="n">
        <v>42919096</v>
      </c>
      <c r="I4176" s="22" t="n">
        <v>15000000</v>
      </c>
      <c r="J4176" s="21">
        <f>IF(OR(H4176="",H4176=25529689.5),"Yes","No")</f>
        <v/>
      </c>
      <c r="K4176" s="21">
        <f>IF(AND(D4176="USA",C4176&gt;=1980,J4176="No"),"Yes","No")</f>
        <v/>
      </c>
      <c r="L4176" s="26">
        <f>IF(J4176="Yes","",H4176-I4176)</f>
        <v/>
      </c>
      <c r="M4176" s="27">
        <f>IF(OR(J4176="Yes",I4176=0),"",H4176/I4176)</f>
        <v/>
      </c>
      <c r="N4176" s="21">
        <f>IF(J4176="Yes","",IF(H4176&gt;=I4176,1,0))</f>
        <v/>
      </c>
      <c r="O4176" s="21">
        <f>IF(I4176&lt;=5000000,"Under $5M",IF(I4176&lt;=20000000,"$5M-20M",IF(I4176&lt;=50000000,"$20M-50M",IF(I4176&lt;=100000000,"$50M-100M","$100M+"))))</f>
        <v/>
      </c>
      <c r="P4176" s="21">
        <f>IF(E4176&lt;=90,"90 or less",IF(E4176&lt;=105,"91-105",IF(E4176&lt;=120,"106-120",IF(E4176&lt;=140,"121-140","Over 140"))))</f>
        <v/>
      </c>
      <c r="Q4176" s="28">
        <f>INT(C4176/10)*10</f>
        <v/>
      </c>
    </row>
    <row r="4177">
      <c r="A4177" s="21" t="n">
        <v>4264</v>
      </c>
      <c r="B4177" s="21" t="inlineStr">
        <is>
          <t>Snowpiercer</t>
        </is>
      </c>
      <c r="C4177" s="21" t="n">
        <v>2013</v>
      </c>
      <c r="D4177" s="21" t="inlineStr">
        <is>
          <t>South Korea</t>
        </is>
      </c>
      <c r="E4177" s="21" t="n">
        <v>126</v>
      </c>
      <c r="F4177" s="21" t="inlineStr">
        <is>
          <t>English</t>
        </is>
      </c>
      <c r="G4177" s="21" t="inlineStr">
        <is>
          <t>R</t>
        </is>
      </c>
      <c r="H4177" s="22" t="n">
        <v>4563029</v>
      </c>
      <c r="I4177" s="22" t="n">
        <v>39200000</v>
      </c>
      <c r="J4177" s="21">
        <f>IF(OR(H4177="",H4177=25529689.5),"Yes","No")</f>
        <v/>
      </c>
      <c r="K4177" s="21">
        <f>IF(AND(D4177="USA",C4177&gt;=1980,J4177="No"),"Yes","No")</f>
        <v/>
      </c>
      <c r="L4177" s="26">
        <f>IF(J4177="Yes","",H4177-I4177)</f>
        <v/>
      </c>
      <c r="M4177" s="27">
        <f>IF(OR(J4177="Yes",I4177=0),"",H4177/I4177)</f>
        <v/>
      </c>
      <c r="N4177" s="21">
        <f>IF(J4177="Yes","",IF(H4177&gt;=I4177,1,0))</f>
        <v/>
      </c>
      <c r="O4177" s="21">
        <f>IF(I4177&lt;=5000000,"Under $5M",IF(I4177&lt;=20000000,"$5M-20M",IF(I4177&lt;=50000000,"$20M-50M",IF(I4177&lt;=100000000,"$50M-100M","$100M+"))))</f>
        <v/>
      </c>
      <c r="P4177" s="21">
        <f>IF(E4177&lt;=90,"90 or less",IF(E4177&lt;=105,"91-105",IF(E4177&lt;=120,"106-120",IF(E4177&lt;=140,"121-140","Over 140"))))</f>
        <v/>
      </c>
      <c r="Q4177" s="28">
        <f>INT(C4177/10)*10</f>
        <v/>
      </c>
    </row>
    <row r="4178">
      <c r="A4178" s="21" t="n">
        <v>4265</v>
      </c>
      <c r="B4178" s="21" t="inlineStr">
        <is>
          <t>Star Trek Into Darkness</t>
        </is>
      </c>
      <c r="C4178" s="21" t="n">
        <v>2013</v>
      </c>
      <c r="D4178" s="21" t="inlineStr">
        <is>
          <t>USA</t>
        </is>
      </c>
      <c r="E4178" s="21" t="n">
        <v>132</v>
      </c>
      <c r="F4178" s="21" t="inlineStr">
        <is>
          <t>English</t>
        </is>
      </c>
      <c r="G4178" s="21" t="inlineStr">
        <is>
          <t>PG-13</t>
        </is>
      </c>
      <c r="H4178" s="22" t="n">
        <v>228756232</v>
      </c>
      <c r="I4178" s="22" t="n">
        <v>190000000</v>
      </c>
      <c r="J4178" s="21">
        <f>IF(OR(H4178="",H4178=25529689.5),"Yes","No")</f>
        <v/>
      </c>
      <c r="K4178" s="21">
        <f>IF(AND(D4178="USA",C4178&gt;=1980,J4178="No"),"Yes","No")</f>
        <v/>
      </c>
      <c r="L4178" s="26">
        <f>IF(J4178="Yes","",H4178-I4178)</f>
        <v/>
      </c>
      <c r="M4178" s="27">
        <f>IF(OR(J4178="Yes",I4178=0),"",H4178/I4178)</f>
        <v/>
      </c>
      <c r="N4178" s="21">
        <f>IF(J4178="Yes","",IF(H4178&gt;=I4178,1,0))</f>
        <v/>
      </c>
      <c r="O4178" s="21">
        <f>IF(I4178&lt;=5000000,"Under $5M",IF(I4178&lt;=20000000,"$5M-20M",IF(I4178&lt;=50000000,"$20M-50M",IF(I4178&lt;=100000000,"$50M-100M","$100M+"))))</f>
        <v/>
      </c>
      <c r="P4178" s="21">
        <f>IF(E4178&lt;=90,"90 or less",IF(E4178&lt;=105,"91-105",IF(E4178&lt;=120,"106-120",IF(E4178&lt;=140,"121-140","Over 140"))))</f>
        <v/>
      </c>
      <c r="Q4178" s="28">
        <f>INT(C4178/10)*10</f>
        <v/>
      </c>
    </row>
    <row r="4179">
      <c r="A4179" s="21" t="n">
        <v>4266</v>
      </c>
      <c r="B4179" s="21" t="inlineStr">
        <is>
          <t>Stoker</t>
        </is>
      </c>
      <c r="C4179" s="21" t="n">
        <v>2013</v>
      </c>
      <c r="D4179" s="21" t="inlineStr">
        <is>
          <t>UK</t>
        </is>
      </c>
      <c r="E4179" s="21" t="n">
        <v>99</v>
      </c>
      <c r="F4179" s="21" t="inlineStr">
        <is>
          <t>English</t>
        </is>
      </c>
      <c r="G4179" s="21" t="inlineStr">
        <is>
          <t>R</t>
        </is>
      </c>
      <c r="H4179" s="22" t="n">
        <v>1702277</v>
      </c>
      <c r="I4179" s="22" t="n">
        <v>12000000</v>
      </c>
      <c r="J4179" s="21">
        <f>IF(OR(H4179="",H4179=25529689.5),"Yes","No")</f>
        <v/>
      </c>
      <c r="K4179" s="21">
        <f>IF(AND(D4179="USA",C4179&gt;=1980,J4179="No"),"Yes","No")</f>
        <v/>
      </c>
      <c r="L4179" s="26">
        <f>IF(J4179="Yes","",H4179-I4179)</f>
        <v/>
      </c>
      <c r="M4179" s="27">
        <f>IF(OR(J4179="Yes",I4179=0),"",H4179/I4179)</f>
        <v/>
      </c>
      <c r="N4179" s="21">
        <f>IF(J4179="Yes","",IF(H4179&gt;=I4179,1,0))</f>
        <v/>
      </c>
      <c r="O4179" s="21">
        <f>IF(I4179&lt;=5000000,"Under $5M",IF(I4179&lt;=20000000,"$5M-20M",IF(I4179&lt;=50000000,"$20M-50M",IF(I4179&lt;=100000000,"$50M-100M","$100M+"))))</f>
        <v/>
      </c>
      <c r="P4179" s="21">
        <f>IF(E4179&lt;=90,"90 or less",IF(E4179&lt;=105,"91-105",IF(E4179&lt;=120,"106-120",IF(E4179&lt;=140,"121-140","Over 140"))))</f>
        <v/>
      </c>
      <c r="Q4179" s="28">
        <f>INT(C4179/10)*10</f>
        <v/>
      </c>
    </row>
    <row r="4180">
      <c r="A4180" s="21" t="n">
        <v>4267</v>
      </c>
      <c r="B4180" s="21" t="inlineStr">
        <is>
          <t>Straight A's</t>
        </is>
      </c>
      <c r="C4180" s="21" t="n">
        <v>2013</v>
      </c>
      <c r="D4180" s="21" t="inlineStr">
        <is>
          <t>USA</t>
        </is>
      </c>
      <c r="E4180" s="21" t="n">
        <v>91</v>
      </c>
      <c r="F4180" s="21" t="inlineStr">
        <is>
          <t>English</t>
        </is>
      </c>
      <c r="G4180" s="21" t="inlineStr">
        <is>
          <t>R</t>
        </is>
      </c>
      <c r="H4180" s="22" t="n">
        <v>25529689.5</v>
      </c>
      <c r="I4180" s="22" t="n">
        <v>2000000</v>
      </c>
      <c r="J4180" s="21">
        <f>IF(OR(H4180="",H4180=25529689.5),"Yes","No")</f>
        <v/>
      </c>
      <c r="K4180" s="21">
        <f>IF(AND(D4180="USA",C4180&gt;=1980,J4180="No"),"Yes","No")</f>
        <v/>
      </c>
      <c r="L4180" s="26">
        <f>IF(J4180="Yes","",H4180-I4180)</f>
        <v/>
      </c>
      <c r="M4180" s="27">
        <f>IF(OR(J4180="Yes",I4180=0),"",H4180/I4180)</f>
        <v/>
      </c>
      <c r="N4180" s="21">
        <f>IF(J4180="Yes","",IF(H4180&gt;=I4180,1,0))</f>
        <v/>
      </c>
      <c r="O4180" s="21">
        <f>IF(I4180&lt;=5000000,"Under $5M",IF(I4180&lt;=20000000,"$5M-20M",IF(I4180&lt;=50000000,"$20M-50M",IF(I4180&lt;=100000000,"$50M-100M","$100M+"))))</f>
        <v/>
      </c>
      <c r="P4180" s="21">
        <f>IF(E4180&lt;=90,"90 or less",IF(E4180&lt;=105,"91-105",IF(E4180&lt;=120,"106-120",IF(E4180&lt;=140,"121-140","Over 140"))))</f>
        <v/>
      </c>
      <c r="Q4180" s="28">
        <f>INT(C4180/10)*10</f>
        <v/>
      </c>
    </row>
    <row r="4181">
      <c r="A4181" s="21" t="n">
        <v>4268</v>
      </c>
      <c r="B4181" s="21" t="inlineStr">
        <is>
          <t>Texas Chainsaw 3D</t>
        </is>
      </c>
      <c r="C4181" s="21" t="n">
        <v>2013</v>
      </c>
      <c r="D4181" s="21" t="inlineStr">
        <is>
          <t>USA</t>
        </is>
      </c>
      <c r="E4181" s="21" t="n">
        <v>92</v>
      </c>
      <c r="F4181" s="21" t="inlineStr">
        <is>
          <t>English</t>
        </is>
      </c>
      <c r="G4181" s="21" t="inlineStr">
        <is>
          <t>R</t>
        </is>
      </c>
      <c r="H4181" s="22" t="n">
        <v>34334256</v>
      </c>
      <c r="I4181" s="22" t="n">
        <v>11000000</v>
      </c>
      <c r="J4181" s="21">
        <f>IF(OR(H4181="",H4181=25529689.5),"Yes","No")</f>
        <v/>
      </c>
      <c r="K4181" s="21">
        <f>IF(AND(D4181="USA",C4181&gt;=1980,J4181="No"),"Yes","No")</f>
        <v/>
      </c>
      <c r="L4181" s="26">
        <f>IF(J4181="Yes","",H4181-I4181)</f>
        <v/>
      </c>
      <c r="M4181" s="27">
        <f>IF(OR(J4181="Yes",I4181=0),"",H4181/I4181)</f>
        <v/>
      </c>
      <c r="N4181" s="21">
        <f>IF(J4181="Yes","",IF(H4181&gt;=I4181,1,0))</f>
        <v/>
      </c>
      <c r="O4181" s="21">
        <f>IF(I4181&lt;=5000000,"Under $5M",IF(I4181&lt;=20000000,"$5M-20M",IF(I4181&lt;=50000000,"$20M-50M",IF(I4181&lt;=100000000,"$50M-100M","$100M+"))))</f>
        <v/>
      </c>
      <c r="P4181" s="21">
        <f>IF(E4181&lt;=90,"90 or less",IF(E4181&lt;=105,"91-105",IF(E4181&lt;=120,"106-120",IF(E4181&lt;=140,"121-140","Over 140"))))</f>
        <v/>
      </c>
      <c r="Q4181" s="28">
        <f>INT(C4181/10)*10</f>
        <v/>
      </c>
    </row>
    <row r="4182">
      <c r="A4182" s="21" t="n">
        <v>4269</v>
      </c>
      <c r="B4182" s="21" t="inlineStr">
        <is>
          <t>The Adventurer: The Curse of the Midas Box</t>
        </is>
      </c>
      <c r="C4182" s="21" t="n">
        <v>2013</v>
      </c>
      <c r="D4182" s="21" t="inlineStr">
        <is>
          <t>UK</t>
        </is>
      </c>
      <c r="E4182" s="21" t="n">
        <v>100</v>
      </c>
      <c r="F4182" s="21" t="inlineStr">
        <is>
          <t>English</t>
        </is>
      </c>
      <c r="G4182" s="21" t="inlineStr">
        <is>
          <t>PG</t>
        </is>
      </c>
      <c r="H4182" s="22" t="n">
        <v>4756</v>
      </c>
      <c r="I4182" s="22" t="n">
        <v>25000000</v>
      </c>
      <c r="J4182" s="21">
        <f>IF(OR(H4182="",H4182=25529689.5),"Yes","No")</f>
        <v/>
      </c>
      <c r="K4182" s="21">
        <f>IF(AND(D4182="USA",C4182&gt;=1980,J4182="No"),"Yes","No")</f>
        <v/>
      </c>
      <c r="L4182" s="26">
        <f>IF(J4182="Yes","",H4182-I4182)</f>
        <v/>
      </c>
      <c r="M4182" s="27">
        <f>IF(OR(J4182="Yes",I4182=0),"",H4182/I4182)</f>
        <v/>
      </c>
      <c r="N4182" s="21">
        <f>IF(J4182="Yes","",IF(H4182&gt;=I4182,1,0))</f>
        <v/>
      </c>
      <c r="O4182" s="21">
        <f>IF(I4182&lt;=5000000,"Under $5M",IF(I4182&lt;=20000000,"$5M-20M",IF(I4182&lt;=50000000,"$20M-50M",IF(I4182&lt;=100000000,"$50M-100M","$100M+"))))</f>
        <v/>
      </c>
      <c r="P4182" s="21">
        <f>IF(E4182&lt;=90,"90 or less",IF(E4182&lt;=105,"91-105",IF(E4182&lt;=120,"106-120",IF(E4182&lt;=140,"121-140","Over 140"))))</f>
        <v/>
      </c>
      <c r="Q4182" s="28">
        <f>INT(C4182/10)*10</f>
        <v/>
      </c>
    </row>
    <row r="4183">
      <c r="A4183" s="21" t="n">
        <v>4270</v>
      </c>
      <c r="B4183" s="21" t="inlineStr">
        <is>
          <t>The Amazing Catfish</t>
        </is>
      </c>
      <c r="C4183" s="21" t="n">
        <v>2013</v>
      </c>
      <c r="D4183" s="21" t="inlineStr">
        <is>
          <t>Mexico</t>
        </is>
      </c>
      <c r="E4183" s="21" t="n">
        <v>89</v>
      </c>
      <c r="F4183" s="21" t="inlineStr">
        <is>
          <t>Spanish</t>
        </is>
      </c>
      <c r="G4183" s="21" t="n"/>
      <c r="H4183" s="22" t="n">
        <v>11278</v>
      </c>
      <c r="I4183" s="22" t="n">
        <v>1300000</v>
      </c>
      <c r="J4183" s="21">
        <f>IF(OR(H4183="",H4183=25529689.5),"Yes","No")</f>
        <v/>
      </c>
      <c r="K4183" s="21">
        <f>IF(AND(D4183="USA",C4183&gt;=1980,J4183="No"),"Yes","No")</f>
        <v/>
      </c>
      <c r="L4183" s="26">
        <f>IF(J4183="Yes","",H4183-I4183)</f>
        <v/>
      </c>
      <c r="M4183" s="27">
        <f>IF(OR(J4183="Yes",I4183=0),"",H4183/I4183)</f>
        <v/>
      </c>
      <c r="N4183" s="21">
        <f>IF(J4183="Yes","",IF(H4183&gt;=I4183,1,0))</f>
        <v/>
      </c>
      <c r="O4183" s="21">
        <f>IF(I4183&lt;=5000000,"Under $5M",IF(I4183&lt;=20000000,"$5M-20M",IF(I4183&lt;=50000000,"$20M-50M",IF(I4183&lt;=100000000,"$50M-100M","$100M+"))))</f>
        <v/>
      </c>
      <c r="P4183" s="21">
        <f>IF(E4183&lt;=90,"90 or less",IF(E4183&lt;=105,"91-105",IF(E4183&lt;=120,"106-120",IF(E4183&lt;=140,"121-140","Over 140"))))</f>
        <v/>
      </c>
      <c r="Q4183" s="28">
        <f>INT(C4183/10)*10</f>
        <v/>
      </c>
    </row>
    <row r="4184">
      <c r="A4184" s="21" t="n">
        <v>4271</v>
      </c>
      <c r="B4184" s="21" t="inlineStr">
        <is>
          <t>The Best Man Holiday</t>
        </is>
      </c>
      <c r="C4184" s="21" t="n">
        <v>2013</v>
      </c>
      <c r="D4184" s="21" t="inlineStr">
        <is>
          <t>USA</t>
        </is>
      </c>
      <c r="E4184" s="21" t="n">
        <v>123</v>
      </c>
      <c r="F4184" s="21" t="inlineStr">
        <is>
          <t>English</t>
        </is>
      </c>
      <c r="G4184" s="21" t="inlineStr">
        <is>
          <t>R</t>
        </is>
      </c>
      <c r="H4184" s="22" t="n">
        <v>70492685</v>
      </c>
      <c r="I4184" s="22" t="n">
        <v>17000000</v>
      </c>
      <c r="J4184" s="21">
        <f>IF(OR(H4184="",H4184=25529689.5),"Yes","No")</f>
        <v/>
      </c>
      <c r="K4184" s="21">
        <f>IF(AND(D4184="USA",C4184&gt;=1980,J4184="No"),"Yes","No")</f>
        <v/>
      </c>
      <c r="L4184" s="26">
        <f>IF(J4184="Yes","",H4184-I4184)</f>
        <v/>
      </c>
      <c r="M4184" s="27">
        <f>IF(OR(J4184="Yes",I4184=0),"",H4184/I4184)</f>
        <v/>
      </c>
      <c r="N4184" s="21">
        <f>IF(J4184="Yes","",IF(H4184&gt;=I4184,1,0))</f>
        <v/>
      </c>
      <c r="O4184" s="21">
        <f>IF(I4184&lt;=5000000,"Under $5M",IF(I4184&lt;=20000000,"$5M-20M",IF(I4184&lt;=50000000,"$20M-50M",IF(I4184&lt;=100000000,"$50M-100M","$100M+"))))</f>
        <v/>
      </c>
      <c r="P4184" s="21">
        <f>IF(E4184&lt;=90,"90 or less",IF(E4184&lt;=105,"91-105",IF(E4184&lt;=120,"106-120",IF(E4184&lt;=140,"121-140","Over 140"))))</f>
        <v/>
      </c>
      <c r="Q4184" s="28">
        <f>INT(C4184/10)*10</f>
        <v/>
      </c>
    </row>
    <row r="4185">
      <c r="A4185" s="21" t="n">
        <v>4272</v>
      </c>
      <c r="B4185" s="21" t="inlineStr">
        <is>
          <t>The Best Offer</t>
        </is>
      </c>
      <c r="C4185" s="21" t="n">
        <v>2013</v>
      </c>
      <c r="D4185" s="21" t="inlineStr">
        <is>
          <t>Italy</t>
        </is>
      </c>
      <c r="E4185" s="21" t="n">
        <v>131</v>
      </c>
      <c r="F4185" s="21" t="inlineStr">
        <is>
          <t>English</t>
        </is>
      </c>
      <c r="G4185" s="21" t="inlineStr">
        <is>
          <t>R</t>
        </is>
      </c>
      <c r="H4185" s="22" t="n">
        <v>85433</v>
      </c>
      <c r="I4185" s="22" t="n">
        <v>13500000</v>
      </c>
      <c r="J4185" s="21">
        <f>IF(OR(H4185="",H4185=25529689.5),"Yes","No")</f>
        <v/>
      </c>
      <c r="K4185" s="21">
        <f>IF(AND(D4185="USA",C4185&gt;=1980,J4185="No"),"Yes","No")</f>
        <v/>
      </c>
      <c r="L4185" s="26">
        <f>IF(J4185="Yes","",H4185-I4185)</f>
        <v/>
      </c>
      <c r="M4185" s="27">
        <f>IF(OR(J4185="Yes",I4185=0),"",H4185/I4185)</f>
        <v/>
      </c>
      <c r="N4185" s="21">
        <f>IF(J4185="Yes","",IF(H4185&gt;=I4185,1,0))</f>
        <v/>
      </c>
      <c r="O4185" s="21">
        <f>IF(I4185&lt;=5000000,"Under $5M",IF(I4185&lt;=20000000,"$5M-20M",IF(I4185&lt;=50000000,"$20M-50M",IF(I4185&lt;=100000000,"$50M-100M","$100M+"))))</f>
        <v/>
      </c>
      <c r="P4185" s="21">
        <f>IF(E4185&lt;=90,"90 or less",IF(E4185&lt;=105,"91-105",IF(E4185&lt;=120,"106-120",IF(E4185&lt;=140,"121-140","Over 140"))))</f>
        <v/>
      </c>
      <c r="Q4185" s="28">
        <f>INT(C4185/10)*10</f>
        <v/>
      </c>
    </row>
    <row r="4186">
      <c r="A4186" s="21" t="n">
        <v>4273</v>
      </c>
      <c r="B4186" s="21" t="inlineStr">
        <is>
          <t>The Big Wedding</t>
        </is>
      </c>
      <c r="C4186" s="21" t="n">
        <v>2013</v>
      </c>
      <c r="D4186" s="21" t="inlineStr">
        <is>
          <t>USA</t>
        </is>
      </c>
      <c r="E4186" s="21" t="n">
        <v>89</v>
      </c>
      <c r="F4186" s="21" t="inlineStr">
        <is>
          <t>English</t>
        </is>
      </c>
      <c r="G4186" s="21" t="inlineStr">
        <is>
          <t>R</t>
        </is>
      </c>
      <c r="H4186" s="22" t="n">
        <v>21784432</v>
      </c>
      <c r="I4186" s="22" t="n">
        <v>35000000</v>
      </c>
      <c r="J4186" s="21">
        <f>IF(OR(H4186="",H4186=25529689.5),"Yes","No")</f>
        <v/>
      </c>
      <c r="K4186" s="21">
        <f>IF(AND(D4186="USA",C4186&gt;=1980,J4186="No"),"Yes","No")</f>
        <v/>
      </c>
      <c r="L4186" s="26">
        <f>IF(J4186="Yes","",H4186-I4186)</f>
        <v/>
      </c>
      <c r="M4186" s="27">
        <f>IF(OR(J4186="Yes",I4186=0),"",H4186/I4186)</f>
        <v/>
      </c>
      <c r="N4186" s="21">
        <f>IF(J4186="Yes","",IF(H4186&gt;=I4186,1,0))</f>
        <v/>
      </c>
      <c r="O4186" s="21">
        <f>IF(I4186&lt;=5000000,"Under $5M",IF(I4186&lt;=20000000,"$5M-20M",IF(I4186&lt;=50000000,"$20M-50M",IF(I4186&lt;=100000000,"$50M-100M","$100M+"))))</f>
        <v/>
      </c>
      <c r="P4186" s="21">
        <f>IF(E4186&lt;=90,"90 or less",IF(E4186&lt;=105,"91-105",IF(E4186&lt;=120,"106-120",IF(E4186&lt;=140,"121-140","Over 140"))))</f>
        <v/>
      </c>
      <c r="Q4186" s="28">
        <f>INT(C4186/10)*10</f>
        <v/>
      </c>
    </row>
    <row r="4187">
      <c r="A4187" s="21" t="n">
        <v>4274</v>
      </c>
      <c r="B4187" s="21" t="inlineStr">
        <is>
          <t>The Book Thief</t>
        </is>
      </c>
      <c r="C4187" s="21" t="n">
        <v>2013</v>
      </c>
      <c r="D4187" s="21" t="inlineStr">
        <is>
          <t>USA</t>
        </is>
      </c>
      <c r="E4187" s="21" t="n">
        <v>131</v>
      </c>
      <c r="F4187" s="21" t="inlineStr">
        <is>
          <t>English</t>
        </is>
      </c>
      <c r="G4187" s="21" t="inlineStr">
        <is>
          <t>PG-13</t>
        </is>
      </c>
      <c r="H4187" s="22" t="n">
        <v>21483154</v>
      </c>
      <c r="I4187" s="22" t="n">
        <v>19000000</v>
      </c>
      <c r="J4187" s="21">
        <f>IF(OR(H4187="",H4187=25529689.5),"Yes","No")</f>
        <v/>
      </c>
      <c r="K4187" s="21">
        <f>IF(AND(D4187="USA",C4187&gt;=1980,J4187="No"),"Yes","No")</f>
        <v/>
      </c>
      <c r="L4187" s="26">
        <f>IF(J4187="Yes","",H4187-I4187)</f>
        <v/>
      </c>
      <c r="M4187" s="27">
        <f>IF(OR(J4187="Yes",I4187=0),"",H4187/I4187)</f>
        <v/>
      </c>
      <c r="N4187" s="21">
        <f>IF(J4187="Yes","",IF(H4187&gt;=I4187,1,0))</f>
        <v/>
      </c>
      <c r="O4187" s="21">
        <f>IF(I4187&lt;=5000000,"Under $5M",IF(I4187&lt;=20000000,"$5M-20M",IF(I4187&lt;=50000000,"$20M-50M",IF(I4187&lt;=100000000,"$50M-100M","$100M+"))))</f>
        <v/>
      </c>
      <c r="P4187" s="21">
        <f>IF(E4187&lt;=90,"90 or less",IF(E4187&lt;=105,"91-105",IF(E4187&lt;=120,"106-120",IF(E4187&lt;=140,"121-140","Over 140"))))</f>
        <v/>
      </c>
      <c r="Q4187" s="28">
        <f>INT(C4187/10)*10</f>
        <v/>
      </c>
    </row>
    <row r="4188">
      <c r="A4188" s="21" t="n">
        <v>4275</v>
      </c>
      <c r="B4188" s="21" t="inlineStr">
        <is>
          <t>The Brain That Sings</t>
        </is>
      </c>
      <c r="C4188" s="21" t="n">
        <v>2013</v>
      </c>
      <c r="D4188" s="21" t="inlineStr">
        <is>
          <t>United Arab Emirates</t>
        </is>
      </c>
      <c r="E4188" s="21" t="n">
        <v>62</v>
      </c>
      <c r="F4188" s="21" t="inlineStr">
        <is>
          <t>Arabic</t>
        </is>
      </c>
      <c r="G4188" s="21" t="n"/>
      <c r="H4188" s="22" t="n">
        <v>25529689.5</v>
      </c>
      <c r="I4188" s="22" t="n">
        <v>125000</v>
      </c>
      <c r="J4188" s="21">
        <f>IF(OR(H4188="",H4188=25529689.5),"Yes","No")</f>
        <v/>
      </c>
      <c r="K4188" s="21">
        <f>IF(AND(D4188="USA",C4188&gt;=1980,J4188="No"),"Yes","No")</f>
        <v/>
      </c>
      <c r="L4188" s="26">
        <f>IF(J4188="Yes","",H4188-I4188)</f>
        <v/>
      </c>
      <c r="M4188" s="27">
        <f>IF(OR(J4188="Yes",I4188=0),"",H4188/I4188)</f>
        <v/>
      </c>
      <c r="N4188" s="21">
        <f>IF(J4188="Yes","",IF(H4188&gt;=I4188,1,0))</f>
        <v/>
      </c>
      <c r="O4188" s="21">
        <f>IF(I4188&lt;=5000000,"Under $5M",IF(I4188&lt;=20000000,"$5M-20M",IF(I4188&lt;=50000000,"$20M-50M",IF(I4188&lt;=100000000,"$50M-100M","$100M+"))))</f>
        <v/>
      </c>
      <c r="P4188" s="21">
        <f>IF(E4188&lt;=90,"90 or less",IF(E4188&lt;=105,"91-105",IF(E4188&lt;=120,"106-120",IF(E4188&lt;=140,"121-140","Over 140"))))</f>
        <v/>
      </c>
      <c r="Q4188" s="28">
        <f>INT(C4188/10)*10</f>
        <v/>
      </c>
    </row>
    <row r="4189">
      <c r="A4189" s="21" t="n">
        <v>4276</v>
      </c>
      <c r="B4189" s="21" t="inlineStr">
        <is>
          <t>The Call</t>
        </is>
      </c>
      <c r="C4189" s="21" t="n">
        <v>2013</v>
      </c>
      <c r="D4189" s="21" t="inlineStr">
        <is>
          <t>USA</t>
        </is>
      </c>
      <c r="E4189" s="21" t="n">
        <v>94</v>
      </c>
      <c r="F4189" s="21" t="inlineStr">
        <is>
          <t>English</t>
        </is>
      </c>
      <c r="G4189" s="21" t="inlineStr">
        <is>
          <t>R</t>
        </is>
      </c>
      <c r="H4189" s="22" t="n">
        <v>51872378</v>
      </c>
      <c r="I4189" s="22" t="n">
        <v>13000000</v>
      </c>
      <c r="J4189" s="21">
        <f>IF(OR(H4189="",H4189=25529689.5),"Yes","No")</f>
        <v/>
      </c>
      <c r="K4189" s="21">
        <f>IF(AND(D4189="USA",C4189&gt;=1980,J4189="No"),"Yes","No")</f>
        <v/>
      </c>
      <c r="L4189" s="26">
        <f>IF(J4189="Yes","",H4189-I4189)</f>
        <v/>
      </c>
      <c r="M4189" s="27">
        <f>IF(OR(J4189="Yes",I4189=0),"",H4189/I4189)</f>
        <v/>
      </c>
      <c r="N4189" s="21">
        <f>IF(J4189="Yes","",IF(H4189&gt;=I4189,1,0))</f>
        <v/>
      </c>
      <c r="O4189" s="21">
        <f>IF(I4189&lt;=5000000,"Under $5M",IF(I4189&lt;=20000000,"$5M-20M",IF(I4189&lt;=50000000,"$20M-50M",IF(I4189&lt;=100000000,"$50M-100M","$100M+"))))</f>
        <v/>
      </c>
      <c r="P4189" s="21">
        <f>IF(E4189&lt;=90,"90 or less",IF(E4189&lt;=105,"91-105",IF(E4189&lt;=120,"106-120",IF(E4189&lt;=140,"121-140","Over 140"))))</f>
        <v/>
      </c>
      <c r="Q4189" s="28">
        <f>INT(C4189/10)*10</f>
        <v/>
      </c>
    </row>
    <row r="4190">
      <c r="A4190" s="21" t="n">
        <v>4277</v>
      </c>
      <c r="B4190" s="21" t="inlineStr">
        <is>
          <t>The Canyons</t>
        </is>
      </c>
      <c r="C4190" s="21" t="n">
        <v>2013</v>
      </c>
      <c r="D4190" s="21" t="inlineStr">
        <is>
          <t>USA</t>
        </is>
      </c>
      <c r="E4190" s="21" t="n">
        <v>99</v>
      </c>
      <c r="F4190" s="21" t="inlineStr">
        <is>
          <t>English</t>
        </is>
      </c>
      <c r="G4190" s="21" t="inlineStr">
        <is>
          <t>R</t>
        </is>
      </c>
      <c r="H4190" s="22" t="n">
        <v>49494</v>
      </c>
      <c r="I4190" s="22" t="n">
        <v>250000</v>
      </c>
      <c r="J4190" s="21">
        <f>IF(OR(H4190="",H4190=25529689.5),"Yes","No")</f>
        <v/>
      </c>
      <c r="K4190" s="21">
        <f>IF(AND(D4190="USA",C4190&gt;=1980,J4190="No"),"Yes","No")</f>
        <v/>
      </c>
      <c r="L4190" s="26">
        <f>IF(J4190="Yes","",H4190-I4190)</f>
        <v/>
      </c>
      <c r="M4190" s="27">
        <f>IF(OR(J4190="Yes",I4190=0),"",H4190/I4190)</f>
        <v/>
      </c>
      <c r="N4190" s="21">
        <f>IF(J4190="Yes","",IF(H4190&gt;=I4190,1,0))</f>
        <v/>
      </c>
      <c r="O4190" s="21">
        <f>IF(I4190&lt;=5000000,"Under $5M",IF(I4190&lt;=20000000,"$5M-20M",IF(I4190&lt;=50000000,"$20M-50M",IF(I4190&lt;=100000000,"$50M-100M","$100M+"))))</f>
        <v/>
      </c>
      <c r="P4190" s="21">
        <f>IF(E4190&lt;=90,"90 or less",IF(E4190&lt;=105,"91-105",IF(E4190&lt;=120,"106-120",IF(E4190&lt;=140,"121-140","Over 140"))))</f>
        <v/>
      </c>
      <c r="Q4190" s="28">
        <f>INT(C4190/10)*10</f>
        <v/>
      </c>
    </row>
    <row r="4191">
      <c r="A4191" s="21" t="n">
        <v>4278</v>
      </c>
      <c r="B4191" s="21" t="inlineStr">
        <is>
          <t>The Christmas Candle</t>
        </is>
      </c>
      <c r="C4191" s="21" t="n">
        <v>2013</v>
      </c>
      <c r="D4191" s="21" t="inlineStr">
        <is>
          <t>UK</t>
        </is>
      </c>
      <c r="E4191" s="21" t="n">
        <v>100</v>
      </c>
      <c r="F4191" s="21" t="inlineStr">
        <is>
          <t>English</t>
        </is>
      </c>
      <c r="G4191" s="21" t="inlineStr">
        <is>
          <t>PG</t>
        </is>
      </c>
      <c r="H4191" s="22" t="n">
        <v>2209479</v>
      </c>
      <c r="I4191" s="22" t="n">
        <v>20000000</v>
      </c>
      <c r="J4191" s="21">
        <f>IF(OR(H4191="",H4191=25529689.5),"Yes","No")</f>
        <v/>
      </c>
      <c r="K4191" s="21">
        <f>IF(AND(D4191="USA",C4191&gt;=1980,J4191="No"),"Yes","No")</f>
        <v/>
      </c>
      <c r="L4191" s="26">
        <f>IF(J4191="Yes","",H4191-I4191)</f>
        <v/>
      </c>
      <c r="M4191" s="27">
        <f>IF(OR(J4191="Yes",I4191=0),"",H4191/I4191)</f>
        <v/>
      </c>
      <c r="N4191" s="21">
        <f>IF(J4191="Yes","",IF(H4191&gt;=I4191,1,0))</f>
        <v/>
      </c>
      <c r="O4191" s="21">
        <f>IF(I4191&lt;=5000000,"Under $5M",IF(I4191&lt;=20000000,"$5M-20M",IF(I4191&lt;=50000000,"$20M-50M",IF(I4191&lt;=100000000,"$50M-100M","$100M+"))))</f>
        <v/>
      </c>
      <c r="P4191" s="21">
        <f>IF(E4191&lt;=90,"90 or less",IF(E4191&lt;=105,"91-105",IF(E4191&lt;=120,"106-120",IF(E4191&lt;=140,"121-140","Over 140"))))</f>
        <v/>
      </c>
      <c r="Q4191" s="28">
        <f>INT(C4191/10)*10</f>
        <v/>
      </c>
    </row>
    <row r="4192">
      <c r="A4192" s="21" t="n">
        <v>4279</v>
      </c>
      <c r="B4192" s="21" t="inlineStr">
        <is>
          <t>The Conjuring</t>
        </is>
      </c>
      <c r="C4192" s="21" t="n">
        <v>2013</v>
      </c>
      <c r="D4192" s="21" t="inlineStr">
        <is>
          <t>USA</t>
        </is>
      </c>
      <c r="E4192" s="21" t="n">
        <v>112</v>
      </c>
      <c r="F4192" s="21" t="inlineStr">
        <is>
          <t>English</t>
        </is>
      </c>
      <c r="G4192" s="21" t="inlineStr">
        <is>
          <t>R</t>
        </is>
      </c>
      <c r="H4192" s="22" t="n">
        <v>137387272</v>
      </c>
      <c r="I4192" s="22" t="n">
        <v>20000000</v>
      </c>
      <c r="J4192" s="21">
        <f>IF(OR(H4192="",H4192=25529689.5),"Yes","No")</f>
        <v/>
      </c>
      <c r="K4192" s="21">
        <f>IF(AND(D4192="USA",C4192&gt;=1980,J4192="No"),"Yes","No")</f>
        <v/>
      </c>
      <c r="L4192" s="26">
        <f>IF(J4192="Yes","",H4192-I4192)</f>
        <v/>
      </c>
      <c r="M4192" s="27">
        <f>IF(OR(J4192="Yes",I4192=0),"",H4192/I4192)</f>
        <v/>
      </c>
      <c r="N4192" s="21">
        <f>IF(J4192="Yes","",IF(H4192&gt;=I4192,1,0))</f>
        <v/>
      </c>
      <c r="O4192" s="21">
        <f>IF(I4192&lt;=5000000,"Under $5M",IF(I4192&lt;=20000000,"$5M-20M",IF(I4192&lt;=50000000,"$20M-50M",IF(I4192&lt;=100000000,"$50M-100M","$100M+"))))</f>
        <v/>
      </c>
      <c r="P4192" s="21">
        <f>IF(E4192&lt;=90,"90 or less",IF(E4192&lt;=105,"91-105",IF(E4192&lt;=120,"106-120",IF(E4192&lt;=140,"121-140","Over 140"))))</f>
        <v/>
      </c>
      <c r="Q4192" s="28">
        <f>INT(C4192/10)*10</f>
        <v/>
      </c>
    </row>
    <row r="4193">
      <c r="A4193" s="21" t="n">
        <v>4280</v>
      </c>
      <c r="B4193" s="21" t="inlineStr">
        <is>
          <t>The Counselor</t>
        </is>
      </c>
      <c r="C4193" s="21" t="n">
        <v>2013</v>
      </c>
      <c r="D4193" s="21" t="inlineStr">
        <is>
          <t>USA</t>
        </is>
      </c>
      <c r="E4193" s="21" t="n">
        <v>138</v>
      </c>
      <c r="F4193" s="21" t="inlineStr">
        <is>
          <t>English</t>
        </is>
      </c>
      <c r="G4193" s="21" t="inlineStr">
        <is>
          <t>R</t>
        </is>
      </c>
      <c r="H4193" s="22" t="n">
        <v>16969390</v>
      </c>
      <c r="I4193" s="22" t="n">
        <v>25000000</v>
      </c>
      <c r="J4193" s="21">
        <f>IF(OR(H4193="",H4193=25529689.5),"Yes","No")</f>
        <v/>
      </c>
      <c r="K4193" s="21">
        <f>IF(AND(D4193="USA",C4193&gt;=1980,J4193="No"),"Yes","No")</f>
        <v/>
      </c>
      <c r="L4193" s="26">
        <f>IF(J4193="Yes","",H4193-I4193)</f>
        <v/>
      </c>
      <c r="M4193" s="27">
        <f>IF(OR(J4193="Yes",I4193=0),"",H4193/I4193)</f>
        <v/>
      </c>
      <c r="N4193" s="21">
        <f>IF(J4193="Yes","",IF(H4193&gt;=I4193,1,0))</f>
        <v/>
      </c>
      <c r="O4193" s="21">
        <f>IF(I4193&lt;=5000000,"Under $5M",IF(I4193&lt;=20000000,"$5M-20M",IF(I4193&lt;=50000000,"$20M-50M",IF(I4193&lt;=100000000,"$50M-100M","$100M+"))))</f>
        <v/>
      </c>
      <c r="P4193" s="21">
        <f>IF(E4193&lt;=90,"90 or less",IF(E4193&lt;=105,"91-105",IF(E4193&lt;=120,"106-120",IF(E4193&lt;=140,"121-140","Over 140"))))</f>
        <v/>
      </c>
      <c r="Q4193" s="28">
        <f>INT(C4193/10)*10</f>
        <v/>
      </c>
    </row>
    <row r="4194">
      <c r="A4194" s="21" t="n">
        <v>4281</v>
      </c>
      <c r="B4194" s="21" t="inlineStr">
        <is>
          <t>The Croods</t>
        </is>
      </c>
      <c r="C4194" s="21" t="n">
        <v>2013</v>
      </c>
      <c r="D4194" s="21" t="inlineStr">
        <is>
          <t>USA</t>
        </is>
      </c>
      <c r="E4194" s="21" t="n">
        <v>98</v>
      </c>
      <c r="F4194" s="21" t="inlineStr">
        <is>
          <t>English</t>
        </is>
      </c>
      <c r="G4194" s="21" t="inlineStr">
        <is>
          <t>PG</t>
        </is>
      </c>
      <c r="H4194" s="22" t="n">
        <v>187165546</v>
      </c>
      <c r="I4194" s="22" t="n">
        <v>135000000</v>
      </c>
      <c r="J4194" s="21">
        <f>IF(OR(H4194="",H4194=25529689.5),"Yes","No")</f>
        <v/>
      </c>
      <c r="K4194" s="21">
        <f>IF(AND(D4194="USA",C4194&gt;=1980,J4194="No"),"Yes","No")</f>
        <v/>
      </c>
      <c r="L4194" s="26">
        <f>IF(J4194="Yes","",H4194-I4194)</f>
        <v/>
      </c>
      <c r="M4194" s="27">
        <f>IF(OR(J4194="Yes",I4194=0),"",H4194/I4194)</f>
        <v/>
      </c>
      <c r="N4194" s="21">
        <f>IF(J4194="Yes","",IF(H4194&gt;=I4194,1,0))</f>
        <v/>
      </c>
      <c r="O4194" s="21">
        <f>IF(I4194&lt;=5000000,"Under $5M",IF(I4194&lt;=20000000,"$5M-20M",IF(I4194&lt;=50000000,"$20M-50M",IF(I4194&lt;=100000000,"$50M-100M","$100M+"))))</f>
        <v/>
      </c>
      <c r="P4194" s="21">
        <f>IF(E4194&lt;=90,"90 or less",IF(E4194&lt;=105,"91-105",IF(E4194&lt;=120,"106-120",IF(E4194&lt;=140,"121-140","Over 140"))))</f>
        <v/>
      </c>
      <c r="Q4194" s="28">
        <f>INT(C4194/10)*10</f>
        <v/>
      </c>
    </row>
    <row r="4195">
      <c r="A4195" s="21" t="n">
        <v>4282</v>
      </c>
      <c r="B4195" s="21" t="inlineStr">
        <is>
          <t>The Dirties</t>
        </is>
      </c>
      <c r="C4195" s="21" t="n">
        <v>2013</v>
      </c>
      <c r="D4195" s="21" t="inlineStr">
        <is>
          <t>Canada</t>
        </is>
      </c>
      <c r="E4195" s="21" t="n">
        <v>83</v>
      </c>
      <c r="F4195" s="21" t="inlineStr">
        <is>
          <t>English</t>
        </is>
      </c>
      <c r="G4195" s="21" t="inlineStr">
        <is>
          <t>Not Rated</t>
        </is>
      </c>
      <c r="H4195" s="22" t="n">
        <v>25529689.5</v>
      </c>
      <c r="I4195" s="22" t="n">
        <v>20000000</v>
      </c>
      <c r="J4195" s="21">
        <f>IF(OR(H4195="",H4195=25529689.5),"Yes","No")</f>
        <v/>
      </c>
      <c r="K4195" s="21">
        <f>IF(AND(D4195="USA",C4195&gt;=1980,J4195="No"),"Yes","No")</f>
        <v/>
      </c>
      <c r="L4195" s="26">
        <f>IF(J4195="Yes","",H4195-I4195)</f>
        <v/>
      </c>
      <c r="M4195" s="27">
        <f>IF(OR(J4195="Yes",I4195=0),"",H4195/I4195)</f>
        <v/>
      </c>
      <c r="N4195" s="21">
        <f>IF(J4195="Yes","",IF(H4195&gt;=I4195,1,0))</f>
        <v/>
      </c>
      <c r="O4195" s="21">
        <f>IF(I4195&lt;=5000000,"Under $5M",IF(I4195&lt;=20000000,"$5M-20M",IF(I4195&lt;=50000000,"$20M-50M",IF(I4195&lt;=100000000,"$50M-100M","$100M+"))))</f>
        <v/>
      </c>
      <c r="P4195" s="21">
        <f>IF(E4195&lt;=90,"90 or less",IF(E4195&lt;=105,"91-105",IF(E4195&lt;=120,"106-120",IF(E4195&lt;=140,"121-140","Over 140"))))</f>
        <v/>
      </c>
      <c r="Q4195" s="28">
        <f>INT(C4195/10)*10</f>
        <v/>
      </c>
    </row>
    <row r="4196">
      <c r="A4196" s="21" t="n">
        <v>4283</v>
      </c>
      <c r="B4196" s="21" t="inlineStr">
        <is>
          <t>The East</t>
        </is>
      </c>
      <c r="C4196" s="21" t="n">
        <v>2013</v>
      </c>
      <c r="D4196" s="21" t="inlineStr">
        <is>
          <t>UK</t>
        </is>
      </c>
      <c r="E4196" s="21" t="n">
        <v>116</v>
      </c>
      <c r="F4196" s="21" t="inlineStr">
        <is>
          <t>English</t>
        </is>
      </c>
      <c r="G4196" s="21" t="inlineStr">
        <is>
          <t>PG-13</t>
        </is>
      </c>
      <c r="H4196" s="22" t="n">
        <v>2268296</v>
      </c>
      <c r="I4196" s="22" t="n">
        <v>6500000</v>
      </c>
      <c r="J4196" s="21">
        <f>IF(OR(H4196="",H4196=25529689.5),"Yes","No")</f>
        <v/>
      </c>
      <c r="K4196" s="21">
        <f>IF(AND(D4196="USA",C4196&gt;=1980,J4196="No"),"Yes","No")</f>
        <v/>
      </c>
      <c r="L4196" s="26">
        <f>IF(J4196="Yes","",H4196-I4196)</f>
        <v/>
      </c>
      <c r="M4196" s="27">
        <f>IF(OR(J4196="Yes",I4196=0),"",H4196/I4196)</f>
        <v/>
      </c>
      <c r="N4196" s="21">
        <f>IF(J4196="Yes","",IF(H4196&gt;=I4196,1,0))</f>
        <v/>
      </c>
      <c r="O4196" s="21">
        <f>IF(I4196&lt;=5000000,"Under $5M",IF(I4196&lt;=20000000,"$5M-20M",IF(I4196&lt;=50000000,"$20M-50M",IF(I4196&lt;=100000000,"$50M-100M","$100M+"))))</f>
        <v/>
      </c>
      <c r="P4196" s="21">
        <f>IF(E4196&lt;=90,"90 or less",IF(E4196&lt;=105,"91-105",IF(E4196&lt;=120,"106-120",IF(E4196&lt;=140,"121-140","Over 140"))))</f>
        <v/>
      </c>
      <c r="Q4196" s="28">
        <f>INT(C4196/10)*10</f>
        <v/>
      </c>
    </row>
    <row r="4197">
      <c r="A4197" s="21" t="n">
        <v>4284</v>
      </c>
      <c r="B4197" s="21" t="inlineStr">
        <is>
          <t>The Fifth Estate</t>
        </is>
      </c>
      <c r="C4197" s="21" t="n">
        <v>2013</v>
      </c>
      <c r="D4197" s="21" t="inlineStr">
        <is>
          <t>USA</t>
        </is>
      </c>
      <c r="E4197" s="21" t="n">
        <v>128</v>
      </c>
      <c r="F4197" s="21" t="inlineStr">
        <is>
          <t>English</t>
        </is>
      </c>
      <c r="G4197" s="21" t="inlineStr">
        <is>
          <t>R</t>
        </is>
      </c>
      <c r="H4197" s="22" t="n">
        <v>3254172</v>
      </c>
      <c r="I4197" s="22" t="n">
        <v>28000000</v>
      </c>
      <c r="J4197" s="21">
        <f>IF(OR(H4197="",H4197=25529689.5),"Yes","No")</f>
        <v/>
      </c>
      <c r="K4197" s="21">
        <f>IF(AND(D4197="USA",C4197&gt;=1980,J4197="No"),"Yes","No")</f>
        <v/>
      </c>
      <c r="L4197" s="26">
        <f>IF(J4197="Yes","",H4197-I4197)</f>
        <v/>
      </c>
      <c r="M4197" s="27">
        <f>IF(OR(J4197="Yes",I4197=0),"",H4197/I4197)</f>
        <v/>
      </c>
      <c r="N4197" s="21">
        <f>IF(J4197="Yes","",IF(H4197&gt;=I4197,1,0))</f>
        <v/>
      </c>
      <c r="O4197" s="21">
        <f>IF(I4197&lt;=5000000,"Under $5M",IF(I4197&lt;=20000000,"$5M-20M",IF(I4197&lt;=50000000,"$20M-50M",IF(I4197&lt;=100000000,"$50M-100M","$100M+"))))</f>
        <v/>
      </c>
      <c r="P4197" s="21">
        <f>IF(E4197&lt;=90,"90 or less",IF(E4197&lt;=105,"91-105",IF(E4197&lt;=120,"106-120",IF(E4197&lt;=140,"121-140","Over 140"))))</f>
        <v/>
      </c>
      <c r="Q4197" s="28">
        <f>INT(C4197/10)*10</f>
        <v/>
      </c>
    </row>
    <row r="4198">
      <c r="A4198" s="21" t="n">
        <v>4285</v>
      </c>
      <c r="B4198" s="21" t="inlineStr">
        <is>
          <t>The Frozen Ground</t>
        </is>
      </c>
      <c r="C4198" s="21" t="n">
        <v>2013</v>
      </c>
      <c r="D4198" s="21" t="inlineStr">
        <is>
          <t>USA</t>
        </is>
      </c>
      <c r="E4198" s="21" t="n">
        <v>105</v>
      </c>
      <c r="F4198" s="21" t="inlineStr">
        <is>
          <t>English</t>
        </is>
      </c>
      <c r="G4198" s="21" t="inlineStr">
        <is>
          <t>R</t>
        </is>
      </c>
      <c r="H4198" s="22" t="n">
        <v>25529689.5</v>
      </c>
      <c r="I4198" s="22" t="n">
        <v>27220000</v>
      </c>
      <c r="J4198" s="21">
        <f>IF(OR(H4198="",H4198=25529689.5),"Yes","No")</f>
        <v/>
      </c>
      <c r="K4198" s="21">
        <f>IF(AND(D4198="USA",C4198&gt;=1980,J4198="No"),"Yes","No")</f>
        <v/>
      </c>
      <c r="L4198" s="26">
        <f>IF(J4198="Yes","",H4198-I4198)</f>
        <v/>
      </c>
      <c r="M4198" s="27">
        <f>IF(OR(J4198="Yes",I4198=0),"",H4198/I4198)</f>
        <v/>
      </c>
      <c r="N4198" s="21">
        <f>IF(J4198="Yes","",IF(H4198&gt;=I4198,1,0))</f>
        <v/>
      </c>
      <c r="O4198" s="21">
        <f>IF(I4198&lt;=5000000,"Under $5M",IF(I4198&lt;=20000000,"$5M-20M",IF(I4198&lt;=50000000,"$20M-50M",IF(I4198&lt;=100000000,"$50M-100M","$100M+"))))</f>
        <v/>
      </c>
      <c r="P4198" s="21">
        <f>IF(E4198&lt;=90,"90 or less",IF(E4198&lt;=105,"91-105",IF(E4198&lt;=120,"106-120",IF(E4198&lt;=140,"121-140","Over 140"))))</f>
        <v/>
      </c>
      <c r="Q4198" s="28">
        <f>INT(C4198/10)*10</f>
        <v/>
      </c>
    </row>
    <row r="4199">
      <c r="A4199" s="21" t="n">
        <v>4286</v>
      </c>
      <c r="B4199" s="21" t="inlineStr">
        <is>
          <t>The Geographer Drank His Globe Away</t>
        </is>
      </c>
      <c r="C4199" s="21" t="n">
        <v>2013</v>
      </c>
      <c r="D4199" s="21" t="inlineStr">
        <is>
          <t>Russia</t>
        </is>
      </c>
      <c r="E4199" s="21" t="n">
        <v>120</v>
      </c>
      <c r="F4199" s="21" t="inlineStr">
        <is>
          <t>Russian</t>
        </is>
      </c>
      <c r="G4199" s="21" t="n"/>
      <c r="H4199" s="22" t="n">
        <v>25529689.5</v>
      </c>
      <c r="I4199" s="22" t="n">
        <v>4000000</v>
      </c>
      <c r="J4199" s="21">
        <f>IF(OR(H4199="",H4199=25529689.5),"Yes","No")</f>
        <v/>
      </c>
      <c r="K4199" s="21">
        <f>IF(AND(D4199="USA",C4199&gt;=1980,J4199="No"),"Yes","No")</f>
        <v/>
      </c>
      <c r="L4199" s="26">
        <f>IF(J4199="Yes","",H4199-I4199)</f>
        <v/>
      </c>
      <c r="M4199" s="27">
        <f>IF(OR(J4199="Yes",I4199=0),"",H4199/I4199)</f>
        <v/>
      </c>
      <c r="N4199" s="21">
        <f>IF(J4199="Yes","",IF(H4199&gt;=I4199,1,0))</f>
        <v/>
      </c>
      <c r="O4199" s="21">
        <f>IF(I4199&lt;=5000000,"Under $5M",IF(I4199&lt;=20000000,"$5M-20M",IF(I4199&lt;=50000000,"$20M-50M",IF(I4199&lt;=100000000,"$50M-100M","$100M+"))))</f>
        <v/>
      </c>
      <c r="P4199" s="21">
        <f>IF(E4199&lt;=90,"90 or less",IF(E4199&lt;=105,"91-105",IF(E4199&lt;=120,"106-120",IF(E4199&lt;=140,"121-140","Over 140"))))</f>
        <v/>
      </c>
      <c r="Q4199" s="28">
        <f>INT(C4199/10)*10</f>
        <v/>
      </c>
    </row>
    <row r="4200">
      <c r="A4200" s="21" t="n">
        <v>4287</v>
      </c>
      <c r="B4200" s="21" t="inlineStr">
        <is>
          <t>The Grandmaster</t>
        </is>
      </c>
      <c r="C4200" s="21" t="n">
        <v>2013</v>
      </c>
      <c r="D4200" s="21" t="inlineStr">
        <is>
          <t>Hong Kong</t>
        </is>
      </c>
      <c r="E4200" s="21" t="n">
        <v>122</v>
      </c>
      <c r="F4200" s="21" t="inlineStr">
        <is>
          <t>Mandarin</t>
        </is>
      </c>
      <c r="G4200" s="21" t="inlineStr">
        <is>
          <t>PG-13</t>
        </is>
      </c>
      <c r="H4200" s="22" t="n">
        <v>6594136</v>
      </c>
      <c r="I4200" s="22" t="n">
        <v>38600000</v>
      </c>
      <c r="J4200" s="21">
        <f>IF(OR(H4200="",H4200=25529689.5),"Yes","No")</f>
        <v/>
      </c>
      <c r="K4200" s="21">
        <f>IF(AND(D4200="USA",C4200&gt;=1980,J4200="No"),"Yes","No")</f>
        <v/>
      </c>
      <c r="L4200" s="26">
        <f>IF(J4200="Yes","",H4200-I4200)</f>
        <v/>
      </c>
      <c r="M4200" s="27">
        <f>IF(OR(J4200="Yes",I4200=0),"",H4200/I4200)</f>
        <v/>
      </c>
      <c r="N4200" s="21">
        <f>IF(J4200="Yes","",IF(H4200&gt;=I4200,1,0))</f>
        <v/>
      </c>
      <c r="O4200" s="21">
        <f>IF(I4200&lt;=5000000,"Under $5M",IF(I4200&lt;=20000000,"$5M-20M",IF(I4200&lt;=50000000,"$20M-50M",IF(I4200&lt;=100000000,"$50M-100M","$100M+"))))</f>
        <v/>
      </c>
      <c r="P4200" s="21">
        <f>IF(E4200&lt;=90,"90 or less",IF(E4200&lt;=105,"91-105",IF(E4200&lt;=120,"106-120",IF(E4200&lt;=140,"121-140","Over 140"))))</f>
        <v/>
      </c>
      <c r="Q4200" s="28">
        <f>INT(C4200/10)*10</f>
        <v/>
      </c>
    </row>
    <row r="4201">
      <c r="A4201" s="21" t="n">
        <v>4288</v>
      </c>
      <c r="B4201" s="21" t="inlineStr">
        <is>
          <t>The Great Beauty</t>
        </is>
      </c>
      <c r="C4201" s="21" t="n">
        <v>2013</v>
      </c>
      <c r="D4201" s="21" t="inlineStr">
        <is>
          <t>Italy</t>
        </is>
      </c>
      <c r="E4201" s="21" t="n">
        <v>172</v>
      </c>
      <c r="F4201" s="21" t="inlineStr">
        <is>
          <t>Italian</t>
        </is>
      </c>
      <c r="G4201" s="21" t="inlineStr">
        <is>
          <t>Not Rated</t>
        </is>
      </c>
      <c r="H4201" s="22" t="n">
        <v>2835886</v>
      </c>
      <c r="I4201" s="22" t="n">
        <v>9200000</v>
      </c>
      <c r="J4201" s="21">
        <f>IF(OR(H4201="",H4201=25529689.5),"Yes","No")</f>
        <v/>
      </c>
      <c r="K4201" s="21">
        <f>IF(AND(D4201="USA",C4201&gt;=1980,J4201="No"),"Yes","No")</f>
        <v/>
      </c>
      <c r="L4201" s="26">
        <f>IF(J4201="Yes","",H4201-I4201)</f>
        <v/>
      </c>
      <c r="M4201" s="27">
        <f>IF(OR(J4201="Yes",I4201=0),"",H4201/I4201)</f>
        <v/>
      </c>
      <c r="N4201" s="21">
        <f>IF(J4201="Yes","",IF(H4201&gt;=I4201,1,0))</f>
        <v/>
      </c>
      <c r="O4201" s="21">
        <f>IF(I4201&lt;=5000000,"Under $5M",IF(I4201&lt;=20000000,"$5M-20M",IF(I4201&lt;=50000000,"$20M-50M",IF(I4201&lt;=100000000,"$50M-100M","$100M+"))))</f>
        <v/>
      </c>
      <c r="P4201" s="21">
        <f>IF(E4201&lt;=90,"90 or less",IF(E4201&lt;=105,"91-105",IF(E4201&lt;=120,"106-120",IF(E4201&lt;=140,"121-140","Over 140"))))</f>
        <v/>
      </c>
      <c r="Q4201" s="28">
        <f>INT(C4201/10)*10</f>
        <v/>
      </c>
    </row>
    <row r="4202">
      <c r="A4202" s="21" t="n">
        <v>4289</v>
      </c>
      <c r="B4202" s="21" t="inlineStr">
        <is>
          <t>The Great Gatsby</t>
        </is>
      </c>
      <c r="C4202" s="21" t="n">
        <v>2013</v>
      </c>
      <c r="D4202" s="21" t="inlineStr">
        <is>
          <t>Australia</t>
        </is>
      </c>
      <c r="E4202" s="21" t="n">
        <v>143</v>
      </c>
      <c r="F4202" s="21" t="inlineStr">
        <is>
          <t>English</t>
        </is>
      </c>
      <c r="G4202" s="21" t="inlineStr">
        <is>
          <t>PG-13</t>
        </is>
      </c>
      <c r="H4202" s="22" t="n">
        <v>144812796</v>
      </c>
      <c r="I4202" s="22" t="n">
        <v>105000000</v>
      </c>
      <c r="J4202" s="21">
        <f>IF(OR(H4202="",H4202=25529689.5),"Yes","No")</f>
        <v/>
      </c>
      <c r="K4202" s="21">
        <f>IF(AND(D4202="USA",C4202&gt;=1980,J4202="No"),"Yes","No")</f>
        <v/>
      </c>
      <c r="L4202" s="26">
        <f>IF(J4202="Yes","",H4202-I4202)</f>
        <v/>
      </c>
      <c r="M4202" s="27">
        <f>IF(OR(J4202="Yes",I4202=0),"",H4202/I4202)</f>
        <v/>
      </c>
      <c r="N4202" s="21">
        <f>IF(J4202="Yes","",IF(H4202&gt;=I4202,1,0))</f>
        <v/>
      </c>
      <c r="O4202" s="21">
        <f>IF(I4202&lt;=5000000,"Under $5M",IF(I4202&lt;=20000000,"$5M-20M",IF(I4202&lt;=50000000,"$20M-50M",IF(I4202&lt;=100000000,"$50M-100M","$100M+"))))</f>
        <v/>
      </c>
      <c r="P4202" s="21">
        <f>IF(E4202&lt;=90,"90 or less",IF(E4202&lt;=105,"91-105",IF(E4202&lt;=120,"106-120",IF(E4202&lt;=140,"121-140","Over 140"))))</f>
        <v/>
      </c>
      <c r="Q4202" s="28">
        <f>INT(C4202/10)*10</f>
        <v/>
      </c>
    </row>
    <row r="4203">
      <c r="A4203" s="21" t="n">
        <v>4291</v>
      </c>
      <c r="B4203" s="21" t="inlineStr">
        <is>
          <t>The Green Inferno</t>
        </is>
      </c>
      <c r="C4203" s="21" t="n">
        <v>2013</v>
      </c>
      <c r="D4203" s="21" t="inlineStr">
        <is>
          <t>USA</t>
        </is>
      </c>
      <c r="E4203" s="21" t="n">
        <v>100</v>
      </c>
      <c r="F4203" s="21" t="inlineStr">
        <is>
          <t>English</t>
        </is>
      </c>
      <c r="G4203" s="21" t="inlineStr">
        <is>
          <t>R</t>
        </is>
      </c>
      <c r="H4203" s="22" t="n">
        <v>7186670</v>
      </c>
      <c r="I4203" s="22" t="n">
        <v>6000000</v>
      </c>
      <c r="J4203" s="21">
        <f>IF(OR(H4203="",H4203=25529689.5),"Yes","No")</f>
        <v/>
      </c>
      <c r="K4203" s="21">
        <f>IF(AND(D4203="USA",C4203&gt;=1980,J4203="No"),"Yes","No")</f>
        <v/>
      </c>
      <c r="L4203" s="26">
        <f>IF(J4203="Yes","",H4203-I4203)</f>
        <v/>
      </c>
      <c r="M4203" s="27">
        <f>IF(OR(J4203="Yes",I4203=0),"",H4203/I4203)</f>
        <v/>
      </c>
      <c r="N4203" s="21">
        <f>IF(J4203="Yes","",IF(H4203&gt;=I4203,1,0))</f>
        <v/>
      </c>
      <c r="O4203" s="21">
        <f>IF(I4203&lt;=5000000,"Under $5M",IF(I4203&lt;=20000000,"$5M-20M",IF(I4203&lt;=50000000,"$20M-50M",IF(I4203&lt;=100000000,"$50M-100M","$100M+"))))</f>
        <v/>
      </c>
      <c r="P4203" s="21">
        <f>IF(E4203&lt;=90,"90 or less",IF(E4203&lt;=105,"91-105",IF(E4203&lt;=120,"106-120",IF(E4203&lt;=140,"121-140","Over 140"))))</f>
        <v/>
      </c>
      <c r="Q4203" s="28">
        <f>INT(C4203/10)*10</f>
        <v/>
      </c>
    </row>
    <row r="4204">
      <c r="A4204" s="21" t="n">
        <v>4292</v>
      </c>
      <c r="B4204" s="21" t="inlineStr">
        <is>
          <t>The Haunting in Connecticut 2: Ghosts of Georgia</t>
        </is>
      </c>
      <c r="C4204" s="21" t="n">
        <v>2013</v>
      </c>
      <c r="D4204" s="21" t="inlineStr">
        <is>
          <t>USA</t>
        </is>
      </c>
      <c r="E4204" s="21" t="n">
        <v>101</v>
      </c>
      <c r="F4204" s="21" t="inlineStr">
        <is>
          <t>English</t>
        </is>
      </c>
      <c r="G4204" s="21" t="inlineStr">
        <is>
          <t>R</t>
        </is>
      </c>
      <c r="H4204" s="22" t="n">
        <v>25529689.5</v>
      </c>
      <c r="I4204" s="22" t="n">
        <v>9000000</v>
      </c>
      <c r="J4204" s="21">
        <f>IF(OR(H4204="",H4204=25529689.5),"Yes","No")</f>
        <v/>
      </c>
      <c r="K4204" s="21">
        <f>IF(AND(D4204="USA",C4204&gt;=1980,J4204="No"),"Yes","No")</f>
        <v/>
      </c>
      <c r="L4204" s="26">
        <f>IF(J4204="Yes","",H4204-I4204)</f>
        <v/>
      </c>
      <c r="M4204" s="27">
        <f>IF(OR(J4204="Yes",I4204=0),"",H4204/I4204)</f>
        <v/>
      </c>
      <c r="N4204" s="21">
        <f>IF(J4204="Yes","",IF(H4204&gt;=I4204,1,0))</f>
        <v/>
      </c>
      <c r="O4204" s="21">
        <f>IF(I4204&lt;=5000000,"Under $5M",IF(I4204&lt;=20000000,"$5M-20M",IF(I4204&lt;=50000000,"$20M-50M",IF(I4204&lt;=100000000,"$50M-100M","$100M+"))))</f>
        <v/>
      </c>
      <c r="P4204" s="21">
        <f>IF(E4204&lt;=90,"90 or less",IF(E4204&lt;=105,"91-105",IF(E4204&lt;=120,"106-120",IF(E4204&lt;=140,"121-140","Over 140"))))</f>
        <v/>
      </c>
      <c r="Q4204" s="28">
        <f>INT(C4204/10)*10</f>
        <v/>
      </c>
    </row>
    <row r="4205">
      <c r="A4205" s="21" t="n">
        <v>4293</v>
      </c>
      <c r="B4205" s="21" t="inlineStr">
        <is>
          <t>The Heat</t>
        </is>
      </c>
      <c r="C4205" s="21" t="n">
        <v>2013</v>
      </c>
      <c r="D4205" s="21" t="inlineStr">
        <is>
          <t>USA</t>
        </is>
      </c>
      <c r="E4205" s="21" t="n">
        <v>123</v>
      </c>
      <c r="F4205" s="21" t="inlineStr">
        <is>
          <t>English</t>
        </is>
      </c>
      <c r="G4205" s="21" t="inlineStr">
        <is>
          <t>R</t>
        </is>
      </c>
      <c r="H4205" s="22" t="n">
        <v>159578352</v>
      </c>
      <c r="I4205" s="22" t="n">
        <v>43000000</v>
      </c>
      <c r="J4205" s="21">
        <f>IF(OR(H4205="",H4205=25529689.5),"Yes","No")</f>
        <v/>
      </c>
      <c r="K4205" s="21">
        <f>IF(AND(D4205="USA",C4205&gt;=1980,J4205="No"),"Yes","No")</f>
        <v/>
      </c>
      <c r="L4205" s="26">
        <f>IF(J4205="Yes","",H4205-I4205)</f>
        <v/>
      </c>
      <c r="M4205" s="27">
        <f>IF(OR(J4205="Yes",I4205=0),"",H4205/I4205)</f>
        <v/>
      </c>
      <c r="N4205" s="21">
        <f>IF(J4205="Yes","",IF(H4205&gt;=I4205,1,0))</f>
        <v/>
      </c>
      <c r="O4205" s="21">
        <f>IF(I4205&lt;=5000000,"Under $5M",IF(I4205&lt;=20000000,"$5M-20M",IF(I4205&lt;=50000000,"$20M-50M",IF(I4205&lt;=100000000,"$50M-100M","$100M+"))))</f>
        <v/>
      </c>
      <c r="P4205" s="21">
        <f>IF(E4205&lt;=90,"90 or less",IF(E4205&lt;=105,"91-105",IF(E4205&lt;=120,"106-120",IF(E4205&lt;=140,"121-140","Over 140"))))</f>
        <v/>
      </c>
      <c r="Q4205" s="28">
        <f>INT(C4205/10)*10</f>
        <v/>
      </c>
    </row>
    <row r="4206">
      <c r="A4206" s="21" t="n">
        <v>4294</v>
      </c>
      <c r="B4206" s="21" t="inlineStr">
        <is>
          <t>The Hobbit: The Desolation of Smaug</t>
        </is>
      </c>
      <c r="C4206" s="21" t="n">
        <v>2013</v>
      </c>
      <c r="D4206" s="21" t="inlineStr">
        <is>
          <t>USA</t>
        </is>
      </c>
      <c r="E4206" s="21" t="n">
        <v>186</v>
      </c>
      <c r="F4206" s="21" t="inlineStr">
        <is>
          <t>English</t>
        </is>
      </c>
      <c r="G4206" s="21" t="inlineStr">
        <is>
          <t>PG-13</t>
        </is>
      </c>
      <c r="H4206" s="22" t="n">
        <v>258355354</v>
      </c>
      <c r="I4206" s="22" t="n">
        <v>225000000</v>
      </c>
      <c r="J4206" s="21">
        <f>IF(OR(H4206="",H4206=25529689.5),"Yes","No")</f>
        <v/>
      </c>
      <c r="K4206" s="21">
        <f>IF(AND(D4206="USA",C4206&gt;=1980,J4206="No"),"Yes","No")</f>
        <v/>
      </c>
      <c r="L4206" s="26">
        <f>IF(J4206="Yes","",H4206-I4206)</f>
        <v/>
      </c>
      <c r="M4206" s="27">
        <f>IF(OR(J4206="Yes",I4206=0),"",H4206/I4206)</f>
        <v/>
      </c>
      <c r="N4206" s="21">
        <f>IF(J4206="Yes","",IF(H4206&gt;=I4206,1,0))</f>
        <v/>
      </c>
      <c r="O4206" s="21">
        <f>IF(I4206&lt;=5000000,"Under $5M",IF(I4206&lt;=20000000,"$5M-20M",IF(I4206&lt;=50000000,"$20M-50M",IF(I4206&lt;=100000000,"$50M-100M","$100M+"))))</f>
        <v/>
      </c>
      <c r="P4206" s="21">
        <f>IF(E4206&lt;=90,"90 or less",IF(E4206&lt;=105,"91-105",IF(E4206&lt;=120,"106-120",IF(E4206&lt;=140,"121-140","Over 140"))))</f>
        <v/>
      </c>
      <c r="Q4206" s="28">
        <f>INT(C4206/10)*10</f>
        <v/>
      </c>
    </row>
    <row r="4207">
      <c r="A4207" s="21" t="n">
        <v>4295</v>
      </c>
      <c r="B4207" s="21" t="inlineStr">
        <is>
          <t>The Host</t>
        </is>
      </c>
      <c r="C4207" s="21" t="n">
        <v>2013</v>
      </c>
      <c r="D4207" s="21" t="inlineStr">
        <is>
          <t>USA</t>
        </is>
      </c>
      <c r="E4207" s="21" t="n">
        <v>125</v>
      </c>
      <c r="F4207" s="21" t="inlineStr">
        <is>
          <t>English</t>
        </is>
      </c>
      <c r="G4207" s="21" t="inlineStr">
        <is>
          <t>PG-13</t>
        </is>
      </c>
      <c r="H4207" s="22" t="n">
        <v>26616999</v>
      </c>
      <c r="I4207" s="22" t="n">
        <v>40000000</v>
      </c>
      <c r="J4207" s="21">
        <f>IF(OR(H4207="",H4207=25529689.5),"Yes","No")</f>
        <v/>
      </c>
      <c r="K4207" s="21">
        <f>IF(AND(D4207="USA",C4207&gt;=1980,J4207="No"),"Yes","No")</f>
        <v/>
      </c>
      <c r="L4207" s="26">
        <f>IF(J4207="Yes","",H4207-I4207)</f>
        <v/>
      </c>
      <c r="M4207" s="27">
        <f>IF(OR(J4207="Yes",I4207=0),"",H4207/I4207)</f>
        <v/>
      </c>
      <c r="N4207" s="21">
        <f>IF(J4207="Yes","",IF(H4207&gt;=I4207,1,0))</f>
        <v/>
      </c>
      <c r="O4207" s="21">
        <f>IF(I4207&lt;=5000000,"Under $5M",IF(I4207&lt;=20000000,"$5M-20M",IF(I4207&lt;=50000000,"$20M-50M",IF(I4207&lt;=100000000,"$50M-100M","$100M+"))))</f>
        <v/>
      </c>
      <c r="P4207" s="21">
        <f>IF(E4207&lt;=90,"90 or less",IF(E4207&lt;=105,"91-105",IF(E4207&lt;=120,"106-120",IF(E4207&lt;=140,"121-140","Over 140"))))</f>
        <v/>
      </c>
      <c r="Q4207" s="28">
        <f>INT(C4207/10)*10</f>
        <v/>
      </c>
    </row>
    <row r="4208">
      <c r="A4208" s="21" t="n">
        <v>4296</v>
      </c>
      <c r="B4208" s="21" t="inlineStr">
        <is>
          <t>The Hunger Games: Catching Fire</t>
        </is>
      </c>
      <c r="C4208" s="21" t="n">
        <v>2013</v>
      </c>
      <c r="D4208" s="21" t="inlineStr">
        <is>
          <t>USA</t>
        </is>
      </c>
      <c r="E4208" s="21" t="n">
        <v>146</v>
      </c>
      <c r="F4208" s="21" t="inlineStr">
        <is>
          <t>English</t>
        </is>
      </c>
      <c r="G4208" s="21" t="inlineStr">
        <is>
          <t>PG-13</t>
        </is>
      </c>
      <c r="H4208" s="22" t="n">
        <v>424645577</v>
      </c>
      <c r="I4208" s="22" t="n">
        <v>130000000</v>
      </c>
      <c r="J4208" s="21">
        <f>IF(OR(H4208="",H4208=25529689.5),"Yes","No")</f>
        <v/>
      </c>
      <c r="K4208" s="21">
        <f>IF(AND(D4208="USA",C4208&gt;=1980,J4208="No"),"Yes","No")</f>
        <v/>
      </c>
      <c r="L4208" s="26">
        <f>IF(J4208="Yes","",H4208-I4208)</f>
        <v/>
      </c>
      <c r="M4208" s="27">
        <f>IF(OR(J4208="Yes",I4208=0),"",H4208/I4208)</f>
        <v/>
      </c>
      <c r="N4208" s="21">
        <f>IF(J4208="Yes","",IF(H4208&gt;=I4208,1,0))</f>
        <v/>
      </c>
      <c r="O4208" s="21">
        <f>IF(I4208&lt;=5000000,"Under $5M",IF(I4208&lt;=20000000,"$5M-20M",IF(I4208&lt;=50000000,"$20M-50M",IF(I4208&lt;=100000000,"$50M-100M","$100M+"))))</f>
        <v/>
      </c>
      <c r="P4208" s="21">
        <f>IF(E4208&lt;=90,"90 or less",IF(E4208&lt;=105,"91-105",IF(E4208&lt;=120,"106-120",IF(E4208&lt;=140,"121-140","Over 140"))))</f>
        <v/>
      </c>
      <c r="Q4208" s="28">
        <f>INT(C4208/10)*10</f>
        <v/>
      </c>
    </row>
    <row r="4209">
      <c r="A4209" s="21" t="n">
        <v>4297</v>
      </c>
      <c r="B4209" s="21" t="inlineStr">
        <is>
          <t>The Immigrant</t>
        </is>
      </c>
      <c r="C4209" s="21" t="n">
        <v>2013</v>
      </c>
      <c r="D4209" s="21" t="inlineStr">
        <is>
          <t>USA</t>
        </is>
      </c>
      <c r="E4209" s="21" t="n">
        <v>120</v>
      </c>
      <c r="F4209" s="21" t="inlineStr">
        <is>
          <t>English</t>
        </is>
      </c>
      <c r="G4209" s="21" t="inlineStr">
        <is>
          <t>R</t>
        </is>
      </c>
      <c r="H4209" s="22" t="n">
        <v>1984743</v>
      </c>
      <c r="I4209" s="22" t="n">
        <v>16000000</v>
      </c>
      <c r="J4209" s="21">
        <f>IF(OR(H4209="",H4209=25529689.5),"Yes","No")</f>
        <v/>
      </c>
      <c r="K4209" s="21">
        <f>IF(AND(D4209="USA",C4209&gt;=1980,J4209="No"),"Yes","No")</f>
        <v/>
      </c>
      <c r="L4209" s="26">
        <f>IF(J4209="Yes","",H4209-I4209)</f>
        <v/>
      </c>
      <c r="M4209" s="27">
        <f>IF(OR(J4209="Yes",I4209=0),"",H4209/I4209)</f>
        <v/>
      </c>
      <c r="N4209" s="21">
        <f>IF(J4209="Yes","",IF(H4209&gt;=I4209,1,0))</f>
        <v/>
      </c>
      <c r="O4209" s="21">
        <f>IF(I4209&lt;=5000000,"Under $5M",IF(I4209&lt;=20000000,"$5M-20M",IF(I4209&lt;=50000000,"$20M-50M",IF(I4209&lt;=100000000,"$50M-100M","$100M+"))))</f>
        <v/>
      </c>
      <c r="P4209" s="21">
        <f>IF(E4209&lt;=90,"90 or less",IF(E4209&lt;=105,"91-105",IF(E4209&lt;=120,"106-120",IF(E4209&lt;=140,"121-140","Over 140"))))</f>
        <v/>
      </c>
      <c r="Q4209" s="28">
        <f>INT(C4209/10)*10</f>
        <v/>
      </c>
    </row>
    <row r="4210">
      <c r="A4210" s="21" t="n">
        <v>4298</v>
      </c>
      <c r="B4210" s="21" t="inlineStr">
        <is>
          <t>The Incredible Burt Wonderstone</t>
        </is>
      </c>
      <c r="C4210" s="21" t="n">
        <v>2013</v>
      </c>
      <c r="D4210" s="21" t="inlineStr">
        <is>
          <t>USA</t>
        </is>
      </c>
      <c r="E4210" s="21" t="n">
        <v>100</v>
      </c>
      <c r="F4210" s="21" t="inlineStr">
        <is>
          <t>English</t>
        </is>
      </c>
      <c r="G4210" s="21" t="inlineStr">
        <is>
          <t>PG-13</t>
        </is>
      </c>
      <c r="H4210" s="22" t="n">
        <v>22525921</v>
      </c>
      <c r="I4210" s="22" t="n">
        <v>30000000</v>
      </c>
      <c r="J4210" s="21">
        <f>IF(OR(H4210="",H4210=25529689.5),"Yes","No")</f>
        <v/>
      </c>
      <c r="K4210" s="21">
        <f>IF(AND(D4210="USA",C4210&gt;=1980,J4210="No"),"Yes","No")</f>
        <v/>
      </c>
      <c r="L4210" s="26">
        <f>IF(J4210="Yes","",H4210-I4210)</f>
        <v/>
      </c>
      <c r="M4210" s="27">
        <f>IF(OR(J4210="Yes",I4210=0),"",H4210/I4210)</f>
        <v/>
      </c>
      <c r="N4210" s="21">
        <f>IF(J4210="Yes","",IF(H4210&gt;=I4210,1,0))</f>
        <v/>
      </c>
      <c r="O4210" s="21">
        <f>IF(I4210&lt;=5000000,"Under $5M",IF(I4210&lt;=20000000,"$5M-20M",IF(I4210&lt;=50000000,"$20M-50M",IF(I4210&lt;=100000000,"$50M-100M","$100M+"))))</f>
        <v/>
      </c>
      <c r="P4210" s="21">
        <f>IF(E4210&lt;=90,"90 or less",IF(E4210&lt;=105,"91-105",IF(E4210&lt;=120,"106-120",IF(E4210&lt;=140,"121-140","Over 140"))))</f>
        <v/>
      </c>
      <c r="Q4210" s="28">
        <f>INT(C4210/10)*10</f>
        <v/>
      </c>
    </row>
    <row r="4211">
      <c r="A4211" s="21" t="n">
        <v>4299</v>
      </c>
      <c r="B4211" s="21" t="inlineStr">
        <is>
          <t>The Internship</t>
        </is>
      </c>
      <c r="C4211" s="21" t="n">
        <v>2013</v>
      </c>
      <c r="D4211" s="21" t="inlineStr">
        <is>
          <t>USA</t>
        </is>
      </c>
      <c r="E4211" s="21" t="n">
        <v>125</v>
      </c>
      <c r="F4211" s="21" t="inlineStr">
        <is>
          <t>English</t>
        </is>
      </c>
      <c r="G4211" s="21" t="inlineStr">
        <is>
          <t>PG-13</t>
        </is>
      </c>
      <c r="H4211" s="22" t="n">
        <v>44665963</v>
      </c>
      <c r="I4211" s="22" t="n">
        <v>58000000</v>
      </c>
      <c r="J4211" s="21">
        <f>IF(OR(H4211="",H4211=25529689.5),"Yes","No")</f>
        <v/>
      </c>
      <c r="K4211" s="21">
        <f>IF(AND(D4211="USA",C4211&gt;=1980,J4211="No"),"Yes","No")</f>
        <v/>
      </c>
      <c r="L4211" s="26">
        <f>IF(J4211="Yes","",H4211-I4211)</f>
        <v/>
      </c>
      <c r="M4211" s="27">
        <f>IF(OR(J4211="Yes",I4211=0),"",H4211/I4211)</f>
        <v/>
      </c>
      <c r="N4211" s="21">
        <f>IF(J4211="Yes","",IF(H4211&gt;=I4211,1,0))</f>
        <v/>
      </c>
      <c r="O4211" s="21">
        <f>IF(I4211&lt;=5000000,"Under $5M",IF(I4211&lt;=20000000,"$5M-20M",IF(I4211&lt;=50000000,"$20M-50M",IF(I4211&lt;=100000000,"$50M-100M","$100M+"))))</f>
        <v/>
      </c>
      <c r="P4211" s="21">
        <f>IF(E4211&lt;=90,"90 or less",IF(E4211&lt;=105,"91-105",IF(E4211&lt;=120,"106-120",IF(E4211&lt;=140,"121-140","Over 140"))))</f>
        <v/>
      </c>
      <c r="Q4211" s="28">
        <f>INT(C4211/10)*10</f>
        <v/>
      </c>
    </row>
    <row r="4212">
      <c r="A4212" s="21" t="n">
        <v>4300</v>
      </c>
      <c r="B4212" s="21" t="inlineStr">
        <is>
          <t>The Knife of Don Juan</t>
        </is>
      </c>
      <c r="C4212" s="21" t="n">
        <v>2013</v>
      </c>
      <c r="D4212" s="21" t="inlineStr">
        <is>
          <t>USA</t>
        </is>
      </c>
      <c r="E4212" s="21" t="n">
        <v>110</v>
      </c>
      <c r="F4212" s="21" t="inlineStr">
        <is>
          <t>Spanish</t>
        </is>
      </c>
      <c r="G4212" s="21" t="n"/>
      <c r="H4212" s="22" t="n">
        <v>3830</v>
      </c>
      <c r="I4212" s="22" t="n">
        <v>1200000</v>
      </c>
      <c r="J4212" s="21">
        <f>IF(OR(H4212="",H4212=25529689.5),"Yes","No")</f>
        <v/>
      </c>
      <c r="K4212" s="21">
        <f>IF(AND(D4212="USA",C4212&gt;=1980,J4212="No"),"Yes","No")</f>
        <v/>
      </c>
      <c r="L4212" s="26">
        <f>IF(J4212="Yes","",H4212-I4212)</f>
        <v/>
      </c>
      <c r="M4212" s="27">
        <f>IF(OR(J4212="Yes",I4212=0),"",H4212/I4212)</f>
        <v/>
      </c>
      <c r="N4212" s="21">
        <f>IF(J4212="Yes","",IF(H4212&gt;=I4212,1,0))</f>
        <v/>
      </c>
      <c r="O4212" s="21">
        <f>IF(I4212&lt;=5000000,"Under $5M",IF(I4212&lt;=20000000,"$5M-20M",IF(I4212&lt;=50000000,"$20M-50M",IF(I4212&lt;=100000000,"$50M-100M","$100M+"))))</f>
        <v/>
      </c>
      <c r="P4212" s="21">
        <f>IF(E4212&lt;=90,"90 or less",IF(E4212&lt;=105,"91-105",IF(E4212&lt;=120,"106-120",IF(E4212&lt;=140,"121-140","Over 140"))))</f>
        <v/>
      </c>
      <c r="Q4212" s="28">
        <f>INT(C4212/10)*10</f>
        <v/>
      </c>
    </row>
    <row r="4213">
      <c r="A4213" s="21" t="n">
        <v>4301</v>
      </c>
      <c r="B4213" s="21" t="inlineStr">
        <is>
          <t>The Last Days on Mars</t>
        </is>
      </c>
      <c r="C4213" s="21" t="n">
        <v>2013</v>
      </c>
      <c r="D4213" s="21" t="inlineStr">
        <is>
          <t>UK</t>
        </is>
      </c>
      <c r="E4213" s="21" t="n">
        <v>98</v>
      </c>
      <c r="F4213" s="21" t="inlineStr">
        <is>
          <t>English</t>
        </is>
      </c>
      <c r="G4213" s="21" t="inlineStr">
        <is>
          <t>R</t>
        </is>
      </c>
      <c r="H4213" s="22" t="n">
        <v>23838</v>
      </c>
      <c r="I4213" s="22" t="n">
        <v>7000000</v>
      </c>
      <c r="J4213" s="21">
        <f>IF(OR(H4213="",H4213=25529689.5),"Yes","No")</f>
        <v/>
      </c>
      <c r="K4213" s="21">
        <f>IF(AND(D4213="USA",C4213&gt;=1980,J4213="No"),"Yes","No")</f>
        <v/>
      </c>
      <c r="L4213" s="26">
        <f>IF(J4213="Yes","",H4213-I4213)</f>
        <v/>
      </c>
      <c r="M4213" s="27">
        <f>IF(OR(J4213="Yes",I4213=0),"",H4213/I4213)</f>
        <v/>
      </c>
      <c r="N4213" s="21">
        <f>IF(J4213="Yes","",IF(H4213&gt;=I4213,1,0))</f>
        <v/>
      </c>
      <c r="O4213" s="21">
        <f>IF(I4213&lt;=5000000,"Under $5M",IF(I4213&lt;=20000000,"$5M-20M",IF(I4213&lt;=50000000,"$20M-50M",IF(I4213&lt;=100000000,"$50M-100M","$100M+"))))</f>
        <v/>
      </c>
      <c r="P4213" s="21">
        <f>IF(E4213&lt;=90,"90 or less",IF(E4213&lt;=105,"91-105",IF(E4213&lt;=120,"106-120",IF(E4213&lt;=140,"121-140","Over 140"))))</f>
        <v/>
      </c>
      <c r="Q4213" s="28">
        <f>INT(C4213/10)*10</f>
        <v/>
      </c>
    </row>
    <row r="4214">
      <c r="A4214" s="21" t="n">
        <v>4302</v>
      </c>
      <c r="B4214" s="21" t="inlineStr">
        <is>
          <t>The Last Exorcism Part II</t>
        </is>
      </c>
      <c r="C4214" s="21" t="n">
        <v>2013</v>
      </c>
      <c r="D4214" s="21" t="inlineStr">
        <is>
          <t>France</t>
        </is>
      </c>
      <c r="E4214" s="21" t="n">
        <v>93</v>
      </c>
      <c r="F4214" s="21" t="inlineStr">
        <is>
          <t>English</t>
        </is>
      </c>
      <c r="G4214" s="21" t="inlineStr">
        <is>
          <t>PG-13</t>
        </is>
      </c>
      <c r="H4214" s="22" t="n">
        <v>15152879</v>
      </c>
      <c r="I4214" s="22" t="n">
        <v>5000000</v>
      </c>
      <c r="J4214" s="21">
        <f>IF(OR(H4214="",H4214=25529689.5),"Yes","No")</f>
        <v/>
      </c>
      <c r="K4214" s="21">
        <f>IF(AND(D4214="USA",C4214&gt;=1980,J4214="No"),"Yes","No")</f>
        <v/>
      </c>
      <c r="L4214" s="26">
        <f>IF(J4214="Yes","",H4214-I4214)</f>
        <v/>
      </c>
      <c r="M4214" s="27">
        <f>IF(OR(J4214="Yes",I4214=0),"",H4214/I4214)</f>
        <v/>
      </c>
      <c r="N4214" s="21">
        <f>IF(J4214="Yes","",IF(H4214&gt;=I4214,1,0))</f>
        <v/>
      </c>
      <c r="O4214" s="21">
        <f>IF(I4214&lt;=5000000,"Under $5M",IF(I4214&lt;=20000000,"$5M-20M",IF(I4214&lt;=50000000,"$20M-50M",IF(I4214&lt;=100000000,"$50M-100M","$100M+"))))</f>
        <v/>
      </c>
      <c r="P4214" s="21">
        <f>IF(E4214&lt;=90,"90 or less",IF(E4214&lt;=105,"91-105",IF(E4214&lt;=120,"106-120",IF(E4214&lt;=140,"121-140","Over 140"))))</f>
        <v/>
      </c>
      <c r="Q4214" s="28">
        <f>INT(C4214/10)*10</f>
        <v/>
      </c>
    </row>
    <row r="4215">
      <c r="A4215" s="21" t="n">
        <v>4303</v>
      </c>
      <c r="B4215" s="21" t="inlineStr">
        <is>
          <t>The Last Stand</t>
        </is>
      </c>
      <c r="C4215" s="21" t="n">
        <v>2013</v>
      </c>
      <c r="D4215" s="21" t="inlineStr">
        <is>
          <t>USA</t>
        </is>
      </c>
      <c r="E4215" s="21" t="n">
        <v>107</v>
      </c>
      <c r="F4215" s="21" t="inlineStr">
        <is>
          <t>English</t>
        </is>
      </c>
      <c r="G4215" s="21" t="inlineStr">
        <is>
          <t>R</t>
        </is>
      </c>
      <c r="H4215" s="22" t="n">
        <v>12026670</v>
      </c>
      <c r="I4215" s="22" t="n">
        <v>45000000</v>
      </c>
      <c r="J4215" s="21">
        <f>IF(OR(H4215="",H4215=25529689.5),"Yes","No")</f>
        <v/>
      </c>
      <c r="K4215" s="21">
        <f>IF(AND(D4215="USA",C4215&gt;=1980,J4215="No"),"Yes","No")</f>
        <v/>
      </c>
      <c r="L4215" s="26">
        <f>IF(J4215="Yes","",H4215-I4215)</f>
        <v/>
      </c>
      <c r="M4215" s="27">
        <f>IF(OR(J4215="Yes",I4215=0),"",H4215/I4215)</f>
        <v/>
      </c>
      <c r="N4215" s="21">
        <f>IF(J4215="Yes","",IF(H4215&gt;=I4215,1,0))</f>
        <v/>
      </c>
      <c r="O4215" s="21">
        <f>IF(I4215&lt;=5000000,"Under $5M",IF(I4215&lt;=20000000,"$5M-20M",IF(I4215&lt;=50000000,"$20M-50M",IF(I4215&lt;=100000000,"$50M-100M","$100M+"))))</f>
        <v/>
      </c>
      <c r="P4215" s="21">
        <f>IF(E4215&lt;=90,"90 or less",IF(E4215&lt;=105,"91-105",IF(E4215&lt;=120,"106-120",IF(E4215&lt;=140,"121-140","Over 140"))))</f>
        <v/>
      </c>
      <c r="Q4215" s="28">
        <f>INT(C4215/10)*10</f>
        <v/>
      </c>
    </row>
    <row r="4216">
      <c r="A4216" s="21" t="n">
        <v>4304</v>
      </c>
      <c r="B4216" s="21" t="inlineStr">
        <is>
          <t>The Lone Ranger</t>
        </is>
      </c>
      <c r="C4216" s="21" t="n">
        <v>2013</v>
      </c>
      <c r="D4216" s="21" t="inlineStr">
        <is>
          <t>USA</t>
        </is>
      </c>
      <c r="E4216" s="21" t="n">
        <v>150</v>
      </c>
      <c r="F4216" s="21" t="inlineStr">
        <is>
          <t>English</t>
        </is>
      </c>
      <c r="G4216" s="21" t="inlineStr">
        <is>
          <t>PG-13</t>
        </is>
      </c>
      <c r="H4216" s="22" t="n">
        <v>89289910</v>
      </c>
      <c r="I4216" s="22" t="n">
        <v>215000000</v>
      </c>
      <c r="J4216" s="21">
        <f>IF(OR(H4216="",H4216=25529689.5),"Yes","No")</f>
        <v/>
      </c>
      <c r="K4216" s="21">
        <f>IF(AND(D4216="USA",C4216&gt;=1980,J4216="No"),"Yes","No")</f>
        <v/>
      </c>
      <c r="L4216" s="26">
        <f>IF(J4216="Yes","",H4216-I4216)</f>
        <v/>
      </c>
      <c r="M4216" s="27">
        <f>IF(OR(J4216="Yes",I4216=0),"",H4216/I4216)</f>
        <v/>
      </c>
      <c r="N4216" s="21">
        <f>IF(J4216="Yes","",IF(H4216&gt;=I4216,1,0))</f>
        <v/>
      </c>
      <c r="O4216" s="21">
        <f>IF(I4216&lt;=5000000,"Under $5M",IF(I4216&lt;=20000000,"$5M-20M",IF(I4216&lt;=50000000,"$20M-50M",IF(I4216&lt;=100000000,"$50M-100M","$100M+"))))</f>
        <v/>
      </c>
      <c r="P4216" s="21">
        <f>IF(E4216&lt;=90,"90 or less",IF(E4216&lt;=105,"91-105",IF(E4216&lt;=120,"106-120",IF(E4216&lt;=140,"121-140","Over 140"))))</f>
        <v/>
      </c>
      <c r="Q4216" s="28">
        <f>INT(C4216/10)*10</f>
        <v/>
      </c>
    </row>
    <row r="4217">
      <c r="A4217" s="21" t="n">
        <v>4305</v>
      </c>
      <c r="B4217" s="21" t="inlineStr">
        <is>
          <t>The Lost Medallion: The Adventures of Billy Stone</t>
        </is>
      </c>
      <c r="C4217" s="21" t="n">
        <v>2013</v>
      </c>
      <c r="D4217" s="21" t="inlineStr">
        <is>
          <t>Thailand</t>
        </is>
      </c>
      <c r="E4217" s="21" t="n">
        <v>97</v>
      </c>
      <c r="F4217" s="21" t="inlineStr">
        <is>
          <t>English</t>
        </is>
      </c>
      <c r="G4217" s="21" t="inlineStr">
        <is>
          <t>PG</t>
        </is>
      </c>
      <c r="H4217" s="22" t="n">
        <v>549632</v>
      </c>
      <c r="I4217" s="22" t="n">
        <v>20000000</v>
      </c>
      <c r="J4217" s="21">
        <f>IF(OR(H4217="",H4217=25529689.5),"Yes","No")</f>
        <v/>
      </c>
      <c r="K4217" s="21">
        <f>IF(AND(D4217="USA",C4217&gt;=1980,J4217="No"),"Yes","No")</f>
        <v/>
      </c>
      <c r="L4217" s="26">
        <f>IF(J4217="Yes","",H4217-I4217)</f>
        <v/>
      </c>
      <c r="M4217" s="27">
        <f>IF(OR(J4217="Yes",I4217=0),"",H4217/I4217)</f>
        <v/>
      </c>
      <c r="N4217" s="21">
        <f>IF(J4217="Yes","",IF(H4217&gt;=I4217,1,0))</f>
        <v/>
      </c>
      <c r="O4217" s="21">
        <f>IF(I4217&lt;=5000000,"Under $5M",IF(I4217&lt;=20000000,"$5M-20M",IF(I4217&lt;=50000000,"$20M-50M",IF(I4217&lt;=100000000,"$50M-100M","$100M+"))))</f>
        <v/>
      </c>
      <c r="P4217" s="21">
        <f>IF(E4217&lt;=90,"90 or less",IF(E4217&lt;=105,"91-105",IF(E4217&lt;=120,"106-120",IF(E4217&lt;=140,"121-140","Over 140"))))</f>
        <v/>
      </c>
      <c r="Q4217" s="28">
        <f>INT(C4217/10)*10</f>
        <v/>
      </c>
    </row>
    <row r="4218">
      <c r="A4218" s="21" t="n">
        <v>4306</v>
      </c>
      <c r="B4218" s="21" t="inlineStr">
        <is>
          <t>The Lunchbox</t>
        </is>
      </c>
      <c r="C4218" s="21" t="n">
        <v>2013</v>
      </c>
      <c r="D4218" s="21" t="inlineStr">
        <is>
          <t>India</t>
        </is>
      </c>
      <c r="E4218" s="21" t="n">
        <v>104</v>
      </c>
      <c r="F4218" s="21" t="inlineStr">
        <is>
          <t>Hindi</t>
        </is>
      </c>
      <c r="G4218" s="21" t="inlineStr">
        <is>
          <t>PG</t>
        </is>
      </c>
      <c r="H4218" s="22" t="n">
        <v>4231500</v>
      </c>
      <c r="I4218" s="22" t="n">
        <v>1000000</v>
      </c>
      <c r="J4218" s="21">
        <f>IF(OR(H4218="",H4218=25529689.5),"Yes","No")</f>
        <v/>
      </c>
      <c r="K4218" s="21">
        <f>IF(AND(D4218="USA",C4218&gt;=1980,J4218="No"),"Yes","No")</f>
        <v/>
      </c>
      <c r="L4218" s="26">
        <f>IF(J4218="Yes","",H4218-I4218)</f>
        <v/>
      </c>
      <c r="M4218" s="27">
        <f>IF(OR(J4218="Yes",I4218=0),"",H4218/I4218)</f>
        <v/>
      </c>
      <c r="N4218" s="21">
        <f>IF(J4218="Yes","",IF(H4218&gt;=I4218,1,0))</f>
        <v/>
      </c>
      <c r="O4218" s="21">
        <f>IF(I4218&lt;=5000000,"Under $5M",IF(I4218&lt;=20000000,"$5M-20M",IF(I4218&lt;=50000000,"$20M-50M",IF(I4218&lt;=100000000,"$50M-100M","$100M+"))))</f>
        <v/>
      </c>
      <c r="P4218" s="21">
        <f>IF(E4218&lt;=90,"90 or less",IF(E4218&lt;=105,"91-105",IF(E4218&lt;=120,"106-120",IF(E4218&lt;=140,"121-140","Over 140"))))</f>
        <v/>
      </c>
      <c r="Q4218" s="28">
        <f>INT(C4218/10)*10</f>
        <v/>
      </c>
    </row>
    <row r="4219">
      <c r="A4219" s="21" t="n">
        <v>4307</v>
      </c>
      <c r="B4219" s="21" t="inlineStr">
        <is>
          <t>The Maid's Room</t>
        </is>
      </c>
      <c r="C4219" s="21" t="n">
        <v>2013</v>
      </c>
      <c r="D4219" s="21" t="inlineStr">
        <is>
          <t>USA</t>
        </is>
      </c>
      <c r="E4219" s="21" t="n">
        <v>98</v>
      </c>
      <c r="F4219" s="21" t="inlineStr">
        <is>
          <t>English</t>
        </is>
      </c>
      <c r="G4219" s="21" t="n"/>
      <c r="H4219" s="22" t="n">
        <v>25529689.5</v>
      </c>
      <c r="I4219" s="22" t="n">
        <v>600000</v>
      </c>
      <c r="J4219" s="21">
        <f>IF(OR(H4219="",H4219=25529689.5),"Yes","No")</f>
        <v/>
      </c>
      <c r="K4219" s="21">
        <f>IF(AND(D4219="USA",C4219&gt;=1980,J4219="No"),"Yes","No")</f>
        <v/>
      </c>
      <c r="L4219" s="26">
        <f>IF(J4219="Yes","",H4219-I4219)</f>
        <v/>
      </c>
      <c r="M4219" s="27">
        <f>IF(OR(J4219="Yes",I4219=0),"",H4219/I4219)</f>
        <v/>
      </c>
      <c r="N4219" s="21">
        <f>IF(J4219="Yes","",IF(H4219&gt;=I4219,1,0))</f>
        <v/>
      </c>
      <c r="O4219" s="21">
        <f>IF(I4219&lt;=5000000,"Under $5M",IF(I4219&lt;=20000000,"$5M-20M",IF(I4219&lt;=50000000,"$20M-50M",IF(I4219&lt;=100000000,"$50M-100M","$100M+"))))</f>
        <v/>
      </c>
      <c r="P4219" s="21">
        <f>IF(E4219&lt;=90,"90 or less",IF(E4219&lt;=105,"91-105",IF(E4219&lt;=120,"106-120",IF(E4219&lt;=140,"121-140","Over 140"))))</f>
        <v/>
      </c>
      <c r="Q4219" s="28">
        <f>INT(C4219/10)*10</f>
        <v/>
      </c>
    </row>
    <row r="4220">
      <c r="A4220" s="21" t="n">
        <v>4308</v>
      </c>
      <c r="B4220" s="21" t="inlineStr">
        <is>
          <t>The Mortal Instruments: City of Bones</t>
        </is>
      </c>
      <c r="C4220" s="21" t="n">
        <v>2013</v>
      </c>
      <c r="D4220" s="21" t="inlineStr">
        <is>
          <t>USA</t>
        </is>
      </c>
      <c r="E4220" s="21" t="n">
        <v>130</v>
      </c>
      <c r="F4220" s="21" t="inlineStr">
        <is>
          <t>English</t>
        </is>
      </c>
      <c r="G4220" s="21" t="inlineStr">
        <is>
          <t>PG-13</t>
        </is>
      </c>
      <c r="H4220" s="22" t="n">
        <v>31165421</v>
      </c>
      <c r="I4220" s="22" t="n">
        <v>60000000</v>
      </c>
      <c r="J4220" s="21">
        <f>IF(OR(H4220="",H4220=25529689.5),"Yes","No")</f>
        <v/>
      </c>
      <c r="K4220" s="21">
        <f>IF(AND(D4220="USA",C4220&gt;=1980,J4220="No"),"Yes","No")</f>
        <v/>
      </c>
      <c r="L4220" s="26">
        <f>IF(J4220="Yes","",H4220-I4220)</f>
        <v/>
      </c>
      <c r="M4220" s="27">
        <f>IF(OR(J4220="Yes",I4220=0),"",H4220/I4220)</f>
        <v/>
      </c>
      <c r="N4220" s="21">
        <f>IF(J4220="Yes","",IF(H4220&gt;=I4220,1,0))</f>
        <v/>
      </c>
      <c r="O4220" s="21">
        <f>IF(I4220&lt;=5000000,"Under $5M",IF(I4220&lt;=20000000,"$5M-20M",IF(I4220&lt;=50000000,"$20M-50M",IF(I4220&lt;=100000000,"$50M-100M","$100M+"))))</f>
        <v/>
      </c>
      <c r="P4220" s="21">
        <f>IF(E4220&lt;=90,"90 or less",IF(E4220&lt;=105,"91-105",IF(E4220&lt;=120,"106-120",IF(E4220&lt;=140,"121-140","Over 140"))))</f>
        <v/>
      </c>
      <c r="Q4220" s="28">
        <f>INT(C4220/10)*10</f>
        <v/>
      </c>
    </row>
    <row r="4221">
      <c r="A4221" s="21" t="n">
        <v>4309</v>
      </c>
      <c r="B4221" s="21" t="inlineStr">
        <is>
          <t>The Purge</t>
        </is>
      </c>
      <c r="C4221" s="21" t="n">
        <v>2013</v>
      </c>
      <c r="D4221" s="21" t="inlineStr">
        <is>
          <t>USA</t>
        </is>
      </c>
      <c r="E4221" s="21" t="n">
        <v>85</v>
      </c>
      <c r="F4221" s="21" t="inlineStr">
        <is>
          <t>English</t>
        </is>
      </c>
      <c r="G4221" s="21" t="inlineStr">
        <is>
          <t>R</t>
        </is>
      </c>
      <c r="H4221" s="22" t="n">
        <v>64423650</v>
      </c>
      <c r="I4221" s="22" t="n">
        <v>3000000</v>
      </c>
      <c r="J4221" s="21">
        <f>IF(OR(H4221="",H4221=25529689.5),"Yes","No")</f>
        <v/>
      </c>
      <c r="K4221" s="21">
        <f>IF(AND(D4221="USA",C4221&gt;=1980,J4221="No"),"Yes","No")</f>
        <v/>
      </c>
      <c r="L4221" s="26">
        <f>IF(J4221="Yes","",H4221-I4221)</f>
        <v/>
      </c>
      <c r="M4221" s="27">
        <f>IF(OR(J4221="Yes",I4221=0),"",H4221/I4221)</f>
        <v/>
      </c>
      <c r="N4221" s="21">
        <f>IF(J4221="Yes","",IF(H4221&gt;=I4221,1,0))</f>
        <v/>
      </c>
      <c r="O4221" s="21">
        <f>IF(I4221&lt;=5000000,"Under $5M",IF(I4221&lt;=20000000,"$5M-20M",IF(I4221&lt;=50000000,"$20M-50M",IF(I4221&lt;=100000000,"$50M-100M","$100M+"))))</f>
        <v/>
      </c>
      <c r="P4221" s="21">
        <f>IF(E4221&lt;=90,"90 or less",IF(E4221&lt;=105,"91-105",IF(E4221&lt;=120,"106-120",IF(E4221&lt;=140,"121-140","Over 140"))))</f>
        <v/>
      </c>
      <c r="Q4221" s="28">
        <f>INT(C4221/10)*10</f>
        <v/>
      </c>
    </row>
    <row r="4222">
      <c r="A4222" s="21" t="n">
        <v>4310</v>
      </c>
      <c r="B4222" s="21" t="inlineStr">
        <is>
          <t>The Railway Man</t>
        </is>
      </c>
      <c r="C4222" s="21" t="n">
        <v>2013</v>
      </c>
      <c r="D4222" s="21" t="inlineStr">
        <is>
          <t>Australia</t>
        </is>
      </c>
      <c r="E4222" s="21" t="n">
        <v>116</v>
      </c>
      <c r="F4222" s="21" t="inlineStr">
        <is>
          <t>English</t>
        </is>
      </c>
      <c r="G4222" s="21" t="inlineStr">
        <is>
          <t>R</t>
        </is>
      </c>
      <c r="H4222" s="22" t="n">
        <v>4435083</v>
      </c>
      <c r="I4222" s="22" t="n">
        <v>18000000</v>
      </c>
      <c r="J4222" s="21">
        <f>IF(OR(H4222="",H4222=25529689.5),"Yes","No")</f>
        <v/>
      </c>
      <c r="K4222" s="21">
        <f>IF(AND(D4222="USA",C4222&gt;=1980,J4222="No"),"Yes","No")</f>
        <v/>
      </c>
      <c r="L4222" s="26">
        <f>IF(J4222="Yes","",H4222-I4222)</f>
        <v/>
      </c>
      <c r="M4222" s="27">
        <f>IF(OR(J4222="Yes",I4222=0),"",H4222/I4222)</f>
        <v/>
      </c>
      <c r="N4222" s="21">
        <f>IF(J4222="Yes","",IF(H4222&gt;=I4222,1,0))</f>
        <v/>
      </c>
      <c r="O4222" s="21">
        <f>IF(I4222&lt;=5000000,"Under $5M",IF(I4222&lt;=20000000,"$5M-20M",IF(I4222&lt;=50000000,"$20M-50M",IF(I4222&lt;=100000000,"$50M-100M","$100M+"))))</f>
        <v/>
      </c>
      <c r="P4222" s="21">
        <f>IF(E4222&lt;=90,"90 or less",IF(E4222&lt;=105,"91-105",IF(E4222&lt;=120,"106-120",IF(E4222&lt;=140,"121-140","Over 140"))))</f>
        <v/>
      </c>
      <c r="Q4222" s="28">
        <f>INT(C4222/10)*10</f>
        <v/>
      </c>
    </row>
    <row r="4223">
      <c r="A4223" s="21" t="n">
        <v>4311</v>
      </c>
      <c r="B4223" s="21" t="inlineStr">
        <is>
          <t>The Secret Life of Walter Mitty</t>
        </is>
      </c>
      <c r="C4223" s="21" t="n">
        <v>2013</v>
      </c>
      <c r="D4223" s="21" t="inlineStr">
        <is>
          <t>USA</t>
        </is>
      </c>
      <c r="E4223" s="21" t="n">
        <v>114</v>
      </c>
      <c r="F4223" s="21" t="inlineStr">
        <is>
          <t>English</t>
        </is>
      </c>
      <c r="G4223" s="21" t="inlineStr">
        <is>
          <t>PG</t>
        </is>
      </c>
      <c r="H4223" s="22" t="n">
        <v>58229120</v>
      </c>
      <c r="I4223" s="22" t="n">
        <v>90000000</v>
      </c>
      <c r="J4223" s="21">
        <f>IF(OR(H4223="",H4223=25529689.5),"Yes","No")</f>
        <v/>
      </c>
      <c r="K4223" s="21">
        <f>IF(AND(D4223="USA",C4223&gt;=1980,J4223="No"),"Yes","No")</f>
        <v/>
      </c>
      <c r="L4223" s="26">
        <f>IF(J4223="Yes","",H4223-I4223)</f>
        <v/>
      </c>
      <c r="M4223" s="27">
        <f>IF(OR(J4223="Yes",I4223=0),"",H4223/I4223)</f>
        <v/>
      </c>
      <c r="N4223" s="21">
        <f>IF(J4223="Yes","",IF(H4223&gt;=I4223,1,0))</f>
        <v/>
      </c>
      <c r="O4223" s="21">
        <f>IF(I4223&lt;=5000000,"Under $5M",IF(I4223&lt;=20000000,"$5M-20M",IF(I4223&lt;=50000000,"$20M-50M",IF(I4223&lt;=100000000,"$50M-100M","$100M+"))))</f>
        <v/>
      </c>
      <c r="P4223" s="21">
        <f>IF(E4223&lt;=90,"90 or less",IF(E4223&lt;=105,"91-105",IF(E4223&lt;=120,"106-120",IF(E4223&lt;=140,"121-140","Over 140"))))</f>
        <v/>
      </c>
      <c r="Q4223" s="28">
        <f>INT(C4223/10)*10</f>
        <v/>
      </c>
    </row>
    <row r="4224">
      <c r="A4224" s="21" t="n">
        <v>4312</v>
      </c>
      <c r="B4224" s="21" t="inlineStr">
        <is>
          <t>The Smurfs 2</t>
        </is>
      </c>
      <c r="C4224" s="21" t="n">
        <v>2013</v>
      </c>
      <c r="D4224" s="21" t="inlineStr">
        <is>
          <t>USA</t>
        </is>
      </c>
      <c r="E4224" s="21" t="n">
        <v>105</v>
      </c>
      <c r="F4224" s="21" t="inlineStr">
        <is>
          <t>English</t>
        </is>
      </c>
      <c r="G4224" s="21" t="inlineStr">
        <is>
          <t>PG</t>
        </is>
      </c>
      <c r="H4224" s="22" t="n">
        <v>71017784</v>
      </c>
      <c r="I4224" s="22" t="n">
        <v>105000000</v>
      </c>
      <c r="J4224" s="21">
        <f>IF(OR(H4224="",H4224=25529689.5),"Yes","No")</f>
        <v/>
      </c>
      <c r="K4224" s="21">
        <f>IF(AND(D4224="USA",C4224&gt;=1980,J4224="No"),"Yes","No")</f>
        <v/>
      </c>
      <c r="L4224" s="26">
        <f>IF(J4224="Yes","",H4224-I4224)</f>
        <v/>
      </c>
      <c r="M4224" s="27">
        <f>IF(OR(J4224="Yes",I4224=0),"",H4224/I4224)</f>
        <v/>
      </c>
      <c r="N4224" s="21">
        <f>IF(J4224="Yes","",IF(H4224&gt;=I4224,1,0))</f>
        <v/>
      </c>
      <c r="O4224" s="21">
        <f>IF(I4224&lt;=5000000,"Under $5M",IF(I4224&lt;=20000000,"$5M-20M",IF(I4224&lt;=50000000,"$20M-50M",IF(I4224&lt;=100000000,"$50M-100M","$100M+"))))</f>
        <v/>
      </c>
      <c r="P4224" s="21">
        <f>IF(E4224&lt;=90,"90 or less",IF(E4224&lt;=105,"91-105",IF(E4224&lt;=120,"106-120",IF(E4224&lt;=140,"121-140","Over 140"))))</f>
        <v/>
      </c>
      <c r="Q4224" s="28">
        <f>INT(C4224/10)*10</f>
        <v/>
      </c>
    </row>
    <row r="4225">
      <c r="A4225" s="21" t="n">
        <v>4313</v>
      </c>
      <c r="B4225" s="21" t="inlineStr">
        <is>
          <t>The Spectacular Now</t>
        </is>
      </c>
      <c r="C4225" s="21" t="n">
        <v>2013</v>
      </c>
      <c r="D4225" s="21" t="inlineStr">
        <is>
          <t>USA</t>
        </is>
      </c>
      <c r="E4225" s="21" t="n">
        <v>95</v>
      </c>
      <c r="F4225" s="21" t="inlineStr">
        <is>
          <t>English</t>
        </is>
      </c>
      <c r="G4225" s="21" t="inlineStr">
        <is>
          <t>R</t>
        </is>
      </c>
      <c r="H4225" s="22" t="n">
        <v>6851969</v>
      </c>
      <c r="I4225" s="22" t="n">
        <v>2500000</v>
      </c>
      <c r="J4225" s="21">
        <f>IF(OR(H4225="",H4225=25529689.5),"Yes","No")</f>
        <v/>
      </c>
      <c r="K4225" s="21">
        <f>IF(AND(D4225="USA",C4225&gt;=1980,J4225="No"),"Yes","No")</f>
        <v/>
      </c>
      <c r="L4225" s="26">
        <f>IF(J4225="Yes","",H4225-I4225)</f>
        <v/>
      </c>
      <c r="M4225" s="27">
        <f>IF(OR(J4225="Yes",I4225=0),"",H4225/I4225)</f>
        <v/>
      </c>
      <c r="N4225" s="21">
        <f>IF(J4225="Yes","",IF(H4225&gt;=I4225,1,0))</f>
        <v/>
      </c>
      <c r="O4225" s="21">
        <f>IF(I4225&lt;=5000000,"Under $5M",IF(I4225&lt;=20000000,"$5M-20M",IF(I4225&lt;=50000000,"$20M-50M",IF(I4225&lt;=100000000,"$50M-100M","$100M+"))))</f>
        <v/>
      </c>
      <c r="P4225" s="21">
        <f>IF(E4225&lt;=90,"90 or less",IF(E4225&lt;=105,"91-105",IF(E4225&lt;=120,"106-120",IF(E4225&lt;=140,"121-140","Over 140"))))</f>
        <v/>
      </c>
      <c r="Q4225" s="28">
        <f>INT(C4225/10)*10</f>
        <v/>
      </c>
    </row>
    <row r="4226">
      <c r="A4226" s="21" t="n">
        <v>4314</v>
      </c>
      <c r="B4226" s="21" t="inlineStr">
        <is>
          <t>The Square</t>
        </is>
      </c>
      <c r="C4226" s="21" t="n">
        <v>2013</v>
      </c>
      <c r="D4226" s="21" t="inlineStr">
        <is>
          <t>Egypt</t>
        </is>
      </c>
      <c r="E4226" s="21" t="n">
        <v>108</v>
      </c>
      <c r="F4226" s="21" t="inlineStr">
        <is>
          <t>Arabic</t>
        </is>
      </c>
      <c r="G4226" s="21" t="inlineStr">
        <is>
          <t>Not Rated</t>
        </is>
      </c>
      <c r="H4226" s="22" t="n">
        <v>25529689.5</v>
      </c>
      <c r="I4226" s="22" t="n">
        <v>1500000</v>
      </c>
      <c r="J4226" s="21">
        <f>IF(OR(H4226="",H4226=25529689.5),"Yes","No")</f>
        <v/>
      </c>
      <c r="K4226" s="21">
        <f>IF(AND(D4226="USA",C4226&gt;=1980,J4226="No"),"Yes","No")</f>
        <v/>
      </c>
      <c r="L4226" s="26">
        <f>IF(J4226="Yes","",H4226-I4226)</f>
        <v/>
      </c>
      <c r="M4226" s="27">
        <f>IF(OR(J4226="Yes",I4226=0),"",H4226/I4226)</f>
        <v/>
      </c>
      <c r="N4226" s="21">
        <f>IF(J4226="Yes","",IF(H4226&gt;=I4226,1,0))</f>
        <v/>
      </c>
      <c r="O4226" s="21">
        <f>IF(I4226&lt;=5000000,"Under $5M",IF(I4226&lt;=20000000,"$5M-20M",IF(I4226&lt;=50000000,"$20M-50M",IF(I4226&lt;=100000000,"$50M-100M","$100M+"))))</f>
        <v/>
      </c>
      <c r="P4226" s="21">
        <f>IF(E4226&lt;=90,"90 or less",IF(E4226&lt;=105,"91-105",IF(E4226&lt;=120,"106-120",IF(E4226&lt;=140,"121-140","Over 140"))))</f>
        <v/>
      </c>
      <c r="Q4226" s="28">
        <f>INT(C4226/10)*10</f>
        <v/>
      </c>
    </row>
    <row r="4227">
      <c r="A4227" s="21" t="n">
        <v>4315</v>
      </c>
      <c r="B4227" s="21" t="inlineStr">
        <is>
          <t>The To Do List</t>
        </is>
      </c>
      <c r="C4227" s="21" t="n">
        <v>2013</v>
      </c>
      <c r="D4227" s="21" t="inlineStr">
        <is>
          <t>USA</t>
        </is>
      </c>
      <c r="E4227" s="21" t="n">
        <v>104</v>
      </c>
      <c r="F4227" s="21" t="inlineStr">
        <is>
          <t>English</t>
        </is>
      </c>
      <c r="G4227" s="21" t="inlineStr">
        <is>
          <t>R</t>
        </is>
      </c>
      <c r="H4227" s="22" t="n">
        <v>3447339</v>
      </c>
      <c r="I4227" s="22" t="n">
        <v>1500000</v>
      </c>
      <c r="J4227" s="21">
        <f>IF(OR(H4227="",H4227=25529689.5),"Yes","No")</f>
        <v/>
      </c>
      <c r="K4227" s="21">
        <f>IF(AND(D4227="USA",C4227&gt;=1980,J4227="No"),"Yes","No")</f>
        <v/>
      </c>
      <c r="L4227" s="26">
        <f>IF(J4227="Yes","",H4227-I4227)</f>
        <v/>
      </c>
      <c r="M4227" s="27">
        <f>IF(OR(J4227="Yes",I4227=0),"",H4227/I4227)</f>
        <v/>
      </c>
      <c r="N4227" s="21">
        <f>IF(J4227="Yes","",IF(H4227&gt;=I4227,1,0))</f>
        <v/>
      </c>
      <c r="O4227" s="21">
        <f>IF(I4227&lt;=5000000,"Under $5M",IF(I4227&lt;=20000000,"$5M-20M",IF(I4227&lt;=50000000,"$20M-50M",IF(I4227&lt;=100000000,"$50M-100M","$100M+"))))</f>
        <v/>
      </c>
      <c r="P4227" s="21">
        <f>IF(E4227&lt;=90,"90 or less",IF(E4227&lt;=105,"91-105",IF(E4227&lt;=120,"106-120",IF(E4227&lt;=140,"121-140","Over 140"))))</f>
        <v/>
      </c>
      <c r="Q4227" s="28">
        <f>INT(C4227/10)*10</f>
        <v/>
      </c>
    </row>
    <row r="4228">
      <c r="A4228" s="21" t="n">
        <v>4316</v>
      </c>
      <c r="B4228" s="21" t="inlineStr">
        <is>
          <t>The Vatican Exorcisms</t>
        </is>
      </c>
      <c r="C4228" s="21" t="n">
        <v>2013</v>
      </c>
      <c r="D4228" s="21" t="inlineStr">
        <is>
          <t>Italy</t>
        </is>
      </c>
      <c r="E4228" s="21" t="n">
        <v>76</v>
      </c>
      <c r="F4228" s="21" t="inlineStr">
        <is>
          <t>English</t>
        </is>
      </c>
      <c r="G4228" s="21" t="inlineStr">
        <is>
          <t>R</t>
        </is>
      </c>
      <c r="H4228" s="22" t="n">
        <v>25529689.5</v>
      </c>
      <c r="I4228" s="22" t="n">
        <v>1100000</v>
      </c>
      <c r="J4228" s="21">
        <f>IF(OR(H4228="",H4228=25529689.5),"Yes","No")</f>
        <v/>
      </c>
      <c r="K4228" s="21">
        <f>IF(AND(D4228="USA",C4228&gt;=1980,J4228="No"),"Yes","No")</f>
        <v/>
      </c>
      <c r="L4228" s="26">
        <f>IF(J4228="Yes","",H4228-I4228)</f>
        <v/>
      </c>
      <c r="M4228" s="27">
        <f>IF(OR(J4228="Yes",I4228=0),"",H4228/I4228)</f>
        <v/>
      </c>
      <c r="N4228" s="21">
        <f>IF(J4228="Yes","",IF(H4228&gt;=I4228,1,0))</f>
        <v/>
      </c>
      <c r="O4228" s="21">
        <f>IF(I4228&lt;=5000000,"Under $5M",IF(I4228&lt;=20000000,"$5M-20M",IF(I4228&lt;=50000000,"$20M-50M",IF(I4228&lt;=100000000,"$50M-100M","$100M+"))))</f>
        <v/>
      </c>
      <c r="P4228" s="21">
        <f>IF(E4228&lt;=90,"90 or less",IF(E4228&lt;=105,"91-105",IF(E4228&lt;=120,"106-120",IF(E4228&lt;=140,"121-140","Over 140"))))</f>
        <v/>
      </c>
      <c r="Q4228" s="28">
        <f>INT(C4228/10)*10</f>
        <v/>
      </c>
    </row>
    <row r="4229">
      <c r="A4229" s="21" t="n">
        <v>4317</v>
      </c>
      <c r="B4229" s="21" t="inlineStr">
        <is>
          <t>The Way Way Back</t>
        </is>
      </c>
      <c r="C4229" s="21" t="n">
        <v>2013</v>
      </c>
      <c r="D4229" s="21" t="inlineStr">
        <is>
          <t>USA</t>
        </is>
      </c>
      <c r="E4229" s="21" t="n">
        <v>103</v>
      </c>
      <c r="F4229" s="21" t="inlineStr">
        <is>
          <t>English</t>
        </is>
      </c>
      <c r="G4229" s="21" t="inlineStr">
        <is>
          <t>PG-13</t>
        </is>
      </c>
      <c r="H4229" s="22" t="n">
        <v>21501098</v>
      </c>
      <c r="I4229" s="22" t="n">
        <v>5000000</v>
      </c>
      <c r="J4229" s="21">
        <f>IF(OR(H4229="",H4229=25529689.5),"Yes","No")</f>
        <v/>
      </c>
      <c r="K4229" s="21">
        <f>IF(AND(D4229="USA",C4229&gt;=1980,J4229="No"),"Yes","No")</f>
        <v/>
      </c>
      <c r="L4229" s="26">
        <f>IF(J4229="Yes","",H4229-I4229)</f>
        <v/>
      </c>
      <c r="M4229" s="27">
        <f>IF(OR(J4229="Yes",I4229=0),"",H4229/I4229)</f>
        <v/>
      </c>
      <c r="N4229" s="21">
        <f>IF(J4229="Yes","",IF(H4229&gt;=I4229,1,0))</f>
        <v/>
      </c>
      <c r="O4229" s="21">
        <f>IF(I4229&lt;=5000000,"Under $5M",IF(I4229&lt;=20000000,"$5M-20M",IF(I4229&lt;=50000000,"$20M-50M",IF(I4229&lt;=100000000,"$50M-100M","$100M+"))))</f>
        <v/>
      </c>
      <c r="P4229" s="21">
        <f>IF(E4229&lt;=90,"90 or less",IF(E4229&lt;=105,"91-105",IF(E4229&lt;=120,"106-120",IF(E4229&lt;=140,"121-140","Over 140"))))</f>
        <v/>
      </c>
      <c r="Q4229" s="28">
        <f>INT(C4229/10)*10</f>
        <v/>
      </c>
    </row>
    <row r="4230">
      <c r="A4230" s="21" t="n">
        <v>4318</v>
      </c>
      <c r="B4230" s="21" t="inlineStr">
        <is>
          <t>The Wolf of Wall Street</t>
        </is>
      </c>
      <c r="C4230" s="21" t="n">
        <v>2013</v>
      </c>
      <c r="D4230" s="21" t="inlineStr">
        <is>
          <t>USA</t>
        </is>
      </c>
      <c r="E4230" s="21" t="n">
        <v>240</v>
      </c>
      <c r="F4230" s="21" t="inlineStr">
        <is>
          <t>English</t>
        </is>
      </c>
      <c r="G4230" s="21" t="inlineStr">
        <is>
          <t>R</t>
        </is>
      </c>
      <c r="H4230" s="22" t="n">
        <v>116866727</v>
      </c>
      <c r="I4230" s="22" t="n">
        <v>100000000</v>
      </c>
      <c r="J4230" s="21">
        <f>IF(OR(H4230="",H4230=25529689.5),"Yes","No")</f>
        <v/>
      </c>
      <c r="K4230" s="21">
        <f>IF(AND(D4230="USA",C4230&gt;=1980,J4230="No"),"Yes","No")</f>
        <v/>
      </c>
      <c r="L4230" s="26">
        <f>IF(J4230="Yes","",H4230-I4230)</f>
        <v/>
      </c>
      <c r="M4230" s="27">
        <f>IF(OR(J4230="Yes",I4230=0),"",H4230/I4230)</f>
        <v/>
      </c>
      <c r="N4230" s="21">
        <f>IF(J4230="Yes","",IF(H4230&gt;=I4230,1,0))</f>
        <v/>
      </c>
      <c r="O4230" s="21">
        <f>IF(I4230&lt;=5000000,"Under $5M",IF(I4230&lt;=20000000,"$5M-20M",IF(I4230&lt;=50000000,"$20M-50M",IF(I4230&lt;=100000000,"$50M-100M","$100M+"))))</f>
        <v/>
      </c>
      <c r="P4230" s="21">
        <f>IF(E4230&lt;=90,"90 or less",IF(E4230&lt;=105,"91-105",IF(E4230&lt;=120,"106-120",IF(E4230&lt;=140,"121-140","Over 140"))))</f>
        <v/>
      </c>
      <c r="Q4230" s="28">
        <f>INT(C4230/10)*10</f>
        <v/>
      </c>
    </row>
    <row r="4231">
      <c r="A4231" s="21" t="n">
        <v>4319</v>
      </c>
      <c r="B4231" s="21" t="inlineStr">
        <is>
          <t>The Wolverine</t>
        </is>
      </c>
      <c r="C4231" s="21" t="n">
        <v>2013</v>
      </c>
      <c r="D4231" s="21" t="inlineStr">
        <is>
          <t>USA</t>
        </is>
      </c>
      <c r="E4231" s="21" t="n">
        <v>138</v>
      </c>
      <c r="F4231" s="21" t="inlineStr">
        <is>
          <t>English</t>
        </is>
      </c>
      <c r="G4231" s="21" t="inlineStr">
        <is>
          <t>PG-13</t>
        </is>
      </c>
      <c r="H4231" s="22" t="n">
        <v>132550960</v>
      </c>
      <c r="I4231" s="22" t="n">
        <v>120000000</v>
      </c>
      <c r="J4231" s="21">
        <f>IF(OR(H4231="",H4231=25529689.5),"Yes","No")</f>
        <v/>
      </c>
      <c r="K4231" s="21">
        <f>IF(AND(D4231="USA",C4231&gt;=1980,J4231="No"),"Yes","No")</f>
        <v/>
      </c>
      <c r="L4231" s="26">
        <f>IF(J4231="Yes","",H4231-I4231)</f>
        <v/>
      </c>
      <c r="M4231" s="27">
        <f>IF(OR(J4231="Yes",I4231=0),"",H4231/I4231)</f>
        <v/>
      </c>
      <c r="N4231" s="21">
        <f>IF(J4231="Yes","",IF(H4231&gt;=I4231,1,0))</f>
        <v/>
      </c>
      <c r="O4231" s="21">
        <f>IF(I4231&lt;=5000000,"Under $5M",IF(I4231&lt;=20000000,"$5M-20M",IF(I4231&lt;=50000000,"$20M-50M",IF(I4231&lt;=100000000,"$50M-100M","$100M+"))))</f>
        <v/>
      </c>
      <c r="P4231" s="21">
        <f>IF(E4231&lt;=90,"90 or less",IF(E4231&lt;=105,"91-105",IF(E4231&lt;=120,"106-120",IF(E4231&lt;=140,"121-140","Over 140"))))</f>
        <v/>
      </c>
      <c r="Q4231" s="28">
        <f>INT(C4231/10)*10</f>
        <v/>
      </c>
    </row>
    <row r="4232">
      <c r="A4232" s="21" t="n">
        <v>4320</v>
      </c>
      <c r="B4232" s="21" t="inlineStr">
        <is>
          <t>The World's End</t>
        </is>
      </c>
      <c r="C4232" s="21" t="n">
        <v>2013</v>
      </c>
      <c r="D4232" s="21" t="inlineStr">
        <is>
          <t>UK</t>
        </is>
      </c>
      <c r="E4232" s="21" t="n">
        <v>109</v>
      </c>
      <c r="F4232" s="21" t="inlineStr">
        <is>
          <t>English</t>
        </is>
      </c>
      <c r="G4232" s="21" t="inlineStr">
        <is>
          <t>R</t>
        </is>
      </c>
      <c r="H4232" s="22" t="n">
        <v>26003149</v>
      </c>
      <c r="I4232" s="22" t="n">
        <v>20000000</v>
      </c>
      <c r="J4232" s="21">
        <f>IF(OR(H4232="",H4232=25529689.5),"Yes","No")</f>
        <v/>
      </c>
      <c r="K4232" s="21">
        <f>IF(AND(D4232="USA",C4232&gt;=1980,J4232="No"),"Yes","No")</f>
        <v/>
      </c>
      <c r="L4232" s="26">
        <f>IF(J4232="Yes","",H4232-I4232)</f>
        <v/>
      </c>
      <c r="M4232" s="27">
        <f>IF(OR(J4232="Yes",I4232=0),"",H4232/I4232)</f>
        <v/>
      </c>
      <c r="N4232" s="21">
        <f>IF(J4232="Yes","",IF(H4232&gt;=I4232,1,0))</f>
        <v/>
      </c>
      <c r="O4232" s="21">
        <f>IF(I4232&lt;=5000000,"Under $5M",IF(I4232&lt;=20000000,"$5M-20M",IF(I4232&lt;=50000000,"$20M-50M",IF(I4232&lt;=100000000,"$50M-100M","$100M+"))))</f>
        <v/>
      </c>
      <c r="P4232" s="21">
        <f>IF(E4232&lt;=90,"90 or less",IF(E4232&lt;=105,"91-105",IF(E4232&lt;=120,"106-120",IF(E4232&lt;=140,"121-140","Over 140"))))</f>
        <v/>
      </c>
      <c r="Q4232" s="28">
        <f>INT(C4232/10)*10</f>
        <v/>
      </c>
    </row>
    <row r="4233">
      <c r="A4233" s="21" t="n">
        <v>4321</v>
      </c>
      <c r="B4233" s="21" t="inlineStr">
        <is>
          <t>The Young and Prodigious T.S. Spivet</t>
        </is>
      </c>
      <c r="C4233" s="21" t="n">
        <v>2013</v>
      </c>
      <c r="D4233" s="21" t="inlineStr">
        <is>
          <t>France</t>
        </is>
      </c>
      <c r="E4233" s="21" t="n">
        <v>105</v>
      </c>
      <c r="F4233" s="21" t="inlineStr">
        <is>
          <t>English</t>
        </is>
      </c>
      <c r="G4233" s="21" t="inlineStr">
        <is>
          <t>PG</t>
        </is>
      </c>
      <c r="H4233" s="22" t="n">
        <v>99462</v>
      </c>
      <c r="I4233" s="22" t="n">
        <v>33000000</v>
      </c>
      <c r="J4233" s="21">
        <f>IF(OR(H4233="",H4233=25529689.5),"Yes","No")</f>
        <v/>
      </c>
      <c r="K4233" s="21">
        <f>IF(AND(D4233="USA",C4233&gt;=1980,J4233="No"),"Yes","No")</f>
        <v/>
      </c>
      <c r="L4233" s="26">
        <f>IF(J4233="Yes","",H4233-I4233)</f>
        <v/>
      </c>
      <c r="M4233" s="27">
        <f>IF(OR(J4233="Yes",I4233=0),"",H4233/I4233)</f>
        <v/>
      </c>
      <c r="N4233" s="21">
        <f>IF(J4233="Yes","",IF(H4233&gt;=I4233,1,0))</f>
        <v/>
      </c>
      <c r="O4233" s="21">
        <f>IF(I4233&lt;=5000000,"Under $5M",IF(I4233&lt;=20000000,"$5M-20M",IF(I4233&lt;=50000000,"$20M-50M",IF(I4233&lt;=100000000,"$50M-100M","$100M+"))))</f>
        <v/>
      </c>
      <c r="P4233" s="21">
        <f>IF(E4233&lt;=90,"90 or less",IF(E4233&lt;=105,"91-105",IF(E4233&lt;=120,"106-120",IF(E4233&lt;=140,"121-140","Over 140"))))</f>
        <v/>
      </c>
      <c r="Q4233" s="28">
        <f>INT(C4233/10)*10</f>
        <v/>
      </c>
    </row>
    <row r="4234">
      <c r="A4234" s="21" t="n">
        <v>4322</v>
      </c>
      <c r="B4234" s="21" t="inlineStr">
        <is>
          <t>This Is Martin Bonner</t>
        </is>
      </c>
      <c r="C4234" s="21" t="n">
        <v>2013</v>
      </c>
      <c r="D4234" s="21" t="inlineStr">
        <is>
          <t>USA</t>
        </is>
      </c>
      <c r="E4234" s="21" t="n">
        <v>83</v>
      </c>
      <c r="F4234" s="21" t="inlineStr">
        <is>
          <t>English</t>
        </is>
      </c>
      <c r="G4234" s="21" t="inlineStr">
        <is>
          <t>R</t>
        </is>
      </c>
      <c r="H4234" s="22" t="n">
        <v>25529689.5</v>
      </c>
      <c r="I4234" s="22" t="n">
        <v>42000</v>
      </c>
      <c r="J4234" s="21">
        <f>IF(OR(H4234="",H4234=25529689.5),"Yes","No")</f>
        <v/>
      </c>
      <c r="K4234" s="21">
        <f>IF(AND(D4234="USA",C4234&gt;=1980,J4234="No"),"Yes","No")</f>
        <v/>
      </c>
      <c r="L4234" s="26">
        <f>IF(J4234="Yes","",H4234-I4234)</f>
        <v/>
      </c>
      <c r="M4234" s="27">
        <f>IF(OR(J4234="Yes",I4234=0),"",H4234/I4234)</f>
        <v/>
      </c>
      <c r="N4234" s="21">
        <f>IF(J4234="Yes","",IF(H4234&gt;=I4234,1,0))</f>
        <v/>
      </c>
      <c r="O4234" s="21">
        <f>IF(I4234&lt;=5000000,"Under $5M",IF(I4234&lt;=20000000,"$5M-20M",IF(I4234&lt;=50000000,"$20M-50M",IF(I4234&lt;=100000000,"$50M-100M","$100M+"))))</f>
        <v/>
      </c>
      <c r="P4234" s="21">
        <f>IF(E4234&lt;=90,"90 or less",IF(E4234&lt;=105,"91-105",IF(E4234&lt;=120,"106-120",IF(E4234&lt;=140,"121-140","Over 140"))))</f>
        <v/>
      </c>
      <c r="Q4234" s="28">
        <f>INT(C4234/10)*10</f>
        <v/>
      </c>
    </row>
    <row r="4235">
      <c r="A4235" s="21" t="n">
        <v>4323</v>
      </c>
      <c r="B4235" s="21" t="inlineStr">
        <is>
          <t>This Is the End</t>
        </is>
      </c>
      <c r="C4235" s="21" t="n">
        <v>2013</v>
      </c>
      <c r="D4235" s="21" t="inlineStr">
        <is>
          <t>USA</t>
        </is>
      </c>
      <c r="E4235" s="21" t="n">
        <v>107</v>
      </c>
      <c r="F4235" s="21" t="inlineStr">
        <is>
          <t>English</t>
        </is>
      </c>
      <c r="G4235" s="21" t="inlineStr">
        <is>
          <t>R</t>
        </is>
      </c>
      <c r="H4235" s="22" t="n">
        <v>101470202</v>
      </c>
      <c r="I4235" s="22" t="n">
        <v>32000000</v>
      </c>
      <c r="J4235" s="21">
        <f>IF(OR(H4235="",H4235=25529689.5),"Yes","No")</f>
        <v/>
      </c>
      <c r="K4235" s="21">
        <f>IF(AND(D4235="USA",C4235&gt;=1980,J4235="No"),"Yes","No")</f>
        <v/>
      </c>
      <c r="L4235" s="26">
        <f>IF(J4235="Yes","",H4235-I4235)</f>
        <v/>
      </c>
      <c r="M4235" s="27">
        <f>IF(OR(J4235="Yes",I4235=0),"",H4235/I4235)</f>
        <v/>
      </c>
      <c r="N4235" s="21">
        <f>IF(J4235="Yes","",IF(H4235&gt;=I4235,1,0))</f>
        <v/>
      </c>
      <c r="O4235" s="21">
        <f>IF(I4235&lt;=5000000,"Under $5M",IF(I4235&lt;=20000000,"$5M-20M",IF(I4235&lt;=50000000,"$20M-50M",IF(I4235&lt;=100000000,"$50M-100M","$100M+"))))</f>
        <v/>
      </c>
      <c r="P4235" s="21">
        <f>IF(E4235&lt;=90,"90 or less",IF(E4235&lt;=105,"91-105",IF(E4235&lt;=120,"106-120",IF(E4235&lt;=140,"121-140","Over 140"))))</f>
        <v/>
      </c>
      <c r="Q4235" s="28">
        <f>INT(C4235/10)*10</f>
        <v/>
      </c>
    </row>
    <row r="4236">
      <c r="A4236" s="21" t="n">
        <v>4324</v>
      </c>
      <c r="B4236" s="21" t="inlineStr">
        <is>
          <t>Thor: The Dark World</t>
        </is>
      </c>
      <c r="C4236" s="21" t="n">
        <v>2013</v>
      </c>
      <c r="D4236" s="21" t="inlineStr">
        <is>
          <t>USA</t>
        </is>
      </c>
      <c r="E4236" s="21" t="n">
        <v>112</v>
      </c>
      <c r="F4236" s="21" t="inlineStr">
        <is>
          <t>English</t>
        </is>
      </c>
      <c r="G4236" s="21" t="inlineStr">
        <is>
          <t>PG-13</t>
        </is>
      </c>
      <c r="H4236" s="22" t="n">
        <v>206360018</v>
      </c>
      <c r="I4236" s="22" t="n">
        <v>170000000</v>
      </c>
      <c r="J4236" s="21">
        <f>IF(OR(H4236="",H4236=25529689.5),"Yes","No")</f>
        <v/>
      </c>
      <c r="K4236" s="21">
        <f>IF(AND(D4236="USA",C4236&gt;=1980,J4236="No"),"Yes","No")</f>
        <v/>
      </c>
      <c r="L4236" s="26">
        <f>IF(J4236="Yes","",H4236-I4236)</f>
        <v/>
      </c>
      <c r="M4236" s="27">
        <f>IF(OR(J4236="Yes",I4236=0),"",H4236/I4236)</f>
        <v/>
      </c>
      <c r="N4236" s="21">
        <f>IF(J4236="Yes","",IF(H4236&gt;=I4236,1,0))</f>
        <v/>
      </c>
      <c r="O4236" s="21">
        <f>IF(I4236&lt;=5000000,"Under $5M",IF(I4236&lt;=20000000,"$5M-20M",IF(I4236&lt;=50000000,"$20M-50M",IF(I4236&lt;=100000000,"$50M-100M","$100M+"))))</f>
        <v/>
      </c>
      <c r="P4236" s="21">
        <f>IF(E4236&lt;=90,"90 or less",IF(E4236&lt;=105,"91-105",IF(E4236&lt;=120,"106-120",IF(E4236&lt;=140,"121-140","Over 140"))))</f>
        <v/>
      </c>
      <c r="Q4236" s="28">
        <f>INT(C4236/10)*10</f>
        <v/>
      </c>
    </row>
    <row r="4237">
      <c r="A4237" s="21" t="n">
        <v>4325</v>
      </c>
      <c r="B4237" s="21" t="inlineStr">
        <is>
          <t>Thunder and the House of Magic</t>
        </is>
      </c>
      <c r="C4237" s="21" t="n">
        <v>2013</v>
      </c>
      <c r="D4237" s="21" t="inlineStr">
        <is>
          <t>Belgium</t>
        </is>
      </c>
      <c r="E4237" s="21" t="n">
        <v>85</v>
      </c>
      <c r="F4237" s="21" t="inlineStr">
        <is>
          <t>English</t>
        </is>
      </c>
      <c r="G4237" s="21" t="n"/>
      <c r="H4237" s="22" t="n">
        <v>4091</v>
      </c>
      <c r="I4237" s="22" t="n">
        <v>34000000</v>
      </c>
      <c r="J4237" s="21">
        <f>IF(OR(H4237="",H4237=25529689.5),"Yes","No")</f>
        <v/>
      </c>
      <c r="K4237" s="21">
        <f>IF(AND(D4237="USA",C4237&gt;=1980,J4237="No"),"Yes","No")</f>
        <v/>
      </c>
      <c r="L4237" s="26">
        <f>IF(J4237="Yes","",H4237-I4237)</f>
        <v/>
      </c>
      <c r="M4237" s="27">
        <f>IF(OR(J4237="Yes",I4237=0),"",H4237/I4237)</f>
        <v/>
      </c>
      <c r="N4237" s="21">
        <f>IF(J4237="Yes","",IF(H4237&gt;=I4237,1,0))</f>
        <v/>
      </c>
      <c r="O4237" s="21">
        <f>IF(I4237&lt;=5000000,"Under $5M",IF(I4237&lt;=20000000,"$5M-20M",IF(I4237&lt;=50000000,"$20M-50M",IF(I4237&lt;=100000000,"$50M-100M","$100M+"))))</f>
        <v/>
      </c>
      <c r="P4237" s="21">
        <f>IF(E4237&lt;=90,"90 or less",IF(E4237&lt;=105,"91-105",IF(E4237&lt;=120,"106-120",IF(E4237&lt;=140,"121-140","Over 140"))))</f>
        <v/>
      </c>
      <c r="Q4237" s="28">
        <f>INT(C4237/10)*10</f>
        <v/>
      </c>
    </row>
    <row r="4238">
      <c r="A4238" s="21" t="n">
        <v>4326</v>
      </c>
      <c r="B4238" s="21" t="inlineStr">
        <is>
          <t>Trance</t>
        </is>
      </c>
      <c r="C4238" s="21" t="n">
        <v>2013</v>
      </c>
      <c r="D4238" s="21" t="inlineStr">
        <is>
          <t>UK</t>
        </is>
      </c>
      <c r="E4238" s="21" t="n">
        <v>101</v>
      </c>
      <c r="F4238" s="21" t="inlineStr">
        <is>
          <t>English</t>
        </is>
      </c>
      <c r="G4238" s="21" t="inlineStr">
        <is>
          <t>R</t>
        </is>
      </c>
      <c r="H4238" s="22" t="n">
        <v>2319187</v>
      </c>
      <c r="I4238" s="22" t="n">
        <v>20000000</v>
      </c>
      <c r="J4238" s="21">
        <f>IF(OR(H4238="",H4238=25529689.5),"Yes","No")</f>
        <v/>
      </c>
      <c r="K4238" s="21">
        <f>IF(AND(D4238="USA",C4238&gt;=1980,J4238="No"),"Yes","No")</f>
        <v/>
      </c>
      <c r="L4238" s="26">
        <f>IF(J4238="Yes","",H4238-I4238)</f>
        <v/>
      </c>
      <c r="M4238" s="27">
        <f>IF(OR(J4238="Yes",I4238=0),"",H4238/I4238)</f>
        <v/>
      </c>
      <c r="N4238" s="21">
        <f>IF(J4238="Yes","",IF(H4238&gt;=I4238,1,0))</f>
        <v/>
      </c>
      <c r="O4238" s="21">
        <f>IF(I4238&lt;=5000000,"Under $5M",IF(I4238&lt;=20000000,"$5M-20M",IF(I4238&lt;=50000000,"$20M-50M",IF(I4238&lt;=100000000,"$50M-100M","$100M+"))))</f>
        <v/>
      </c>
      <c r="P4238" s="21">
        <f>IF(E4238&lt;=90,"90 or less",IF(E4238&lt;=105,"91-105",IF(E4238&lt;=120,"106-120",IF(E4238&lt;=140,"121-140","Over 140"))))</f>
        <v/>
      </c>
      <c r="Q4238" s="28">
        <f>INT(C4238/10)*10</f>
        <v/>
      </c>
    </row>
    <row r="4239">
      <c r="A4239" s="21" t="n">
        <v>4328</v>
      </c>
      <c r="B4239" s="21" t="inlineStr">
        <is>
          <t>Treachery</t>
        </is>
      </c>
      <c r="C4239" s="21" t="n">
        <v>2013</v>
      </c>
      <c r="D4239" s="21" t="inlineStr">
        <is>
          <t>USA</t>
        </is>
      </c>
      <c r="E4239" s="21" t="n">
        <v>67</v>
      </c>
      <c r="F4239" s="21" t="inlineStr">
        <is>
          <t>English</t>
        </is>
      </c>
      <c r="G4239" s="21" t="n"/>
      <c r="H4239" s="22" t="n">
        <v>25529689.5</v>
      </c>
      <c r="I4239" s="22" t="n">
        <v>625000</v>
      </c>
      <c r="J4239" s="21">
        <f>IF(OR(H4239="",H4239=25529689.5),"Yes","No")</f>
        <v/>
      </c>
      <c r="K4239" s="21">
        <f>IF(AND(D4239="USA",C4239&gt;=1980,J4239="No"),"Yes","No")</f>
        <v/>
      </c>
      <c r="L4239" s="26">
        <f>IF(J4239="Yes","",H4239-I4239)</f>
        <v/>
      </c>
      <c r="M4239" s="27">
        <f>IF(OR(J4239="Yes",I4239=0),"",H4239/I4239)</f>
        <v/>
      </c>
      <c r="N4239" s="21">
        <f>IF(J4239="Yes","",IF(H4239&gt;=I4239,1,0))</f>
        <v/>
      </c>
      <c r="O4239" s="21">
        <f>IF(I4239&lt;=5000000,"Under $5M",IF(I4239&lt;=20000000,"$5M-20M",IF(I4239&lt;=50000000,"$20M-50M",IF(I4239&lt;=100000000,"$50M-100M","$100M+"))))</f>
        <v/>
      </c>
      <c r="P4239" s="21">
        <f>IF(E4239&lt;=90,"90 or less",IF(E4239&lt;=105,"91-105",IF(E4239&lt;=120,"106-120",IF(E4239&lt;=140,"121-140","Over 140"))))</f>
        <v/>
      </c>
      <c r="Q4239" s="28">
        <f>INT(C4239/10)*10</f>
        <v/>
      </c>
    </row>
    <row r="4240">
      <c r="A4240" s="21" t="n">
        <v>4329</v>
      </c>
      <c r="B4240" s="21" t="inlineStr">
        <is>
          <t>Treading Water</t>
        </is>
      </c>
      <c r="C4240" s="21" t="n">
        <v>2013</v>
      </c>
      <c r="D4240" s="21" t="inlineStr">
        <is>
          <t>Mexico</t>
        </is>
      </c>
      <c r="E4240" s="21" t="n">
        <v>92</v>
      </c>
      <c r="F4240" s="21" t="inlineStr">
        <is>
          <t>English</t>
        </is>
      </c>
      <c r="G4240" s="21" t="n"/>
      <c r="H4240" s="22" t="n">
        <v>25529689.5</v>
      </c>
      <c r="I4240" s="22" t="n">
        <v>4700000</v>
      </c>
      <c r="J4240" s="21">
        <f>IF(OR(H4240="",H4240=25529689.5),"Yes","No")</f>
        <v/>
      </c>
      <c r="K4240" s="21">
        <f>IF(AND(D4240="USA",C4240&gt;=1980,J4240="No"),"Yes","No")</f>
        <v/>
      </c>
      <c r="L4240" s="26">
        <f>IF(J4240="Yes","",H4240-I4240)</f>
        <v/>
      </c>
      <c r="M4240" s="27">
        <f>IF(OR(J4240="Yes",I4240=0),"",H4240/I4240)</f>
        <v/>
      </c>
      <c r="N4240" s="21">
        <f>IF(J4240="Yes","",IF(H4240&gt;=I4240,1,0))</f>
        <v/>
      </c>
      <c r="O4240" s="21">
        <f>IF(I4240&lt;=5000000,"Under $5M",IF(I4240&lt;=20000000,"$5M-20M",IF(I4240&lt;=50000000,"$20M-50M",IF(I4240&lt;=100000000,"$50M-100M","$100M+"))))</f>
        <v/>
      </c>
      <c r="P4240" s="21">
        <f>IF(E4240&lt;=90,"90 or less",IF(E4240&lt;=105,"91-105",IF(E4240&lt;=120,"106-120",IF(E4240&lt;=140,"121-140","Over 140"))))</f>
        <v/>
      </c>
      <c r="Q4240" s="28">
        <f>INT(C4240/10)*10</f>
        <v/>
      </c>
    </row>
    <row r="4241">
      <c r="A4241" s="21" t="n">
        <v>4330</v>
      </c>
      <c r="B4241" s="21" t="inlineStr">
        <is>
          <t>Turbo</t>
        </is>
      </c>
      <c r="C4241" s="21" t="n">
        <v>2013</v>
      </c>
      <c r="D4241" s="21" t="inlineStr">
        <is>
          <t>USA</t>
        </is>
      </c>
      <c r="E4241" s="21" t="n">
        <v>96</v>
      </c>
      <c r="F4241" s="21" t="inlineStr">
        <is>
          <t>English</t>
        </is>
      </c>
      <c r="G4241" s="21" t="inlineStr">
        <is>
          <t>PG</t>
        </is>
      </c>
      <c r="H4241" s="22" t="n">
        <v>83024900</v>
      </c>
      <c r="I4241" s="22" t="n">
        <v>135000000</v>
      </c>
      <c r="J4241" s="21">
        <f>IF(OR(H4241="",H4241=25529689.5),"Yes","No")</f>
        <v/>
      </c>
      <c r="K4241" s="21">
        <f>IF(AND(D4241="USA",C4241&gt;=1980,J4241="No"),"Yes","No")</f>
        <v/>
      </c>
      <c r="L4241" s="26">
        <f>IF(J4241="Yes","",H4241-I4241)</f>
        <v/>
      </c>
      <c r="M4241" s="27">
        <f>IF(OR(J4241="Yes",I4241=0),"",H4241/I4241)</f>
        <v/>
      </c>
      <c r="N4241" s="21">
        <f>IF(J4241="Yes","",IF(H4241&gt;=I4241,1,0))</f>
        <v/>
      </c>
      <c r="O4241" s="21">
        <f>IF(I4241&lt;=5000000,"Under $5M",IF(I4241&lt;=20000000,"$5M-20M",IF(I4241&lt;=50000000,"$20M-50M",IF(I4241&lt;=100000000,"$50M-100M","$100M+"))))</f>
        <v/>
      </c>
      <c r="P4241" s="21">
        <f>IF(E4241&lt;=90,"90 or less",IF(E4241&lt;=105,"91-105",IF(E4241&lt;=120,"106-120",IF(E4241&lt;=140,"121-140","Over 140"))))</f>
        <v/>
      </c>
      <c r="Q4241" s="28">
        <f>INT(C4241/10)*10</f>
        <v/>
      </c>
    </row>
    <row r="4242">
      <c r="A4242" s="21" t="n">
        <v>4331</v>
      </c>
      <c r="B4242" s="21" t="inlineStr">
        <is>
          <t>Under the Skin</t>
        </is>
      </c>
      <c r="C4242" s="21" t="n">
        <v>2013</v>
      </c>
      <c r="D4242" s="21" t="inlineStr">
        <is>
          <t>UK</t>
        </is>
      </c>
      <c r="E4242" s="21" t="n">
        <v>108</v>
      </c>
      <c r="F4242" s="21" t="inlineStr">
        <is>
          <t>English</t>
        </is>
      </c>
      <c r="G4242" s="21" t="inlineStr">
        <is>
          <t>R</t>
        </is>
      </c>
      <c r="H4242" s="22" t="n">
        <v>2605039</v>
      </c>
      <c r="I4242" s="22" t="n">
        <v>20000000</v>
      </c>
      <c r="J4242" s="21">
        <f>IF(OR(H4242="",H4242=25529689.5),"Yes","No")</f>
        <v/>
      </c>
      <c r="K4242" s="21">
        <f>IF(AND(D4242="USA",C4242&gt;=1980,J4242="No"),"Yes","No")</f>
        <v/>
      </c>
      <c r="L4242" s="26">
        <f>IF(J4242="Yes","",H4242-I4242)</f>
        <v/>
      </c>
      <c r="M4242" s="27">
        <f>IF(OR(J4242="Yes",I4242=0),"",H4242/I4242)</f>
        <v/>
      </c>
      <c r="N4242" s="21">
        <f>IF(J4242="Yes","",IF(H4242&gt;=I4242,1,0))</f>
        <v/>
      </c>
      <c r="O4242" s="21">
        <f>IF(I4242&lt;=5000000,"Under $5M",IF(I4242&lt;=20000000,"$5M-20M",IF(I4242&lt;=50000000,"$20M-50M",IF(I4242&lt;=100000000,"$50M-100M","$100M+"))))</f>
        <v/>
      </c>
      <c r="P4242" s="21">
        <f>IF(E4242&lt;=90,"90 or less",IF(E4242&lt;=105,"91-105",IF(E4242&lt;=120,"106-120",IF(E4242&lt;=140,"121-140","Over 140"))))</f>
        <v/>
      </c>
      <c r="Q4242" s="28">
        <f>INT(C4242/10)*10</f>
        <v/>
      </c>
    </row>
    <row r="4243">
      <c r="A4243" s="21" t="n">
        <v>4332</v>
      </c>
      <c r="B4243" s="21" t="inlineStr">
        <is>
          <t>Underdogs</t>
        </is>
      </c>
      <c r="C4243" s="21" t="n">
        <v>2013</v>
      </c>
      <c r="D4243" s="21" t="inlineStr">
        <is>
          <t>Spain</t>
        </is>
      </c>
      <c r="E4243" s="21" t="n">
        <v>106</v>
      </c>
      <c r="F4243" s="21" t="inlineStr">
        <is>
          <t>Spanish</t>
        </is>
      </c>
      <c r="G4243" s="21" t="inlineStr">
        <is>
          <t>PG</t>
        </is>
      </c>
      <c r="H4243" s="22" t="n">
        <v>25529689.5</v>
      </c>
      <c r="I4243" s="22" t="n">
        <v>22000000</v>
      </c>
      <c r="J4243" s="21">
        <f>IF(OR(H4243="",H4243=25529689.5),"Yes","No")</f>
        <v/>
      </c>
      <c r="K4243" s="21">
        <f>IF(AND(D4243="USA",C4243&gt;=1980,J4243="No"),"Yes","No")</f>
        <v/>
      </c>
      <c r="L4243" s="26">
        <f>IF(J4243="Yes","",H4243-I4243)</f>
        <v/>
      </c>
      <c r="M4243" s="27">
        <f>IF(OR(J4243="Yes",I4243=0),"",H4243/I4243)</f>
        <v/>
      </c>
      <c r="N4243" s="21">
        <f>IF(J4243="Yes","",IF(H4243&gt;=I4243,1,0))</f>
        <v/>
      </c>
      <c r="O4243" s="21">
        <f>IF(I4243&lt;=5000000,"Under $5M",IF(I4243&lt;=20000000,"$5M-20M",IF(I4243&lt;=50000000,"$20M-50M",IF(I4243&lt;=100000000,"$50M-100M","$100M+"))))</f>
        <v/>
      </c>
      <c r="P4243" s="21">
        <f>IF(E4243&lt;=90,"90 or less",IF(E4243&lt;=105,"91-105",IF(E4243&lt;=120,"106-120",IF(E4243&lt;=140,"121-140","Over 140"))))</f>
        <v/>
      </c>
      <c r="Q4243" s="28">
        <f>INT(C4243/10)*10</f>
        <v/>
      </c>
    </row>
    <row r="4244">
      <c r="A4244" s="21" t="n">
        <v>4333</v>
      </c>
      <c r="B4244" s="21" t="inlineStr">
        <is>
          <t>UnDivided</t>
        </is>
      </c>
      <c r="C4244" s="21" t="n">
        <v>2013</v>
      </c>
      <c r="D4244" s="21" t="inlineStr">
        <is>
          <t>USA</t>
        </is>
      </c>
      <c r="E4244" s="21" t="n">
        <v>66</v>
      </c>
      <c r="F4244" s="21" t="inlineStr">
        <is>
          <t>English</t>
        </is>
      </c>
      <c r="G4244" s="21" t="inlineStr">
        <is>
          <t>PG</t>
        </is>
      </c>
      <c r="H4244" s="22" t="n">
        <v>25529689.5</v>
      </c>
      <c r="I4244" s="22" t="n">
        <v>250000</v>
      </c>
      <c r="J4244" s="21">
        <f>IF(OR(H4244="",H4244=25529689.5),"Yes","No")</f>
        <v/>
      </c>
      <c r="K4244" s="21">
        <f>IF(AND(D4244="USA",C4244&gt;=1980,J4244="No"),"Yes","No")</f>
        <v/>
      </c>
      <c r="L4244" s="26">
        <f>IF(J4244="Yes","",H4244-I4244)</f>
        <v/>
      </c>
      <c r="M4244" s="27">
        <f>IF(OR(J4244="Yes",I4244=0),"",H4244/I4244)</f>
        <v/>
      </c>
      <c r="N4244" s="21">
        <f>IF(J4244="Yes","",IF(H4244&gt;=I4244,1,0))</f>
        <v/>
      </c>
      <c r="O4244" s="21">
        <f>IF(I4244&lt;=5000000,"Under $5M",IF(I4244&lt;=20000000,"$5M-20M",IF(I4244&lt;=50000000,"$20M-50M",IF(I4244&lt;=100000000,"$50M-100M","$100M+"))))</f>
        <v/>
      </c>
      <c r="P4244" s="21">
        <f>IF(E4244&lt;=90,"90 or less",IF(E4244&lt;=105,"91-105",IF(E4244&lt;=120,"106-120",IF(E4244&lt;=140,"121-140","Over 140"))))</f>
        <v/>
      </c>
      <c r="Q4244" s="28">
        <f>INT(C4244/10)*10</f>
        <v/>
      </c>
    </row>
    <row r="4245">
      <c r="A4245" s="21" t="n">
        <v>4334</v>
      </c>
      <c r="B4245" s="21" t="inlineStr">
        <is>
          <t>Walking with Dinosaurs 3D</t>
        </is>
      </c>
      <c r="C4245" s="21" t="n">
        <v>2013</v>
      </c>
      <c r="D4245" s="21" t="inlineStr">
        <is>
          <t>USA</t>
        </is>
      </c>
      <c r="E4245" s="21" t="n">
        <v>87</v>
      </c>
      <c r="F4245" s="21" t="inlineStr">
        <is>
          <t>English</t>
        </is>
      </c>
      <c r="G4245" s="21" t="inlineStr">
        <is>
          <t>PG</t>
        </is>
      </c>
      <c r="H4245" s="22" t="n">
        <v>36073232</v>
      </c>
      <c r="I4245" s="22" t="n">
        <v>80000000</v>
      </c>
      <c r="J4245" s="21">
        <f>IF(OR(H4245="",H4245=25529689.5),"Yes","No")</f>
        <v/>
      </c>
      <c r="K4245" s="21">
        <f>IF(AND(D4245="USA",C4245&gt;=1980,J4245="No"),"Yes","No")</f>
        <v/>
      </c>
      <c r="L4245" s="26">
        <f>IF(J4245="Yes","",H4245-I4245)</f>
        <v/>
      </c>
      <c r="M4245" s="27">
        <f>IF(OR(J4245="Yes",I4245=0),"",H4245/I4245)</f>
        <v/>
      </c>
      <c r="N4245" s="21">
        <f>IF(J4245="Yes","",IF(H4245&gt;=I4245,1,0))</f>
        <v/>
      </c>
      <c r="O4245" s="21">
        <f>IF(I4245&lt;=5000000,"Under $5M",IF(I4245&lt;=20000000,"$5M-20M",IF(I4245&lt;=50000000,"$20M-50M",IF(I4245&lt;=100000000,"$50M-100M","$100M+"))))</f>
        <v/>
      </c>
      <c r="P4245" s="21">
        <f>IF(E4245&lt;=90,"90 or less",IF(E4245&lt;=105,"91-105",IF(E4245&lt;=120,"106-120",IF(E4245&lt;=140,"121-140","Over 140"))))</f>
        <v/>
      </c>
      <c r="Q4245" s="28">
        <f>INT(C4245/10)*10</f>
        <v/>
      </c>
    </row>
    <row r="4246">
      <c r="A4246" s="21" t="n">
        <v>4335</v>
      </c>
      <c r="B4246" s="21" t="inlineStr">
        <is>
          <t>Warm Bodies</t>
        </is>
      </c>
      <c r="C4246" s="21" t="n">
        <v>2013</v>
      </c>
      <c r="D4246" s="21" t="inlineStr">
        <is>
          <t>USA</t>
        </is>
      </c>
      <c r="E4246" s="21" t="n">
        <v>98</v>
      </c>
      <c r="F4246" s="21" t="inlineStr">
        <is>
          <t>English</t>
        </is>
      </c>
      <c r="G4246" s="21" t="inlineStr">
        <is>
          <t>PG-13</t>
        </is>
      </c>
      <c r="H4246" s="22" t="n">
        <v>66359959</v>
      </c>
      <c r="I4246" s="22" t="n">
        <v>35000000</v>
      </c>
      <c r="J4246" s="21">
        <f>IF(OR(H4246="",H4246=25529689.5),"Yes","No")</f>
        <v/>
      </c>
      <c r="K4246" s="21">
        <f>IF(AND(D4246="USA",C4246&gt;=1980,J4246="No"),"Yes","No")</f>
        <v/>
      </c>
      <c r="L4246" s="26">
        <f>IF(J4246="Yes","",H4246-I4246)</f>
        <v/>
      </c>
      <c r="M4246" s="27">
        <f>IF(OR(J4246="Yes",I4246=0),"",H4246/I4246)</f>
        <v/>
      </c>
      <c r="N4246" s="21">
        <f>IF(J4246="Yes","",IF(H4246&gt;=I4246,1,0))</f>
        <v/>
      </c>
      <c r="O4246" s="21">
        <f>IF(I4246&lt;=5000000,"Under $5M",IF(I4246&lt;=20000000,"$5M-20M",IF(I4246&lt;=50000000,"$20M-50M",IF(I4246&lt;=100000000,"$50M-100M","$100M+"))))</f>
        <v/>
      </c>
      <c r="P4246" s="21">
        <f>IF(E4246&lt;=90,"90 or less",IF(E4246&lt;=105,"91-105",IF(E4246&lt;=120,"106-120",IF(E4246&lt;=140,"121-140","Over 140"))))</f>
        <v/>
      </c>
      <c r="Q4246" s="28">
        <f>INT(C4246/10)*10</f>
        <v/>
      </c>
    </row>
    <row r="4247">
      <c r="A4247" s="21" t="n">
        <v>4336</v>
      </c>
      <c r="B4247" s="21" t="inlineStr">
        <is>
          <t>Water &amp; Power</t>
        </is>
      </c>
      <c r="C4247" s="21" t="n">
        <v>2013</v>
      </c>
      <c r="D4247" s="21" t="inlineStr">
        <is>
          <t>USA</t>
        </is>
      </c>
      <c r="E4247" s="21" t="n">
        <v>88</v>
      </c>
      <c r="F4247" s="21" t="inlineStr">
        <is>
          <t>English</t>
        </is>
      </c>
      <c r="G4247" s="21" t="inlineStr">
        <is>
          <t>Not Rated</t>
        </is>
      </c>
      <c r="H4247" s="22" t="n">
        <v>79043</v>
      </c>
      <c r="I4247" s="22" t="n">
        <v>20000000</v>
      </c>
      <c r="J4247" s="21">
        <f>IF(OR(H4247="",H4247=25529689.5),"Yes","No")</f>
        <v/>
      </c>
      <c r="K4247" s="21">
        <f>IF(AND(D4247="USA",C4247&gt;=1980,J4247="No"),"Yes","No")</f>
        <v/>
      </c>
      <c r="L4247" s="26">
        <f>IF(J4247="Yes","",H4247-I4247)</f>
        <v/>
      </c>
      <c r="M4247" s="27">
        <f>IF(OR(J4247="Yes",I4247=0),"",H4247/I4247)</f>
        <v/>
      </c>
      <c r="N4247" s="21">
        <f>IF(J4247="Yes","",IF(H4247&gt;=I4247,1,0))</f>
        <v/>
      </c>
      <c r="O4247" s="21">
        <f>IF(I4247&lt;=5000000,"Under $5M",IF(I4247&lt;=20000000,"$5M-20M",IF(I4247&lt;=50000000,"$20M-50M",IF(I4247&lt;=100000000,"$50M-100M","$100M+"))))</f>
        <v/>
      </c>
      <c r="P4247" s="21">
        <f>IF(E4247&lt;=90,"90 or less",IF(E4247&lt;=105,"91-105",IF(E4247&lt;=120,"106-120",IF(E4247&lt;=140,"121-140","Over 140"))))</f>
        <v/>
      </c>
      <c r="Q4247" s="28">
        <f>INT(C4247/10)*10</f>
        <v/>
      </c>
    </row>
    <row r="4248">
      <c r="A4248" s="21" t="n">
        <v>4337</v>
      </c>
      <c r="B4248" s="21" t="inlineStr">
        <is>
          <t>We're the Millers</t>
        </is>
      </c>
      <c r="C4248" s="21" t="n">
        <v>2013</v>
      </c>
      <c r="D4248" s="21" t="inlineStr">
        <is>
          <t>USA</t>
        </is>
      </c>
      <c r="E4248" s="21" t="n">
        <v>118</v>
      </c>
      <c r="F4248" s="21" t="inlineStr">
        <is>
          <t>English</t>
        </is>
      </c>
      <c r="G4248" s="21" t="inlineStr">
        <is>
          <t>R</t>
        </is>
      </c>
      <c r="H4248" s="22" t="n">
        <v>150368971</v>
      </c>
      <c r="I4248" s="22" t="n">
        <v>37000000</v>
      </c>
      <c r="J4248" s="21">
        <f>IF(OR(H4248="",H4248=25529689.5),"Yes","No")</f>
        <v/>
      </c>
      <c r="K4248" s="21">
        <f>IF(AND(D4248="USA",C4248&gt;=1980,J4248="No"),"Yes","No")</f>
        <v/>
      </c>
      <c r="L4248" s="26">
        <f>IF(J4248="Yes","",H4248-I4248)</f>
        <v/>
      </c>
      <c r="M4248" s="27">
        <f>IF(OR(J4248="Yes",I4248=0),"",H4248/I4248)</f>
        <v/>
      </c>
      <c r="N4248" s="21">
        <f>IF(J4248="Yes","",IF(H4248&gt;=I4248,1,0))</f>
        <v/>
      </c>
      <c r="O4248" s="21">
        <f>IF(I4248&lt;=5000000,"Under $5M",IF(I4248&lt;=20000000,"$5M-20M",IF(I4248&lt;=50000000,"$20M-50M",IF(I4248&lt;=100000000,"$50M-100M","$100M+"))))</f>
        <v/>
      </c>
      <c r="P4248" s="21">
        <f>IF(E4248&lt;=90,"90 or less",IF(E4248&lt;=105,"91-105",IF(E4248&lt;=120,"106-120",IF(E4248&lt;=140,"121-140","Over 140"))))</f>
        <v/>
      </c>
      <c r="Q4248" s="28">
        <f>INT(C4248/10)*10</f>
        <v/>
      </c>
    </row>
    <row r="4249">
      <c r="A4249" s="21" t="n">
        <v>4338</v>
      </c>
      <c r="B4249" s="21" t="inlineStr">
        <is>
          <t>White House Down</t>
        </is>
      </c>
      <c r="C4249" s="21" t="n">
        <v>2013</v>
      </c>
      <c r="D4249" s="21" t="inlineStr">
        <is>
          <t>USA</t>
        </is>
      </c>
      <c r="E4249" s="21" t="n">
        <v>131</v>
      </c>
      <c r="F4249" s="21" t="inlineStr">
        <is>
          <t>English</t>
        </is>
      </c>
      <c r="G4249" s="21" t="inlineStr">
        <is>
          <t>PG-13</t>
        </is>
      </c>
      <c r="H4249" s="22" t="n">
        <v>73103784</v>
      </c>
      <c r="I4249" s="22" t="n">
        <v>150000000</v>
      </c>
      <c r="J4249" s="21">
        <f>IF(OR(H4249="",H4249=25529689.5),"Yes","No")</f>
        <v/>
      </c>
      <c r="K4249" s="21">
        <f>IF(AND(D4249="USA",C4249&gt;=1980,J4249="No"),"Yes","No")</f>
        <v/>
      </c>
      <c r="L4249" s="26">
        <f>IF(J4249="Yes","",H4249-I4249)</f>
        <v/>
      </c>
      <c r="M4249" s="27">
        <f>IF(OR(J4249="Yes",I4249=0),"",H4249/I4249)</f>
        <v/>
      </c>
      <c r="N4249" s="21">
        <f>IF(J4249="Yes","",IF(H4249&gt;=I4249,1,0))</f>
        <v/>
      </c>
      <c r="O4249" s="21">
        <f>IF(I4249&lt;=5000000,"Under $5M",IF(I4249&lt;=20000000,"$5M-20M",IF(I4249&lt;=50000000,"$20M-50M",IF(I4249&lt;=100000000,"$50M-100M","$100M+"))))</f>
        <v/>
      </c>
      <c r="P4249" s="21">
        <f>IF(E4249&lt;=90,"90 or less",IF(E4249&lt;=105,"91-105",IF(E4249&lt;=120,"106-120",IF(E4249&lt;=140,"121-140","Over 140"))))</f>
        <v/>
      </c>
      <c r="Q4249" s="28">
        <f>INT(C4249/10)*10</f>
        <v/>
      </c>
    </row>
    <row r="4250">
      <c r="A4250" s="21" t="n">
        <v>4339</v>
      </c>
      <c r="B4250" s="21" t="inlineStr">
        <is>
          <t>World War Z</t>
        </is>
      </c>
      <c r="C4250" s="21" t="n">
        <v>2013</v>
      </c>
      <c r="D4250" s="21" t="inlineStr">
        <is>
          <t>USA</t>
        </is>
      </c>
      <c r="E4250" s="21" t="n">
        <v>123</v>
      </c>
      <c r="F4250" s="21" t="inlineStr">
        <is>
          <t>English</t>
        </is>
      </c>
      <c r="G4250" s="21" t="inlineStr">
        <is>
          <t>PG-13</t>
        </is>
      </c>
      <c r="H4250" s="22" t="n">
        <v>202351611</v>
      </c>
      <c r="I4250" s="22" t="n">
        <v>190000000</v>
      </c>
      <c r="J4250" s="21">
        <f>IF(OR(H4250="",H4250=25529689.5),"Yes","No")</f>
        <v/>
      </c>
      <c r="K4250" s="21">
        <f>IF(AND(D4250="USA",C4250&gt;=1980,J4250="No"),"Yes","No")</f>
        <v/>
      </c>
      <c r="L4250" s="26">
        <f>IF(J4250="Yes","",H4250-I4250)</f>
        <v/>
      </c>
      <c r="M4250" s="27">
        <f>IF(OR(J4250="Yes",I4250=0),"",H4250/I4250)</f>
        <v/>
      </c>
      <c r="N4250" s="21">
        <f>IF(J4250="Yes","",IF(H4250&gt;=I4250,1,0))</f>
        <v/>
      </c>
      <c r="O4250" s="21">
        <f>IF(I4250&lt;=5000000,"Under $5M",IF(I4250&lt;=20000000,"$5M-20M",IF(I4250&lt;=50000000,"$20M-50M",IF(I4250&lt;=100000000,"$50M-100M","$100M+"))))</f>
        <v/>
      </c>
      <c r="P4250" s="21">
        <f>IF(E4250&lt;=90,"90 or less",IF(E4250&lt;=105,"91-105",IF(E4250&lt;=120,"106-120",IF(E4250&lt;=140,"121-140","Over 140"))))</f>
        <v/>
      </c>
      <c r="Q4250" s="28">
        <f>INT(C4250/10)*10</f>
        <v/>
      </c>
    </row>
    <row r="4251">
      <c r="A4251" s="21" t="n">
        <v>4340</v>
      </c>
      <c r="B4251" s="21" t="inlineStr">
        <is>
          <t>Yeh Jawaani Hai Deewani</t>
        </is>
      </c>
      <c r="C4251" s="21" t="n">
        <v>2013</v>
      </c>
      <c r="D4251" s="21" t="inlineStr">
        <is>
          <t>India</t>
        </is>
      </c>
      <c r="E4251" s="21" t="n">
        <v>160</v>
      </c>
      <c r="F4251" s="21" t="inlineStr">
        <is>
          <t>Hindi</t>
        </is>
      </c>
      <c r="G4251" s="21" t="inlineStr">
        <is>
          <t>Not Rated</t>
        </is>
      </c>
      <c r="H4251" s="22" t="n">
        <v>3827466</v>
      </c>
      <c r="I4251" s="22" t="n">
        <v>20000000</v>
      </c>
      <c r="J4251" s="21">
        <f>IF(OR(H4251="",H4251=25529689.5),"Yes","No")</f>
        <v/>
      </c>
      <c r="K4251" s="21">
        <f>IF(AND(D4251="USA",C4251&gt;=1980,J4251="No"),"Yes","No")</f>
        <v/>
      </c>
      <c r="L4251" s="26">
        <f>IF(J4251="Yes","",H4251-I4251)</f>
        <v/>
      </c>
      <c r="M4251" s="27">
        <f>IF(OR(J4251="Yes",I4251=0),"",H4251/I4251)</f>
        <v/>
      </c>
      <c r="N4251" s="21">
        <f>IF(J4251="Yes","",IF(H4251&gt;=I4251,1,0))</f>
        <v/>
      </c>
      <c r="O4251" s="21">
        <f>IF(I4251&lt;=5000000,"Under $5M",IF(I4251&lt;=20000000,"$5M-20M",IF(I4251&lt;=50000000,"$20M-50M",IF(I4251&lt;=100000000,"$50M-100M","$100M+"))))</f>
        <v/>
      </c>
      <c r="P4251" s="21">
        <f>IF(E4251&lt;=90,"90 or less",IF(E4251&lt;=105,"91-105",IF(E4251&lt;=120,"106-120",IF(E4251&lt;=140,"121-140","Over 140"))))</f>
        <v/>
      </c>
      <c r="Q4251" s="28">
        <f>INT(C4251/10)*10</f>
        <v/>
      </c>
    </row>
    <row r="4252">
      <c r="A4252" s="21" t="n">
        <v>4341</v>
      </c>
      <c r="B4252" s="21" t="inlineStr">
        <is>
          <t>Zombie Hunter</t>
        </is>
      </c>
      <c r="C4252" s="21" t="n">
        <v>2013</v>
      </c>
      <c r="D4252" s="21" t="inlineStr">
        <is>
          <t>USA</t>
        </is>
      </c>
      <c r="E4252" s="21" t="n">
        <v>93</v>
      </c>
      <c r="F4252" s="21" t="inlineStr">
        <is>
          <t>English</t>
        </is>
      </c>
      <c r="G4252" s="21" t="inlineStr">
        <is>
          <t>Not Rated</t>
        </is>
      </c>
      <c r="H4252" s="22" t="n">
        <v>25529689.5</v>
      </c>
      <c r="I4252" s="22" t="n">
        <v>1000000</v>
      </c>
      <c r="J4252" s="21">
        <f>IF(OR(H4252="",H4252=25529689.5),"Yes","No")</f>
        <v/>
      </c>
      <c r="K4252" s="21">
        <f>IF(AND(D4252="USA",C4252&gt;=1980,J4252="No"),"Yes","No")</f>
        <v/>
      </c>
      <c r="L4252" s="26">
        <f>IF(J4252="Yes","",H4252-I4252)</f>
        <v/>
      </c>
      <c r="M4252" s="27">
        <f>IF(OR(J4252="Yes",I4252=0),"",H4252/I4252)</f>
        <v/>
      </c>
      <c r="N4252" s="21">
        <f>IF(J4252="Yes","",IF(H4252&gt;=I4252,1,0))</f>
        <v/>
      </c>
      <c r="O4252" s="21">
        <f>IF(I4252&lt;=5000000,"Under $5M",IF(I4252&lt;=20000000,"$5M-20M",IF(I4252&lt;=50000000,"$20M-50M",IF(I4252&lt;=100000000,"$50M-100M","$100M+"))))</f>
        <v/>
      </c>
      <c r="P4252" s="21">
        <f>IF(E4252&lt;=90,"90 or less",IF(E4252&lt;=105,"91-105",IF(E4252&lt;=120,"106-120",IF(E4252&lt;=140,"121-140","Over 140"))))</f>
        <v/>
      </c>
      <c r="Q4252" s="28">
        <f>INT(C4252/10)*10</f>
        <v/>
      </c>
    </row>
    <row r="4253">
      <c r="A4253" s="21" t="n">
        <v>4342</v>
      </c>
      <c r="B4253" s="21" t="inlineStr">
        <is>
          <t>Zulu</t>
        </is>
      </c>
      <c r="C4253" s="21" t="n">
        <v>2013</v>
      </c>
      <c r="D4253" s="21" t="inlineStr">
        <is>
          <t>France</t>
        </is>
      </c>
      <c r="E4253" s="21" t="n">
        <v>110</v>
      </c>
      <c r="F4253" s="21" t="inlineStr">
        <is>
          <t>English</t>
        </is>
      </c>
      <c r="G4253" s="21" t="inlineStr">
        <is>
          <t>R</t>
        </is>
      </c>
      <c r="H4253" s="22" t="n">
        <v>25529689.5</v>
      </c>
      <c r="I4253" s="22" t="n">
        <v>16000000</v>
      </c>
      <c r="J4253" s="21">
        <f>IF(OR(H4253="",H4253=25529689.5),"Yes","No")</f>
        <v/>
      </c>
      <c r="K4253" s="21">
        <f>IF(AND(D4253="USA",C4253&gt;=1980,J4253="No"),"Yes","No")</f>
        <v/>
      </c>
      <c r="L4253" s="26">
        <f>IF(J4253="Yes","",H4253-I4253)</f>
        <v/>
      </c>
      <c r="M4253" s="27">
        <f>IF(OR(J4253="Yes",I4253=0),"",H4253/I4253)</f>
        <v/>
      </c>
      <c r="N4253" s="21">
        <f>IF(J4253="Yes","",IF(H4253&gt;=I4253,1,0))</f>
        <v/>
      </c>
      <c r="O4253" s="21">
        <f>IF(I4253&lt;=5000000,"Under $5M",IF(I4253&lt;=20000000,"$5M-20M",IF(I4253&lt;=50000000,"$20M-50M",IF(I4253&lt;=100000000,"$50M-100M","$100M+"))))</f>
        <v/>
      </c>
      <c r="P4253" s="21">
        <f>IF(E4253&lt;=90,"90 or less",IF(E4253&lt;=105,"91-105",IF(E4253&lt;=120,"106-120",IF(E4253&lt;=140,"121-140","Over 140"))))</f>
        <v/>
      </c>
      <c r="Q4253" s="28">
        <f>INT(C4253/10)*10</f>
        <v/>
      </c>
    </row>
    <row r="4254">
      <c r="A4254" s="21" t="n">
        <v>4343</v>
      </c>
      <c r="B4254" s="21" t="inlineStr">
        <is>
          <t>22 Jump Street</t>
        </is>
      </c>
      <c r="C4254" s="21" t="n">
        <v>2014</v>
      </c>
      <c r="D4254" s="21" t="inlineStr">
        <is>
          <t>USA</t>
        </is>
      </c>
      <c r="E4254" s="21" t="n">
        <v>112</v>
      </c>
      <c r="F4254" s="21" t="inlineStr">
        <is>
          <t>English</t>
        </is>
      </c>
      <c r="G4254" s="21" t="inlineStr">
        <is>
          <t>R</t>
        </is>
      </c>
      <c r="H4254" s="22" t="n">
        <v>191616238</v>
      </c>
      <c r="I4254" s="22" t="n">
        <v>50000000</v>
      </c>
      <c r="J4254" s="21">
        <f>IF(OR(H4254="",H4254=25529689.5),"Yes","No")</f>
        <v/>
      </c>
      <c r="K4254" s="21">
        <f>IF(AND(D4254="USA",C4254&gt;=1980,J4254="No"),"Yes","No")</f>
        <v/>
      </c>
      <c r="L4254" s="26">
        <f>IF(J4254="Yes","",H4254-I4254)</f>
        <v/>
      </c>
      <c r="M4254" s="27">
        <f>IF(OR(J4254="Yes",I4254=0),"",H4254/I4254)</f>
        <v/>
      </c>
      <c r="N4254" s="21">
        <f>IF(J4254="Yes","",IF(H4254&gt;=I4254,1,0))</f>
        <v/>
      </c>
      <c r="O4254" s="21">
        <f>IF(I4254&lt;=5000000,"Under $5M",IF(I4254&lt;=20000000,"$5M-20M",IF(I4254&lt;=50000000,"$20M-50M",IF(I4254&lt;=100000000,"$50M-100M","$100M+"))))</f>
        <v/>
      </c>
      <c r="P4254" s="21">
        <f>IF(E4254&lt;=90,"90 or less",IF(E4254&lt;=105,"91-105",IF(E4254&lt;=120,"106-120",IF(E4254&lt;=140,"121-140","Over 140"))))</f>
        <v/>
      </c>
      <c r="Q4254" s="28">
        <f>INT(C4254/10)*10</f>
        <v/>
      </c>
    </row>
    <row r="4255">
      <c r="A4255" s="21" t="n">
        <v>4344</v>
      </c>
      <c r="B4255" s="21" t="inlineStr">
        <is>
          <t>3 Days to Kill</t>
        </is>
      </c>
      <c r="C4255" s="21" t="n">
        <v>2014</v>
      </c>
      <c r="D4255" s="21" t="inlineStr">
        <is>
          <t>USA</t>
        </is>
      </c>
      <c r="E4255" s="21" t="n">
        <v>123</v>
      </c>
      <c r="F4255" s="21" t="inlineStr">
        <is>
          <t>English</t>
        </is>
      </c>
      <c r="G4255" s="21" t="inlineStr">
        <is>
          <t>PG-13</t>
        </is>
      </c>
      <c r="H4255" s="22" t="n">
        <v>30688364</v>
      </c>
      <c r="I4255" s="22" t="n">
        <v>28000000</v>
      </c>
      <c r="J4255" s="21">
        <f>IF(OR(H4255="",H4255=25529689.5),"Yes","No")</f>
        <v/>
      </c>
      <c r="K4255" s="21">
        <f>IF(AND(D4255="USA",C4255&gt;=1980,J4255="No"),"Yes","No")</f>
        <v/>
      </c>
      <c r="L4255" s="26">
        <f>IF(J4255="Yes","",H4255-I4255)</f>
        <v/>
      </c>
      <c r="M4255" s="27">
        <f>IF(OR(J4255="Yes",I4255=0),"",H4255/I4255)</f>
        <v/>
      </c>
      <c r="N4255" s="21">
        <f>IF(J4255="Yes","",IF(H4255&gt;=I4255,1,0))</f>
        <v/>
      </c>
      <c r="O4255" s="21">
        <f>IF(I4255&lt;=5000000,"Under $5M",IF(I4255&lt;=20000000,"$5M-20M",IF(I4255&lt;=50000000,"$20M-50M",IF(I4255&lt;=100000000,"$50M-100M","$100M+"))))</f>
        <v/>
      </c>
      <c r="P4255" s="21">
        <f>IF(E4255&lt;=90,"90 or less",IF(E4255&lt;=105,"91-105",IF(E4255&lt;=120,"106-120",IF(E4255&lt;=140,"121-140","Over 140"))))</f>
        <v/>
      </c>
      <c r="Q4255" s="28">
        <f>INT(C4255/10)*10</f>
        <v/>
      </c>
    </row>
    <row r="4256">
      <c r="A4256" s="21" t="n">
        <v>4345</v>
      </c>
      <c r="B4256" s="21" t="inlineStr">
        <is>
          <t>300: Rise of an Empire</t>
        </is>
      </c>
      <c r="C4256" s="21" t="n">
        <v>2014</v>
      </c>
      <c r="D4256" s="21" t="inlineStr">
        <is>
          <t>USA</t>
        </is>
      </c>
      <c r="E4256" s="21" t="n">
        <v>102</v>
      </c>
      <c r="F4256" s="21" t="inlineStr">
        <is>
          <t>English</t>
        </is>
      </c>
      <c r="G4256" s="21" t="inlineStr">
        <is>
          <t>R</t>
        </is>
      </c>
      <c r="H4256" s="22" t="n">
        <v>106369117</v>
      </c>
      <c r="I4256" s="22" t="n">
        <v>110000000</v>
      </c>
      <c r="J4256" s="21">
        <f>IF(OR(H4256="",H4256=25529689.5),"Yes","No")</f>
        <v/>
      </c>
      <c r="K4256" s="21">
        <f>IF(AND(D4256="USA",C4256&gt;=1980,J4256="No"),"Yes","No")</f>
        <v/>
      </c>
      <c r="L4256" s="26">
        <f>IF(J4256="Yes","",H4256-I4256)</f>
        <v/>
      </c>
      <c r="M4256" s="27">
        <f>IF(OR(J4256="Yes",I4256=0),"",H4256/I4256)</f>
        <v/>
      </c>
      <c r="N4256" s="21">
        <f>IF(J4256="Yes","",IF(H4256&gt;=I4256,1,0))</f>
        <v/>
      </c>
      <c r="O4256" s="21">
        <f>IF(I4256&lt;=5000000,"Under $5M",IF(I4256&lt;=20000000,"$5M-20M",IF(I4256&lt;=50000000,"$20M-50M",IF(I4256&lt;=100000000,"$50M-100M","$100M+"))))</f>
        <v/>
      </c>
      <c r="P4256" s="21">
        <f>IF(E4256&lt;=90,"90 or less",IF(E4256&lt;=105,"91-105",IF(E4256&lt;=120,"106-120",IF(E4256&lt;=140,"121-140","Over 140"))))</f>
        <v/>
      </c>
      <c r="Q4256" s="28">
        <f>INT(C4256/10)*10</f>
        <v/>
      </c>
    </row>
    <row r="4257">
      <c r="A4257" s="21" t="n">
        <v>4346</v>
      </c>
      <c r="B4257" s="21" t="inlineStr">
        <is>
          <t>8 Days</t>
        </is>
      </c>
      <c r="C4257" s="21" t="n">
        <v>2014</v>
      </c>
      <c r="D4257" s="21" t="inlineStr">
        <is>
          <t>USA</t>
        </is>
      </c>
      <c r="E4257" s="21" t="n">
        <v>90</v>
      </c>
      <c r="F4257" s="21" t="inlineStr">
        <is>
          <t>English</t>
        </is>
      </c>
      <c r="G4257" s="21" t="inlineStr">
        <is>
          <t>PG-13</t>
        </is>
      </c>
      <c r="H4257" s="22" t="n">
        <v>25529689.5</v>
      </c>
      <c r="I4257" s="22" t="n">
        <v>2500000</v>
      </c>
      <c r="J4257" s="21">
        <f>IF(OR(H4257="",H4257=25529689.5),"Yes","No")</f>
        <v/>
      </c>
      <c r="K4257" s="21">
        <f>IF(AND(D4257="USA",C4257&gt;=1980,J4257="No"),"Yes","No")</f>
        <v/>
      </c>
      <c r="L4257" s="26">
        <f>IF(J4257="Yes","",H4257-I4257)</f>
        <v/>
      </c>
      <c r="M4257" s="27">
        <f>IF(OR(J4257="Yes",I4257=0),"",H4257/I4257)</f>
        <v/>
      </c>
      <c r="N4257" s="21">
        <f>IF(J4257="Yes","",IF(H4257&gt;=I4257,1,0))</f>
        <v/>
      </c>
      <c r="O4257" s="21">
        <f>IF(I4257&lt;=5000000,"Under $5M",IF(I4257&lt;=20000000,"$5M-20M",IF(I4257&lt;=50000000,"$20M-50M",IF(I4257&lt;=100000000,"$50M-100M","$100M+"))))</f>
        <v/>
      </c>
      <c r="P4257" s="21">
        <f>IF(E4257&lt;=90,"90 or less",IF(E4257&lt;=105,"91-105",IF(E4257&lt;=120,"106-120",IF(E4257&lt;=140,"121-140","Over 140"))))</f>
        <v/>
      </c>
      <c r="Q4257" s="28">
        <f>INT(C4257/10)*10</f>
        <v/>
      </c>
    </row>
    <row r="4258">
      <c r="A4258" s="21" t="n">
        <v>4347</v>
      </c>
      <c r="B4258" s="21" t="inlineStr">
        <is>
          <t>A Fine Step</t>
        </is>
      </c>
      <c r="C4258" s="21" t="n">
        <v>2014</v>
      </c>
      <c r="D4258" s="21" t="inlineStr">
        <is>
          <t>USA</t>
        </is>
      </c>
      <c r="E4258" s="21" t="n">
        <v>111</v>
      </c>
      <c r="F4258" s="21" t="n"/>
      <c r="G4258" s="21" t="inlineStr">
        <is>
          <t>PG</t>
        </is>
      </c>
      <c r="H4258" s="22" t="n">
        <v>25529689.5</v>
      </c>
      <c r="I4258" s="22" t="n">
        <v>1000000</v>
      </c>
      <c r="J4258" s="21">
        <f>IF(OR(H4258="",H4258=25529689.5),"Yes","No")</f>
        <v/>
      </c>
      <c r="K4258" s="21">
        <f>IF(AND(D4258="USA",C4258&gt;=1980,J4258="No"),"Yes","No")</f>
        <v/>
      </c>
      <c r="L4258" s="26">
        <f>IF(J4258="Yes","",H4258-I4258)</f>
        <v/>
      </c>
      <c r="M4258" s="27">
        <f>IF(OR(J4258="Yes",I4258=0),"",H4258/I4258)</f>
        <v/>
      </c>
      <c r="N4258" s="21">
        <f>IF(J4258="Yes","",IF(H4258&gt;=I4258,1,0))</f>
        <v/>
      </c>
      <c r="O4258" s="21">
        <f>IF(I4258&lt;=5000000,"Under $5M",IF(I4258&lt;=20000000,"$5M-20M",IF(I4258&lt;=50000000,"$20M-50M",IF(I4258&lt;=100000000,"$50M-100M","$100M+"))))</f>
        <v/>
      </c>
      <c r="P4258" s="21">
        <f>IF(E4258&lt;=90,"90 or less",IF(E4258&lt;=105,"91-105",IF(E4258&lt;=120,"106-120",IF(E4258&lt;=140,"121-140","Over 140"))))</f>
        <v/>
      </c>
      <c r="Q4258" s="28">
        <f>INT(C4258/10)*10</f>
        <v/>
      </c>
    </row>
    <row r="4259">
      <c r="A4259" s="21" t="n">
        <v>4348</v>
      </c>
      <c r="B4259" s="21" t="inlineStr">
        <is>
          <t>A Haunted House 2</t>
        </is>
      </c>
      <c r="C4259" s="21" t="n">
        <v>2014</v>
      </c>
      <c r="D4259" s="21" t="inlineStr">
        <is>
          <t>USA</t>
        </is>
      </c>
      <c r="E4259" s="21" t="n">
        <v>86</v>
      </c>
      <c r="F4259" s="21" t="inlineStr">
        <is>
          <t>English</t>
        </is>
      </c>
      <c r="G4259" s="21" t="inlineStr">
        <is>
          <t>R</t>
        </is>
      </c>
      <c r="H4259" s="22" t="n">
        <v>17314483</v>
      </c>
      <c r="I4259" s="22" t="n">
        <v>4000000</v>
      </c>
      <c r="J4259" s="21">
        <f>IF(OR(H4259="",H4259=25529689.5),"Yes","No")</f>
        <v/>
      </c>
      <c r="K4259" s="21">
        <f>IF(AND(D4259="USA",C4259&gt;=1980,J4259="No"),"Yes","No")</f>
        <v/>
      </c>
      <c r="L4259" s="26">
        <f>IF(J4259="Yes","",H4259-I4259)</f>
        <v/>
      </c>
      <c r="M4259" s="27">
        <f>IF(OR(J4259="Yes",I4259=0),"",H4259/I4259)</f>
        <v/>
      </c>
      <c r="N4259" s="21">
        <f>IF(J4259="Yes","",IF(H4259&gt;=I4259,1,0))</f>
        <v/>
      </c>
      <c r="O4259" s="21">
        <f>IF(I4259&lt;=5000000,"Under $5M",IF(I4259&lt;=20000000,"$5M-20M",IF(I4259&lt;=50000000,"$20M-50M",IF(I4259&lt;=100000000,"$50M-100M","$100M+"))))</f>
        <v/>
      </c>
      <c r="P4259" s="21">
        <f>IF(E4259&lt;=90,"90 or less",IF(E4259&lt;=105,"91-105",IF(E4259&lt;=120,"106-120",IF(E4259&lt;=140,"121-140","Over 140"))))</f>
        <v/>
      </c>
      <c r="Q4259" s="28">
        <f>INT(C4259/10)*10</f>
        <v/>
      </c>
    </row>
    <row r="4260">
      <c r="A4260" s="21" t="n">
        <v>4349</v>
      </c>
      <c r="B4260" s="21" t="inlineStr">
        <is>
          <t>A Lego Brickumentary</t>
        </is>
      </c>
      <c r="C4260" s="21" t="n">
        <v>2014</v>
      </c>
      <c r="D4260" s="21" t="inlineStr">
        <is>
          <t>Denmark</t>
        </is>
      </c>
      <c r="E4260" s="21" t="n">
        <v>93</v>
      </c>
      <c r="F4260" s="21" t="inlineStr">
        <is>
          <t>English</t>
        </is>
      </c>
      <c r="G4260" s="21" t="inlineStr">
        <is>
          <t>G</t>
        </is>
      </c>
      <c r="H4260" s="22" t="n">
        <v>100240</v>
      </c>
      <c r="I4260" s="22" t="n">
        <v>1000000</v>
      </c>
      <c r="J4260" s="21">
        <f>IF(OR(H4260="",H4260=25529689.5),"Yes","No")</f>
        <v/>
      </c>
      <c r="K4260" s="21">
        <f>IF(AND(D4260="USA",C4260&gt;=1980,J4260="No"),"Yes","No")</f>
        <v/>
      </c>
      <c r="L4260" s="26">
        <f>IF(J4260="Yes","",H4260-I4260)</f>
        <v/>
      </c>
      <c r="M4260" s="27">
        <f>IF(OR(J4260="Yes",I4260=0),"",H4260/I4260)</f>
        <v/>
      </c>
      <c r="N4260" s="21">
        <f>IF(J4260="Yes","",IF(H4260&gt;=I4260,1,0))</f>
        <v/>
      </c>
      <c r="O4260" s="21">
        <f>IF(I4260&lt;=5000000,"Under $5M",IF(I4260&lt;=20000000,"$5M-20M",IF(I4260&lt;=50000000,"$20M-50M",IF(I4260&lt;=100000000,"$50M-100M","$100M+"))))</f>
        <v/>
      </c>
      <c r="P4260" s="21">
        <f>IF(E4260&lt;=90,"90 or less",IF(E4260&lt;=105,"91-105",IF(E4260&lt;=120,"106-120",IF(E4260&lt;=140,"121-140","Over 140"))))</f>
        <v/>
      </c>
      <c r="Q4260" s="28">
        <f>INT(C4260/10)*10</f>
        <v/>
      </c>
    </row>
    <row r="4261">
      <c r="A4261" s="21" t="n">
        <v>4350</v>
      </c>
      <c r="B4261" s="21" t="inlineStr">
        <is>
          <t>A Million Ways to Die in the West</t>
        </is>
      </c>
      <c r="C4261" s="21" t="n">
        <v>2014</v>
      </c>
      <c r="D4261" s="21" t="inlineStr">
        <is>
          <t>USA</t>
        </is>
      </c>
      <c r="E4261" s="21" t="n">
        <v>136</v>
      </c>
      <c r="F4261" s="21" t="inlineStr">
        <is>
          <t>English</t>
        </is>
      </c>
      <c r="G4261" s="21" t="inlineStr">
        <is>
          <t>R</t>
        </is>
      </c>
      <c r="H4261" s="22" t="n">
        <v>42615685</v>
      </c>
      <c r="I4261" s="22" t="n">
        <v>40000000</v>
      </c>
      <c r="J4261" s="21">
        <f>IF(OR(H4261="",H4261=25529689.5),"Yes","No")</f>
        <v/>
      </c>
      <c r="K4261" s="21">
        <f>IF(AND(D4261="USA",C4261&gt;=1980,J4261="No"),"Yes","No")</f>
        <v/>
      </c>
      <c r="L4261" s="26">
        <f>IF(J4261="Yes","",H4261-I4261)</f>
        <v/>
      </c>
      <c r="M4261" s="27">
        <f>IF(OR(J4261="Yes",I4261=0),"",H4261/I4261)</f>
        <v/>
      </c>
      <c r="N4261" s="21">
        <f>IF(J4261="Yes","",IF(H4261&gt;=I4261,1,0))</f>
        <v/>
      </c>
      <c r="O4261" s="21">
        <f>IF(I4261&lt;=5000000,"Under $5M",IF(I4261&lt;=20000000,"$5M-20M",IF(I4261&lt;=50000000,"$20M-50M",IF(I4261&lt;=100000000,"$50M-100M","$100M+"))))</f>
        <v/>
      </c>
      <c r="P4261" s="21">
        <f>IF(E4261&lt;=90,"90 or less",IF(E4261&lt;=105,"91-105",IF(E4261&lt;=120,"106-120",IF(E4261&lt;=140,"121-140","Over 140"))))</f>
        <v/>
      </c>
      <c r="Q4261" s="28">
        <f>INT(C4261/10)*10</f>
        <v/>
      </c>
    </row>
    <row r="4262">
      <c r="A4262" s="21" t="n">
        <v>4351</v>
      </c>
      <c r="B4262" s="21" t="inlineStr">
        <is>
          <t>A Most Violent Year</t>
        </is>
      </c>
      <c r="C4262" s="21" t="n">
        <v>2014</v>
      </c>
      <c r="D4262" s="21" t="inlineStr">
        <is>
          <t>USA</t>
        </is>
      </c>
      <c r="E4262" s="21" t="n">
        <v>125</v>
      </c>
      <c r="F4262" s="21" t="inlineStr">
        <is>
          <t>English</t>
        </is>
      </c>
      <c r="G4262" s="21" t="inlineStr">
        <is>
          <t>R</t>
        </is>
      </c>
      <c r="H4262" s="22" t="n">
        <v>5749134</v>
      </c>
      <c r="I4262" s="22" t="n">
        <v>20000000</v>
      </c>
      <c r="J4262" s="21">
        <f>IF(OR(H4262="",H4262=25529689.5),"Yes","No")</f>
        <v/>
      </c>
      <c r="K4262" s="21">
        <f>IF(AND(D4262="USA",C4262&gt;=1980,J4262="No"),"Yes","No")</f>
        <v/>
      </c>
      <c r="L4262" s="26">
        <f>IF(J4262="Yes","",H4262-I4262)</f>
        <v/>
      </c>
      <c r="M4262" s="27">
        <f>IF(OR(J4262="Yes",I4262=0),"",H4262/I4262)</f>
        <v/>
      </c>
      <c r="N4262" s="21">
        <f>IF(J4262="Yes","",IF(H4262&gt;=I4262,1,0))</f>
        <v/>
      </c>
      <c r="O4262" s="21">
        <f>IF(I4262&lt;=5000000,"Under $5M",IF(I4262&lt;=20000000,"$5M-20M",IF(I4262&lt;=50000000,"$20M-50M",IF(I4262&lt;=100000000,"$50M-100M","$100M+"))))</f>
        <v/>
      </c>
      <c r="P4262" s="21">
        <f>IF(E4262&lt;=90,"90 or less",IF(E4262&lt;=105,"91-105",IF(E4262&lt;=120,"106-120",IF(E4262&lt;=140,"121-140","Over 140"))))</f>
        <v/>
      </c>
      <c r="Q4262" s="28">
        <f>INT(C4262/10)*10</f>
        <v/>
      </c>
    </row>
    <row r="4263">
      <c r="A4263" s="21" t="n">
        <v>4352</v>
      </c>
      <c r="B4263" s="21" t="inlineStr">
        <is>
          <t>A Most Wanted Man</t>
        </is>
      </c>
      <c r="C4263" s="21" t="n">
        <v>2014</v>
      </c>
      <c r="D4263" s="21" t="inlineStr">
        <is>
          <t>UK</t>
        </is>
      </c>
      <c r="E4263" s="21" t="n">
        <v>122</v>
      </c>
      <c r="F4263" s="21" t="inlineStr">
        <is>
          <t>English</t>
        </is>
      </c>
      <c r="G4263" s="21" t="inlineStr">
        <is>
          <t>R</t>
        </is>
      </c>
      <c r="H4263" s="22" t="n">
        <v>17237244</v>
      </c>
      <c r="I4263" s="22" t="n">
        <v>15000000</v>
      </c>
      <c r="J4263" s="21">
        <f>IF(OR(H4263="",H4263=25529689.5),"Yes","No")</f>
        <v/>
      </c>
      <c r="K4263" s="21">
        <f>IF(AND(D4263="USA",C4263&gt;=1980,J4263="No"),"Yes","No")</f>
        <v/>
      </c>
      <c r="L4263" s="26">
        <f>IF(J4263="Yes","",H4263-I4263)</f>
        <v/>
      </c>
      <c r="M4263" s="27">
        <f>IF(OR(J4263="Yes",I4263=0),"",H4263/I4263)</f>
        <v/>
      </c>
      <c r="N4263" s="21">
        <f>IF(J4263="Yes","",IF(H4263&gt;=I4263,1,0))</f>
        <v/>
      </c>
      <c r="O4263" s="21">
        <f>IF(I4263&lt;=5000000,"Under $5M",IF(I4263&lt;=20000000,"$5M-20M",IF(I4263&lt;=50000000,"$20M-50M",IF(I4263&lt;=100000000,"$50M-100M","$100M+"))))</f>
        <v/>
      </c>
      <c r="P4263" s="21">
        <f>IF(E4263&lt;=90,"90 or less",IF(E4263&lt;=105,"91-105",IF(E4263&lt;=120,"106-120",IF(E4263&lt;=140,"121-140","Over 140"))))</f>
        <v/>
      </c>
      <c r="Q4263" s="28">
        <f>INT(C4263/10)*10</f>
        <v/>
      </c>
    </row>
    <row r="4264">
      <c r="A4264" s="21" t="n">
        <v>4353</v>
      </c>
      <c r="B4264" s="21" t="inlineStr">
        <is>
          <t>A Walk Among the Tombstones</t>
        </is>
      </c>
      <c r="C4264" s="21" t="n">
        <v>2014</v>
      </c>
      <c r="D4264" s="21" t="inlineStr">
        <is>
          <t>USA</t>
        </is>
      </c>
      <c r="E4264" s="21" t="n">
        <v>114</v>
      </c>
      <c r="F4264" s="21" t="inlineStr">
        <is>
          <t>English</t>
        </is>
      </c>
      <c r="G4264" s="21" t="inlineStr">
        <is>
          <t>R</t>
        </is>
      </c>
      <c r="H4264" s="22" t="n">
        <v>25977365</v>
      </c>
      <c r="I4264" s="22" t="n">
        <v>28000000</v>
      </c>
      <c r="J4264" s="21">
        <f>IF(OR(H4264="",H4264=25529689.5),"Yes","No")</f>
        <v/>
      </c>
      <c r="K4264" s="21">
        <f>IF(AND(D4264="USA",C4264&gt;=1980,J4264="No"),"Yes","No")</f>
        <v/>
      </c>
      <c r="L4264" s="26">
        <f>IF(J4264="Yes","",H4264-I4264)</f>
        <v/>
      </c>
      <c r="M4264" s="27">
        <f>IF(OR(J4264="Yes",I4264=0),"",H4264/I4264)</f>
        <v/>
      </c>
      <c r="N4264" s="21">
        <f>IF(J4264="Yes","",IF(H4264&gt;=I4264,1,0))</f>
        <v/>
      </c>
      <c r="O4264" s="21">
        <f>IF(I4264&lt;=5000000,"Under $5M",IF(I4264&lt;=20000000,"$5M-20M",IF(I4264&lt;=50000000,"$20M-50M",IF(I4264&lt;=100000000,"$50M-100M","$100M+"))))</f>
        <v/>
      </c>
      <c r="P4264" s="21">
        <f>IF(E4264&lt;=90,"90 or less",IF(E4264&lt;=105,"91-105",IF(E4264&lt;=120,"106-120",IF(E4264&lt;=140,"121-140","Over 140"))))</f>
        <v/>
      </c>
      <c r="Q4264" s="28">
        <f>INT(C4264/10)*10</f>
        <v/>
      </c>
    </row>
    <row r="4265">
      <c r="A4265" s="21" t="n">
        <v>4354</v>
      </c>
      <c r="B4265" s="21" t="inlineStr">
        <is>
          <t>About Last Night</t>
        </is>
      </c>
      <c r="C4265" s="21" t="n">
        <v>2014</v>
      </c>
      <c r="D4265" s="21" t="inlineStr">
        <is>
          <t>USA</t>
        </is>
      </c>
      <c r="E4265" s="21" t="n">
        <v>100</v>
      </c>
      <c r="F4265" s="21" t="inlineStr">
        <is>
          <t>English</t>
        </is>
      </c>
      <c r="G4265" s="21" t="inlineStr">
        <is>
          <t>R</t>
        </is>
      </c>
      <c r="H4265" s="22" t="n">
        <v>48637684</v>
      </c>
      <c r="I4265" s="22" t="n">
        <v>12500000</v>
      </c>
      <c r="J4265" s="21">
        <f>IF(OR(H4265="",H4265=25529689.5),"Yes","No")</f>
        <v/>
      </c>
      <c r="K4265" s="21">
        <f>IF(AND(D4265="USA",C4265&gt;=1980,J4265="No"),"Yes","No")</f>
        <v/>
      </c>
      <c r="L4265" s="26">
        <f>IF(J4265="Yes","",H4265-I4265)</f>
        <v/>
      </c>
      <c r="M4265" s="27">
        <f>IF(OR(J4265="Yes",I4265=0),"",H4265/I4265)</f>
        <v/>
      </c>
      <c r="N4265" s="21">
        <f>IF(J4265="Yes","",IF(H4265&gt;=I4265,1,0))</f>
        <v/>
      </c>
      <c r="O4265" s="21">
        <f>IF(I4265&lt;=5000000,"Under $5M",IF(I4265&lt;=20000000,"$5M-20M",IF(I4265&lt;=50000000,"$20M-50M",IF(I4265&lt;=100000000,"$50M-100M","$100M+"))))</f>
        <v/>
      </c>
      <c r="P4265" s="21">
        <f>IF(E4265&lt;=90,"90 or less",IF(E4265&lt;=105,"91-105",IF(E4265&lt;=120,"106-120",IF(E4265&lt;=140,"121-140","Over 140"))))</f>
        <v/>
      </c>
      <c r="Q4265" s="28">
        <f>INT(C4265/10)*10</f>
        <v/>
      </c>
    </row>
    <row r="4266">
      <c r="A4266" s="21" t="n">
        <v>4355</v>
      </c>
      <c r="B4266" s="21" t="inlineStr">
        <is>
          <t>Addicted</t>
        </is>
      </c>
      <c r="C4266" s="21" t="n">
        <v>2014</v>
      </c>
      <c r="D4266" s="21" t="inlineStr">
        <is>
          <t>USA</t>
        </is>
      </c>
      <c r="E4266" s="21" t="n">
        <v>106</v>
      </c>
      <c r="F4266" s="21" t="inlineStr">
        <is>
          <t>Spanish</t>
        </is>
      </c>
      <c r="G4266" s="21" t="inlineStr">
        <is>
          <t>R</t>
        </is>
      </c>
      <c r="H4266" s="22" t="n">
        <v>17382982</v>
      </c>
      <c r="I4266" s="22" t="n">
        <v>5000000</v>
      </c>
      <c r="J4266" s="21">
        <f>IF(OR(H4266="",H4266=25529689.5),"Yes","No")</f>
        <v/>
      </c>
      <c r="K4266" s="21">
        <f>IF(AND(D4266="USA",C4266&gt;=1980,J4266="No"),"Yes","No")</f>
        <v/>
      </c>
      <c r="L4266" s="26">
        <f>IF(J4266="Yes","",H4266-I4266)</f>
        <v/>
      </c>
      <c r="M4266" s="27">
        <f>IF(OR(J4266="Yes",I4266=0),"",H4266/I4266)</f>
        <v/>
      </c>
      <c r="N4266" s="21">
        <f>IF(J4266="Yes","",IF(H4266&gt;=I4266,1,0))</f>
        <v/>
      </c>
      <c r="O4266" s="21">
        <f>IF(I4266&lt;=5000000,"Under $5M",IF(I4266&lt;=20000000,"$5M-20M",IF(I4266&lt;=50000000,"$20M-50M",IF(I4266&lt;=100000000,"$50M-100M","$100M+"))))</f>
        <v/>
      </c>
      <c r="P4266" s="21">
        <f>IF(E4266&lt;=90,"90 or less",IF(E4266&lt;=105,"91-105",IF(E4266&lt;=120,"106-120",IF(E4266&lt;=140,"121-140","Over 140"))))</f>
        <v/>
      </c>
      <c r="Q4266" s="28">
        <f>INT(C4266/10)*10</f>
        <v/>
      </c>
    </row>
    <row r="4267">
      <c r="A4267" s="21" t="n">
        <v>4356</v>
      </c>
      <c r="B4267" s="21" t="inlineStr">
        <is>
          <t>Alexander and the Terrible, Horrible, No Good, Very Bad Day</t>
        </is>
      </c>
      <c r="C4267" s="21" t="n">
        <v>2014</v>
      </c>
      <c r="D4267" s="21" t="inlineStr">
        <is>
          <t>USA</t>
        </is>
      </c>
      <c r="E4267" s="21" t="n">
        <v>81</v>
      </c>
      <c r="F4267" s="21" t="inlineStr">
        <is>
          <t>English</t>
        </is>
      </c>
      <c r="G4267" s="21" t="inlineStr">
        <is>
          <t>PG</t>
        </is>
      </c>
      <c r="H4267" s="22" t="n">
        <v>66950483</v>
      </c>
      <c r="I4267" s="22" t="n">
        <v>28000000</v>
      </c>
      <c r="J4267" s="21">
        <f>IF(OR(H4267="",H4267=25529689.5),"Yes","No")</f>
        <v/>
      </c>
      <c r="K4267" s="21">
        <f>IF(AND(D4267="USA",C4267&gt;=1980,J4267="No"),"Yes","No")</f>
        <v/>
      </c>
      <c r="L4267" s="26">
        <f>IF(J4267="Yes","",H4267-I4267)</f>
        <v/>
      </c>
      <c r="M4267" s="27">
        <f>IF(OR(J4267="Yes",I4267=0),"",H4267/I4267)</f>
        <v/>
      </c>
      <c r="N4267" s="21">
        <f>IF(J4267="Yes","",IF(H4267&gt;=I4267,1,0))</f>
        <v/>
      </c>
      <c r="O4267" s="21">
        <f>IF(I4267&lt;=5000000,"Under $5M",IF(I4267&lt;=20000000,"$5M-20M",IF(I4267&lt;=50000000,"$20M-50M",IF(I4267&lt;=100000000,"$50M-100M","$100M+"))))</f>
        <v/>
      </c>
      <c r="P4267" s="21">
        <f>IF(E4267&lt;=90,"90 or less",IF(E4267&lt;=105,"91-105",IF(E4267&lt;=120,"106-120",IF(E4267&lt;=140,"121-140","Over 140"))))</f>
        <v/>
      </c>
      <c r="Q4267" s="28">
        <f>INT(C4267/10)*10</f>
        <v/>
      </c>
    </row>
    <row r="4268">
      <c r="A4268" s="21" t="n">
        <v>4357</v>
      </c>
      <c r="B4268" s="21" t="inlineStr">
        <is>
          <t>Aloft</t>
        </is>
      </c>
      <c r="C4268" s="21" t="n">
        <v>2014</v>
      </c>
      <c r="D4268" s="21" t="inlineStr">
        <is>
          <t>Spain</t>
        </is>
      </c>
      <c r="E4268" s="21" t="n">
        <v>97</v>
      </c>
      <c r="F4268" s="21" t="inlineStr">
        <is>
          <t>English</t>
        </is>
      </c>
      <c r="G4268" s="21" t="inlineStr">
        <is>
          <t>R</t>
        </is>
      </c>
      <c r="H4268" s="22" t="n">
        <v>52961</v>
      </c>
      <c r="I4268" s="22" t="n">
        <v>8000000</v>
      </c>
      <c r="J4268" s="21">
        <f>IF(OR(H4268="",H4268=25529689.5),"Yes","No")</f>
        <v/>
      </c>
      <c r="K4268" s="21">
        <f>IF(AND(D4268="USA",C4268&gt;=1980,J4268="No"),"Yes","No")</f>
        <v/>
      </c>
      <c r="L4268" s="26">
        <f>IF(J4268="Yes","",H4268-I4268)</f>
        <v/>
      </c>
      <c r="M4268" s="27">
        <f>IF(OR(J4268="Yes",I4268=0),"",H4268/I4268)</f>
        <v/>
      </c>
      <c r="N4268" s="21">
        <f>IF(J4268="Yes","",IF(H4268&gt;=I4268,1,0))</f>
        <v/>
      </c>
      <c r="O4268" s="21">
        <f>IF(I4268&lt;=5000000,"Under $5M",IF(I4268&lt;=20000000,"$5M-20M",IF(I4268&lt;=50000000,"$20M-50M",IF(I4268&lt;=100000000,"$50M-100M","$100M+"))))</f>
        <v/>
      </c>
      <c r="P4268" s="21">
        <f>IF(E4268&lt;=90,"90 or less",IF(E4268&lt;=105,"91-105",IF(E4268&lt;=120,"106-120",IF(E4268&lt;=140,"121-140","Over 140"))))</f>
        <v/>
      </c>
      <c r="Q4268" s="28">
        <f>INT(C4268/10)*10</f>
        <v/>
      </c>
    </row>
    <row r="4269">
      <c r="A4269" s="21" t="n">
        <v>4358</v>
      </c>
      <c r="B4269" s="21" t="inlineStr">
        <is>
          <t>Alpha and Omega 4: The Legend of the Saw Toothed Cave</t>
        </is>
      </c>
      <c r="C4269" s="21" t="n">
        <v>2014</v>
      </c>
      <c r="D4269" s="21" t="inlineStr">
        <is>
          <t>USA</t>
        </is>
      </c>
      <c r="E4269" s="21" t="n">
        <v>45</v>
      </c>
      <c r="F4269" s="21" t="n"/>
      <c r="G4269" s="21" t="n"/>
      <c r="H4269" s="22" t="n">
        <v>25529689.5</v>
      </c>
      <c r="I4269" s="22" t="n">
        <v>7000000</v>
      </c>
      <c r="J4269" s="21">
        <f>IF(OR(H4269="",H4269=25529689.5),"Yes","No")</f>
        <v/>
      </c>
      <c r="K4269" s="21">
        <f>IF(AND(D4269="USA",C4269&gt;=1980,J4269="No"),"Yes","No")</f>
        <v/>
      </c>
      <c r="L4269" s="26">
        <f>IF(J4269="Yes","",H4269-I4269)</f>
        <v/>
      </c>
      <c r="M4269" s="27">
        <f>IF(OR(J4269="Yes",I4269=0),"",H4269/I4269)</f>
        <v/>
      </c>
      <c r="N4269" s="21">
        <f>IF(J4269="Yes","",IF(H4269&gt;=I4269,1,0))</f>
        <v/>
      </c>
      <c r="O4269" s="21">
        <f>IF(I4269&lt;=5000000,"Under $5M",IF(I4269&lt;=20000000,"$5M-20M",IF(I4269&lt;=50000000,"$20M-50M",IF(I4269&lt;=100000000,"$50M-100M","$100M+"))))</f>
        <v/>
      </c>
      <c r="P4269" s="21">
        <f>IF(E4269&lt;=90,"90 or less",IF(E4269&lt;=105,"91-105",IF(E4269&lt;=120,"106-120",IF(E4269&lt;=140,"121-140","Over 140"))))</f>
        <v/>
      </c>
      <c r="Q4269" s="28">
        <f>INT(C4269/10)*10</f>
        <v/>
      </c>
    </row>
    <row r="4270">
      <c r="A4270" s="21" t="n">
        <v>4359</v>
      </c>
      <c r="B4270" s="21" t="inlineStr">
        <is>
          <t>Always Woodstock</t>
        </is>
      </c>
      <c r="C4270" s="21" t="n">
        <v>2014</v>
      </c>
      <c r="D4270" s="21" t="inlineStr">
        <is>
          <t>USA</t>
        </is>
      </c>
      <c r="E4270" s="21" t="n">
        <v>97</v>
      </c>
      <c r="F4270" s="21" t="inlineStr">
        <is>
          <t>English</t>
        </is>
      </c>
      <c r="G4270" s="21" t="n"/>
      <c r="H4270" s="22" t="n">
        <v>25529689.5</v>
      </c>
      <c r="I4270" s="22" t="n">
        <v>2400000</v>
      </c>
      <c r="J4270" s="21">
        <f>IF(OR(H4270="",H4270=25529689.5),"Yes","No")</f>
        <v/>
      </c>
      <c r="K4270" s="21">
        <f>IF(AND(D4270="USA",C4270&gt;=1980,J4270="No"),"Yes","No")</f>
        <v/>
      </c>
      <c r="L4270" s="26">
        <f>IF(J4270="Yes","",H4270-I4270)</f>
        <v/>
      </c>
      <c r="M4270" s="27">
        <f>IF(OR(J4270="Yes",I4270=0),"",H4270/I4270)</f>
        <v/>
      </c>
      <c r="N4270" s="21">
        <f>IF(J4270="Yes","",IF(H4270&gt;=I4270,1,0))</f>
        <v/>
      </c>
      <c r="O4270" s="21">
        <f>IF(I4270&lt;=5000000,"Under $5M",IF(I4270&lt;=20000000,"$5M-20M",IF(I4270&lt;=50000000,"$20M-50M",IF(I4270&lt;=100000000,"$50M-100M","$100M+"))))</f>
        <v/>
      </c>
      <c r="P4270" s="21">
        <f>IF(E4270&lt;=90,"90 or less",IF(E4270&lt;=105,"91-105",IF(E4270&lt;=120,"106-120",IF(E4270&lt;=140,"121-140","Over 140"))))</f>
        <v/>
      </c>
      <c r="Q4270" s="28">
        <f>INT(C4270/10)*10</f>
        <v/>
      </c>
    </row>
    <row r="4271">
      <c r="A4271" s="21" t="n">
        <v>4360</v>
      </c>
      <c r="B4271" s="21" t="inlineStr">
        <is>
          <t>American Heist</t>
        </is>
      </c>
      <c r="C4271" s="21" t="n">
        <v>2014</v>
      </c>
      <c r="D4271" s="21" t="inlineStr">
        <is>
          <t>Canada</t>
        </is>
      </c>
      <c r="E4271" s="21" t="n">
        <v>94</v>
      </c>
      <c r="F4271" s="21" t="inlineStr">
        <is>
          <t>English</t>
        </is>
      </c>
      <c r="G4271" s="21" t="inlineStr">
        <is>
          <t>R</t>
        </is>
      </c>
      <c r="H4271" s="22" t="n">
        <v>25529689.5</v>
      </c>
      <c r="I4271" s="22" t="n">
        <v>10000000</v>
      </c>
      <c r="J4271" s="21">
        <f>IF(OR(H4271="",H4271=25529689.5),"Yes","No")</f>
        <v/>
      </c>
      <c r="K4271" s="21">
        <f>IF(AND(D4271="USA",C4271&gt;=1980,J4271="No"),"Yes","No")</f>
        <v/>
      </c>
      <c r="L4271" s="26">
        <f>IF(J4271="Yes","",H4271-I4271)</f>
        <v/>
      </c>
      <c r="M4271" s="27">
        <f>IF(OR(J4271="Yes",I4271=0),"",H4271/I4271)</f>
        <v/>
      </c>
      <c r="N4271" s="21">
        <f>IF(J4271="Yes","",IF(H4271&gt;=I4271,1,0))</f>
        <v/>
      </c>
      <c r="O4271" s="21">
        <f>IF(I4271&lt;=5000000,"Under $5M",IF(I4271&lt;=20000000,"$5M-20M",IF(I4271&lt;=50000000,"$20M-50M",IF(I4271&lt;=100000000,"$50M-100M","$100M+"))))</f>
        <v/>
      </c>
      <c r="P4271" s="21">
        <f>IF(E4271&lt;=90,"90 or less",IF(E4271&lt;=105,"91-105",IF(E4271&lt;=120,"106-120",IF(E4271&lt;=140,"121-140","Over 140"))))</f>
        <v/>
      </c>
      <c r="Q4271" s="28">
        <f>INT(C4271/10)*10</f>
        <v/>
      </c>
    </row>
    <row r="4272">
      <c r="A4272" s="21" t="n">
        <v>4361</v>
      </c>
      <c r="B4272" s="21" t="inlineStr">
        <is>
          <t>American Sniper</t>
        </is>
      </c>
      <c r="C4272" s="21" t="n">
        <v>2014</v>
      </c>
      <c r="D4272" s="21" t="inlineStr">
        <is>
          <t>USA</t>
        </is>
      </c>
      <c r="E4272" s="21" t="n">
        <v>133</v>
      </c>
      <c r="F4272" s="21" t="inlineStr">
        <is>
          <t>English</t>
        </is>
      </c>
      <c r="G4272" s="21" t="inlineStr">
        <is>
          <t>R</t>
        </is>
      </c>
      <c r="H4272" s="22" t="n">
        <v>350123553</v>
      </c>
      <c r="I4272" s="22" t="n">
        <v>58800000</v>
      </c>
      <c r="J4272" s="21">
        <f>IF(OR(H4272="",H4272=25529689.5),"Yes","No")</f>
        <v/>
      </c>
      <c r="K4272" s="21">
        <f>IF(AND(D4272="USA",C4272&gt;=1980,J4272="No"),"Yes","No")</f>
        <v/>
      </c>
      <c r="L4272" s="26">
        <f>IF(J4272="Yes","",H4272-I4272)</f>
        <v/>
      </c>
      <c r="M4272" s="27">
        <f>IF(OR(J4272="Yes",I4272=0),"",H4272/I4272)</f>
        <v/>
      </c>
      <c r="N4272" s="21">
        <f>IF(J4272="Yes","",IF(H4272&gt;=I4272,1,0))</f>
        <v/>
      </c>
      <c r="O4272" s="21">
        <f>IF(I4272&lt;=5000000,"Under $5M",IF(I4272&lt;=20000000,"$5M-20M",IF(I4272&lt;=50000000,"$20M-50M",IF(I4272&lt;=100000000,"$50M-100M","$100M+"))))</f>
        <v/>
      </c>
      <c r="P4272" s="21">
        <f>IF(E4272&lt;=90,"90 or less",IF(E4272&lt;=105,"91-105",IF(E4272&lt;=120,"106-120",IF(E4272&lt;=140,"121-140","Over 140"))))</f>
        <v/>
      </c>
      <c r="Q4272" s="28">
        <f>INT(C4272/10)*10</f>
        <v/>
      </c>
    </row>
    <row r="4273">
      <c r="A4273" s="21" t="n">
        <v>4362</v>
      </c>
      <c r="B4273" s="21" t="inlineStr">
        <is>
          <t>Amidst the Devil's Wings</t>
        </is>
      </c>
      <c r="C4273" s="21" t="n">
        <v>2014</v>
      </c>
      <c r="D4273" s="21" t="inlineStr">
        <is>
          <t>USA</t>
        </is>
      </c>
      <c r="E4273" s="21" t="n">
        <v>90</v>
      </c>
      <c r="F4273" s="21" t="inlineStr">
        <is>
          <t>English</t>
        </is>
      </c>
      <c r="G4273" s="21" t="n"/>
      <c r="H4273" s="22" t="n">
        <v>25529689.5</v>
      </c>
      <c r="I4273" s="22" t="n">
        <v>300000</v>
      </c>
      <c r="J4273" s="21">
        <f>IF(OR(H4273="",H4273=25529689.5),"Yes","No")</f>
        <v/>
      </c>
      <c r="K4273" s="21">
        <f>IF(AND(D4273="USA",C4273&gt;=1980,J4273="No"),"Yes","No")</f>
        <v/>
      </c>
      <c r="L4273" s="26">
        <f>IF(J4273="Yes","",H4273-I4273)</f>
        <v/>
      </c>
      <c r="M4273" s="27">
        <f>IF(OR(J4273="Yes",I4273=0),"",H4273/I4273)</f>
        <v/>
      </c>
      <c r="N4273" s="21">
        <f>IF(J4273="Yes","",IF(H4273&gt;=I4273,1,0))</f>
        <v/>
      </c>
      <c r="O4273" s="21">
        <f>IF(I4273&lt;=5000000,"Under $5M",IF(I4273&lt;=20000000,"$5M-20M",IF(I4273&lt;=50000000,"$20M-50M",IF(I4273&lt;=100000000,"$50M-100M","$100M+"))))</f>
        <v/>
      </c>
      <c r="P4273" s="21">
        <f>IF(E4273&lt;=90,"90 or less",IF(E4273&lt;=105,"91-105",IF(E4273&lt;=120,"106-120",IF(E4273&lt;=140,"121-140","Over 140"))))</f>
        <v/>
      </c>
      <c r="Q4273" s="28">
        <f>INT(C4273/10)*10</f>
        <v/>
      </c>
    </row>
    <row r="4274">
      <c r="A4274" s="21" t="n">
        <v>4363</v>
      </c>
      <c r="B4274" s="21" t="inlineStr">
        <is>
          <t>Amnesiac</t>
        </is>
      </c>
      <c r="C4274" s="21" t="n">
        <v>2014</v>
      </c>
      <c r="D4274" s="21" t="inlineStr">
        <is>
          <t>USA</t>
        </is>
      </c>
      <c r="E4274" s="21" t="n">
        <v>90</v>
      </c>
      <c r="F4274" s="21" t="inlineStr">
        <is>
          <t>English</t>
        </is>
      </c>
      <c r="G4274" s="21" t="n"/>
      <c r="H4274" s="22" t="n">
        <v>25529689.5</v>
      </c>
      <c r="I4274" s="22" t="n">
        <v>3000000</v>
      </c>
      <c r="J4274" s="21">
        <f>IF(OR(H4274="",H4274=25529689.5),"Yes","No")</f>
        <v/>
      </c>
      <c r="K4274" s="21">
        <f>IF(AND(D4274="USA",C4274&gt;=1980,J4274="No"),"Yes","No")</f>
        <v/>
      </c>
      <c r="L4274" s="26">
        <f>IF(J4274="Yes","",H4274-I4274)</f>
        <v/>
      </c>
      <c r="M4274" s="27">
        <f>IF(OR(J4274="Yes",I4274=0),"",H4274/I4274)</f>
        <v/>
      </c>
      <c r="N4274" s="21">
        <f>IF(J4274="Yes","",IF(H4274&gt;=I4274,1,0))</f>
        <v/>
      </c>
      <c r="O4274" s="21">
        <f>IF(I4274&lt;=5000000,"Under $5M",IF(I4274&lt;=20000000,"$5M-20M",IF(I4274&lt;=50000000,"$20M-50M",IF(I4274&lt;=100000000,"$50M-100M","$100M+"))))</f>
        <v/>
      </c>
      <c r="P4274" s="21">
        <f>IF(E4274&lt;=90,"90 or less",IF(E4274&lt;=105,"91-105",IF(E4274&lt;=120,"106-120",IF(E4274&lt;=140,"121-140","Over 140"))))</f>
        <v/>
      </c>
      <c r="Q4274" s="28">
        <f>INT(C4274/10)*10</f>
        <v/>
      </c>
    </row>
    <row r="4275">
      <c r="A4275" s="21" t="n">
        <v>4364</v>
      </c>
      <c r="B4275" s="21" t="inlineStr">
        <is>
          <t>An American in Hollywood</t>
        </is>
      </c>
      <c r="C4275" s="21" t="n">
        <v>2014</v>
      </c>
      <c r="D4275" s="21" t="inlineStr">
        <is>
          <t>USA</t>
        </is>
      </c>
      <c r="E4275" s="21" t="n">
        <v>89</v>
      </c>
      <c r="F4275" s="21" t="inlineStr">
        <is>
          <t>English</t>
        </is>
      </c>
      <c r="G4275" s="21" t="inlineStr">
        <is>
          <t>R</t>
        </is>
      </c>
      <c r="H4275" s="22" t="n">
        <v>25529689.5</v>
      </c>
      <c r="I4275" s="22" t="n">
        <v>125000</v>
      </c>
      <c r="J4275" s="21">
        <f>IF(OR(H4275="",H4275=25529689.5),"Yes","No")</f>
        <v/>
      </c>
      <c r="K4275" s="21">
        <f>IF(AND(D4275="USA",C4275&gt;=1980,J4275="No"),"Yes","No")</f>
        <v/>
      </c>
      <c r="L4275" s="26">
        <f>IF(J4275="Yes","",H4275-I4275)</f>
        <v/>
      </c>
      <c r="M4275" s="27">
        <f>IF(OR(J4275="Yes",I4275=0),"",H4275/I4275)</f>
        <v/>
      </c>
      <c r="N4275" s="21">
        <f>IF(J4275="Yes","",IF(H4275&gt;=I4275,1,0))</f>
        <v/>
      </c>
      <c r="O4275" s="21">
        <f>IF(I4275&lt;=5000000,"Under $5M",IF(I4275&lt;=20000000,"$5M-20M",IF(I4275&lt;=50000000,"$20M-50M",IF(I4275&lt;=100000000,"$50M-100M","$100M+"))))</f>
        <v/>
      </c>
      <c r="P4275" s="21">
        <f>IF(E4275&lt;=90,"90 or less",IF(E4275&lt;=105,"91-105",IF(E4275&lt;=120,"106-120",IF(E4275&lt;=140,"121-140","Over 140"))))</f>
        <v/>
      </c>
      <c r="Q4275" s="28">
        <f>INT(C4275/10)*10</f>
        <v/>
      </c>
    </row>
    <row r="4276">
      <c r="A4276" s="21" t="n">
        <v>4365</v>
      </c>
      <c r="B4276" s="21" t="inlineStr">
        <is>
          <t>And So It Goes</t>
        </is>
      </c>
      <c r="C4276" s="21" t="n">
        <v>2014</v>
      </c>
      <c r="D4276" s="21" t="inlineStr">
        <is>
          <t>USA</t>
        </is>
      </c>
      <c r="E4276" s="21" t="n">
        <v>94</v>
      </c>
      <c r="F4276" s="21" t="inlineStr">
        <is>
          <t>English</t>
        </is>
      </c>
      <c r="G4276" s="21" t="inlineStr">
        <is>
          <t>PG-13</t>
        </is>
      </c>
      <c r="H4276" s="22" t="n">
        <v>15155772</v>
      </c>
      <c r="I4276" s="22" t="n">
        <v>18000000</v>
      </c>
      <c r="J4276" s="21">
        <f>IF(OR(H4276="",H4276=25529689.5),"Yes","No")</f>
        <v/>
      </c>
      <c r="K4276" s="21">
        <f>IF(AND(D4276="USA",C4276&gt;=1980,J4276="No"),"Yes","No")</f>
        <v/>
      </c>
      <c r="L4276" s="26">
        <f>IF(J4276="Yes","",H4276-I4276)</f>
        <v/>
      </c>
      <c r="M4276" s="27">
        <f>IF(OR(J4276="Yes",I4276=0),"",H4276/I4276)</f>
        <v/>
      </c>
      <c r="N4276" s="21">
        <f>IF(J4276="Yes","",IF(H4276&gt;=I4276,1,0))</f>
        <v/>
      </c>
      <c r="O4276" s="21">
        <f>IF(I4276&lt;=5000000,"Under $5M",IF(I4276&lt;=20000000,"$5M-20M",IF(I4276&lt;=50000000,"$20M-50M",IF(I4276&lt;=100000000,"$50M-100M","$100M+"))))</f>
        <v/>
      </c>
      <c r="P4276" s="21">
        <f>IF(E4276&lt;=90,"90 or less",IF(E4276&lt;=105,"91-105",IF(E4276&lt;=120,"106-120",IF(E4276&lt;=140,"121-140","Over 140"))))</f>
        <v/>
      </c>
      <c r="Q4276" s="28">
        <f>INT(C4276/10)*10</f>
        <v/>
      </c>
    </row>
    <row r="4277">
      <c r="A4277" s="21" t="n">
        <v>4366</v>
      </c>
      <c r="B4277" s="21" t="inlineStr">
        <is>
          <t>Animals</t>
        </is>
      </c>
      <c r="C4277" s="21" t="n">
        <v>2014</v>
      </c>
      <c r="D4277" s="21" t="inlineStr">
        <is>
          <t>USA</t>
        </is>
      </c>
      <c r="E4277" s="21" t="n">
        <v>90</v>
      </c>
      <c r="F4277" s="21" t="inlineStr">
        <is>
          <t>English</t>
        </is>
      </c>
      <c r="G4277" s="21" t="n"/>
      <c r="H4277" s="22" t="n">
        <v>25529689.5</v>
      </c>
      <c r="I4277" s="22" t="n">
        <v>20000000</v>
      </c>
      <c r="J4277" s="21">
        <f>IF(OR(H4277="",H4277=25529689.5),"Yes","No")</f>
        <v/>
      </c>
      <c r="K4277" s="21">
        <f>IF(AND(D4277="USA",C4277&gt;=1980,J4277="No"),"Yes","No")</f>
        <v/>
      </c>
      <c r="L4277" s="26">
        <f>IF(J4277="Yes","",H4277-I4277)</f>
        <v/>
      </c>
      <c r="M4277" s="27">
        <f>IF(OR(J4277="Yes",I4277=0),"",H4277/I4277)</f>
        <v/>
      </c>
      <c r="N4277" s="21">
        <f>IF(J4277="Yes","",IF(H4277&gt;=I4277,1,0))</f>
        <v/>
      </c>
      <c r="O4277" s="21">
        <f>IF(I4277&lt;=5000000,"Under $5M",IF(I4277&lt;=20000000,"$5M-20M",IF(I4277&lt;=50000000,"$20M-50M",IF(I4277&lt;=100000000,"$50M-100M","$100M+"))))</f>
        <v/>
      </c>
      <c r="P4277" s="21">
        <f>IF(E4277&lt;=90,"90 or less",IF(E4277&lt;=105,"91-105",IF(E4277&lt;=120,"106-120",IF(E4277&lt;=140,"121-140","Over 140"))))</f>
        <v/>
      </c>
      <c r="Q4277" s="28">
        <f>INT(C4277/10)*10</f>
        <v/>
      </c>
    </row>
    <row r="4278">
      <c r="A4278" s="21" t="n">
        <v>4367</v>
      </c>
      <c r="B4278" s="21" t="inlineStr">
        <is>
          <t>Annabelle</t>
        </is>
      </c>
      <c r="C4278" s="21" t="n">
        <v>2014</v>
      </c>
      <c r="D4278" s="21" t="inlineStr">
        <is>
          <t>USA</t>
        </is>
      </c>
      <c r="E4278" s="21" t="n">
        <v>99</v>
      </c>
      <c r="F4278" s="21" t="inlineStr">
        <is>
          <t>English</t>
        </is>
      </c>
      <c r="G4278" s="21" t="inlineStr">
        <is>
          <t>R</t>
        </is>
      </c>
      <c r="H4278" s="22" t="n">
        <v>84263837</v>
      </c>
      <c r="I4278" s="22" t="n">
        <v>6500000</v>
      </c>
      <c r="J4278" s="21">
        <f>IF(OR(H4278="",H4278=25529689.5),"Yes","No")</f>
        <v/>
      </c>
      <c r="K4278" s="21">
        <f>IF(AND(D4278="USA",C4278&gt;=1980,J4278="No"),"Yes","No")</f>
        <v/>
      </c>
      <c r="L4278" s="26">
        <f>IF(J4278="Yes","",H4278-I4278)</f>
        <v/>
      </c>
      <c r="M4278" s="27">
        <f>IF(OR(J4278="Yes",I4278=0),"",H4278/I4278)</f>
        <v/>
      </c>
      <c r="N4278" s="21">
        <f>IF(J4278="Yes","",IF(H4278&gt;=I4278,1,0))</f>
        <v/>
      </c>
      <c r="O4278" s="21">
        <f>IF(I4278&lt;=5000000,"Under $5M",IF(I4278&lt;=20000000,"$5M-20M",IF(I4278&lt;=50000000,"$20M-50M",IF(I4278&lt;=100000000,"$50M-100M","$100M+"))))</f>
        <v/>
      </c>
      <c r="P4278" s="21">
        <f>IF(E4278&lt;=90,"90 or less",IF(E4278&lt;=105,"91-105",IF(E4278&lt;=120,"106-120",IF(E4278&lt;=140,"121-140","Over 140"))))</f>
        <v/>
      </c>
      <c r="Q4278" s="28">
        <f>INT(C4278/10)*10</f>
        <v/>
      </c>
    </row>
    <row r="4279">
      <c r="A4279" s="21" t="n">
        <v>4368</v>
      </c>
      <c r="B4279" s="21" t="inlineStr">
        <is>
          <t>Annie</t>
        </is>
      </c>
      <c r="C4279" s="21" t="n">
        <v>2014</v>
      </c>
      <c r="D4279" s="21" t="inlineStr">
        <is>
          <t>USA</t>
        </is>
      </c>
      <c r="E4279" s="21" t="n">
        <v>118</v>
      </c>
      <c r="F4279" s="21" t="inlineStr">
        <is>
          <t>English</t>
        </is>
      </c>
      <c r="G4279" s="21" t="inlineStr">
        <is>
          <t>PG</t>
        </is>
      </c>
      <c r="H4279" s="22" t="n">
        <v>85911262</v>
      </c>
      <c r="I4279" s="22" t="n">
        <v>65000000</v>
      </c>
      <c r="J4279" s="21">
        <f>IF(OR(H4279="",H4279=25529689.5),"Yes","No")</f>
        <v/>
      </c>
      <c r="K4279" s="21">
        <f>IF(AND(D4279="USA",C4279&gt;=1980,J4279="No"),"Yes","No")</f>
        <v/>
      </c>
      <c r="L4279" s="26">
        <f>IF(J4279="Yes","",H4279-I4279)</f>
        <v/>
      </c>
      <c r="M4279" s="27">
        <f>IF(OR(J4279="Yes",I4279=0),"",H4279/I4279)</f>
        <v/>
      </c>
      <c r="N4279" s="21">
        <f>IF(J4279="Yes","",IF(H4279&gt;=I4279,1,0))</f>
        <v/>
      </c>
      <c r="O4279" s="21">
        <f>IF(I4279&lt;=5000000,"Under $5M",IF(I4279&lt;=20000000,"$5M-20M",IF(I4279&lt;=50000000,"$20M-50M",IF(I4279&lt;=100000000,"$50M-100M","$100M+"))))</f>
        <v/>
      </c>
      <c r="P4279" s="21">
        <f>IF(E4279&lt;=90,"90 or less",IF(E4279&lt;=105,"91-105",IF(E4279&lt;=120,"106-120",IF(E4279&lt;=140,"121-140","Over 140"))))</f>
        <v/>
      </c>
      <c r="Q4279" s="28">
        <f>INT(C4279/10)*10</f>
        <v/>
      </c>
    </row>
    <row r="4280">
      <c r="A4280" s="21" t="n">
        <v>4369</v>
      </c>
      <c r="B4280" s="21" t="inlineStr">
        <is>
          <t>As Above, So Below</t>
        </is>
      </c>
      <c r="C4280" s="21" t="n">
        <v>2014</v>
      </c>
      <c r="D4280" s="21" t="inlineStr">
        <is>
          <t>USA</t>
        </is>
      </c>
      <c r="E4280" s="21" t="n">
        <v>93</v>
      </c>
      <c r="F4280" s="21" t="inlineStr">
        <is>
          <t>English</t>
        </is>
      </c>
      <c r="G4280" s="21" t="inlineStr">
        <is>
          <t>R</t>
        </is>
      </c>
      <c r="H4280" s="22" t="n">
        <v>21197315</v>
      </c>
      <c r="I4280" s="22" t="n">
        <v>5000000</v>
      </c>
      <c r="J4280" s="21">
        <f>IF(OR(H4280="",H4280=25529689.5),"Yes","No")</f>
        <v/>
      </c>
      <c r="K4280" s="21">
        <f>IF(AND(D4280="USA",C4280&gt;=1980,J4280="No"),"Yes","No")</f>
        <v/>
      </c>
      <c r="L4280" s="26">
        <f>IF(J4280="Yes","",H4280-I4280)</f>
        <v/>
      </c>
      <c r="M4280" s="27">
        <f>IF(OR(J4280="Yes",I4280=0),"",H4280/I4280)</f>
        <v/>
      </c>
      <c r="N4280" s="21">
        <f>IF(J4280="Yes","",IF(H4280&gt;=I4280,1,0))</f>
        <v/>
      </c>
      <c r="O4280" s="21">
        <f>IF(I4280&lt;=5000000,"Under $5M",IF(I4280&lt;=20000000,"$5M-20M",IF(I4280&lt;=50000000,"$20M-50M",IF(I4280&lt;=100000000,"$50M-100M","$100M+"))))</f>
        <v/>
      </c>
      <c r="P4280" s="21">
        <f>IF(E4280&lt;=90,"90 or less",IF(E4280&lt;=105,"91-105",IF(E4280&lt;=120,"106-120",IF(E4280&lt;=140,"121-140","Over 140"))))</f>
        <v/>
      </c>
      <c r="Q4280" s="28">
        <f>INT(C4280/10)*10</f>
        <v/>
      </c>
    </row>
    <row r="4281">
      <c r="A4281" s="21" t="n">
        <v>4370</v>
      </c>
      <c r="B4281" s="21" t="inlineStr">
        <is>
          <t>Ask Me Anything</t>
        </is>
      </c>
      <c r="C4281" s="21" t="n">
        <v>2014</v>
      </c>
      <c r="D4281" s="21" t="inlineStr">
        <is>
          <t>USA</t>
        </is>
      </c>
      <c r="E4281" s="21" t="n">
        <v>100</v>
      </c>
      <c r="F4281" s="21" t="inlineStr">
        <is>
          <t>English</t>
        </is>
      </c>
      <c r="G4281" s="21" t="inlineStr">
        <is>
          <t>Not Rated</t>
        </is>
      </c>
      <c r="H4281" s="22" t="n">
        <v>25529689.5</v>
      </c>
      <c r="I4281" s="22" t="n">
        <v>950000</v>
      </c>
      <c r="J4281" s="21">
        <f>IF(OR(H4281="",H4281=25529689.5),"Yes","No")</f>
        <v/>
      </c>
      <c r="K4281" s="21">
        <f>IF(AND(D4281="USA",C4281&gt;=1980,J4281="No"),"Yes","No")</f>
        <v/>
      </c>
      <c r="L4281" s="26">
        <f>IF(J4281="Yes","",H4281-I4281)</f>
        <v/>
      </c>
      <c r="M4281" s="27">
        <f>IF(OR(J4281="Yes",I4281=0),"",H4281/I4281)</f>
        <v/>
      </c>
      <c r="N4281" s="21">
        <f>IF(J4281="Yes","",IF(H4281&gt;=I4281,1,0))</f>
        <v/>
      </c>
      <c r="O4281" s="21">
        <f>IF(I4281&lt;=5000000,"Under $5M",IF(I4281&lt;=20000000,"$5M-20M",IF(I4281&lt;=50000000,"$20M-50M",IF(I4281&lt;=100000000,"$50M-100M","$100M+"))))</f>
        <v/>
      </c>
      <c r="P4281" s="21">
        <f>IF(E4281&lt;=90,"90 or less",IF(E4281&lt;=105,"91-105",IF(E4281&lt;=120,"106-120",IF(E4281&lt;=140,"121-140","Over 140"))))</f>
        <v/>
      </c>
      <c r="Q4281" s="28">
        <f>INT(C4281/10)*10</f>
        <v/>
      </c>
    </row>
    <row r="4282">
      <c r="A4282" s="21" t="n">
        <v>4371</v>
      </c>
      <c r="B4282" s="21" t="inlineStr">
        <is>
          <t>Atlas Shrugged: Who Is John Galt?</t>
        </is>
      </c>
      <c r="C4282" s="21" t="n">
        <v>2014</v>
      </c>
      <c r="D4282" s="21" t="inlineStr">
        <is>
          <t>USA</t>
        </is>
      </c>
      <c r="E4282" s="21" t="n">
        <v>99</v>
      </c>
      <c r="F4282" s="21" t="inlineStr">
        <is>
          <t>English</t>
        </is>
      </c>
      <c r="G4282" s="21" t="inlineStr">
        <is>
          <t>PG-13</t>
        </is>
      </c>
      <c r="H4282" s="22" t="n">
        <v>830210</v>
      </c>
      <c r="I4282" s="22" t="n">
        <v>5000000</v>
      </c>
      <c r="J4282" s="21">
        <f>IF(OR(H4282="",H4282=25529689.5),"Yes","No")</f>
        <v/>
      </c>
      <c r="K4282" s="21">
        <f>IF(AND(D4282="USA",C4282&gt;=1980,J4282="No"),"Yes","No")</f>
        <v/>
      </c>
      <c r="L4282" s="26">
        <f>IF(J4282="Yes","",H4282-I4282)</f>
        <v/>
      </c>
      <c r="M4282" s="27">
        <f>IF(OR(J4282="Yes",I4282=0),"",H4282/I4282)</f>
        <v/>
      </c>
      <c r="N4282" s="21">
        <f>IF(J4282="Yes","",IF(H4282&gt;=I4282,1,0))</f>
        <v/>
      </c>
      <c r="O4282" s="21">
        <f>IF(I4282&lt;=5000000,"Under $5M",IF(I4282&lt;=20000000,"$5M-20M",IF(I4282&lt;=50000000,"$20M-50M",IF(I4282&lt;=100000000,"$50M-100M","$100M+"))))</f>
        <v/>
      </c>
      <c r="P4282" s="21">
        <f>IF(E4282&lt;=90,"90 or less",IF(E4282&lt;=105,"91-105",IF(E4282&lt;=120,"106-120",IF(E4282&lt;=140,"121-140","Over 140"))))</f>
        <v/>
      </c>
      <c r="Q4282" s="28">
        <f>INT(C4282/10)*10</f>
        <v/>
      </c>
    </row>
    <row r="4283">
      <c r="A4283" s="21" t="n">
        <v>4372</v>
      </c>
      <c r="B4283" s="21" t="inlineStr">
        <is>
          <t>Automata</t>
        </is>
      </c>
      <c r="C4283" s="21" t="n">
        <v>2014</v>
      </c>
      <c r="D4283" s="21" t="inlineStr">
        <is>
          <t>Bulgaria</t>
        </is>
      </c>
      <c r="E4283" s="21" t="n">
        <v>109</v>
      </c>
      <c r="F4283" s="21" t="inlineStr">
        <is>
          <t>English</t>
        </is>
      </c>
      <c r="G4283" s="21" t="inlineStr">
        <is>
          <t>R</t>
        </is>
      </c>
      <c r="H4283" s="22" t="n">
        <v>25529689.5</v>
      </c>
      <c r="I4283" s="22" t="n">
        <v>7000000</v>
      </c>
      <c r="J4283" s="21">
        <f>IF(OR(H4283="",H4283=25529689.5),"Yes","No")</f>
        <v/>
      </c>
      <c r="K4283" s="21">
        <f>IF(AND(D4283="USA",C4283&gt;=1980,J4283="No"),"Yes","No")</f>
        <v/>
      </c>
      <c r="L4283" s="26">
        <f>IF(J4283="Yes","",H4283-I4283)</f>
        <v/>
      </c>
      <c r="M4283" s="27">
        <f>IF(OR(J4283="Yes",I4283=0),"",H4283/I4283)</f>
        <v/>
      </c>
      <c r="N4283" s="21">
        <f>IF(J4283="Yes","",IF(H4283&gt;=I4283,1,0))</f>
        <v/>
      </c>
      <c r="O4283" s="21">
        <f>IF(I4283&lt;=5000000,"Under $5M",IF(I4283&lt;=20000000,"$5M-20M",IF(I4283&lt;=50000000,"$20M-50M",IF(I4283&lt;=100000000,"$50M-100M","$100M+"))))</f>
        <v/>
      </c>
      <c r="P4283" s="21">
        <f>IF(E4283&lt;=90,"90 or less",IF(E4283&lt;=105,"91-105",IF(E4283&lt;=120,"106-120",IF(E4283&lt;=140,"121-140","Over 140"))))</f>
        <v/>
      </c>
      <c r="Q4283" s="28">
        <f>INT(C4283/10)*10</f>
        <v/>
      </c>
    </row>
    <row r="4284">
      <c r="A4284" s="21" t="n">
        <v>4373</v>
      </c>
      <c r="B4284" s="21" t="inlineStr">
        <is>
          <t>Bang Bang Baby</t>
        </is>
      </c>
      <c r="C4284" s="21" t="n">
        <v>2014</v>
      </c>
      <c r="D4284" s="21" t="inlineStr">
        <is>
          <t>Canada</t>
        </is>
      </c>
      <c r="E4284" s="21" t="n">
        <v>90</v>
      </c>
      <c r="F4284" s="21" t="inlineStr">
        <is>
          <t>English</t>
        </is>
      </c>
      <c r="G4284" s="21" t="n"/>
      <c r="H4284" s="22" t="n">
        <v>25529689.5</v>
      </c>
      <c r="I4284" s="22" t="n">
        <v>1000000</v>
      </c>
      <c r="J4284" s="21">
        <f>IF(OR(H4284="",H4284=25529689.5),"Yes","No")</f>
        <v/>
      </c>
      <c r="K4284" s="21">
        <f>IF(AND(D4284="USA",C4284&gt;=1980,J4284="No"),"Yes","No")</f>
        <v/>
      </c>
      <c r="L4284" s="26">
        <f>IF(J4284="Yes","",H4284-I4284)</f>
        <v/>
      </c>
      <c r="M4284" s="27">
        <f>IF(OR(J4284="Yes",I4284=0),"",H4284/I4284)</f>
        <v/>
      </c>
      <c r="N4284" s="21">
        <f>IF(J4284="Yes","",IF(H4284&gt;=I4284,1,0))</f>
        <v/>
      </c>
      <c r="O4284" s="21">
        <f>IF(I4284&lt;=5000000,"Under $5M",IF(I4284&lt;=20000000,"$5M-20M",IF(I4284&lt;=50000000,"$20M-50M",IF(I4284&lt;=100000000,"$50M-100M","$100M+"))))</f>
        <v/>
      </c>
      <c r="P4284" s="21">
        <f>IF(E4284&lt;=90,"90 or less",IF(E4284&lt;=105,"91-105",IF(E4284&lt;=120,"106-120",IF(E4284&lt;=140,"121-140","Over 140"))))</f>
        <v/>
      </c>
      <c r="Q4284" s="28">
        <f>INT(C4284/10)*10</f>
        <v/>
      </c>
    </row>
    <row r="4285">
      <c r="A4285" s="21" t="n">
        <v>4374</v>
      </c>
      <c r="B4285" s="21" t="inlineStr">
        <is>
          <t>Barbecue</t>
        </is>
      </c>
      <c r="C4285" s="21" t="n">
        <v>2014</v>
      </c>
      <c r="D4285" s="21" t="inlineStr">
        <is>
          <t>France</t>
        </is>
      </c>
      <c r="E4285" s="21" t="n">
        <v>98</v>
      </c>
      <c r="F4285" s="21" t="inlineStr">
        <is>
          <t>French</t>
        </is>
      </c>
      <c r="G4285" s="21" t="n"/>
      <c r="H4285" s="22" t="n">
        <v>25529689.5</v>
      </c>
      <c r="I4285" s="22" t="n">
        <v>20000000</v>
      </c>
      <c r="J4285" s="21">
        <f>IF(OR(H4285="",H4285=25529689.5),"Yes","No")</f>
        <v/>
      </c>
      <c r="K4285" s="21">
        <f>IF(AND(D4285="USA",C4285&gt;=1980,J4285="No"),"Yes","No")</f>
        <v/>
      </c>
      <c r="L4285" s="26">
        <f>IF(J4285="Yes","",H4285-I4285)</f>
        <v/>
      </c>
      <c r="M4285" s="27">
        <f>IF(OR(J4285="Yes",I4285=0),"",H4285/I4285)</f>
        <v/>
      </c>
      <c r="N4285" s="21">
        <f>IF(J4285="Yes","",IF(H4285&gt;=I4285,1,0))</f>
        <v/>
      </c>
      <c r="O4285" s="21">
        <f>IF(I4285&lt;=5000000,"Under $5M",IF(I4285&lt;=20000000,"$5M-20M",IF(I4285&lt;=50000000,"$20M-50M",IF(I4285&lt;=100000000,"$50M-100M","$100M+"))))</f>
        <v/>
      </c>
      <c r="P4285" s="21">
        <f>IF(E4285&lt;=90,"90 or less",IF(E4285&lt;=105,"91-105",IF(E4285&lt;=120,"106-120",IF(E4285&lt;=140,"121-140","Over 140"))))</f>
        <v/>
      </c>
      <c r="Q4285" s="28">
        <f>INT(C4285/10)*10</f>
        <v/>
      </c>
    </row>
    <row r="4286">
      <c r="A4286" s="21" t="n">
        <v>4375</v>
      </c>
      <c r="B4286" s="21" t="inlineStr">
        <is>
          <t>Before I Go to Sleep</t>
        </is>
      </c>
      <c r="C4286" s="21" t="n">
        <v>2014</v>
      </c>
      <c r="D4286" s="21" t="inlineStr">
        <is>
          <t>UK</t>
        </is>
      </c>
      <c r="E4286" s="21" t="n">
        <v>92</v>
      </c>
      <c r="F4286" s="21" t="inlineStr">
        <is>
          <t>English</t>
        </is>
      </c>
      <c r="G4286" s="21" t="inlineStr">
        <is>
          <t>R</t>
        </is>
      </c>
      <c r="H4286" s="22" t="n">
        <v>2963012</v>
      </c>
      <c r="I4286" s="22" t="n">
        <v>22000000</v>
      </c>
      <c r="J4286" s="21">
        <f>IF(OR(H4286="",H4286=25529689.5),"Yes","No")</f>
        <v/>
      </c>
      <c r="K4286" s="21">
        <f>IF(AND(D4286="USA",C4286&gt;=1980,J4286="No"),"Yes","No")</f>
        <v/>
      </c>
      <c r="L4286" s="26">
        <f>IF(J4286="Yes","",H4286-I4286)</f>
        <v/>
      </c>
      <c r="M4286" s="27">
        <f>IF(OR(J4286="Yes",I4286=0),"",H4286/I4286)</f>
        <v/>
      </c>
      <c r="N4286" s="21">
        <f>IF(J4286="Yes","",IF(H4286&gt;=I4286,1,0))</f>
        <v/>
      </c>
      <c r="O4286" s="21">
        <f>IF(I4286&lt;=5000000,"Under $5M",IF(I4286&lt;=20000000,"$5M-20M",IF(I4286&lt;=50000000,"$20M-50M",IF(I4286&lt;=100000000,"$50M-100M","$100M+"))))</f>
        <v/>
      </c>
      <c r="P4286" s="21">
        <f>IF(E4286&lt;=90,"90 or less",IF(E4286&lt;=105,"91-105",IF(E4286&lt;=120,"106-120",IF(E4286&lt;=140,"121-140","Over 140"))))</f>
        <v/>
      </c>
      <c r="Q4286" s="28">
        <f>INT(C4286/10)*10</f>
        <v/>
      </c>
    </row>
    <row r="4287">
      <c r="A4287" s="21" t="n">
        <v>4376</v>
      </c>
      <c r="B4287" s="21" t="inlineStr">
        <is>
          <t>Beyond the Lights</t>
        </is>
      </c>
      <c r="C4287" s="21" t="n">
        <v>2014</v>
      </c>
      <c r="D4287" s="21" t="inlineStr">
        <is>
          <t>USA</t>
        </is>
      </c>
      <c r="E4287" s="21" t="n">
        <v>116</v>
      </c>
      <c r="F4287" s="21" t="inlineStr">
        <is>
          <t>English</t>
        </is>
      </c>
      <c r="G4287" s="21" t="inlineStr">
        <is>
          <t>PG-13</t>
        </is>
      </c>
      <c r="H4287" s="22" t="n">
        <v>14612840</v>
      </c>
      <c r="I4287" s="22" t="n">
        <v>7000000</v>
      </c>
      <c r="J4287" s="21">
        <f>IF(OR(H4287="",H4287=25529689.5),"Yes","No")</f>
        <v/>
      </c>
      <c r="K4287" s="21">
        <f>IF(AND(D4287="USA",C4287&gt;=1980,J4287="No"),"Yes","No")</f>
        <v/>
      </c>
      <c r="L4287" s="26">
        <f>IF(J4287="Yes","",H4287-I4287)</f>
        <v/>
      </c>
      <c r="M4287" s="27">
        <f>IF(OR(J4287="Yes",I4287=0),"",H4287/I4287)</f>
        <v/>
      </c>
      <c r="N4287" s="21">
        <f>IF(J4287="Yes","",IF(H4287&gt;=I4287,1,0))</f>
        <v/>
      </c>
      <c r="O4287" s="21">
        <f>IF(I4287&lt;=5000000,"Under $5M",IF(I4287&lt;=20000000,"$5M-20M",IF(I4287&lt;=50000000,"$20M-50M",IF(I4287&lt;=100000000,"$50M-100M","$100M+"))))</f>
        <v/>
      </c>
      <c r="P4287" s="21">
        <f>IF(E4287&lt;=90,"90 or less",IF(E4287&lt;=105,"91-105",IF(E4287&lt;=120,"106-120",IF(E4287&lt;=140,"121-140","Over 140"))))</f>
        <v/>
      </c>
      <c r="Q4287" s="28">
        <f>INT(C4287/10)*10</f>
        <v/>
      </c>
    </row>
    <row r="4288">
      <c r="A4288" s="21" t="n">
        <v>4377</v>
      </c>
      <c r="B4288" s="21" t="inlineStr">
        <is>
          <t>Big Eyes</t>
        </is>
      </c>
      <c r="C4288" s="21" t="n">
        <v>2014</v>
      </c>
      <c r="D4288" s="21" t="inlineStr">
        <is>
          <t>USA</t>
        </is>
      </c>
      <c r="E4288" s="21" t="n">
        <v>106</v>
      </c>
      <c r="F4288" s="21" t="inlineStr">
        <is>
          <t>English</t>
        </is>
      </c>
      <c r="G4288" s="21" t="inlineStr">
        <is>
          <t>PG-13</t>
        </is>
      </c>
      <c r="H4288" s="22" t="n">
        <v>14479776</v>
      </c>
      <c r="I4288" s="22" t="n">
        <v>10000000</v>
      </c>
      <c r="J4288" s="21">
        <f>IF(OR(H4288="",H4288=25529689.5),"Yes","No")</f>
        <v/>
      </c>
      <c r="K4288" s="21">
        <f>IF(AND(D4288="USA",C4288&gt;=1980,J4288="No"),"Yes","No")</f>
        <v/>
      </c>
      <c r="L4288" s="26">
        <f>IF(J4288="Yes","",H4288-I4288)</f>
        <v/>
      </c>
      <c r="M4288" s="27">
        <f>IF(OR(J4288="Yes",I4288=0),"",H4288/I4288)</f>
        <v/>
      </c>
      <c r="N4288" s="21">
        <f>IF(J4288="Yes","",IF(H4288&gt;=I4288,1,0))</f>
        <v/>
      </c>
      <c r="O4288" s="21">
        <f>IF(I4288&lt;=5000000,"Under $5M",IF(I4288&lt;=20000000,"$5M-20M",IF(I4288&lt;=50000000,"$20M-50M",IF(I4288&lt;=100000000,"$50M-100M","$100M+"))))</f>
        <v/>
      </c>
      <c r="P4288" s="21">
        <f>IF(E4288&lt;=90,"90 or less",IF(E4288&lt;=105,"91-105",IF(E4288&lt;=120,"106-120",IF(E4288&lt;=140,"121-140","Over 140"))))</f>
        <v/>
      </c>
      <c r="Q4288" s="28">
        <f>INT(C4288/10)*10</f>
        <v/>
      </c>
    </row>
    <row r="4289">
      <c r="A4289" s="21" t="n">
        <v>4378</v>
      </c>
      <c r="B4289" s="21" t="inlineStr">
        <is>
          <t>Big Hero 6</t>
        </is>
      </c>
      <c r="C4289" s="21" t="n">
        <v>2014</v>
      </c>
      <c r="D4289" s="21" t="inlineStr">
        <is>
          <t>USA</t>
        </is>
      </c>
      <c r="E4289" s="21" t="n">
        <v>102</v>
      </c>
      <c r="F4289" s="21" t="inlineStr">
        <is>
          <t>English</t>
        </is>
      </c>
      <c r="G4289" s="21" t="inlineStr">
        <is>
          <t>PG</t>
        </is>
      </c>
      <c r="H4289" s="22" t="n">
        <v>222487711</v>
      </c>
      <c r="I4289" s="22" t="n">
        <v>165000000</v>
      </c>
      <c r="J4289" s="21">
        <f>IF(OR(H4289="",H4289=25529689.5),"Yes","No")</f>
        <v/>
      </c>
      <c r="K4289" s="21">
        <f>IF(AND(D4289="USA",C4289&gt;=1980,J4289="No"),"Yes","No")</f>
        <v/>
      </c>
      <c r="L4289" s="26">
        <f>IF(J4289="Yes","",H4289-I4289)</f>
        <v/>
      </c>
      <c r="M4289" s="27">
        <f>IF(OR(J4289="Yes",I4289=0),"",H4289/I4289)</f>
        <v/>
      </c>
      <c r="N4289" s="21">
        <f>IF(J4289="Yes","",IF(H4289&gt;=I4289,1,0))</f>
        <v/>
      </c>
      <c r="O4289" s="21">
        <f>IF(I4289&lt;=5000000,"Under $5M",IF(I4289&lt;=20000000,"$5M-20M",IF(I4289&lt;=50000000,"$20M-50M",IF(I4289&lt;=100000000,"$50M-100M","$100M+"))))</f>
        <v/>
      </c>
      <c r="P4289" s="21">
        <f>IF(E4289&lt;=90,"90 or less",IF(E4289&lt;=105,"91-105",IF(E4289&lt;=120,"106-120",IF(E4289&lt;=140,"121-140","Over 140"))))</f>
        <v/>
      </c>
      <c r="Q4289" s="28">
        <f>INT(C4289/10)*10</f>
        <v/>
      </c>
    </row>
    <row r="4290">
      <c r="A4290" s="21" t="n">
        <v>4379</v>
      </c>
      <c r="B4290" s="21" t="inlineStr">
        <is>
          <t>Birdman or (The Unexpected Virtue of Ignorance)</t>
        </is>
      </c>
      <c r="C4290" s="21" t="n">
        <v>2014</v>
      </c>
      <c r="D4290" s="21" t="inlineStr">
        <is>
          <t>USA</t>
        </is>
      </c>
      <c r="E4290" s="21" t="n">
        <v>119</v>
      </c>
      <c r="F4290" s="21" t="inlineStr">
        <is>
          <t>English</t>
        </is>
      </c>
      <c r="G4290" s="21" t="inlineStr">
        <is>
          <t>R</t>
        </is>
      </c>
      <c r="H4290" s="22" t="n">
        <v>42335698</v>
      </c>
      <c r="I4290" s="22" t="n">
        <v>18000000</v>
      </c>
      <c r="J4290" s="21">
        <f>IF(OR(H4290="",H4290=25529689.5),"Yes","No")</f>
        <v/>
      </c>
      <c r="K4290" s="21">
        <f>IF(AND(D4290="USA",C4290&gt;=1980,J4290="No"),"Yes","No")</f>
        <v/>
      </c>
      <c r="L4290" s="26">
        <f>IF(J4290="Yes","",H4290-I4290)</f>
        <v/>
      </c>
      <c r="M4290" s="27">
        <f>IF(OR(J4290="Yes",I4290=0),"",H4290/I4290)</f>
        <v/>
      </c>
      <c r="N4290" s="21">
        <f>IF(J4290="Yes","",IF(H4290&gt;=I4290,1,0))</f>
        <v/>
      </c>
      <c r="O4290" s="21">
        <f>IF(I4290&lt;=5000000,"Under $5M",IF(I4290&lt;=20000000,"$5M-20M",IF(I4290&lt;=50000000,"$20M-50M",IF(I4290&lt;=100000000,"$50M-100M","$100M+"))))</f>
        <v/>
      </c>
      <c r="P4290" s="21">
        <f>IF(E4290&lt;=90,"90 or less",IF(E4290&lt;=105,"91-105",IF(E4290&lt;=120,"106-120",IF(E4290&lt;=140,"121-140","Over 140"))))</f>
        <v/>
      </c>
      <c r="Q4290" s="28">
        <f>INT(C4290/10)*10</f>
        <v/>
      </c>
    </row>
    <row r="4291">
      <c r="A4291" s="21" t="n">
        <v>4380</v>
      </c>
      <c r="B4291" s="21" t="inlineStr">
        <is>
          <t>Black or White</t>
        </is>
      </c>
      <c r="C4291" s="21" t="n">
        <v>2014</v>
      </c>
      <c r="D4291" s="21" t="inlineStr">
        <is>
          <t>USA</t>
        </is>
      </c>
      <c r="E4291" s="21" t="n">
        <v>121</v>
      </c>
      <c r="F4291" s="21" t="inlineStr">
        <is>
          <t>English</t>
        </is>
      </c>
      <c r="G4291" s="21" t="inlineStr">
        <is>
          <t>PG-13</t>
        </is>
      </c>
      <c r="H4291" s="22" t="n">
        <v>21569041</v>
      </c>
      <c r="I4291" s="22" t="n">
        <v>9000000</v>
      </c>
      <c r="J4291" s="21">
        <f>IF(OR(H4291="",H4291=25529689.5),"Yes","No")</f>
        <v/>
      </c>
      <c r="K4291" s="21">
        <f>IF(AND(D4291="USA",C4291&gt;=1980,J4291="No"),"Yes","No")</f>
        <v/>
      </c>
      <c r="L4291" s="26">
        <f>IF(J4291="Yes","",H4291-I4291)</f>
        <v/>
      </c>
      <c r="M4291" s="27">
        <f>IF(OR(J4291="Yes",I4291=0),"",H4291/I4291)</f>
        <v/>
      </c>
      <c r="N4291" s="21">
        <f>IF(J4291="Yes","",IF(H4291&gt;=I4291,1,0))</f>
        <v/>
      </c>
      <c r="O4291" s="21">
        <f>IF(I4291&lt;=5000000,"Under $5M",IF(I4291&lt;=20000000,"$5M-20M",IF(I4291&lt;=50000000,"$20M-50M",IF(I4291&lt;=100000000,"$50M-100M","$100M+"))))</f>
        <v/>
      </c>
      <c r="P4291" s="21">
        <f>IF(E4291&lt;=90,"90 or less",IF(E4291&lt;=105,"91-105",IF(E4291&lt;=120,"106-120",IF(E4291&lt;=140,"121-140","Over 140"))))</f>
        <v/>
      </c>
      <c r="Q4291" s="28">
        <f>INT(C4291/10)*10</f>
        <v/>
      </c>
    </row>
    <row r="4292">
      <c r="A4292" s="21" t="n">
        <v>4381</v>
      </c>
      <c r="B4292" s="21" t="inlineStr">
        <is>
          <t>Blended</t>
        </is>
      </c>
      <c r="C4292" s="21" t="n">
        <v>2014</v>
      </c>
      <c r="D4292" s="21" t="inlineStr">
        <is>
          <t>USA</t>
        </is>
      </c>
      <c r="E4292" s="21" t="n">
        <v>117</v>
      </c>
      <c r="F4292" s="21" t="inlineStr">
        <is>
          <t>English</t>
        </is>
      </c>
      <c r="G4292" s="21" t="inlineStr">
        <is>
          <t>PG-13</t>
        </is>
      </c>
      <c r="H4292" s="22" t="n">
        <v>46280507</v>
      </c>
      <c r="I4292" s="22" t="n">
        <v>40000000</v>
      </c>
      <c r="J4292" s="21">
        <f>IF(OR(H4292="",H4292=25529689.5),"Yes","No")</f>
        <v/>
      </c>
      <c r="K4292" s="21">
        <f>IF(AND(D4292="USA",C4292&gt;=1980,J4292="No"),"Yes","No")</f>
        <v/>
      </c>
      <c r="L4292" s="26">
        <f>IF(J4292="Yes","",H4292-I4292)</f>
        <v/>
      </c>
      <c r="M4292" s="27">
        <f>IF(OR(J4292="Yes",I4292=0),"",H4292/I4292)</f>
        <v/>
      </c>
      <c r="N4292" s="21">
        <f>IF(J4292="Yes","",IF(H4292&gt;=I4292,1,0))</f>
        <v/>
      </c>
      <c r="O4292" s="21">
        <f>IF(I4292&lt;=5000000,"Under $5M",IF(I4292&lt;=20000000,"$5M-20M",IF(I4292&lt;=50000000,"$20M-50M",IF(I4292&lt;=100000000,"$50M-100M","$100M+"))))</f>
        <v/>
      </c>
      <c r="P4292" s="21">
        <f>IF(E4292&lt;=90,"90 or less",IF(E4292&lt;=105,"91-105",IF(E4292&lt;=120,"106-120",IF(E4292&lt;=140,"121-140","Over 140"))))</f>
        <v/>
      </c>
      <c r="Q4292" s="28">
        <f>INT(C4292/10)*10</f>
        <v/>
      </c>
    </row>
    <row r="4293">
      <c r="A4293" s="21" t="n">
        <v>4382</v>
      </c>
      <c r="B4293" s="21" t="inlineStr">
        <is>
          <t>Born of War</t>
        </is>
      </c>
      <c r="C4293" s="21" t="n">
        <v>2014</v>
      </c>
      <c r="D4293" s="21" t="inlineStr">
        <is>
          <t>UK</t>
        </is>
      </c>
      <c r="E4293" s="21" t="n">
        <v>109</v>
      </c>
      <c r="F4293" s="21" t="inlineStr">
        <is>
          <t>English</t>
        </is>
      </c>
      <c r="G4293" s="21" t="inlineStr">
        <is>
          <t>R</t>
        </is>
      </c>
      <c r="H4293" s="22" t="n">
        <v>25529689.5</v>
      </c>
      <c r="I4293" s="22" t="n">
        <v>5000000</v>
      </c>
      <c r="J4293" s="21">
        <f>IF(OR(H4293="",H4293=25529689.5),"Yes","No")</f>
        <v/>
      </c>
      <c r="K4293" s="21">
        <f>IF(AND(D4293="USA",C4293&gt;=1980,J4293="No"),"Yes","No")</f>
        <v/>
      </c>
      <c r="L4293" s="26">
        <f>IF(J4293="Yes","",H4293-I4293)</f>
        <v/>
      </c>
      <c r="M4293" s="27">
        <f>IF(OR(J4293="Yes",I4293=0),"",H4293/I4293)</f>
        <v/>
      </c>
      <c r="N4293" s="21">
        <f>IF(J4293="Yes","",IF(H4293&gt;=I4293,1,0))</f>
        <v/>
      </c>
      <c r="O4293" s="21">
        <f>IF(I4293&lt;=5000000,"Under $5M",IF(I4293&lt;=20000000,"$5M-20M",IF(I4293&lt;=50000000,"$20M-50M",IF(I4293&lt;=100000000,"$50M-100M","$100M+"))))</f>
        <v/>
      </c>
      <c r="P4293" s="21">
        <f>IF(E4293&lt;=90,"90 or less",IF(E4293&lt;=105,"91-105",IF(E4293&lt;=120,"106-120",IF(E4293&lt;=140,"121-140","Over 140"))))</f>
        <v/>
      </c>
      <c r="Q4293" s="28">
        <f>INT(C4293/10)*10</f>
        <v/>
      </c>
    </row>
    <row r="4294">
      <c r="A4294" s="21" t="n">
        <v>4383</v>
      </c>
      <c r="B4294" s="21" t="inlineStr">
        <is>
          <t>Born to Fly: Elizabeth Streb vs. Gravity</t>
        </is>
      </c>
      <c r="C4294" s="21" t="n">
        <v>2014</v>
      </c>
      <c r="D4294" s="21" t="inlineStr">
        <is>
          <t>USA</t>
        </is>
      </c>
      <c r="E4294" s="21" t="n">
        <v>82</v>
      </c>
      <c r="F4294" s="21" t="inlineStr">
        <is>
          <t>English</t>
        </is>
      </c>
      <c r="G4294" s="21" t="n"/>
      <c r="H4294" s="22" t="n">
        <v>21199</v>
      </c>
      <c r="I4294" s="22" t="n">
        <v>500000</v>
      </c>
      <c r="J4294" s="21">
        <f>IF(OR(H4294="",H4294=25529689.5),"Yes","No")</f>
        <v/>
      </c>
      <c r="K4294" s="21">
        <f>IF(AND(D4294="USA",C4294&gt;=1980,J4294="No"),"Yes","No")</f>
        <v/>
      </c>
      <c r="L4294" s="26">
        <f>IF(J4294="Yes","",H4294-I4294)</f>
        <v/>
      </c>
      <c r="M4294" s="27">
        <f>IF(OR(J4294="Yes",I4294=0),"",H4294/I4294)</f>
        <v/>
      </c>
      <c r="N4294" s="21">
        <f>IF(J4294="Yes","",IF(H4294&gt;=I4294,1,0))</f>
        <v/>
      </c>
      <c r="O4294" s="21">
        <f>IF(I4294&lt;=5000000,"Under $5M",IF(I4294&lt;=20000000,"$5M-20M",IF(I4294&lt;=50000000,"$20M-50M",IF(I4294&lt;=100000000,"$50M-100M","$100M+"))))</f>
        <v/>
      </c>
      <c r="P4294" s="21">
        <f>IF(E4294&lt;=90,"90 or less",IF(E4294&lt;=105,"91-105",IF(E4294&lt;=120,"106-120",IF(E4294&lt;=140,"121-140","Over 140"))))</f>
        <v/>
      </c>
      <c r="Q4294" s="28">
        <f>INT(C4294/10)*10</f>
        <v/>
      </c>
    </row>
    <row r="4295">
      <c r="A4295" s="21" t="n">
        <v>4384</v>
      </c>
      <c r="B4295" s="21" t="inlineStr">
        <is>
          <t>Boyhood</t>
        </is>
      </c>
      <c r="C4295" s="21" t="n">
        <v>2014</v>
      </c>
      <c r="D4295" s="21" t="inlineStr">
        <is>
          <t>USA</t>
        </is>
      </c>
      <c r="E4295" s="21" t="n">
        <v>165</v>
      </c>
      <c r="F4295" s="21" t="inlineStr">
        <is>
          <t>English</t>
        </is>
      </c>
      <c r="G4295" s="21" t="inlineStr">
        <is>
          <t>R</t>
        </is>
      </c>
      <c r="H4295" s="22" t="n">
        <v>25359200</v>
      </c>
      <c r="I4295" s="22" t="n">
        <v>4000000</v>
      </c>
      <c r="J4295" s="21">
        <f>IF(OR(H4295="",H4295=25529689.5),"Yes","No")</f>
        <v/>
      </c>
      <c r="K4295" s="21">
        <f>IF(AND(D4295="USA",C4295&gt;=1980,J4295="No"),"Yes","No")</f>
        <v/>
      </c>
      <c r="L4295" s="26">
        <f>IF(J4295="Yes","",H4295-I4295)</f>
        <v/>
      </c>
      <c r="M4295" s="27">
        <f>IF(OR(J4295="Yes",I4295=0),"",H4295/I4295)</f>
        <v/>
      </c>
      <c r="N4295" s="21">
        <f>IF(J4295="Yes","",IF(H4295&gt;=I4295,1,0))</f>
        <v/>
      </c>
      <c r="O4295" s="21">
        <f>IF(I4295&lt;=5000000,"Under $5M",IF(I4295&lt;=20000000,"$5M-20M",IF(I4295&lt;=50000000,"$20M-50M",IF(I4295&lt;=100000000,"$50M-100M","$100M+"))))</f>
        <v/>
      </c>
      <c r="P4295" s="21">
        <f>IF(E4295&lt;=90,"90 or less",IF(E4295&lt;=105,"91-105",IF(E4295&lt;=120,"106-120",IF(E4295&lt;=140,"121-140","Over 140"))))</f>
        <v/>
      </c>
      <c r="Q4295" s="28">
        <f>INT(C4295/10)*10</f>
        <v/>
      </c>
    </row>
    <row r="4296">
      <c r="A4296" s="21" t="n">
        <v>4385</v>
      </c>
      <c r="B4296" s="21" t="inlineStr">
        <is>
          <t>Brick Mansions</t>
        </is>
      </c>
      <c r="C4296" s="21" t="n">
        <v>2014</v>
      </c>
      <c r="D4296" s="21" t="inlineStr">
        <is>
          <t>France</t>
        </is>
      </c>
      <c r="E4296" s="21" t="n">
        <v>100</v>
      </c>
      <c r="F4296" s="21" t="inlineStr">
        <is>
          <t>English</t>
        </is>
      </c>
      <c r="G4296" s="21" t="inlineStr">
        <is>
          <t>PG-13</t>
        </is>
      </c>
      <c r="H4296" s="22" t="n">
        <v>20285518</v>
      </c>
      <c r="I4296" s="22" t="n">
        <v>28000000</v>
      </c>
      <c r="J4296" s="21">
        <f>IF(OR(H4296="",H4296=25529689.5),"Yes","No")</f>
        <v/>
      </c>
      <c r="K4296" s="21">
        <f>IF(AND(D4296="USA",C4296&gt;=1980,J4296="No"),"Yes","No")</f>
        <v/>
      </c>
      <c r="L4296" s="26">
        <f>IF(J4296="Yes","",H4296-I4296)</f>
        <v/>
      </c>
      <c r="M4296" s="27">
        <f>IF(OR(J4296="Yes",I4296=0),"",H4296/I4296)</f>
        <v/>
      </c>
      <c r="N4296" s="21">
        <f>IF(J4296="Yes","",IF(H4296&gt;=I4296,1,0))</f>
        <v/>
      </c>
      <c r="O4296" s="21">
        <f>IF(I4296&lt;=5000000,"Under $5M",IF(I4296&lt;=20000000,"$5M-20M",IF(I4296&lt;=50000000,"$20M-50M",IF(I4296&lt;=100000000,"$50M-100M","$100M+"))))</f>
        <v/>
      </c>
      <c r="P4296" s="21">
        <f>IF(E4296&lt;=90,"90 or less",IF(E4296&lt;=105,"91-105",IF(E4296&lt;=120,"106-120",IF(E4296&lt;=140,"121-140","Over 140"))))</f>
        <v/>
      </c>
      <c r="Q4296" s="28">
        <f>INT(C4296/10)*10</f>
        <v/>
      </c>
    </row>
    <row r="4297">
      <c r="A4297" s="21" t="n">
        <v>4386</v>
      </c>
      <c r="B4297" s="21" t="inlineStr">
        <is>
          <t>Butterfly Girl</t>
        </is>
      </c>
      <c r="C4297" s="21" t="n">
        <v>2014</v>
      </c>
      <c r="D4297" s="21" t="inlineStr">
        <is>
          <t>USA</t>
        </is>
      </c>
      <c r="E4297" s="21" t="n">
        <v>78</v>
      </c>
      <c r="F4297" s="21" t="inlineStr">
        <is>
          <t>English</t>
        </is>
      </c>
      <c r="G4297" s="21" t="n"/>
      <c r="H4297" s="22" t="n">
        <v>25529689.5</v>
      </c>
      <c r="I4297" s="22" t="n">
        <v>180000</v>
      </c>
      <c r="J4297" s="21">
        <f>IF(OR(H4297="",H4297=25529689.5),"Yes","No")</f>
        <v/>
      </c>
      <c r="K4297" s="21">
        <f>IF(AND(D4297="USA",C4297&gt;=1980,J4297="No"),"Yes","No")</f>
        <v/>
      </c>
      <c r="L4297" s="26">
        <f>IF(J4297="Yes","",H4297-I4297)</f>
        <v/>
      </c>
      <c r="M4297" s="27">
        <f>IF(OR(J4297="Yes",I4297=0),"",H4297/I4297)</f>
        <v/>
      </c>
      <c r="N4297" s="21">
        <f>IF(J4297="Yes","",IF(H4297&gt;=I4297,1,0))</f>
        <v/>
      </c>
      <c r="O4297" s="21">
        <f>IF(I4297&lt;=5000000,"Under $5M",IF(I4297&lt;=20000000,"$5M-20M",IF(I4297&lt;=50000000,"$20M-50M",IF(I4297&lt;=100000000,"$50M-100M","$100M+"))))</f>
        <v/>
      </c>
      <c r="P4297" s="21">
        <f>IF(E4297&lt;=90,"90 or less",IF(E4297&lt;=105,"91-105",IF(E4297&lt;=120,"106-120",IF(E4297&lt;=140,"121-140","Over 140"))))</f>
        <v/>
      </c>
      <c r="Q4297" s="28">
        <f>INT(C4297/10)*10</f>
        <v/>
      </c>
    </row>
    <row r="4298">
      <c r="A4298" s="21" t="n">
        <v>4387</v>
      </c>
      <c r="B4298" s="21" t="inlineStr">
        <is>
          <t>Captain America: The Winter Soldier</t>
        </is>
      </c>
      <c r="C4298" s="21" t="n">
        <v>2014</v>
      </c>
      <c r="D4298" s="21" t="inlineStr">
        <is>
          <t>USA</t>
        </is>
      </c>
      <c r="E4298" s="21" t="n">
        <v>136</v>
      </c>
      <c r="F4298" s="21" t="inlineStr">
        <is>
          <t>English</t>
        </is>
      </c>
      <c r="G4298" s="21" t="inlineStr">
        <is>
          <t>PG-13</t>
        </is>
      </c>
      <c r="H4298" s="22" t="n">
        <v>259746958</v>
      </c>
      <c r="I4298" s="22" t="n">
        <v>170000000</v>
      </c>
      <c r="J4298" s="21">
        <f>IF(OR(H4298="",H4298=25529689.5),"Yes","No")</f>
        <v/>
      </c>
      <c r="K4298" s="21">
        <f>IF(AND(D4298="USA",C4298&gt;=1980,J4298="No"),"Yes","No")</f>
        <v/>
      </c>
      <c r="L4298" s="26">
        <f>IF(J4298="Yes","",H4298-I4298)</f>
        <v/>
      </c>
      <c r="M4298" s="27">
        <f>IF(OR(J4298="Yes",I4298=0),"",H4298/I4298)</f>
        <v/>
      </c>
      <c r="N4298" s="21">
        <f>IF(J4298="Yes","",IF(H4298&gt;=I4298,1,0))</f>
        <v/>
      </c>
      <c r="O4298" s="21">
        <f>IF(I4298&lt;=5000000,"Under $5M",IF(I4298&lt;=20000000,"$5M-20M",IF(I4298&lt;=50000000,"$20M-50M",IF(I4298&lt;=100000000,"$50M-100M","$100M+"))))</f>
        <v/>
      </c>
      <c r="P4298" s="21">
        <f>IF(E4298&lt;=90,"90 or less",IF(E4298&lt;=105,"91-105",IF(E4298&lt;=120,"106-120",IF(E4298&lt;=140,"121-140","Over 140"))))</f>
        <v/>
      </c>
      <c r="Q4298" s="28">
        <f>INT(C4298/10)*10</f>
        <v/>
      </c>
    </row>
    <row r="4299">
      <c r="A4299" s="21" t="n">
        <v>4388</v>
      </c>
      <c r="B4299" s="21" t="inlineStr">
        <is>
          <t>Closer to the Moon</t>
        </is>
      </c>
      <c r="C4299" s="21" t="n">
        <v>2014</v>
      </c>
      <c r="D4299" s="21" t="inlineStr">
        <is>
          <t>Romania</t>
        </is>
      </c>
      <c r="E4299" s="21" t="n">
        <v>112</v>
      </c>
      <c r="F4299" s="21" t="inlineStr">
        <is>
          <t>English</t>
        </is>
      </c>
      <c r="G4299" s="21" t="inlineStr">
        <is>
          <t>Not Rated</t>
        </is>
      </c>
      <c r="H4299" s="22" t="n">
        <v>25529689.5</v>
      </c>
      <c r="I4299" s="22" t="n">
        <v>5000000</v>
      </c>
      <c r="J4299" s="21">
        <f>IF(OR(H4299="",H4299=25529689.5),"Yes","No")</f>
        <v/>
      </c>
      <c r="K4299" s="21">
        <f>IF(AND(D4299="USA",C4299&gt;=1980,J4299="No"),"Yes","No")</f>
        <v/>
      </c>
      <c r="L4299" s="26">
        <f>IF(J4299="Yes","",H4299-I4299)</f>
        <v/>
      </c>
      <c r="M4299" s="27">
        <f>IF(OR(J4299="Yes",I4299=0),"",H4299/I4299)</f>
        <v/>
      </c>
      <c r="N4299" s="21">
        <f>IF(J4299="Yes","",IF(H4299&gt;=I4299,1,0))</f>
        <v/>
      </c>
      <c r="O4299" s="21">
        <f>IF(I4299&lt;=5000000,"Under $5M",IF(I4299&lt;=20000000,"$5M-20M",IF(I4299&lt;=50000000,"$20M-50M",IF(I4299&lt;=100000000,"$50M-100M","$100M+"))))</f>
        <v/>
      </c>
      <c r="P4299" s="21">
        <f>IF(E4299&lt;=90,"90 or less",IF(E4299&lt;=105,"91-105",IF(E4299&lt;=120,"106-120",IF(E4299&lt;=140,"121-140","Over 140"))))</f>
        <v/>
      </c>
      <c r="Q4299" s="28">
        <f>INT(C4299/10)*10</f>
        <v/>
      </c>
    </row>
    <row r="4300">
      <c r="A4300" s="21" t="n">
        <v>4389</v>
      </c>
      <c r="B4300" s="21" t="inlineStr">
        <is>
          <t>Coming Home</t>
        </is>
      </c>
      <c r="C4300" s="21" t="n">
        <v>2014</v>
      </c>
      <c r="D4300" s="21" t="inlineStr">
        <is>
          <t>China</t>
        </is>
      </c>
      <c r="E4300" s="21" t="n">
        <v>109</v>
      </c>
      <c r="F4300" s="21" t="inlineStr">
        <is>
          <t>Mandarin</t>
        </is>
      </c>
      <c r="G4300" s="21" t="inlineStr">
        <is>
          <t>PG-13</t>
        </is>
      </c>
      <c r="H4300" s="22" t="n">
        <v>377420</v>
      </c>
      <c r="I4300" s="22" t="n">
        <v>20000000</v>
      </c>
      <c r="J4300" s="21">
        <f>IF(OR(H4300="",H4300=25529689.5),"Yes","No")</f>
        <v/>
      </c>
      <c r="K4300" s="21">
        <f>IF(AND(D4300="USA",C4300&gt;=1980,J4300="No"),"Yes","No")</f>
        <v/>
      </c>
      <c r="L4300" s="26">
        <f>IF(J4300="Yes","",H4300-I4300)</f>
        <v/>
      </c>
      <c r="M4300" s="27">
        <f>IF(OR(J4300="Yes",I4300=0),"",H4300/I4300)</f>
        <v/>
      </c>
      <c r="N4300" s="21">
        <f>IF(J4300="Yes","",IF(H4300&gt;=I4300,1,0))</f>
        <v/>
      </c>
      <c r="O4300" s="21">
        <f>IF(I4300&lt;=5000000,"Under $5M",IF(I4300&lt;=20000000,"$5M-20M",IF(I4300&lt;=50000000,"$20M-50M",IF(I4300&lt;=100000000,"$50M-100M","$100M+"))))</f>
        <v/>
      </c>
      <c r="P4300" s="21">
        <f>IF(E4300&lt;=90,"90 or less",IF(E4300&lt;=105,"91-105",IF(E4300&lt;=120,"106-120",IF(E4300&lt;=140,"121-140","Over 140"))))</f>
        <v/>
      </c>
      <c r="Q4300" s="28">
        <f>INT(C4300/10)*10</f>
        <v/>
      </c>
    </row>
    <row r="4301">
      <c r="A4301" s="21" t="n">
        <v>4390</v>
      </c>
      <c r="B4301" s="21" t="inlineStr">
        <is>
          <t>Da Sweet Blood of Jesus</t>
        </is>
      </c>
      <c r="C4301" s="21" t="n">
        <v>2014</v>
      </c>
      <c r="D4301" s="21" t="inlineStr">
        <is>
          <t>USA</t>
        </is>
      </c>
      <c r="E4301" s="21" t="n">
        <v>123</v>
      </c>
      <c r="F4301" s="21" t="inlineStr">
        <is>
          <t>English</t>
        </is>
      </c>
      <c r="G4301" s="21" t="n"/>
      <c r="H4301" s="22" t="n">
        <v>25529689.5</v>
      </c>
      <c r="I4301" s="22" t="n">
        <v>1420000</v>
      </c>
      <c r="J4301" s="21">
        <f>IF(OR(H4301="",H4301=25529689.5),"Yes","No")</f>
        <v/>
      </c>
      <c r="K4301" s="21">
        <f>IF(AND(D4301="USA",C4301&gt;=1980,J4301="No"),"Yes","No")</f>
        <v/>
      </c>
      <c r="L4301" s="26">
        <f>IF(J4301="Yes","",H4301-I4301)</f>
        <v/>
      </c>
      <c r="M4301" s="27">
        <f>IF(OR(J4301="Yes",I4301=0),"",H4301/I4301)</f>
        <v/>
      </c>
      <c r="N4301" s="21">
        <f>IF(J4301="Yes","",IF(H4301&gt;=I4301,1,0))</f>
        <v/>
      </c>
      <c r="O4301" s="21">
        <f>IF(I4301&lt;=5000000,"Under $5M",IF(I4301&lt;=20000000,"$5M-20M",IF(I4301&lt;=50000000,"$20M-50M",IF(I4301&lt;=100000000,"$50M-100M","$100M+"))))</f>
        <v/>
      </c>
      <c r="P4301" s="21">
        <f>IF(E4301&lt;=90,"90 or less",IF(E4301&lt;=105,"91-105",IF(E4301&lt;=120,"106-120",IF(E4301&lt;=140,"121-140","Over 140"))))</f>
        <v/>
      </c>
      <c r="Q4301" s="28">
        <f>INT(C4301/10)*10</f>
        <v/>
      </c>
    </row>
    <row r="4302">
      <c r="A4302" s="21" t="n">
        <v>4391</v>
      </c>
      <c r="B4302" s="21" t="inlineStr">
        <is>
          <t>Dawn of the Crescent Moon</t>
        </is>
      </c>
      <c r="C4302" s="21" t="n">
        <v>2014</v>
      </c>
      <c r="D4302" s="21" t="inlineStr">
        <is>
          <t>USA</t>
        </is>
      </c>
      <c r="E4302" s="21" t="n">
        <v>95</v>
      </c>
      <c r="F4302" s="21" t="inlineStr">
        <is>
          <t>English</t>
        </is>
      </c>
      <c r="G4302" s="21" t="n"/>
      <c r="H4302" s="22" t="n">
        <v>25529689.5</v>
      </c>
      <c r="I4302" s="22" t="n">
        <v>75000</v>
      </c>
      <c r="J4302" s="21">
        <f>IF(OR(H4302="",H4302=25529689.5),"Yes","No")</f>
        <v/>
      </c>
      <c r="K4302" s="21">
        <f>IF(AND(D4302="USA",C4302&gt;=1980,J4302="No"),"Yes","No")</f>
        <v/>
      </c>
      <c r="L4302" s="26">
        <f>IF(J4302="Yes","",H4302-I4302)</f>
        <v/>
      </c>
      <c r="M4302" s="27">
        <f>IF(OR(J4302="Yes",I4302=0),"",H4302/I4302)</f>
        <v/>
      </c>
      <c r="N4302" s="21">
        <f>IF(J4302="Yes","",IF(H4302&gt;=I4302,1,0))</f>
        <v/>
      </c>
      <c r="O4302" s="21">
        <f>IF(I4302&lt;=5000000,"Under $5M",IF(I4302&lt;=20000000,"$5M-20M",IF(I4302&lt;=50000000,"$20M-50M",IF(I4302&lt;=100000000,"$50M-100M","$100M+"))))</f>
        <v/>
      </c>
      <c r="P4302" s="21">
        <f>IF(E4302&lt;=90,"90 or less",IF(E4302&lt;=105,"91-105",IF(E4302&lt;=120,"106-120",IF(E4302&lt;=140,"121-140","Over 140"))))</f>
        <v/>
      </c>
      <c r="Q4302" s="28">
        <f>INT(C4302/10)*10</f>
        <v/>
      </c>
    </row>
    <row r="4303">
      <c r="A4303" s="21" t="n">
        <v>4392</v>
      </c>
      <c r="B4303" s="21" t="inlineStr">
        <is>
          <t>Dawn of the Planet of the Apes</t>
        </is>
      </c>
      <c r="C4303" s="21" t="n">
        <v>2014</v>
      </c>
      <c r="D4303" s="21" t="inlineStr">
        <is>
          <t>USA</t>
        </is>
      </c>
      <c r="E4303" s="21" t="n">
        <v>130</v>
      </c>
      <c r="F4303" s="21" t="inlineStr">
        <is>
          <t>English</t>
        </is>
      </c>
      <c r="G4303" s="21" t="inlineStr">
        <is>
          <t>PG-13</t>
        </is>
      </c>
      <c r="H4303" s="22" t="n">
        <v>208543795</v>
      </c>
      <c r="I4303" s="22" t="n">
        <v>170000000</v>
      </c>
      <c r="J4303" s="21">
        <f>IF(OR(H4303="",H4303=25529689.5),"Yes","No")</f>
        <v/>
      </c>
      <c r="K4303" s="21">
        <f>IF(AND(D4303="USA",C4303&gt;=1980,J4303="No"),"Yes","No")</f>
        <v/>
      </c>
      <c r="L4303" s="26">
        <f>IF(J4303="Yes","",H4303-I4303)</f>
        <v/>
      </c>
      <c r="M4303" s="27">
        <f>IF(OR(J4303="Yes",I4303=0),"",H4303/I4303)</f>
        <v/>
      </c>
      <c r="N4303" s="21">
        <f>IF(J4303="Yes","",IF(H4303&gt;=I4303,1,0))</f>
        <v/>
      </c>
      <c r="O4303" s="21">
        <f>IF(I4303&lt;=5000000,"Under $5M",IF(I4303&lt;=20000000,"$5M-20M",IF(I4303&lt;=50000000,"$20M-50M",IF(I4303&lt;=100000000,"$50M-100M","$100M+"))))</f>
        <v/>
      </c>
      <c r="P4303" s="21">
        <f>IF(E4303&lt;=90,"90 or less",IF(E4303&lt;=105,"91-105",IF(E4303&lt;=120,"106-120",IF(E4303&lt;=140,"121-140","Over 140"))))</f>
        <v/>
      </c>
      <c r="Q4303" s="28">
        <f>INT(C4303/10)*10</f>
        <v/>
      </c>
    </row>
    <row r="4304">
      <c r="A4304" s="21" t="n">
        <v>4393</v>
      </c>
      <c r="B4304" s="21" t="inlineStr">
        <is>
          <t>Dawn Patrol</t>
        </is>
      </c>
      <c r="C4304" s="21" t="n">
        <v>2014</v>
      </c>
      <c r="D4304" s="21" t="n"/>
      <c r="E4304" s="21" t="n">
        <v>88</v>
      </c>
      <c r="F4304" s="21" t="inlineStr">
        <is>
          <t>English</t>
        </is>
      </c>
      <c r="G4304" s="21" t="n"/>
      <c r="H4304" s="22" t="n">
        <v>25529689.5</v>
      </c>
      <c r="I4304" s="22" t="n">
        <v>3500000</v>
      </c>
      <c r="J4304" s="21">
        <f>IF(OR(H4304="",H4304=25529689.5),"Yes","No")</f>
        <v/>
      </c>
      <c r="K4304" s="21">
        <f>IF(AND(D4304="USA",C4304&gt;=1980,J4304="No"),"Yes","No")</f>
        <v/>
      </c>
      <c r="L4304" s="26">
        <f>IF(J4304="Yes","",H4304-I4304)</f>
        <v/>
      </c>
      <c r="M4304" s="27">
        <f>IF(OR(J4304="Yes",I4304=0),"",H4304/I4304)</f>
        <v/>
      </c>
      <c r="N4304" s="21">
        <f>IF(J4304="Yes","",IF(H4304&gt;=I4304,1,0))</f>
        <v/>
      </c>
      <c r="O4304" s="21">
        <f>IF(I4304&lt;=5000000,"Under $5M",IF(I4304&lt;=20000000,"$5M-20M",IF(I4304&lt;=50000000,"$20M-50M",IF(I4304&lt;=100000000,"$50M-100M","$100M+"))))</f>
        <v/>
      </c>
      <c r="P4304" s="21">
        <f>IF(E4304&lt;=90,"90 or less",IF(E4304&lt;=105,"91-105",IF(E4304&lt;=120,"106-120",IF(E4304&lt;=140,"121-140","Over 140"))))</f>
        <v/>
      </c>
      <c r="Q4304" s="28">
        <f>INT(C4304/10)*10</f>
        <v/>
      </c>
    </row>
    <row r="4305">
      <c r="A4305" s="21" t="n">
        <v>4394</v>
      </c>
      <c r="B4305" s="21" t="inlineStr">
        <is>
          <t>Deliver Us from Evil</t>
        </is>
      </c>
      <c r="C4305" s="21" t="n">
        <v>2014</v>
      </c>
      <c r="D4305" s="21" t="inlineStr">
        <is>
          <t>USA</t>
        </is>
      </c>
      <c r="E4305" s="21" t="n">
        <v>118</v>
      </c>
      <c r="F4305" s="21" t="inlineStr">
        <is>
          <t>English</t>
        </is>
      </c>
      <c r="G4305" s="21" t="inlineStr">
        <is>
          <t>R</t>
        </is>
      </c>
      <c r="H4305" s="22" t="n">
        <v>30523568</v>
      </c>
      <c r="I4305" s="22" t="n">
        <v>30000000</v>
      </c>
      <c r="J4305" s="21">
        <f>IF(OR(H4305="",H4305=25529689.5),"Yes","No")</f>
        <v/>
      </c>
      <c r="K4305" s="21">
        <f>IF(AND(D4305="USA",C4305&gt;=1980,J4305="No"),"Yes","No")</f>
        <v/>
      </c>
      <c r="L4305" s="26">
        <f>IF(J4305="Yes","",H4305-I4305)</f>
        <v/>
      </c>
      <c r="M4305" s="27">
        <f>IF(OR(J4305="Yes",I4305=0),"",H4305/I4305)</f>
        <v/>
      </c>
      <c r="N4305" s="21">
        <f>IF(J4305="Yes","",IF(H4305&gt;=I4305,1,0))</f>
        <v/>
      </c>
      <c r="O4305" s="21">
        <f>IF(I4305&lt;=5000000,"Under $5M",IF(I4305&lt;=20000000,"$5M-20M",IF(I4305&lt;=50000000,"$20M-50M",IF(I4305&lt;=100000000,"$50M-100M","$100M+"))))</f>
        <v/>
      </c>
      <c r="P4305" s="21">
        <f>IF(E4305&lt;=90,"90 or less",IF(E4305&lt;=105,"91-105",IF(E4305&lt;=120,"106-120",IF(E4305&lt;=140,"121-140","Over 140"))))</f>
        <v/>
      </c>
      <c r="Q4305" s="28">
        <f>INT(C4305/10)*10</f>
        <v/>
      </c>
    </row>
    <row r="4306">
      <c r="A4306" s="21" t="n">
        <v>4395</v>
      </c>
      <c r="B4306" s="21" t="inlineStr">
        <is>
          <t>Desert Dancer</t>
        </is>
      </c>
      <c r="C4306" s="21" t="n">
        <v>2014</v>
      </c>
      <c r="D4306" s="21" t="inlineStr">
        <is>
          <t>UK</t>
        </is>
      </c>
      <c r="E4306" s="21" t="n">
        <v>104</v>
      </c>
      <c r="F4306" s="21" t="inlineStr">
        <is>
          <t>English</t>
        </is>
      </c>
      <c r="G4306" s="21" t="inlineStr">
        <is>
          <t>PG-13</t>
        </is>
      </c>
      <c r="H4306" s="22" t="n">
        <v>143653</v>
      </c>
      <c r="I4306" s="22" t="n">
        <v>4000000</v>
      </c>
      <c r="J4306" s="21">
        <f>IF(OR(H4306="",H4306=25529689.5),"Yes","No")</f>
        <v/>
      </c>
      <c r="K4306" s="21">
        <f>IF(AND(D4306="USA",C4306&gt;=1980,J4306="No"),"Yes","No")</f>
        <v/>
      </c>
      <c r="L4306" s="26">
        <f>IF(J4306="Yes","",H4306-I4306)</f>
        <v/>
      </c>
      <c r="M4306" s="27">
        <f>IF(OR(J4306="Yes",I4306=0),"",H4306/I4306)</f>
        <v/>
      </c>
      <c r="N4306" s="21">
        <f>IF(J4306="Yes","",IF(H4306&gt;=I4306,1,0))</f>
        <v/>
      </c>
      <c r="O4306" s="21">
        <f>IF(I4306&lt;=5000000,"Under $5M",IF(I4306&lt;=20000000,"$5M-20M",IF(I4306&lt;=50000000,"$20M-50M",IF(I4306&lt;=100000000,"$50M-100M","$100M+"))))</f>
        <v/>
      </c>
      <c r="P4306" s="21">
        <f>IF(E4306&lt;=90,"90 or less",IF(E4306&lt;=105,"91-105",IF(E4306&lt;=120,"106-120",IF(E4306&lt;=140,"121-140","Over 140"))))</f>
        <v/>
      </c>
      <c r="Q4306" s="28">
        <f>INT(C4306/10)*10</f>
        <v/>
      </c>
    </row>
    <row r="4307">
      <c r="A4307" s="21" t="n">
        <v>4396</v>
      </c>
      <c r="B4307" s="21" t="inlineStr">
        <is>
          <t>Destiny</t>
        </is>
      </c>
      <c r="C4307" s="21" t="n">
        <v>2014</v>
      </c>
      <c r="D4307" s="21" t="inlineStr">
        <is>
          <t>USA</t>
        </is>
      </c>
      <c r="E4307" s="21" t="n">
        <v>104</v>
      </c>
      <c r="F4307" s="21" t="inlineStr">
        <is>
          <t>English</t>
        </is>
      </c>
      <c r="G4307" s="21" t="n"/>
      <c r="H4307" s="22" t="n">
        <v>25529689.5</v>
      </c>
      <c r="I4307" s="22" t="n">
        <v>20000000</v>
      </c>
      <c r="J4307" s="21">
        <f>IF(OR(H4307="",H4307=25529689.5),"Yes","No")</f>
        <v/>
      </c>
      <c r="K4307" s="21">
        <f>IF(AND(D4307="USA",C4307&gt;=1980,J4307="No"),"Yes","No")</f>
        <v/>
      </c>
      <c r="L4307" s="26">
        <f>IF(J4307="Yes","",H4307-I4307)</f>
        <v/>
      </c>
      <c r="M4307" s="27">
        <f>IF(OR(J4307="Yes",I4307=0),"",H4307/I4307)</f>
        <v/>
      </c>
      <c r="N4307" s="21">
        <f>IF(J4307="Yes","",IF(H4307&gt;=I4307,1,0))</f>
        <v/>
      </c>
      <c r="O4307" s="21">
        <f>IF(I4307&lt;=5000000,"Under $5M",IF(I4307&lt;=20000000,"$5M-20M",IF(I4307&lt;=50000000,"$20M-50M",IF(I4307&lt;=100000000,"$50M-100M","$100M+"))))</f>
        <v/>
      </c>
      <c r="P4307" s="21">
        <f>IF(E4307&lt;=90,"90 or less",IF(E4307&lt;=105,"91-105",IF(E4307&lt;=120,"106-120",IF(E4307&lt;=140,"121-140","Over 140"))))</f>
        <v/>
      </c>
      <c r="Q4307" s="28">
        <f>INT(C4307/10)*10</f>
        <v/>
      </c>
    </row>
    <row r="4308">
      <c r="A4308" s="21" t="n">
        <v>4397</v>
      </c>
      <c r="B4308" s="21" t="inlineStr">
        <is>
          <t>Devil's Due</t>
        </is>
      </c>
      <c r="C4308" s="21" t="n">
        <v>2014</v>
      </c>
      <c r="D4308" s="21" t="inlineStr">
        <is>
          <t>USA</t>
        </is>
      </c>
      <c r="E4308" s="21" t="n">
        <v>89</v>
      </c>
      <c r="F4308" s="21" t="inlineStr">
        <is>
          <t>English</t>
        </is>
      </c>
      <c r="G4308" s="21" t="inlineStr">
        <is>
          <t>R</t>
        </is>
      </c>
      <c r="H4308" s="22" t="n">
        <v>15818967</v>
      </c>
      <c r="I4308" s="22" t="n">
        <v>7000000</v>
      </c>
      <c r="J4308" s="21">
        <f>IF(OR(H4308="",H4308=25529689.5),"Yes","No")</f>
        <v/>
      </c>
      <c r="K4308" s="21">
        <f>IF(AND(D4308="USA",C4308&gt;=1980,J4308="No"),"Yes","No")</f>
        <v/>
      </c>
      <c r="L4308" s="26">
        <f>IF(J4308="Yes","",H4308-I4308)</f>
        <v/>
      </c>
      <c r="M4308" s="27">
        <f>IF(OR(J4308="Yes",I4308=0),"",H4308/I4308)</f>
        <v/>
      </c>
      <c r="N4308" s="21">
        <f>IF(J4308="Yes","",IF(H4308&gt;=I4308,1,0))</f>
        <v/>
      </c>
      <c r="O4308" s="21">
        <f>IF(I4308&lt;=5000000,"Under $5M",IF(I4308&lt;=20000000,"$5M-20M",IF(I4308&lt;=50000000,"$20M-50M",IF(I4308&lt;=100000000,"$50M-100M","$100M+"))))</f>
        <v/>
      </c>
      <c r="P4308" s="21">
        <f>IF(E4308&lt;=90,"90 or less",IF(E4308&lt;=105,"91-105",IF(E4308&lt;=120,"106-120",IF(E4308&lt;=140,"121-140","Over 140"))))</f>
        <v/>
      </c>
      <c r="Q4308" s="28">
        <f>INT(C4308/10)*10</f>
        <v/>
      </c>
    </row>
    <row r="4309">
      <c r="A4309" s="21" t="n">
        <v>4398</v>
      </c>
      <c r="B4309" s="21" t="inlineStr">
        <is>
          <t>Divergent</t>
        </is>
      </c>
      <c r="C4309" s="21" t="n">
        <v>2014</v>
      </c>
      <c r="D4309" s="21" t="inlineStr">
        <is>
          <t>USA</t>
        </is>
      </c>
      <c r="E4309" s="21" t="n">
        <v>139</v>
      </c>
      <c r="F4309" s="21" t="inlineStr">
        <is>
          <t>English</t>
        </is>
      </c>
      <c r="G4309" s="21" t="inlineStr">
        <is>
          <t>PG-13</t>
        </is>
      </c>
      <c r="H4309" s="22" t="n">
        <v>150832203</v>
      </c>
      <c r="I4309" s="22" t="n">
        <v>85000000</v>
      </c>
      <c r="J4309" s="21">
        <f>IF(OR(H4309="",H4309=25529689.5),"Yes","No")</f>
        <v/>
      </c>
      <c r="K4309" s="21">
        <f>IF(AND(D4309="USA",C4309&gt;=1980,J4309="No"),"Yes","No")</f>
        <v/>
      </c>
      <c r="L4309" s="26">
        <f>IF(J4309="Yes","",H4309-I4309)</f>
        <v/>
      </c>
      <c r="M4309" s="27">
        <f>IF(OR(J4309="Yes",I4309=0),"",H4309/I4309)</f>
        <v/>
      </c>
      <c r="N4309" s="21">
        <f>IF(J4309="Yes","",IF(H4309&gt;=I4309,1,0))</f>
        <v/>
      </c>
      <c r="O4309" s="21">
        <f>IF(I4309&lt;=5000000,"Under $5M",IF(I4309&lt;=20000000,"$5M-20M",IF(I4309&lt;=50000000,"$20M-50M",IF(I4309&lt;=100000000,"$50M-100M","$100M+"))))</f>
        <v/>
      </c>
      <c r="P4309" s="21">
        <f>IF(E4309&lt;=90,"90 or less",IF(E4309&lt;=105,"91-105",IF(E4309&lt;=120,"106-120",IF(E4309&lt;=140,"121-140","Over 140"))))</f>
        <v/>
      </c>
      <c r="Q4309" s="28">
        <f>INT(C4309/10)*10</f>
        <v/>
      </c>
    </row>
    <row r="4310">
      <c r="A4310" s="21" t="n">
        <v>4399</v>
      </c>
      <c r="B4310" s="21" t="inlineStr">
        <is>
          <t>Doc Holliday's Revenge</t>
        </is>
      </c>
      <c r="C4310" s="21" t="n">
        <v>2014</v>
      </c>
      <c r="D4310" s="21" t="inlineStr">
        <is>
          <t>USA</t>
        </is>
      </c>
      <c r="E4310" s="21" t="n">
        <v>84</v>
      </c>
      <c r="F4310" s="21" t="inlineStr">
        <is>
          <t>English</t>
        </is>
      </c>
      <c r="G4310" s="21" t="inlineStr">
        <is>
          <t>PG-13</t>
        </is>
      </c>
      <c r="H4310" s="22" t="n">
        <v>25529689.5</v>
      </c>
      <c r="I4310" s="22" t="n">
        <v>1000000</v>
      </c>
      <c r="J4310" s="21">
        <f>IF(OR(H4310="",H4310=25529689.5),"Yes","No")</f>
        <v/>
      </c>
      <c r="K4310" s="21">
        <f>IF(AND(D4310="USA",C4310&gt;=1980,J4310="No"),"Yes","No")</f>
        <v/>
      </c>
      <c r="L4310" s="26">
        <f>IF(J4310="Yes","",H4310-I4310)</f>
        <v/>
      </c>
      <c r="M4310" s="27">
        <f>IF(OR(J4310="Yes",I4310=0),"",H4310/I4310)</f>
        <v/>
      </c>
      <c r="N4310" s="21">
        <f>IF(J4310="Yes","",IF(H4310&gt;=I4310,1,0))</f>
        <v/>
      </c>
      <c r="O4310" s="21">
        <f>IF(I4310&lt;=5000000,"Under $5M",IF(I4310&lt;=20000000,"$5M-20M",IF(I4310&lt;=50000000,"$20M-50M",IF(I4310&lt;=100000000,"$50M-100M","$100M+"))))</f>
        <v/>
      </c>
      <c r="P4310" s="21">
        <f>IF(E4310&lt;=90,"90 or less",IF(E4310&lt;=105,"91-105",IF(E4310&lt;=120,"106-120",IF(E4310&lt;=140,"121-140","Over 140"))))</f>
        <v/>
      </c>
      <c r="Q4310" s="28">
        <f>INT(C4310/10)*10</f>
        <v/>
      </c>
    </row>
    <row r="4311">
      <c r="A4311" s="21" t="n">
        <v>4400</v>
      </c>
      <c r="B4311" s="21" t="inlineStr">
        <is>
          <t>Dolphin Tale 2</t>
        </is>
      </c>
      <c r="C4311" s="21" t="n">
        <v>2014</v>
      </c>
      <c r="D4311" s="21" t="inlineStr">
        <is>
          <t>USA</t>
        </is>
      </c>
      <c r="E4311" s="21" t="n">
        <v>107</v>
      </c>
      <c r="F4311" s="21" t="inlineStr">
        <is>
          <t>English</t>
        </is>
      </c>
      <c r="G4311" s="21" t="inlineStr">
        <is>
          <t>PG</t>
        </is>
      </c>
      <c r="H4311" s="22" t="n">
        <v>42019483</v>
      </c>
      <c r="I4311" s="22" t="n">
        <v>36000000</v>
      </c>
      <c r="J4311" s="21">
        <f>IF(OR(H4311="",H4311=25529689.5),"Yes","No")</f>
        <v/>
      </c>
      <c r="K4311" s="21">
        <f>IF(AND(D4311="USA",C4311&gt;=1980,J4311="No"),"Yes","No")</f>
        <v/>
      </c>
      <c r="L4311" s="26">
        <f>IF(J4311="Yes","",H4311-I4311)</f>
        <v/>
      </c>
      <c r="M4311" s="27">
        <f>IF(OR(J4311="Yes",I4311=0),"",H4311/I4311)</f>
        <v/>
      </c>
      <c r="N4311" s="21">
        <f>IF(J4311="Yes","",IF(H4311&gt;=I4311,1,0))</f>
        <v/>
      </c>
      <c r="O4311" s="21">
        <f>IF(I4311&lt;=5000000,"Under $5M",IF(I4311&lt;=20000000,"$5M-20M",IF(I4311&lt;=50000000,"$20M-50M",IF(I4311&lt;=100000000,"$50M-100M","$100M+"))))</f>
        <v/>
      </c>
      <c r="P4311" s="21">
        <f>IF(E4311&lt;=90,"90 or less",IF(E4311&lt;=105,"91-105",IF(E4311&lt;=120,"106-120",IF(E4311&lt;=140,"121-140","Over 140"))))</f>
        <v/>
      </c>
      <c r="Q4311" s="28">
        <f>INT(C4311/10)*10</f>
        <v/>
      </c>
    </row>
    <row r="4312">
      <c r="A4312" s="21" t="n">
        <v>4401</v>
      </c>
      <c r="B4312" s="21" t="inlineStr">
        <is>
          <t>Dracula Untold</t>
        </is>
      </c>
      <c r="C4312" s="21" t="n">
        <v>2014</v>
      </c>
      <c r="D4312" s="21" t="inlineStr">
        <is>
          <t>USA</t>
        </is>
      </c>
      <c r="E4312" s="21" t="n">
        <v>92</v>
      </c>
      <c r="F4312" s="21" t="inlineStr">
        <is>
          <t>English</t>
        </is>
      </c>
      <c r="G4312" s="21" t="inlineStr">
        <is>
          <t>PG-13</t>
        </is>
      </c>
      <c r="H4312" s="22" t="n">
        <v>55942830</v>
      </c>
      <c r="I4312" s="22" t="n">
        <v>70000000</v>
      </c>
      <c r="J4312" s="21">
        <f>IF(OR(H4312="",H4312=25529689.5),"Yes","No")</f>
        <v/>
      </c>
      <c r="K4312" s="21">
        <f>IF(AND(D4312="USA",C4312&gt;=1980,J4312="No"),"Yes","No")</f>
        <v/>
      </c>
      <c r="L4312" s="26">
        <f>IF(J4312="Yes","",H4312-I4312)</f>
        <v/>
      </c>
      <c r="M4312" s="27">
        <f>IF(OR(J4312="Yes",I4312=0),"",H4312/I4312)</f>
        <v/>
      </c>
      <c r="N4312" s="21">
        <f>IF(J4312="Yes","",IF(H4312&gt;=I4312,1,0))</f>
        <v/>
      </c>
      <c r="O4312" s="21">
        <f>IF(I4312&lt;=5000000,"Under $5M",IF(I4312&lt;=20000000,"$5M-20M",IF(I4312&lt;=50000000,"$20M-50M",IF(I4312&lt;=100000000,"$50M-100M","$100M+"))))</f>
        <v/>
      </c>
      <c r="P4312" s="21">
        <f>IF(E4312&lt;=90,"90 or less",IF(E4312&lt;=105,"91-105",IF(E4312&lt;=120,"106-120",IF(E4312&lt;=140,"121-140","Over 140"))))</f>
        <v/>
      </c>
      <c r="Q4312" s="28">
        <f>INT(C4312/10)*10</f>
        <v/>
      </c>
    </row>
    <row r="4313">
      <c r="A4313" s="21" t="n">
        <v>4402</v>
      </c>
      <c r="B4313" s="21" t="inlineStr">
        <is>
          <t>Draft Day</t>
        </is>
      </c>
      <c r="C4313" s="21" t="n">
        <v>2014</v>
      </c>
      <c r="D4313" s="21" t="inlineStr">
        <is>
          <t>USA</t>
        </is>
      </c>
      <c r="E4313" s="21" t="n">
        <v>110</v>
      </c>
      <c r="F4313" s="21" t="inlineStr">
        <is>
          <t>English</t>
        </is>
      </c>
      <c r="G4313" s="21" t="inlineStr">
        <is>
          <t>R</t>
        </is>
      </c>
      <c r="H4313" s="22" t="n">
        <v>28831145</v>
      </c>
      <c r="I4313" s="22" t="n">
        <v>25000000</v>
      </c>
      <c r="J4313" s="21">
        <f>IF(OR(H4313="",H4313=25529689.5),"Yes","No")</f>
        <v/>
      </c>
      <c r="K4313" s="21">
        <f>IF(AND(D4313="USA",C4313&gt;=1980,J4313="No"),"Yes","No")</f>
        <v/>
      </c>
      <c r="L4313" s="26">
        <f>IF(J4313="Yes","",H4313-I4313)</f>
        <v/>
      </c>
      <c r="M4313" s="27">
        <f>IF(OR(J4313="Yes",I4313=0),"",H4313/I4313)</f>
        <v/>
      </c>
      <c r="N4313" s="21">
        <f>IF(J4313="Yes","",IF(H4313&gt;=I4313,1,0))</f>
        <v/>
      </c>
      <c r="O4313" s="21">
        <f>IF(I4313&lt;=5000000,"Under $5M",IF(I4313&lt;=20000000,"$5M-20M",IF(I4313&lt;=50000000,"$20M-50M",IF(I4313&lt;=100000000,"$50M-100M","$100M+"))))</f>
        <v/>
      </c>
      <c r="P4313" s="21">
        <f>IF(E4313&lt;=90,"90 or less",IF(E4313&lt;=105,"91-105",IF(E4313&lt;=120,"106-120",IF(E4313&lt;=140,"121-140","Over 140"))))</f>
        <v/>
      </c>
      <c r="Q4313" s="28">
        <f>INT(C4313/10)*10</f>
        <v/>
      </c>
    </row>
    <row r="4314">
      <c r="A4314" s="21" t="n">
        <v>4403</v>
      </c>
      <c r="B4314" s="21" t="inlineStr">
        <is>
          <t>Dragon Nest: Warriors' Dawn</t>
        </is>
      </c>
      <c r="C4314" s="21" t="n">
        <v>2014</v>
      </c>
      <c r="D4314" s="21" t="inlineStr">
        <is>
          <t>China</t>
        </is>
      </c>
      <c r="E4314" s="21" t="n">
        <v>88</v>
      </c>
      <c r="F4314" s="21" t="inlineStr">
        <is>
          <t>English</t>
        </is>
      </c>
      <c r="G4314" s="21" t="n"/>
      <c r="H4314" s="22" t="n">
        <v>25529689.5</v>
      </c>
      <c r="I4314" s="22" t="n">
        <v>40000000</v>
      </c>
      <c r="J4314" s="21">
        <f>IF(OR(H4314="",H4314=25529689.5),"Yes","No")</f>
        <v/>
      </c>
      <c r="K4314" s="21">
        <f>IF(AND(D4314="USA",C4314&gt;=1980,J4314="No"),"Yes","No")</f>
        <v/>
      </c>
      <c r="L4314" s="26">
        <f>IF(J4314="Yes","",H4314-I4314)</f>
        <v/>
      </c>
      <c r="M4314" s="27">
        <f>IF(OR(J4314="Yes",I4314=0),"",H4314/I4314)</f>
        <v/>
      </c>
      <c r="N4314" s="21">
        <f>IF(J4314="Yes","",IF(H4314&gt;=I4314,1,0))</f>
        <v/>
      </c>
      <c r="O4314" s="21">
        <f>IF(I4314&lt;=5000000,"Under $5M",IF(I4314&lt;=20000000,"$5M-20M",IF(I4314&lt;=50000000,"$20M-50M",IF(I4314&lt;=100000000,"$50M-100M","$100M+"))))</f>
        <v/>
      </c>
      <c r="P4314" s="21">
        <f>IF(E4314&lt;=90,"90 or less",IF(E4314&lt;=105,"91-105",IF(E4314&lt;=120,"106-120",IF(E4314&lt;=140,"121-140","Over 140"))))</f>
        <v/>
      </c>
      <c r="Q4314" s="28">
        <f>INT(C4314/10)*10</f>
        <v/>
      </c>
    </row>
    <row r="4315">
      <c r="A4315" s="21" t="n">
        <v>4404</v>
      </c>
      <c r="B4315" s="21" t="inlineStr">
        <is>
          <t>Drive Hard</t>
        </is>
      </c>
      <c r="C4315" s="21" t="n">
        <v>2014</v>
      </c>
      <c r="D4315" s="21" t="inlineStr">
        <is>
          <t>Canada</t>
        </is>
      </c>
      <c r="E4315" s="21" t="n">
        <v>92</v>
      </c>
      <c r="F4315" s="21" t="inlineStr">
        <is>
          <t>English</t>
        </is>
      </c>
      <c r="G4315" s="21" t="inlineStr">
        <is>
          <t>Not Rated</t>
        </is>
      </c>
      <c r="H4315" s="22" t="n">
        <v>25529689.5</v>
      </c>
      <c r="I4315" s="22" t="n">
        <v>12000000</v>
      </c>
      <c r="J4315" s="21">
        <f>IF(OR(H4315="",H4315=25529689.5),"Yes","No")</f>
        <v/>
      </c>
      <c r="K4315" s="21">
        <f>IF(AND(D4315="USA",C4315&gt;=1980,J4315="No"),"Yes","No")</f>
        <v/>
      </c>
      <c r="L4315" s="26">
        <f>IF(J4315="Yes","",H4315-I4315)</f>
        <v/>
      </c>
      <c r="M4315" s="27">
        <f>IF(OR(J4315="Yes",I4315=0),"",H4315/I4315)</f>
        <v/>
      </c>
      <c r="N4315" s="21">
        <f>IF(J4315="Yes","",IF(H4315&gt;=I4315,1,0))</f>
        <v/>
      </c>
      <c r="O4315" s="21">
        <f>IF(I4315&lt;=5000000,"Under $5M",IF(I4315&lt;=20000000,"$5M-20M",IF(I4315&lt;=50000000,"$20M-50M",IF(I4315&lt;=100000000,"$50M-100M","$100M+"))))</f>
        <v/>
      </c>
      <c r="P4315" s="21">
        <f>IF(E4315&lt;=90,"90 or less",IF(E4315&lt;=105,"91-105",IF(E4315&lt;=120,"106-120",IF(E4315&lt;=140,"121-140","Over 140"))))</f>
        <v/>
      </c>
      <c r="Q4315" s="28">
        <f>INT(C4315/10)*10</f>
        <v/>
      </c>
    </row>
    <row r="4316">
      <c r="A4316" s="21" t="n">
        <v>4405</v>
      </c>
      <c r="B4316" s="21" t="inlineStr">
        <is>
          <t>Dude, Where's My Dog?!</t>
        </is>
      </c>
      <c r="C4316" s="21" t="n">
        <v>2014</v>
      </c>
      <c r="D4316" s="21" t="inlineStr">
        <is>
          <t>USA</t>
        </is>
      </c>
      <c r="E4316" s="21" t="n">
        <v>82</v>
      </c>
      <c r="F4316" s="21" t="inlineStr">
        <is>
          <t>English</t>
        </is>
      </c>
      <c r="G4316" s="21" t="inlineStr">
        <is>
          <t>PG</t>
        </is>
      </c>
      <c r="H4316" s="22" t="n">
        <v>25529689.5</v>
      </c>
      <c r="I4316" s="22" t="n">
        <v>20000</v>
      </c>
      <c r="J4316" s="21">
        <f>IF(OR(H4316="",H4316=25529689.5),"Yes","No")</f>
        <v/>
      </c>
      <c r="K4316" s="21">
        <f>IF(AND(D4316="USA",C4316&gt;=1980,J4316="No"),"Yes","No")</f>
        <v/>
      </c>
      <c r="L4316" s="26">
        <f>IF(J4316="Yes","",H4316-I4316)</f>
        <v/>
      </c>
      <c r="M4316" s="27">
        <f>IF(OR(J4316="Yes",I4316=0),"",H4316/I4316)</f>
        <v/>
      </c>
      <c r="N4316" s="21">
        <f>IF(J4316="Yes","",IF(H4316&gt;=I4316,1,0))</f>
        <v/>
      </c>
      <c r="O4316" s="21">
        <f>IF(I4316&lt;=5000000,"Under $5M",IF(I4316&lt;=20000000,"$5M-20M",IF(I4316&lt;=50000000,"$20M-50M",IF(I4316&lt;=100000000,"$50M-100M","$100M+"))))</f>
        <v/>
      </c>
      <c r="P4316" s="21">
        <f>IF(E4316&lt;=90,"90 or less",IF(E4316&lt;=105,"91-105",IF(E4316&lt;=120,"106-120",IF(E4316&lt;=140,"121-140","Over 140"))))</f>
        <v/>
      </c>
      <c r="Q4316" s="28">
        <f>INT(C4316/10)*10</f>
        <v/>
      </c>
    </row>
    <row r="4317">
      <c r="A4317" s="21" t="n">
        <v>4406</v>
      </c>
      <c r="B4317" s="21" t="inlineStr">
        <is>
          <t>Dumb and Dumber To</t>
        </is>
      </c>
      <c r="C4317" s="21" t="n">
        <v>2014</v>
      </c>
      <c r="D4317" s="21" t="inlineStr">
        <is>
          <t>USA</t>
        </is>
      </c>
      <c r="E4317" s="21" t="n">
        <v>109</v>
      </c>
      <c r="F4317" s="21" t="inlineStr">
        <is>
          <t>English</t>
        </is>
      </c>
      <c r="G4317" s="21" t="inlineStr">
        <is>
          <t>PG-13</t>
        </is>
      </c>
      <c r="H4317" s="22" t="n">
        <v>86208010</v>
      </c>
      <c r="I4317" s="22" t="n">
        <v>35000000</v>
      </c>
      <c r="J4317" s="21">
        <f>IF(OR(H4317="",H4317=25529689.5),"Yes","No")</f>
        <v/>
      </c>
      <c r="K4317" s="21">
        <f>IF(AND(D4317="USA",C4317&gt;=1980,J4317="No"),"Yes","No")</f>
        <v/>
      </c>
      <c r="L4317" s="26">
        <f>IF(J4317="Yes","",H4317-I4317)</f>
        <v/>
      </c>
      <c r="M4317" s="27">
        <f>IF(OR(J4317="Yes",I4317=0),"",H4317/I4317)</f>
        <v/>
      </c>
      <c r="N4317" s="21">
        <f>IF(J4317="Yes","",IF(H4317&gt;=I4317,1,0))</f>
        <v/>
      </c>
      <c r="O4317" s="21">
        <f>IF(I4317&lt;=5000000,"Under $5M",IF(I4317&lt;=20000000,"$5M-20M",IF(I4317&lt;=50000000,"$20M-50M",IF(I4317&lt;=100000000,"$50M-100M","$100M+"))))</f>
        <v/>
      </c>
      <c r="P4317" s="21">
        <f>IF(E4317&lt;=90,"90 or less",IF(E4317&lt;=105,"91-105",IF(E4317&lt;=120,"106-120",IF(E4317&lt;=140,"121-140","Over 140"))))</f>
        <v/>
      </c>
      <c r="Q4317" s="28">
        <f>INT(C4317/10)*10</f>
        <v/>
      </c>
    </row>
    <row r="4318">
      <c r="A4318" s="21" t="n">
        <v>4407</v>
      </c>
      <c r="B4318" s="21" t="inlineStr">
        <is>
          <t>Dwegons and Leprechauns</t>
        </is>
      </c>
      <c r="C4318" s="21" t="n">
        <v>2014</v>
      </c>
      <c r="D4318" s="21" t="inlineStr">
        <is>
          <t>USA</t>
        </is>
      </c>
      <c r="E4318" s="21" t="n">
        <v>98</v>
      </c>
      <c r="F4318" s="21" t="inlineStr">
        <is>
          <t>English</t>
        </is>
      </c>
      <c r="G4318" s="21" t="inlineStr">
        <is>
          <t>PG</t>
        </is>
      </c>
      <c r="H4318" s="22" t="n">
        <v>25529689.5</v>
      </c>
      <c r="I4318" s="22" t="n">
        <v>20000000</v>
      </c>
      <c r="J4318" s="21">
        <f>IF(OR(H4318="",H4318=25529689.5),"Yes","No")</f>
        <v/>
      </c>
      <c r="K4318" s="21">
        <f>IF(AND(D4318="USA",C4318&gt;=1980,J4318="No"),"Yes","No")</f>
        <v/>
      </c>
      <c r="L4318" s="26">
        <f>IF(J4318="Yes","",H4318-I4318)</f>
        <v/>
      </c>
      <c r="M4318" s="27">
        <f>IF(OR(J4318="Yes",I4318=0),"",H4318/I4318)</f>
        <v/>
      </c>
      <c r="N4318" s="21">
        <f>IF(J4318="Yes","",IF(H4318&gt;=I4318,1,0))</f>
        <v/>
      </c>
      <c r="O4318" s="21">
        <f>IF(I4318&lt;=5000000,"Under $5M",IF(I4318&lt;=20000000,"$5M-20M",IF(I4318&lt;=50000000,"$20M-50M",IF(I4318&lt;=100000000,"$50M-100M","$100M+"))))</f>
        <v/>
      </c>
      <c r="P4318" s="21">
        <f>IF(E4318&lt;=90,"90 or less",IF(E4318&lt;=105,"91-105",IF(E4318&lt;=120,"106-120",IF(E4318&lt;=140,"121-140","Over 140"))))</f>
        <v/>
      </c>
      <c r="Q4318" s="28">
        <f>INT(C4318/10)*10</f>
        <v/>
      </c>
    </row>
    <row r="4319">
      <c r="A4319" s="21" t="n">
        <v>4408</v>
      </c>
      <c r="B4319" s="21" t="inlineStr">
        <is>
          <t>Dying of the Light</t>
        </is>
      </c>
      <c r="C4319" s="21" t="n">
        <v>2014</v>
      </c>
      <c r="D4319" s="21" t="inlineStr">
        <is>
          <t>Bahamas</t>
        </is>
      </c>
      <c r="E4319" s="21" t="n">
        <v>94</v>
      </c>
      <c r="F4319" s="21" t="inlineStr">
        <is>
          <t>English</t>
        </is>
      </c>
      <c r="G4319" s="21" t="inlineStr">
        <is>
          <t>R</t>
        </is>
      </c>
      <c r="H4319" s="22" t="n">
        <v>25529689.5</v>
      </c>
      <c r="I4319" s="22" t="n">
        <v>5000000</v>
      </c>
      <c r="J4319" s="21">
        <f>IF(OR(H4319="",H4319=25529689.5),"Yes","No")</f>
        <v/>
      </c>
      <c r="K4319" s="21">
        <f>IF(AND(D4319="USA",C4319&gt;=1980,J4319="No"),"Yes","No")</f>
        <v/>
      </c>
      <c r="L4319" s="26">
        <f>IF(J4319="Yes","",H4319-I4319)</f>
        <v/>
      </c>
      <c r="M4319" s="27">
        <f>IF(OR(J4319="Yes",I4319=0),"",H4319/I4319)</f>
        <v/>
      </c>
      <c r="N4319" s="21">
        <f>IF(J4319="Yes","",IF(H4319&gt;=I4319,1,0))</f>
        <v/>
      </c>
      <c r="O4319" s="21">
        <f>IF(I4319&lt;=5000000,"Under $5M",IF(I4319&lt;=20000000,"$5M-20M",IF(I4319&lt;=50000000,"$20M-50M",IF(I4319&lt;=100000000,"$50M-100M","$100M+"))))</f>
        <v/>
      </c>
      <c r="P4319" s="21">
        <f>IF(E4319&lt;=90,"90 or less",IF(E4319&lt;=105,"91-105",IF(E4319&lt;=120,"106-120",IF(E4319&lt;=140,"121-140","Over 140"))))</f>
        <v/>
      </c>
      <c r="Q4319" s="28">
        <f>INT(C4319/10)*10</f>
        <v/>
      </c>
    </row>
    <row r="4320">
      <c r="A4320" s="21" t="n">
        <v>4409</v>
      </c>
      <c r="B4320" s="21" t="inlineStr">
        <is>
          <t>Earth to Echo</t>
        </is>
      </c>
      <c r="C4320" s="21" t="n">
        <v>2014</v>
      </c>
      <c r="D4320" s="21" t="inlineStr">
        <is>
          <t>USA</t>
        </is>
      </c>
      <c r="E4320" s="21" t="n">
        <v>91</v>
      </c>
      <c r="F4320" s="21" t="inlineStr">
        <is>
          <t>English</t>
        </is>
      </c>
      <c r="G4320" s="21" t="inlineStr">
        <is>
          <t>PG</t>
        </is>
      </c>
      <c r="H4320" s="22" t="n">
        <v>38916903</v>
      </c>
      <c r="I4320" s="22" t="n">
        <v>13000000</v>
      </c>
      <c r="J4320" s="21">
        <f>IF(OR(H4320="",H4320=25529689.5),"Yes","No")</f>
        <v/>
      </c>
      <c r="K4320" s="21">
        <f>IF(AND(D4320="USA",C4320&gt;=1980,J4320="No"),"Yes","No")</f>
        <v/>
      </c>
      <c r="L4320" s="26">
        <f>IF(J4320="Yes","",H4320-I4320)</f>
        <v/>
      </c>
      <c r="M4320" s="27">
        <f>IF(OR(J4320="Yes",I4320=0),"",H4320/I4320)</f>
        <v/>
      </c>
      <c r="N4320" s="21">
        <f>IF(J4320="Yes","",IF(H4320&gt;=I4320,1,0))</f>
        <v/>
      </c>
      <c r="O4320" s="21">
        <f>IF(I4320&lt;=5000000,"Under $5M",IF(I4320&lt;=20000000,"$5M-20M",IF(I4320&lt;=50000000,"$20M-50M",IF(I4320&lt;=100000000,"$50M-100M","$100M+"))))</f>
        <v/>
      </c>
      <c r="P4320" s="21">
        <f>IF(E4320&lt;=90,"90 or less",IF(E4320&lt;=105,"91-105",IF(E4320&lt;=120,"106-120",IF(E4320&lt;=140,"121-140","Over 140"))))</f>
        <v/>
      </c>
      <c r="Q4320" s="28">
        <f>INT(C4320/10)*10</f>
        <v/>
      </c>
    </row>
    <row r="4321">
      <c r="A4321" s="21" t="n">
        <v>4410</v>
      </c>
      <c r="B4321" s="21" t="inlineStr">
        <is>
          <t>Edge of Tomorrow</t>
        </is>
      </c>
      <c r="C4321" s="21" t="n">
        <v>2014</v>
      </c>
      <c r="D4321" s="21" t="inlineStr">
        <is>
          <t>USA</t>
        </is>
      </c>
      <c r="E4321" s="21" t="n">
        <v>113</v>
      </c>
      <c r="F4321" s="21" t="inlineStr">
        <is>
          <t>English</t>
        </is>
      </c>
      <c r="G4321" s="21" t="inlineStr">
        <is>
          <t>PG-13</t>
        </is>
      </c>
      <c r="H4321" s="22" t="n">
        <v>100189501</v>
      </c>
      <c r="I4321" s="22" t="n">
        <v>178000000</v>
      </c>
      <c r="J4321" s="21">
        <f>IF(OR(H4321="",H4321=25529689.5),"Yes","No")</f>
        <v/>
      </c>
      <c r="K4321" s="21">
        <f>IF(AND(D4321="USA",C4321&gt;=1980,J4321="No"),"Yes","No")</f>
        <v/>
      </c>
      <c r="L4321" s="26">
        <f>IF(J4321="Yes","",H4321-I4321)</f>
        <v/>
      </c>
      <c r="M4321" s="27">
        <f>IF(OR(J4321="Yes",I4321=0),"",H4321/I4321)</f>
        <v/>
      </c>
      <c r="N4321" s="21">
        <f>IF(J4321="Yes","",IF(H4321&gt;=I4321,1,0))</f>
        <v/>
      </c>
      <c r="O4321" s="21">
        <f>IF(I4321&lt;=5000000,"Under $5M",IF(I4321&lt;=20000000,"$5M-20M",IF(I4321&lt;=50000000,"$20M-50M",IF(I4321&lt;=100000000,"$50M-100M","$100M+"))))</f>
        <v/>
      </c>
      <c r="P4321" s="21">
        <f>IF(E4321&lt;=90,"90 or less",IF(E4321&lt;=105,"91-105",IF(E4321&lt;=120,"106-120",IF(E4321&lt;=140,"121-140","Over 140"))))</f>
        <v/>
      </c>
      <c r="Q4321" s="28">
        <f>INT(C4321/10)*10</f>
        <v/>
      </c>
    </row>
    <row r="4322">
      <c r="A4322" s="21" t="n">
        <v>4411</v>
      </c>
      <c r="B4322" s="21" t="inlineStr">
        <is>
          <t>Elsa &amp; Fred</t>
        </is>
      </c>
      <c r="C4322" s="21" t="n">
        <v>2014</v>
      </c>
      <c r="D4322" s="21" t="inlineStr">
        <is>
          <t>USA</t>
        </is>
      </c>
      <c r="E4322" s="21" t="n">
        <v>97</v>
      </c>
      <c r="F4322" s="21" t="inlineStr">
        <is>
          <t>English</t>
        </is>
      </c>
      <c r="G4322" s="21" t="inlineStr">
        <is>
          <t>PG-13</t>
        </is>
      </c>
      <c r="H4322" s="22" t="n">
        <v>25529689.5</v>
      </c>
      <c r="I4322" s="22" t="n">
        <v>10000000</v>
      </c>
      <c r="J4322" s="21">
        <f>IF(OR(H4322="",H4322=25529689.5),"Yes","No")</f>
        <v/>
      </c>
      <c r="K4322" s="21">
        <f>IF(AND(D4322="USA",C4322&gt;=1980,J4322="No"),"Yes","No")</f>
        <v/>
      </c>
      <c r="L4322" s="26">
        <f>IF(J4322="Yes","",H4322-I4322)</f>
        <v/>
      </c>
      <c r="M4322" s="27">
        <f>IF(OR(J4322="Yes",I4322=0),"",H4322/I4322)</f>
        <v/>
      </c>
      <c r="N4322" s="21">
        <f>IF(J4322="Yes","",IF(H4322&gt;=I4322,1,0))</f>
        <v/>
      </c>
      <c r="O4322" s="21">
        <f>IF(I4322&lt;=5000000,"Under $5M",IF(I4322&lt;=20000000,"$5M-20M",IF(I4322&lt;=50000000,"$20M-50M",IF(I4322&lt;=100000000,"$50M-100M","$100M+"))))</f>
        <v/>
      </c>
      <c r="P4322" s="21">
        <f>IF(E4322&lt;=90,"90 or less",IF(E4322&lt;=105,"91-105",IF(E4322&lt;=120,"106-120",IF(E4322&lt;=140,"121-140","Over 140"))))</f>
        <v/>
      </c>
      <c r="Q4322" s="28">
        <f>INT(C4322/10)*10</f>
        <v/>
      </c>
    </row>
    <row r="4323">
      <c r="A4323" s="21" t="n">
        <v>4412</v>
      </c>
      <c r="B4323" s="21" t="inlineStr">
        <is>
          <t>Endless Love</t>
        </is>
      </c>
      <c r="C4323" s="21" t="n">
        <v>2014</v>
      </c>
      <c r="D4323" s="21" t="inlineStr">
        <is>
          <t>USA</t>
        </is>
      </c>
      <c r="E4323" s="21" t="n">
        <v>104</v>
      </c>
      <c r="F4323" s="21" t="inlineStr">
        <is>
          <t>English</t>
        </is>
      </c>
      <c r="G4323" s="21" t="inlineStr">
        <is>
          <t>PG-13</t>
        </is>
      </c>
      <c r="H4323" s="22" t="n">
        <v>23393765</v>
      </c>
      <c r="I4323" s="22" t="n">
        <v>20000000</v>
      </c>
      <c r="J4323" s="21">
        <f>IF(OR(H4323="",H4323=25529689.5),"Yes","No")</f>
        <v/>
      </c>
      <c r="K4323" s="21">
        <f>IF(AND(D4323="USA",C4323&gt;=1980,J4323="No"),"Yes","No")</f>
        <v/>
      </c>
      <c r="L4323" s="26">
        <f>IF(J4323="Yes","",H4323-I4323)</f>
        <v/>
      </c>
      <c r="M4323" s="27">
        <f>IF(OR(J4323="Yes",I4323=0),"",H4323/I4323)</f>
        <v/>
      </c>
      <c r="N4323" s="21">
        <f>IF(J4323="Yes","",IF(H4323&gt;=I4323,1,0))</f>
        <v/>
      </c>
      <c r="O4323" s="21">
        <f>IF(I4323&lt;=5000000,"Under $5M",IF(I4323&lt;=20000000,"$5M-20M",IF(I4323&lt;=50000000,"$20M-50M",IF(I4323&lt;=100000000,"$50M-100M","$100M+"))))</f>
        <v/>
      </c>
      <c r="P4323" s="21">
        <f>IF(E4323&lt;=90,"90 or less",IF(E4323&lt;=105,"91-105",IF(E4323&lt;=120,"106-120",IF(E4323&lt;=140,"121-140","Over 140"))))</f>
        <v/>
      </c>
      <c r="Q4323" s="28">
        <f>INT(C4323/10)*10</f>
        <v/>
      </c>
    </row>
    <row r="4324">
      <c r="A4324" s="21" t="n">
        <v>4413</v>
      </c>
      <c r="B4324" s="21" t="inlineStr">
        <is>
          <t>Escobar: Paradise Lost</t>
        </is>
      </c>
      <c r="C4324" s="21" t="n">
        <v>2014</v>
      </c>
      <c r="D4324" s="21" t="inlineStr">
        <is>
          <t>France</t>
        </is>
      </c>
      <c r="E4324" s="21" t="n">
        <v>120</v>
      </c>
      <c r="F4324" s="21" t="inlineStr">
        <is>
          <t>English</t>
        </is>
      </c>
      <c r="G4324" s="21" t="inlineStr">
        <is>
          <t>R</t>
        </is>
      </c>
      <c r="H4324" s="22" t="n">
        <v>106869</v>
      </c>
      <c r="I4324" s="22" t="n">
        <v>17000000</v>
      </c>
      <c r="J4324" s="21">
        <f>IF(OR(H4324="",H4324=25529689.5),"Yes","No")</f>
        <v/>
      </c>
      <c r="K4324" s="21">
        <f>IF(AND(D4324="USA",C4324&gt;=1980,J4324="No"),"Yes","No")</f>
        <v/>
      </c>
      <c r="L4324" s="26">
        <f>IF(J4324="Yes","",H4324-I4324)</f>
        <v/>
      </c>
      <c r="M4324" s="27">
        <f>IF(OR(J4324="Yes",I4324=0),"",H4324/I4324)</f>
        <v/>
      </c>
      <c r="N4324" s="21">
        <f>IF(J4324="Yes","",IF(H4324&gt;=I4324,1,0))</f>
        <v/>
      </c>
      <c r="O4324" s="21">
        <f>IF(I4324&lt;=5000000,"Under $5M",IF(I4324&lt;=20000000,"$5M-20M",IF(I4324&lt;=50000000,"$20M-50M",IF(I4324&lt;=100000000,"$50M-100M","$100M+"))))</f>
        <v/>
      </c>
      <c r="P4324" s="21">
        <f>IF(E4324&lt;=90,"90 or less",IF(E4324&lt;=105,"91-105",IF(E4324&lt;=120,"106-120",IF(E4324&lt;=140,"121-140","Over 140"))))</f>
        <v/>
      </c>
      <c r="Q4324" s="28">
        <f>INT(C4324/10)*10</f>
        <v/>
      </c>
    </row>
    <row r="4325">
      <c r="A4325" s="21" t="n">
        <v>4414</v>
      </c>
      <c r="B4325" s="21" t="inlineStr">
        <is>
          <t>Exodus: Gods and Kings</t>
        </is>
      </c>
      <c r="C4325" s="21" t="n">
        <v>2014</v>
      </c>
      <c r="D4325" s="21" t="inlineStr">
        <is>
          <t>UK</t>
        </is>
      </c>
      <c r="E4325" s="21" t="n">
        <v>150</v>
      </c>
      <c r="F4325" s="21" t="inlineStr">
        <is>
          <t>English</t>
        </is>
      </c>
      <c r="G4325" s="21" t="inlineStr">
        <is>
          <t>PG-13</t>
        </is>
      </c>
      <c r="H4325" s="22" t="n">
        <v>65007045</v>
      </c>
      <c r="I4325" s="22" t="n">
        <v>140000000</v>
      </c>
      <c r="J4325" s="21">
        <f>IF(OR(H4325="",H4325=25529689.5),"Yes","No")</f>
        <v/>
      </c>
      <c r="K4325" s="21">
        <f>IF(AND(D4325="USA",C4325&gt;=1980,J4325="No"),"Yes","No")</f>
        <v/>
      </c>
      <c r="L4325" s="26">
        <f>IF(J4325="Yes","",H4325-I4325)</f>
        <v/>
      </c>
      <c r="M4325" s="27">
        <f>IF(OR(J4325="Yes",I4325=0),"",H4325/I4325)</f>
        <v/>
      </c>
      <c r="N4325" s="21">
        <f>IF(J4325="Yes","",IF(H4325&gt;=I4325,1,0))</f>
        <v/>
      </c>
      <c r="O4325" s="21">
        <f>IF(I4325&lt;=5000000,"Under $5M",IF(I4325&lt;=20000000,"$5M-20M",IF(I4325&lt;=50000000,"$20M-50M",IF(I4325&lt;=100000000,"$50M-100M","$100M+"))))</f>
        <v/>
      </c>
      <c r="P4325" s="21">
        <f>IF(E4325&lt;=90,"90 or less",IF(E4325&lt;=105,"91-105",IF(E4325&lt;=120,"106-120",IF(E4325&lt;=140,"121-140","Over 140"))))</f>
        <v/>
      </c>
      <c r="Q4325" s="28">
        <f>INT(C4325/10)*10</f>
        <v/>
      </c>
    </row>
    <row r="4326">
      <c r="A4326" s="21" t="n">
        <v>4416</v>
      </c>
      <c r="B4326" s="21" t="inlineStr">
        <is>
          <t>Falcon Rising</t>
        </is>
      </c>
      <c r="C4326" s="21" t="n">
        <v>2014</v>
      </c>
      <c r="D4326" s="21" t="inlineStr">
        <is>
          <t>USA</t>
        </is>
      </c>
      <c r="E4326" s="21" t="n">
        <v>103</v>
      </c>
      <c r="F4326" s="21" t="inlineStr">
        <is>
          <t>English</t>
        </is>
      </c>
      <c r="G4326" s="21" t="inlineStr">
        <is>
          <t>R</t>
        </is>
      </c>
      <c r="H4326" s="22" t="n">
        <v>8691</v>
      </c>
      <c r="I4326" s="22" t="n">
        <v>4500000</v>
      </c>
      <c r="J4326" s="21">
        <f>IF(OR(H4326="",H4326=25529689.5),"Yes","No")</f>
        <v/>
      </c>
      <c r="K4326" s="21">
        <f>IF(AND(D4326="USA",C4326&gt;=1980,J4326="No"),"Yes","No")</f>
        <v/>
      </c>
      <c r="L4326" s="26">
        <f>IF(J4326="Yes","",H4326-I4326)</f>
        <v/>
      </c>
      <c r="M4326" s="27">
        <f>IF(OR(J4326="Yes",I4326=0),"",H4326/I4326)</f>
        <v/>
      </c>
      <c r="N4326" s="21">
        <f>IF(J4326="Yes","",IF(H4326&gt;=I4326,1,0))</f>
        <v/>
      </c>
      <c r="O4326" s="21">
        <f>IF(I4326&lt;=5000000,"Under $5M",IF(I4326&lt;=20000000,"$5M-20M",IF(I4326&lt;=50000000,"$20M-50M",IF(I4326&lt;=100000000,"$50M-100M","$100M+"))))</f>
        <v/>
      </c>
      <c r="P4326" s="21">
        <f>IF(E4326&lt;=90,"90 or less",IF(E4326&lt;=105,"91-105",IF(E4326&lt;=120,"106-120",IF(E4326&lt;=140,"121-140","Over 140"))))</f>
        <v/>
      </c>
      <c r="Q4326" s="28">
        <f>INT(C4326/10)*10</f>
        <v/>
      </c>
    </row>
    <row r="4327">
      <c r="A4327" s="21" t="n">
        <v>4417</v>
      </c>
      <c r="B4327" s="21" t="inlineStr">
        <is>
          <t>Far from Men</t>
        </is>
      </c>
      <c r="C4327" s="21" t="n">
        <v>2014</v>
      </c>
      <c r="D4327" s="21" t="inlineStr">
        <is>
          <t>France</t>
        </is>
      </c>
      <c r="E4327" s="21" t="n">
        <v>101</v>
      </c>
      <c r="F4327" s="21" t="inlineStr">
        <is>
          <t>French</t>
        </is>
      </c>
      <c r="G4327" s="21" t="n"/>
      <c r="H4327" s="22" t="n">
        <v>25529689.5</v>
      </c>
      <c r="I4327" s="22" t="n">
        <v>7700000</v>
      </c>
      <c r="J4327" s="21">
        <f>IF(OR(H4327="",H4327=25529689.5),"Yes","No")</f>
        <v/>
      </c>
      <c r="K4327" s="21">
        <f>IF(AND(D4327="USA",C4327&gt;=1980,J4327="No"),"Yes","No")</f>
        <v/>
      </c>
      <c r="L4327" s="26">
        <f>IF(J4327="Yes","",H4327-I4327)</f>
        <v/>
      </c>
      <c r="M4327" s="27">
        <f>IF(OR(J4327="Yes",I4327=0),"",H4327/I4327)</f>
        <v/>
      </c>
      <c r="N4327" s="21">
        <f>IF(J4327="Yes","",IF(H4327&gt;=I4327,1,0))</f>
        <v/>
      </c>
      <c r="O4327" s="21">
        <f>IF(I4327&lt;=5000000,"Under $5M",IF(I4327&lt;=20000000,"$5M-20M",IF(I4327&lt;=50000000,"$20M-50M",IF(I4327&lt;=100000000,"$50M-100M","$100M+"))))</f>
        <v/>
      </c>
      <c r="P4327" s="21">
        <f>IF(E4327&lt;=90,"90 or less",IF(E4327&lt;=105,"91-105",IF(E4327&lt;=120,"106-120",IF(E4327&lt;=140,"121-140","Over 140"))))</f>
        <v/>
      </c>
      <c r="Q4327" s="28">
        <f>INT(C4327/10)*10</f>
        <v/>
      </c>
    </row>
    <row r="4328">
      <c r="A4328" s="21" t="n">
        <v>4418</v>
      </c>
      <c r="B4328" s="21" t="inlineStr">
        <is>
          <t>Food Chains</t>
        </is>
      </c>
      <c r="C4328" s="21" t="n">
        <v>2014</v>
      </c>
      <c r="D4328" s="21" t="inlineStr">
        <is>
          <t>USA</t>
        </is>
      </c>
      <c r="E4328" s="21" t="n">
        <v>83</v>
      </c>
      <c r="F4328" s="21" t="inlineStr">
        <is>
          <t>English</t>
        </is>
      </c>
      <c r="G4328" s="21" t="n"/>
      <c r="H4328" s="22" t="n">
        <v>25529689.5</v>
      </c>
      <c r="I4328" s="22" t="n">
        <v>913000</v>
      </c>
      <c r="J4328" s="21">
        <f>IF(OR(H4328="",H4328=25529689.5),"Yes","No")</f>
        <v/>
      </c>
      <c r="K4328" s="21">
        <f>IF(AND(D4328="USA",C4328&gt;=1980,J4328="No"),"Yes","No")</f>
        <v/>
      </c>
      <c r="L4328" s="26">
        <f>IF(J4328="Yes","",H4328-I4328)</f>
        <v/>
      </c>
      <c r="M4328" s="27">
        <f>IF(OR(J4328="Yes",I4328=0),"",H4328/I4328)</f>
        <v/>
      </c>
      <c r="N4328" s="21">
        <f>IF(J4328="Yes","",IF(H4328&gt;=I4328,1,0))</f>
        <v/>
      </c>
      <c r="O4328" s="21">
        <f>IF(I4328&lt;=5000000,"Under $5M",IF(I4328&lt;=20000000,"$5M-20M",IF(I4328&lt;=50000000,"$20M-50M",IF(I4328&lt;=100000000,"$50M-100M","$100M+"))))</f>
        <v/>
      </c>
      <c r="P4328" s="21">
        <f>IF(E4328&lt;=90,"90 or less",IF(E4328&lt;=105,"91-105",IF(E4328&lt;=120,"106-120",IF(E4328&lt;=140,"121-140","Over 140"))))</f>
        <v/>
      </c>
      <c r="Q4328" s="28">
        <f>INT(C4328/10)*10</f>
        <v/>
      </c>
    </row>
    <row r="4329">
      <c r="A4329" s="21" t="n">
        <v>4419</v>
      </c>
      <c r="B4329" s="21" t="inlineStr">
        <is>
          <t>Freedom</t>
        </is>
      </c>
      <c r="C4329" s="21" t="n">
        <v>2014</v>
      </c>
      <c r="D4329" s="21" t="inlineStr">
        <is>
          <t>USA</t>
        </is>
      </c>
      <c r="E4329" s="21" t="n">
        <v>94</v>
      </c>
      <c r="F4329" s="21" t="inlineStr">
        <is>
          <t>English</t>
        </is>
      </c>
      <c r="G4329" s="21" t="inlineStr">
        <is>
          <t>R</t>
        </is>
      </c>
      <c r="H4329" s="22" t="n">
        <v>25529689.5</v>
      </c>
      <c r="I4329" s="22" t="n">
        <v>14500000</v>
      </c>
      <c r="J4329" s="21">
        <f>IF(OR(H4329="",H4329=25529689.5),"Yes","No")</f>
        <v/>
      </c>
      <c r="K4329" s="21">
        <f>IF(AND(D4329="USA",C4329&gt;=1980,J4329="No"),"Yes","No")</f>
        <v/>
      </c>
      <c r="L4329" s="26">
        <f>IF(J4329="Yes","",H4329-I4329)</f>
        <v/>
      </c>
      <c r="M4329" s="27">
        <f>IF(OR(J4329="Yes",I4329=0),"",H4329/I4329)</f>
        <v/>
      </c>
      <c r="N4329" s="21">
        <f>IF(J4329="Yes","",IF(H4329&gt;=I4329,1,0))</f>
        <v/>
      </c>
      <c r="O4329" s="21">
        <f>IF(I4329&lt;=5000000,"Under $5M",IF(I4329&lt;=20000000,"$5M-20M",IF(I4329&lt;=50000000,"$20M-50M",IF(I4329&lt;=100000000,"$50M-100M","$100M+"))))</f>
        <v/>
      </c>
      <c r="P4329" s="21">
        <f>IF(E4329&lt;=90,"90 or less",IF(E4329&lt;=105,"91-105",IF(E4329&lt;=120,"106-120",IF(E4329&lt;=140,"121-140","Over 140"))))</f>
        <v/>
      </c>
      <c r="Q4329" s="28">
        <f>INT(C4329/10)*10</f>
        <v/>
      </c>
    </row>
    <row r="4330">
      <c r="A4330" s="21" t="n">
        <v>4420</v>
      </c>
      <c r="B4330" s="21" t="inlineStr">
        <is>
          <t>Fugly</t>
        </is>
      </c>
      <c r="C4330" s="21" t="n">
        <v>2014</v>
      </c>
      <c r="D4330" s="21" t="inlineStr">
        <is>
          <t>India</t>
        </is>
      </c>
      <c r="E4330" s="21" t="n">
        <v>134</v>
      </c>
      <c r="F4330" s="21" t="inlineStr">
        <is>
          <t>Hindi</t>
        </is>
      </c>
      <c r="G4330" s="21" t="n"/>
      <c r="H4330" s="22" t="n">
        <v>25529689.5</v>
      </c>
      <c r="I4330" s="22" t="n">
        <v>20000000</v>
      </c>
      <c r="J4330" s="21">
        <f>IF(OR(H4330="",H4330=25529689.5),"Yes","No")</f>
        <v/>
      </c>
      <c r="K4330" s="21">
        <f>IF(AND(D4330="USA",C4330&gt;=1980,J4330="No"),"Yes","No")</f>
        <v/>
      </c>
      <c r="L4330" s="26">
        <f>IF(J4330="Yes","",H4330-I4330)</f>
        <v/>
      </c>
      <c r="M4330" s="27">
        <f>IF(OR(J4330="Yes",I4330=0),"",H4330/I4330)</f>
        <v/>
      </c>
      <c r="N4330" s="21">
        <f>IF(J4330="Yes","",IF(H4330&gt;=I4330,1,0))</f>
        <v/>
      </c>
      <c r="O4330" s="21">
        <f>IF(I4330&lt;=5000000,"Under $5M",IF(I4330&lt;=20000000,"$5M-20M",IF(I4330&lt;=50000000,"$20M-50M",IF(I4330&lt;=100000000,"$50M-100M","$100M+"))))</f>
        <v/>
      </c>
      <c r="P4330" s="21">
        <f>IF(E4330&lt;=90,"90 or less",IF(E4330&lt;=105,"91-105",IF(E4330&lt;=120,"106-120",IF(E4330&lt;=140,"121-140","Over 140"))))</f>
        <v/>
      </c>
      <c r="Q4330" s="28">
        <f>INT(C4330/10)*10</f>
        <v/>
      </c>
    </row>
    <row r="4331">
      <c r="A4331" s="21" t="n">
        <v>4421</v>
      </c>
      <c r="B4331" s="21" t="inlineStr">
        <is>
          <t>Fury</t>
        </is>
      </c>
      <c r="C4331" s="21" t="n">
        <v>2014</v>
      </c>
      <c r="D4331" s="21" t="inlineStr">
        <is>
          <t>USA</t>
        </is>
      </c>
      <c r="E4331" s="21" t="n">
        <v>134</v>
      </c>
      <c r="F4331" s="21" t="inlineStr">
        <is>
          <t>English</t>
        </is>
      </c>
      <c r="G4331" s="21" t="inlineStr">
        <is>
          <t>R</t>
        </is>
      </c>
      <c r="H4331" s="22" t="n">
        <v>85707116</v>
      </c>
      <c r="I4331" s="22" t="n">
        <v>68000000</v>
      </c>
      <c r="J4331" s="21">
        <f>IF(OR(H4331="",H4331=25529689.5),"Yes","No")</f>
        <v/>
      </c>
      <c r="K4331" s="21">
        <f>IF(AND(D4331="USA",C4331&gt;=1980,J4331="No"),"Yes","No")</f>
        <v/>
      </c>
      <c r="L4331" s="26">
        <f>IF(J4331="Yes","",H4331-I4331)</f>
        <v/>
      </c>
      <c r="M4331" s="27">
        <f>IF(OR(J4331="Yes",I4331=0),"",H4331/I4331)</f>
        <v/>
      </c>
      <c r="N4331" s="21">
        <f>IF(J4331="Yes","",IF(H4331&gt;=I4331,1,0))</f>
        <v/>
      </c>
      <c r="O4331" s="21">
        <f>IF(I4331&lt;=5000000,"Under $5M",IF(I4331&lt;=20000000,"$5M-20M",IF(I4331&lt;=50000000,"$20M-50M",IF(I4331&lt;=100000000,"$50M-100M","$100M+"))))</f>
        <v/>
      </c>
      <c r="P4331" s="21">
        <f>IF(E4331&lt;=90,"90 or less",IF(E4331&lt;=105,"91-105",IF(E4331&lt;=120,"106-120",IF(E4331&lt;=140,"121-140","Over 140"))))</f>
        <v/>
      </c>
      <c r="Q4331" s="28">
        <f>INT(C4331/10)*10</f>
        <v/>
      </c>
    </row>
    <row r="4332">
      <c r="A4332" s="21" t="n">
        <v>4422</v>
      </c>
      <c r="B4332" s="21" t="inlineStr">
        <is>
          <t>Futuro Beach</t>
        </is>
      </c>
      <c r="C4332" s="21" t="n">
        <v>2014</v>
      </c>
      <c r="D4332" s="21" t="inlineStr">
        <is>
          <t>Brazil</t>
        </is>
      </c>
      <c r="E4332" s="21" t="n">
        <v>106</v>
      </c>
      <c r="F4332" s="21" t="inlineStr">
        <is>
          <t>Portuguese</t>
        </is>
      </c>
      <c r="G4332" s="21" t="inlineStr">
        <is>
          <t>Unrated</t>
        </is>
      </c>
      <c r="H4332" s="22" t="n">
        <v>20262</v>
      </c>
      <c r="I4332" s="22" t="n">
        <v>4000000</v>
      </c>
      <c r="J4332" s="21">
        <f>IF(OR(H4332="",H4332=25529689.5),"Yes","No")</f>
        <v/>
      </c>
      <c r="K4332" s="21">
        <f>IF(AND(D4332="USA",C4332&gt;=1980,J4332="No"),"Yes","No")</f>
        <v/>
      </c>
      <c r="L4332" s="26">
        <f>IF(J4332="Yes","",H4332-I4332)</f>
        <v/>
      </c>
      <c r="M4332" s="27">
        <f>IF(OR(J4332="Yes",I4332=0),"",H4332/I4332)</f>
        <v/>
      </c>
      <c r="N4332" s="21">
        <f>IF(J4332="Yes","",IF(H4332&gt;=I4332,1,0))</f>
        <v/>
      </c>
      <c r="O4332" s="21">
        <f>IF(I4332&lt;=5000000,"Under $5M",IF(I4332&lt;=20000000,"$5M-20M",IF(I4332&lt;=50000000,"$20M-50M",IF(I4332&lt;=100000000,"$50M-100M","$100M+"))))</f>
        <v/>
      </c>
      <c r="P4332" s="21">
        <f>IF(E4332&lt;=90,"90 or less",IF(E4332&lt;=105,"91-105",IF(E4332&lt;=120,"106-120",IF(E4332&lt;=140,"121-140","Over 140"))))</f>
        <v/>
      </c>
      <c r="Q4332" s="28">
        <f>INT(C4332/10)*10</f>
        <v/>
      </c>
    </row>
    <row r="4333">
      <c r="A4333" s="21" t="n">
        <v>4423</v>
      </c>
      <c r="B4333" s="21" t="inlineStr">
        <is>
          <t>Get on Up</t>
        </is>
      </c>
      <c r="C4333" s="21" t="n">
        <v>2014</v>
      </c>
      <c r="D4333" s="21" t="inlineStr">
        <is>
          <t>USA</t>
        </is>
      </c>
      <c r="E4333" s="21" t="n">
        <v>139</v>
      </c>
      <c r="F4333" s="21" t="inlineStr">
        <is>
          <t>English</t>
        </is>
      </c>
      <c r="G4333" s="21" t="inlineStr">
        <is>
          <t>PG-13</t>
        </is>
      </c>
      <c r="H4333" s="22" t="n">
        <v>30513940</v>
      </c>
      <c r="I4333" s="22" t="n">
        <v>30000000</v>
      </c>
      <c r="J4333" s="21">
        <f>IF(OR(H4333="",H4333=25529689.5),"Yes","No")</f>
        <v/>
      </c>
      <c r="K4333" s="21">
        <f>IF(AND(D4333="USA",C4333&gt;=1980,J4333="No"),"Yes","No")</f>
        <v/>
      </c>
      <c r="L4333" s="26">
        <f>IF(J4333="Yes","",H4333-I4333)</f>
        <v/>
      </c>
      <c r="M4333" s="27">
        <f>IF(OR(J4333="Yes",I4333=0),"",H4333/I4333)</f>
        <v/>
      </c>
      <c r="N4333" s="21">
        <f>IF(J4333="Yes","",IF(H4333&gt;=I4333,1,0))</f>
        <v/>
      </c>
      <c r="O4333" s="21">
        <f>IF(I4333&lt;=5000000,"Under $5M",IF(I4333&lt;=20000000,"$5M-20M",IF(I4333&lt;=50000000,"$20M-50M",IF(I4333&lt;=100000000,"$50M-100M","$100M+"))))</f>
        <v/>
      </c>
      <c r="P4333" s="21">
        <f>IF(E4333&lt;=90,"90 or less",IF(E4333&lt;=105,"91-105",IF(E4333&lt;=120,"106-120",IF(E4333&lt;=140,"121-140","Over 140"))))</f>
        <v/>
      </c>
      <c r="Q4333" s="28">
        <f>INT(C4333/10)*10</f>
        <v/>
      </c>
    </row>
    <row r="4334">
      <c r="A4334" s="21" t="n">
        <v>4424</v>
      </c>
      <c r="B4334" s="21" t="inlineStr">
        <is>
          <t>Girl House</t>
        </is>
      </c>
      <c r="C4334" s="21" t="n">
        <v>2014</v>
      </c>
      <c r="D4334" s="21" t="inlineStr">
        <is>
          <t>Canada</t>
        </is>
      </c>
      <c r="E4334" s="21" t="n">
        <v>99</v>
      </c>
      <c r="F4334" s="21" t="inlineStr">
        <is>
          <t>English</t>
        </is>
      </c>
      <c r="G4334" s="21" t="n"/>
      <c r="H4334" s="22" t="n">
        <v>25529689.5</v>
      </c>
      <c r="I4334" s="22" t="n">
        <v>3150000</v>
      </c>
      <c r="J4334" s="21">
        <f>IF(OR(H4334="",H4334=25529689.5),"Yes","No")</f>
        <v/>
      </c>
      <c r="K4334" s="21">
        <f>IF(AND(D4334="USA",C4334&gt;=1980,J4334="No"),"Yes","No")</f>
        <v/>
      </c>
      <c r="L4334" s="26">
        <f>IF(J4334="Yes","",H4334-I4334)</f>
        <v/>
      </c>
      <c r="M4334" s="27">
        <f>IF(OR(J4334="Yes",I4334=0),"",H4334/I4334)</f>
        <v/>
      </c>
      <c r="N4334" s="21">
        <f>IF(J4334="Yes","",IF(H4334&gt;=I4334,1,0))</f>
        <v/>
      </c>
      <c r="O4334" s="21">
        <f>IF(I4334&lt;=5000000,"Under $5M",IF(I4334&lt;=20000000,"$5M-20M",IF(I4334&lt;=50000000,"$20M-50M",IF(I4334&lt;=100000000,"$50M-100M","$100M+"))))</f>
        <v/>
      </c>
      <c r="P4334" s="21">
        <f>IF(E4334&lt;=90,"90 or less",IF(E4334&lt;=105,"91-105",IF(E4334&lt;=120,"106-120",IF(E4334&lt;=140,"121-140","Over 140"))))</f>
        <v/>
      </c>
      <c r="Q4334" s="28">
        <f>INT(C4334/10)*10</f>
        <v/>
      </c>
    </row>
    <row r="4335">
      <c r="A4335" s="21" t="n">
        <v>4425</v>
      </c>
      <c r="B4335" s="21" t="inlineStr">
        <is>
          <t>Give Me Shelter</t>
        </is>
      </c>
      <c r="C4335" s="21" t="n">
        <v>2014</v>
      </c>
      <c r="D4335" s="21" t="inlineStr">
        <is>
          <t>USA</t>
        </is>
      </c>
      <c r="E4335" s="21" t="n">
        <v>90</v>
      </c>
      <c r="F4335" s="21" t="inlineStr">
        <is>
          <t>English</t>
        </is>
      </c>
      <c r="G4335" s="21" t="n"/>
      <c r="H4335" s="22" t="n">
        <v>25529689.5</v>
      </c>
      <c r="I4335" s="22" t="n">
        <v>250000</v>
      </c>
      <c r="J4335" s="21">
        <f>IF(OR(H4335="",H4335=25529689.5),"Yes","No")</f>
        <v/>
      </c>
      <c r="K4335" s="21">
        <f>IF(AND(D4335="USA",C4335&gt;=1980,J4335="No"),"Yes","No")</f>
        <v/>
      </c>
      <c r="L4335" s="26">
        <f>IF(J4335="Yes","",H4335-I4335)</f>
        <v/>
      </c>
      <c r="M4335" s="27">
        <f>IF(OR(J4335="Yes",I4335=0),"",H4335/I4335)</f>
        <v/>
      </c>
      <c r="N4335" s="21">
        <f>IF(J4335="Yes","",IF(H4335&gt;=I4335,1,0))</f>
        <v/>
      </c>
      <c r="O4335" s="21">
        <f>IF(I4335&lt;=5000000,"Under $5M",IF(I4335&lt;=20000000,"$5M-20M",IF(I4335&lt;=50000000,"$20M-50M",IF(I4335&lt;=100000000,"$50M-100M","$100M+"))))</f>
        <v/>
      </c>
      <c r="P4335" s="21">
        <f>IF(E4335&lt;=90,"90 or less",IF(E4335&lt;=105,"91-105",IF(E4335&lt;=120,"106-120",IF(E4335&lt;=140,"121-140","Over 140"))))</f>
        <v/>
      </c>
      <c r="Q4335" s="28">
        <f>INT(C4335/10)*10</f>
        <v/>
      </c>
    </row>
    <row r="4336">
      <c r="A4336" s="21" t="n">
        <v>4426</v>
      </c>
      <c r="B4336" s="21" t="inlineStr">
        <is>
          <t>Gone Girl</t>
        </is>
      </c>
      <c r="C4336" s="21" t="n">
        <v>2014</v>
      </c>
      <c r="D4336" s="21" t="inlineStr">
        <is>
          <t>USA</t>
        </is>
      </c>
      <c r="E4336" s="21" t="n">
        <v>149</v>
      </c>
      <c r="F4336" s="21" t="inlineStr">
        <is>
          <t>English</t>
        </is>
      </c>
      <c r="G4336" s="21" t="inlineStr">
        <is>
          <t>R</t>
        </is>
      </c>
      <c r="H4336" s="22" t="n">
        <v>167735396</v>
      </c>
      <c r="I4336" s="22" t="n">
        <v>61000000</v>
      </c>
      <c r="J4336" s="21">
        <f>IF(OR(H4336="",H4336=25529689.5),"Yes","No")</f>
        <v/>
      </c>
      <c r="K4336" s="21">
        <f>IF(AND(D4336="USA",C4336&gt;=1980,J4336="No"),"Yes","No")</f>
        <v/>
      </c>
      <c r="L4336" s="26">
        <f>IF(J4336="Yes","",H4336-I4336)</f>
        <v/>
      </c>
      <c r="M4336" s="27">
        <f>IF(OR(J4336="Yes",I4336=0),"",H4336/I4336)</f>
        <v/>
      </c>
      <c r="N4336" s="21">
        <f>IF(J4336="Yes","",IF(H4336&gt;=I4336,1,0))</f>
        <v/>
      </c>
      <c r="O4336" s="21">
        <f>IF(I4336&lt;=5000000,"Under $5M",IF(I4336&lt;=20000000,"$5M-20M",IF(I4336&lt;=50000000,"$20M-50M",IF(I4336&lt;=100000000,"$50M-100M","$100M+"))))</f>
        <v/>
      </c>
      <c r="P4336" s="21">
        <f>IF(E4336&lt;=90,"90 or less",IF(E4336&lt;=105,"91-105",IF(E4336&lt;=120,"106-120",IF(E4336&lt;=140,"121-140","Over 140"))))</f>
        <v/>
      </c>
      <c r="Q4336" s="28">
        <f>INT(C4336/10)*10</f>
        <v/>
      </c>
    </row>
    <row r="4337">
      <c r="A4337" s="21" t="n">
        <v>4427</v>
      </c>
      <c r="B4337" s="21" t="inlineStr">
        <is>
          <t>Good Kill</t>
        </is>
      </c>
      <c r="C4337" s="21" t="n">
        <v>2014</v>
      </c>
      <c r="D4337" s="21" t="inlineStr">
        <is>
          <t>USA</t>
        </is>
      </c>
      <c r="E4337" s="21" t="n">
        <v>102</v>
      </c>
      <c r="F4337" s="21" t="inlineStr">
        <is>
          <t>English</t>
        </is>
      </c>
      <c r="G4337" s="21" t="inlineStr">
        <is>
          <t>R</t>
        </is>
      </c>
      <c r="H4337" s="22" t="n">
        <v>316842</v>
      </c>
      <c r="I4337" s="22" t="n">
        <v>20000000</v>
      </c>
      <c r="J4337" s="21">
        <f>IF(OR(H4337="",H4337=25529689.5),"Yes","No")</f>
        <v/>
      </c>
      <c r="K4337" s="21">
        <f>IF(AND(D4337="USA",C4337&gt;=1980,J4337="No"),"Yes","No")</f>
        <v/>
      </c>
      <c r="L4337" s="26">
        <f>IF(J4337="Yes","",H4337-I4337)</f>
        <v/>
      </c>
      <c r="M4337" s="27">
        <f>IF(OR(J4337="Yes",I4337=0),"",H4337/I4337)</f>
        <v/>
      </c>
      <c r="N4337" s="21">
        <f>IF(J4337="Yes","",IF(H4337&gt;=I4337,1,0))</f>
        <v/>
      </c>
      <c r="O4337" s="21">
        <f>IF(I4337&lt;=5000000,"Under $5M",IF(I4337&lt;=20000000,"$5M-20M",IF(I4337&lt;=50000000,"$20M-50M",IF(I4337&lt;=100000000,"$50M-100M","$100M+"))))</f>
        <v/>
      </c>
      <c r="P4337" s="21">
        <f>IF(E4337&lt;=90,"90 or less",IF(E4337&lt;=105,"91-105",IF(E4337&lt;=120,"106-120",IF(E4337&lt;=140,"121-140","Over 140"))))</f>
        <v/>
      </c>
      <c r="Q4337" s="28">
        <f>INT(C4337/10)*10</f>
        <v/>
      </c>
    </row>
    <row r="4338">
      <c r="A4338" s="21" t="n">
        <v>4428</v>
      </c>
      <c r="B4338" s="21" t="inlineStr">
        <is>
          <t>Grace of Monaco</t>
        </is>
      </c>
      <c r="C4338" s="21" t="n">
        <v>2014</v>
      </c>
      <c r="D4338" s="21" t="inlineStr">
        <is>
          <t>Switzerland</t>
        </is>
      </c>
      <c r="E4338" s="21" t="n">
        <v>103</v>
      </c>
      <c r="F4338" s="21" t="inlineStr">
        <is>
          <t>English</t>
        </is>
      </c>
      <c r="G4338" s="21" t="n"/>
      <c r="H4338" s="22" t="n">
        <v>25529689.5</v>
      </c>
      <c r="I4338" s="22" t="n">
        <v>30000000</v>
      </c>
      <c r="J4338" s="21">
        <f>IF(OR(H4338="",H4338=25529689.5),"Yes","No")</f>
        <v/>
      </c>
      <c r="K4338" s="21">
        <f>IF(AND(D4338="USA",C4338&gt;=1980,J4338="No"),"Yes","No")</f>
        <v/>
      </c>
      <c r="L4338" s="26">
        <f>IF(J4338="Yes","",H4338-I4338)</f>
        <v/>
      </c>
      <c r="M4338" s="27">
        <f>IF(OR(J4338="Yes",I4338=0),"",H4338/I4338)</f>
        <v/>
      </c>
      <c r="N4338" s="21">
        <f>IF(J4338="Yes","",IF(H4338&gt;=I4338,1,0))</f>
        <v/>
      </c>
      <c r="O4338" s="21">
        <f>IF(I4338&lt;=5000000,"Under $5M",IF(I4338&lt;=20000000,"$5M-20M",IF(I4338&lt;=50000000,"$20M-50M",IF(I4338&lt;=100000000,"$50M-100M","$100M+"))))</f>
        <v/>
      </c>
      <c r="P4338" s="21">
        <f>IF(E4338&lt;=90,"90 or less",IF(E4338&lt;=105,"91-105",IF(E4338&lt;=120,"106-120",IF(E4338&lt;=140,"121-140","Over 140"))))</f>
        <v/>
      </c>
      <c r="Q4338" s="28">
        <f>INT(C4338/10)*10</f>
        <v/>
      </c>
    </row>
    <row r="4339">
      <c r="A4339" s="21" t="n">
        <v>4429</v>
      </c>
      <c r="B4339" s="21" t="inlineStr">
        <is>
          <t>Guardians of the Galaxy</t>
        </is>
      </c>
      <c r="C4339" s="21" t="n">
        <v>2014</v>
      </c>
      <c r="D4339" s="21" t="inlineStr">
        <is>
          <t>USA</t>
        </is>
      </c>
      <c r="E4339" s="21" t="n">
        <v>121</v>
      </c>
      <c r="F4339" s="21" t="inlineStr">
        <is>
          <t>English</t>
        </is>
      </c>
      <c r="G4339" s="21" t="inlineStr">
        <is>
          <t>PG-13</t>
        </is>
      </c>
      <c r="H4339" s="22" t="n">
        <v>333130696</v>
      </c>
      <c r="I4339" s="22" t="n">
        <v>170000000</v>
      </c>
      <c r="J4339" s="21">
        <f>IF(OR(H4339="",H4339=25529689.5),"Yes","No")</f>
        <v/>
      </c>
      <c r="K4339" s="21">
        <f>IF(AND(D4339="USA",C4339&gt;=1980,J4339="No"),"Yes","No")</f>
        <v/>
      </c>
      <c r="L4339" s="26">
        <f>IF(J4339="Yes","",H4339-I4339)</f>
        <v/>
      </c>
      <c r="M4339" s="27">
        <f>IF(OR(J4339="Yes",I4339=0),"",H4339/I4339)</f>
        <v/>
      </c>
      <c r="N4339" s="21">
        <f>IF(J4339="Yes","",IF(H4339&gt;=I4339,1,0))</f>
        <v/>
      </c>
      <c r="O4339" s="21">
        <f>IF(I4339&lt;=5000000,"Under $5M",IF(I4339&lt;=20000000,"$5M-20M",IF(I4339&lt;=50000000,"$20M-50M",IF(I4339&lt;=100000000,"$50M-100M","$100M+"))))</f>
        <v/>
      </c>
      <c r="P4339" s="21">
        <f>IF(E4339&lt;=90,"90 or less",IF(E4339&lt;=105,"91-105",IF(E4339&lt;=120,"106-120",IF(E4339&lt;=140,"121-140","Over 140"))))</f>
        <v/>
      </c>
      <c r="Q4339" s="28">
        <f>INT(C4339/10)*10</f>
        <v/>
      </c>
    </row>
    <row r="4340">
      <c r="A4340" s="21" t="n">
        <v>4430</v>
      </c>
      <c r="B4340" s="21" t="inlineStr">
        <is>
          <t>H.</t>
        </is>
      </c>
      <c r="C4340" s="21" t="n">
        <v>2014</v>
      </c>
      <c r="D4340" s="21" t="inlineStr">
        <is>
          <t>USA</t>
        </is>
      </c>
      <c r="E4340" s="21" t="n">
        <v>93</v>
      </c>
      <c r="F4340" s="21" t="inlineStr">
        <is>
          <t>English</t>
        </is>
      </c>
      <c r="G4340" s="21" t="n"/>
      <c r="H4340" s="22" t="n">
        <v>25529689.5</v>
      </c>
      <c r="I4340" s="22" t="n">
        <v>20000000</v>
      </c>
      <c r="J4340" s="21">
        <f>IF(OR(H4340="",H4340=25529689.5),"Yes","No")</f>
        <v/>
      </c>
      <c r="K4340" s="21">
        <f>IF(AND(D4340="USA",C4340&gt;=1980,J4340="No"),"Yes","No")</f>
        <v/>
      </c>
      <c r="L4340" s="26">
        <f>IF(J4340="Yes","",H4340-I4340)</f>
        <v/>
      </c>
      <c r="M4340" s="27">
        <f>IF(OR(J4340="Yes",I4340=0),"",H4340/I4340)</f>
        <v/>
      </c>
      <c r="N4340" s="21">
        <f>IF(J4340="Yes","",IF(H4340&gt;=I4340,1,0))</f>
        <v/>
      </c>
      <c r="O4340" s="21">
        <f>IF(I4340&lt;=5000000,"Under $5M",IF(I4340&lt;=20000000,"$5M-20M",IF(I4340&lt;=50000000,"$20M-50M",IF(I4340&lt;=100000000,"$50M-100M","$100M+"))))</f>
        <v/>
      </c>
      <c r="P4340" s="21">
        <f>IF(E4340&lt;=90,"90 or less",IF(E4340&lt;=105,"91-105",IF(E4340&lt;=120,"106-120",IF(E4340&lt;=140,"121-140","Over 140"))))</f>
        <v/>
      </c>
      <c r="Q4340" s="28">
        <f>INT(C4340/10)*10</f>
        <v/>
      </c>
    </row>
    <row r="4341">
      <c r="A4341" s="21" t="n">
        <v>4431</v>
      </c>
      <c r="B4341" s="21" t="inlineStr">
        <is>
          <t>Happy Christmas</t>
        </is>
      </c>
      <c r="C4341" s="21" t="n">
        <v>2014</v>
      </c>
      <c r="D4341" s="21" t="inlineStr">
        <is>
          <t>USA</t>
        </is>
      </c>
      <c r="E4341" s="21" t="n">
        <v>82</v>
      </c>
      <c r="F4341" s="21" t="inlineStr">
        <is>
          <t>English</t>
        </is>
      </c>
      <c r="G4341" s="21" t="inlineStr">
        <is>
          <t>R</t>
        </is>
      </c>
      <c r="H4341" s="22" t="n">
        <v>30084</v>
      </c>
      <c r="I4341" s="22" t="n">
        <v>70000</v>
      </c>
      <c r="J4341" s="21">
        <f>IF(OR(H4341="",H4341=25529689.5),"Yes","No")</f>
        <v/>
      </c>
      <c r="K4341" s="21">
        <f>IF(AND(D4341="USA",C4341&gt;=1980,J4341="No"),"Yes","No")</f>
        <v/>
      </c>
      <c r="L4341" s="26">
        <f>IF(J4341="Yes","",H4341-I4341)</f>
        <v/>
      </c>
      <c r="M4341" s="27">
        <f>IF(OR(J4341="Yes",I4341=0),"",H4341/I4341)</f>
        <v/>
      </c>
      <c r="N4341" s="21">
        <f>IF(J4341="Yes","",IF(H4341&gt;=I4341,1,0))</f>
        <v/>
      </c>
      <c r="O4341" s="21">
        <f>IF(I4341&lt;=5000000,"Under $5M",IF(I4341&lt;=20000000,"$5M-20M",IF(I4341&lt;=50000000,"$20M-50M",IF(I4341&lt;=100000000,"$50M-100M","$100M+"))))</f>
        <v/>
      </c>
      <c r="P4341" s="21">
        <f>IF(E4341&lt;=90,"90 or less",IF(E4341&lt;=105,"91-105",IF(E4341&lt;=120,"106-120",IF(E4341&lt;=140,"121-140","Over 140"))))</f>
        <v/>
      </c>
      <c r="Q4341" s="28">
        <f>INT(C4341/10)*10</f>
        <v/>
      </c>
    </row>
    <row r="4342">
      <c r="A4342" s="21" t="n">
        <v>4432</v>
      </c>
      <c r="B4342" s="21" t="inlineStr">
        <is>
          <t>Heaven Is for Real</t>
        </is>
      </c>
      <c r="C4342" s="21" t="n">
        <v>2014</v>
      </c>
      <c r="D4342" s="21" t="inlineStr">
        <is>
          <t>USA</t>
        </is>
      </c>
      <c r="E4342" s="21" t="n">
        <v>99</v>
      </c>
      <c r="F4342" s="21" t="inlineStr">
        <is>
          <t>English</t>
        </is>
      </c>
      <c r="G4342" s="21" t="inlineStr">
        <is>
          <t>PG</t>
        </is>
      </c>
      <c r="H4342" s="22" t="n">
        <v>91443253</v>
      </c>
      <c r="I4342" s="22" t="n">
        <v>12000000</v>
      </c>
      <c r="J4342" s="21">
        <f>IF(OR(H4342="",H4342=25529689.5),"Yes","No")</f>
        <v/>
      </c>
      <c r="K4342" s="21">
        <f>IF(AND(D4342="USA",C4342&gt;=1980,J4342="No"),"Yes","No")</f>
        <v/>
      </c>
      <c r="L4342" s="26">
        <f>IF(J4342="Yes","",H4342-I4342)</f>
        <v/>
      </c>
      <c r="M4342" s="27">
        <f>IF(OR(J4342="Yes",I4342=0),"",H4342/I4342)</f>
        <v/>
      </c>
      <c r="N4342" s="21">
        <f>IF(J4342="Yes","",IF(H4342&gt;=I4342,1,0))</f>
        <v/>
      </c>
      <c r="O4342" s="21">
        <f>IF(I4342&lt;=5000000,"Under $5M",IF(I4342&lt;=20000000,"$5M-20M",IF(I4342&lt;=50000000,"$20M-50M",IF(I4342&lt;=100000000,"$50M-100M","$100M+"))))</f>
        <v/>
      </c>
      <c r="P4342" s="21">
        <f>IF(E4342&lt;=90,"90 or less",IF(E4342&lt;=105,"91-105",IF(E4342&lt;=120,"106-120",IF(E4342&lt;=140,"121-140","Over 140"))))</f>
        <v/>
      </c>
      <c r="Q4342" s="28">
        <f>INT(C4342/10)*10</f>
        <v/>
      </c>
    </row>
    <row r="4343">
      <c r="A4343" s="21" t="n">
        <v>4433</v>
      </c>
      <c r="B4343" s="21" t="inlineStr">
        <is>
          <t>Henry &amp; Me</t>
        </is>
      </c>
      <c r="C4343" s="21" t="n">
        <v>2014</v>
      </c>
      <c r="D4343" s="21" t="inlineStr">
        <is>
          <t>USA</t>
        </is>
      </c>
      <c r="E4343" s="21" t="n">
        <v>67</v>
      </c>
      <c r="F4343" s="21" t="inlineStr">
        <is>
          <t>English</t>
        </is>
      </c>
      <c r="G4343" s="21" t="inlineStr">
        <is>
          <t>PG</t>
        </is>
      </c>
      <c r="H4343" s="22" t="n">
        <v>25529689.5</v>
      </c>
      <c r="I4343" s="22" t="n">
        <v>10000000</v>
      </c>
      <c r="J4343" s="21">
        <f>IF(OR(H4343="",H4343=25529689.5),"Yes","No")</f>
        <v/>
      </c>
      <c r="K4343" s="21">
        <f>IF(AND(D4343="USA",C4343&gt;=1980,J4343="No"),"Yes","No")</f>
        <v/>
      </c>
      <c r="L4343" s="26">
        <f>IF(J4343="Yes","",H4343-I4343)</f>
        <v/>
      </c>
      <c r="M4343" s="27">
        <f>IF(OR(J4343="Yes",I4343=0),"",H4343/I4343)</f>
        <v/>
      </c>
      <c r="N4343" s="21">
        <f>IF(J4343="Yes","",IF(H4343&gt;=I4343,1,0))</f>
        <v/>
      </c>
      <c r="O4343" s="21">
        <f>IF(I4343&lt;=5000000,"Under $5M",IF(I4343&lt;=20000000,"$5M-20M",IF(I4343&lt;=50000000,"$20M-50M",IF(I4343&lt;=100000000,"$50M-100M","$100M+"))))</f>
        <v/>
      </c>
      <c r="P4343" s="21">
        <f>IF(E4343&lt;=90,"90 or less",IF(E4343&lt;=105,"91-105",IF(E4343&lt;=120,"106-120",IF(E4343&lt;=140,"121-140","Over 140"))))</f>
        <v/>
      </c>
      <c r="Q4343" s="28">
        <f>INT(C4343/10)*10</f>
        <v/>
      </c>
    </row>
    <row r="4344">
      <c r="A4344" s="21" t="n">
        <v>4434</v>
      </c>
      <c r="B4344" s="21" t="inlineStr">
        <is>
          <t>Hercules</t>
        </is>
      </c>
      <c r="C4344" s="21" t="n">
        <v>2014</v>
      </c>
      <c r="D4344" s="21" t="inlineStr">
        <is>
          <t>USA</t>
        </is>
      </c>
      <c r="E4344" s="21" t="n">
        <v>101</v>
      </c>
      <c r="F4344" s="21" t="inlineStr">
        <is>
          <t>English</t>
        </is>
      </c>
      <c r="G4344" s="21" t="inlineStr">
        <is>
          <t>PG-13</t>
        </is>
      </c>
      <c r="H4344" s="22" t="n">
        <v>72660029</v>
      </c>
      <c r="I4344" s="22" t="n">
        <v>100000000</v>
      </c>
      <c r="J4344" s="21">
        <f>IF(OR(H4344="",H4344=25529689.5),"Yes","No")</f>
        <v/>
      </c>
      <c r="K4344" s="21">
        <f>IF(AND(D4344="USA",C4344&gt;=1980,J4344="No"),"Yes","No")</f>
        <v/>
      </c>
      <c r="L4344" s="26">
        <f>IF(J4344="Yes","",H4344-I4344)</f>
        <v/>
      </c>
      <c r="M4344" s="27">
        <f>IF(OR(J4344="Yes",I4344=0),"",H4344/I4344)</f>
        <v/>
      </c>
      <c r="N4344" s="21">
        <f>IF(J4344="Yes","",IF(H4344&gt;=I4344,1,0))</f>
        <v/>
      </c>
      <c r="O4344" s="21">
        <f>IF(I4344&lt;=5000000,"Under $5M",IF(I4344&lt;=20000000,"$5M-20M",IF(I4344&lt;=50000000,"$20M-50M",IF(I4344&lt;=100000000,"$50M-100M","$100M+"))))</f>
        <v/>
      </c>
      <c r="P4344" s="21">
        <f>IF(E4344&lt;=90,"90 or less",IF(E4344&lt;=105,"91-105",IF(E4344&lt;=120,"106-120",IF(E4344&lt;=140,"121-140","Over 140"))))</f>
        <v/>
      </c>
      <c r="Q4344" s="28">
        <f>INT(C4344/10)*10</f>
        <v/>
      </c>
    </row>
    <row r="4345">
      <c r="A4345" s="21" t="n">
        <v>4436</v>
      </c>
      <c r="B4345" s="21" t="inlineStr">
        <is>
          <t>Hidden Away</t>
        </is>
      </c>
      <c r="C4345" s="21" t="n">
        <v>2014</v>
      </c>
      <c r="D4345" s="21" t="inlineStr">
        <is>
          <t>Spain</t>
        </is>
      </c>
      <c r="E4345" s="21" t="n">
        <v>96</v>
      </c>
      <c r="F4345" s="21" t="inlineStr">
        <is>
          <t>Spanish</t>
        </is>
      </c>
      <c r="G4345" s="21" t="inlineStr">
        <is>
          <t>Unrated</t>
        </is>
      </c>
      <c r="H4345" s="22" t="n">
        <v>25529689.5</v>
      </c>
      <c r="I4345" s="22" t="n">
        <v>20000000</v>
      </c>
      <c r="J4345" s="21">
        <f>IF(OR(H4345="",H4345=25529689.5),"Yes","No")</f>
        <v/>
      </c>
      <c r="K4345" s="21">
        <f>IF(AND(D4345="USA",C4345&gt;=1980,J4345="No"),"Yes","No")</f>
        <v/>
      </c>
      <c r="L4345" s="26">
        <f>IF(J4345="Yes","",H4345-I4345)</f>
        <v/>
      </c>
      <c r="M4345" s="27">
        <f>IF(OR(J4345="Yes",I4345=0),"",H4345/I4345)</f>
        <v/>
      </c>
      <c r="N4345" s="21">
        <f>IF(J4345="Yes","",IF(H4345&gt;=I4345,1,0))</f>
        <v/>
      </c>
      <c r="O4345" s="21">
        <f>IF(I4345&lt;=5000000,"Under $5M",IF(I4345&lt;=20000000,"$5M-20M",IF(I4345&lt;=50000000,"$20M-50M",IF(I4345&lt;=100000000,"$50M-100M","$100M+"))))</f>
        <v/>
      </c>
      <c r="P4345" s="21">
        <f>IF(E4345&lt;=90,"90 or less",IF(E4345&lt;=105,"91-105",IF(E4345&lt;=120,"106-120",IF(E4345&lt;=140,"121-140","Over 140"))))</f>
        <v/>
      </c>
      <c r="Q4345" s="28">
        <f>INT(C4345/10)*10</f>
        <v/>
      </c>
    </row>
    <row r="4346">
      <c r="A4346" s="21" t="n">
        <v>4437</v>
      </c>
      <c r="B4346" s="21" t="inlineStr">
        <is>
          <t>Hits</t>
        </is>
      </c>
      <c r="C4346" s="21" t="n">
        <v>2014</v>
      </c>
      <c r="D4346" s="21" t="inlineStr">
        <is>
          <t>USA</t>
        </is>
      </c>
      <c r="E4346" s="21" t="n">
        <v>96</v>
      </c>
      <c r="F4346" s="21" t="inlineStr">
        <is>
          <t>English</t>
        </is>
      </c>
      <c r="G4346" s="21" t="n"/>
      <c r="H4346" s="22" t="n">
        <v>25529689.5</v>
      </c>
      <c r="I4346" s="22" t="n">
        <v>1000000</v>
      </c>
      <c r="J4346" s="21">
        <f>IF(OR(H4346="",H4346=25529689.5),"Yes","No")</f>
        <v/>
      </c>
      <c r="K4346" s="21">
        <f>IF(AND(D4346="USA",C4346&gt;=1980,J4346="No"),"Yes","No")</f>
        <v/>
      </c>
      <c r="L4346" s="26">
        <f>IF(J4346="Yes","",H4346-I4346)</f>
        <v/>
      </c>
      <c r="M4346" s="27">
        <f>IF(OR(J4346="Yes",I4346=0),"",H4346/I4346)</f>
        <v/>
      </c>
      <c r="N4346" s="21">
        <f>IF(J4346="Yes","",IF(H4346&gt;=I4346,1,0))</f>
        <v/>
      </c>
      <c r="O4346" s="21">
        <f>IF(I4346&lt;=5000000,"Under $5M",IF(I4346&lt;=20000000,"$5M-20M",IF(I4346&lt;=50000000,"$20M-50M",IF(I4346&lt;=100000000,"$50M-100M","$100M+"))))</f>
        <v/>
      </c>
      <c r="P4346" s="21">
        <f>IF(E4346&lt;=90,"90 or less",IF(E4346&lt;=105,"91-105",IF(E4346&lt;=120,"106-120",IF(E4346&lt;=140,"121-140","Over 140"))))</f>
        <v/>
      </c>
      <c r="Q4346" s="28">
        <f>INT(C4346/10)*10</f>
        <v/>
      </c>
    </row>
    <row r="4347">
      <c r="A4347" s="21" t="n">
        <v>4438</v>
      </c>
      <c r="B4347" s="21" t="inlineStr">
        <is>
          <t>Horrible Bosses 2</t>
        </is>
      </c>
      <c r="C4347" s="21" t="n">
        <v>2014</v>
      </c>
      <c r="D4347" s="21" t="inlineStr">
        <is>
          <t>USA</t>
        </is>
      </c>
      <c r="E4347" s="21" t="n">
        <v>116</v>
      </c>
      <c r="F4347" s="21" t="inlineStr">
        <is>
          <t>English</t>
        </is>
      </c>
      <c r="G4347" s="21" t="inlineStr">
        <is>
          <t>R</t>
        </is>
      </c>
      <c r="H4347" s="22" t="n">
        <v>54414716</v>
      </c>
      <c r="I4347" s="22" t="n">
        <v>42000000</v>
      </c>
      <c r="J4347" s="21">
        <f>IF(OR(H4347="",H4347=25529689.5),"Yes","No")</f>
        <v/>
      </c>
      <c r="K4347" s="21">
        <f>IF(AND(D4347="USA",C4347&gt;=1980,J4347="No"),"Yes","No")</f>
        <v/>
      </c>
      <c r="L4347" s="26">
        <f>IF(J4347="Yes","",H4347-I4347)</f>
        <v/>
      </c>
      <c r="M4347" s="27">
        <f>IF(OR(J4347="Yes",I4347=0),"",H4347/I4347)</f>
        <v/>
      </c>
      <c r="N4347" s="21">
        <f>IF(J4347="Yes","",IF(H4347&gt;=I4347,1,0))</f>
        <v/>
      </c>
      <c r="O4347" s="21">
        <f>IF(I4347&lt;=5000000,"Under $5M",IF(I4347&lt;=20000000,"$5M-20M",IF(I4347&lt;=50000000,"$20M-50M",IF(I4347&lt;=100000000,"$50M-100M","$100M+"))))</f>
        <v/>
      </c>
      <c r="P4347" s="21">
        <f>IF(E4347&lt;=90,"90 or less",IF(E4347&lt;=105,"91-105",IF(E4347&lt;=120,"106-120",IF(E4347&lt;=140,"121-140","Over 140"))))</f>
        <v/>
      </c>
      <c r="Q4347" s="28">
        <f>INT(C4347/10)*10</f>
        <v/>
      </c>
    </row>
    <row r="4348">
      <c r="A4348" s="21" t="n">
        <v>4439</v>
      </c>
      <c r="B4348" s="21" t="inlineStr">
        <is>
          <t>Horse Camp</t>
        </is>
      </c>
      <c r="C4348" s="21" t="n">
        <v>2014</v>
      </c>
      <c r="D4348" s="21" t="inlineStr">
        <is>
          <t>USA</t>
        </is>
      </c>
      <c r="E4348" s="21" t="n">
        <v>108</v>
      </c>
      <c r="F4348" s="21" t="inlineStr">
        <is>
          <t>English</t>
        </is>
      </c>
      <c r="G4348" s="21" t="inlineStr">
        <is>
          <t>PG</t>
        </is>
      </c>
      <c r="H4348" s="22" t="n">
        <v>25529689.5</v>
      </c>
      <c r="I4348" s="22" t="n">
        <v>250000</v>
      </c>
      <c r="J4348" s="21">
        <f>IF(OR(H4348="",H4348=25529689.5),"Yes","No")</f>
        <v/>
      </c>
      <c r="K4348" s="21">
        <f>IF(AND(D4348="USA",C4348&gt;=1980,J4348="No"),"Yes","No")</f>
        <v/>
      </c>
      <c r="L4348" s="26">
        <f>IF(J4348="Yes","",H4348-I4348)</f>
        <v/>
      </c>
      <c r="M4348" s="27">
        <f>IF(OR(J4348="Yes",I4348=0),"",H4348/I4348)</f>
        <v/>
      </c>
      <c r="N4348" s="21">
        <f>IF(J4348="Yes","",IF(H4348&gt;=I4348,1,0))</f>
        <v/>
      </c>
      <c r="O4348" s="21">
        <f>IF(I4348&lt;=5000000,"Under $5M",IF(I4348&lt;=20000000,"$5M-20M",IF(I4348&lt;=50000000,"$20M-50M",IF(I4348&lt;=100000000,"$50M-100M","$100M+"))))</f>
        <v/>
      </c>
      <c r="P4348" s="21">
        <f>IF(E4348&lt;=90,"90 or less",IF(E4348&lt;=105,"91-105",IF(E4348&lt;=120,"106-120",IF(E4348&lt;=140,"121-140","Over 140"))))</f>
        <v/>
      </c>
      <c r="Q4348" s="28">
        <f>INT(C4348/10)*10</f>
        <v/>
      </c>
    </row>
    <row r="4349">
      <c r="A4349" s="21" t="n">
        <v>4440</v>
      </c>
      <c r="B4349" s="21" t="inlineStr">
        <is>
          <t>House at the End of the Drive</t>
        </is>
      </c>
      <c r="C4349" s="21" t="n">
        <v>2014</v>
      </c>
      <c r="D4349" s="21" t="inlineStr">
        <is>
          <t>USA</t>
        </is>
      </c>
      <c r="E4349" s="21" t="n">
        <v>91</v>
      </c>
      <c r="F4349" s="21" t="inlineStr">
        <is>
          <t>English</t>
        </is>
      </c>
      <c r="G4349" s="21" t="inlineStr">
        <is>
          <t>R</t>
        </is>
      </c>
      <c r="H4349" s="22" t="n">
        <v>25529689.5</v>
      </c>
      <c r="I4349" s="22" t="n">
        <v>1400000</v>
      </c>
      <c r="J4349" s="21">
        <f>IF(OR(H4349="",H4349=25529689.5),"Yes","No")</f>
        <v/>
      </c>
      <c r="K4349" s="21">
        <f>IF(AND(D4349="USA",C4349&gt;=1980,J4349="No"),"Yes","No")</f>
        <v/>
      </c>
      <c r="L4349" s="26">
        <f>IF(J4349="Yes","",H4349-I4349)</f>
        <v/>
      </c>
      <c r="M4349" s="27">
        <f>IF(OR(J4349="Yes",I4349=0),"",H4349/I4349)</f>
        <v/>
      </c>
      <c r="N4349" s="21">
        <f>IF(J4349="Yes","",IF(H4349&gt;=I4349,1,0))</f>
        <v/>
      </c>
      <c r="O4349" s="21">
        <f>IF(I4349&lt;=5000000,"Under $5M",IF(I4349&lt;=20000000,"$5M-20M",IF(I4349&lt;=50000000,"$20M-50M",IF(I4349&lt;=100000000,"$50M-100M","$100M+"))))</f>
        <v/>
      </c>
      <c r="P4349" s="21">
        <f>IF(E4349&lt;=90,"90 or less",IF(E4349&lt;=105,"91-105",IF(E4349&lt;=120,"106-120",IF(E4349&lt;=140,"121-140","Over 140"))))</f>
        <v/>
      </c>
      <c r="Q4349" s="28">
        <f>INT(C4349/10)*10</f>
        <v/>
      </c>
    </row>
    <row r="4350">
      <c r="A4350" s="21" t="n">
        <v>4441</v>
      </c>
      <c r="B4350" s="21" t="inlineStr">
        <is>
          <t>Housebound</t>
        </is>
      </c>
      <c r="C4350" s="21" t="n">
        <v>2014</v>
      </c>
      <c r="D4350" s="21" t="inlineStr">
        <is>
          <t>New Zealand</t>
        </is>
      </c>
      <c r="E4350" s="21" t="n">
        <v>107</v>
      </c>
      <c r="F4350" s="21" t="inlineStr">
        <is>
          <t>English</t>
        </is>
      </c>
      <c r="G4350" s="21" t="inlineStr">
        <is>
          <t>Not Rated</t>
        </is>
      </c>
      <c r="H4350" s="22" t="n">
        <v>25529689.5</v>
      </c>
      <c r="I4350" s="22" t="n">
        <v>350000</v>
      </c>
      <c r="J4350" s="21">
        <f>IF(OR(H4350="",H4350=25529689.5),"Yes","No")</f>
        <v/>
      </c>
      <c r="K4350" s="21">
        <f>IF(AND(D4350="USA",C4350&gt;=1980,J4350="No"),"Yes","No")</f>
        <v/>
      </c>
      <c r="L4350" s="26">
        <f>IF(J4350="Yes","",H4350-I4350)</f>
        <v/>
      </c>
      <c r="M4350" s="27">
        <f>IF(OR(J4350="Yes",I4350=0),"",H4350/I4350)</f>
        <v/>
      </c>
      <c r="N4350" s="21">
        <f>IF(J4350="Yes","",IF(H4350&gt;=I4350,1,0))</f>
        <v/>
      </c>
      <c r="O4350" s="21">
        <f>IF(I4350&lt;=5000000,"Under $5M",IF(I4350&lt;=20000000,"$5M-20M",IF(I4350&lt;=50000000,"$20M-50M",IF(I4350&lt;=100000000,"$50M-100M","$100M+"))))</f>
        <v/>
      </c>
      <c r="P4350" s="21">
        <f>IF(E4350&lt;=90,"90 or less",IF(E4350&lt;=105,"91-105",IF(E4350&lt;=120,"106-120",IF(E4350&lt;=140,"121-140","Over 140"))))</f>
        <v/>
      </c>
      <c r="Q4350" s="28">
        <f>INT(C4350/10)*10</f>
        <v/>
      </c>
    </row>
    <row r="4351">
      <c r="A4351" s="21" t="n">
        <v>4442</v>
      </c>
      <c r="B4351" s="21" t="inlineStr">
        <is>
          <t>How to Train Your Dragon 2</t>
        </is>
      </c>
      <c r="C4351" s="21" t="n">
        <v>2014</v>
      </c>
      <c r="D4351" s="21" t="inlineStr">
        <is>
          <t>USA</t>
        </is>
      </c>
      <c r="E4351" s="21" t="n">
        <v>102</v>
      </c>
      <c r="F4351" s="21" t="inlineStr">
        <is>
          <t>English</t>
        </is>
      </c>
      <c r="G4351" s="21" t="inlineStr">
        <is>
          <t>PG</t>
        </is>
      </c>
      <c r="H4351" s="22" t="n">
        <v>176997107</v>
      </c>
      <c r="I4351" s="22" t="n">
        <v>145000000</v>
      </c>
      <c r="J4351" s="21">
        <f>IF(OR(H4351="",H4351=25529689.5),"Yes","No")</f>
        <v/>
      </c>
      <c r="K4351" s="21">
        <f>IF(AND(D4351="USA",C4351&gt;=1980,J4351="No"),"Yes","No")</f>
        <v/>
      </c>
      <c r="L4351" s="26">
        <f>IF(J4351="Yes","",H4351-I4351)</f>
        <v/>
      </c>
      <c r="M4351" s="27">
        <f>IF(OR(J4351="Yes",I4351=0),"",H4351/I4351)</f>
        <v/>
      </c>
      <c r="N4351" s="21">
        <f>IF(J4351="Yes","",IF(H4351&gt;=I4351,1,0))</f>
        <v/>
      </c>
      <c r="O4351" s="21">
        <f>IF(I4351&lt;=5000000,"Under $5M",IF(I4351&lt;=20000000,"$5M-20M",IF(I4351&lt;=50000000,"$20M-50M",IF(I4351&lt;=100000000,"$50M-100M","$100M+"))))</f>
        <v/>
      </c>
      <c r="P4351" s="21">
        <f>IF(E4351&lt;=90,"90 or less",IF(E4351&lt;=105,"91-105",IF(E4351&lt;=120,"106-120",IF(E4351&lt;=140,"121-140","Over 140"))))</f>
        <v/>
      </c>
      <c r="Q4351" s="28">
        <f>INT(C4351/10)*10</f>
        <v/>
      </c>
    </row>
    <row r="4352">
      <c r="A4352" s="21" t="n">
        <v>4443</v>
      </c>
      <c r="B4352" s="21" t="inlineStr">
        <is>
          <t>I Origins</t>
        </is>
      </c>
      <c r="C4352" s="21" t="n">
        <v>2014</v>
      </c>
      <c r="D4352" s="21" t="inlineStr">
        <is>
          <t>USA</t>
        </is>
      </c>
      <c r="E4352" s="21" t="n">
        <v>106</v>
      </c>
      <c r="F4352" s="21" t="inlineStr">
        <is>
          <t>English</t>
        </is>
      </c>
      <c r="G4352" s="21" t="inlineStr">
        <is>
          <t>R</t>
        </is>
      </c>
      <c r="H4352" s="22" t="n">
        <v>334658</v>
      </c>
      <c r="I4352" s="22" t="n">
        <v>20000000</v>
      </c>
      <c r="J4352" s="21">
        <f>IF(OR(H4352="",H4352=25529689.5),"Yes","No")</f>
        <v/>
      </c>
      <c r="K4352" s="21">
        <f>IF(AND(D4352="USA",C4352&gt;=1980,J4352="No"),"Yes","No")</f>
        <v/>
      </c>
      <c r="L4352" s="26">
        <f>IF(J4352="Yes","",H4352-I4352)</f>
        <v/>
      </c>
      <c r="M4352" s="27">
        <f>IF(OR(J4352="Yes",I4352=0),"",H4352/I4352)</f>
        <v/>
      </c>
      <c r="N4352" s="21">
        <f>IF(J4352="Yes","",IF(H4352&gt;=I4352,1,0))</f>
        <v/>
      </c>
      <c r="O4352" s="21">
        <f>IF(I4352&lt;=5000000,"Under $5M",IF(I4352&lt;=20000000,"$5M-20M",IF(I4352&lt;=50000000,"$20M-50M",IF(I4352&lt;=100000000,"$50M-100M","$100M+"))))</f>
        <v/>
      </c>
      <c r="P4352" s="21">
        <f>IF(E4352&lt;=90,"90 or less",IF(E4352&lt;=105,"91-105",IF(E4352&lt;=120,"106-120",IF(E4352&lt;=140,"121-140","Over 140"))))</f>
        <v/>
      </c>
      <c r="Q4352" s="28">
        <f>INT(C4352/10)*10</f>
        <v/>
      </c>
    </row>
    <row r="4353">
      <c r="A4353" s="21" t="n">
        <v>4444</v>
      </c>
      <c r="B4353" s="21" t="inlineStr">
        <is>
          <t>I, Frankenstein</t>
        </is>
      </c>
      <c r="C4353" s="21" t="n">
        <v>2014</v>
      </c>
      <c r="D4353" s="21" t="inlineStr">
        <is>
          <t>Australia</t>
        </is>
      </c>
      <c r="E4353" s="21" t="n">
        <v>92</v>
      </c>
      <c r="F4353" s="21" t="inlineStr">
        <is>
          <t>English</t>
        </is>
      </c>
      <c r="G4353" s="21" t="inlineStr">
        <is>
          <t>PG-13</t>
        </is>
      </c>
      <c r="H4353" s="22" t="n">
        <v>19059018</v>
      </c>
      <c r="I4353" s="22" t="n">
        <v>65000000</v>
      </c>
      <c r="J4353" s="21">
        <f>IF(OR(H4353="",H4353=25529689.5),"Yes","No")</f>
        <v/>
      </c>
      <c r="K4353" s="21">
        <f>IF(AND(D4353="USA",C4353&gt;=1980,J4353="No"),"Yes","No")</f>
        <v/>
      </c>
      <c r="L4353" s="26">
        <f>IF(J4353="Yes","",H4353-I4353)</f>
        <v/>
      </c>
      <c r="M4353" s="27">
        <f>IF(OR(J4353="Yes",I4353=0),"",H4353/I4353)</f>
        <v/>
      </c>
      <c r="N4353" s="21">
        <f>IF(J4353="Yes","",IF(H4353&gt;=I4353,1,0))</f>
        <v/>
      </c>
      <c r="O4353" s="21">
        <f>IF(I4353&lt;=5000000,"Under $5M",IF(I4353&lt;=20000000,"$5M-20M",IF(I4353&lt;=50000000,"$20M-50M",IF(I4353&lt;=100000000,"$50M-100M","$100M+"))))</f>
        <v/>
      </c>
      <c r="P4353" s="21">
        <f>IF(E4353&lt;=90,"90 or less",IF(E4353&lt;=105,"91-105",IF(E4353&lt;=120,"106-120",IF(E4353&lt;=140,"121-140","Over 140"))))</f>
        <v/>
      </c>
      <c r="Q4353" s="28">
        <f>INT(C4353/10)*10</f>
        <v/>
      </c>
    </row>
    <row r="4354">
      <c r="A4354" s="21" t="n">
        <v>4445</v>
      </c>
      <c r="B4354" s="21" t="inlineStr">
        <is>
          <t>If I Stay</t>
        </is>
      </c>
      <c r="C4354" s="21" t="n">
        <v>2014</v>
      </c>
      <c r="D4354" s="21" t="inlineStr">
        <is>
          <t>USA</t>
        </is>
      </c>
      <c r="E4354" s="21" t="n">
        <v>107</v>
      </c>
      <c r="F4354" s="21" t="inlineStr">
        <is>
          <t>English</t>
        </is>
      </c>
      <c r="G4354" s="21" t="inlineStr">
        <is>
          <t>PG-13</t>
        </is>
      </c>
      <c r="H4354" s="22" t="n">
        <v>50461335</v>
      </c>
      <c r="I4354" s="22" t="n">
        <v>11000000</v>
      </c>
      <c r="J4354" s="21">
        <f>IF(OR(H4354="",H4354=25529689.5),"Yes","No")</f>
        <v/>
      </c>
      <c r="K4354" s="21">
        <f>IF(AND(D4354="USA",C4354&gt;=1980,J4354="No"),"Yes","No")</f>
        <v/>
      </c>
      <c r="L4354" s="26">
        <f>IF(J4354="Yes","",H4354-I4354)</f>
        <v/>
      </c>
      <c r="M4354" s="27">
        <f>IF(OR(J4354="Yes",I4354=0),"",H4354/I4354)</f>
        <v/>
      </c>
      <c r="N4354" s="21">
        <f>IF(J4354="Yes","",IF(H4354&gt;=I4354,1,0))</f>
        <v/>
      </c>
      <c r="O4354" s="21">
        <f>IF(I4354&lt;=5000000,"Under $5M",IF(I4354&lt;=20000000,"$5M-20M",IF(I4354&lt;=50000000,"$20M-50M",IF(I4354&lt;=100000000,"$50M-100M","$100M+"))))</f>
        <v/>
      </c>
      <c r="P4354" s="21">
        <f>IF(E4354&lt;=90,"90 or less",IF(E4354&lt;=105,"91-105",IF(E4354&lt;=120,"106-120",IF(E4354&lt;=140,"121-140","Over 140"))))</f>
        <v/>
      </c>
      <c r="Q4354" s="28">
        <f>INT(C4354/10)*10</f>
        <v/>
      </c>
    </row>
    <row r="4355">
      <c r="A4355" s="21" t="n">
        <v>4446</v>
      </c>
      <c r="B4355" s="21" t="inlineStr">
        <is>
          <t>In the Name of the King: The Last Job</t>
        </is>
      </c>
      <c r="C4355" s="21" t="n">
        <v>2014</v>
      </c>
      <c r="D4355" s="21" t="inlineStr">
        <is>
          <t>Canada</t>
        </is>
      </c>
      <c r="E4355" s="21" t="n">
        <v>86</v>
      </c>
      <c r="F4355" s="21" t="inlineStr">
        <is>
          <t>English</t>
        </is>
      </c>
      <c r="G4355" s="21" t="inlineStr">
        <is>
          <t>R</t>
        </is>
      </c>
      <c r="H4355" s="22" t="n">
        <v>25529689.5</v>
      </c>
      <c r="I4355" s="22" t="n">
        <v>3500000</v>
      </c>
      <c r="J4355" s="21">
        <f>IF(OR(H4355="",H4355=25529689.5),"Yes","No")</f>
        <v/>
      </c>
      <c r="K4355" s="21">
        <f>IF(AND(D4355="USA",C4355&gt;=1980,J4355="No"),"Yes","No")</f>
        <v/>
      </c>
      <c r="L4355" s="26">
        <f>IF(J4355="Yes","",H4355-I4355)</f>
        <v/>
      </c>
      <c r="M4355" s="27">
        <f>IF(OR(J4355="Yes",I4355=0),"",H4355/I4355)</f>
        <v/>
      </c>
      <c r="N4355" s="21">
        <f>IF(J4355="Yes","",IF(H4355&gt;=I4355,1,0))</f>
        <v/>
      </c>
      <c r="O4355" s="21">
        <f>IF(I4355&lt;=5000000,"Under $5M",IF(I4355&lt;=20000000,"$5M-20M",IF(I4355&lt;=50000000,"$20M-50M",IF(I4355&lt;=100000000,"$50M-100M","$100M+"))))</f>
        <v/>
      </c>
      <c r="P4355" s="21">
        <f>IF(E4355&lt;=90,"90 or less",IF(E4355&lt;=105,"91-105",IF(E4355&lt;=120,"106-120",IF(E4355&lt;=140,"121-140","Over 140"))))</f>
        <v/>
      </c>
      <c r="Q4355" s="28">
        <f>INT(C4355/10)*10</f>
        <v/>
      </c>
    </row>
    <row r="4356">
      <c r="A4356" s="21" t="n">
        <v>4447</v>
      </c>
      <c r="B4356" s="21" t="inlineStr">
        <is>
          <t>Inherent Vice</t>
        </is>
      </c>
      <c r="C4356" s="21" t="n">
        <v>2014</v>
      </c>
      <c r="D4356" s="21" t="inlineStr">
        <is>
          <t>USA</t>
        </is>
      </c>
      <c r="E4356" s="21" t="n">
        <v>148</v>
      </c>
      <c r="F4356" s="21" t="inlineStr">
        <is>
          <t>English</t>
        </is>
      </c>
      <c r="G4356" s="21" t="inlineStr">
        <is>
          <t>R</t>
        </is>
      </c>
      <c r="H4356" s="22" t="n">
        <v>8093318</v>
      </c>
      <c r="I4356" s="22" t="n">
        <v>20000000</v>
      </c>
      <c r="J4356" s="21">
        <f>IF(OR(H4356="",H4356=25529689.5),"Yes","No")</f>
        <v/>
      </c>
      <c r="K4356" s="21">
        <f>IF(AND(D4356="USA",C4356&gt;=1980,J4356="No"),"Yes","No")</f>
        <v/>
      </c>
      <c r="L4356" s="26">
        <f>IF(J4356="Yes","",H4356-I4356)</f>
        <v/>
      </c>
      <c r="M4356" s="27">
        <f>IF(OR(J4356="Yes",I4356=0),"",H4356/I4356)</f>
        <v/>
      </c>
      <c r="N4356" s="21">
        <f>IF(J4356="Yes","",IF(H4356&gt;=I4356,1,0))</f>
        <v/>
      </c>
      <c r="O4356" s="21">
        <f>IF(I4356&lt;=5000000,"Under $5M",IF(I4356&lt;=20000000,"$5M-20M",IF(I4356&lt;=50000000,"$20M-50M",IF(I4356&lt;=100000000,"$50M-100M","$100M+"))))</f>
        <v/>
      </c>
      <c r="P4356" s="21">
        <f>IF(E4356&lt;=90,"90 or less",IF(E4356&lt;=105,"91-105",IF(E4356&lt;=120,"106-120",IF(E4356&lt;=140,"121-140","Over 140"))))</f>
        <v/>
      </c>
      <c r="Q4356" s="28">
        <f>INT(C4356/10)*10</f>
        <v/>
      </c>
    </row>
    <row r="4357">
      <c r="A4357" s="21" t="n">
        <v>4448</v>
      </c>
      <c r="B4357" s="21" t="inlineStr">
        <is>
          <t>Interstellar</t>
        </is>
      </c>
      <c r="C4357" s="21" t="n">
        <v>2014</v>
      </c>
      <c r="D4357" s="21" t="inlineStr">
        <is>
          <t>USA</t>
        </is>
      </c>
      <c r="E4357" s="21" t="n">
        <v>169</v>
      </c>
      <c r="F4357" s="21" t="inlineStr">
        <is>
          <t>English</t>
        </is>
      </c>
      <c r="G4357" s="21" t="inlineStr">
        <is>
          <t>PG-13</t>
        </is>
      </c>
      <c r="H4357" s="22" t="n">
        <v>187991439</v>
      </c>
      <c r="I4357" s="22" t="n">
        <v>165000000</v>
      </c>
      <c r="J4357" s="21">
        <f>IF(OR(H4357="",H4357=25529689.5),"Yes","No")</f>
        <v/>
      </c>
      <c r="K4357" s="21">
        <f>IF(AND(D4357="USA",C4357&gt;=1980,J4357="No"),"Yes","No")</f>
        <v/>
      </c>
      <c r="L4357" s="26">
        <f>IF(J4357="Yes","",H4357-I4357)</f>
        <v/>
      </c>
      <c r="M4357" s="27">
        <f>IF(OR(J4357="Yes",I4357=0),"",H4357/I4357)</f>
        <v/>
      </c>
      <c r="N4357" s="21">
        <f>IF(J4357="Yes","",IF(H4357&gt;=I4357,1,0))</f>
        <v/>
      </c>
      <c r="O4357" s="21">
        <f>IF(I4357&lt;=5000000,"Under $5M",IF(I4357&lt;=20000000,"$5M-20M",IF(I4357&lt;=50000000,"$20M-50M",IF(I4357&lt;=100000000,"$50M-100M","$100M+"))))</f>
        <v/>
      </c>
      <c r="P4357" s="21">
        <f>IF(E4357&lt;=90,"90 or less",IF(E4357&lt;=105,"91-105",IF(E4357&lt;=120,"106-120",IF(E4357&lt;=140,"121-140","Over 140"))))</f>
        <v/>
      </c>
      <c r="Q4357" s="28">
        <f>INT(C4357/10)*10</f>
        <v/>
      </c>
    </row>
    <row r="4358">
      <c r="A4358" s="21" t="n">
        <v>4449</v>
      </c>
      <c r="B4358" s="21" t="inlineStr">
        <is>
          <t>Into the Storm</t>
        </is>
      </c>
      <c r="C4358" s="21" t="n">
        <v>2014</v>
      </c>
      <c r="D4358" s="21" t="inlineStr">
        <is>
          <t>USA</t>
        </is>
      </c>
      <c r="E4358" s="21" t="n">
        <v>89</v>
      </c>
      <c r="F4358" s="21" t="inlineStr">
        <is>
          <t>English</t>
        </is>
      </c>
      <c r="G4358" s="21" t="inlineStr">
        <is>
          <t>PG-13</t>
        </is>
      </c>
      <c r="H4358" s="22" t="n">
        <v>47553512</v>
      </c>
      <c r="I4358" s="22" t="n">
        <v>50000000</v>
      </c>
      <c r="J4358" s="21">
        <f>IF(OR(H4358="",H4358=25529689.5),"Yes","No")</f>
        <v/>
      </c>
      <c r="K4358" s="21">
        <f>IF(AND(D4358="USA",C4358&gt;=1980,J4358="No"),"Yes","No")</f>
        <v/>
      </c>
      <c r="L4358" s="26">
        <f>IF(J4358="Yes","",H4358-I4358)</f>
        <v/>
      </c>
      <c r="M4358" s="27">
        <f>IF(OR(J4358="Yes",I4358=0),"",H4358/I4358)</f>
        <v/>
      </c>
      <c r="N4358" s="21">
        <f>IF(J4358="Yes","",IF(H4358&gt;=I4358,1,0))</f>
        <v/>
      </c>
      <c r="O4358" s="21">
        <f>IF(I4358&lt;=5000000,"Under $5M",IF(I4358&lt;=20000000,"$5M-20M",IF(I4358&lt;=50000000,"$20M-50M",IF(I4358&lt;=100000000,"$50M-100M","$100M+"))))</f>
        <v/>
      </c>
      <c r="P4358" s="21">
        <f>IF(E4358&lt;=90,"90 or less",IF(E4358&lt;=105,"91-105",IF(E4358&lt;=120,"106-120",IF(E4358&lt;=140,"121-140","Over 140"))))</f>
        <v/>
      </c>
      <c r="Q4358" s="28">
        <f>INT(C4358/10)*10</f>
        <v/>
      </c>
    </row>
    <row r="4359">
      <c r="A4359" s="21" t="n">
        <v>4450</v>
      </c>
      <c r="B4359" s="21" t="inlineStr">
        <is>
          <t>Into the Woods</t>
        </is>
      </c>
      <c r="C4359" s="21" t="n">
        <v>2014</v>
      </c>
      <c r="D4359" s="21" t="inlineStr">
        <is>
          <t>USA</t>
        </is>
      </c>
      <c r="E4359" s="21" t="n">
        <v>125</v>
      </c>
      <c r="F4359" s="21" t="inlineStr">
        <is>
          <t>English</t>
        </is>
      </c>
      <c r="G4359" s="21" t="inlineStr">
        <is>
          <t>PG</t>
        </is>
      </c>
      <c r="H4359" s="22" t="n">
        <v>127997349</v>
      </c>
      <c r="I4359" s="22" t="n">
        <v>50000000</v>
      </c>
      <c r="J4359" s="21">
        <f>IF(OR(H4359="",H4359=25529689.5),"Yes","No")</f>
        <v/>
      </c>
      <c r="K4359" s="21">
        <f>IF(AND(D4359="USA",C4359&gt;=1980,J4359="No"),"Yes","No")</f>
        <v/>
      </c>
      <c r="L4359" s="26">
        <f>IF(J4359="Yes","",H4359-I4359)</f>
        <v/>
      </c>
      <c r="M4359" s="27">
        <f>IF(OR(J4359="Yes",I4359=0),"",H4359/I4359)</f>
        <v/>
      </c>
      <c r="N4359" s="21">
        <f>IF(J4359="Yes","",IF(H4359&gt;=I4359,1,0))</f>
        <v/>
      </c>
      <c r="O4359" s="21">
        <f>IF(I4359&lt;=5000000,"Under $5M",IF(I4359&lt;=20000000,"$5M-20M",IF(I4359&lt;=50000000,"$20M-50M",IF(I4359&lt;=100000000,"$50M-100M","$100M+"))))</f>
        <v/>
      </c>
      <c r="P4359" s="21">
        <f>IF(E4359&lt;=90,"90 or less",IF(E4359&lt;=105,"91-105",IF(E4359&lt;=120,"106-120",IF(E4359&lt;=140,"121-140","Over 140"))))</f>
        <v/>
      </c>
      <c r="Q4359" s="28">
        <f>INT(C4359/10)*10</f>
        <v/>
      </c>
    </row>
    <row r="4360">
      <c r="A4360" s="21" t="n">
        <v>4451</v>
      </c>
      <c r="B4360" s="21" t="inlineStr">
        <is>
          <t>It Follows</t>
        </is>
      </c>
      <c r="C4360" s="21" t="n">
        <v>2014</v>
      </c>
      <c r="D4360" s="21" t="inlineStr">
        <is>
          <t>USA</t>
        </is>
      </c>
      <c r="E4360" s="21" t="n">
        <v>100</v>
      </c>
      <c r="F4360" s="21" t="inlineStr">
        <is>
          <t>English</t>
        </is>
      </c>
      <c r="G4360" s="21" t="inlineStr">
        <is>
          <t>R</t>
        </is>
      </c>
      <c r="H4360" s="22" t="n">
        <v>14673301</v>
      </c>
      <c r="I4360" s="22" t="n">
        <v>2000000</v>
      </c>
      <c r="J4360" s="21">
        <f>IF(OR(H4360="",H4360=25529689.5),"Yes","No")</f>
        <v/>
      </c>
      <c r="K4360" s="21">
        <f>IF(AND(D4360="USA",C4360&gt;=1980,J4360="No"),"Yes","No")</f>
        <v/>
      </c>
      <c r="L4360" s="26">
        <f>IF(J4360="Yes","",H4360-I4360)</f>
        <v/>
      </c>
      <c r="M4360" s="27">
        <f>IF(OR(J4360="Yes",I4360=0),"",H4360/I4360)</f>
        <v/>
      </c>
      <c r="N4360" s="21">
        <f>IF(J4360="Yes","",IF(H4360&gt;=I4360,1,0))</f>
        <v/>
      </c>
      <c r="O4360" s="21">
        <f>IF(I4360&lt;=5000000,"Under $5M",IF(I4360&lt;=20000000,"$5M-20M",IF(I4360&lt;=50000000,"$20M-50M",IF(I4360&lt;=100000000,"$50M-100M","$100M+"))))</f>
        <v/>
      </c>
      <c r="P4360" s="21">
        <f>IF(E4360&lt;=90,"90 or less",IF(E4360&lt;=105,"91-105",IF(E4360&lt;=120,"106-120",IF(E4360&lt;=140,"121-140","Over 140"))))</f>
        <v/>
      </c>
      <c r="Q4360" s="28">
        <f>INT(C4360/10)*10</f>
        <v/>
      </c>
    </row>
    <row r="4361">
      <c r="A4361" s="21" t="n">
        <v>4452</v>
      </c>
      <c r="B4361" s="21" t="inlineStr">
        <is>
          <t>Jack Ryan: Shadow Recruit</t>
        </is>
      </c>
      <c r="C4361" s="21" t="n">
        <v>2014</v>
      </c>
      <c r="D4361" s="21" t="inlineStr">
        <is>
          <t>USA</t>
        </is>
      </c>
      <c r="E4361" s="21" t="n">
        <v>105</v>
      </c>
      <c r="F4361" s="21" t="inlineStr">
        <is>
          <t>English</t>
        </is>
      </c>
      <c r="G4361" s="21" t="inlineStr">
        <is>
          <t>PG-13</t>
        </is>
      </c>
      <c r="H4361" s="22" t="n">
        <v>50549107</v>
      </c>
      <c r="I4361" s="22" t="n">
        <v>60000000</v>
      </c>
      <c r="J4361" s="21">
        <f>IF(OR(H4361="",H4361=25529689.5),"Yes","No")</f>
        <v/>
      </c>
      <c r="K4361" s="21">
        <f>IF(AND(D4361="USA",C4361&gt;=1980,J4361="No"),"Yes","No")</f>
        <v/>
      </c>
      <c r="L4361" s="26">
        <f>IF(J4361="Yes","",H4361-I4361)</f>
        <v/>
      </c>
      <c r="M4361" s="27">
        <f>IF(OR(J4361="Yes",I4361=0),"",H4361/I4361)</f>
        <v/>
      </c>
      <c r="N4361" s="21">
        <f>IF(J4361="Yes","",IF(H4361&gt;=I4361,1,0))</f>
        <v/>
      </c>
      <c r="O4361" s="21">
        <f>IF(I4361&lt;=5000000,"Under $5M",IF(I4361&lt;=20000000,"$5M-20M",IF(I4361&lt;=50000000,"$20M-50M",IF(I4361&lt;=100000000,"$50M-100M","$100M+"))))</f>
        <v/>
      </c>
      <c r="P4361" s="21">
        <f>IF(E4361&lt;=90,"90 or less",IF(E4361&lt;=105,"91-105",IF(E4361&lt;=120,"106-120",IF(E4361&lt;=140,"121-140","Over 140"))))</f>
        <v/>
      </c>
      <c r="Q4361" s="28">
        <f>INT(C4361/10)*10</f>
        <v/>
      </c>
    </row>
    <row r="4362">
      <c r="A4362" s="21" t="n">
        <v>4453</v>
      </c>
      <c r="B4362" s="21" t="inlineStr">
        <is>
          <t>Jersey Boys</t>
        </is>
      </c>
      <c r="C4362" s="21" t="n">
        <v>2014</v>
      </c>
      <c r="D4362" s="21" t="inlineStr">
        <is>
          <t>USA</t>
        </is>
      </c>
      <c r="E4362" s="21" t="n">
        <v>134</v>
      </c>
      <c r="F4362" s="21" t="inlineStr">
        <is>
          <t>English</t>
        </is>
      </c>
      <c r="G4362" s="21" t="inlineStr">
        <is>
          <t>R</t>
        </is>
      </c>
      <c r="H4362" s="22" t="n">
        <v>47034272</v>
      </c>
      <c r="I4362" s="22" t="n">
        <v>40000000</v>
      </c>
      <c r="J4362" s="21">
        <f>IF(OR(H4362="",H4362=25529689.5),"Yes","No")</f>
        <v/>
      </c>
      <c r="K4362" s="21">
        <f>IF(AND(D4362="USA",C4362&gt;=1980,J4362="No"),"Yes","No")</f>
        <v/>
      </c>
      <c r="L4362" s="26">
        <f>IF(J4362="Yes","",H4362-I4362)</f>
        <v/>
      </c>
      <c r="M4362" s="27">
        <f>IF(OR(J4362="Yes",I4362=0),"",H4362/I4362)</f>
        <v/>
      </c>
      <c r="N4362" s="21">
        <f>IF(J4362="Yes","",IF(H4362&gt;=I4362,1,0))</f>
        <v/>
      </c>
      <c r="O4362" s="21">
        <f>IF(I4362&lt;=5000000,"Under $5M",IF(I4362&lt;=20000000,"$5M-20M",IF(I4362&lt;=50000000,"$20M-50M",IF(I4362&lt;=100000000,"$50M-100M","$100M+"))))</f>
        <v/>
      </c>
      <c r="P4362" s="21">
        <f>IF(E4362&lt;=90,"90 or less",IF(E4362&lt;=105,"91-105",IF(E4362&lt;=120,"106-120",IF(E4362&lt;=140,"121-140","Over 140"))))</f>
        <v/>
      </c>
      <c r="Q4362" s="28">
        <f>INT(C4362/10)*10</f>
        <v/>
      </c>
    </row>
    <row r="4363">
      <c r="A4363" s="21" t="n">
        <v>4454</v>
      </c>
      <c r="B4363" s="21" t="inlineStr">
        <is>
          <t>Jungle Shuffle</t>
        </is>
      </c>
      <c r="C4363" s="21" t="n">
        <v>2014</v>
      </c>
      <c r="D4363" s="21" t="inlineStr">
        <is>
          <t>South Korea</t>
        </is>
      </c>
      <c r="E4363" s="21" t="n">
        <v>85</v>
      </c>
      <c r="F4363" s="21" t="inlineStr">
        <is>
          <t>English</t>
        </is>
      </c>
      <c r="G4363" s="21" t="n"/>
      <c r="H4363" s="22" t="n">
        <v>25529689.5</v>
      </c>
      <c r="I4363" s="22" t="n">
        <v>10000000</v>
      </c>
      <c r="J4363" s="21">
        <f>IF(OR(H4363="",H4363=25529689.5),"Yes","No")</f>
        <v/>
      </c>
      <c r="K4363" s="21">
        <f>IF(AND(D4363="USA",C4363&gt;=1980,J4363="No"),"Yes","No")</f>
        <v/>
      </c>
      <c r="L4363" s="26">
        <f>IF(J4363="Yes","",H4363-I4363)</f>
        <v/>
      </c>
      <c r="M4363" s="27">
        <f>IF(OR(J4363="Yes",I4363=0),"",H4363/I4363)</f>
        <v/>
      </c>
      <c r="N4363" s="21">
        <f>IF(J4363="Yes","",IF(H4363&gt;=I4363,1,0))</f>
        <v/>
      </c>
      <c r="O4363" s="21">
        <f>IF(I4363&lt;=5000000,"Under $5M",IF(I4363&lt;=20000000,"$5M-20M",IF(I4363&lt;=50000000,"$20M-50M",IF(I4363&lt;=100000000,"$50M-100M","$100M+"))))</f>
        <v/>
      </c>
      <c r="P4363" s="21">
        <f>IF(E4363&lt;=90,"90 or less",IF(E4363&lt;=105,"91-105",IF(E4363&lt;=120,"106-120",IF(E4363&lt;=140,"121-140","Over 140"))))</f>
        <v/>
      </c>
      <c r="Q4363" s="28">
        <f>INT(C4363/10)*10</f>
        <v/>
      </c>
    </row>
    <row r="4364">
      <c r="A4364" s="21" t="n">
        <v>4455</v>
      </c>
      <c r="B4364" s="21" t="inlineStr">
        <is>
          <t>Kill the Messenger</t>
        </is>
      </c>
      <c r="C4364" s="21" t="n">
        <v>2014</v>
      </c>
      <c r="D4364" s="21" t="inlineStr">
        <is>
          <t>USA</t>
        </is>
      </c>
      <c r="E4364" s="21" t="n">
        <v>112</v>
      </c>
      <c r="F4364" s="21" t="inlineStr">
        <is>
          <t>English</t>
        </is>
      </c>
      <c r="G4364" s="21" t="inlineStr">
        <is>
          <t>R</t>
        </is>
      </c>
      <c r="H4364" s="22" t="n">
        <v>2445646</v>
      </c>
      <c r="I4364" s="22" t="n">
        <v>5000000</v>
      </c>
      <c r="J4364" s="21">
        <f>IF(OR(H4364="",H4364=25529689.5),"Yes","No")</f>
        <v/>
      </c>
      <c r="K4364" s="21">
        <f>IF(AND(D4364="USA",C4364&gt;=1980,J4364="No"),"Yes","No")</f>
        <v/>
      </c>
      <c r="L4364" s="26">
        <f>IF(J4364="Yes","",H4364-I4364)</f>
        <v/>
      </c>
      <c r="M4364" s="27">
        <f>IF(OR(J4364="Yes",I4364=0),"",H4364/I4364)</f>
        <v/>
      </c>
      <c r="N4364" s="21">
        <f>IF(J4364="Yes","",IF(H4364&gt;=I4364,1,0))</f>
        <v/>
      </c>
      <c r="O4364" s="21">
        <f>IF(I4364&lt;=5000000,"Under $5M",IF(I4364&lt;=20000000,"$5M-20M",IF(I4364&lt;=50000000,"$20M-50M",IF(I4364&lt;=100000000,"$50M-100M","$100M+"))))</f>
        <v/>
      </c>
      <c r="P4364" s="21">
        <f>IF(E4364&lt;=90,"90 or less",IF(E4364&lt;=105,"91-105",IF(E4364&lt;=120,"106-120",IF(E4364&lt;=140,"121-140","Over 140"))))</f>
        <v/>
      </c>
      <c r="Q4364" s="28">
        <f>INT(C4364/10)*10</f>
        <v/>
      </c>
    </row>
    <row r="4365">
      <c r="A4365" s="21" t="n">
        <v>4456</v>
      </c>
      <c r="B4365" s="21" t="inlineStr">
        <is>
          <t>Kung Fu Killer</t>
        </is>
      </c>
      <c r="C4365" s="21" t="n">
        <v>2014</v>
      </c>
      <c r="D4365" s="21" t="inlineStr">
        <is>
          <t>China</t>
        </is>
      </c>
      <c r="E4365" s="21" t="n">
        <v>100</v>
      </c>
      <c r="F4365" s="21" t="inlineStr">
        <is>
          <t>Cantonese</t>
        </is>
      </c>
      <c r="G4365" s="21" t="n"/>
      <c r="H4365" s="22" t="n">
        <v>129115</v>
      </c>
      <c r="I4365" s="22" t="n">
        <v>25000000</v>
      </c>
      <c r="J4365" s="21">
        <f>IF(OR(H4365="",H4365=25529689.5),"Yes","No")</f>
        <v/>
      </c>
      <c r="K4365" s="21">
        <f>IF(AND(D4365="USA",C4365&gt;=1980,J4365="No"),"Yes","No")</f>
        <v/>
      </c>
      <c r="L4365" s="26">
        <f>IF(J4365="Yes","",H4365-I4365)</f>
        <v/>
      </c>
      <c r="M4365" s="27">
        <f>IF(OR(J4365="Yes",I4365=0),"",H4365/I4365)</f>
        <v/>
      </c>
      <c r="N4365" s="21">
        <f>IF(J4365="Yes","",IF(H4365&gt;=I4365,1,0))</f>
        <v/>
      </c>
      <c r="O4365" s="21">
        <f>IF(I4365&lt;=5000000,"Under $5M",IF(I4365&lt;=20000000,"$5M-20M",IF(I4365&lt;=50000000,"$20M-50M",IF(I4365&lt;=100000000,"$50M-100M","$100M+"))))</f>
        <v/>
      </c>
      <c r="P4365" s="21">
        <f>IF(E4365&lt;=90,"90 or less",IF(E4365&lt;=105,"91-105",IF(E4365&lt;=120,"106-120",IF(E4365&lt;=140,"121-140","Over 140"))))</f>
        <v/>
      </c>
      <c r="Q4365" s="28">
        <f>INT(C4365/10)*10</f>
        <v/>
      </c>
    </row>
    <row r="4366">
      <c r="A4366" s="21" t="n">
        <v>4457</v>
      </c>
      <c r="B4366" s="21" t="inlineStr">
        <is>
          <t>La Famille BÃ©lier</t>
        </is>
      </c>
      <c r="C4366" s="21" t="n">
        <v>2014</v>
      </c>
      <c r="D4366" s="21" t="inlineStr">
        <is>
          <t>France</t>
        </is>
      </c>
      <c r="E4366" s="21" t="n">
        <v>106</v>
      </c>
      <c r="F4366" s="21" t="inlineStr">
        <is>
          <t>French</t>
        </is>
      </c>
      <c r="G4366" s="21" t="n"/>
      <c r="H4366" s="22" t="n">
        <v>25529689.5</v>
      </c>
      <c r="I4366" s="22" t="n">
        <v>11000000</v>
      </c>
      <c r="J4366" s="21">
        <f>IF(OR(H4366="",H4366=25529689.5),"Yes","No")</f>
        <v/>
      </c>
      <c r="K4366" s="21">
        <f>IF(AND(D4366="USA",C4366&gt;=1980,J4366="No"),"Yes","No")</f>
        <v/>
      </c>
      <c r="L4366" s="26">
        <f>IF(J4366="Yes","",H4366-I4366)</f>
        <v/>
      </c>
      <c r="M4366" s="27">
        <f>IF(OR(J4366="Yes",I4366=0),"",H4366/I4366)</f>
        <v/>
      </c>
      <c r="N4366" s="21">
        <f>IF(J4366="Yes","",IF(H4366&gt;=I4366,1,0))</f>
        <v/>
      </c>
      <c r="O4366" s="21">
        <f>IF(I4366&lt;=5000000,"Under $5M",IF(I4366&lt;=20000000,"$5M-20M",IF(I4366&lt;=50000000,"$20M-50M",IF(I4366&lt;=100000000,"$50M-100M","$100M+"))))</f>
        <v/>
      </c>
      <c r="P4366" s="21">
        <f>IF(E4366&lt;=90,"90 or less",IF(E4366&lt;=105,"91-105",IF(E4366&lt;=120,"106-120",IF(E4366&lt;=140,"121-140","Over 140"))))</f>
        <v/>
      </c>
      <c r="Q4366" s="28">
        <f>INT(C4366/10)*10</f>
        <v/>
      </c>
    </row>
    <row r="4367">
      <c r="A4367" s="21" t="n">
        <v>4458</v>
      </c>
      <c r="B4367" s="21" t="inlineStr">
        <is>
          <t>Left Behind</t>
        </is>
      </c>
      <c r="C4367" s="21" t="n">
        <v>2014</v>
      </c>
      <c r="D4367" s="21" t="inlineStr">
        <is>
          <t>USA</t>
        </is>
      </c>
      <c r="E4367" s="21" t="n">
        <v>110</v>
      </c>
      <c r="F4367" s="21" t="inlineStr">
        <is>
          <t>English</t>
        </is>
      </c>
      <c r="G4367" s="21" t="inlineStr">
        <is>
          <t>PG-13</t>
        </is>
      </c>
      <c r="H4367" s="22" t="n">
        <v>13998282</v>
      </c>
      <c r="I4367" s="22" t="n">
        <v>16000000</v>
      </c>
      <c r="J4367" s="21">
        <f>IF(OR(H4367="",H4367=25529689.5),"Yes","No")</f>
        <v/>
      </c>
      <c r="K4367" s="21">
        <f>IF(AND(D4367="USA",C4367&gt;=1980,J4367="No"),"Yes","No")</f>
        <v/>
      </c>
      <c r="L4367" s="26">
        <f>IF(J4367="Yes","",H4367-I4367)</f>
        <v/>
      </c>
      <c r="M4367" s="27">
        <f>IF(OR(J4367="Yes",I4367=0),"",H4367/I4367)</f>
        <v/>
      </c>
      <c r="N4367" s="21">
        <f>IF(J4367="Yes","",IF(H4367&gt;=I4367,1,0))</f>
        <v/>
      </c>
      <c r="O4367" s="21">
        <f>IF(I4367&lt;=5000000,"Under $5M",IF(I4367&lt;=20000000,"$5M-20M",IF(I4367&lt;=50000000,"$20M-50M",IF(I4367&lt;=100000000,"$50M-100M","$100M+"))))</f>
        <v/>
      </c>
      <c r="P4367" s="21">
        <f>IF(E4367&lt;=90,"90 or less",IF(E4367&lt;=105,"91-105",IF(E4367&lt;=120,"106-120",IF(E4367&lt;=140,"121-140","Over 140"))))</f>
        <v/>
      </c>
      <c r="Q4367" s="28">
        <f>INT(C4367/10)*10</f>
        <v/>
      </c>
    </row>
    <row r="4368">
      <c r="A4368" s="21" t="n">
        <v>4460</v>
      </c>
      <c r="B4368" s="21" t="inlineStr">
        <is>
          <t>Let's Be Cops</t>
        </is>
      </c>
      <c r="C4368" s="21" t="n">
        <v>2014</v>
      </c>
      <c r="D4368" s="21" t="inlineStr">
        <is>
          <t>USA</t>
        </is>
      </c>
      <c r="E4368" s="21" t="n">
        <v>104</v>
      </c>
      <c r="F4368" s="21" t="inlineStr">
        <is>
          <t>English</t>
        </is>
      </c>
      <c r="G4368" s="21" t="inlineStr">
        <is>
          <t>R</t>
        </is>
      </c>
      <c r="H4368" s="22" t="n">
        <v>82389560</v>
      </c>
      <c r="I4368" s="22" t="n">
        <v>17000000</v>
      </c>
      <c r="J4368" s="21">
        <f>IF(OR(H4368="",H4368=25529689.5),"Yes","No")</f>
        <v/>
      </c>
      <c r="K4368" s="21">
        <f>IF(AND(D4368="USA",C4368&gt;=1980,J4368="No"),"Yes","No")</f>
        <v/>
      </c>
      <c r="L4368" s="26">
        <f>IF(J4368="Yes","",H4368-I4368)</f>
        <v/>
      </c>
      <c r="M4368" s="27">
        <f>IF(OR(J4368="Yes",I4368=0),"",H4368/I4368)</f>
        <v/>
      </c>
      <c r="N4368" s="21">
        <f>IF(J4368="Yes","",IF(H4368&gt;=I4368,1,0))</f>
        <v/>
      </c>
      <c r="O4368" s="21">
        <f>IF(I4368&lt;=5000000,"Under $5M",IF(I4368&lt;=20000000,"$5M-20M",IF(I4368&lt;=50000000,"$20M-50M",IF(I4368&lt;=100000000,"$50M-100M","$100M+"))))</f>
        <v/>
      </c>
      <c r="P4368" s="21">
        <f>IF(E4368&lt;=90,"90 or less",IF(E4368&lt;=105,"91-105",IF(E4368&lt;=120,"106-120",IF(E4368&lt;=140,"121-140","Over 140"))))</f>
        <v/>
      </c>
      <c r="Q4368" s="28">
        <f>INT(C4368/10)*10</f>
        <v/>
      </c>
    </row>
    <row r="4369">
      <c r="A4369" s="21" t="n">
        <v>4461</v>
      </c>
      <c r="B4369" s="21" t="inlineStr">
        <is>
          <t>Let's Kill Ward's Wife</t>
        </is>
      </c>
      <c r="C4369" s="21" t="n">
        <v>2014</v>
      </c>
      <c r="D4369" s="21" t="inlineStr">
        <is>
          <t>USA</t>
        </is>
      </c>
      <c r="E4369" s="21" t="n">
        <v>82</v>
      </c>
      <c r="F4369" s="21" t="inlineStr">
        <is>
          <t>English</t>
        </is>
      </c>
      <c r="G4369" s="21" t="inlineStr">
        <is>
          <t>Unrated</t>
        </is>
      </c>
      <c r="H4369" s="22" t="n">
        <v>25529689.5</v>
      </c>
      <c r="I4369" s="22" t="n">
        <v>5000000</v>
      </c>
      <c r="J4369" s="21">
        <f>IF(OR(H4369="",H4369=25529689.5),"Yes","No")</f>
        <v/>
      </c>
      <c r="K4369" s="21">
        <f>IF(AND(D4369="USA",C4369&gt;=1980,J4369="No"),"Yes","No")</f>
        <v/>
      </c>
      <c r="L4369" s="26">
        <f>IF(J4369="Yes","",H4369-I4369)</f>
        <v/>
      </c>
      <c r="M4369" s="27">
        <f>IF(OR(J4369="Yes",I4369=0),"",H4369/I4369)</f>
        <v/>
      </c>
      <c r="N4369" s="21">
        <f>IF(J4369="Yes","",IF(H4369&gt;=I4369,1,0))</f>
        <v/>
      </c>
      <c r="O4369" s="21">
        <f>IF(I4369&lt;=5000000,"Under $5M",IF(I4369&lt;=20000000,"$5M-20M",IF(I4369&lt;=50000000,"$20M-50M",IF(I4369&lt;=100000000,"$50M-100M","$100M+"))))</f>
        <v/>
      </c>
      <c r="P4369" s="21">
        <f>IF(E4369&lt;=90,"90 or less",IF(E4369&lt;=105,"91-105",IF(E4369&lt;=120,"106-120",IF(E4369&lt;=140,"121-140","Over 140"))))</f>
        <v/>
      </c>
      <c r="Q4369" s="28">
        <f>INT(C4369/10)*10</f>
        <v/>
      </c>
    </row>
    <row r="4370">
      <c r="A4370" s="21" t="n">
        <v>4462</v>
      </c>
      <c r="B4370" s="21" t="inlineStr">
        <is>
          <t>Light from the Darkroom</t>
        </is>
      </c>
      <c r="C4370" s="21" t="n">
        <v>2014</v>
      </c>
      <c r="D4370" s="21" t="inlineStr">
        <is>
          <t>USA</t>
        </is>
      </c>
      <c r="E4370" s="21" t="n">
        <v>90</v>
      </c>
      <c r="F4370" s="21" t="inlineStr">
        <is>
          <t>English</t>
        </is>
      </c>
      <c r="G4370" s="21" t="inlineStr">
        <is>
          <t>PG-13</t>
        </is>
      </c>
      <c r="H4370" s="22" t="n">
        <v>25529689.5</v>
      </c>
      <c r="I4370" s="22" t="n">
        <v>600000</v>
      </c>
      <c r="J4370" s="21">
        <f>IF(OR(H4370="",H4370=25529689.5),"Yes","No")</f>
        <v/>
      </c>
      <c r="K4370" s="21">
        <f>IF(AND(D4370="USA",C4370&gt;=1980,J4370="No"),"Yes","No")</f>
        <v/>
      </c>
      <c r="L4370" s="26">
        <f>IF(J4370="Yes","",H4370-I4370)</f>
        <v/>
      </c>
      <c r="M4370" s="27">
        <f>IF(OR(J4370="Yes",I4370=0),"",H4370/I4370)</f>
        <v/>
      </c>
      <c r="N4370" s="21">
        <f>IF(J4370="Yes","",IF(H4370&gt;=I4370,1,0))</f>
        <v/>
      </c>
      <c r="O4370" s="21">
        <f>IF(I4370&lt;=5000000,"Under $5M",IF(I4370&lt;=20000000,"$5M-20M",IF(I4370&lt;=50000000,"$20M-50M",IF(I4370&lt;=100000000,"$50M-100M","$100M+"))))</f>
        <v/>
      </c>
      <c r="P4370" s="21">
        <f>IF(E4370&lt;=90,"90 or less",IF(E4370&lt;=105,"91-105",IF(E4370&lt;=120,"106-120",IF(E4370&lt;=140,"121-140","Over 140"))))</f>
        <v/>
      </c>
      <c r="Q4370" s="28">
        <f>INT(C4370/10)*10</f>
        <v/>
      </c>
    </row>
    <row r="4371">
      <c r="A4371" s="21" t="n">
        <v>4463</v>
      </c>
      <c r="B4371" s="21" t="inlineStr">
        <is>
          <t>Listening</t>
        </is>
      </c>
      <c r="C4371" s="21" t="n">
        <v>2014</v>
      </c>
      <c r="D4371" s="21" t="inlineStr">
        <is>
          <t>Cambodia</t>
        </is>
      </c>
      <c r="E4371" s="21" t="n">
        <v>100</v>
      </c>
      <c r="F4371" s="21" t="inlineStr">
        <is>
          <t>English</t>
        </is>
      </c>
      <c r="G4371" s="21" t="n"/>
      <c r="H4371" s="22" t="n">
        <v>25529689.5</v>
      </c>
      <c r="I4371" s="22" t="n">
        <v>20000000</v>
      </c>
      <c r="J4371" s="21">
        <f>IF(OR(H4371="",H4371=25529689.5),"Yes","No")</f>
        <v/>
      </c>
      <c r="K4371" s="21">
        <f>IF(AND(D4371="USA",C4371&gt;=1980,J4371="No"),"Yes","No")</f>
        <v/>
      </c>
      <c r="L4371" s="26">
        <f>IF(J4371="Yes","",H4371-I4371)</f>
        <v/>
      </c>
      <c r="M4371" s="27">
        <f>IF(OR(J4371="Yes",I4371=0),"",H4371/I4371)</f>
        <v/>
      </c>
      <c r="N4371" s="21">
        <f>IF(J4371="Yes","",IF(H4371&gt;=I4371,1,0))</f>
        <v/>
      </c>
      <c r="O4371" s="21">
        <f>IF(I4371&lt;=5000000,"Under $5M",IF(I4371&lt;=20000000,"$5M-20M",IF(I4371&lt;=50000000,"$20M-50M",IF(I4371&lt;=100000000,"$50M-100M","$100M+"))))</f>
        <v/>
      </c>
      <c r="P4371" s="21">
        <f>IF(E4371&lt;=90,"90 or less",IF(E4371&lt;=105,"91-105",IF(E4371&lt;=120,"106-120",IF(E4371&lt;=140,"121-140","Over 140"))))</f>
        <v/>
      </c>
      <c r="Q4371" s="28">
        <f>INT(C4371/10)*10</f>
        <v/>
      </c>
    </row>
    <row r="4372">
      <c r="A4372" s="21" t="n">
        <v>4464</v>
      </c>
      <c r="B4372" s="21" t="inlineStr">
        <is>
          <t>Locker 13</t>
        </is>
      </c>
      <c r="C4372" s="21" t="n">
        <v>2014</v>
      </c>
      <c r="D4372" s="21" t="inlineStr">
        <is>
          <t>USA</t>
        </is>
      </c>
      <c r="E4372" s="21" t="n">
        <v>95</v>
      </c>
      <c r="F4372" s="21" t="inlineStr">
        <is>
          <t>English</t>
        </is>
      </c>
      <c r="G4372" s="21" t="inlineStr">
        <is>
          <t>R</t>
        </is>
      </c>
      <c r="H4372" s="22" t="n">
        <v>2468</v>
      </c>
      <c r="I4372" s="22" t="n">
        <v>300000</v>
      </c>
      <c r="J4372" s="21">
        <f>IF(OR(H4372="",H4372=25529689.5),"Yes","No")</f>
        <v/>
      </c>
      <c r="K4372" s="21">
        <f>IF(AND(D4372="USA",C4372&gt;=1980,J4372="No"),"Yes","No")</f>
        <v/>
      </c>
      <c r="L4372" s="26">
        <f>IF(J4372="Yes","",H4372-I4372)</f>
        <v/>
      </c>
      <c r="M4372" s="27">
        <f>IF(OR(J4372="Yes",I4372=0),"",H4372/I4372)</f>
        <v/>
      </c>
      <c r="N4372" s="21">
        <f>IF(J4372="Yes","",IF(H4372&gt;=I4372,1,0))</f>
        <v/>
      </c>
      <c r="O4372" s="21">
        <f>IF(I4372&lt;=5000000,"Under $5M",IF(I4372&lt;=20000000,"$5M-20M",IF(I4372&lt;=50000000,"$20M-50M",IF(I4372&lt;=100000000,"$50M-100M","$100M+"))))</f>
        <v/>
      </c>
      <c r="P4372" s="21">
        <f>IF(E4372&lt;=90,"90 or less",IF(E4372&lt;=105,"91-105",IF(E4372&lt;=120,"106-120",IF(E4372&lt;=140,"121-140","Over 140"))))</f>
        <v/>
      </c>
      <c r="Q4372" s="28">
        <f>INT(C4372/10)*10</f>
        <v/>
      </c>
    </row>
    <row r="4373">
      <c r="A4373" s="21" t="n">
        <v>4465</v>
      </c>
      <c r="B4373" s="21" t="inlineStr">
        <is>
          <t>Lords of London</t>
        </is>
      </c>
      <c r="C4373" s="21" t="n">
        <v>2014</v>
      </c>
      <c r="D4373" s="21" t="inlineStr">
        <is>
          <t>UK</t>
        </is>
      </c>
      <c r="E4373" s="21" t="n">
        <v>90</v>
      </c>
      <c r="F4373" s="21" t="inlineStr">
        <is>
          <t>English</t>
        </is>
      </c>
      <c r="G4373" s="21" t="inlineStr">
        <is>
          <t>R</t>
        </is>
      </c>
      <c r="H4373" s="22" t="n">
        <v>25529689.5</v>
      </c>
      <c r="I4373" s="22" t="n">
        <v>3440000</v>
      </c>
      <c r="J4373" s="21">
        <f>IF(OR(H4373="",H4373=25529689.5),"Yes","No")</f>
        <v/>
      </c>
      <c r="K4373" s="21">
        <f>IF(AND(D4373="USA",C4373&gt;=1980,J4373="No"),"Yes","No")</f>
        <v/>
      </c>
      <c r="L4373" s="26">
        <f>IF(J4373="Yes","",H4373-I4373)</f>
        <v/>
      </c>
      <c r="M4373" s="27">
        <f>IF(OR(J4373="Yes",I4373=0),"",H4373/I4373)</f>
        <v/>
      </c>
      <c r="N4373" s="21">
        <f>IF(J4373="Yes","",IF(H4373&gt;=I4373,1,0))</f>
        <v/>
      </c>
      <c r="O4373" s="21">
        <f>IF(I4373&lt;=5000000,"Under $5M",IF(I4373&lt;=20000000,"$5M-20M",IF(I4373&lt;=50000000,"$20M-50M",IF(I4373&lt;=100000000,"$50M-100M","$100M+"))))</f>
        <v/>
      </c>
      <c r="P4373" s="21">
        <f>IF(E4373&lt;=90,"90 or less",IF(E4373&lt;=105,"91-105",IF(E4373&lt;=120,"106-120",IF(E4373&lt;=140,"121-140","Over 140"))))</f>
        <v/>
      </c>
      <c r="Q4373" s="28">
        <f>INT(C4373/10)*10</f>
        <v/>
      </c>
    </row>
    <row r="4374">
      <c r="A4374" s="21" t="n">
        <v>4466</v>
      </c>
      <c r="B4374" s="21" t="inlineStr">
        <is>
          <t>Love in the Time of Monsters</t>
        </is>
      </c>
      <c r="C4374" s="21" t="n">
        <v>2014</v>
      </c>
      <c r="D4374" s="21" t="inlineStr">
        <is>
          <t>USA</t>
        </is>
      </c>
      <c r="E4374" s="21" t="n">
        <v>97</v>
      </c>
      <c r="F4374" s="21" t="inlineStr">
        <is>
          <t>English</t>
        </is>
      </c>
      <c r="G4374" s="21" t="n"/>
      <c r="H4374" s="22" t="n">
        <v>25529689.5</v>
      </c>
      <c r="I4374" s="22" t="n">
        <v>500000</v>
      </c>
      <c r="J4374" s="21">
        <f>IF(OR(H4374="",H4374=25529689.5),"Yes","No")</f>
        <v/>
      </c>
      <c r="K4374" s="21">
        <f>IF(AND(D4374="USA",C4374&gt;=1980,J4374="No"),"Yes","No")</f>
        <v/>
      </c>
      <c r="L4374" s="26">
        <f>IF(J4374="Yes","",H4374-I4374)</f>
        <v/>
      </c>
      <c r="M4374" s="27">
        <f>IF(OR(J4374="Yes",I4374=0),"",H4374/I4374)</f>
        <v/>
      </c>
      <c r="N4374" s="21">
        <f>IF(J4374="Yes","",IF(H4374&gt;=I4374,1,0))</f>
        <v/>
      </c>
      <c r="O4374" s="21">
        <f>IF(I4374&lt;=5000000,"Under $5M",IF(I4374&lt;=20000000,"$5M-20M",IF(I4374&lt;=50000000,"$20M-50M",IF(I4374&lt;=100000000,"$50M-100M","$100M+"))))</f>
        <v/>
      </c>
      <c r="P4374" s="21">
        <f>IF(E4374&lt;=90,"90 or less",IF(E4374&lt;=105,"91-105",IF(E4374&lt;=120,"106-120",IF(E4374&lt;=140,"121-140","Over 140"))))</f>
        <v/>
      </c>
      <c r="Q4374" s="28">
        <f>INT(C4374/10)*10</f>
        <v/>
      </c>
    </row>
    <row r="4375">
      <c r="A4375" s="21" t="n">
        <v>4467</v>
      </c>
      <c r="B4375" s="21" t="inlineStr">
        <is>
          <t>Lucy</t>
        </is>
      </c>
      <c r="C4375" s="21" t="n">
        <v>2014</v>
      </c>
      <c r="D4375" s="21" t="inlineStr">
        <is>
          <t>France</t>
        </is>
      </c>
      <c r="E4375" s="21" t="n">
        <v>89</v>
      </c>
      <c r="F4375" s="21" t="inlineStr">
        <is>
          <t>English</t>
        </is>
      </c>
      <c r="G4375" s="21" t="inlineStr">
        <is>
          <t>R</t>
        </is>
      </c>
      <c r="H4375" s="22" t="n">
        <v>126546825</v>
      </c>
      <c r="I4375" s="22" t="n">
        <v>40000000</v>
      </c>
      <c r="J4375" s="21">
        <f>IF(OR(H4375="",H4375=25529689.5),"Yes","No")</f>
        <v/>
      </c>
      <c r="K4375" s="21">
        <f>IF(AND(D4375="USA",C4375&gt;=1980,J4375="No"),"Yes","No")</f>
        <v/>
      </c>
      <c r="L4375" s="26">
        <f>IF(J4375="Yes","",H4375-I4375)</f>
        <v/>
      </c>
      <c r="M4375" s="27">
        <f>IF(OR(J4375="Yes",I4375=0),"",H4375/I4375)</f>
        <v/>
      </c>
      <c r="N4375" s="21">
        <f>IF(J4375="Yes","",IF(H4375&gt;=I4375,1,0))</f>
        <v/>
      </c>
      <c r="O4375" s="21">
        <f>IF(I4375&lt;=5000000,"Under $5M",IF(I4375&lt;=20000000,"$5M-20M",IF(I4375&lt;=50000000,"$20M-50M",IF(I4375&lt;=100000000,"$50M-100M","$100M+"))))</f>
        <v/>
      </c>
      <c r="P4375" s="21">
        <f>IF(E4375&lt;=90,"90 or less",IF(E4375&lt;=105,"91-105",IF(E4375&lt;=120,"106-120",IF(E4375&lt;=140,"121-140","Over 140"))))</f>
        <v/>
      </c>
      <c r="Q4375" s="28">
        <f>INT(C4375/10)*10</f>
        <v/>
      </c>
    </row>
    <row r="4376">
      <c r="A4376" s="21" t="n">
        <v>4468</v>
      </c>
      <c r="B4376" s="21" t="inlineStr">
        <is>
          <t>Maleficent</t>
        </is>
      </c>
      <c r="C4376" s="21" t="n">
        <v>2014</v>
      </c>
      <c r="D4376" s="21" t="inlineStr">
        <is>
          <t>USA</t>
        </is>
      </c>
      <c r="E4376" s="21" t="n">
        <v>97</v>
      </c>
      <c r="F4376" s="21" t="inlineStr">
        <is>
          <t>English</t>
        </is>
      </c>
      <c r="G4376" s="21" t="inlineStr">
        <is>
          <t>PG</t>
        </is>
      </c>
      <c r="H4376" s="22" t="n">
        <v>241407328</v>
      </c>
      <c r="I4376" s="22" t="n">
        <v>180000000</v>
      </c>
      <c r="J4376" s="21">
        <f>IF(OR(H4376="",H4376=25529689.5),"Yes","No")</f>
        <v/>
      </c>
      <c r="K4376" s="21">
        <f>IF(AND(D4376="USA",C4376&gt;=1980,J4376="No"),"Yes","No")</f>
        <v/>
      </c>
      <c r="L4376" s="26">
        <f>IF(J4376="Yes","",H4376-I4376)</f>
        <v/>
      </c>
      <c r="M4376" s="27">
        <f>IF(OR(J4376="Yes",I4376=0),"",H4376/I4376)</f>
        <v/>
      </c>
      <c r="N4376" s="21">
        <f>IF(J4376="Yes","",IF(H4376&gt;=I4376,1,0))</f>
        <v/>
      </c>
      <c r="O4376" s="21">
        <f>IF(I4376&lt;=5000000,"Under $5M",IF(I4376&lt;=20000000,"$5M-20M",IF(I4376&lt;=50000000,"$20M-50M",IF(I4376&lt;=100000000,"$50M-100M","$100M+"))))</f>
        <v/>
      </c>
      <c r="P4376" s="21">
        <f>IF(E4376&lt;=90,"90 or less",IF(E4376&lt;=105,"91-105",IF(E4376&lt;=120,"106-120",IF(E4376&lt;=140,"121-140","Over 140"))))</f>
        <v/>
      </c>
      <c r="Q4376" s="28">
        <f>INT(C4376/10)*10</f>
        <v/>
      </c>
    </row>
    <row r="4377">
      <c r="A4377" s="21" t="n">
        <v>4469</v>
      </c>
      <c r="B4377" s="21" t="inlineStr">
        <is>
          <t>Million Dollar Arm</t>
        </is>
      </c>
      <c r="C4377" s="21" t="n">
        <v>2014</v>
      </c>
      <c r="D4377" s="21" t="inlineStr">
        <is>
          <t>USA</t>
        </is>
      </c>
      <c r="E4377" s="21" t="n">
        <v>124</v>
      </c>
      <c r="F4377" s="21" t="inlineStr">
        <is>
          <t>English</t>
        </is>
      </c>
      <c r="G4377" s="21" t="inlineStr">
        <is>
          <t>PG</t>
        </is>
      </c>
      <c r="H4377" s="22" t="n">
        <v>36447959</v>
      </c>
      <c r="I4377" s="22" t="n">
        <v>25000000</v>
      </c>
      <c r="J4377" s="21">
        <f>IF(OR(H4377="",H4377=25529689.5),"Yes","No")</f>
        <v/>
      </c>
      <c r="K4377" s="21">
        <f>IF(AND(D4377="USA",C4377&gt;=1980,J4377="No"),"Yes","No")</f>
        <v/>
      </c>
      <c r="L4377" s="26">
        <f>IF(J4377="Yes","",H4377-I4377)</f>
        <v/>
      </c>
      <c r="M4377" s="27">
        <f>IF(OR(J4377="Yes",I4377=0),"",H4377/I4377)</f>
        <v/>
      </c>
      <c r="N4377" s="21">
        <f>IF(J4377="Yes","",IF(H4377&gt;=I4377,1,0))</f>
        <v/>
      </c>
      <c r="O4377" s="21">
        <f>IF(I4377&lt;=5000000,"Under $5M",IF(I4377&lt;=20000000,"$5M-20M",IF(I4377&lt;=50000000,"$20M-50M",IF(I4377&lt;=100000000,"$50M-100M","$100M+"))))</f>
        <v/>
      </c>
      <c r="P4377" s="21">
        <f>IF(E4377&lt;=90,"90 or less",IF(E4377&lt;=105,"91-105",IF(E4377&lt;=120,"106-120",IF(E4377&lt;=140,"121-140","Over 140"))))</f>
        <v/>
      </c>
      <c r="Q4377" s="28">
        <f>INT(C4377/10)*10</f>
        <v/>
      </c>
    </row>
    <row r="4378">
      <c r="A4378" s="21" t="n">
        <v>4470</v>
      </c>
      <c r="B4378" s="21" t="inlineStr">
        <is>
          <t>Miss Julie</t>
        </is>
      </c>
      <c r="C4378" s="21" t="n">
        <v>2014</v>
      </c>
      <c r="D4378" s="21" t="inlineStr">
        <is>
          <t>Norway</t>
        </is>
      </c>
      <c r="E4378" s="21" t="n">
        <v>129</v>
      </c>
      <c r="F4378" s="21" t="inlineStr">
        <is>
          <t>English</t>
        </is>
      </c>
      <c r="G4378" s="21" t="inlineStr">
        <is>
          <t>PG-13</t>
        </is>
      </c>
      <c r="H4378" s="22" t="n">
        <v>25529689.5</v>
      </c>
      <c r="I4378" s="22" t="n">
        <v>5500000</v>
      </c>
      <c r="J4378" s="21">
        <f>IF(OR(H4378="",H4378=25529689.5),"Yes","No")</f>
        <v/>
      </c>
      <c r="K4378" s="21">
        <f>IF(AND(D4378="USA",C4378&gt;=1980,J4378="No"),"Yes","No")</f>
        <v/>
      </c>
      <c r="L4378" s="26">
        <f>IF(J4378="Yes","",H4378-I4378)</f>
        <v/>
      </c>
      <c r="M4378" s="27">
        <f>IF(OR(J4378="Yes",I4378=0),"",H4378/I4378)</f>
        <v/>
      </c>
      <c r="N4378" s="21">
        <f>IF(J4378="Yes","",IF(H4378&gt;=I4378,1,0))</f>
        <v/>
      </c>
      <c r="O4378" s="21">
        <f>IF(I4378&lt;=5000000,"Under $5M",IF(I4378&lt;=20000000,"$5M-20M",IF(I4378&lt;=50000000,"$20M-50M",IF(I4378&lt;=100000000,"$50M-100M","$100M+"))))</f>
        <v/>
      </c>
      <c r="P4378" s="21">
        <f>IF(E4378&lt;=90,"90 or less",IF(E4378&lt;=105,"91-105",IF(E4378&lt;=120,"106-120",IF(E4378&lt;=140,"121-140","Over 140"))))</f>
        <v/>
      </c>
      <c r="Q4378" s="28">
        <f>INT(C4378/10)*10</f>
        <v/>
      </c>
    </row>
    <row r="4379">
      <c r="A4379" s="21" t="n">
        <v>4471</v>
      </c>
      <c r="B4379" s="21" t="inlineStr">
        <is>
          <t>Moms' Night Out</t>
        </is>
      </c>
      <c r="C4379" s="21" t="n">
        <v>2014</v>
      </c>
      <c r="D4379" s="21" t="inlineStr">
        <is>
          <t>USA</t>
        </is>
      </c>
      <c r="E4379" s="21" t="n">
        <v>98</v>
      </c>
      <c r="F4379" s="21" t="inlineStr">
        <is>
          <t>English</t>
        </is>
      </c>
      <c r="G4379" s="21" t="inlineStr">
        <is>
          <t>PG</t>
        </is>
      </c>
      <c r="H4379" s="22" t="n">
        <v>10429707</v>
      </c>
      <c r="I4379" s="22" t="n">
        <v>5000000</v>
      </c>
      <c r="J4379" s="21">
        <f>IF(OR(H4379="",H4379=25529689.5),"Yes","No")</f>
        <v/>
      </c>
      <c r="K4379" s="21">
        <f>IF(AND(D4379="USA",C4379&gt;=1980,J4379="No"),"Yes","No")</f>
        <v/>
      </c>
      <c r="L4379" s="26">
        <f>IF(J4379="Yes","",H4379-I4379)</f>
        <v/>
      </c>
      <c r="M4379" s="27">
        <f>IF(OR(J4379="Yes",I4379=0),"",H4379/I4379)</f>
        <v/>
      </c>
      <c r="N4379" s="21">
        <f>IF(J4379="Yes","",IF(H4379&gt;=I4379,1,0))</f>
        <v/>
      </c>
      <c r="O4379" s="21">
        <f>IF(I4379&lt;=5000000,"Under $5M",IF(I4379&lt;=20000000,"$5M-20M",IF(I4379&lt;=50000000,"$20M-50M",IF(I4379&lt;=100000000,"$50M-100M","$100M+"))))</f>
        <v/>
      </c>
      <c r="P4379" s="21">
        <f>IF(E4379&lt;=90,"90 or less",IF(E4379&lt;=105,"91-105",IF(E4379&lt;=120,"106-120",IF(E4379&lt;=140,"121-140","Over 140"))))</f>
        <v/>
      </c>
      <c r="Q4379" s="28">
        <f>INT(C4379/10)*10</f>
        <v/>
      </c>
    </row>
    <row r="4380">
      <c r="A4380" s="21" t="n">
        <v>4472</v>
      </c>
      <c r="B4380" s="21" t="inlineStr">
        <is>
          <t>Mr. Peabody &amp; Sherman</t>
        </is>
      </c>
      <c r="C4380" s="21" t="n">
        <v>2014</v>
      </c>
      <c r="D4380" s="21" t="inlineStr">
        <is>
          <t>USA</t>
        </is>
      </c>
      <c r="E4380" s="21" t="n">
        <v>92</v>
      </c>
      <c r="F4380" s="21" t="inlineStr">
        <is>
          <t>English</t>
        </is>
      </c>
      <c r="G4380" s="21" t="inlineStr">
        <is>
          <t>PG</t>
        </is>
      </c>
      <c r="H4380" s="22" t="n">
        <v>111505642</v>
      </c>
      <c r="I4380" s="22" t="n">
        <v>145000000</v>
      </c>
      <c r="J4380" s="21">
        <f>IF(OR(H4380="",H4380=25529689.5),"Yes","No")</f>
        <v/>
      </c>
      <c r="K4380" s="21">
        <f>IF(AND(D4380="USA",C4380&gt;=1980,J4380="No"),"Yes","No")</f>
        <v/>
      </c>
      <c r="L4380" s="26">
        <f>IF(J4380="Yes","",H4380-I4380)</f>
        <v/>
      </c>
      <c r="M4380" s="27">
        <f>IF(OR(J4380="Yes",I4380=0),"",H4380/I4380)</f>
        <v/>
      </c>
      <c r="N4380" s="21">
        <f>IF(J4380="Yes","",IF(H4380&gt;=I4380,1,0))</f>
        <v/>
      </c>
      <c r="O4380" s="21">
        <f>IF(I4380&lt;=5000000,"Under $5M",IF(I4380&lt;=20000000,"$5M-20M",IF(I4380&lt;=50000000,"$20M-50M",IF(I4380&lt;=100000000,"$50M-100M","$100M+"))))</f>
        <v/>
      </c>
      <c r="P4380" s="21">
        <f>IF(E4380&lt;=90,"90 or less",IF(E4380&lt;=105,"91-105",IF(E4380&lt;=120,"106-120",IF(E4380&lt;=140,"121-140","Over 140"))))</f>
        <v/>
      </c>
      <c r="Q4380" s="28">
        <f>INT(C4380/10)*10</f>
        <v/>
      </c>
    </row>
    <row r="4381">
      <c r="A4381" s="21" t="n">
        <v>4473</v>
      </c>
      <c r="B4381" s="21" t="inlineStr">
        <is>
          <t>Mr. Turner</t>
        </is>
      </c>
      <c r="C4381" s="21" t="n">
        <v>2014</v>
      </c>
      <c r="D4381" s="21" t="inlineStr">
        <is>
          <t>UK</t>
        </is>
      </c>
      <c r="E4381" s="21" t="n">
        <v>150</v>
      </c>
      <c r="F4381" s="21" t="inlineStr">
        <is>
          <t>English</t>
        </is>
      </c>
      <c r="G4381" s="21" t="inlineStr">
        <is>
          <t>R</t>
        </is>
      </c>
      <c r="H4381" s="22" t="n">
        <v>3958500</v>
      </c>
      <c r="I4381" s="22" t="n">
        <v>8200000</v>
      </c>
      <c r="J4381" s="21">
        <f>IF(OR(H4381="",H4381=25529689.5),"Yes","No")</f>
        <v/>
      </c>
      <c r="K4381" s="21">
        <f>IF(AND(D4381="USA",C4381&gt;=1980,J4381="No"),"Yes","No")</f>
        <v/>
      </c>
      <c r="L4381" s="26">
        <f>IF(J4381="Yes","",H4381-I4381)</f>
        <v/>
      </c>
      <c r="M4381" s="27">
        <f>IF(OR(J4381="Yes",I4381=0),"",H4381/I4381)</f>
        <v/>
      </c>
      <c r="N4381" s="21">
        <f>IF(J4381="Yes","",IF(H4381&gt;=I4381,1,0))</f>
        <v/>
      </c>
      <c r="O4381" s="21">
        <f>IF(I4381&lt;=5000000,"Under $5M",IF(I4381&lt;=20000000,"$5M-20M",IF(I4381&lt;=50000000,"$20M-50M",IF(I4381&lt;=100000000,"$50M-100M","$100M+"))))</f>
        <v/>
      </c>
      <c r="P4381" s="21">
        <f>IF(E4381&lt;=90,"90 or less",IF(E4381&lt;=105,"91-105",IF(E4381&lt;=120,"106-120",IF(E4381&lt;=140,"121-140","Over 140"))))</f>
        <v/>
      </c>
      <c r="Q4381" s="28">
        <f>INT(C4381/10)*10</f>
        <v/>
      </c>
    </row>
    <row r="4382">
      <c r="A4382" s="21" t="n">
        <v>4474</v>
      </c>
      <c r="B4382" s="21" t="inlineStr">
        <is>
          <t>Muppets Most Wanted</t>
        </is>
      </c>
      <c r="C4382" s="21" t="n">
        <v>2014</v>
      </c>
      <c r="D4382" s="21" t="inlineStr">
        <is>
          <t>USA</t>
        </is>
      </c>
      <c r="E4382" s="21" t="n">
        <v>119</v>
      </c>
      <c r="F4382" s="21" t="inlineStr">
        <is>
          <t>English</t>
        </is>
      </c>
      <c r="G4382" s="21" t="inlineStr">
        <is>
          <t>PG</t>
        </is>
      </c>
      <c r="H4382" s="22" t="n">
        <v>51178893</v>
      </c>
      <c r="I4382" s="22" t="n">
        <v>50000000</v>
      </c>
      <c r="J4382" s="21">
        <f>IF(OR(H4382="",H4382=25529689.5),"Yes","No")</f>
        <v/>
      </c>
      <c r="K4382" s="21">
        <f>IF(AND(D4382="USA",C4382&gt;=1980,J4382="No"),"Yes","No")</f>
        <v/>
      </c>
      <c r="L4382" s="26">
        <f>IF(J4382="Yes","",H4382-I4382)</f>
        <v/>
      </c>
      <c r="M4382" s="27">
        <f>IF(OR(J4382="Yes",I4382=0),"",H4382/I4382)</f>
        <v/>
      </c>
      <c r="N4382" s="21">
        <f>IF(J4382="Yes","",IF(H4382&gt;=I4382,1,0))</f>
        <v/>
      </c>
      <c r="O4382" s="21">
        <f>IF(I4382&lt;=5000000,"Under $5M",IF(I4382&lt;=20000000,"$5M-20M",IF(I4382&lt;=50000000,"$20M-50M",IF(I4382&lt;=100000000,"$50M-100M","$100M+"))))</f>
        <v/>
      </c>
      <c r="P4382" s="21">
        <f>IF(E4382&lt;=90,"90 or less",IF(E4382&lt;=105,"91-105",IF(E4382&lt;=120,"106-120",IF(E4382&lt;=140,"121-140","Over 140"))))</f>
        <v/>
      </c>
      <c r="Q4382" s="28">
        <f>INT(C4382/10)*10</f>
        <v/>
      </c>
    </row>
    <row r="4383">
      <c r="A4383" s="21" t="n">
        <v>4475</v>
      </c>
      <c r="B4383" s="21" t="inlineStr">
        <is>
          <t>Mutant World</t>
        </is>
      </c>
      <c r="C4383" s="21" t="n">
        <v>2014</v>
      </c>
      <c r="D4383" s="21" t="inlineStr">
        <is>
          <t>Canada</t>
        </is>
      </c>
      <c r="E4383" s="21" t="n">
        <v>82</v>
      </c>
      <c r="F4383" s="21" t="inlineStr">
        <is>
          <t>English</t>
        </is>
      </c>
      <c r="G4383" s="21" t="n"/>
      <c r="H4383" s="22" t="n">
        <v>25529689.5</v>
      </c>
      <c r="I4383" s="22" t="n">
        <v>1500000</v>
      </c>
      <c r="J4383" s="21">
        <f>IF(OR(H4383="",H4383=25529689.5),"Yes","No")</f>
        <v/>
      </c>
      <c r="K4383" s="21">
        <f>IF(AND(D4383="USA",C4383&gt;=1980,J4383="No"),"Yes","No")</f>
        <v/>
      </c>
      <c r="L4383" s="26">
        <f>IF(J4383="Yes","",H4383-I4383)</f>
        <v/>
      </c>
      <c r="M4383" s="27">
        <f>IF(OR(J4383="Yes",I4383=0),"",H4383/I4383)</f>
        <v/>
      </c>
      <c r="N4383" s="21">
        <f>IF(J4383="Yes","",IF(H4383&gt;=I4383,1,0))</f>
        <v/>
      </c>
      <c r="O4383" s="21">
        <f>IF(I4383&lt;=5000000,"Under $5M",IF(I4383&lt;=20000000,"$5M-20M",IF(I4383&lt;=50000000,"$20M-50M",IF(I4383&lt;=100000000,"$50M-100M","$100M+"))))</f>
        <v/>
      </c>
      <c r="P4383" s="21">
        <f>IF(E4383&lt;=90,"90 or less",IF(E4383&lt;=105,"91-105",IF(E4383&lt;=120,"106-120",IF(E4383&lt;=140,"121-140","Over 140"))))</f>
        <v/>
      </c>
      <c r="Q4383" s="28">
        <f>INT(C4383/10)*10</f>
        <v/>
      </c>
    </row>
    <row r="4384">
      <c r="A4384" s="21" t="n">
        <v>4476</v>
      </c>
      <c r="B4384" s="21" t="inlineStr">
        <is>
          <t>Need for Speed</t>
        </is>
      </c>
      <c r="C4384" s="21" t="n">
        <v>2014</v>
      </c>
      <c r="D4384" s="21" t="inlineStr">
        <is>
          <t>USA</t>
        </is>
      </c>
      <c r="E4384" s="21" t="n">
        <v>132</v>
      </c>
      <c r="F4384" s="21" t="inlineStr">
        <is>
          <t>English</t>
        </is>
      </c>
      <c r="G4384" s="21" t="inlineStr">
        <is>
          <t>PG-13</t>
        </is>
      </c>
      <c r="H4384" s="22" t="n">
        <v>43568507</v>
      </c>
      <c r="I4384" s="22" t="n">
        <v>66000000</v>
      </c>
      <c r="J4384" s="21">
        <f>IF(OR(H4384="",H4384=25529689.5),"Yes","No")</f>
        <v/>
      </c>
      <c r="K4384" s="21">
        <f>IF(AND(D4384="USA",C4384&gt;=1980,J4384="No"),"Yes","No")</f>
        <v/>
      </c>
      <c r="L4384" s="26">
        <f>IF(J4384="Yes","",H4384-I4384)</f>
        <v/>
      </c>
      <c r="M4384" s="27">
        <f>IF(OR(J4384="Yes",I4384=0),"",H4384/I4384)</f>
        <v/>
      </c>
      <c r="N4384" s="21">
        <f>IF(J4384="Yes","",IF(H4384&gt;=I4384,1,0))</f>
        <v/>
      </c>
      <c r="O4384" s="21">
        <f>IF(I4384&lt;=5000000,"Under $5M",IF(I4384&lt;=20000000,"$5M-20M",IF(I4384&lt;=50000000,"$20M-50M",IF(I4384&lt;=100000000,"$50M-100M","$100M+"))))</f>
        <v/>
      </c>
      <c r="P4384" s="21">
        <f>IF(E4384&lt;=90,"90 or less",IF(E4384&lt;=105,"91-105",IF(E4384&lt;=120,"106-120",IF(E4384&lt;=140,"121-140","Over 140"))))</f>
        <v/>
      </c>
      <c r="Q4384" s="28">
        <f>INT(C4384/10)*10</f>
        <v/>
      </c>
    </row>
    <row r="4385">
      <c r="A4385" s="21" t="n">
        <v>4477</v>
      </c>
      <c r="B4385" s="21" t="inlineStr">
        <is>
          <t>Neighbors</t>
        </is>
      </c>
      <c r="C4385" s="21" t="n">
        <v>2014</v>
      </c>
      <c r="D4385" s="21" t="inlineStr">
        <is>
          <t>USA</t>
        </is>
      </c>
      <c r="E4385" s="21" t="n">
        <v>97</v>
      </c>
      <c r="F4385" s="21" t="inlineStr">
        <is>
          <t>English</t>
        </is>
      </c>
      <c r="G4385" s="21" t="inlineStr">
        <is>
          <t>R</t>
        </is>
      </c>
      <c r="H4385" s="22" t="n">
        <v>150056505</v>
      </c>
      <c r="I4385" s="22" t="n">
        <v>18000000</v>
      </c>
      <c r="J4385" s="21">
        <f>IF(OR(H4385="",H4385=25529689.5),"Yes","No")</f>
        <v/>
      </c>
      <c r="K4385" s="21">
        <f>IF(AND(D4385="USA",C4385&gt;=1980,J4385="No"),"Yes","No")</f>
        <v/>
      </c>
      <c r="L4385" s="26">
        <f>IF(J4385="Yes","",H4385-I4385)</f>
        <v/>
      </c>
      <c r="M4385" s="27">
        <f>IF(OR(J4385="Yes",I4385=0),"",H4385/I4385)</f>
        <v/>
      </c>
      <c r="N4385" s="21">
        <f>IF(J4385="Yes","",IF(H4385&gt;=I4385,1,0))</f>
        <v/>
      </c>
      <c r="O4385" s="21">
        <f>IF(I4385&lt;=5000000,"Under $5M",IF(I4385&lt;=20000000,"$5M-20M",IF(I4385&lt;=50000000,"$20M-50M",IF(I4385&lt;=100000000,"$50M-100M","$100M+"))))</f>
        <v/>
      </c>
      <c r="P4385" s="21">
        <f>IF(E4385&lt;=90,"90 or less",IF(E4385&lt;=105,"91-105",IF(E4385&lt;=120,"106-120",IF(E4385&lt;=140,"121-140","Over 140"))))</f>
        <v/>
      </c>
      <c r="Q4385" s="28">
        <f>INT(C4385/10)*10</f>
        <v/>
      </c>
    </row>
    <row r="4386">
      <c r="A4386" s="21" t="n">
        <v>4478</v>
      </c>
      <c r="B4386" s="21" t="inlineStr">
        <is>
          <t>Night at the Museum: Secret of the Tomb</t>
        </is>
      </c>
      <c r="C4386" s="21" t="n">
        <v>2014</v>
      </c>
      <c r="D4386" s="21" t="inlineStr">
        <is>
          <t>USA</t>
        </is>
      </c>
      <c r="E4386" s="21" t="n">
        <v>98</v>
      </c>
      <c r="F4386" s="21" t="inlineStr">
        <is>
          <t>English</t>
        </is>
      </c>
      <c r="G4386" s="21" t="inlineStr">
        <is>
          <t>PG</t>
        </is>
      </c>
      <c r="H4386" s="22" t="n">
        <v>113733726</v>
      </c>
      <c r="I4386" s="22" t="n">
        <v>127000000</v>
      </c>
      <c r="J4386" s="21">
        <f>IF(OR(H4386="",H4386=25529689.5),"Yes","No")</f>
        <v/>
      </c>
      <c r="K4386" s="21">
        <f>IF(AND(D4386="USA",C4386&gt;=1980,J4386="No"),"Yes","No")</f>
        <v/>
      </c>
      <c r="L4386" s="26">
        <f>IF(J4386="Yes","",H4386-I4386)</f>
        <v/>
      </c>
      <c r="M4386" s="27">
        <f>IF(OR(J4386="Yes",I4386=0),"",H4386/I4386)</f>
        <v/>
      </c>
      <c r="N4386" s="21">
        <f>IF(J4386="Yes","",IF(H4386&gt;=I4386,1,0))</f>
        <v/>
      </c>
      <c r="O4386" s="21">
        <f>IF(I4386&lt;=5000000,"Under $5M",IF(I4386&lt;=20000000,"$5M-20M",IF(I4386&lt;=50000000,"$20M-50M",IF(I4386&lt;=100000000,"$50M-100M","$100M+"))))</f>
        <v/>
      </c>
      <c r="P4386" s="21">
        <f>IF(E4386&lt;=90,"90 or less",IF(E4386&lt;=105,"91-105",IF(E4386&lt;=120,"106-120",IF(E4386&lt;=140,"121-140","Over 140"))))</f>
        <v/>
      </c>
      <c r="Q4386" s="28">
        <f>INT(C4386/10)*10</f>
        <v/>
      </c>
    </row>
    <row r="4387">
      <c r="A4387" s="21" t="n">
        <v>4479</v>
      </c>
      <c r="B4387" s="21" t="inlineStr">
        <is>
          <t>Nightcrawler</t>
        </is>
      </c>
      <c r="C4387" s="21" t="n">
        <v>2014</v>
      </c>
      <c r="D4387" s="21" t="inlineStr">
        <is>
          <t>USA</t>
        </is>
      </c>
      <c r="E4387" s="21" t="n">
        <v>117</v>
      </c>
      <c r="F4387" s="21" t="inlineStr">
        <is>
          <t>English</t>
        </is>
      </c>
      <c r="G4387" s="21" t="inlineStr">
        <is>
          <t>R</t>
        </is>
      </c>
      <c r="H4387" s="22" t="n">
        <v>32279955</v>
      </c>
      <c r="I4387" s="22" t="n">
        <v>8500000</v>
      </c>
      <c r="J4387" s="21">
        <f>IF(OR(H4387="",H4387=25529689.5),"Yes","No")</f>
        <v/>
      </c>
      <c r="K4387" s="21">
        <f>IF(AND(D4387="USA",C4387&gt;=1980,J4387="No"),"Yes","No")</f>
        <v/>
      </c>
      <c r="L4387" s="26">
        <f>IF(J4387="Yes","",H4387-I4387)</f>
        <v/>
      </c>
      <c r="M4387" s="27">
        <f>IF(OR(J4387="Yes",I4387=0),"",H4387/I4387)</f>
        <v/>
      </c>
      <c r="N4387" s="21">
        <f>IF(J4387="Yes","",IF(H4387&gt;=I4387,1,0))</f>
        <v/>
      </c>
      <c r="O4387" s="21">
        <f>IF(I4387&lt;=5000000,"Under $5M",IF(I4387&lt;=20000000,"$5M-20M",IF(I4387&lt;=50000000,"$20M-50M",IF(I4387&lt;=100000000,"$50M-100M","$100M+"))))</f>
        <v/>
      </c>
      <c r="P4387" s="21">
        <f>IF(E4387&lt;=90,"90 or less",IF(E4387&lt;=105,"91-105",IF(E4387&lt;=120,"106-120",IF(E4387&lt;=140,"121-140","Over 140"))))</f>
        <v/>
      </c>
      <c r="Q4387" s="28">
        <f>INT(C4387/10)*10</f>
        <v/>
      </c>
    </row>
    <row r="4388">
      <c r="A4388" s="21" t="n">
        <v>4480</v>
      </c>
      <c r="B4388" s="21" t="inlineStr">
        <is>
          <t>No Good Deed</t>
        </is>
      </c>
      <c r="C4388" s="21" t="n">
        <v>2014</v>
      </c>
      <c r="D4388" s="21" t="inlineStr">
        <is>
          <t>USA</t>
        </is>
      </c>
      <c r="E4388" s="21" t="n">
        <v>84</v>
      </c>
      <c r="F4388" s="21" t="inlineStr">
        <is>
          <t>English</t>
        </is>
      </c>
      <c r="G4388" s="21" t="inlineStr">
        <is>
          <t>PG-13</t>
        </is>
      </c>
      <c r="H4388" s="22" t="n">
        <v>52543632</v>
      </c>
      <c r="I4388" s="22" t="n">
        <v>13200000</v>
      </c>
      <c r="J4388" s="21">
        <f>IF(OR(H4388="",H4388=25529689.5),"Yes","No")</f>
        <v/>
      </c>
      <c r="K4388" s="21">
        <f>IF(AND(D4388="USA",C4388&gt;=1980,J4388="No"),"Yes","No")</f>
        <v/>
      </c>
      <c r="L4388" s="26">
        <f>IF(J4388="Yes","",H4388-I4388)</f>
        <v/>
      </c>
      <c r="M4388" s="27">
        <f>IF(OR(J4388="Yes",I4388=0),"",H4388/I4388)</f>
        <v/>
      </c>
      <c r="N4388" s="21">
        <f>IF(J4388="Yes","",IF(H4388&gt;=I4388,1,0))</f>
        <v/>
      </c>
      <c r="O4388" s="21">
        <f>IF(I4388&lt;=5000000,"Under $5M",IF(I4388&lt;=20000000,"$5M-20M",IF(I4388&lt;=50000000,"$20M-50M",IF(I4388&lt;=100000000,"$50M-100M","$100M+"))))</f>
        <v/>
      </c>
      <c r="P4388" s="21">
        <f>IF(E4388&lt;=90,"90 or less",IF(E4388&lt;=105,"91-105",IF(E4388&lt;=120,"106-120",IF(E4388&lt;=140,"121-140","Over 140"))))</f>
        <v/>
      </c>
      <c r="Q4388" s="28">
        <f>INT(C4388/10)*10</f>
        <v/>
      </c>
    </row>
    <row r="4389">
      <c r="A4389" s="21" t="n">
        <v>4481</v>
      </c>
      <c r="B4389" s="21" t="inlineStr">
        <is>
          <t>Noah</t>
        </is>
      </c>
      <c r="C4389" s="21" t="n">
        <v>2014</v>
      </c>
      <c r="D4389" s="21" t="inlineStr">
        <is>
          <t>USA</t>
        </is>
      </c>
      <c r="E4389" s="21" t="n">
        <v>138</v>
      </c>
      <c r="F4389" s="21" t="inlineStr">
        <is>
          <t>English</t>
        </is>
      </c>
      <c r="G4389" s="21" t="inlineStr">
        <is>
          <t>PG-13</t>
        </is>
      </c>
      <c r="H4389" s="22" t="n">
        <v>101160529</v>
      </c>
      <c r="I4389" s="22" t="n">
        <v>125000000</v>
      </c>
      <c r="J4389" s="21">
        <f>IF(OR(H4389="",H4389=25529689.5),"Yes","No")</f>
        <v/>
      </c>
      <c r="K4389" s="21">
        <f>IF(AND(D4389="USA",C4389&gt;=1980,J4389="No"),"Yes","No")</f>
        <v/>
      </c>
      <c r="L4389" s="26">
        <f>IF(J4389="Yes","",H4389-I4389)</f>
        <v/>
      </c>
      <c r="M4389" s="27">
        <f>IF(OR(J4389="Yes",I4389=0),"",H4389/I4389)</f>
        <v/>
      </c>
      <c r="N4389" s="21">
        <f>IF(J4389="Yes","",IF(H4389&gt;=I4389,1,0))</f>
        <v/>
      </c>
      <c r="O4389" s="21">
        <f>IF(I4389&lt;=5000000,"Under $5M",IF(I4389&lt;=20000000,"$5M-20M",IF(I4389&lt;=50000000,"$20M-50M",IF(I4389&lt;=100000000,"$50M-100M","$100M+"))))</f>
        <v/>
      </c>
      <c r="P4389" s="21">
        <f>IF(E4389&lt;=90,"90 or less",IF(E4389&lt;=105,"91-105",IF(E4389&lt;=120,"106-120",IF(E4389&lt;=140,"121-140","Over 140"))))</f>
        <v/>
      </c>
      <c r="Q4389" s="28">
        <f>INT(C4389/10)*10</f>
        <v/>
      </c>
    </row>
    <row r="4390">
      <c r="A4390" s="21" t="n">
        <v>4482</v>
      </c>
      <c r="B4390" s="21" t="inlineStr">
        <is>
          <t>Non-Stop</t>
        </is>
      </c>
      <c r="C4390" s="21" t="n">
        <v>2014</v>
      </c>
      <c r="D4390" s="21" t="inlineStr">
        <is>
          <t>UK</t>
        </is>
      </c>
      <c r="E4390" s="21" t="n">
        <v>106</v>
      </c>
      <c r="F4390" s="21" t="inlineStr">
        <is>
          <t>English</t>
        </is>
      </c>
      <c r="G4390" s="21" t="inlineStr">
        <is>
          <t>PG-13</t>
        </is>
      </c>
      <c r="H4390" s="22" t="n">
        <v>91439400</v>
      </c>
      <c r="I4390" s="22" t="n">
        <v>50000000</v>
      </c>
      <c r="J4390" s="21">
        <f>IF(OR(H4390="",H4390=25529689.5),"Yes","No")</f>
        <v/>
      </c>
      <c r="K4390" s="21">
        <f>IF(AND(D4390="USA",C4390&gt;=1980,J4390="No"),"Yes","No")</f>
        <v/>
      </c>
      <c r="L4390" s="26">
        <f>IF(J4390="Yes","",H4390-I4390)</f>
        <v/>
      </c>
      <c r="M4390" s="27">
        <f>IF(OR(J4390="Yes",I4390=0),"",H4390/I4390)</f>
        <v/>
      </c>
      <c r="N4390" s="21">
        <f>IF(J4390="Yes","",IF(H4390&gt;=I4390,1,0))</f>
        <v/>
      </c>
      <c r="O4390" s="21">
        <f>IF(I4390&lt;=5000000,"Under $5M",IF(I4390&lt;=20000000,"$5M-20M",IF(I4390&lt;=50000000,"$20M-50M",IF(I4390&lt;=100000000,"$50M-100M","$100M+"))))</f>
        <v/>
      </c>
      <c r="P4390" s="21">
        <f>IF(E4390&lt;=90,"90 or less",IF(E4390&lt;=105,"91-105",IF(E4390&lt;=120,"106-120",IF(E4390&lt;=140,"121-140","Over 140"))))</f>
        <v/>
      </c>
      <c r="Q4390" s="28">
        <f>INT(C4390/10)*10</f>
        <v/>
      </c>
    </row>
    <row r="4391">
      <c r="A4391" s="21" t="n">
        <v>4483</v>
      </c>
      <c r="B4391" s="21" t="inlineStr">
        <is>
          <t>Not Cool</t>
        </is>
      </c>
      <c r="C4391" s="21" t="n">
        <v>2014</v>
      </c>
      <c r="D4391" s="21" t="inlineStr">
        <is>
          <t>USA</t>
        </is>
      </c>
      <c r="E4391" s="21" t="n">
        <v>93</v>
      </c>
      <c r="F4391" s="21" t="inlineStr">
        <is>
          <t>English</t>
        </is>
      </c>
      <c r="G4391" s="21" t="inlineStr">
        <is>
          <t>Not Rated</t>
        </is>
      </c>
      <c r="H4391" s="22" t="n">
        <v>35688</v>
      </c>
      <c r="I4391" s="22" t="n">
        <v>600000</v>
      </c>
      <c r="J4391" s="21">
        <f>IF(OR(H4391="",H4391=25529689.5),"Yes","No")</f>
        <v/>
      </c>
      <c r="K4391" s="21">
        <f>IF(AND(D4391="USA",C4391&gt;=1980,J4391="No"),"Yes","No")</f>
        <v/>
      </c>
      <c r="L4391" s="26">
        <f>IF(J4391="Yes","",H4391-I4391)</f>
        <v/>
      </c>
      <c r="M4391" s="27">
        <f>IF(OR(J4391="Yes",I4391=0),"",H4391/I4391)</f>
        <v/>
      </c>
      <c r="N4391" s="21">
        <f>IF(J4391="Yes","",IF(H4391&gt;=I4391,1,0))</f>
        <v/>
      </c>
      <c r="O4391" s="21">
        <f>IF(I4391&lt;=5000000,"Under $5M",IF(I4391&lt;=20000000,"$5M-20M",IF(I4391&lt;=50000000,"$20M-50M",IF(I4391&lt;=100000000,"$50M-100M","$100M+"))))</f>
        <v/>
      </c>
      <c r="P4391" s="21">
        <f>IF(E4391&lt;=90,"90 or less",IF(E4391&lt;=105,"91-105",IF(E4391&lt;=120,"106-120",IF(E4391&lt;=140,"121-140","Over 140"))))</f>
        <v/>
      </c>
      <c r="Q4391" s="28">
        <f>INT(C4391/10)*10</f>
        <v/>
      </c>
    </row>
    <row r="4392">
      <c r="A4392" s="21" t="n">
        <v>4484</v>
      </c>
      <c r="B4392" s="21" t="inlineStr">
        <is>
          <t>Obvious Child</t>
        </is>
      </c>
      <c r="C4392" s="21" t="n">
        <v>2014</v>
      </c>
      <c r="D4392" s="21" t="inlineStr">
        <is>
          <t>USA</t>
        </is>
      </c>
      <c r="E4392" s="21" t="n">
        <v>84</v>
      </c>
      <c r="F4392" s="21" t="inlineStr">
        <is>
          <t>English</t>
        </is>
      </c>
      <c r="G4392" s="21" t="inlineStr">
        <is>
          <t>R</t>
        </is>
      </c>
      <c r="H4392" s="22" t="n">
        <v>3122616</v>
      </c>
      <c r="I4392" s="22" t="n">
        <v>20000000</v>
      </c>
      <c r="J4392" s="21">
        <f>IF(OR(H4392="",H4392=25529689.5),"Yes","No")</f>
        <v/>
      </c>
      <c r="K4392" s="21">
        <f>IF(AND(D4392="USA",C4392&gt;=1980,J4392="No"),"Yes","No")</f>
        <v/>
      </c>
      <c r="L4392" s="26">
        <f>IF(J4392="Yes","",H4392-I4392)</f>
        <v/>
      </c>
      <c r="M4392" s="27">
        <f>IF(OR(J4392="Yes",I4392=0),"",H4392/I4392)</f>
        <v/>
      </c>
      <c r="N4392" s="21">
        <f>IF(J4392="Yes","",IF(H4392&gt;=I4392,1,0))</f>
        <v/>
      </c>
      <c r="O4392" s="21">
        <f>IF(I4392&lt;=5000000,"Under $5M",IF(I4392&lt;=20000000,"$5M-20M",IF(I4392&lt;=50000000,"$20M-50M",IF(I4392&lt;=100000000,"$50M-100M","$100M+"))))</f>
        <v/>
      </c>
      <c r="P4392" s="21">
        <f>IF(E4392&lt;=90,"90 or less",IF(E4392&lt;=105,"91-105",IF(E4392&lt;=120,"106-120",IF(E4392&lt;=140,"121-140","Over 140"))))</f>
        <v/>
      </c>
      <c r="Q4392" s="28">
        <f>INT(C4392/10)*10</f>
        <v/>
      </c>
    </row>
    <row r="4393">
      <c r="A4393" s="21" t="n">
        <v>4485</v>
      </c>
      <c r="B4393" s="21" t="inlineStr">
        <is>
          <t>Ouija</t>
        </is>
      </c>
      <c r="C4393" s="21" t="n">
        <v>2014</v>
      </c>
      <c r="D4393" s="21" t="inlineStr">
        <is>
          <t>USA</t>
        </is>
      </c>
      <c r="E4393" s="21" t="n">
        <v>89</v>
      </c>
      <c r="F4393" s="21" t="inlineStr">
        <is>
          <t>English</t>
        </is>
      </c>
      <c r="G4393" s="21" t="inlineStr">
        <is>
          <t>PG-13</t>
        </is>
      </c>
      <c r="H4393" s="22" t="n">
        <v>50820940</v>
      </c>
      <c r="I4393" s="22" t="n">
        <v>5000000</v>
      </c>
      <c r="J4393" s="21">
        <f>IF(OR(H4393="",H4393=25529689.5),"Yes","No")</f>
        <v/>
      </c>
      <c r="K4393" s="21">
        <f>IF(AND(D4393="USA",C4393&gt;=1980,J4393="No"),"Yes","No")</f>
        <v/>
      </c>
      <c r="L4393" s="26">
        <f>IF(J4393="Yes","",H4393-I4393)</f>
        <v/>
      </c>
      <c r="M4393" s="27">
        <f>IF(OR(J4393="Yes",I4393=0),"",H4393/I4393)</f>
        <v/>
      </c>
      <c r="N4393" s="21">
        <f>IF(J4393="Yes","",IF(H4393&gt;=I4393,1,0))</f>
        <v/>
      </c>
      <c r="O4393" s="21">
        <f>IF(I4393&lt;=5000000,"Under $5M",IF(I4393&lt;=20000000,"$5M-20M",IF(I4393&lt;=50000000,"$20M-50M",IF(I4393&lt;=100000000,"$50M-100M","$100M+"))))</f>
        <v/>
      </c>
      <c r="P4393" s="21">
        <f>IF(E4393&lt;=90,"90 or less",IF(E4393&lt;=105,"91-105",IF(E4393&lt;=120,"106-120",IF(E4393&lt;=140,"121-140","Over 140"))))</f>
        <v/>
      </c>
      <c r="Q4393" s="28">
        <f>INT(C4393/10)*10</f>
        <v/>
      </c>
    </row>
    <row r="4394">
      <c r="A4394" s="21" t="n">
        <v>4486</v>
      </c>
      <c r="B4394" s="21" t="inlineStr">
        <is>
          <t>Out of the Dark</t>
        </is>
      </c>
      <c r="C4394" s="21" t="n">
        <v>2014</v>
      </c>
      <c r="D4394" s="21" t="inlineStr">
        <is>
          <t>USA</t>
        </is>
      </c>
      <c r="E4394" s="21" t="n">
        <v>92</v>
      </c>
      <c r="F4394" s="21" t="inlineStr">
        <is>
          <t>English</t>
        </is>
      </c>
      <c r="G4394" s="21" t="inlineStr">
        <is>
          <t>R</t>
        </is>
      </c>
      <c r="H4394" s="22" t="n">
        <v>25529689.5</v>
      </c>
      <c r="I4394" s="22" t="n">
        <v>20000000</v>
      </c>
      <c r="J4394" s="21">
        <f>IF(OR(H4394="",H4394=25529689.5),"Yes","No")</f>
        <v/>
      </c>
      <c r="K4394" s="21">
        <f>IF(AND(D4394="USA",C4394&gt;=1980,J4394="No"),"Yes","No")</f>
        <v/>
      </c>
      <c r="L4394" s="26">
        <f>IF(J4394="Yes","",H4394-I4394)</f>
        <v/>
      </c>
      <c r="M4394" s="27">
        <f>IF(OR(J4394="Yes",I4394=0),"",H4394/I4394)</f>
        <v/>
      </c>
      <c r="N4394" s="21">
        <f>IF(J4394="Yes","",IF(H4394&gt;=I4394,1,0))</f>
        <v/>
      </c>
      <c r="O4394" s="21">
        <f>IF(I4394&lt;=5000000,"Under $5M",IF(I4394&lt;=20000000,"$5M-20M",IF(I4394&lt;=50000000,"$20M-50M",IF(I4394&lt;=100000000,"$50M-100M","$100M+"))))</f>
        <v/>
      </c>
      <c r="P4394" s="21">
        <f>IF(E4394&lt;=90,"90 or less",IF(E4394&lt;=105,"91-105",IF(E4394&lt;=120,"106-120",IF(E4394&lt;=140,"121-140","Over 140"))))</f>
        <v/>
      </c>
      <c r="Q4394" s="28">
        <f>INT(C4394/10)*10</f>
        <v/>
      </c>
    </row>
    <row r="4395">
      <c r="A4395" s="21" t="n">
        <v>4487</v>
      </c>
      <c r="B4395" s="21" t="inlineStr">
        <is>
          <t>Paddington</t>
        </is>
      </c>
      <c r="C4395" s="21" t="n">
        <v>2014</v>
      </c>
      <c r="D4395" s="21" t="inlineStr">
        <is>
          <t>UK</t>
        </is>
      </c>
      <c r="E4395" s="21" t="n">
        <v>95</v>
      </c>
      <c r="F4395" s="21" t="inlineStr">
        <is>
          <t>English</t>
        </is>
      </c>
      <c r="G4395" s="21" t="inlineStr">
        <is>
          <t>PG</t>
        </is>
      </c>
      <c r="H4395" s="22" t="n">
        <v>76137505</v>
      </c>
      <c r="I4395" s="22" t="n">
        <v>55000000</v>
      </c>
      <c r="J4395" s="21">
        <f>IF(OR(H4395="",H4395=25529689.5),"Yes","No")</f>
        <v/>
      </c>
      <c r="K4395" s="21">
        <f>IF(AND(D4395="USA",C4395&gt;=1980,J4395="No"),"Yes","No")</f>
        <v/>
      </c>
      <c r="L4395" s="26">
        <f>IF(J4395="Yes","",H4395-I4395)</f>
        <v/>
      </c>
      <c r="M4395" s="27">
        <f>IF(OR(J4395="Yes",I4395=0),"",H4395/I4395)</f>
        <v/>
      </c>
      <c r="N4395" s="21">
        <f>IF(J4395="Yes","",IF(H4395&gt;=I4395,1,0))</f>
        <v/>
      </c>
      <c r="O4395" s="21">
        <f>IF(I4395&lt;=5000000,"Under $5M",IF(I4395&lt;=20000000,"$5M-20M",IF(I4395&lt;=50000000,"$20M-50M",IF(I4395&lt;=100000000,"$50M-100M","$100M+"))))</f>
        <v/>
      </c>
      <c r="P4395" s="21">
        <f>IF(E4395&lt;=90,"90 or less",IF(E4395&lt;=105,"91-105",IF(E4395&lt;=120,"106-120",IF(E4395&lt;=140,"121-140","Over 140"))))</f>
        <v/>
      </c>
      <c r="Q4395" s="28">
        <f>INT(C4395/10)*10</f>
        <v/>
      </c>
    </row>
    <row r="4396">
      <c r="A4396" s="21" t="n">
        <v>4488</v>
      </c>
      <c r="B4396" s="21" t="inlineStr">
        <is>
          <t>Paranormal Activity: The Marked Ones</t>
        </is>
      </c>
      <c r="C4396" s="21" t="n">
        <v>2014</v>
      </c>
      <c r="D4396" s="21" t="inlineStr">
        <is>
          <t>USA</t>
        </is>
      </c>
      <c r="E4396" s="21" t="n">
        <v>101</v>
      </c>
      <c r="F4396" s="21" t="inlineStr">
        <is>
          <t>English</t>
        </is>
      </c>
      <c r="G4396" s="21" t="inlineStr">
        <is>
          <t>R</t>
        </is>
      </c>
      <c r="H4396" s="22" t="n">
        <v>32453345</v>
      </c>
      <c r="I4396" s="22" t="n">
        <v>5000000</v>
      </c>
      <c r="J4396" s="21">
        <f>IF(OR(H4396="",H4396=25529689.5),"Yes","No")</f>
        <v/>
      </c>
      <c r="K4396" s="21">
        <f>IF(AND(D4396="USA",C4396&gt;=1980,J4396="No"),"Yes","No")</f>
        <v/>
      </c>
      <c r="L4396" s="26">
        <f>IF(J4396="Yes","",H4396-I4396)</f>
        <v/>
      </c>
      <c r="M4396" s="27">
        <f>IF(OR(J4396="Yes",I4396=0),"",H4396/I4396)</f>
        <v/>
      </c>
      <c r="N4396" s="21">
        <f>IF(J4396="Yes","",IF(H4396&gt;=I4396,1,0))</f>
        <v/>
      </c>
      <c r="O4396" s="21">
        <f>IF(I4396&lt;=5000000,"Under $5M",IF(I4396&lt;=20000000,"$5M-20M",IF(I4396&lt;=50000000,"$20M-50M",IF(I4396&lt;=100000000,"$50M-100M","$100M+"))))</f>
        <v/>
      </c>
      <c r="P4396" s="21">
        <f>IF(E4396&lt;=90,"90 or less",IF(E4396&lt;=105,"91-105",IF(E4396&lt;=120,"106-120",IF(E4396&lt;=140,"121-140","Over 140"))))</f>
        <v/>
      </c>
      <c r="Q4396" s="28">
        <f>INT(C4396/10)*10</f>
        <v/>
      </c>
    </row>
    <row r="4397">
      <c r="A4397" s="21" t="n">
        <v>4489</v>
      </c>
      <c r="B4397" s="21" t="inlineStr">
        <is>
          <t>Penguins of Madagascar</t>
        </is>
      </c>
      <c r="C4397" s="21" t="n">
        <v>2014</v>
      </c>
      <c r="D4397" s="21" t="inlineStr">
        <is>
          <t>USA</t>
        </is>
      </c>
      <c r="E4397" s="21" t="n">
        <v>92</v>
      </c>
      <c r="F4397" s="21" t="inlineStr">
        <is>
          <t>English</t>
        </is>
      </c>
      <c r="G4397" s="21" t="inlineStr">
        <is>
          <t>PG</t>
        </is>
      </c>
      <c r="H4397" s="22" t="n">
        <v>83348920</v>
      </c>
      <c r="I4397" s="22" t="n">
        <v>132000000</v>
      </c>
      <c r="J4397" s="21">
        <f>IF(OR(H4397="",H4397=25529689.5),"Yes","No")</f>
        <v/>
      </c>
      <c r="K4397" s="21">
        <f>IF(AND(D4397="USA",C4397&gt;=1980,J4397="No"),"Yes","No")</f>
        <v/>
      </c>
      <c r="L4397" s="26">
        <f>IF(J4397="Yes","",H4397-I4397)</f>
        <v/>
      </c>
      <c r="M4397" s="27">
        <f>IF(OR(J4397="Yes",I4397=0),"",H4397/I4397)</f>
        <v/>
      </c>
      <c r="N4397" s="21">
        <f>IF(J4397="Yes","",IF(H4397&gt;=I4397,1,0))</f>
        <v/>
      </c>
      <c r="O4397" s="21">
        <f>IF(I4397&lt;=5000000,"Under $5M",IF(I4397&lt;=20000000,"$5M-20M",IF(I4397&lt;=50000000,"$20M-50M",IF(I4397&lt;=100000000,"$50M-100M","$100M+"))))</f>
        <v/>
      </c>
      <c r="P4397" s="21">
        <f>IF(E4397&lt;=90,"90 or less",IF(E4397&lt;=105,"91-105",IF(E4397&lt;=120,"106-120",IF(E4397&lt;=140,"121-140","Over 140"))))</f>
        <v/>
      </c>
      <c r="Q4397" s="28">
        <f>INT(C4397/10)*10</f>
        <v/>
      </c>
    </row>
    <row r="4398">
      <c r="A4398" s="21" t="n">
        <v>4490</v>
      </c>
      <c r="B4398" s="21" t="inlineStr">
        <is>
          <t>Perfect Cowboy</t>
        </is>
      </c>
      <c r="C4398" s="21" t="n">
        <v>2014</v>
      </c>
      <c r="D4398" s="21" t="inlineStr">
        <is>
          <t>USA</t>
        </is>
      </c>
      <c r="E4398" s="21" t="n">
        <v>109</v>
      </c>
      <c r="F4398" s="21" t="inlineStr">
        <is>
          <t>English</t>
        </is>
      </c>
      <c r="G4398" s="21" t="n"/>
      <c r="H4398" s="22" t="n">
        <v>25529689.5</v>
      </c>
      <c r="I4398" s="22" t="n">
        <v>200000</v>
      </c>
      <c r="J4398" s="21">
        <f>IF(OR(H4398="",H4398=25529689.5),"Yes","No")</f>
        <v/>
      </c>
      <c r="K4398" s="21">
        <f>IF(AND(D4398="USA",C4398&gt;=1980,J4398="No"),"Yes","No")</f>
        <v/>
      </c>
      <c r="L4398" s="26">
        <f>IF(J4398="Yes","",H4398-I4398)</f>
        <v/>
      </c>
      <c r="M4398" s="27">
        <f>IF(OR(J4398="Yes",I4398=0),"",H4398/I4398)</f>
        <v/>
      </c>
      <c r="N4398" s="21">
        <f>IF(J4398="Yes","",IF(H4398&gt;=I4398,1,0))</f>
        <v/>
      </c>
      <c r="O4398" s="21">
        <f>IF(I4398&lt;=5000000,"Under $5M",IF(I4398&lt;=20000000,"$5M-20M",IF(I4398&lt;=50000000,"$20M-50M",IF(I4398&lt;=100000000,"$50M-100M","$100M+"))))</f>
        <v/>
      </c>
      <c r="P4398" s="21">
        <f>IF(E4398&lt;=90,"90 or less",IF(E4398&lt;=105,"91-105",IF(E4398&lt;=120,"106-120",IF(E4398&lt;=140,"121-140","Over 140"))))</f>
        <v/>
      </c>
      <c r="Q4398" s="28">
        <f>INT(C4398/10)*10</f>
        <v/>
      </c>
    </row>
    <row r="4399">
      <c r="A4399" s="21" t="n">
        <v>4491</v>
      </c>
      <c r="B4399" s="21" t="inlineStr">
        <is>
          <t>Plastic</t>
        </is>
      </c>
      <c r="C4399" s="21" t="n">
        <v>2014</v>
      </c>
      <c r="D4399" s="21" t="inlineStr">
        <is>
          <t>UK</t>
        </is>
      </c>
      <c r="E4399" s="21" t="n">
        <v>102</v>
      </c>
      <c r="F4399" s="21" t="inlineStr">
        <is>
          <t>English</t>
        </is>
      </c>
      <c r="G4399" s="21" t="inlineStr">
        <is>
          <t>R</t>
        </is>
      </c>
      <c r="H4399" s="22" t="n">
        <v>25529689.5</v>
      </c>
      <c r="I4399" s="22" t="n">
        <v>10000000</v>
      </c>
      <c r="J4399" s="21">
        <f>IF(OR(H4399="",H4399=25529689.5),"Yes","No")</f>
        <v/>
      </c>
      <c r="K4399" s="21">
        <f>IF(AND(D4399="USA",C4399&gt;=1980,J4399="No"),"Yes","No")</f>
        <v/>
      </c>
      <c r="L4399" s="26">
        <f>IF(J4399="Yes","",H4399-I4399)</f>
        <v/>
      </c>
      <c r="M4399" s="27">
        <f>IF(OR(J4399="Yes",I4399=0),"",H4399/I4399)</f>
        <v/>
      </c>
      <c r="N4399" s="21">
        <f>IF(J4399="Yes","",IF(H4399&gt;=I4399,1,0))</f>
        <v/>
      </c>
      <c r="O4399" s="21">
        <f>IF(I4399&lt;=5000000,"Under $5M",IF(I4399&lt;=20000000,"$5M-20M",IF(I4399&lt;=50000000,"$20M-50M",IF(I4399&lt;=100000000,"$50M-100M","$100M+"))))</f>
        <v/>
      </c>
      <c r="P4399" s="21">
        <f>IF(E4399&lt;=90,"90 or less",IF(E4399&lt;=105,"91-105",IF(E4399&lt;=120,"106-120",IF(E4399&lt;=140,"121-140","Over 140"))))</f>
        <v/>
      </c>
      <c r="Q4399" s="28">
        <f>INT(C4399/10)*10</f>
        <v/>
      </c>
    </row>
    <row r="4400">
      <c r="A4400" s="21" t="n">
        <v>4492</v>
      </c>
      <c r="B4400" s="21" t="inlineStr">
        <is>
          <t>Pompeii</t>
        </is>
      </c>
      <c r="C4400" s="21" t="n">
        <v>2014</v>
      </c>
      <c r="D4400" s="21" t="inlineStr">
        <is>
          <t>Canada</t>
        </is>
      </c>
      <c r="E4400" s="21" t="n">
        <v>105</v>
      </c>
      <c r="F4400" s="21" t="inlineStr">
        <is>
          <t>English</t>
        </is>
      </c>
      <c r="G4400" s="21" t="inlineStr">
        <is>
          <t>PG-13</t>
        </is>
      </c>
      <c r="H4400" s="22" t="n">
        <v>23219748</v>
      </c>
      <c r="I4400" s="22" t="n">
        <v>80000000</v>
      </c>
      <c r="J4400" s="21">
        <f>IF(OR(H4400="",H4400=25529689.5),"Yes","No")</f>
        <v/>
      </c>
      <c r="K4400" s="21">
        <f>IF(AND(D4400="USA",C4400&gt;=1980,J4400="No"),"Yes","No")</f>
        <v/>
      </c>
      <c r="L4400" s="26">
        <f>IF(J4400="Yes","",H4400-I4400)</f>
        <v/>
      </c>
      <c r="M4400" s="27">
        <f>IF(OR(J4400="Yes",I4400=0),"",H4400/I4400)</f>
        <v/>
      </c>
      <c r="N4400" s="21">
        <f>IF(J4400="Yes","",IF(H4400&gt;=I4400,1,0))</f>
        <v/>
      </c>
      <c r="O4400" s="21">
        <f>IF(I4400&lt;=5000000,"Under $5M",IF(I4400&lt;=20000000,"$5M-20M",IF(I4400&lt;=50000000,"$20M-50M",IF(I4400&lt;=100000000,"$50M-100M","$100M+"))))</f>
        <v/>
      </c>
      <c r="P4400" s="21">
        <f>IF(E4400&lt;=90,"90 or less",IF(E4400&lt;=105,"91-105",IF(E4400&lt;=120,"106-120",IF(E4400&lt;=140,"121-140","Over 140"))))</f>
        <v/>
      </c>
      <c r="Q4400" s="28">
        <f>INT(C4400/10)*10</f>
        <v/>
      </c>
    </row>
    <row r="4401">
      <c r="A4401" s="21" t="n">
        <v>4493</v>
      </c>
      <c r="B4401" s="21" t="inlineStr">
        <is>
          <t>Queen of the Mountains</t>
        </is>
      </c>
      <c r="C4401" s="21" t="n">
        <v>2014</v>
      </c>
      <c r="D4401" s="21" t="inlineStr">
        <is>
          <t>Kyrgyzstan</t>
        </is>
      </c>
      <c r="E4401" s="21" t="n">
        <v>135</v>
      </c>
      <c r="F4401" s="21" t="inlineStr">
        <is>
          <t>English</t>
        </is>
      </c>
      <c r="G4401" s="21" t="inlineStr">
        <is>
          <t>PG-13</t>
        </is>
      </c>
      <c r="H4401" s="22" t="n">
        <v>25529689.5</v>
      </c>
      <c r="I4401" s="22" t="n">
        <v>1400000</v>
      </c>
      <c r="J4401" s="21">
        <f>IF(OR(H4401="",H4401=25529689.5),"Yes","No")</f>
        <v/>
      </c>
      <c r="K4401" s="21">
        <f>IF(AND(D4401="USA",C4401&gt;=1980,J4401="No"),"Yes","No")</f>
        <v/>
      </c>
      <c r="L4401" s="26">
        <f>IF(J4401="Yes","",H4401-I4401)</f>
        <v/>
      </c>
      <c r="M4401" s="27">
        <f>IF(OR(J4401="Yes",I4401=0),"",H4401/I4401)</f>
        <v/>
      </c>
      <c r="N4401" s="21">
        <f>IF(J4401="Yes","",IF(H4401&gt;=I4401,1,0))</f>
        <v/>
      </c>
      <c r="O4401" s="21">
        <f>IF(I4401&lt;=5000000,"Under $5M",IF(I4401&lt;=20000000,"$5M-20M",IF(I4401&lt;=50000000,"$20M-50M",IF(I4401&lt;=100000000,"$50M-100M","$100M+"))))</f>
        <v/>
      </c>
      <c r="P4401" s="21">
        <f>IF(E4401&lt;=90,"90 or less",IF(E4401&lt;=105,"91-105",IF(E4401&lt;=120,"106-120",IF(E4401&lt;=140,"121-140","Over 140"))))</f>
        <v/>
      </c>
      <c r="Q4401" s="28">
        <f>INT(C4401/10)*10</f>
        <v/>
      </c>
    </row>
    <row r="4402">
      <c r="A4402" s="21" t="n">
        <v>4494</v>
      </c>
      <c r="B4402" s="21" t="inlineStr">
        <is>
          <t>Ramanujan</t>
        </is>
      </c>
      <c r="C4402" s="21" t="n">
        <v>2014</v>
      </c>
      <c r="D4402" s="21" t="inlineStr">
        <is>
          <t>India</t>
        </is>
      </c>
      <c r="E4402" s="21" t="n">
        <v>153</v>
      </c>
      <c r="F4402" s="21" t="inlineStr">
        <is>
          <t>English</t>
        </is>
      </c>
      <c r="G4402" s="21" t="n"/>
      <c r="H4402" s="22" t="n">
        <v>25529689.5</v>
      </c>
      <c r="I4402" s="22" t="n">
        <v>20000000</v>
      </c>
      <c r="J4402" s="21">
        <f>IF(OR(H4402="",H4402=25529689.5),"Yes","No")</f>
        <v/>
      </c>
      <c r="K4402" s="21">
        <f>IF(AND(D4402="USA",C4402&gt;=1980,J4402="No"),"Yes","No")</f>
        <v/>
      </c>
      <c r="L4402" s="26">
        <f>IF(J4402="Yes","",H4402-I4402)</f>
        <v/>
      </c>
      <c r="M4402" s="27">
        <f>IF(OR(J4402="Yes",I4402=0),"",H4402/I4402)</f>
        <v/>
      </c>
      <c r="N4402" s="21">
        <f>IF(J4402="Yes","",IF(H4402&gt;=I4402,1,0))</f>
        <v/>
      </c>
      <c r="O4402" s="21">
        <f>IF(I4402&lt;=5000000,"Under $5M",IF(I4402&lt;=20000000,"$5M-20M",IF(I4402&lt;=50000000,"$20M-50M",IF(I4402&lt;=100000000,"$50M-100M","$100M+"))))</f>
        <v/>
      </c>
      <c r="P4402" s="21">
        <f>IF(E4402&lt;=90,"90 or less",IF(E4402&lt;=105,"91-105",IF(E4402&lt;=120,"106-120",IF(E4402&lt;=140,"121-140","Over 140"))))</f>
        <v/>
      </c>
      <c r="Q4402" s="28">
        <f>INT(C4402/10)*10</f>
        <v/>
      </c>
    </row>
    <row r="4403">
      <c r="A4403" s="21" t="n">
        <v>4495</v>
      </c>
      <c r="B4403" s="21" t="inlineStr">
        <is>
          <t>Red Sky</t>
        </is>
      </c>
      <c r="C4403" s="21" t="n">
        <v>2014</v>
      </c>
      <c r="D4403" s="21" t="inlineStr">
        <is>
          <t>USA</t>
        </is>
      </c>
      <c r="E4403" s="21" t="n">
        <v>100</v>
      </c>
      <c r="F4403" s="21" t="inlineStr">
        <is>
          <t>English</t>
        </is>
      </c>
      <c r="G4403" s="21" t="inlineStr">
        <is>
          <t>PG-13</t>
        </is>
      </c>
      <c r="H4403" s="22" t="n">
        <v>25529689.5</v>
      </c>
      <c r="I4403" s="22" t="n">
        <v>25000000</v>
      </c>
      <c r="J4403" s="21">
        <f>IF(OR(H4403="",H4403=25529689.5),"Yes","No")</f>
        <v/>
      </c>
      <c r="K4403" s="21">
        <f>IF(AND(D4403="USA",C4403&gt;=1980,J4403="No"),"Yes","No")</f>
        <v/>
      </c>
      <c r="L4403" s="26">
        <f>IF(J4403="Yes","",H4403-I4403)</f>
        <v/>
      </c>
      <c r="M4403" s="27">
        <f>IF(OR(J4403="Yes",I4403=0),"",H4403/I4403)</f>
        <v/>
      </c>
      <c r="N4403" s="21">
        <f>IF(J4403="Yes","",IF(H4403&gt;=I4403,1,0))</f>
        <v/>
      </c>
      <c r="O4403" s="21">
        <f>IF(I4403&lt;=5000000,"Under $5M",IF(I4403&lt;=20000000,"$5M-20M",IF(I4403&lt;=50000000,"$20M-50M",IF(I4403&lt;=100000000,"$50M-100M","$100M+"))))</f>
        <v/>
      </c>
      <c r="P4403" s="21">
        <f>IF(E4403&lt;=90,"90 or less",IF(E4403&lt;=105,"91-105",IF(E4403&lt;=120,"106-120",IF(E4403&lt;=140,"121-140","Over 140"))))</f>
        <v/>
      </c>
      <c r="Q4403" s="28">
        <f>INT(C4403/10)*10</f>
        <v/>
      </c>
    </row>
    <row r="4404">
      <c r="A4404" s="21" t="n">
        <v>4496</v>
      </c>
      <c r="B4404" s="21" t="inlineStr">
        <is>
          <t>Ride Along</t>
        </is>
      </c>
      <c r="C4404" s="21" t="n">
        <v>2014</v>
      </c>
      <c r="D4404" s="21" t="inlineStr">
        <is>
          <t>USA</t>
        </is>
      </c>
      <c r="E4404" s="21" t="n">
        <v>99</v>
      </c>
      <c r="F4404" s="21" t="inlineStr">
        <is>
          <t>English</t>
        </is>
      </c>
      <c r="G4404" s="21" t="inlineStr">
        <is>
          <t>PG-13</t>
        </is>
      </c>
      <c r="H4404" s="22" t="n">
        <v>134141530</v>
      </c>
      <c r="I4404" s="22" t="n">
        <v>25000000</v>
      </c>
      <c r="J4404" s="21">
        <f>IF(OR(H4404="",H4404=25529689.5),"Yes","No")</f>
        <v/>
      </c>
      <c r="K4404" s="21">
        <f>IF(AND(D4404="USA",C4404&gt;=1980,J4404="No"),"Yes","No")</f>
        <v/>
      </c>
      <c r="L4404" s="26">
        <f>IF(J4404="Yes","",H4404-I4404)</f>
        <v/>
      </c>
      <c r="M4404" s="27">
        <f>IF(OR(J4404="Yes",I4404=0),"",H4404/I4404)</f>
        <v/>
      </c>
      <c r="N4404" s="21">
        <f>IF(J4404="Yes","",IF(H4404&gt;=I4404,1,0))</f>
        <v/>
      </c>
      <c r="O4404" s="21">
        <f>IF(I4404&lt;=5000000,"Under $5M",IF(I4404&lt;=20000000,"$5M-20M",IF(I4404&lt;=50000000,"$20M-50M",IF(I4404&lt;=100000000,"$50M-100M","$100M+"))))</f>
        <v/>
      </c>
      <c r="P4404" s="21">
        <f>IF(E4404&lt;=90,"90 or less",IF(E4404&lt;=105,"91-105",IF(E4404&lt;=120,"106-120",IF(E4404&lt;=140,"121-140","Over 140"))))</f>
        <v/>
      </c>
      <c r="Q4404" s="28">
        <f>INT(C4404/10)*10</f>
        <v/>
      </c>
    </row>
    <row r="4405">
      <c r="A4405" s="21" t="n">
        <v>4497</v>
      </c>
      <c r="B4405" s="21" t="inlineStr">
        <is>
          <t>Rio 2</t>
        </is>
      </c>
      <c r="C4405" s="21" t="n">
        <v>2014</v>
      </c>
      <c r="D4405" s="21" t="inlineStr">
        <is>
          <t>USA</t>
        </is>
      </c>
      <c r="E4405" s="21" t="n">
        <v>101</v>
      </c>
      <c r="F4405" s="21" t="inlineStr">
        <is>
          <t>English</t>
        </is>
      </c>
      <c r="G4405" s="21" t="inlineStr">
        <is>
          <t>G</t>
        </is>
      </c>
      <c r="H4405" s="22" t="n">
        <v>131536019</v>
      </c>
      <c r="I4405" s="22" t="n">
        <v>103000000</v>
      </c>
      <c r="J4405" s="21">
        <f>IF(OR(H4405="",H4405=25529689.5),"Yes","No")</f>
        <v/>
      </c>
      <c r="K4405" s="21">
        <f>IF(AND(D4405="USA",C4405&gt;=1980,J4405="No"),"Yes","No")</f>
        <v/>
      </c>
      <c r="L4405" s="26">
        <f>IF(J4405="Yes","",H4405-I4405)</f>
        <v/>
      </c>
      <c r="M4405" s="27">
        <f>IF(OR(J4405="Yes",I4405=0),"",H4405/I4405)</f>
        <v/>
      </c>
      <c r="N4405" s="21">
        <f>IF(J4405="Yes","",IF(H4405&gt;=I4405,1,0))</f>
        <v/>
      </c>
      <c r="O4405" s="21">
        <f>IF(I4405&lt;=5000000,"Under $5M",IF(I4405&lt;=20000000,"$5M-20M",IF(I4405&lt;=50000000,"$20M-50M",IF(I4405&lt;=100000000,"$50M-100M","$100M+"))))</f>
        <v/>
      </c>
      <c r="P4405" s="21">
        <f>IF(E4405&lt;=90,"90 or less",IF(E4405&lt;=105,"91-105",IF(E4405&lt;=120,"106-120",IF(E4405&lt;=140,"121-140","Over 140"))))</f>
        <v/>
      </c>
      <c r="Q4405" s="28">
        <f>INT(C4405/10)*10</f>
        <v/>
      </c>
    </row>
    <row r="4406">
      <c r="A4406" s="21" t="n">
        <v>4498</v>
      </c>
      <c r="B4406" s="21" t="inlineStr">
        <is>
          <t>Rise of the Entrepreneur: The Search for a Better Way</t>
        </is>
      </c>
      <c r="C4406" s="21" t="n">
        <v>2014</v>
      </c>
      <c r="D4406" s="21" t="inlineStr">
        <is>
          <t>USA</t>
        </is>
      </c>
      <c r="E4406" s="21" t="n">
        <v>52</v>
      </c>
      <c r="F4406" s="21" t="inlineStr">
        <is>
          <t>English</t>
        </is>
      </c>
      <c r="G4406" s="21" t="inlineStr">
        <is>
          <t>G</t>
        </is>
      </c>
      <c r="H4406" s="22" t="n">
        <v>25529689.5</v>
      </c>
      <c r="I4406" s="22" t="n">
        <v>450000</v>
      </c>
      <c r="J4406" s="21">
        <f>IF(OR(H4406="",H4406=25529689.5),"Yes","No")</f>
        <v/>
      </c>
      <c r="K4406" s="21">
        <f>IF(AND(D4406="USA",C4406&gt;=1980,J4406="No"),"Yes","No")</f>
        <v/>
      </c>
      <c r="L4406" s="26">
        <f>IF(J4406="Yes","",H4406-I4406)</f>
        <v/>
      </c>
      <c r="M4406" s="27">
        <f>IF(OR(J4406="Yes",I4406=0),"",H4406/I4406)</f>
        <v/>
      </c>
      <c r="N4406" s="21">
        <f>IF(J4406="Yes","",IF(H4406&gt;=I4406,1,0))</f>
        <v/>
      </c>
      <c r="O4406" s="21">
        <f>IF(I4406&lt;=5000000,"Under $5M",IF(I4406&lt;=20000000,"$5M-20M",IF(I4406&lt;=50000000,"$20M-50M",IF(I4406&lt;=100000000,"$50M-100M","$100M+"))))</f>
        <v/>
      </c>
      <c r="P4406" s="21">
        <f>IF(E4406&lt;=90,"90 or less",IF(E4406&lt;=105,"91-105",IF(E4406&lt;=120,"106-120",IF(E4406&lt;=140,"121-140","Over 140"))))</f>
        <v/>
      </c>
      <c r="Q4406" s="28">
        <f>INT(C4406/10)*10</f>
        <v/>
      </c>
    </row>
    <row r="4407">
      <c r="A4407" s="21" t="n">
        <v>4499</v>
      </c>
      <c r="B4407" s="21" t="inlineStr">
        <is>
          <t>RoboCop</t>
        </is>
      </c>
      <c r="C4407" s="21" t="n">
        <v>2014</v>
      </c>
      <c r="D4407" s="21" t="inlineStr">
        <is>
          <t>USA</t>
        </is>
      </c>
      <c r="E4407" s="21" t="n">
        <v>117</v>
      </c>
      <c r="F4407" s="21" t="inlineStr">
        <is>
          <t>English</t>
        </is>
      </c>
      <c r="G4407" s="21" t="inlineStr">
        <is>
          <t>PG-13</t>
        </is>
      </c>
      <c r="H4407" s="22" t="n">
        <v>58607007</v>
      </c>
      <c r="I4407" s="22" t="n">
        <v>100000000</v>
      </c>
      <c r="J4407" s="21">
        <f>IF(OR(H4407="",H4407=25529689.5),"Yes","No")</f>
        <v/>
      </c>
      <c r="K4407" s="21">
        <f>IF(AND(D4407="USA",C4407&gt;=1980,J4407="No"),"Yes","No")</f>
        <v/>
      </c>
      <c r="L4407" s="26">
        <f>IF(J4407="Yes","",H4407-I4407)</f>
        <v/>
      </c>
      <c r="M4407" s="27">
        <f>IF(OR(J4407="Yes",I4407=0),"",H4407/I4407)</f>
        <v/>
      </c>
      <c r="N4407" s="21">
        <f>IF(J4407="Yes","",IF(H4407&gt;=I4407,1,0))</f>
        <v/>
      </c>
      <c r="O4407" s="21">
        <f>IF(I4407&lt;=5000000,"Under $5M",IF(I4407&lt;=20000000,"$5M-20M",IF(I4407&lt;=50000000,"$20M-50M",IF(I4407&lt;=100000000,"$50M-100M","$100M+"))))</f>
        <v/>
      </c>
      <c r="P4407" s="21">
        <f>IF(E4407&lt;=90,"90 or less",IF(E4407&lt;=105,"91-105",IF(E4407&lt;=120,"106-120",IF(E4407&lt;=140,"121-140","Over 140"))))</f>
        <v/>
      </c>
      <c r="Q4407" s="28">
        <f>INT(C4407/10)*10</f>
        <v/>
      </c>
    </row>
    <row r="4408">
      <c r="A4408" s="21" t="n">
        <v>4501</v>
      </c>
      <c r="B4408" s="21" t="inlineStr">
        <is>
          <t>Rosewater</t>
        </is>
      </c>
      <c r="C4408" s="21" t="n">
        <v>2014</v>
      </c>
      <c r="D4408" s="21" t="inlineStr">
        <is>
          <t>USA</t>
        </is>
      </c>
      <c r="E4408" s="21" t="n">
        <v>103</v>
      </c>
      <c r="F4408" s="21" t="inlineStr">
        <is>
          <t>English</t>
        </is>
      </c>
      <c r="G4408" s="21" t="inlineStr">
        <is>
          <t>R</t>
        </is>
      </c>
      <c r="H4408" s="22" t="n">
        <v>3093491</v>
      </c>
      <c r="I4408" s="22" t="n">
        <v>5000000</v>
      </c>
      <c r="J4408" s="21">
        <f>IF(OR(H4408="",H4408=25529689.5),"Yes","No")</f>
        <v/>
      </c>
      <c r="K4408" s="21">
        <f>IF(AND(D4408="USA",C4408&gt;=1980,J4408="No"),"Yes","No")</f>
        <v/>
      </c>
      <c r="L4408" s="26">
        <f>IF(J4408="Yes","",H4408-I4408)</f>
        <v/>
      </c>
      <c r="M4408" s="27">
        <f>IF(OR(J4408="Yes",I4408=0),"",H4408/I4408)</f>
        <v/>
      </c>
      <c r="N4408" s="21">
        <f>IF(J4408="Yes","",IF(H4408&gt;=I4408,1,0))</f>
        <v/>
      </c>
      <c r="O4408" s="21">
        <f>IF(I4408&lt;=5000000,"Under $5M",IF(I4408&lt;=20000000,"$5M-20M",IF(I4408&lt;=50000000,"$20M-50M",IF(I4408&lt;=100000000,"$50M-100M","$100M+"))))</f>
        <v/>
      </c>
      <c r="P4408" s="21">
        <f>IF(E4408&lt;=90,"90 or less",IF(E4408&lt;=105,"91-105",IF(E4408&lt;=120,"106-120",IF(E4408&lt;=140,"121-140","Over 140"))))</f>
        <v/>
      </c>
      <c r="Q4408" s="28">
        <f>INT(C4408/10)*10</f>
        <v/>
      </c>
    </row>
    <row r="4409">
      <c r="A4409" s="21" t="n">
        <v>4502</v>
      </c>
      <c r="B4409" s="21" t="inlineStr">
        <is>
          <t>Rudderless</t>
        </is>
      </c>
      <c r="C4409" s="21" t="n">
        <v>2014</v>
      </c>
      <c r="D4409" s="21" t="inlineStr">
        <is>
          <t>USA</t>
        </is>
      </c>
      <c r="E4409" s="21" t="n">
        <v>105</v>
      </c>
      <c r="F4409" s="21" t="inlineStr">
        <is>
          <t>English</t>
        </is>
      </c>
      <c r="G4409" s="21" t="inlineStr">
        <is>
          <t>R</t>
        </is>
      </c>
      <c r="H4409" s="22" t="n">
        <v>37440</v>
      </c>
      <c r="I4409" s="22" t="n">
        <v>5000000</v>
      </c>
      <c r="J4409" s="21">
        <f>IF(OR(H4409="",H4409=25529689.5),"Yes","No")</f>
        <v/>
      </c>
      <c r="K4409" s="21">
        <f>IF(AND(D4409="USA",C4409&gt;=1980,J4409="No"),"Yes","No")</f>
        <v/>
      </c>
      <c r="L4409" s="26">
        <f>IF(J4409="Yes","",H4409-I4409)</f>
        <v/>
      </c>
      <c r="M4409" s="27">
        <f>IF(OR(J4409="Yes",I4409=0),"",H4409/I4409)</f>
        <v/>
      </c>
      <c r="N4409" s="21">
        <f>IF(J4409="Yes","",IF(H4409&gt;=I4409,1,0))</f>
        <v/>
      </c>
      <c r="O4409" s="21">
        <f>IF(I4409&lt;=5000000,"Under $5M",IF(I4409&lt;=20000000,"$5M-20M",IF(I4409&lt;=50000000,"$20M-50M",IF(I4409&lt;=100000000,"$50M-100M","$100M+"))))</f>
        <v/>
      </c>
      <c r="P4409" s="21">
        <f>IF(E4409&lt;=90,"90 or less",IF(E4409&lt;=105,"91-105",IF(E4409&lt;=120,"106-120",IF(E4409&lt;=140,"121-140","Over 140"))))</f>
        <v/>
      </c>
      <c r="Q4409" s="28">
        <f>INT(C4409/10)*10</f>
        <v/>
      </c>
    </row>
    <row r="4410">
      <c r="A4410" s="21" t="n">
        <v>4503</v>
      </c>
      <c r="B4410" s="21" t="inlineStr">
        <is>
          <t>Sabotage</t>
        </is>
      </c>
      <c r="C4410" s="21" t="n">
        <v>2014</v>
      </c>
      <c r="D4410" s="21" t="inlineStr">
        <is>
          <t>USA</t>
        </is>
      </c>
      <c r="E4410" s="21" t="n">
        <v>109</v>
      </c>
      <c r="F4410" s="21" t="inlineStr">
        <is>
          <t>English</t>
        </is>
      </c>
      <c r="G4410" s="21" t="inlineStr">
        <is>
          <t>R</t>
        </is>
      </c>
      <c r="H4410" s="22" t="n">
        <v>10499968</v>
      </c>
      <c r="I4410" s="22" t="n">
        <v>35000000</v>
      </c>
      <c r="J4410" s="21">
        <f>IF(OR(H4410="",H4410=25529689.5),"Yes","No")</f>
        <v/>
      </c>
      <c r="K4410" s="21">
        <f>IF(AND(D4410="USA",C4410&gt;=1980,J4410="No"),"Yes","No")</f>
        <v/>
      </c>
      <c r="L4410" s="26">
        <f>IF(J4410="Yes","",H4410-I4410)</f>
        <v/>
      </c>
      <c r="M4410" s="27">
        <f>IF(OR(J4410="Yes",I4410=0),"",H4410/I4410)</f>
        <v/>
      </c>
      <c r="N4410" s="21">
        <f>IF(J4410="Yes","",IF(H4410&gt;=I4410,1,0))</f>
        <v/>
      </c>
      <c r="O4410" s="21">
        <f>IF(I4410&lt;=5000000,"Under $5M",IF(I4410&lt;=20000000,"$5M-20M",IF(I4410&lt;=50000000,"$20M-50M",IF(I4410&lt;=100000000,"$50M-100M","$100M+"))))</f>
        <v/>
      </c>
      <c r="P4410" s="21">
        <f>IF(E4410&lt;=90,"90 or less",IF(E4410&lt;=105,"91-105",IF(E4410&lt;=120,"106-120",IF(E4410&lt;=140,"121-140","Over 140"))))</f>
        <v/>
      </c>
      <c r="Q4410" s="28">
        <f>INT(C4410/10)*10</f>
        <v/>
      </c>
    </row>
    <row r="4411">
      <c r="A4411" s="21" t="n">
        <v>4505</v>
      </c>
      <c r="B4411" s="21" t="inlineStr">
        <is>
          <t>Selma</t>
        </is>
      </c>
      <c r="C4411" s="21" t="n">
        <v>2014</v>
      </c>
      <c r="D4411" s="21" t="inlineStr">
        <is>
          <t>UK</t>
        </is>
      </c>
      <c r="E4411" s="21" t="n">
        <v>128</v>
      </c>
      <c r="F4411" s="21" t="inlineStr">
        <is>
          <t>English</t>
        </is>
      </c>
      <c r="G4411" s="21" t="inlineStr">
        <is>
          <t>PG-13</t>
        </is>
      </c>
      <c r="H4411" s="22" t="n">
        <v>52066000</v>
      </c>
      <c r="I4411" s="22" t="n">
        <v>20000000</v>
      </c>
      <c r="J4411" s="21">
        <f>IF(OR(H4411="",H4411=25529689.5),"Yes","No")</f>
        <v/>
      </c>
      <c r="K4411" s="21">
        <f>IF(AND(D4411="USA",C4411&gt;=1980,J4411="No"),"Yes","No")</f>
        <v/>
      </c>
      <c r="L4411" s="26">
        <f>IF(J4411="Yes","",H4411-I4411)</f>
        <v/>
      </c>
      <c r="M4411" s="27">
        <f>IF(OR(J4411="Yes",I4411=0),"",H4411/I4411)</f>
        <v/>
      </c>
      <c r="N4411" s="21">
        <f>IF(J4411="Yes","",IF(H4411&gt;=I4411,1,0))</f>
        <v/>
      </c>
      <c r="O4411" s="21">
        <f>IF(I4411&lt;=5000000,"Under $5M",IF(I4411&lt;=20000000,"$5M-20M",IF(I4411&lt;=50000000,"$20M-50M",IF(I4411&lt;=100000000,"$50M-100M","$100M+"))))</f>
        <v/>
      </c>
      <c r="P4411" s="21">
        <f>IF(E4411&lt;=90,"90 or less",IF(E4411&lt;=105,"91-105",IF(E4411&lt;=120,"106-120",IF(E4411&lt;=140,"121-140","Over 140"))))</f>
        <v/>
      </c>
      <c r="Q4411" s="28">
        <f>INT(C4411/10)*10</f>
        <v/>
      </c>
    </row>
    <row r="4412">
      <c r="A4412" s="21" t="n">
        <v>4506</v>
      </c>
      <c r="B4412" s="21" t="inlineStr">
        <is>
          <t>Seventh Son</t>
        </is>
      </c>
      <c r="C4412" s="21" t="n">
        <v>2014</v>
      </c>
      <c r="D4412" s="21" t="inlineStr">
        <is>
          <t>USA</t>
        </is>
      </c>
      <c r="E4412" s="21" t="n">
        <v>102</v>
      </c>
      <c r="F4412" s="21" t="inlineStr">
        <is>
          <t>English</t>
        </is>
      </c>
      <c r="G4412" s="21" t="inlineStr">
        <is>
          <t>PG-13</t>
        </is>
      </c>
      <c r="H4412" s="22" t="n">
        <v>17176900</v>
      </c>
      <c r="I4412" s="22" t="n">
        <v>95000000</v>
      </c>
      <c r="J4412" s="21">
        <f>IF(OR(H4412="",H4412=25529689.5),"Yes","No")</f>
        <v/>
      </c>
      <c r="K4412" s="21">
        <f>IF(AND(D4412="USA",C4412&gt;=1980,J4412="No"),"Yes","No")</f>
        <v/>
      </c>
      <c r="L4412" s="26">
        <f>IF(J4412="Yes","",H4412-I4412)</f>
        <v/>
      </c>
      <c r="M4412" s="27">
        <f>IF(OR(J4412="Yes",I4412=0),"",H4412/I4412)</f>
        <v/>
      </c>
      <c r="N4412" s="21">
        <f>IF(J4412="Yes","",IF(H4412&gt;=I4412,1,0))</f>
        <v/>
      </c>
      <c r="O4412" s="21">
        <f>IF(I4412&lt;=5000000,"Under $5M",IF(I4412&lt;=20000000,"$5M-20M",IF(I4412&lt;=50000000,"$20M-50M",IF(I4412&lt;=100000000,"$50M-100M","$100M+"))))</f>
        <v/>
      </c>
      <c r="P4412" s="21">
        <f>IF(E4412&lt;=90,"90 or less",IF(E4412&lt;=105,"91-105",IF(E4412&lt;=120,"106-120",IF(E4412&lt;=140,"121-140","Over 140"))))</f>
        <v/>
      </c>
      <c r="Q4412" s="28">
        <f>INT(C4412/10)*10</f>
        <v/>
      </c>
    </row>
    <row r="4413">
      <c r="A4413" s="21" t="n">
        <v>4507</v>
      </c>
      <c r="B4413" s="21" t="inlineStr">
        <is>
          <t>Sex Tape</t>
        </is>
      </c>
      <c r="C4413" s="21" t="n">
        <v>2014</v>
      </c>
      <c r="D4413" s="21" t="inlineStr">
        <is>
          <t>USA</t>
        </is>
      </c>
      <c r="E4413" s="21" t="n">
        <v>94</v>
      </c>
      <c r="F4413" s="21" t="inlineStr">
        <is>
          <t>English</t>
        </is>
      </c>
      <c r="G4413" s="21" t="inlineStr">
        <is>
          <t>R</t>
        </is>
      </c>
      <c r="H4413" s="22" t="n">
        <v>38543473</v>
      </c>
      <c r="I4413" s="22" t="n">
        <v>40000000</v>
      </c>
      <c r="J4413" s="21">
        <f>IF(OR(H4413="",H4413=25529689.5),"Yes","No")</f>
        <v/>
      </c>
      <c r="K4413" s="21">
        <f>IF(AND(D4413="USA",C4413&gt;=1980,J4413="No"),"Yes","No")</f>
        <v/>
      </c>
      <c r="L4413" s="26">
        <f>IF(J4413="Yes","",H4413-I4413)</f>
        <v/>
      </c>
      <c r="M4413" s="27">
        <f>IF(OR(J4413="Yes",I4413=0),"",H4413/I4413)</f>
        <v/>
      </c>
      <c r="N4413" s="21">
        <f>IF(J4413="Yes","",IF(H4413&gt;=I4413,1,0))</f>
        <v/>
      </c>
      <c r="O4413" s="21">
        <f>IF(I4413&lt;=5000000,"Under $5M",IF(I4413&lt;=20000000,"$5M-20M",IF(I4413&lt;=50000000,"$20M-50M",IF(I4413&lt;=100000000,"$50M-100M","$100M+"))))</f>
        <v/>
      </c>
      <c r="P4413" s="21">
        <f>IF(E4413&lt;=90,"90 or less",IF(E4413&lt;=105,"91-105",IF(E4413&lt;=120,"106-120",IF(E4413&lt;=140,"121-140","Over 140"))))</f>
        <v/>
      </c>
      <c r="Q4413" s="28">
        <f>INT(C4413/10)*10</f>
        <v/>
      </c>
    </row>
    <row r="4414">
      <c r="A4414" s="21" t="n">
        <v>4508</v>
      </c>
      <c r="B4414" s="21" t="inlineStr">
        <is>
          <t>Sin City: A Dame to Kill For</t>
        </is>
      </c>
      <c r="C4414" s="21" t="n">
        <v>2014</v>
      </c>
      <c r="D4414" s="21" t="inlineStr">
        <is>
          <t>USA</t>
        </is>
      </c>
      <c r="E4414" s="21" t="n">
        <v>102</v>
      </c>
      <c r="F4414" s="21" t="inlineStr">
        <is>
          <t>English</t>
        </is>
      </c>
      <c r="G4414" s="21" t="inlineStr">
        <is>
          <t>R</t>
        </is>
      </c>
      <c r="H4414" s="22" t="n">
        <v>13750556</v>
      </c>
      <c r="I4414" s="22" t="n">
        <v>65000000</v>
      </c>
      <c r="J4414" s="21">
        <f>IF(OR(H4414="",H4414=25529689.5),"Yes","No")</f>
        <v/>
      </c>
      <c r="K4414" s="21">
        <f>IF(AND(D4414="USA",C4414&gt;=1980,J4414="No"),"Yes","No")</f>
        <v/>
      </c>
      <c r="L4414" s="26">
        <f>IF(J4414="Yes","",H4414-I4414)</f>
        <v/>
      </c>
      <c r="M4414" s="27">
        <f>IF(OR(J4414="Yes",I4414=0),"",H4414/I4414)</f>
        <v/>
      </c>
      <c r="N4414" s="21">
        <f>IF(J4414="Yes","",IF(H4414&gt;=I4414,1,0))</f>
        <v/>
      </c>
      <c r="O4414" s="21">
        <f>IF(I4414&lt;=5000000,"Under $5M",IF(I4414&lt;=20000000,"$5M-20M",IF(I4414&lt;=50000000,"$20M-50M",IF(I4414&lt;=100000000,"$50M-100M","$100M+"))))</f>
        <v/>
      </c>
      <c r="P4414" s="21">
        <f>IF(E4414&lt;=90,"90 or less",IF(E4414&lt;=105,"91-105",IF(E4414&lt;=120,"106-120",IF(E4414&lt;=140,"121-140","Over 140"))))</f>
        <v/>
      </c>
      <c r="Q4414" s="28">
        <f>INT(C4414/10)*10</f>
        <v/>
      </c>
    </row>
    <row r="4415">
      <c r="A4415" s="21" t="n">
        <v>4509</v>
      </c>
      <c r="B4415" s="21" t="inlineStr">
        <is>
          <t>Skin Trade</t>
        </is>
      </c>
      <c r="C4415" s="21" t="n">
        <v>2014</v>
      </c>
      <c r="D4415" s="21" t="inlineStr">
        <is>
          <t>Thailand</t>
        </is>
      </c>
      <c r="E4415" s="21" t="n">
        <v>96</v>
      </c>
      <c r="F4415" s="21" t="inlineStr">
        <is>
          <t>English</t>
        </is>
      </c>
      <c r="G4415" s="21" t="inlineStr">
        <is>
          <t>R</t>
        </is>
      </c>
      <c r="H4415" s="22" t="n">
        <v>162</v>
      </c>
      <c r="I4415" s="22" t="n">
        <v>9000000</v>
      </c>
      <c r="J4415" s="21">
        <f>IF(OR(H4415="",H4415=25529689.5),"Yes","No")</f>
        <v/>
      </c>
      <c r="K4415" s="21">
        <f>IF(AND(D4415="USA",C4415&gt;=1980,J4415="No"),"Yes","No")</f>
        <v/>
      </c>
      <c r="L4415" s="26">
        <f>IF(J4415="Yes","",H4415-I4415)</f>
        <v/>
      </c>
      <c r="M4415" s="27">
        <f>IF(OR(J4415="Yes",I4415=0),"",H4415/I4415)</f>
        <v/>
      </c>
      <c r="N4415" s="21">
        <f>IF(J4415="Yes","",IF(H4415&gt;=I4415,1,0))</f>
        <v/>
      </c>
      <c r="O4415" s="21">
        <f>IF(I4415&lt;=5000000,"Under $5M",IF(I4415&lt;=20000000,"$5M-20M",IF(I4415&lt;=50000000,"$20M-50M",IF(I4415&lt;=100000000,"$50M-100M","$100M+"))))</f>
        <v/>
      </c>
      <c r="P4415" s="21">
        <f>IF(E4415&lt;=90,"90 or less",IF(E4415&lt;=105,"91-105",IF(E4415&lt;=120,"106-120",IF(E4415&lt;=140,"121-140","Over 140"))))</f>
        <v/>
      </c>
      <c r="Q4415" s="28">
        <f>INT(C4415/10)*10</f>
        <v/>
      </c>
    </row>
    <row r="4416">
      <c r="A4416" s="21" t="n">
        <v>4510</v>
      </c>
      <c r="B4416" s="21" t="inlineStr">
        <is>
          <t>Solitude</t>
        </is>
      </c>
      <c r="C4416" s="21" t="n">
        <v>2014</v>
      </c>
      <c r="D4416" s="21" t="inlineStr">
        <is>
          <t>USA</t>
        </is>
      </c>
      <c r="E4416" s="21" t="n">
        <v>89</v>
      </c>
      <c r="F4416" s="21" t="inlineStr">
        <is>
          <t>English</t>
        </is>
      </c>
      <c r="G4416" s="21" t="n"/>
      <c r="H4416" s="22" t="n">
        <v>25529689.5</v>
      </c>
      <c r="I4416" s="22" t="n">
        <v>20000000</v>
      </c>
      <c r="J4416" s="21">
        <f>IF(OR(H4416="",H4416=25529689.5),"Yes","No")</f>
        <v/>
      </c>
      <c r="K4416" s="21">
        <f>IF(AND(D4416="USA",C4416&gt;=1980,J4416="No"),"Yes","No")</f>
        <v/>
      </c>
      <c r="L4416" s="26">
        <f>IF(J4416="Yes","",H4416-I4416)</f>
        <v/>
      </c>
      <c r="M4416" s="27">
        <f>IF(OR(J4416="Yes",I4416=0),"",H4416/I4416)</f>
        <v/>
      </c>
      <c r="N4416" s="21">
        <f>IF(J4416="Yes","",IF(H4416&gt;=I4416,1,0))</f>
        <v/>
      </c>
      <c r="O4416" s="21">
        <f>IF(I4416&lt;=5000000,"Under $5M",IF(I4416&lt;=20000000,"$5M-20M",IF(I4416&lt;=50000000,"$20M-50M",IF(I4416&lt;=100000000,"$50M-100M","$100M+"))))</f>
        <v/>
      </c>
      <c r="P4416" s="21">
        <f>IF(E4416&lt;=90,"90 or less",IF(E4416&lt;=105,"91-105",IF(E4416&lt;=120,"106-120",IF(E4416&lt;=140,"121-140","Over 140"))))</f>
        <v/>
      </c>
      <c r="Q4416" s="28">
        <f>INT(C4416/10)*10</f>
        <v/>
      </c>
    </row>
    <row r="4417">
      <c r="A4417" s="21" t="n">
        <v>4511</v>
      </c>
      <c r="B4417" s="21" t="inlineStr">
        <is>
          <t>Something Wicked</t>
        </is>
      </c>
      <c r="C4417" s="21" t="n">
        <v>2014</v>
      </c>
      <c r="D4417" s="21" t="inlineStr">
        <is>
          <t>USA</t>
        </is>
      </c>
      <c r="E4417" s="21" t="n">
        <v>95</v>
      </c>
      <c r="F4417" s="21" t="inlineStr">
        <is>
          <t>English</t>
        </is>
      </c>
      <c r="G4417" s="21" t="inlineStr">
        <is>
          <t>R</t>
        </is>
      </c>
      <c r="H4417" s="22" t="n">
        <v>25529689.5</v>
      </c>
      <c r="I4417" s="22" t="n">
        <v>3000000</v>
      </c>
      <c r="J4417" s="21">
        <f>IF(OR(H4417="",H4417=25529689.5),"Yes","No")</f>
        <v/>
      </c>
      <c r="K4417" s="21">
        <f>IF(AND(D4417="USA",C4417&gt;=1980,J4417="No"),"Yes","No")</f>
        <v/>
      </c>
      <c r="L4417" s="26">
        <f>IF(J4417="Yes","",H4417-I4417)</f>
        <v/>
      </c>
      <c r="M4417" s="27">
        <f>IF(OR(J4417="Yes",I4417=0),"",H4417/I4417)</f>
        <v/>
      </c>
      <c r="N4417" s="21">
        <f>IF(J4417="Yes","",IF(H4417&gt;=I4417,1,0))</f>
        <v/>
      </c>
      <c r="O4417" s="21">
        <f>IF(I4417&lt;=5000000,"Under $5M",IF(I4417&lt;=20000000,"$5M-20M",IF(I4417&lt;=50000000,"$20M-50M",IF(I4417&lt;=100000000,"$50M-100M","$100M+"))))</f>
        <v/>
      </c>
      <c r="P4417" s="21">
        <f>IF(E4417&lt;=90,"90 or less",IF(E4417&lt;=105,"91-105",IF(E4417&lt;=120,"106-120",IF(E4417&lt;=140,"121-140","Over 140"))))</f>
        <v/>
      </c>
      <c r="Q4417" s="28">
        <f>INT(C4417/10)*10</f>
        <v/>
      </c>
    </row>
    <row r="4418">
      <c r="A4418" s="21" t="n">
        <v>4512</v>
      </c>
      <c r="B4418" s="21" t="inlineStr">
        <is>
          <t>Son of God</t>
        </is>
      </c>
      <c r="C4418" s="21" t="n">
        <v>2014</v>
      </c>
      <c r="D4418" s="21" t="inlineStr">
        <is>
          <t>USA</t>
        </is>
      </c>
      <c r="E4418" s="21" t="n">
        <v>170</v>
      </c>
      <c r="F4418" s="21" t="inlineStr">
        <is>
          <t>English</t>
        </is>
      </c>
      <c r="G4418" s="21" t="inlineStr">
        <is>
          <t>PG-13</t>
        </is>
      </c>
      <c r="H4418" s="22" t="n">
        <v>59696176</v>
      </c>
      <c r="I4418" s="22" t="n">
        <v>22000000</v>
      </c>
      <c r="J4418" s="21">
        <f>IF(OR(H4418="",H4418=25529689.5),"Yes","No")</f>
        <v/>
      </c>
      <c r="K4418" s="21">
        <f>IF(AND(D4418="USA",C4418&gt;=1980,J4418="No"),"Yes","No")</f>
        <v/>
      </c>
      <c r="L4418" s="26">
        <f>IF(J4418="Yes","",H4418-I4418)</f>
        <v/>
      </c>
      <c r="M4418" s="27">
        <f>IF(OR(J4418="Yes",I4418=0),"",H4418/I4418)</f>
        <v/>
      </c>
      <c r="N4418" s="21">
        <f>IF(J4418="Yes","",IF(H4418&gt;=I4418,1,0))</f>
        <v/>
      </c>
      <c r="O4418" s="21">
        <f>IF(I4418&lt;=5000000,"Under $5M",IF(I4418&lt;=20000000,"$5M-20M",IF(I4418&lt;=50000000,"$20M-50M",IF(I4418&lt;=100000000,"$50M-100M","$100M+"))))</f>
        <v/>
      </c>
      <c r="P4418" s="21">
        <f>IF(E4418&lt;=90,"90 or less",IF(E4418&lt;=105,"91-105",IF(E4418&lt;=120,"106-120",IF(E4418&lt;=140,"121-140","Over 140"))))</f>
        <v/>
      </c>
      <c r="Q4418" s="28">
        <f>INT(C4418/10)*10</f>
        <v/>
      </c>
    </row>
    <row r="4419">
      <c r="A4419" s="21" t="n">
        <v>4513</v>
      </c>
      <c r="B4419" s="21" t="inlineStr">
        <is>
          <t>Song One</t>
        </is>
      </c>
      <c r="C4419" s="21" t="n">
        <v>2014</v>
      </c>
      <c r="D4419" s="21" t="inlineStr">
        <is>
          <t>USA</t>
        </is>
      </c>
      <c r="E4419" s="21" t="n">
        <v>86</v>
      </c>
      <c r="F4419" s="21" t="inlineStr">
        <is>
          <t>English</t>
        </is>
      </c>
      <c r="G4419" s="21" t="inlineStr">
        <is>
          <t>PG-13</t>
        </is>
      </c>
      <c r="H4419" s="22" t="n">
        <v>20200</v>
      </c>
      <c r="I4419" s="22" t="n">
        <v>6000000</v>
      </c>
      <c r="J4419" s="21">
        <f>IF(OR(H4419="",H4419=25529689.5),"Yes","No")</f>
        <v/>
      </c>
      <c r="K4419" s="21">
        <f>IF(AND(D4419="USA",C4419&gt;=1980,J4419="No"),"Yes","No")</f>
        <v/>
      </c>
      <c r="L4419" s="26">
        <f>IF(J4419="Yes","",H4419-I4419)</f>
        <v/>
      </c>
      <c r="M4419" s="27">
        <f>IF(OR(J4419="Yes",I4419=0),"",H4419/I4419)</f>
        <v/>
      </c>
      <c r="N4419" s="21">
        <f>IF(J4419="Yes","",IF(H4419&gt;=I4419,1,0))</f>
        <v/>
      </c>
      <c r="O4419" s="21">
        <f>IF(I4419&lt;=5000000,"Under $5M",IF(I4419&lt;=20000000,"$5M-20M",IF(I4419&lt;=50000000,"$20M-50M",IF(I4419&lt;=100000000,"$50M-100M","$100M+"))))</f>
        <v/>
      </c>
      <c r="P4419" s="21">
        <f>IF(E4419&lt;=90,"90 or less",IF(E4419&lt;=105,"91-105",IF(E4419&lt;=120,"106-120",IF(E4419&lt;=140,"121-140","Over 140"))))</f>
        <v/>
      </c>
      <c r="Q4419" s="28">
        <f>INT(C4419/10)*10</f>
        <v/>
      </c>
    </row>
    <row r="4420">
      <c r="A4420" s="21" t="n">
        <v>4514</v>
      </c>
      <c r="B4420" s="21" t="inlineStr">
        <is>
          <t>St. Vincent</t>
        </is>
      </c>
      <c r="C4420" s="21" t="n">
        <v>2014</v>
      </c>
      <c r="D4420" s="21" t="inlineStr">
        <is>
          <t>USA</t>
        </is>
      </c>
      <c r="E4420" s="21" t="n">
        <v>102</v>
      </c>
      <c r="F4420" s="21" t="inlineStr">
        <is>
          <t>English</t>
        </is>
      </c>
      <c r="G4420" s="21" t="inlineStr">
        <is>
          <t>PG-13</t>
        </is>
      </c>
      <c r="H4420" s="22" t="n">
        <v>44134898</v>
      </c>
      <c r="I4420" s="22" t="n">
        <v>13000000</v>
      </c>
      <c r="J4420" s="21">
        <f>IF(OR(H4420="",H4420=25529689.5),"Yes","No")</f>
        <v/>
      </c>
      <c r="K4420" s="21">
        <f>IF(AND(D4420="USA",C4420&gt;=1980,J4420="No"),"Yes","No")</f>
        <v/>
      </c>
      <c r="L4420" s="26">
        <f>IF(J4420="Yes","",H4420-I4420)</f>
        <v/>
      </c>
      <c r="M4420" s="27">
        <f>IF(OR(J4420="Yes",I4420=0),"",H4420/I4420)</f>
        <v/>
      </c>
      <c r="N4420" s="21">
        <f>IF(J4420="Yes","",IF(H4420&gt;=I4420,1,0))</f>
        <v/>
      </c>
      <c r="O4420" s="21">
        <f>IF(I4420&lt;=5000000,"Under $5M",IF(I4420&lt;=20000000,"$5M-20M",IF(I4420&lt;=50000000,"$20M-50M",IF(I4420&lt;=100000000,"$50M-100M","$100M+"))))</f>
        <v/>
      </c>
      <c r="P4420" s="21">
        <f>IF(E4420&lt;=90,"90 or less",IF(E4420&lt;=105,"91-105",IF(E4420&lt;=120,"106-120",IF(E4420&lt;=140,"121-140","Over 140"))))</f>
        <v/>
      </c>
      <c r="Q4420" s="28">
        <f>INT(C4420/10)*10</f>
        <v/>
      </c>
    </row>
    <row r="4421">
      <c r="A4421" s="21" t="n">
        <v>4515</v>
      </c>
      <c r="B4421" s="21" t="inlineStr">
        <is>
          <t>Still Alice</t>
        </is>
      </c>
      <c r="C4421" s="21" t="n">
        <v>2014</v>
      </c>
      <c r="D4421" s="21" t="inlineStr">
        <is>
          <t>USA</t>
        </is>
      </c>
      <c r="E4421" s="21" t="n">
        <v>101</v>
      </c>
      <c r="F4421" s="21" t="inlineStr">
        <is>
          <t>English</t>
        </is>
      </c>
      <c r="G4421" s="21" t="inlineStr">
        <is>
          <t>PG-13</t>
        </is>
      </c>
      <c r="H4421" s="22" t="n">
        <v>18656400</v>
      </c>
      <c r="I4421" s="22" t="n">
        <v>5000000</v>
      </c>
      <c r="J4421" s="21">
        <f>IF(OR(H4421="",H4421=25529689.5),"Yes","No")</f>
        <v/>
      </c>
      <c r="K4421" s="21">
        <f>IF(AND(D4421="USA",C4421&gt;=1980,J4421="No"),"Yes","No")</f>
        <v/>
      </c>
      <c r="L4421" s="26">
        <f>IF(J4421="Yes","",H4421-I4421)</f>
        <v/>
      </c>
      <c r="M4421" s="27">
        <f>IF(OR(J4421="Yes",I4421=0),"",H4421/I4421)</f>
        <v/>
      </c>
      <c r="N4421" s="21">
        <f>IF(J4421="Yes","",IF(H4421&gt;=I4421,1,0))</f>
        <v/>
      </c>
      <c r="O4421" s="21">
        <f>IF(I4421&lt;=5000000,"Under $5M",IF(I4421&lt;=20000000,"$5M-20M",IF(I4421&lt;=50000000,"$20M-50M",IF(I4421&lt;=100000000,"$50M-100M","$100M+"))))</f>
        <v/>
      </c>
      <c r="P4421" s="21">
        <f>IF(E4421&lt;=90,"90 or less",IF(E4421&lt;=105,"91-105",IF(E4421&lt;=120,"106-120",IF(E4421&lt;=140,"121-140","Over 140"))))</f>
        <v/>
      </c>
      <c r="Q4421" s="28">
        <f>INT(C4421/10)*10</f>
        <v/>
      </c>
    </row>
    <row r="4422">
      <c r="A4422" s="21" t="n">
        <v>4516</v>
      </c>
      <c r="B4422" s="21" t="inlineStr">
        <is>
          <t>Stories of Our Lives</t>
        </is>
      </c>
      <c r="C4422" s="21" t="n">
        <v>2014</v>
      </c>
      <c r="D4422" s="21" t="inlineStr">
        <is>
          <t>Kenya</t>
        </is>
      </c>
      <c r="E4422" s="21" t="n">
        <v>60</v>
      </c>
      <c r="F4422" s="21" t="inlineStr">
        <is>
          <t>Swahili</t>
        </is>
      </c>
      <c r="G4422" s="21" t="n"/>
      <c r="H4422" s="22" t="n">
        <v>25529689.5</v>
      </c>
      <c r="I4422" s="22" t="n">
        <v>15000</v>
      </c>
      <c r="J4422" s="21">
        <f>IF(OR(H4422="",H4422=25529689.5),"Yes","No")</f>
        <v/>
      </c>
      <c r="K4422" s="21">
        <f>IF(AND(D4422="USA",C4422&gt;=1980,J4422="No"),"Yes","No")</f>
        <v/>
      </c>
      <c r="L4422" s="26">
        <f>IF(J4422="Yes","",H4422-I4422)</f>
        <v/>
      </c>
      <c r="M4422" s="27">
        <f>IF(OR(J4422="Yes",I4422=0),"",H4422/I4422)</f>
        <v/>
      </c>
      <c r="N4422" s="21">
        <f>IF(J4422="Yes","",IF(H4422&gt;=I4422,1,0))</f>
        <v/>
      </c>
      <c r="O4422" s="21">
        <f>IF(I4422&lt;=5000000,"Under $5M",IF(I4422&lt;=20000000,"$5M-20M",IF(I4422&lt;=50000000,"$20M-50M",IF(I4422&lt;=100000000,"$50M-100M","$100M+"))))</f>
        <v/>
      </c>
      <c r="P4422" s="21">
        <f>IF(E4422&lt;=90,"90 or less",IF(E4422&lt;=105,"91-105",IF(E4422&lt;=120,"106-120",IF(E4422&lt;=140,"121-140","Over 140"))))</f>
        <v/>
      </c>
      <c r="Q4422" s="28">
        <f>INT(C4422/10)*10</f>
        <v/>
      </c>
    </row>
    <row r="4423">
      <c r="A4423" s="21" t="n">
        <v>4517</v>
      </c>
      <c r="B4423" s="21" t="inlineStr">
        <is>
          <t>Swelter</t>
        </is>
      </c>
      <c r="C4423" s="21" t="n">
        <v>2014</v>
      </c>
      <c r="D4423" s="21" t="inlineStr">
        <is>
          <t>USA</t>
        </is>
      </c>
      <c r="E4423" s="21" t="n">
        <v>96</v>
      </c>
      <c r="F4423" s="21" t="inlineStr">
        <is>
          <t>English</t>
        </is>
      </c>
      <c r="G4423" s="21" t="inlineStr">
        <is>
          <t>R</t>
        </is>
      </c>
      <c r="H4423" s="22" t="n">
        <v>25529689.5</v>
      </c>
      <c r="I4423" s="22" t="n">
        <v>8000000</v>
      </c>
      <c r="J4423" s="21">
        <f>IF(OR(H4423="",H4423=25529689.5),"Yes","No")</f>
        <v/>
      </c>
      <c r="K4423" s="21">
        <f>IF(AND(D4423="USA",C4423&gt;=1980,J4423="No"),"Yes","No")</f>
        <v/>
      </c>
      <c r="L4423" s="26">
        <f>IF(J4423="Yes","",H4423-I4423)</f>
        <v/>
      </c>
      <c r="M4423" s="27">
        <f>IF(OR(J4423="Yes",I4423=0),"",H4423/I4423)</f>
        <v/>
      </c>
      <c r="N4423" s="21">
        <f>IF(J4423="Yes","",IF(H4423&gt;=I4423,1,0))</f>
        <v/>
      </c>
      <c r="O4423" s="21">
        <f>IF(I4423&lt;=5000000,"Under $5M",IF(I4423&lt;=20000000,"$5M-20M",IF(I4423&lt;=50000000,"$20M-50M",IF(I4423&lt;=100000000,"$50M-100M","$100M+"))))</f>
        <v/>
      </c>
      <c r="P4423" s="21">
        <f>IF(E4423&lt;=90,"90 or less",IF(E4423&lt;=105,"91-105",IF(E4423&lt;=120,"106-120",IF(E4423&lt;=140,"121-140","Over 140"))))</f>
        <v/>
      </c>
      <c r="Q4423" s="28">
        <f>INT(C4423/10)*10</f>
        <v/>
      </c>
    </row>
    <row r="4424">
      <c r="A4424" s="21" t="n">
        <v>4518</v>
      </c>
      <c r="B4424" s="21" t="inlineStr">
        <is>
          <t>Taken 3</t>
        </is>
      </c>
      <c r="C4424" s="21" t="n">
        <v>2014</v>
      </c>
      <c r="D4424" s="21" t="inlineStr">
        <is>
          <t>France</t>
        </is>
      </c>
      <c r="E4424" s="21" t="n">
        <v>115</v>
      </c>
      <c r="F4424" s="21" t="inlineStr">
        <is>
          <t>English</t>
        </is>
      </c>
      <c r="G4424" s="21" t="inlineStr">
        <is>
          <t>PG-13</t>
        </is>
      </c>
      <c r="H4424" s="22" t="n">
        <v>89253340</v>
      </c>
      <c r="I4424" s="22" t="n">
        <v>48000000</v>
      </c>
      <c r="J4424" s="21">
        <f>IF(OR(H4424="",H4424=25529689.5),"Yes","No")</f>
        <v/>
      </c>
      <c r="K4424" s="21">
        <f>IF(AND(D4424="USA",C4424&gt;=1980,J4424="No"),"Yes","No")</f>
        <v/>
      </c>
      <c r="L4424" s="26">
        <f>IF(J4424="Yes","",H4424-I4424)</f>
        <v/>
      </c>
      <c r="M4424" s="27">
        <f>IF(OR(J4424="Yes",I4424=0),"",H4424/I4424)</f>
        <v/>
      </c>
      <c r="N4424" s="21">
        <f>IF(J4424="Yes","",IF(H4424&gt;=I4424,1,0))</f>
        <v/>
      </c>
      <c r="O4424" s="21">
        <f>IF(I4424&lt;=5000000,"Under $5M",IF(I4424&lt;=20000000,"$5M-20M",IF(I4424&lt;=50000000,"$20M-50M",IF(I4424&lt;=100000000,"$50M-100M","$100M+"))))</f>
        <v/>
      </c>
      <c r="P4424" s="21">
        <f>IF(E4424&lt;=90,"90 or less",IF(E4424&lt;=105,"91-105",IF(E4424&lt;=120,"106-120",IF(E4424&lt;=140,"121-140","Over 140"))))</f>
        <v/>
      </c>
      <c r="Q4424" s="28">
        <f>INT(C4424/10)*10</f>
        <v/>
      </c>
    </row>
    <row r="4425">
      <c r="A4425" s="21" t="n">
        <v>4519</v>
      </c>
      <c r="B4425" s="21" t="inlineStr">
        <is>
          <t>Tammy</t>
        </is>
      </c>
      <c r="C4425" s="21" t="n">
        <v>2014</v>
      </c>
      <c r="D4425" s="21" t="inlineStr">
        <is>
          <t>USA</t>
        </is>
      </c>
      <c r="E4425" s="21" t="n">
        <v>100</v>
      </c>
      <c r="F4425" s="21" t="inlineStr">
        <is>
          <t>English</t>
        </is>
      </c>
      <c r="G4425" s="21" t="inlineStr">
        <is>
          <t>R</t>
        </is>
      </c>
      <c r="H4425" s="22" t="n">
        <v>84518155</v>
      </c>
      <c r="I4425" s="22" t="n">
        <v>20000000</v>
      </c>
      <c r="J4425" s="21">
        <f>IF(OR(H4425="",H4425=25529689.5),"Yes","No")</f>
        <v/>
      </c>
      <c r="K4425" s="21">
        <f>IF(AND(D4425="USA",C4425&gt;=1980,J4425="No"),"Yes","No")</f>
        <v/>
      </c>
      <c r="L4425" s="26">
        <f>IF(J4425="Yes","",H4425-I4425)</f>
        <v/>
      </c>
      <c r="M4425" s="27">
        <f>IF(OR(J4425="Yes",I4425=0),"",H4425/I4425)</f>
        <v/>
      </c>
      <c r="N4425" s="21">
        <f>IF(J4425="Yes","",IF(H4425&gt;=I4425,1,0))</f>
        <v/>
      </c>
      <c r="O4425" s="21">
        <f>IF(I4425&lt;=5000000,"Under $5M",IF(I4425&lt;=20000000,"$5M-20M",IF(I4425&lt;=50000000,"$20M-50M",IF(I4425&lt;=100000000,"$50M-100M","$100M+"))))</f>
        <v/>
      </c>
      <c r="P4425" s="21">
        <f>IF(E4425&lt;=90,"90 or less",IF(E4425&lt;=105,"91-105",IF(E4425&lt;=120,"106-120",IF(E4425&lt;=140,"121-140","Over 140"))))</f>
        <v/>
      </c>
      <c r="Q4425" s="28">
        <f>INT(C4425/10)*10</f>
        <v/>
      </c>
    </row>
    <row r="4426">
      <c r="A4426" s="21" t="n">
        <v>4520</v>
      </c>
      <c r="B4426" s="21" t="inlineStr">
        <is>
          <t>Teenage Mutant Ninja Turtles</t>
        </is>
      </c>
      <c r="C4426" s="21" t="n">
        <v>2014</v>
      </c>
      <c r="D4426" s="21" t="inlineStr">
        <is>
          <t>USA</t>
        </is>
      </c>
      <c r="E4426" s="21" t="n">
        <v>101</v>
      </c>
      <c r="F4426" s="21" t="inlineStr">
        <is>
          <t>English</t>
        </is>
      </c>
      <c r="G4426" s="21" t="inlineStr">
        <is>
          <t>PG-13</t>
        </is>
      </c>
      <c r="H4426" s="22" t="n">
        <v>190871240</v>
      </c>
      <c r="I4426" s="22" t="n">
        <v>125000000</v>
      </c>
      <c r="J4426" s="21">
        <f>IF(OR(H4426="",H4426=25529689.5),"Yes","No")</f>
        <v/>
      </c>
      <c r="K4426" s="21">
        <f>IF(AND(D4426="USA",C4426&gt;=1980,J4426="No"),"Yes","No")</f>
        <v/>
      </c>
      <c r="L4426" s="26">
        <f>IF(J4426="Yes","",H4426-I4426)</f>
        <v/>
      </c>
      <c r="M4426" s="27">
        <f>IF(OR(J4426="Yes",I4426=0),"",H4426/I4426)</f>
        <v/>
      </c>
      <c r="N4426" s="21">
        <f>IF(J4426="Yes","",IF(H4426&gt;=I4426,1,0))</f>
        <v/>
      </c>
      <c r="O4426" s="21">
        <f>IF(I4426&lt;=5000000,"Under $5M",IF(I4426&lt;=20000000,"$5M-20M",IF(I4426&lt;=50000000,"$20M-50M",IF(I4426&lt;=100000000,"$50M-100M","$100M+"))))</f>
        <v/>
      </c>
      <c r="P4426" s="21">
        <f>IF(E4426&lt;=90,"90 or less",IF(E4426&lt;=105,"91-105",IF(E4426&lt;=120,"106-120",IF(E4426&lt;=140,"121-140","Over 140"))))</f>
        <v/>
      </c>
      <c r="Q4426" s="28">
        <f>INT(C4426/10)*10</f>
        <v/>
      </c>
    </row>
    <row r="4427">
      <c r="A4427" s="21" t="n">
        <v>4522</v>
      </c>
      <c r="B4427" s="21" t="inlineStr">
        <is>
          <t>That Awkward Moment</t>
        </is>
      </c>
      <c r="C4427" s="21" t="n">
        <v>2014</v>
      </c>
      <c r="D4427" s="21" t="inlineStr">
        <is>
          <t>USA</t>
        </is>
      </c>
      <c r="E4427" s="21" t="n">
        <v>94</v>
      </c>
      <c r="F4427" s="21" t="inlineStr">
        <is>
          <t>English</t>
        </is>
      </c>
      <c r="G4427" s="21" t="inlineStr">
        <is>
          <t>R</t>
        </is>
      </c>
      <c r="H4427" s="22" t="n">
        <v>26049082</v>
      </c>
      <c r="I4427" s="22" t="n">
        <v>8000000</v>
      </c>
      <c r="J4427" s="21">
        <f>IF(OR(H4427="",H4427=25529689.5),"Yes","No")</f>
        <v/>
      </c>
      <c r="K4427" s="21">
        <f>IF(AND(D4427="USA",C4427&gt;=1980,J4427="No"),"Yes","No")</f>
        <v/>
      </c>
      <c r="L4427" s="26">
        <f>IF(J4427="Yes","",H4427-I4427)</f>
        <v/>
      </c>
      <c r="M4427" s="27">
        <f>IF(OR(J4427="Yes",I4427=0),"",H4427/I4427)</f>
        <v/>
      </c>
      <c r="N4427" s="21">
        <f>IF(J4427="Yes","",IF(H4427&gt;=I4427,1,0))</f>
        <v/>
      </c>
      <c r="O4427" s="21">
        <f>IF(I4427&lt;=5000000,"Under $5M",IF(I4427&lt;=20000000,"$5M-20M",IF(I4427&lt;=50000000,"$20M-50M",IF(I4427&lt;=100000000,"$50M-100M","$100M+"))))</f>
        <v/>
      </c>
      <c r="P4427" s="21">
        <f>IF(E4427&lt;=90,"90 or less",IF(E4427&lt;=105,"91-105",IF(E4427&lt;=120,"106-120",IF(E4427&lt;=140,"121-140","Over 140"))))</f>
        <v/>
      </c>
      <c r="Q4427" s="28">
        <f>INT(C4427/10)*10</f>
        <v/>
      </c>
    </row>
    <row r="4428">
      <c r="A4428" s="21" t="n">
        <v>4523</v>
      </c>
      <c r="B4428" s="21" t="inlineStr">
        <is>
          <t>The Algerian</t>
        </is>
      </c>
      <c r="C4428" s="21" t="n">
        <v>2014</v>
      </c>
      <c r="D4428" s="21" t="inlineStr">
        <is>
          <t>USA</t>
        </is>
      </c>
      <c r="E4428" s="21" t="n">
        <v>99</v>
      </c>
      <c r="F4428" s="21" t="inlineStr">
        <is>
          <t>English</t>
        </is>
      </c>
      <c r="G4428" s="21" t="n"/>
      <c r="H4428" s="22" t="n">
        <v>25529689.5</v>
      </c>
      <c r="I4428" s="22" t="n">
        <v>1300000</v>
      </c>
      <c r="J4428" s="21">
        <f>IF(OR(H4428="",H4428=25529689.5),"Yes","No")</f>
        <v/>
      </c>
      <c r="K4428" s="21">
        <f>IF(AND(D4428="USA",C4428&gt;=1980,J4428="No"),"Yes","No")</f>
        <v/>
      </c>
      <c r="L4428" s="26">
        <f>IF(J4428="Yes","",H4428-I4428)</f>
        <v/>
      </c>
      <c r="M4428" s="27">
        <f>IF(OR(J4428="Yes",I4428=0),"",H4428/I4428)</f>
        <v/>
      </c>
      <c r="N4428" s="21">
        <f>IF(J4428="Yes","",IF(H4428&gt;=I4428,1,0))</f>
        <v/>
      </c>
      <c r="O4428" s="21">
        <f>IF(I4428&lt;=5000000,"Under $5M",IF(I4428&lt;=20000000,"$5M-20M",IF(I4428&lt;=50000000,"$20M-50M",IF(I4428&lt;=100000000,"$50M-100M","$100M+"))))</f>
        <v/>
      </c>
      <c r="P4428" s="21">
        <f>IF(E4428&lt;=90,"90 or less",IF(E4428&lt;=105,"91-105",IF(E4428&lt;=120,"106-120",IF(E4428&lt;=140,"121-140","Over 140"))))</f>
        <v/>
      </c>
      <c r="Q4428" s="28">
        <f>INT(C4428/10)*10</f>
        <v/>
      </c>
    </row>
    <row r="4429">
      <c r="A4429" s="21" t="n">
        <v>4524</v>
      </c>
      <c r="B4429" s="21" t="inlineStr">
        <is>
          <t>The Amazing Spider-Man 2</t>
        </is>
      </c>
      <c r="C4429" s="21" t="n">
        <v>2014</v>
      </c>
      <c r="D4429" s="21" t="inlineStr">
        <is>
          <t>USA</t>
        </is>
      </c>
      <c r="E4429" s="21" t="n">
        <v>142</v>
      </c>
      <c r="F4429" s="21" t="inlineStr">
        <is>
          <t>English</t>
        </is>
      </c>
      <c r="G4429" s="21" t="inlineStr">
        <is>
          <t>PG-13</t>
        </is>
      </c>
      <c r="H4429" s="22" t="n">
        <v>202853933</v>
      </c>
      <c r="I4429" s="22" t="n">
        <v>200000000</v>
      </c>
      <c r="J4429" s="21">
        <f>IF(OR(H4429="",H4429=25529689.5),"Yes","No")</f>
        <v/>
      </c>
      <c r="K4429" s="21">
        <f>IF(AND(D4429="USA",C4429&gt;=1980,J4429="No"),"Yes","No")</f>
        <v/>
      </c>
      <c r="L4429" s="26">
        <f>IF(J4429="Yes","",H4429-I4429)</f>
        <v/>
      </c>
      <c r="M4429" s="27">
        <f>IF(OR(J4429="Yes",I4429=0),"",H4429/I4429)</f>
        <v/>
      </c>
      <c r="N4429" s="21">
        <f>IF(J4429="Yes","",IF(H4429&gt;=I4429,1,0))</f>
        <v/>
      </c>
      <c r="O4429" s="21">
        <f>IF(I4429&lt;=5000000,"Under $5M",IF(I4429&lt;=20000000,"$5M-20M",IF(I4429&lt;=50000000,"$20M-50M",IF(I4429&lt;=100000000,"$50M-100M","$100M+"))))</f>
        <v/>
      </c>
      <c r="P4429" s="21">
        <f>IF(E4429&lt;=90,"90 or less",IF(E4429&lt;=105,"91-105",IF(E4429&lt;=120,"106-120",IF(E4429&lt;=140,"121-140","Over 140"))))</f>
        <v/>
      </c>
      <c r="Q4429" s="28">
        <f>INT(C4429/10)*10</f>
        <v/>
      </c>
    </row>
    <row r="4430">
      <c r="A4430" s="21" t="n">
        <v>4525</v>
      </c>
      <c r="B4430" s="21" t="inlineStr">
        <is>
          <t>The Best of Me</t>
        </is>
      </c>
      <c r="C4430" s="21" t="n">
        <v>2014</v>
      </c>
      <c r="D4430" s="21" t="inlineStr">
        <is>
          <t>USA</t>
        </is>
      </c>
      <c r="E4430" s="21" t="n">
        <v>118</v>
      </c>
      <c r="F4430" s="21" t="inlineStr">
        <is>
          <t>English</t>
        </is>
      </c>
      <c r="G4430" s="21" t="inlineStr">
        <is>
          <t>PG-13</t>
        </is>
      </c>
      <c r="H4430" s="22" t="n">
        <v>26761283</v>
      </c>
      <c r="I4430" s="22" t="n">
        <v>26000000</v>
      </c>
      <c r="J4430" s="21">
        <f>IF(OR(H4430="",H4430=25529689.5),"Yes","No")</f>
        <v/>
      </c>
      <c r="K4430" s="21">
        <f>IF(AND(D4430="USA",C4430&gt;=1980,J4430="No"),"Yes","No")</f>
        <v/>
      </c>
      <c r="L4430" s="26">
        <f>IF(J4430="Yes","",H4430-I4430)</f>
        <v/>
      </c>
      <c r="M4430" s="27">
        <f>IF(OR(J4430="Yes",I4430=0),"",H4430/I4430)</f>
        <v/>
      </c>
      <c r="N4430" s="21">
        <f>IF(J4430="Yes","",IF(H4430&gt;=I4430,1,0))</f>
        <v/>
      </c>
      <c r="O4430" s="21">
        <f>IF(I4430&lt;=5000000,"Under $5M",IF(I4430&lt;=20000000,"$5M-20M",IF(I4430&lt;=50000000,"$20M-50M",IF(I4430&lt;=100000000,"$50M-100M","$100M+"))))</f>
        <v/>
      </c>
      <c r="P4430" s="21">
        <f>IF(E4430&lt;=90,"90 or less",IF(E4430&lt;=105,"91-105",IF(E4430&lt;=120,"106-120",IF(E4430&lt;=140,"121-140","Over 140"))))</f>
        <v/>
      </c>
      <c r="Q4430" s="28">
        <f>INT(C4430/10)*10</f>
        <v/>
      </c>
    </row>
    <row r="4431">
      <c r="A4431" s="21" t="n">
        <v>4526</v>
      </c>
      <c r="B4431" s="21" t="inlineStr">
        <is>
          <t>The Blue Room</t>
        </is>
      </c>
      <c r="C4431" s="21" t="n">
        <v>2014</v>
      </c>
      <c r="D4431" s="21" t="inlineStr">
        <is>
          <t>France</t>
        </is>
      </c>
      <c r="E4431" s="21" t="n">
        <v>76</v>
      </c>
      <c r="F4431" s="21" t="inlineStr">
        <is>
          <t>French</t>
        </is>
      </c>
      <c r="G4431" s="21" t="inlineStr">
        <is>
          <t>R</t>
        </is>
      </c>
      <c r="H4431" s="22" t="n">
        <v>231186</v>
      </c>
      <c r="I4431" s="22" t="n">
        <v>20000000</v>
      </c>
      <c r="J4431" s="21">
        <f>IF(OR(H4431="",H4431=25529689.5),"Yes","No")</f>
        <v/>
      </c>
      <c r="K4431" s="21">
        <f>IF(AND(D4431="USA",C4431&gt;=1980,J4431="No"),"Yes","No")</f>
        <v/>
      </c>
      <c r="L4431" s="26">
        <f>IF(J4431="Yes","",H4431-I4431)</f>
        <v/>
      </c>
      <c r="M4431" s="27">
        <f>IF(OR(J4431="Yes",I4431=0),"",H4431/I4431)</f>
        <v/>
      </c>
      <c r="N4431" s="21">
        <f>IF(J4431="Yes","",IF(H4431&gt;=I4431,1,0))</f>
        <v/>
      </c>
      <c r="O4431" s="21">
        <f>IF(I4431&lt;=5000000,"Under $5M",IF(I4431&lt;=20000000,"$5M-20M",IF(I4431&lt;=50000000,"$20M-50M",IF(I4431&lt;=100000000,"$50M-100M","$100M+"))))</f>
        <v/>
      </c>
      <c r="P4431" s="21">
        <f>IF(E4431&lt;=90,"90 or less",IF(E4431&lt;=105,"91-105",IF(E4431&lt;=120,"106-120",IF(E4431&lt;=140,"121-140","Over 140"))))</f>
        <v/>
      </c>
      <c r="Q4431" s="28">
        <f>INT(C4431/10)*10</f>
        <v/>
      </c>
    </row>
    <row r="4432">
      <c r="A4432" s="21" t="n">
        <v>4527</v>
      </c>
      <c r="B4432" s="21" t="inlineStr">
        <is>
          <t>The Book of Life</t>
        </is>
      </c>
      <c r="C4432" s="21" t="n">
        <v>2014</v>
      </c>
      <c r="D4432" s="21" t="inlineStr">
        <is>
          <t>USA</t>
        </is>
      </c>
      <c r="E4432" s="21" t="n">
        <v>95</v>
      </c>
      <c r="F4432" s="21" t="inlineStr">
        <is>
          <t>English</t>
        </is>
      </c>
      <c r="G4432" s="21" t="inlineStr">
        <is>
          <t>PG</t>
        </is>
      </c>
      <c r="H4432" s="22" t="n">
        <v>50150619</v>
      </c>
      <c r="I4432" s="22" t="n">
        <v>50000000</v>
      </c>
      <c r="J4432" s="21">
        <f>IF(OR(H4432="",H4432=25529689.5),"Yes","No")</f>
        <v/>
      </c>
      <c r="K4432" s="21">
        <f>IF(AND(D4432="USA",C4432&gt;=1980,J4432="No"),"Yes","No")</f>
        <v/>
      </c>
      <c r="L4432" s="26">
        <f>IF(J4432="Yes","",H4432-I4432)</f>
        <v/>
      </c>
      <c r="M4432" s="27">
        <f>IF(OR(J4432="Yes",I4432=0),"",H4432/I4432)</f>
        <v/>
      </c>
      <c r="N4432" s="21">
        <f>IF(J4432="Yes","",IF(H4432&gt;=I4432,1,0))</f>
        <v/>
      </c>
      <c r="O4432" s="21">
        <f>IF(I4432&lt;=5000000,"Under $5M",IF(I4432&lt;=20000000,"$5M-20M",IF(I4432&lt;=50000000,"$20M-50M",IF(I4432&lt;=100000000,"$50M-100M","$100M+"))))</f>
        <v/>
      </c>
      <c r="P4432" s="21">
        <f>IF(E4432&lt;=90,"90 or less",IF(E4432&lt;=105,"91-105",IF(E4432&lt;=120,"106-120",IF(E4432&lt;=140,"121-140","Over 140"))))</f>
        <v/>
      </c>
      <c r="Q4432" s="28">
        <f>INT(C4432/10)*10</f>
        <v/>
      </c>
    </row>
    <row r="4433">
      <c r="A4433" s="21" t="n">
        <v>4528</v>
      </c>
      <c r="B4433" s="21" t="inlineStr">
        <is>
          <t>The Boxtrolls</t>
        </is>
      </c>
      <c r="C4433" s="21" t="n">
        <v>2014</v>
      </c>
      <c r="D4433" s="21" t="inlineStr">
        <is>
          <t>USA</t>
        </is>
      </c>
      <c r="E4433" s="21" t="n">
        <v>96</v>
      </c>
      <c r="F4433" s="21" t="inlineStr">
        <is>
          <t>English</t>
        </is>
      </c>
      <c r="G4433" s="21" t="inlineStr">
        <is>
          <t>PG</t>
        </is>
      </c>
      <c r="H4433" s="22" t="n">
        <v>50807639</v>
      </c>
      <c r="I4433" s="22" t="n">
        <v>60000000</v>
      </c>
      <c r="J4433" s="21">
        <f>IF(OR(H4433="",H4433=25529689.5),"Yes","No")</f>
        <v/>
      </c>
      <c r="K4433" s="21">
        <f>IF(AND(D4433="USA",C4433&gt;=1980,J4433="No"),"Yes","No")</f>
        <v/>
      </c>
      <c r="L4433" s="26">
        <f>IF(J4433="Yes","",H4433-I4433)</f>
        <v/>
      </c>
      <c r="M4433" s="27">
        <f>IF(OR(J4433="Yes",I4433=0),"",H4433/I4433)</f>
        <v/>
      </c>
      <c r="N4433" s="21">
        <f>IF(J4433="Yes","",IF(H4433&gt;=I4433,1,0))</f>
        <v/>
      </c>
      <c r="O4433" s="21">
        <f>IF(I4433&lt;=5000000,"Under $5M",IF(I4433&lt;=20000000,"$5M-20M",IF(I4433&lt;=50000000,"$20M-50M",IF(I4433&lt;=100000000,"$50M-100M","$100M+"))))</f>
        <v/>
      </c>
      <c r="P4433" s="21">
        <f>IF(E4433&lt;=90,"90 or less",IF(E4433&lt;=105,"91-105",IF(E4433&lt;=120,"106-120",IF(E4433&lt;=140,"121-140","Over 140"))))</f>
        <v/>
      </c>
      <c r="Q4433" s="28">
        <f>INT(C4433/10)*10</f>
        <v/>
      </c>
    </row>
    <row r="4434">
      <c r="A4434" s="21" t="n">
        <v>4529</v>
      </c>
      <c r="B4434" s="21" t="inlineStr">
        <is>
          <t>The Calling</t>
        </is>
      </c>
      <c r="C4434" s="21" t="n">
        <v>2014</v>
      </c>
      <c r="D4434" s="21" t="inlineStr">
        <is>
          <t>USA</t>
        </is>
      </c>
      <c r="E4434" s="21" t="n">
        <v>108</v>
      </c>
      <c r="F4434" s="21" t="inlineStr">
        <is>
          <t>English</t>
        </is>
      </c>
      <c r="G4434" s="21" t="inlineStr">
        <is>
          <t>R</t>
        </is>
      </c>
      <c r="H4434" s="22" t="n">
        <v>25529689.5</v>
      </c>
      <c r="I4434" s="22" t="n">
        <v>20000000</v>
      </c>
      <c r="J4434" s="21">
        <f>IF(OR(H4434="",H4434=25529689.5),"Yes","No")</f>
        <v/>
      </c>
      <c r="K4434" s="21">
        <f>IF(AND(D4434="USA",C4434&gt;=1980,J4434="No"),"Yes","No")</f>
        <v/>
      </c>
      <c r="L4434" s="26">
        <f>IF(J4434="Yes","",H4434-I4434)</f>
        <v/>
      </c>
      <c r="M4434" s="27">
        <f>IF(OR(J4434="Yes",I4434=0),"",H4434/I4434)</f>
        <v/>
      </c>
      <c r="N4434" s="21">
        <f>IF(J4434="Yes","",IF(H4434&gt;=I4434,1,0))</f>
        <v/>
      </c>
      <c r="O4434" s="21">
        <f>IF(I4434&lt;=5000000,"Under $5M",IF(I4434&lt;=20000000,"$5M-20M",IF(I4434&lt;=50000000,"$20M-50M",IF(I4434&lt;=100000000,"$50M-100M","$100M+"))))</f>
        <v/>
      </c>
      <c r="P4434" s="21">
        <f>IF(E4434&lt;=90,"90 or less",IF(E4434&lt;=105,"91-105",IF(E4434&lt;=120,"106-120",IF(E4434&lt;=140,"121-140","Over 140"))))</f>
        <v/>
      </c>
      <c r="Q4434" s="28">
        <f>INT(C4434/10)*10</f>
        <v/>
      </c>
    </row>
    <row r="4435">
      <c r="A4435" s="21" t="n">
        <v>4531</v>
      </c>
      <c r="B4435" s="21" t="inlineStr">
        <is>
          <t>The Equalizer</t>
        </is>
      </c>
      <c r="C4435" s="21" t="n">
        <v>2014</v>
      </c>
      <c r="D4435" s="21" t="inlineStr">
        <is>
          <t>USA</t>
        </is>
      </c>
      <c r="E4435" s="21" t="n">
        <v>132</v>
      </c>
      <c r="F4435" s="21" t="inlineStr">
        <is>
          <t>English</t>
        </is>
      </c>
      <c r="G4435" s="21" t="inlineStr">
        <is>
          <t>R</t>
        </is>
      </c>
      <c r="H4435" s="22" t="n">
        <v>101530738</v>
      </c>
      <c r="I4435" s="22" t="n">
        <v>55000000</v>
      </c>
      <c r="J4435" s="21">
        <f>IF(OR(H4435="",H4435=25529689.5),"Yes","No")</f>
        <v/>
      </c>
      <c r="K4435" s="21">
        <f>IF(AND(D4435="USA",C4435&gt;=1980,J4435="No"),"Yes","No")</f>
        <v/>
      </c>
      <c r="L4435" s="26">
        <f>IF(J4435="Yes","",H4435-I4435)</f>
        <v/>
      </c>
      <c r="M4435" s="27">
        <f>IF(OR(J4435="Yes",I4435=0),"",H4435/I4435)</f>
        <v/>
      </c>
      <c r="N4435" s="21">
        <f>IF(J4435="Yes","",IF(H4435&gt;=I4435,1,0))</f>
        <v/>
      </c>
      <c r="O4435" s="21">
        <f>IF(I4435&lt;=5000000,"Under $5M",IF(I4435&lt;=20000000,"$5M-20M",IF(I4435&lt;=50000000,"$20M-50M",IF(I4435&lt;=100000000,"$50M-100M","$100M+"))))</f>
        <v/>
      </c>
      <c r="P4435" s="21">
        <f>IF(E4435&lt;=90,"90 or less",IF(E4435&lt;=105,"91-105",IF(E4435&lt;=120,"106-120",IF(E4435&lt;=140,"121-140","Over 140"))))</f>
        <v/>
      </c>
      <c r="Q4435" s="28">
        <f>INT(C4435/10)*10</f>
        <v/>
      </c>
    </row>
    <row r="4436">
      <c r="A4436" s="21" t="n">
        <v>4532</v>
      </c>
      <c r="B4436" s="21" t="inlineStr">
        <is>
          <t>The Expendables 3</t>
        </is>
      </c>
      <c r="C4436" s="21" t="n">
        <v>2014</v>
      </c>
      <c r="D4436" s="21" t="inlineStr">
        <is>
          <t>USA</t>
        </is>
      </c>
      <c r="E4436" s="21" t="n">
        <v>131</v>
      </c>
      <c r="F4436" s="21" t="inlineStr">
        <is>
          <t>English</t>
        </is>
      </c>
      <c r="G4436" s="21" t="inlineStr">
        <is>
          <t>PG-13</t>
        </is>
      </c>
      <c r="H4436" s="22" t="n">
        <v>39292022</v>
      </c>
      <c r="I4436" s="22" t="n">
        <v>90000000</v>
      </c>
      <c r="J4436" s="21">
        <f>IF(OR(H4436="",H4436=25529689.5),"Yes","No")</f>
        <v/>
      </c>
      <c r="K4436" s="21">
        <f>IF(AND(D4436="USA",C4436&gt;=1980,J4436="No"),"Yes","No")</f>
        <v/>
      </c>
      <c r="L4436" s="26">
        <f>IF(J4436="Yes","",H4436-I4436)</f>
        <v/>
      </c>
      <c r="M4436" s="27">
        <f>IF(OR(J4436="Yes",I4436=0),"",H4436/I4436)</f>
        <v/>
      </c>
      <c r="N4436" s="21">
        <f>IF(J4436="Yes","",IF(H4436&gt;=I4436,1,0))</f>
        <v/>
      </c>
      <c r="O4436" s="21">
        <f>IF(I4436&lt;=5000000,"Under $5M",IF(I4436&lt;=20000000,"$5M-20M",IF(I4436&lt;=50000000,"$20M-50M",IF(I4436&lt;=100000000,"$50M-100M","$100M+"))))</f>
        <v/>
      </c>
      <c r="P4436" s="21">
        <f>IF(E4436&lt;=90,"90 or less",IF(E4436&lt;=105,"91-105",IF(E4436&lt;=120,"106-120",IF(E4436&lt;=140,"121-140","Over 140"))))</f>
        <v/>
      </c>
      <c r="Q4436" s="28">
        <f>INT(C4436/10)*10</f>
        <v/>
      </c>
    </row>
    <row r="4437">
      <c r="A4437" s="21" t="n">
        <v>4533</v>
      </c>
      <c r="B4437" s="21" t="inlineStr">
        <is>
          <t>The Face of an Angel</t>
        </is>
      </c>
      <c r="C4437" s="21" t="n">
        <v>2014</v>
      </c>
      <c r="D4437" s="21" t="inlineStr">
        <is>
          <t>UK</t>
        </is>
      </c>
      <c r="E4437" s="21" t="n">
        <v>101</v>
      </c>
      <c r="F4437" s="21" t="inlineStr">
        <is>
          <t>English</t>
        </is>
      </c>
      <c r="G4437" s="21" t="inlineStr">
        <is>
          <t>Not Rated</t>
        </is>
      </c>
      <c r="H4437" s="22" t="n">
        <v>25529689.5</v>
      </c>
      <c r="I4437" s="22" t="n">
        <v>20000000</v>
      </c>
      <c r="J4437" s="21">
        <f>IF(OR(H4437="",H4437=25529689.5),"Yes","No")</f>
        <v/>
      </c>
      <c r="K4437" s="21">
        <f>IF(AND(D4437="USA",C4437&gt;=1980,J4437="No"),"Yes","No")</f>
        <v/>
      </c>
      <c r="L4437" s="26">
        <f>IF(J4437="Yes","",H4437-I4437)</f>
        <v/>
      </c>
      <c r="M4437" s="27">
        <f>IF(OR(J4437="Yes",I4437=0),"",H4437/I4437)</f>
        <v/>
      </c>
      <c r="N4437" s="21">
        <f>IF(J4437="Yes","",IF(H4437&gt;=I4437,1,0))</f>
        <v/>
      </c>
      <c r="O4437" s="21">
        <f>IF(I4437&lt;=5000000,"Under $5M",IF(I4437&lt;=20000000,"$5M-20M",IF(I4437&lt;=50000000,"$20M-50M",IF(I4437&lt;=100000000,"$50M-100M","$100M+"))))</f>
        <v/>
      </c>
      <c r="P4437" s="21">
        <f>IF(E4437&lt;=90,"90 or less",IF(E4437&lt;=105,"91-105",IF(E4437&lt;=120,"106-120",IF(E4437&lt;=140,"121-140","Over 140"))))</f>
        <v/>
      </c>
      <c r="Q4437" s="28">
        <f>INT(C4437/10)*10</f>
        <v/>
      </c>
    </row>
    <row r="4438">
      <c r="A4438" s="21" t="n">
        <v>4534</v>
      </c>
      <c r="B4438" s="21" t="inlineStr">
        <is>
          <t>The Fault in Our Stars</t>
        </is>
      </c>
      <c r="C4438" s="21" t="n">
        <v>2014</v>
      </c>
      <c r="D4438" s="21" t="inlineStr">
        <is>
          <t>USA</t>
        </is>
      </c>
      <c r="E4438" s="21" t="n">
        <v>133</v>
      </c>
      <c r="F4438" s="21" t="inlineStr">
        <is>
          <t>English</t>
        </is>
      </c>
      <c r="G4438" s="21" t="inlineStr">
        <is>
          <t>PG-13</t>
        </is>
      </c>
      <c r="H4438" s="22" t="n">
        <v>124868837</v>
      </c>
      <c r="I4438" s="22" t="n">
        <v>12000000</v>
      </c>
      <c r="J4438" s="21">
        <f>IF(OR(H4438="",H4438=25529689.5),"Yes","No")</f>
        <v/>
      </c>
      <c r="K4438" s="21">
        <f>IF(AND(D4438="USA",C4438&gt;=1980,J4438="No"),"Yes","No")</f>
        <v/>
      </c>
      <c r="L4438" s="26">
        <f>IF(J4438="Yes","",H4438-I4438)</f>
        <v/>
      </c>
      <c r="M4438" s="27">
        <f>IF(OR(J4438="Yes",I4438=0),"",H4438/I4438)</f>
        <v/>
      </c>
      <c r="N4438" s="21">
        <f>IF(J4438="Yes","",IF(H4438&gt;=I4438,1,0))</f>
        <v/>
      </c>
      <c r="O4438" s="21">
        <f>IF(I4438&lt;=5000000,"Under $5M",IF(I4438&lt;=20000000,"$5M-20M",IF(I4438&lt;=50000000,"$20M-50M",IF(I4438&lt;=100000000,"$50M-100M","$100M+"))))</f>
        <v/>
      </c>
      <c r="P4438" s="21">
        <f>IF(E4438&lt;=90,"90 or less",IF(E4438&lt;=105,"91-105",IF(E4438&lt;=120,"106-120",IF(E4438&lt;=140,"121-140","Over 140"))))</f>
        <v/>
      </c>
      <c r="Q4438" s="28">
        <f>INT(C4438/10)*10</f>
        <v/>
      </c>
    </row>
    <row r="4439">
      <c r="A4439" s="21" t="n">
        <v>4535</v>
      </c>
      <c r="B4439" s="21" t="inlineStr">
        <is>
          <t>The Gambler</t>
        </is>
      </c>
      <c r="C4439" s="21" t="n">
        <v>2014</v>
      </c>
      <c r="D4439" s="21" t="inlineStr">
        <is>
          <t>USA</t>
        </is>
      </c>
      <c r="E4439" s="21" t="n">
        <v>111</v>
      </c>
      <c r="F4439" s="21" t="inlineStr">
        <is>
          <t>English</t>
        </is>
      </c>
      <c r="G4439" s="21" t="inlineStr">
        <is>
          <t>R</t>
        </is>
      </c>
      <c r="H4439" s="22" t="n">
        <v>33631221</v>
      </c>
      <c r="I4439" s="22" t="n">
        <v>25000000</v>
      </c>
      <c r="J4439" s="21">
        <f>IF(OR(H4439="",H4439=25529689.5),"Yes","No")</f>
        <v/>
      </c>
      <c r="K4439" s="21">
        <f>IF(AND(D4439="USA",C4439&gt;=1980,J4439="No"),"Yes","No")</f>
        <v/>
      </c>
      <c r="L4439" s="26">
        <f>IF(J4439="Yes","",H4439-I4439)</f>
        <v/>
      </c>
      <c r="M4439" s="27">
        <f>IF(OR(J4439="Yes",I4439=0),"",H4439/I4439)</f>
        <v/>
      </c>
      <c r="N4439" s="21">
        <f>IF(J4439="Yes","",IF(H4439&gt;=I4439,1,0))</f>
        <v/>
      </c>
      <c r="O4439" s="21">
        <f>IF(I4439&lt;=5000000,"Under $5M",IF(I4439&lt;=20000000,"$5M-20M",IF(I4439&lt;=50000000,"$20M-50M",IF(I4439&lt;=100000000,"$50M-100M","$100M+"))))</f>
        <v/>
      </c>
      <c r="P4439" s="21">
        <f>IF(E4439&lt;=90,"90 or less",IF(E4439&lt;=105,"91-105",IF(E4439&lt;=120,"106-120",IF(E4439&lt;=140,"121-140","Over 140"))))</f>
        <v/>
      </c>
      <c r="Q4439" s="28">
        <f>INT(C4439/10)*10</f>
        <v/>
      </c>
    </row>
    <row r="4440">
      <c r="A4440" s="21" t="n">
        <v>4537</v>
      </c>
      <c r="B4440" s="21" t="inlineStr">
        <is>
          <t>The Giver</t>
        </is>
      </c>
      <c r="C4440" s="21" t="n">
        <v>2014</v>
      </c>
      <c r="D4440" s="21" t="inlineStr">
        <is>
          <t>South Africa</t>
        </is>
      </c>
      <c r="E4440" s="21" t="n">
        <v>97</v>
      </c>
      <c r="F4440" s="21" t="inlineStr">
        <is>
          <t>English</t>
        </is>
      </c>
      <c r="G4440" s="21" t="inlineStr">
        <is>
          <t>PG-13</t>
        </is>
      </c>
      <c r="H4440" s="22" t="n">
        <v>45089048</v>
      </c>
      <c r="I4440" s="22" t="n">
        <v>25000000</v>
      </c>
      <c r="J4440" s="21">
        <f>IF(OR(H4440="",H4440=25529689.5),"Yes","No")</f>
        <v/>
      </c>
      <c r="K4440" s="21">
        <f>IF(AND(D4440="USA",C4440&gt;=1980,J4440="No"),"Yes","No")</f>
        <v/>
      </c>
      <c r="L4440" s="26">
        <f>IF(J4440="Yes","",H4440-I4440)</f>
        <v/>
      </c>
      <c r="M4440" s="27">
        <f>IF(OR(J4440="Yes",I4440=0),"",H4440/I4440)</f>
        <v/>
      </c>
      <c r="N4440" s="21">
        <f>IF(J4440="Yes","",IF(H4440&gt;=I4440,1,0))</f>
        <v/>
      </c>
      <c r="O4440" s="21">
        <f>IF(I4440&lt;=5000000,"Under $5M",IF(I4440&lt;=20000000,"$5M-20M",IF(I4440&lt;=50000000,"$20M-50M",IF(I4440&lt;=100000000,"$50M-100M","$100M+"))))</f>
        <v/>
      </c>
      <c r="P4440" s="21">
        <f>IF(E4440&lt;=90,"90 or less",IF(E4440&lt;=105,"91-105",IF(E4440&lt;=120,"106-120",IF(E4440&lt;=140,"121-140","Over 140"))))</f>
        <v/>
      </c>
      <c r="Q4440" s="28">
        <f>INT(C4440/10)*10</f>
        <v/>
      </c>
    </row>
    <row r="4441">
      <c r="A4441" s="21" t="n">
        <v>4538</v>
      </c>
      <c r="B4441" s="21" t="inlineStr">
        <is>
          <t>The Grand Budapest Hotel</t>
        </is>
      </c>
      <c r="C4441" s="21" t="n">
        <v>2014</v>
      </c>
      <c r="D4441" s="21" t="inlineStr">
        <is>
          <t>USA</t>
        </is>
      </c>
      <c r="E4441" s="21" t="n">
        <v>99</v>
      </c>
      <c r="F4441" s="21" t="inlineStr">
        <is>
          <t>English</t>
        </is>
      </c>
      <c r="G4441" s="21" t="inlineStr">
        <is>
          <t>R</t>
        </is>
      </c>
      <c r="H4441" s="22" t="n">
        <v>59073773</v>
      </c>
      <c r="I4441" s="22" t="n">
        <v>25000000</v>
      </c>
      <c r="J4441" s="21">
        <f>IF(OR(H4441="",H4441=25529689.5),"Yes","No")</f>
        <v/>
      </c>
      <c r="K4441" s="21">
        <f>IF(AND(D4441="USA",C4441&gt;=1980,J4441="No"),"Yes","No")</f>
        <v/>
      </c>
      <c r="L4441" s="26">
        <f>IF(J4441="Yes","",H4441-I4441)</f>
        <v/>
      </c>
      <c r="M4441" s="27">
        <f>IF(OR(J4441="Yes",I4441=0),"",H4441/I4441)</f>
        <v/>
      </c>
      <c r="N4441" s="21">
        <f>IF(J4441="Yes","",IF(H4441&gt;=I4441,1,0))</f>
        <v/>
      </c>
      <c r="O4441" s="21">
        <f>IF(I4441&lt;=5000000,"Under $5M",IF(I4441&lt;=20000000,"$5M-20M",IF(I4441&lt;=50000000,"$20M-50M",IF(I4441&lt;=100000000,"$50M-100M","$100M+"))))</f>
        <v/>
      </c>
      <c r="P4441" s="21">
        <f>IF(E4441&lt;=90,"90 or less",IF(E4441&lt;=105,"91-105",IF(E4441&lt;=120,"106-120",IF(E4441&lt;=140,"121-140","Over 140"))))</f>
        <v/>
      </c>
      <c r="Q4441" s="28">
        <f>INT(C4441/10)*10</f>
        <v/>
      </c>
    </row>
    <row r="4442">
      <c r="A4442" s="21" t="n">
        <v>4539</v>
      </c>
      <c r="B4442" s="21" t="inlineStr">
        <is>
          <t>The Hadza: Last of the First</t>
        </is>
      </c>
      <c r="C4442" s="21" t="n">
        <v>2014</v>
      </c>
      <c r="D4442" s="21" t="inlineStr">
        <is>
          <t>USA</t>
        </is>
      </c>
      <c r="E4442" s="21" t="n">
        <v>71</v>
      </c>
      <c r="F4442" s="21" t="inlineStr">
        <is>
          <t>English</t>
        </is>
      </c>
      <c r="G4442" s="21" t="n"/>
      <c r="H4442" s="22" t="n">
        <v>25529689.5</v>
      </c>
      <c r="I4442" s="22" t="n">
        <v>650000</v>
      </c>
      <c r="J4442" s="21">
        <f>IF(OR(H4442="",H4442=25529689.5),"Yes","No")</f>
        <v/>
      </c>
      <c r="K4442" s="21">
        <f>IF(AND(D4442="USA",C4442&gt;=1980,J4442="No"),"Yes","No")</f>
        <v/>
      </c>
      <c r="L4442" s="26">
        <f>IF(J4442="Yes","",H4442-I4442)</f>
        <v/>
      </c>
      <c r="M4442" s="27">
        <f>IF(OR(J4442="Yes",I4442=0),"",H4442/I4442)</f>
        <v/>
      </c>
      <c r="N4442" s="21">
        <f>IF(J4442="Yes","",IF(H4442&gt;=I4442,1,0))</f>
        <v/>
      </c>
      <c r="O4442" s="21">
        <f>IF(I4442&lt;=5000000,"Under $5M",IF(I4442&lt;=20000000,"$5M-20M",IF(I4442&lt;=50000000,"$20M-50M",IF(I4442&lt;=100000000,"$50M-100M","$100M+"))))</f>
        <v/>
      </c>
      <c r="P4442" s="21">
        <f>IF(E4442&lt;=90,"90 or less",IF(E4442&lt;=105,"91-105",IF(E4442&lt;=120,"106-120",IF(E4442&lt;=140,"121-140","Over 140"))))</f>
        <v/>
      </c>
      <c r="Q4442" s="28">
        <f>INT(C4442/10)*10</f>
        <v/>
      </c>
    </row>
    <row r="4443">
      <c r="A4443" s="21" t="n">
        <v>4540</v>
      </c>
      <c r="B4443" s="21" t="inlineStr">
        <is>
          <t>The Hobbit: The Battle of the Five Armies</t>
        </is>
      </c>
      <c r="C4443" s="21" t="n">
        <v>2014</v>
      </c>
      <c r="D4443" s="21" t="inlineStr">
        <is>
          <t>New Zealand</t>
        </is>
      </c>
      <c r="E4443" s="21" t="n">
        <v>164</v>
      </c>
      <c r="F4443" s="21" t="inlineStr">
        <is>
          <t>English</t>
        </is>
      </c>
      <c r="G4443" s="21" t="inlineStr">
        <is>
          <t>PG-13</t>
        </is>
      </c>
      <c r="H4443" s="22" t="n">
        <v>255108370</v>
      </c>
      <c r="I4443" s="22" t="n">
        <v>250000000</v>
      </c>
      <c r="J4443" s="21">
        <f>IF(OR(H4443="",H4443=25529689.5),"Yes","No")</f>
        <v/>
      </c>
      <c r="K4443" s="21">
        <f>IF(AND(D4443="USA",C4443&gt;=1980,J4443="No"),"Yes","No")</f>
        <v/>
      </c>
      <c r="L4443" s="26">
        <f>IF(J4443="Yes","",H4443-I4443)</f>
        <v/>
      </c>
      <c r="M4443" s="27">
        <f>IF(OR(J4443="Yes",I4443=0),"",H4443/I4443)</f>
        <v/>
      </c>
      <c r="N4443" s="21">
        <f>IF(J4443="Yes","",IF(H4443&gt;=I4443,1,0))</f>
        <v/>
      </c>
      <c r="O4443" s="21">
        <f>IF(I4443&lt;=5000000,"Under $5M",IF(I4443&lt;=20000000,"$5M-20M",IF(I4443&lt;=50000000,"$20M-50M",IF(I4443&lt;=100000000,"$50M-100M","$100M+"))))</f>
        <v/>
      </c>
      <c r="P4443" s="21">
        <f>IF(E4443&lt;=90,"90 or less",IF(E4443&lt;=105,"91-105",IF(E4443&lt;=120,"106-120",IF(E4443&lt;=140,"121-140","Over 140"))))</f>
        <v/>
      </c>
      <c r="Q4443" s="28">
        <f>INT(C4443/10)*10</f>
        <v/>
      </c>
    </row>
    <row r="4444">
      <c r="A4444" s="21" t="n">
        <v>4541</v>
      </c>
      <c r="B4444" s="21" t="inlineStr">
        <is>
          <t>The Homesman</t>
        </is>
      </c>
      <c r="C4444" s="21" t="n">
        <v>2014</v>
      </c>
      <c r="D4444" s="21" t="inlineStr">
        <is>
          <t>USA</t>
        </is>
      </c>
      <c r="E4444" s="21" t="n">
        <v>122</v>
      </c>
      <c r="F4444" s="21" t="inlineStr">
        <is>
          <t>English</t>
        </is>
      </c>
      <c r="G4444" s="21" t="inlineStr">
        <is>
          <t>R</t>
        </is>
      </c>
      <c r="H4444" s="22" t="n">
        <v>2428883</v>
      </c>
      <c r="I4444" s="22" t="n">
        <v>16000000</v>
      </c>
      <c r="J4444" s="21">
        <f>IF(OR(H4444="",H4444=25529689.5),"Yes","No")</f>
        <v/>
      </c>
      <c r="K4444" s="21">
        <f>IF(AND(D4444="USA",C4444&gt;=1980,J4444="No"),"Yes","No")</f>
        <v/>
      </c>
      <c r="L4444" s="26">
        <f>IF(J4444="Yes","",H4444-I4444)</f>
        <v/>
      </c>
      <c r="M4444" s="27">
        <f>IF(OR(J4444="Yes",I4444=0),"",H4444/I4444)</f>
        <v/>
      </c>
      <c r="N4444" s="21">
        <f>IF(J4444="Yes","",IF(H4444&gt;=I4444,1,0))</f>
        <v/>
      </c>
      <c r="O4444" s="21">
        <f>IF(I4444&lt;=5000000,"Under $5M",IF(I4444&lt;=20000000,"$5M-20M",IF(I4444&lt;=50000000,"$20M-50M",IF(I4444&lt;=100000000,"$50M-100M","$100M+"))))</f>
        <v/>
      </c>
      <c r="P4444" s="21">
        <f>IF(E4444&lt;=90,"90 or less",IF(E4444&lt;=105,"91-105",IF(E4444&lt;=120,"106-120",IF(E4444&lt;=140,"121-140","Over 140"))))</f>
        <v/>
      </c>
      <c r="Q4444" s="28">
        <f>INT(C4444/10)*10</f>
        <v/>
      </c>
    </row>
    <row r="4445">
      <c r="A4445" s="21" t="n">
        <v>4542</v>
      </c>
      <c r="B4445" s="21" t="inlineStr">
        <is>
          <t>The Hundred-Foot Journey</t>
        </is>
      </c>
      <c r="C4445" s="21" t="n">
        <v>2014</v>
      </c>
      <c r="D4445" s="21" t="inlineStr">
        <is>
          <t>USA</t>
        </is>
      </c>
      <c r="E4445" s="21" t="n">
        <v>122</v>
      </c>
      <c r="F4445" s="21" t="inlineStr">
        <is>
          <t>English</t>
        </is>
      </c>
      <c r="G4445" s="21" t="inlineStr">
        <is>
          <t>PG</t>
        </is>
      </c>
      <c r="H4445" s="22" t="n">
        <v>54235441</v>
      </c>
      <c r="I4445" s="22" t="n">
        <v>22000000</v>
      </c>
      <c r="J4445" s="21">
        <f>IF(OR(H4445="",H4445=25529689.5),"Yes","No")</f>
        <v/>
      </c>
      <c r="K4445" s="21">
        <f>IF(AND(D4445="USA",C4445&gt;=1980,J4445="No"),"Yes","No")</f>
        <v/>
      </c>
      <c r="L4445" s="26">
        <f>IF(J4445="Yes","",H4445-I4445)</f>
        <v/>
      </c>
      <c r="M4445" s="27">
        <f>IF(OR(J4445="Yes",I4445=0),"",H4445/I4445)</f>
        <v/>
      </c>
      <c r="N4445" s="21">
        <f>IF(J4445="Yes","",IF(H4445&gt;=I4445,1,0))</f>
        <v/>
      </c>
      <c r="O4445" s="21">
        <f>IF(I4445&lt;=5000000,"Under $5M",IF(I4445&lt;=20000000,"$5M-20M",IF(I4445&lt;=50000000,"$20M-50M",IF(I4445&lt;=100000000,"$50M-100M","$100M+"))))</f>
        <v/>
      </c>
      <c r="P4445" s="21">
        <f>IF(E4445&lt;=90,"90 or less",IF(E4445&lt;=105,"91-105",IF(E4445&lt;=120,"106-120",IF(E4445&lt;=140,"121-140","Over 140"))))</f>
        <v/>
      </c>
      <c r="Q4445" s="28">
        <f>INT(C4445/10)*10</f>
        <v/>
      </c>
    </row>
    <row r="4446">
      <c r="A4446" s="21" t="n">
        <v>4543</v>
      </c>
      <c r="B4446" s="21" t="inlineStr">
        <is>
          <t>The Hunger Games: Mockingjay - Part 1</t>
        </is>
      </c>
      <c r="C4446" s="21" t="n">
        <v>2014</v>
      </c>
      <c r="D4446" s="21" t="inlineStr">
        <is>
          <t>USA</t>
        </is>
      </c>
      <c r="E4446" s="21" t="n">
        <v>123</v>
      </c>
      <c r="F4446" s="21" t="inlineStr">
        <is>
          <t>English</t>
        </is>
      </c>
      <c r="G4446" s="21" t="inlineStr">
        <is>
          <t>PG-13</t>
        </is>
      </c>
      <c r="H4446" s="22" t="n">
        <v>337103873</v>
      </c>
      <c r="I4446" s="22" t="n">
        <v>125000000</v>
      </c>
      <c r="J4446" s="21">
        <f>IF(OR(H4446="",H4446=25529689.5),"Yes","No")</f>
        <v/>
      </c>
      <c r="K4446" s="21">
        <f>IF(AND(D4446="USA",C4446&gt;=1980,J4446="No"),"Yes","No")</f>
        <v/>
      </c>
      <c r="L4446" s="26">
        <f>IF(J4446="Yes","",H4446-I4446)</f>
        <v/>
      </c>
      <c r="M4446" s="27">
        <f>IF(OR(J4446="Yes",I4446=0),"",H4446/I4446)</f>
        <v/>
      </c>
      <c r="N4446" s="21">
        <f>IF(J4446="Yes","",IF(H4446&gt;=I4446,1,0))</f>
        <v/>
      </c>
      <c r="O4446" s="21">
        <f>IF(I4446&lt;=5000000,"Under $5M",IF(I4446&lt;=20000000,"$5M-20M",IF(I4446&lt;=50000000,"$20M-50M",IF(I4446&lt;=100000000,"$50M-100M","$100M+"))))</f>
        <v/>
      </c>
      <c r="P4446" s="21">
        <f>IF(E4446&lt;=90,"90 or less",IF(E4446&lt;=105,"91-105",IF(E4446&lt;=120,"106-120",IF(E4446&lt;=140,"121-140","Over 140"))))</f>
        <v/>
      </c>
      <c r="Q4446" s="28">
        <f>INT(C4446/10)*10</f>
        <v/>
      </c>
    </row>
    <row r="4447">
      <c r="A4447" s="21" t="n">
        <v>4544</v>
      </c>
      <c r="B4447" s="21" t="inlineStr">
        <is>
          <t>The Image Revolution</t>
        </is>
      </c>
      <c r="C4447" s="21" t="n">
        <v>2014</v>
      </c>
      <c r="D4447" s="21" t="inlineStr">
        <is>
          <t>USA</t>
        </is>
      </c>
      <c r="E4447" s="21" t="n">
        <v>81</v>
      </c>
      <c r="F4447" s="21" t="inlineStr">
        <is>
          <t>English</t>
        </is>
      </c>
      <c r="G4447" s="21" t="n"/>
      <c r="H4447" s="22" t="n">
        <v>25529689.5</v>
      </c>
      <c r="I4447" s="22" t="n">
        <v>50000</v>
      </c>
      <c r="J4447" s="21">
        <f>IF(OR(H4447="",H4447=25529689.5),"Yes","No")</f>
        <v/>
      </c>
      <c r="K4447" s="21">
        <f>IF(AND(D4447="USA",C4447&gt;=1980,J4447="No"),"Yes","No")</f>
        <v/>
      </c>
      <c r="L4447" s="26">
        <f>IF(J4447="Yes","",H4447-I4447)</f>
        <v/>
      </c>
      <c r="M4447" s="27">
        <f>IF(OR(J4447="Yes",I4447=0),"",H4447/I4447)</f>
        <v/>
      </c>
      <c r="N4447" s="21">
        <f>IF(J4447="Yes","",IF(H4447&gt;=I4447,1,0))</f>
        <v/>
      </c>
      <c r="O4447" s="21">
        <f>IF(I4447&lt;=5000000,"Under $5M",IF(I4447&lt;=20000000,"$5M-20M",IF(I4447&lt;=50000000,"$20M-50M",IF(I4447&lt;=100000000,"$50M-100M","$100M+"))))</f>
        <v/>
      </c>
      <c r="P4447" s="21">
        <f>IF(E4447&lt;=90,"90 or less",IF(E4447&lt;=105,"91-105",IF(E4447&lt;=120,"106-120",IF(E4447&lt;=140,"121-140","Over 140"))))</f>
        <v/>
      </c>
      <c r="Q4447" s="28">
        <f>INT(C4447/10)*10</f>
        <v/>
      </c>
    </row>
    <row r="4448">
      <c r="A4448" s="21" t="n">
        <v>4545</v>
      </c>
      <c r="B4448" s="21" t="inlineStr">
        <is>
          <t>The Imitation Game</t>
        </is>
      </c>
      <c r="C4448" s="21" t="n">
        <v>2014</v>
      </c>
      <c r="D4448" s="21" t="inlineStr">
        <is>
          <t>UK</t>
        </is>
      </c>
      <c r="E4448" s="21" t="n">
        <v>114</v>
      </c>
      <c r="F4448" s="21" t="inlineStr">
        <is>
          <t>English</t>
        </is>
      </c>
      <c r="G4448" s="21" t="inlineStr">
        <is>
          <t>PG-13</t>
        </is>
      </c>
      <c r="H4448" s="22" t="n">
        <v>91121452</v>
      </c>
      <c r="I4448" s="22" t="n">
        <v>14000000</v>
      </c>
      <c r="J4448" s="21">
        <f>IF(OR(H4448="",H4448=25529689.5),"Yes","No")</f>
        <v/>
      </c>
      <c r="K4448" s="21">
        <f>IF(AND(D4448="USA",C4448&gt;=1980,J4448="No"),"Yes","No")</f>
        <v/>
      </c>
      <c r="L4448" s="26">
        <f>IF(J4448="Yes","",H4448-I4448)</f>
        <v/>
      </c>
      <c r="M4448" s="27">
        <f>IF(OR(J4448="Yes",I4448=0),"",H4448/I4448)</f>
        <v/>
      </c>
      <c r="N4448" s="21">
        <f>IF(J4448="Yes","",IF(H4448&gt;=I4448,1,0))</f>
        <v/>
      </c>
      <c r="O4448" s="21">
        <f>IF(I4448&lt;=5000000,"Under $5M",IF(I4448&lt;=20000000,"$5M-20M",IF(I4448&lt;=50000000,"$20M-50M",IF(I4448&lt;=100000000,"$50M-100M","$100M+"))))</f>
        <v/>
      </c>
      <c r="P4448" s="21">
        <f>IF(E4448&lt;=90,"90 or less",IF(E4448&lt;=105,"91-105",IF(E4448&lt;=120,"106-120",IF(E4448&lt;=140,"121-140","Over 140"))))</f>
        <v/>
      </c>
      <c r="Q4448" s="28">
        <f>INT(C4448/10)*10</f>
        <v/>
      </c>
    </row>
    <row r="4449">
      <c r="A4449" s="21" t="n">
        <v>4546</v>
      </c>
      <c r="B4449" s="21" t="inlineStr">
        <is>
          <t>The Interview</t>
        </is>
      </c>
      <c r="C4449" s="21" t="n">
        <v>2014</v>
      </c>
      <c r="D4449" s="21" t="inlineStr">
        <is>
          <t>USA</t>
        </is>
      </c>
      <c r="E4449" s="21" t="n">
        <v>112</v>
      </c>
      <c r="F4449" s="21" t="inlineStr">
        <is>
          <t>English</t>
        </is>
      </c>
      <c r="G4449" s="21" t="inlineStr">
        <is>
          <t>R</t>
        </is>
      </c>
      <c r="H4449" s="22" t="n">
        <v>6105175</v>
      </c>
      <c r="I4449" s="22" t="n">
        <v>44000000</v>
      </c>
      <c r="J4449" s="21">
        <f>IF(OR(H4449="",H4449=25529689.5),"Yes","No")</f>
        <v/>
      </c>
      <c r="K4449" s="21">
        <f>IF(AND(D4449="USA",C4449&gt;=1980,J4449="No"),"Yes","No")</f>
        <v/>
      </c>
      <c r="L4449" s="26">
        <f>IF(J4449="Yes","",H4449-I4449)</f>
        <v/>
      </c>
      <c r="M4449" s="27">
        <f>IF(OR(J4449="Yes",I4449=0),"",H4449/I4449)</f>
        <v/>
      </c>
      <c r="N4449" s="21">
        <f>IF(J4449="Yes","",IF(H4449&gt;=I4449,1,0))</f>
        <v/>
      </c>
      <c r="O4449" s="21">
        <f>IF(I4449&lt;=5000000,"Under $5M",IF(I4449&lt;=20000000,"$5M-20M",IF(I4449&lt;=50000000,"$20M-50M",IF(I4449&lt;=100000000,"$50M-100M","$100M+"))))</f>
        <v/>
      </c>
      <c r="P4449" s="21">
        <f>IF(E4449&lt;=90,"90 or less",IF(E4449&lt;=105,"91-105",IF(E4449&lt;=120,"106-120",IF(E4449&lt;=140,"121-140","Over 140"))))</f>
        <v/>
      </c>
      <c r="Q4449" s="28">
        <f>INT(C4449/10)*10</f>
        <v/>
      </c>
    </row>
    <row r="4450">
      <c r="A4450" s="21" t="n">
        <v>4547</v>
      </c>
      <c r="B4450" s="21" t="inlineStr">
        <is>
          <t>The Judge</t>
        </is>
      </c>
      <c r="C4450" s="21" t="n">
        <v>2014</v>
      </c>
      <c r="D4450" s="21" t="inlineStr">
        <is>
          <t>USA</t>
        </is>
      </c>
      <c r="E4450" s="21" t="n">
        <v>141</v>
      </c>
      <c r="F4450" s="21" t="inlineStr">
        <is>
          <t>English</t>
        </is>
      </c>
      <c r="G4450" s="21" t="inlineStr">
        <is>
          <t>R</t>
        </is>
      </c>
      <c r="H4450" s="22" t="n">
        <v>47105085</v>
      </c>
      <c r="I4450" s="22" t="n">
        <v>50000000</v>
      </c>
      <c r="J4450" s="21">
        <f>IF(OR(H4450="",H4450=25529689.5),"Yes","No")</f>
        <v/>
      </c>
      <c r="K4450" s="21">
        <f>IF(AND(D4450="USA",C4450&gt;=1980,J4450="No"),"Yes","No")</f>
        <v/>
      </c>
      <c r="L4450" s="26">
        <f>IF(J4450="Yes","",H4450-I4450)</f>
        <v/>
      </c>
      <c r="M4450" s="27">
        <f>IF(OR(J4450="Yes",I4450=0),"",H4450/I4450)</f>
        <v/>
      </c>
      <c r="N4450" s="21">
        <f>IF(J4450="Yes","",IF(H4450&gt;=I4450,1,0))</f>
        <v/>
      </c>
      <c r="O4450" s="21">
        <f>IF(I4450&lt;=5000000,"Under $5M",IF(I4450&lt;=20000000,"$5M-20M",IF(I4450&lt;=50000000,"$20M-50M",IF(I4450&lt;=100000000,"$50M-100M","$100M+"))))</f>
        <v/>
      </c>
      <c r="P4450" s="21">
        <f>IF(E4450&lt;=90,"90 or less",IF(E4450&lt;=105,"91-105",IF(E4450&lt;=120,"106-120",IF(E4450&lt;=140,"121-140","Over 140"))))</f>
        <v/>
      </c>
      <c r="Q4450" s="28">
        <f>INT(C4450/10)*10</f>
        <v/>
      </c>
    </row>
    <row r="4451">
      <c r="A4451" s="21" t="n">
        <v>4548</v>
      </c>
      <c r="B4451" s="21" t="inlineStr">
        <is>
          <t>The Last Five Years</t>
        </is>
      </c>
      <c r="C4451" s="21" t="n">
        <v>2014</v>
      </c>
      <c r="D4451" s="21" t="inlineStr">
        <is>
          <t>USA</t>
        </is>
      </c>
      <c r="E4451" s="21" t="n">
        <v>94</v>
      </c>
      <c r="F4451" s="21" t="inlineStr">
        <is>
          <t>English</t>
        </is>
      </c>
      <c r="G4451" s="21" t="inlineStr">
        <is>
          <t>PG-13</t>
        </is>
      </c>
      <c r="H4451" s="22" t="n">
        <v>137945</v>
      </c>
      <c r="I4451" s="22" t="n">
        <v>20000000</v>
      </c>
      <c r="J4451" s="21">
        <f>IF(OR(H4451="",H4451=25529689.5),"Yes","No")</f>
        <v/>
      </c>
      <c r="K4451" s="21">
        <f>IF(AND(D4451="USA",C4451&gt;=1980,J4451="No"),"Yes","No")</f>
        <v/>
      </c>
      <c r="L4451" s="26">
        <f>IF(J4451="Yes","",H4451-I4451)</f>
        <v/>
      </c>
      <c r="M4451" s="27">
        <f>IF(OR(J4451="Yes",I4451=0),"",H4451/I4451)</f>
        <v/>
      </c>
      <c r="N4451" s="21">
        <f>IF(J4451="Yes","",IF(H4451&gt;=I4451,1,0))</f>
        <v/>
      </c>
      <c r="O4451" s="21">
        <f>IF(I4451&lt;=5000000,"Under $5M",IF(I4451&lt;=20000000,"$5M-20M",IF(I4451&lt;=50000000,"$20M-50M",IF(I4451&lt;=100000000,"$50M-100M","$100M+"))))</f>
        <v/>
      </c>
      <c r="P4451" s="21">
        <f>IF(E4451&lt;=90,"90 or less",IF(E4451&lt;=105,"91-105",IF(E4451&lt;=120,"106-120",IF(E4451&lt;=140,"121-140","Over 140"))))</f>
        <v/>
      </c>
      <c r="Q4451" s="28">
        <f>INT(C4451/10)*10</f>
        <v/>
      </c>
    </row>
    <row r="4452">
      <c r="A4452" s="21" t="n">
        <v>4549</v>
      </c>
      <c r="B4452" s="21" t="inlineStr">
        <is>
          <t>The Legend of Hercules</t>
        </is>
      </c>
      <c r="C4452" s="21" t="n">
        <v>2014</v>
      </c>
      <c r="D4452" s="21" t="inlineStr">
        <is>
          <t>USA</t>
        </is>
      </c>
      <c r="E4452" s="21" t="n">
        <v>99</v>
      </c>
      <c r="F4452" s="21" t="inlineStr">
        <is>
          <t>English</t>
        </is>
      </c>
      <c r="G4452" s="21" t="inlineStr">
        <is>
          <t>PG-13</t>
        </is>
      </c>
      <c r="H4452" s="22" t="n">
        <v>18821279</v>
      </c>
      <c r="I4452" s="22" t="n">
        <v>70000000</v>
      </c>
      <c r="J4452" s="21">
        <f>IF(OR(H4452="",H4452=25529689.5),"Yes","No")</f>
        <v/>
      </c>
      <c r="K4452" s="21">
        <f>IF(AND(D4452="USA",C4452&gt;=1980,J4452="No"),"Yes","No")</f>
        <v/>
      </c>
      <c r="L4452" s="26">
        <f>IF(J4452="Yes","",H4452-I4452)</f>
        <v/>
      </c>
      <c r="M4452" s="27">
        <f>IF(OR(J4452="Yes",I4452=0),"",H4452/I4452)</f>
        <v/>
      </c>
      <c r="N4452" s="21">
        <f>IF(J4452="Yes","",IF(H4452&gt;=I4452,1,0))</f>
        <v/>
      </c>
      <c r="O4452" s="21">
        <f>IF(I4452&lt;=5000000,"Under $5M",IF(I4452&lt;=20000000,"$5M-20M",IF(I4452&lt;=50000000,"$20M-50M",IF(I4452&lt;=100000000,"$50M-100M","$100M+"))))</f>
        <v/>
      </c>
      <c r="P4452" s="21">
        <f>IF(E4452&lt;=90,"90 or less",IF(E4452&lt;=105,"91-105",IF(E4452&lt;=120,"106-120",IF(E4452&lt;=140,"121-140","Over 140"))))</f>
        <v/>
      </c>
      <c r="Q4452" s="28">
        <f>INT(C4452/10)*10</f>
        <v/>
      </c>
    </row>
    <row r="4453">
      <c r="A4453" s="21" t="n">
        <v>4550</v>
      </c>
      <c r="B4453" s="21" t="inlineStr">
        <is>
          <t>The Lego Movie</t>
        </is>
      </c>
      <c r="C4453" s="21" t="n">
        <v>2014</v>
      </c>
      <c r="D4453" s="21" t="inlineStr">
        <is>
          <t>Australia</t>
        </is>
      </c>
      <c r="E4453" s="21" t="n">
        <v>100</v>
      </c>
      <c r="F4453" s="21" t="inlineStr">
        <is>
          <t>English</t>
        </is>
      </c>
      <c r="G4453" s="21" t="inlineStr">
        <is>
          <t>PG</t>
        </is>
      </c>
      <c r="H4453" s="22" t="n">
        <v>257756197</v>
      </c>
      <c r="I4453" s="22" t="n">
        <v>60000000</v>
      </c>
      <c r="J4453" s="21">
        <f>IF(OR(H4453="",H4453=25529689.5),"Yes","No")</f>
        <v/>
      </c>
      <c r="K4453" s="21">
        <f>IF(AND(D4453="USA",C4453&gt;=1980,J4453="No"),"Yes","No")</f>
        <v/>
      </c>
      <c r="L4453" s="26">
        <f>IF(J4453="Yes","",H4453-I4453)</f>
        <v/>
      </c>
      <c r="M4453" s="27">
        <f>IF(OR(J4453="Yes",I4453=0),"",H4453/I4453)</f>
        <v/>
      </c>
      <c r="N4453" s="21">
        <f>IF(J4453="Yes","",IF(H4453&gt;=I4453,1,0))</f>
        <v/>
      </c>
      <c r="O4453" s="21">
        <f>IF(I4453&lt;=5000000,"Under $5M",IF(I4453&lt;=20000000,"$5M-20M",IF(I4453&lt;=50000000,"$20M-50M",IF(I4453&lt;=100000000,"$50M-100M","$100M+"))))</f>
        <v/>
      </c>
      <c r="P4453" s="21">
        <f>IF(E4453&lt;=90,"90 or less",IF(E4453&lt;=105,"91-105",IF(E4453&lt;=120,"106-120",IF(E4453&lt;=140,"121-140","Over 140"))))</f>
        <v/>
      </c>
      <c r="Q4453" s="28">
        <f>INT(C4453/10)*10</f>
        <v/>
      </c>
    </row>
    <row r="4454">
      <c r="A4454" s="21" t="n">
        <v>4551</v>
      </c>
      <c r="B4454" s="21" t="inlineStr">
        <is>
          <t>The Maze Runner</t>
        </is>
      </c>
      <c r="C4454" s="21" t="n">
        <v>2014</v>
      </c>
      <c r="D4454" s="21" t="inlineStr">
        <is>
          <t>USA</t>
        </is>
      </c>
      <c r="E4454" s="21" t="n">
        <v>113</v>
      </c>
      <c r="F4454" s="21" t="inlineStr">
        <is>
          <t>English</t>
        </is>
      </c>
      <c r="G4454" s="21" t="inlineStr">
        <is>
          <t>PG-13</t>
        </is>
      </c>
      <c r="H4454" s="22" t="n">
        <v>102413606</v>
      </c>
      <c r="I4454" s="22" t="n">
        <v>34000000</v>
      </c>
      <c r="J4454" s="21">
        <f>IF(OR(H4454="",H4454=25529689.5),"Yes","No")</f>
        <v/>
      </c>
      <c r="K4454" s="21">
        <f>IF(AND(D4454="USA",C4454&gt;=1980,J4454="No"),"Yes","No")</f>
        <v/>
      </c>
      <c r="L4454" s="26">
        <f>IF(J4454="Yes","",H4454-I4454)</f>
        <v/>
      </c>
      <c r="M4454" s="27">
        <f>IF(OR(J4454="Yes",I4454=0),"",H4454/I4454)</f>
        <v/>
      </c>
      <c r="N4454" s="21">
        <f>IF(J4454="Yes","",IF(H4454&gt;=I4454,1,0))</f>
        <v/>
      </c>
      <c r="O4454" s="21">
        <f>IF(I4454&lt;=5000000,"Under $5M",IF(I4454&lt;=20000000,"$5M-20M",IF(I4454&lt;=50000000,"$20M-50M",IF(I4454&lt;=100000000,"$50M-100M","$100M+"))))</f>
        <v/>
      </c>
      <c r="P4454" s="21">
        <f>IF(E4454&lt;=90,"90 or less",IF(E4454&lt;=105,"91-105",IF(E4454&lt;=120,"106-120",IF(E4454&lt;=140,"121-140","Over 140"))))</f>
        <v/>
      </c>
      <c r="Q4454" s="28">
        <f>INT(C4454/10)*10</f>
        <v/>
      </c>
    </row>
    <row r="4455">
      <c r="A4455" s="21" t="n">
        <v>4552</v>
      </c>
      <c r="B4455" s="21" t="inlineStr">
        <is>
          <t>The Monuments Men</t>
        </is>
      </c>
      <c r="C4455" s="21" t="n">
        <v>2014</v>
      </c>
      <c r="D4455" s="21" t="inlineStr">
        <is>
          <t>USA</t>
        </is>
      </c>
      <c r="E4455" s="21" t="n">
        <v>118</v>
      </c>
      <c r="F4455" s="21" t="inlineStr">
        <is>
          <t>English</t>
        </is>
      </c>
      <c r="G4455" s="21" t="inlineStr">
        <is>
          <t>PG-13</t>
        </is>
      </c>
      <c r="H4455" s="22" t="n">
        <v>78031620</v>
      </c>
      <c r="I4455" s="22" t="n">
        <v>70000000</v>
      </c>
      <c r="J4455" s="21">
        <f>IF(OR(H4455="",H4455=25529689.5),"Yes","No")</f>
        <v/>
      </c>
      <c r="K4455" s="21">
        <f>IF(AND(D4455="USA",C4455&gt;=1980,J4455="No"),"Yes","No")</f>
        <v/>
      </c>
      <c r="L4455" s="26">
        <f>IF(J4455="Yes","",H4455-I4455)</f>
        <v/>
      </c>
      <c r="M4455" s="27">
        <f>IF(OR(J4455="Yes",I4455=0),"",H4455/I4455)</f>
        <v/>
      </c>
      <c r="N4455" s="21">
        <f>IF(J4455="Yes","",IF(H4455&gt;=I4455,1,0))</f>
        <v/>
      </c>
      <c r="O4455" s="21">
        <f>IF(I4455&lt;=5000000,"Under $5M",IF(I4455&lt;=20000000,"$5M-20M",IF(I4455&lt;=50000000,"$20M-50M",IF(I4455&lt;=100000000,"$50M-100M","$100M+"))))</f>
        <v/>
      </c>
      <c r="P4455" s="21">
        <f>IF(E4455&lt;=90,"90 or less",IF(E4455&lt;=105,"91-105",IF(E4455&lt;=120,"106-120",IF(E4455&lt;=140,"121-140","Over 140"))))</f>
        <v/>
      </c>
      <c r="Q4455" s="28">
        <f>INT(C4455/10)*10</f>
        <v/>
      </c>
    </row>
    <row r="4456">
      <c r="A4456" s="21" t="n">
        <v>4553</v>
      </c>
      <c r="B4456" s="21" t="inlineStr">
        <is>
          <t>The November Man</t>
        </is>
      </c>
      <c r="C4456" s="21" t="n">
        <v>2014</v>
      </c>
      <c r="D4456" s="21" t="inlineStr">
        <is>
          <t>USA</t>
        </is>
      </c>
      <c r="E4456" s="21" t="n">
        <v>108</v>
      </c>
      <c r="F4456" s="21" t="inlineStr">
        <is>
          <t>English</t>
        </is>
      </c>
      <c r="G4456" s="21" t="inlineStr">
        <is>
          <t>R</t>
        </is>
      </c>
      <c r="H4456" s="22" t="n">
        <v>24984868</v>
      </c>
      <c r="I4456" s="22" t="n">
        <v>15000000</v>
      </c>
      <c r="J4456" s="21">
        <f>IF(OR(H4456="",H4456=25529689.5),"Yes","No")</f>
        <v/>
      </c>
      <c r="K4456" s="21">
        <f>IF(AND(D4456="USA",C4456&gt;=1980,J4456="No"),"Yes","No")</f>
        <v/>
      </c>
      <c r="L4456" s="26">
        <f>IF(J4456="Yes","",H4456-I4456)</f>
        <v/>
      </c>
      <c r="M4456" s="27">
        <f>IF(OR(J4456="Yes",I4456=0),"",H4456/I4456)</f>
        <v/>
      </c>
      <c r="N4456" s="21">
        <f>IF(J4456="Yes","",IF(H4456&gt;=I4456,1,0))</f>
        <v/>
      </c>
      <c r="O4456" s="21">
        <f>IF(I4456&lt;=5000000,"Under $5M",IF(I4456&lt;=20000000,"$5M-20M",IF(I4456&lt;=50000000,"$20M-50M",IF(I4456&lt;=100000000,"$50M-100M","$100M+"))))</f>
        <v/>
      </c>
      <c r="P4456" s="21">
        <f>IF(E4456&lt;=90,"90 or less",IF(E4456&lt;=105,"91-105",IF(E4456&lt;=120,"106-120",IF(E4456&lt;=140,"121-140","Over 140"))))</f>
        <v/>
      </c>
      <c r="Q4456" s="28">
        <f>INT(C4456/10)*10</f>
        <v/>
      </c>
    </row>
    <row r="4457">
      <c r="A4457" s="21" t="n">
        <v>4554</v>
      </c>
      <c r="B4457" s="21" t="inlineStr">
        <is>
          <t>The Nut Job</t>
        </is>
      </c>
      <c r="C4457" s="21" t="n">
        <v>2014</v>
      </c>
      <c r="D4457" s="21" t="inlineStr">
        <is>
          <t>Canada</t>
        </is>
      </c>
      <c r="E4457" s="21" t="n">
        <v>85</v>
      </c>
      <c r="F4457" s="21" t="inlineStr">
        <is>
          <t>English</t>
        </is>
      </c>
      <c r="G4457" s="21" t="inlineStr">
        <is>
          <t>PG</t>
        </is>
      </c>
      <c r="H4457" s="22" t="n">
        <v>64238770</v>
      </c>
      <c r="I4457" s="22" t="n">
        <v>42000000</v>
      </c>
      <c r="J4457" s="21">
        <f>IF(OR(H4457="",H4457=25529689.5),"Yes","No")</f>
        <v/>
      </c>
      <c r="K4457" s="21">
        <f>IF(AND(D4457="USA",C4457&gt;=1980,J4457="No"),"Yes","No")</f>
        <v/>
      </c>
      <c r="L4457" s="26">
        <f>IF(J4457="Yes","",H4457-I4457)</f>
        <v/>
      </c>
      <c r="M4457" s="27">
        <f>IF(OR(J4457="Yes",I4457=0),"",H4457/I4457)</f>
        <v/>
      </c>
      <c r="N4457" s="21">
        <f>IF(J4457="Yes","",IF(H4457&gt;=I4457,1,0))</f>
        <v/>
      </c>
      <c r="O4457" s="21">
        <f>IF(I4457&lt;=5000000,"Under $5M",IF(I4457&lt;=20000000,"$5M-20M",IF(I4457&lt;=50000000,"$20M-50M",IF(I4457&lt;=100000000,"$50M-100M","$100M+"))))</f>
        <v/>
      </c>
      <c r="P4457" s="21">
        <f>IF(E4457&lt;=90,"90 or less",IF(E4457&lt;=105,"91-105",IF(E4457&lt;=120,"106-120",IF(E4457&lt;=140,"121-140","Over 140"))))</f>
        <v/>
      </c>
      <c r="Q4457" s="28">
        <f>INT(C4457/10)*10</f>
        <v/>
      </c>
    </row>
    <row r="4458">
      <c r="A4458" s="21" t="n">
        <v>4555</v>
      </c>
      <c r="B4458" s="21" t="inlineStr">
        <is>
          <t>The Opposite Sex</t>
        </is>
      </c>
      <c r="C4458" s="21" t="n">
        <v>2014</v>
      </c>
      <c r="D4458" s="21" t="inlineStr">
        <is>
          <t>USA</t>
        </is>
      </c>
      <c r="E4458" s="21" t="n">
        <v>97</v>
      </c>
      <c r="F4458" s="21" t="inlineStr">
        <is>
          <t>English</t>
        </is>
      </c>
      <c r="G4458" s="21" t="n"/>
      <c r="H4458" s="22" t="n">
        <v>25529689.5</v>
      </c>
      <c r="I4458" s="22" t="n">
        <v>3300000</v>
      </c>
      <c r="J4458" s="21">
        <f>IF(OR(H4458="",H4458=25529689.5),"Yes","No")</f>
        <v/>
      </c>
      <c r="K4458" s="21">
        <f>IF(AND(D4458="USA",C4458&gt;=1980,J4458="No"),"Yes","No")</f>
        <v/>
      </c>
      <c r="L4458" s="26">
        <f>IF(J4458="Yes","",H4458-I4458)</f>
        <v/>
      </c>
      <c r="M4458" s="27">
        <f>IF(OR(J4458="Yes",I4458=0),"",H4458/I4458)</f>
        <v/>
      </c>
      <c r="N4458" s="21">
        <f>IF(J4458="Yes","",IF(H4458&gt;=I4458,1,0))</f>
        <v/>
      </c>
      <c r="O4458" s="21">
        <f>IF(I4458&lt;=5000000,"Under $5M",IF(I4458&lt;=20000000,"$5M-20M",IF(I4458&lt;=50000000,"$20M-50M",IF(I4458&lt;=100000000,"$50M-100M","$100M+"))))</f>
        <v/>
      </c>
      <c r="P4458" s="21">
        <f>IF(E4458&lt;=90,"90 or less",IF(E4458&lt;=105,"91-105",IF(E4458&lt;=120,"106-120",IF(E4458&lt;=140,"121-140","Over 140"))))</f>
        <v/>
      </c>
      <c r="Q4458" s="28">
        <f>INT(C4458/10)*10</f>
        <v/>
      </c>
    </row>
    <row r="4459">
      <c r="A4459" s="21" t="n">
        <v>4556</v>
      </c>
      <c r="B4459" s="21" t="inlineStr">
        <is>
          <t>The Other Woman</t>
        </is>
      </c>
      <c r="C4459" s="21" t="n">
        <v>2014</v>
      </c>
      <c r="D4459" s="21" t="inlineStr">
        <is>
          <t>USA</t>
        </is>
      </c>
      <c r="E4459" s="21" t="n">
        <v>109</v>
      </c>
      <c r="F4459" s="21" t="inlineStr">
        <is>
          <t>English</t>
        </is>
      </c>
      <c r="G4459" s="21" t="inlineStr">
        <is>
          <t>PG-13</t>
        </is>
      </c>
      <c r="H4459" s="22" t="n">
        <v>83906114</v>
      </c>
      <c r="I4459" s="22" t="n">
        <v>40000000</v>
      </c>
      <c r="J4459" s="21">
        <f>IF(OR(H4459="",H4459=25529689.5),"Yes","No")</f>
        <v/>
      </c>
      <c r="K4459" s="21">
        <f>IF(AND(D4459="USA",C4459&gt;=1980,J4459="No"),"Yes","No")</f>
        <v/>
      </c>
      <c r="L4459" s="26">
        <f>IF(J4459="Yes","",H4459-I4459)</f>
        <v/>
      </c>
      <c r="M4459" s="27">
        <f>IF(OR(J4459="Yes",I4459=0),"",H4459/I4459)</f>
        <v/>
      </c>
      <c r="N4459" s="21">
        <f>IF(J4459="Yes","",IF(H4459&gt;=I4459,1,0))</f>
        <v/>
      </c>
      <c r="O4459" s="21">
        <f>IF(I4459&lt;=5000000,"Under $5M",IF(I4459&lt;=20000000,"$5M-20M",IF(I4459&lt;=50000000,"$20M-50M",IF(I4459&lt;=100000000,"$50M-100M","$100M+"))))</f>
        <v/>
      </c>
      <c r="P4459" s="21">
        <f>IF(E4459&lt;=90,"90 or less",IF(E4459&lt;=105,"91-105",IF(E4459&lt;=120,"106-120",IF(E4459&lt;=140,"121-140","Over 140"))))</f>
        <v/>
      </c>
      <c r="Q4459" s="28">
        <f>INT(C4459/10)*10</f>
        <v/>
      </c>
    </row>
    <row r="4460">
      <c r="A4460" s="21" t="n">
        <v>4557</v>
      </c>
      <c r="B4460" s="21" t="inlineStr">
        <is>
          <t>The Outrageous Sophie Tucker</t>
        </is>
      </c>
      <c r="C4460" s="21" t="n">
        <v>2014</v>
      </c>
      <c r="D4460" s="21" t="inlineStr">
        <is>
          <t>USA</t>
        </is>
      </c>
      <c r="E4460" s="21" t="n">
        <v>96</v>
      </c>
      <c r="F4460" s="21" t="inlineStr">
        <is>
          <t>English</t>
        </is>
      </c>
      <c r="G4460" s="21" t="n"/>
      <c r="H4460" s="22" t="n">
        <v>25529689.5</v>
      </c>
      <c r="I4460" s="22" t="n">
        <v>500000</v>
      </c>
      <c r="J4460" s="21">
        <f>IF(OR(H4460="",H4460=25529689.5),"Yes","No")</f>
        <v/>
      </c>
      <c r="K4460" s="21">
        <f>IF(AND(D4460="USA",C4460&gt;=1980,J4460="No"),"Yes","No")</f>
        <v/>
      </c>
      <c r="L4460" s="26">
        <f>IF(J4460="Yes","",H4460-I4460)</f>
        <v/>
      </c>
      <c r="M4460" s="27">
        <f>IF(OR(J4460="Yes",I4460=0),"",H4460/I4460)</f>
        <v/>
      </c>
      <c r="N4460" s="21">
        <f>IF(J4460="Yes","",IF(H4460&gt;=I4460,1,0))</f>
        <v/>
      </c>
      <c r="O4460" s="21">
        <f>IF(I4460&lt;=5000000,"Under $5M",IF(I4460&lt;=20000000,"$5M-20M",IF(I4460&lt;=50000000,"$20M-50M",IF(I4460&lt;=100000000,"$50M-100M","$100M+"))))</f>
        <v/>
      </c>
      <c r="P4460" s="21">
        <f>IF(E4460&lt;=90,"90 or less",IF(E4460&lt;=105,"91-105",IF(E4460&lt;=120,"106-120",IF(E4460&lt;=140,"121-140","Over 140"))))</f>
        <v/>
      </c>
      <c r="Q4460" s="28">
        <f>INT(C4460/10)*10</f>
        <v/>
      </c>
    </row>
    <row r="4461">
      <c r="A4461" s="21" t="n">
        <v>4558</v>
      </c>
      <c r="B4461" s="21" t="inlineStr">
        <is>
          <t>The Past is a Grotesque Animal</t>
        </is>
      </c>
      <c r="C4461" s="21" t="n">
        <v>2014</v>
      </c>
      <c r="D4461" s="21" t="inlineStr">
        <is>
          <t>USA</t>
        </is>
      </c>
      <c r="E4461" s="21" t="n">
        <v>77</v>
      </c>
      <c r="F4461" s="21" t="inlineStr">
        <is>
          <t>English</t>
        </is>
      </c>
      <c r="G4461" s="21" t="inlineStr">
        <is>
          <t>Unrated</t>
        </is>
      </c>
      <c r="H4461" s="22" t="n">
        <v>25529689.5</v>
      </c>
      <c r="I4461" s="22" t="n">
        <v>100000</v>
      </c>
      <c r="J4461" s="21">
        <f>IF(OR(H4461="",H4461=25529689.5),"Yes","No")</f>
        <v/>
      </c>
      <c r="K4461" s="21">
        <f>IF(AND(D4461="USA",C4461&gt;=1980,J4461="No"),"Yes","No")</f>
        <v/>
      </c>
      <c r="L4461" s="26">
        <f>IF(J4461="Yes","",H4461-I4461)</f>
        <v/>
      </c>
      <c r="M4461" s="27">
        <f>IF(OR(J4461="Yes",I4461=0),"",H4461/I4461)</f>
        <v/>
      </c>
      <c r="N4461" s="21">
        <f>IF(J4461="Yes","",IF(H4461&gt;=I4461,1,0))</f>
        <v/>
      </c>
      <c r="O4461" s="21">
        <f>IF(I4461&lt;=5000000,"Under $5M",IF(I4461&lt;=20000000,"$5M-20M",IF(I4461&lt;=50000000,"$20M-50M",IF(I4461&lt;=100000000,"$50M-100M","$100M+"))))</f>
        <v/>
      </c>
      <c r="P4461" s="21">
        <f>IF(E4461&lt;=90,"90 or less",IF(E4461&lt;=105,"91-105",IF(E4461&lt;=120,"106-120",IF(E4461&lt;=140,"121-140","Over 140"))))</f>
        <v/>
      </c>
      <c r="Q4461" s="28">
        <f>INT(C4461/10)*10</f>
        <v/>
      </c>
    </row>
    <row r="4462">
      <c r="A4462" s="21" t="n">
        <v>4559</v>
      </c>
      <c r="B4462" s="21" t="inlineStr">
        <is>
          <t>The Perfect Wave</t>
        </is>
      </c>
      <c r="C4462" s="21" t="n">
        <v>2014</v>
      </c>
      <c r="D4462" s="21" t="inlineStr">
        <is>
          <t>South Africa</t>
        </is>
      </c>
      <c r="E4462" s="21" t="n">
        <v>94</v>
      </c>
      <c r="F4462" s="21" t="inlineStr">
        <is>
          <t>English</t>
        </is>
      </c>
      <c r="G4462" s="21" t="inlineStr">
        <is>
          <t>PG</t>
        </is>
      </c>
      <c r="H4462" s="22" t="n">
        <v>25529689.5</v>
      </c>
      <c r="I4462" s="22" t="n">
        <v>4000000</v>
      </c>
      <c r="J4462" s="21">
        <f>IF(OR(H4462="",H4462=25529689.5),"Yes","No")</f>
        <v/>
      </c>
      <c r="K4462" s="21">
        <f>IF(AND(D4462="USA",C4462&gt;=1980,J4462="No"),"Yes","No")</f>
        <v/>
      </c>
      <c r="L4462" s="26">
        <f>IF(J4462="Yes","",H4462-I4462)</f>
        <v/>
      </c>
      <c r="M4462" s="27">
        <f>IF(OR(J4462="Yes",I4462=0),"",H4462/I4462)</f>
        <v/>
      </c>
      <c r="N4462" s="21">
        <f>IF(J4462="Yes","",IF(H4462&gt;=I4462,1,0))</f>
        <v/>
      </c>
      <c r="O4462" s="21">
        <f>IF(I4462&lt;=5000000,"Under $5M",IF(I4462&lt;=20000000,"$5M-20M",IF(I4462&lt;=50000000,"$20M-50M",IF(I4462&lt;=100000000,"$50M-100M","$100M+"))))</f>
        <v/>
      </c>
      <c r="P4462" s="21">
        <f>IF(E4462&lt;=90,"90 or less",IF(E4462&lt;=105,"91-105",IF(E4462&lt;=120,"106-120",IF(E4462&lt;=140,"121-140","Over 140"))))</f>
        <v/>
      </c>
      <c r="Q4462" s="28">
        <f>INT(C4462/10)*10</f>
        <v/>
      </c>
    </row>
    <row r="4463">
      <c r="A4463" s="21" t="n">
        <v>4560</v>
      </c>
      <c r="B4463" s="21" t="inlineStr">
        <is>
          <t>The Prince</t>
        </is>
      </c>
      <c r="C4463" s="21" t="n">
        <v>2014</v>
      </c>
      <c r="D4463" s="21" t="inlineStr">
        <is>
          <t>USA</t>
        </is>
      </c>
      <c r="E4463" s="21" t="n">
        <v>93</v>
      </c>
      <c r="F4463" s="21" t="inlineStr">
        <is>
          <t>English</t>
        </is>
      </c>
      <c r="G4463" s="21" t="inlineStr">
        <is>
          <t>R</t>
        </is>
      </c>
      <c r="H4463" s="22" t="n">
        <v>25529689.5</v>
      </c>
      <c r="I4463" s="22" t="n">
        <v>18000000</v>
      </c>
      <c r="J4463" s="21">
        <f>IF(OR(H4463="",H4463=25529689.5),"Yes","No")</f>
        <v/>
      </c>
      <c r="K4463" s="21">
        <f>IF(AND(D4463="USA",C4463&gt;=1980,J4463="No"),"Yes","No")</f>
        <v/>
      </c>
      <c r="L4463" s="26">
        <f>IF(J4463="Yes","",H4463-I4463)</f>
        <v/>
      </c>
      <c r="M4463" s="27">
        <f>IF(OR(J4463="Yes",I4463=0),"",H4463/I4463)</f>
        <v/>
      </c>
      <c r="N4463" s="21">
        <f>IF(J4463="Yes","",IF(H4463&gt;=I4463,1,0))</f>
        <v/>
      </c>
      <c r="O4463" s="21">
        <f>IF(I4463&lt;=5000000,"Under $5M",IF(I4463&lt;=20000000,"$5M-20M",IF(I4463&lt;=50000000,"$20M-50M",IF(I4463&lt;=100000000,"$50M-100M","$100M+"))))</f>
        <v/>
      </c>
      <c r="P4463" s="21">
        <f>IF(E4463&lt;=90,"90 or less",IF(E4463&lt;=105,"91-105",IF(E4463&lt;=120,"106-120",IF(E4463&lt;=140,"121-140","Over 140"))))</f>
        <v/>
      </c>
      <c r="Q4463" s="28">
        <f>INT(C4463/10)*10</f>
        <v/>
      </c>
    </row>
    <row r="4464">
      <c r="A4464" s="21" t="n">
        <v>4561</v>
      </c>
      <c r="B4464" s="21" t="inlineStr">
        <is>
          <t>The Purge: Anarchy</t>
        </is>
      </c>
      <c r="C4464" s="21" t="n">
        <v>2014</v>
      </c>
      <c r="D4464" s="21" t="inlineStr">
        <is>
          <t>USA</t>
        </is>
      </c>
      <c r="E4464" s="21" t="n">
        <v>103</v>
      </c>
      <c r="F4464" s="21" t="inlineStr">
        <is>
          <t>English</t>
        </is>
      </c>
      <c r="G4464" s="21" t="inlineStr">
        <is>
          <t>R</t>
        </is>
      </c>
      <c r="H4464" s="22" t="n">
        <v>71519230</v>
      </c>
      <c r="I4464" s="22" t="n">
        <v>9000000</v>
      </c>
      <c r="J4464" s="21">
        <f>IF(OR(H4464="",H4464=25529689.5),"Yes","No")</f>
        <v/>
      </c>
      <c r="K4464" s="21">
        <f>IF(AND(D4464="USA",C4464&gt;=1980,J4464="No"),"Yes","No")</f>
        <v/>
      </c>
      <c r="L4464" s="26">
        <f>IF(J4464="Yes","",H4464-I4464)</f>
        <v/>
      </c>
      <c r="M4464" s="27">
        <f>IF(OR(J4464="Yes",I4464=0),"",H4464/I4464)</f>
        <v/>
      </c>
      <c r="N4464" s="21">
        <f>IF(J4464="Yes","",IF(H4464&gt;=I4464,1,0))</f>
        <v/>
      </c>
      <c r="O4464" s="21">
        <f>IF(I4464&lt;=5000000,"Under $5M",IF(I4464&lt;=20000000,"$5M-20M",IF(I4464&lt;=50000000,"$20M-50M",IF(I4464&lt;=100000000,"$50M-100M","$100M+"))))</f>
        <v/>
      </c>
      <c r="P4464" s="21">
        <f>IF(E4464&lt;=90,"90 or less",IF(E4464&lt;=105,"91-105",IF(E4464&lt;=120,"106-120",IF(E4464&lt;=140,"121-140","Over 140"))))</f>
        <v/>
      </c>
      <c r="Q4464" s="28">
        <f>INT(C4464/10)*10</f>
        <v/>
      </c>
    </row>
    <row r="4465">
      <c r="A4465" s="21" t="n">
        <v>4562</v>
      </c>
      <c r="B4465" s="21" t="inlineStr">
        <is>
          <t>The Signal</t>
        </is>
      </c>
      <c r="C4465" s="21" t="n">
        <v>2014</v>
      </c>
      <c r="D4465" s="21" t="inlineStr">
        <is>
          <t>USA</t>
        </is>
      </c>
      <c r="E4465" s="21" t="n">
        <v>97</v>
      </c>
      <c r="F4465" s="21" t="inlineStr">
        <is>
          <t>English</t>
        </is>
      </c>
      <c r="G4465" s="21" t="inlineStr">
        <is>
          <t>PG-13</t>
        </is>
      </c>
      <c r="H4465" s="22" t="n">
        <v>25529689.5</v>
      </c>
      <c r="I4465" s="22" t="n">
        <v>4000000</v>
      </c>
      <c r="J4465" s="21">
        <f>IF(OR(H4465="",H4465=25529689.5),"Yes","No")</f>
        <v/>
      </c>
      <c r="K4465" s="21">
        <f>IF(AND(D4465="USA",C4465&gt;=1980,J4465="No"),"Yes","No")</f>
        <v/>
      </c>
      <c r="L4465" s="26">
        <f>IF(J4465="Yes","",H4465-I4465)</f>
        <v/>
      </c>
      <c r="M4465" s="27">
        <f>IF(OR(J4465="Yes",I4465=0),"",H4465/I4465)</f>
        <v/>
      </c>
      <c r="N4465" s="21">
        <f>IF(J4465="Yes","",IF(H4465&gt;=I4465,1,0))</f>
        <v/>
      </c>
      <c r="O4465" s="21">
        <f>IF(I4465&lt;=5000000,"Under $5M",IF(I4465&lt;=20000000,"$5M-20M",IF(I4465&lt;=50000000,"$20M-50M",IF(I4465&lt;=100000000,"$50M-100M","$100M+"))))</f>
        <v/>
      </c>
      <c r="P4465" s="21">
        <f>IF(E4465&lt;=90,"90 or less",IF(E4465&lt;=105,"91-105",IF(E4465&lt;=120,"106-120",IF(E4465&lt;=140,"121-140","Over 140"))))</f>
        <v/>
      </c>
      <c r="Q4465" s="28">
        <f>INT(C4465/10)*10</f>
        <v/>
      </c>
    </row>
    <row r="4466">
      <c r="A4466" s="21" t="n">
        <v>4563</v>
      </c>
      <c r="B4466" s="21" t="inlineStr">
        <is>
          <t>The Sisterhood of Night</t>
        </is>
      </c>
      <c r="C4466" s="21" t="n">
        <v>2014</v>
      </c>
      <c r="D4466" s="21" t="inlineStr">
        <is>
          <t>USA</t>
        </is>
      </c>
      <c r="E4466" s="21" t="n">
        <v>104</v>
      </c>
      <c r="F4466" s="21" t="inlineStr">
        <is>
          <t>English</t>
        </is>
      </c>
      <c r="G4466" s="21" t="inlineStr">
        <is>
          <t>PG-13</t>
        </is>
      </c>
      <c r="H4466" s="22" t="n">
        <v>25529689.5</v>
      </c>
      <c r="I4466" s="22" t="n">
        <v>1000000</v>
      </c>
      <c r="J4466" s="21">
        <f>IF(OR(H4466="",H4466=25529689.5),"Yes","No")</f>
        <v/>
      </c>
      <c r="K4466" s="21">
        <f>IF(AND(D4466="USA",C4466&gt;=1980,J4466="No"),"Yes","No")</f>
        <v/>
      </c>
      <c r="L4466" s="26">
        <f>IF(J4466="Yes","",H4466-I4466)</f>
        <v/>
      </c>
      <c r="M4466" s="27">
        <f>IF(OR(J4466="Yes",I4466=0),"",H4466/I4466)</f>
        <v/>
      </c>
      <c r="N4466" s="21">
        <f>IF(J4466="Yes","",IF(H4466&gt;=I4466,1,0))</f>
        <v/>
      </c>
      <c r="O4466" s="21">
        <f>IF(I4466&lt;=5000000,"Under $5M",IF(I4466&lt;=20000000,"$5M-20M",IF(I4466&lt;=50000000,"$20M-50M",IF(I4466&lt;=100000000,"$50M-100M","$100M+"))))</f>
        <v/>
      </c>
      <c r="P4466" s="21">
        <f>IF(E4466&lt;=90,"90 or less",IF(E4466&lt;=105,"91-105",IF(E4466&lt;=120,"106-120",IF(E4466&lt;=140,"121-140","Over 140"))))</f>
        <v/>
      </c>
      <c r="Q4466" s="28">
        <f>INT(C4466/10)*10</f>
        <v/>
      </c>
    </row>
    <row r="4467">
      <c r="A4467" s="21" t="n">
        <v>4564</v>
      </c>
      <c r="B4467" s="21" t="inlineStr">
        <is>
          <t>The Skeleton Twins</t>
        </is>
      </c>
      <c r="C4467" s="21" t="n">
        <v>2014</v>
      </c>
      <c r="D4467" s="21" t="inlineStr">
        <is>
          <t>USA</t>
        </is>
      </c>
      <c r="E4467" s="21" t="n">
        <v>93</v>
      </c>
      <c r="F4467" s="21" t="inlineStr">
        <is>
          <t>English</t>
        </is>
      </c>
      <c r="G4467" s="21" t="inlineStr">
        <is>
          <t>R</t>
        </is>
      </c>
      <c r="H4467" s="22" t="n">
        <v>5283379</v>
      </c>
      <c r="I4467" s="22" t="n">
        <v>20000000</v>
      </c>
      <c r="J4467" s="21">
        <f>IF(OR(H4467="",H4467=25529689.5),"Yes","No")</f>
        <v/>
      </c>
      <c r="K4467" s="21">
        <f>IF(AND(D4467="USA",C4467&gt;=1980,J4467="No"),"Yes","No")</f>
        <v/>
      </c>
      <c r="L4467" s="26">
        <f>IF(J4467="Yes","",H4467-I4467)</f>
        <v/>
      </c>
      <c r="M4467" s="27">
        <f>IF(OR(J4467="Yes",I4467=0),"",H4467/I4467)</f>
        <v/>
      </c>
      <c r="N4467" s="21">
        <f>IF(J4467="Yes","",IF(H4467&gt;=I4467,1,0))</f>
        <v/>
      </c>
      <c r="O4467" s="21">
        <f>IF(I4467&lt;=5000000,"Under $5M",IF(I4467&lt;=20000000,"$5M-20M",IF(I4467&lt;=50000000,"$20M-50M",IF(I4467&lt;=100000000,"$50M-100M","$100M+"))))</f>
        <v/>
      </c>
      <c r="P4467" s="21">
        <f>IF(E4467&lt;=90,"90 or less",IF(E4467&lt;=105,"91-105",IF(E4467&lt;=120,"106-120",IF(E4467&lt;=140,"121-140","Over 140"))))</f>
        <v/>
      </c>
      <c r="Q4467" s="28">
        <f>INT(C4467/10)*10</f>
        <v/>
      </c>
    </row>
    <row r="4468">
      <c r="A4468" s="21" t="n">
        <v>4565</v>
      </c>
      <c r="B4468" s="21" t="inlineStr">
        <is>
          <t>The Sleepwalker</t>
        </is>
      </c>
      <c r="C4468" s="21" t="n">
        <v>2014</v>
      </c>
      <c r="D4468" s="21" t="inlineStr">
        <is>
          <t>Norway</t>
        </is>
      </c>
      <c r="E4468" s="21" t="n">
        <v>91</v>
      </c>
      <c r="F4468" s="21" t="inlineStr">
        <is>
          <t>English</t>
        </is>
      </c>
      <c r="G4468" s="21" t="inlineStr">
        <is>
          <t>Not Rated</t>
        </is>
      </c>
      <c r="H4468" s="22" t="n">
        <v>25529689.5</v>
      </c>
      <c r="I4468" s="22" t="n">
        <v>1100000</v>
      </c>
      <c r="J4468" s="21">
        <f>IF(OR(H4468="",H4468=25529689.5),"Yes","No")</f>
        <v/>
      </c>
      <c r="K4468" s="21">
        <f>IF(AND(D4468="USA",C4468&gt;=1980,J4468="No"),"Yes","No")</f>
        <v/>
      </c>
      <c r="L4468" s="26">
        <f>IF(J4468="Yes","",H4468-I4468)</f>
        <v/>
      </c>
      <c r="M4468" s="27">
        <f>IF(OR(J4468="Yes",I4468=0),"",H4468/I4468)</f>
        <v/>
      </c>
      <c r="N4468" s="21">
        <f>IF(J4468="Yes","",IF(H4468&gt;=I4468,1,0))</f>
        <v/>
      </c>
      <c r="O4468" s="21">
        <f>IF(I4468&lt;=5000000,"Under $5M",IF(I4468&lt;=20000000,"$5M-20M",IF(I4468&lt;=50000000,"$20M-50M",IF(I4468&lt;=100000000,"$50M-100M","$100M+"))))</f>
        <v/>
      </c>
      <c r="P4468" s="21">
        <f>IF(E4468&lt;=90,"90 or less",IF(E4468&lt;=105,"91-105",IF(E4468&lt;=120,"106-120",IF(E4468&lt;=140,"121-140","Over 140"))))</f>
        <v/>
      </c>
      <c r="Q4468" s="28">
        <f>INT(C4468/10)*10</f>
        <v/>
      </c>
    </row>
    <row r="4469">
      <c r="A4469" s="21" t="n">
        <v>4566</v>
      </c>
      <c r="B4469" s="21" t="inlineStr">
        <is>
          <t>The Sound and the Shadow</t>
        </is>
      </c>
      <c r="C4469" s="21" t="n">
        <v>2014</v>
      </c>
      <c r="D4469" s="21" t="inlineStr">
        <is>
          <t>USA</t>
        </is>
      </c>
      <c r="E4469" s="21" t="n">
        <v>90</v>
      </c>
      <c r="F4469" s="21" t="inlineStr">
        <is>
          <t>English</t>
        </is>
      </c>
      <c r="G4469" s="21" t="inlineStr">
        <is>
          <t>R</t>
        </is>
      </c>
      <c r="H4469" s="22" t="n">
        <v>25529689.5</v>
      </c>
      <c r="I4469" s="22" t="n">
        <v>20000000</v>
      </c>
      <c r="J4469" s="21">
        <f>IF(OR(H4469="",H4469=25529689.5),"Yes","No")</f>
        <v/>
      </c>
      <c r="K4469" s="21">
        <f>IF(AND(D4469="USA",C4469&gt;=1980,J4469="No"),"Yes","No")</f>
        <v/>
      </c>
      <c r="L4469" s="26">
        <f>IF(J4469="Yes","",H4469-I4469)</f>
        <v/>
      </c>
      <c r="M4469" s="27">
        <f>IF(OR(J4469="Yes",I4469=0),"",H4469/I4469)</f>
        <v/>
      </c>
      <c r="N4469" s="21">
        <f>IF(J4469="Yes","",IF(H4469&gt;=I4469,1,0))</f>
        <v/>
      </c>
      <c r="O4469" s="21">
        <f>IF(I4469&lt;=5000000,"Under $5M",IF(I4469&lt;=20000000,"$5M-20M",IF(I4469&lt;=50000000,"$20M-50M",IF(I4469&lt;=100000000,"$50M-100M","$100M+"))))</f>
        <v/>
      </c>
      <c r="P4469" s="21">
        <f>IF(E4469&lt;=90,"90 or less",IF(E4469&lt;=105,"91-105",IF(E4469&lt;=120,"106-120",IF(E4469&lt;=140,"121-140","Over 140"))))</f>
        <v/>
      </c>
      <c r="Q4469" s="28">
        <f>INT(C4469/10)*10</f>
        <v/>
      </c>
    </row>
    <row r="4470">
      <c r="A4470" s="21" t="n">
        <v>4567</v>
      </c>
      <c r="B4470" s="21" t="inlineStr">
        <is>
          <t>The Theory of Everything</t>
        </is>
      </c>
      <c r="C4470" s="21" t="n">
        <v>2014</v>
      </c>
      <c r="D4470" s="21" t="inlineStr">
        <is>
          <t>UK</t>
        </is>
      </c>
      <c r="E4470" s="21" t="n">
        <v>123</v>
      </c>
      <c r="F4470" s="21" t="inlineStr">
        <is>
          <t>English</t>
        </is>
      </c>
      <c r="G4470" s="21" t="inlineStr">
        <is>
          <t>PG-13</t>
        </is>
      </c>
      <c r="H4470" s="22" t="n">
        <v>35887263</v>
      </c>
      <c r="I4470" s="22" t="n">
        <v>15000000</v>
      </c>
      <c r="J4470" s="21">
        <f>IF(OR(H4470="",H4470=25529689.5),"Yes","No")</f>
        <v/>
      </c>
      <c r="K4470" s="21">
        <f>IF(AND(D4470="USA",C4470&gt;=1980,J4470="No"),"Yes","No")</f>
        <v/>
      </c>
      <c r="L4470" s="26">
        <f>IF(J4470="Yes","",H4470-I4470)</f>
        <v/>
      </c>
      <c r="M4470" s="27">
        <f>IF(OR(J4470="Yes",I4470=0),"",H4470/I4470)</f>
        <v/>
      </c>
      <c r="N4470" s="21">
        <f>IF(J4470="Yes","",IF(H4470&gt;=I4470,1,0))</f>
        <v/>
      </c>
      <c r="O4470" s="21">
        <f>IF(I4470&lt;=5000000,"Under $5M",IF(I4470&lt;=20000000,"$5M-20M",IF(I4470&lt;=50000000,"$20M-50M",IF(I4470&lt;=100000000,"$50M-100M","$100M+"))))</f>
        <v/>
      </c>
      <c r="P4470" s="21">
        <f>IF(E4470&lt;=90,"90 or less",IF(E4470&lt;=105,"91-105",IF(E4470&lt;=120,"106-120",IF(E4470&lt;=140,"121-140","Over 140"))))</f>
        <v/>
      </c>
      <c r="Q4470" s="28">
        <f>INT(C4470/10)*10</f>
        <v/>
      </c>
    </row>
    <row r="4471">
      <c r="A4471" s="21" t="n">
        <v>4568</v>
      </c>
      <c r="B4471" s="21" t="inlineStr">
        <is>
          <t>The Water Diviner</t>
        </is>
      </c>
      <c r="C4471" s="21" t="n">
        <v>2014</v>
      </c>
      <c r="D4471" s="21" t="inlineStr">
        <is>
          <t>Australia</t>
        </is>
      </c>
      <c r="E4471" s="21" t="n">
        <v>111</v>
      </c>
      <c r="F4471" s="21" t="inlineStr">
        <is>
          <t>English</t>
        </is>
      </c>
      <c r="G4471" s="21" t="inlineStr">
        <is>
          <t>R</t>
        </is>
      </c>
      <c r="H4471" s="22" t="n">
        <v>4190530</v>
      </c>
      <c r="I4471" s="22" t="n">
        <v>22500000</v>
      </c>
      <c r="J4471" s="21">
        <f>IF(OR(H4471="",H4471=25529689.5),"Yes","No")</f>
        <v/>
      </c>
      <c r="K4471" s="21">
        <f>IF(AND(D4471="USA",C4471&gt;=1980,J4471="No"),"Yes","No")</f>
        <v/>
      </c>
      <c r="L4471" s="26">
        <f>IF(J4471="Yes","",H4471-I4471)</f>
        <v/>
      </c>
      <c r="M4471" s="27">
        <f>IF(OR(J4471="Yes",I4471=0),"",H4471/I4471)</f>
        <v/>
      </c>
      <c r="N4471" s="21">
        <f>IF(J4471="Yes","",IF(H4471&gt;=I4471,1,0))</f>
        <v/>
      </c>
      <c r="O4471" s="21">
        <f>IF(I4471&lt;=5000000,"Under $5M",IF(I4471&lt;=20000000,"$5M-20M",IF(I4471&lt;=50000000,"$20M-50M",IF(I4471&lt;=100000000,"$50M-100M","$100M+"))))</f>
        <v/>
      </c>
      <c r="P4471" s="21">
        <f>IF(E4471&lt;=90,"90 or less",IF(E4471&lt;=105,"91-105",IF(E4471&lt;=120,"106-120",IF(E4471&lt;=140,"121-140","Over 140"))))</f>
        <v/>
      </c>
      <c r="Q4471" s="28">
        <f>INT(C4471/10)*10</f>
        <v/>
      </c>
    </row>
    <row r="4472">
      <c r="A4472" s="21" t="n">
        <v>4569</v>
      </c>
      <c r="B4472" s="21" t="inlineStr">
        <is>
          <t>They Came Together</t>
        </is>
      </c>
      <c r="C4472" s="21" t="n">
        <v>2014</v>
      </c>
      <c r="D4472" s="21" t="inlineStr">
        <is>
          <t>USA</t>
        </is>
      </c>
      <c r="E4472" s="21" t="n">
        <v>83</v>
      </c>
      <c r="F4472" s="21" t="inlineStr">
        <is>
          <t>English</t>
        </is>
      </c>
      <c r="G4472" s="21" t="inlineStr">
        <is>
          <t>R</t>
        </is>
      </c>
      <c r="H4472" s="22" t="n">
        <v>25529689.5</v>
      </c>
      <c r="I4472" s="22" t="n">
        <v>20000000</v>
      </c>
      <c r="J4472" s="21">
        <f>IF(OR(H4472="",H4472=25529689.5),"Yes","No")</f>
        <v/>
      </c>
      <c r="K4472" s="21">
        <f>IF(AND(D4472="USA",C4472&gt;=1980,J4472="No"),"Yes","No")</f>
        <v/>
      </c>
      <c r="L4472" s="26">
        <f>IF(J4472="Yes","",H4472-I4472)</f>
        <v/>
      </c>
      <c r="M4472" s="27">
        <f>IF(OR(J4472="Yes",I4472=0),"",H4472/I4472)</f>
        <v/>
      </c>
      <c r="N4472" s="21">
        <f>IF(J4472="Yes","",IF(H4472&gt;=I4472,1,0))</f>
        <v/>
      </c>
      <c r="O4472" s="21">
        <f>IF(I4472&lt;=5000000,"Under $5M",IF(I4472&lt;=20000000,"$5M-20M",IF(I4472&lt;=50000000,"$20M-50M",IF(I4472&lt;=100000000,"$50M-100M","$100M+"))))</f>
        <v/>
      </c>
      <c r="P4472" s="21">
        <f>IF(E4472&lt;=90,"90 or less",IF(E4472&lt;=105,"91-105",IF(E4472&lt;=120,"106-120",IF(E4472&lt;=140,"121-140","Over 140"))))</f>
        <v/>
      </c>
      <c r="Q4472" s="28">
        <f>INT(C4472/10)*10</f>
        <v/>
      </c>
    </row>
    <row r="4473">
      <c r="A4473" s="21" t="n">
        <v>4570</v>
      </c>
      <c r="B4473" s="21" t="inlineStr">
        <is>
          <t>Think Like a Man Too</t>
        </is>
      </c>
      <c r="C4473" s="21" t="n">
        <v>2014</v>
      </c>
      <c r="D4473" s="21" t="inlineStr">
        <is>
          <t>USA</t>
        </is>
      </c>
      <c r="E4473" s="21" t="n">
        <v>106</v>
      </c>
      <c r="F4473" s="21" t="inlineStr">
        <is>
          <t>English</t>
        </is>
      </c>
      <c r="G4473" s="21" t="inlineStr">
        <is>
          <t>PG-13</t>
        </is>
      </c>
      <c r="H4473" s="22" t="n">
        <v>65182182</v>
      </c>
      <c r="I4473" s="22" t="n">
        <v>24000000</v>
      </c>
      <c r="J4473" s="21">
        <f>IF(OR(H4473="",H4473=25529689.5),"Yes","No")</f>
        <v/>
      </c>
      <c r="K4473" s="21">
        <f>IF(AND(D4473="USA",C4473&gt;=1980,J4473="No"),"Yes","No")</f>
        <v/>
      </c>
      <c r="L4473" s="26">
        <f>IF(J4473="Yes","",H4473-I4473)</f>
        <v/>
      </c>
      <c r="M4473" s="27">
        <f>IF(OR(J4473="Yes",I4473=0),"",H4473/I4473)</f>
        <v/>
      </c>
      <c r="N4473" s="21">
        <f>IF(J4473="Yes","",IF(H4473&gt;=I4473,1,0))</f>
        <v/>
      </c>
      <c r="O4473" s="21">
        <f>IF(I4473&lt;=5000000,"Under $5M",IF(I4473&lt;=20000000,"$5M-20M",IF(I4473&lt;=50000000,"$20M-50M",IF(I4473&lt;=100000000,"$50M-100M","$100M+"))))</f>
        <v/>
      </c>
      <c r="P4473" s="21">
        <f>IF(E4473&lt;=90,"90 or less",IF(E4473&lt;=105,"91-105",IF(E4473&lt;=120,"106-120",IF(E4473&lt;=140,"121-140","Over 140"))))</f>
        <v/>
      </c>
      <c r="Q4473" s="28">
        <f>INT(C4473/10)*10</f>
        <v/>
      </c>
    </row>
    <row r="4474">
      <c r="A4474" s="21" t="n">
        <v>4571</v>
      </c>
      <c r="B4474" s="21" t="inlineStr">
        <is>
          <t>This Is Where I Leave You</t>
        </is>
      </c>
      <c r="C4474" s="21" t="n">
        <v>2014</v>
      </c>
      <c r="D4474" s="21" t="inlineStr">
        <is>
          <t>USA</t>
        </is>
      </c>
      <c r="E4474" s="21" t="n">
        <v>103</v>
      </c>
      <c r="F4474" s="21" t="inlineStr">
        <is>
          <t>English</t>
        </is>
      </c>
      <c r="G4474" s="21" t="inlineStr">
        <is>
          <t>R</t>
        </is>
      </c>
      <c r="H4474" s="22" t="n">
        <v>34290142</v>
      </c>
      <c r="I4474" s="22" t="n">
        <v>19800000</v>
      </c>
      <c r="J4474" s="21">
        <f>IF(OR(H4474="",H4474=25529689.5),"Yes","No")</f>
        <v/>
      </c>
      <c r="K4474" s="21">
        <f>IF(AND(D4474="USA",C4474&gt;=1980,J4474="No"),"Yes","No")</f>
        <v/>
      </c>
      <c r="L4474" s="26">
        <f>IF(J4474="Yes","",H4474-I4474)</f>
        <v/>
      </c>
      <c r="M4474" s="27">
        <f>IF(OR(J4474="Yes",I4474=0),"",H4474/I4474)</f>
        <v/>
      </c>
      <c r="N4474" s="21">
        <f>IF(J4474="Yes","",IF(H4474&gt;=I4474,1,0))</f>
        <v/>
      </c>
      <c r="O4474" s="21">
        <f>IF(I4474&lt;=5000000,"Under $5M",IF(I4474&lt;=20000000,"$5M-20M",IF(I4474&lt;=50000000,"$20M-50M",IF(I4474&lt;=100000000,"$50M-100M","$100M+"))))</f>
        <v/>
      </c>
      <c r="P4474" s="21">
        <f>IF(E4474&lt;=90,"90 or less",IF(E4474&lt;=105,"91-105",IF(E4474&lt;=120,"106-120",IF(E4474&lt;=140,"121-140","Over 140"))))</f>
        <v/>
      </c>
      <c r="Q4474" s="28">
        <f>INT(C4474/10)*10</f>
        <v/>
      </c>
    </row>
    <row r="4475">
      <c r="A4475" s="21" t="n">
        <v>4572</v>
      </c>
      <c r="B4475" s="21" t="inlineStr">
        <is>
          <t>Tiger Orange</t>
        </is>
      </c>
      <c r="C4475" s="21" t="n">
        <v>2014</v>
      </c>
      <c r="D4475" s="21" t="inlineStr">
        <is>
          <t>USA</t>
        </is>
      </c>
      <c r="E4475" s="21" t="n">
        <v>75</v>
      </c>
      <c r="F4475" s="21" t="inlineStr">
        <is>
          <t>English</t>
        </is>
      </c>
      <c r="G4475" s="21" t="inlineStr">
        <is>
          <t>Unrated</t>
        </is>
      </c>
      <c r="H4475" s="22" t="n">
        <v>25529689.5</v>
      </c>
      <c r="I4475" s="22" t="n">
        <v>100000</v>
      </c>
      <c r="J4475" s="21">
        <f>IF(OR(H4475="",H4475=25529689.5),"Yes","No")</f>
        <v/>
      </c>
      <c r="K4475" s="21">
        <f>IF(AND(D4475="USA",C4475&gt;=1980,J4475="No"),"Yes","No")</f>
        <v/>
      </c>
      <c r="L4475" s="26">
        <f>IF(J4475="Yes","",H4475-I4475)</f>
        <v/>
      </c>
      <c r="M4475" s="27">
        <f>IF(OR(J4475="Yes",I4475=0),"",H4475/I4475)</f>
        <v/>
      </c>
      <c r="N4475" s="21">
        <f>IF(J4475="Yes","",IF(H4475&gt;=I4475,1,0))</f>
        <v/>
      </c>
      <c r="O4475" s="21">
        <f>IF(I4475&lt;=5000000,"Under $5M",IF(I4475&lt;=20000000,"$5M-20M",IF(I4475&lt;=50000000,"$20M-50M",IF(I4475&lt;=100000000,"$50M-100M","$100M+"))))</f>
        <v/>
      </c>
      <c r="P4475" s="21">
        <f>IF(E4475&lt;=90,"90 or less",IF(E4475&lt;=105,"91-105",IF(E4475&lt;=120,"106-120",IF(E4475&lt;=140,"121-140","Over 140"))))</f>
        <v/>
      </c>
      <c r="Q4475" s="28">
        <f>INT(C4475/10)*10</f>
        <v/>
      </c>
    </row>
    <row r="4476">
      <c r="A4476" s="21" t="n">
        <v>4573</v>
      </c>
      <c r="B4476" s="21" t="inlineStr">
        <is>
          <t>Top Five</t>
        </is>
      </c>
      <c r="C4476" s="21" t="n">
        <v>2014</v>
      </c>
      <c r="D4476" s="21" t="inlineStr">
        <is>
          <t>USA</t>
        </is>
      </c>
      <c r="E4476" s="21" t="n">
        <v>102</v>
      </c>
      <c r="F4476" s="21" t="inlineStr">
        <is>
          <t>English</t>
        </is>
      </c>
      <c r="G4476" s="21" t="inlineStr">
        <is>
          <t>R</t>
        </is>
      </c>
      <c r="H4476" s="22" t="n">
        <v>25277561</v>
      </c>
      <c r="I4476" s="22" t="n">
        <v>12000000</v>
      </c>
      <c r="J4476" s="21">
        <f>IF(OR(H4476="",H4476=25529689.5),"Yes","No")</f>
        <v/>
      </c>
      <c r="K4476" s="21">
        <f>IF(AND(D4476="USA",C4476&gt;=1980,J4476="No"),"Yes","No")</f>
        <v/>
      </c>
      <c r="L4476" s="26">
        <f>IF(J4476="Yes","",H4476-I4476)</f>
        <v/>
      </c>
      <c r="M4476" s="27">
        <f>IF(OR(J4476="Yes",I4476=0),"",H4476/I4476)</f>
        <v/>
      </c>
      <c r="N4476" s="21">
        <f>IF(J4476="Yes","",IF(H4476&gt;=I4476,1,0))</f>
        <v/>
      </c>
      <c r="O4476" s="21">
        <f>IF(I4476&lt;=5000000,"Under $5M",IF(I4476&lt;=20000000,"$5M-20M",IF(I4476&lt;=50000000,"$20M-50M",IF(I4476&lt;=100000000,"$50M-100M","$100M+"))))</f>
        <v/>
      </c>
      <c r="P4476" s="21">
        <f>IF(E4476&lt;=90,"90 or less",IF(E4476&lt;=105,"91-105",IF(E4476&lt;=120,"106-120",IF(E4476&lt;=140,"121-140","Over 140"))))</f>
        <v/>
      </c>
      <c r="Q4476" s="28">
        <f>INT(C4476/10)*10</f>
        <v/>
      </c>
    </row>
    <row r="4477">
      <c r="A4477" s="21" t="n">
        <v>4574</v>
      </c>
      <c r="B4477" s="21" t="inlineStr">
        <is>
          <t>Top Spin</t>
        </is>
      </c>
      <c r="C4477" s="21" t="n">
        <v>2014</v>
      </c>
      <c r="D4477" s="21" t="inlineStr">
        <is>
          <t>USA</t>
        </is>
      </c>
      <c r="E4477" s="21" t="n">
        <v>80</v>
      </c>
      <c r="F4477" s="21" t="inlineStr">
        <is>
          <t>English</t>
        </is>
      </c>
      <c r="G4477" s="21" t="n"/>
      <c r="H4477" s="22" t="n">
        <v>5858</v>
      </c>
      <c r="I4477" s="22" t="n">
        <v>150000</v>
      </c>
      <c r="J4477" s="21">
        <f>IF(OR(H4477="",H4477=25529689.5),"Yes","No")</f>
        <v/>
      </c>
      <c r="K4477" s="21">
        <f>IF(AND(D4477="USA",C4477&gt;=1980,J4477="No"),"Yes","No")</f>
        <v/>
      </c>
      <c r="L4477" s="26">
        <f>IF(J4477="Yes","",H4477-I4477)</f>
        <v/>
      </c>
      <c r="M4477" s="27">
        <f>IF(OR(J4477="Yes",I4477=0),"",H4477/I4477)</f>
        <v/>
      </c>
      <c r="N4477" s="21">
        <f>IF(J4477="Yes","",IF(H4477&gt;=I4477,1,0))</f>
        <v/>
      </c>
      <c r="O4477" s="21">
        <f>IF(I4477&lt;=5000000,"Under $5M",IF(I4477&lt;=20000000,"$5M-20M",IF(I4477&lt;=50000000,"$20M-50M",IF(I4477&lt;=100000000,"$50M-100M","$100M+"))))</f>
        <v/>
      </c>
      <c r="P4477" s="21">
        <f>IF(E4477&lt;=90,"90 or less",IF(E4477&lt;=105,"91-105",IF(E4477&lt;=120,"106-120",IF(E4477&lt;=140,"121-140","Over 140"))))</f>
        <v/>
      </c>
      <c r="Q4477" s="28">
        <f>INT(C4477/10)*10</f>
        <v/>
      </c>
    </row>
    <row r="4478">
      <c r="A4478" s="21" t="n">
        <v>4575</v>
      </c>
      <c r="B4478" s="21" t="inlineStr">
        <is>
          <t>Transcendence</t>
        </is>
      </c>
      <c r="C4478" s="21" t="n">
        <v>2014</v>
      </c>
      <c r="D4478" s="21" t="inlineStr">
        <is>
          <t>UK</t>
        </is>
      </c>
      <c r="E4478" s="21" t="n">
        <v>119</v>
      </c>
      <c r="F4478" s="21" t="inlineStr">
        <is>
          <t>English</t>
        </is>
      </c>
      <c r="G4478" s="21" t="inlineStr">
        <is>
          <t>PG-13</t>
        </is>
      </c>
      <c r="H4478" s="22" t="n">
        <v>23014504</v>
      </c>
      <c r="I4478" s="22" t="n">
        <v>100000000</v>
      </c>
      <c r="J4478" s="21">
        <f>IF(OR(H4478="",H4478=25529689.5),"Yes","No")</f>
        <v/>
      </c>
      <c r="K4478" s="21">
        <f>IF(AND(D4478="USA",C4478&gt;=1980,J4478="No"),"Yes","No")</f>
        <v/>
      </c>
      <c r="L4478" s="26">
        <f>IF(J4478="Yes","",H4478-I4478)</f>
        <v/>
      </c>
      <c r="M4478" s="27">
        <f>IF(OR(J4478="Yes",I4478=0),"",H4478/I4478)</f>
        <v/>
      </c>
      <c r="N4478" s="21">
        <f>IF(J4478="Yes","",IF(H4478&gt;=I4478,1,0))</f>
        <v/>
      </c>
      <c r="O4478" s="21">
        <f>IF(I4478&lt;=5000000,"Under $5M",IF(I4478&lt;=20000000,"$5M-20M",IF(I4478&lt;=50000000,"$20M-50M",IF(I4478&lt;=100000000,"$50M-100M","$100M+"))))</f>
        <v/>
      </c>
      <c r="P4478" s="21">
        <f>IF(E4478&lt;=90,"90 or less",IF(E4478&lt;=105,"91-105",IF(E4478&lt;=120,"106-120",IF(E4478&lt;=140,"121-140","Over 140"))))</f>
        <v/>
      </c>
      <c r="Q4478" s="28">
        <f>INT(C4478/10)*10</f>
        <v/>
      </c>
    </row>
    <row r="4479">
      <c r="A4479" s="21" t="n">
        <v>4576</v>
      </c>
      <c r="B4479" s="21" t="inlineStr">
        <is>
          <t>Transformers: Age of Extinction</t>
        </is>
      </c>
      <c r="C4479" s="21" t="n">
        <v>2014</v>
      </c>
      <c r="D4479" s="21" t="inlineStr">
        <is>
          <t>USA</t>
        </is>
      </c>
      <c r="E4479" s="21" t="n">
        <v>165</v>
      </c>
      <c r="F4479" s="21" t="inlineStr">
        <is>
          <t>English</t>
        </is>
      </c>
      <c r="G4479" s="21" t="inlineStr">
        <is>
          <t>PG-13</t>
        </is>
      </c>
      <c r="H4479" s="22" t="n">
        <v>245428137</v>
      </c>
      <c r="I4479" s="22" t="n">
        <v>210000000</v>
      </c>
      <c r="J4479" s="21">
        <f>IF(OR(H4479="",H4479=25529689.5),"Yes","No")</f>
        <v/>
      </c>
      <c r="K4479" s="21">
        <f>IF(AND(D4479="USA",C4479&gt;=1980,J4479="No"),"Yes","No")</f>
        <v/>
      </c>
      <c r="L4479" s="26">
        <f>IF(J4479="Yes","",H4479-I4479)</f>
        <v/>
      </c>
      <c r="M4479" s="27">
        <f>IF(OR(J4479="Yes",I4479=0),"",H4479/I4479)</f>
        <v/>
      </c>
      <c r="N4479" s="21">
        <f>IF(J4479="Yes","",IF(H4479&gt;=I4479,1,0))</f>
        <v/>
      </c>
      <c r="O4479" s="21">
        <f>IF(I4479&lt;=5000000,"Under $5M",IF(I4479&lt;=20000000,"$5M-20M",IF(I4479&lt;=50000000,"$20M-50M",IF(I4479&lt;=100000000,"$50M-100M","$100M+"))))</f>
        <v/>
      </c>
      <c r="P4479" s="21">
        <f>IF(E4479&lt;=90,"90 or less",IF(E4479&lt;=105,"91-105",IF(E4479&lt;=120,"106-120",IF(E4479&lt;=140,"121-140","Over 140"))))</f>
        <v/>
      </c>
      <c r="Q4479" s="28">
        <f>INT(C4479/10)*10</f>
        <v/>
      </c>
    </row>
    <row r="4480">
      <c r="A4480" s="21" t="n">
        <v>4577</v>
      </c>
      <c r="B4480" s="21" t="inlineStr">
        <is>
          <t>Trash</t>
        </is>
      </c>
      <c r="C4480" s="21" t="n">
        <v>2014</v>
      </c>
      <c r="D4480" s="21" t="inlineStr">
        <is>
          <t>UK</t>
        </is>
      </c>
      <c r="E4480" s="21" t="n">
        <v>114</v>
      </c>
      <c r="F4480" s="21" t="inlineStr">
        <is>
          <t>Portuguese</t>
        </is>
      </c>
      <c r="G4480" s="21" t="inlineStr">
        <is>
          <t>R</t>
        </is>
      </c>
      <c r="H4480" s="22" t="n">
        <v>10230</v>
      </c>
      <c r="I4480" s="22" t="n">
        <v>20000000</v>
      </c>
      <c r="J4480" s="21">
        <f>IF(OR(H4480="",H4480=25529689.5),"Yes","No")</f>
        <v/>
      </c>
      <c r="K4480" s="21">
        <f>IF(AND(D4480="USA",C4480&gt;=1980,J4480="No"),"Yes","No")</f>
        <v/>
      </c>
      <c r="L4480" s="26">
        <f>IF(J4480="Yes","",H4480-I4480)</f>
        <v/>
      </c>
      <c r="M4480" s="27">
        <f>IF(OR(J4480="Yes",I4480=0),"",H4480/I4480)</f>
        <v/>
      </c>
      <c r="N4480" s="21">
        <f>IF(J4480="Yes","",IF(H4480&gt;=I4480,1,0))</f>
        <v/>
      </c>
      <c r="O4480" s="21">
        <f>IF(I4480&lt;=5000000,"Under $5M",IF(I4480&lt;=20000000,"$5M-20M",IF(I4480&lt;=50000000,"$20M-50M",IF(I4480&lt;=100000000,"$50M-100M","$100M+"))))</f>
        <v/>
      </c>
      <c r="P4480" s="21">
        <f>IF(E4480&lt;=90,"90 or less",IF(E4480&lt;=105,"91-105",IF(E4480&lt;=120,"106-120",IF(E4480&lt;=140,"121-140","Over 140"))))</f>
        <v/>
      </c>
      <c r="Q4480" s="28">
        <f>INT(C4480/10)*10</f>
        <v/>
      </c>
    </row>
    <row r="4481">
      <c r="A4481" s="21" t="n">
        <v>4578</v>
      </c>
      <c r="B4481" s="21" t="inlineStr">
        <is>
          <t>Tusk</t>
        </is>
      </c>
      <c r="C4481" s="21" t="n">
        <v>2014</v>
      </c>
      <c r="D4481" s="21" t="inlineStr">
        <is>
          <t>USA</t>
        </is>
      </c>
      <c r="E4481" s="21" t="n">
        <v>102</v>
      </c>
      <c r="F4481" s="21" t="inlineStr">
        <is>
          <t>English</t>
        </is>
      </c>
      <c r="G4481" s="21" t="inlineStr">
        <is>
          <t>R</t>
        </is>
      </c>
      <c r="H4481" s="22" t="n">
        <v>1821983</v>
      </c>
      <c r="I4481" s="22" t="n">
        <v>3000000</v>
      </c>
      <c r="J4481" s="21">
        <f>IF(OR(H4481="",H4481=25529689.5),"Yes","No")</f>
        <v/>
      </c>
      <c r="K4481" s="21">
        <f>IF(AND(D4481="USA",C4481&gt;=1980,J4481="No"),"Yes","No")</f>
        <v/>
      </c>
      <c r="L4481" s="26">
        <f>IF(J4481="Yes","",H4481-I4481)</f>
        <v/>
      </c>
      <c r="M4481" s="27">
        <f>IF(OR(J4481="Yes",I4481=0),"",H4481/I4481)</f>
        <v/>
      </c>
      <c r="N4481" s="21">
        <f>IF(J4481="Yes","",IF(H4481&gt;=I4481,1,0))</f>
        <v/>
      </c>
      <c r="O4481" s="21">
        <f>IF(I4481&lt;=5000000,"Under $5M",IF(I4481&lt;=20000000,"$5M-20M",IF(I4481&lt;=50000000,"$20M-50M",IF(I4481&lt;=100000000,"$50M-100M","$100M+"))))</f>
        <v/>
      </c>
      <c r="P4481" s="21">
        <f>IF(E4481&lt;=90,"90 or less",IF(E4481&lt;=105,"91-105",IF(E4481&lt;=120,"106-120",IF(E4481&lt;=140,"121-140","Over 140"))))</f>
        <v/>
      </c>
      <c r="Q4481" s="28">
        <f>INT(C4481/10)*10</f>
        <v/>
      </c>
    </row>
    <row r="4482">
      <c r="A4482" s="21" t="n">
        <v>4579</v>
      </c>
      <c r="B4482" s="21" t="inlineStr">
        <is>
          <t>Unbroken</t>
        </is>
      </c>
      <c r="C4482" s="21" t="n">
        <v>2014</v>
      </c>
      <c r="D4482" s="21" t="inlineStr">
        <is>
          <t>USA</t>
        </is>
      </c>
      <c r="E4482" s="21" t="n">
        <v>137</v>
      </c>
      <c r="F4482" s="21" t="inlineStr">
        <is>
          <t>English</t>
        </is>
      </c>
      <c r="G4482" s="21" t="inlineStr">
        <is>
          <t>PG-13</t>
        </is>
      </c>
      <c r="H4482" s="22" t="n">
        <v>115603980</v>
      </c>
      <c r="I4482" s="22" t="n">
        <v>65000000</v>
      </c>
      <c r="J4482" s="21">
        <f>IF(OR(H4482="",H4482=25529689.5),"Yes","No")</f>
        <v/>
      </c>
      <c r="K4482" s="21">
        <f>IF(AND(D4482="USA",C4482&gt;=1980,J4482="No"),"Yes","No")</f>
        <v/>
      </c>
      <c r="L4482" s="26">
        <f>IF(J4482="Yes","",H4482-I4482)</f>
        <v/>
      </c>
      <c r="M4482" s="27">
        <f>IF(OR(J4482="Yes",I4482=0),"",H4482/I4482)</f>
        <v/>
      </c>
      <c r="N4482" s="21">
        <f>IF(J4482="Yes","",IF(H4482&gt;=I4482,1,0))</f>
        <v/>
      </c>
      <c r="O4482" s="21">
        <f>IF(I4482&lt;=5000000,"Under $5M",IF(I4482&lt;=20000000,"$5M-20M",IF(I4482&lt;=50000000,"$20M-50M",IF(I4482&lt;=100000000,"$50M-100M","$100M+"))))</f>
        <v/>
      </c>
      <c r="P4482" s="21">
        <f>IF(E4482&lt;=90,"90 or less",IF(E4482&lt;=105,"91-105",IF(E4482&lt;=120,"106-120",IF(E4482&lt;=140,"121-140","Over 140"))))</f>
        <v/>
      </c>
      <c r="Q4482" s="28">
        <f>INT(C4482/10)*10</f>
        <v/>
      </c>
    </row>
    <row r="4483">
      <c r="A4483" s="21" t="n">
        <v>4581</v>
      </c>
      <c r="B4483" s="21" t="inlineStr">
        <is>
          <t>Unfriended</t>
        </is>
      </c>
      <c r="C4483" s="21" t="n">
        <v>2014</v>
      </c>
      <c r="D4483" s="21" t="inlineStr">
        <is>
          <t>USA</t>
        </is>
      </c>
      <c r="E4483" s="21" t="n">
        <v>83</v>
      </c>
      <c r="F4483" s="21" t="inlineStr">
        <is>
          <t>English</t>
        </is>
      </c>
      <c r="G4483" s="21" t="inlineStr">
        <is>
          <t>R</t>
        </is>
      </c>
      <c r="H4483" s="22" t="n">
        <v>31537320</v>
      </c>
      <c r="I4483" s="22" t="n">
        <v>1000000</v>
      </c>
      <c r="J4483" s="21">
        <f>IF(OR(H4483="",H4483=25529689.5),"Yes","No")</f>
        <v/>
      </c>
      <c r="K4483" s="21">
        <f>IF(AND(D4483="USA",C4483&gt;=1980,J4483="No"),"Yes","No")</f>
        <v/>
      </c>
      <c r="L4483" s="26">
        <f>IF(J4483="Yes","",H4483-I4483)</f>
        <v/>
      </c>
      <c r="M4483" s="27">
        <f>IF(OR(J4483="Yes",I4483=0),"",H4483/I4483)</f>
        <v/>
      </c>
      <c r="N4483" s="21">
        <f>IF(J4483="Yes","",IF(H4483&gt;=I4483,1,0))</f>
        <v/>
      </c>
      <c r="O4483" s="21">
        <f>IF(I4483&lt;=5000000,"Under $5M",IF(I4483&lt;=20000000,"$5M-20M",IF(I4483&lt;=50000000,"$20M-50M",IF(I4483&lt;=100000000,"$50M-100M","$100M+"))))</f>
        <v/>
      </c>
      <c r="P4483" s="21">
        <f>IF(E4483&lt;=90,"90 or less",IF(E4483&lt;=105,"91-105",IF(E4483&lt;=120,"106-120",IF(E4483&lt;=140,"121-140","Over 140"))))</f>
        <v/>
      </c>
      <c r="Q4483" s="28">
        <f>INT(C4483/10)*10</f>
        <v/>
      </c>
    </row>
    <row r="4484">
      <c r="A4484" s="21" t="n">
        <v>4582</v>
      </c>
      <c r="B4484" s="21" t="inlineStr">
        <is>
          <t>United Passions</t>
        </is>
      </c>
      <c r="C4484" s="21" t="n">
        <v>2014</v>
      </c>
      <c r="D4484" s="21" t="inlineStr">
        <is>
          <t>France</t>
        </is>
      </c>
      <c r="E4484" s="21" t="n">
        <v>110</v>
      </c>
      <c r="F4484" s="21" t="inlineStr">
        <is>
          <t>English</t>
        </is>
      </c>
      <c r="G4484" s="21" t="inlineStr">
        <is>
          <t>Not Rated</t>
        </is>
      </c>
      <c r="H4484" s="22" t="n">
        <v>25529689.5</v>
      </c>
      <c r="I4484" s="22" t="n">
        <v>24000000</v>
      </c>
      <c r="J4484" s="21">
        <f>IF(OR(H4484="",H4484=25529689.5),"Yes","No")</f>
        <v/>
      </c>
      <c r="K4484" s="21">
        <f>IF(AND(D4484="USA",C4484&gt;=1980,J4484="No"),"Yes","No")</f>
        <v/>
      </c>
      <c r="L4484" s="26">
        <f>IF(J4484="Yes","",H4484-I4484)</f>
        <v/>
      </c>
      <c r="M4484" s="27">
        <f>IF(OR(J4484="Yes",I4484=0),"",H4484/I4484)</f>
        <v/>
      </c>
      <c r="N4484" s="21">
        <f>IF(J4484="Yes","",IF(H4484&gt;=I4484,1,0))</f>
        <v/>
      </c>
      <c r="O4484" s="21">
        <f>IF(I4484&lt;=5000000,"Under $5M",IF(I4484&lt;=20000000,"$5M-20M",IF(I4484&lt;=50000000,"$20M-50M",IF(I4484&lt;=100000000,"$50M-100M","$100M+"))))</f>
        <v/>
      </c>
      <c r="P4484" s="21">
        <f>IF(E4484&lt;=90,"90 or less",IF(E4484&lt;=105,"91-105",IF(E4484&lt;=120,"106-120",IF(E4484&lt;=140,"121-140","Over 140"))))</f>
        <v/>
      </c>
      <c r="Q4484" s="28">
        <f>INT(C4484/10)*10</f>
        <v/>
      </c>
    </row>
    <row r="4485">
      <c r="A4485" s="21" t="n">
        <v>4583</v>
      </c>
      <c r="B4485" s="21" t="inlineStr">
        <is>
          <t>Unsullied</t>
        </is>
      </c>
      <c r="C4485" s="21" t="n">
        <v>2014</v>
      </c>
      <c r="D4485" s="21" t="inlineStr">
        <is>
          <t>USA</t>
        </is>
      </c>
      <c r="E4485" s="21" t="n">
        <v>93</v>
      </c>
      <c r="F4485" s="21" t="inlineStr">
        <is>
          <t>English</t>
        </is>
      </c>
      <c r="G4485" s="21" t="inlineStr">
        <is>
          <t>R</t>
        </is>
      </c>
      <c r="H4485" s="22" t="n">
        <v>25529689.5</v>
      </c>
      <c r="I4485" s="22" t="n">
        <v>1500000</v>
      </c>
      <c r="J4485" s="21">
        <f>IF(OR(H4485="",H4485=25529689.5),"Yes","No")</f>
        <v/>
      </c>
      <c r="K4485" s="21">
        <f>IF(AND(D4485="USA",C4485&gt;=1980,J4485="No"),"Yes","No")</f>
        <v/>
      </c>
      <c r="L4485" s="26">
        <f>IF(J4485="Yes","",H4485-I4485)</f>
        <v/>
      </c>
      <c r="M4485" s="27">
        <f>IF(OR(J4485="Yes",I4485=0),"",H4485/I4485)</f>
        <v/>
      </c>
      <c r="N4485" s="21">
        <f>IF(J4485="Yes","",IF(H4485&gt;=I4485,1,0))</f>
        <v/>
      </c>
      <c r="O4485" s="21">
        <f>IF(I4485&lt;=5000000,"Under $5M",IF(I4485&lt;=20000000,"$5M-20M",IF(I4485&lt;=50000000,"$20M-50M",IF(I4485&lt;=100000000,"$50M-100M","$100M+"))))</f>
        <v/>
      </c>
      <c r="P4485" s="21">
        <f>IF(E4485&lt;=90,"90 or less",IF(E4485&lt;=105,"91-105",IF(E4485&lt;=120,"106-120",IF(E4485&lt;=140,"121-140","Over 140"))))</f>
        <v/>
      </c>
      <c r="Q4485" s="28">
        <f>INT(C4485/10)*10</f>
        <v/>
      </c>
    </row>
    <row r="4486">
      <c r="A4486" s="21" t="n">
        <v>4584</v>
      </c>
      <c r="B4486" s="21" t="inlineStr">
        <is>
          <t>Viy</t>
        </is>
      </c>
      <c r="C4486" s="21" t="n">
        <v>2014</v>
      </c>
      <c r="D4486" s="21" t="inlineStr">
        <is>
          <t>Russia</t>
        </is>
      </c>
      <c r="E4486" s="21" t="n">
        <v>107</v>
      </c>
      <c r="F4486" s="21" t="inlineStr">
        <is>
          <t>Russian</t>
        </is>
      </c>
      <c r="G4486" s="21" t="n"/>
      <c r="H4486" s="22" t="n">
        <v>25529689.5</v>
      </c>
      <c r="I4486" s="22" t="n">
        <v>26000000</v>
      </c>
      <c r="J4486" s="21">
        <f>IF(OR(H4486="",H4486=25529689.5),"Yes","No")</f>
        <v/>
      </c>
      <c r="K4486" s="21">
        <f>IF(AND(D4486="USA",C4486&gt;=1980,J4486="No"),"Yes","No")</f>
        <v/>
      </c>
      <c r="L4486" s="26">
        <f>IF(J4486="Yes","",H4486-I4486)</f>
        <v/>
      </c>
      <c r="M4486" s="27">
        <f>IF(OR(J4486="Yes",I4486=0),"",H4486/I4486)</f>
        <v/>
      </c>
      <c r="N4486" s="21">
        <f>IF(J4486="Yes","",IF(H4486&gt;=I4486,1,0))</f>
        <v/>
      </c>
      <c r="O4486" s="21">
        <f>IF(I4486&lt;=5000000,"Under $5M",IF(I4486&lt;=20000000,"$5M-20M",IF(I4486&lt;=50000000,"$20M-50M",IF(I4486&lt;=100000000,"$50M-100M","$100M+"))))</f>
        <v/>
      </c>
      <c r="P4486" s="21">
        <f>IF(E4486&lt;=90,"90 or less",IF(E4486&lt;=105,"91-105",IF(E4486&lt;=120,"106-120",IF(E4486&lt;=140,"121-140","Over 140"))))</f>
        <v/>
      </c>
      <c r="Q4486" s="28">
        <f>INT(C4486/10)*10</f>
        <v/>
      </c>
    </row>
    <row r="4487">
      <c r="A4487" s="21" t="n">
        <v>4585</v>
      </c>
      <c r="B4487" s="21" t="inlineStr">
        <is>
          <t>When the Game Stands Tall</t>
        </is>
      </c>
      <c r="C4487" s="21" t="n">
        <v>2014</v>
      </c>
      <c r="D4487" s="21" t="inlineStr">
        <is>
          <t>USA</t>
        </is>
      </c>
      <c r="E4487" s="21" t="n">
        <v>115</v>
      </c>
      <c r="F4487" s="21" t="inlineStr">
        <is>
          <t>English</t>
        </is>
      </c>
      <c r="G4487" s="21" t="inlineStr">
        <is>
          <t>PG</t>
        </is>
      </c>
      <c r="H4487" s="22" t="n">
        <v>30127963</v>
      </c>
      <c r="I4487" s="22" t="n">
        <v>15000000</v>
      </c>
      <c r="J4487" s="21">
        <f>IF(OR(H4487="",H4487=25529689.5),"Yes","No")</f>
        <v/>
      </c>
      <c r="K4487" s="21">
        <f>IF(AND(D4487="USA",C4487&gt;=1980,J4487="No"),"Yes","No")</f>
        <v/>
      </c>
      <c r="L4487" s="26">
        <f>IF(J4487="Yes","",H4487-I4487)</f>
        <v/>
      </c>
      <c r="M4487" s="27">
        <f>IF(OR(J4487="Yes",I4487=0),"",H4487/I4487)</f>
        <v/>
      </c>
      <c r="N4487" s="21">
        <f>IF(J4487="Yes","",IF(H4487&gt;=I4487,1,0))</f>
        <v/>
      </c>
      <c r="O4487" s="21">
        <f>IF(I4487&lt;=5000000,"Under $5M",IF(I4487&lt;=20000000,"$5M-20M",IF(I4487&lt;=50000000,"$20M-50M",IF(I4487&lt;=100000000,"$50M-100M","$100M+"))))</f>
        <v/>
      </c>
      <c r="P4487" s="21">
        <f>IF(E4487&lt;=90,"90 or less",IF(E4487&lt;=105,"91-105",IF(E4487&lt;=120,"106-120",IF(E4487&lt;=140,"121-140","Over 140"))))</f>
        <v/>
      </c>
      <c r="Q4487" s="28">
        <f>INT(C4487/10)*10</f>
        <v/>
      </c>
    </row>
    <row r="4488">
      <c r="A4488" s="21" t="n">
        <v>4586</v>
      </c>
      <c r="B4488" s="21" t="inlineStr">
        <is>
          <t>While We're Young</t>
        </is>
      </c>
      <c r="C4488" s="21" t="n">
        <v>2014</v>
      </c>
      <c r="D4488" s="21" t="inlineStr">
        <is>
          <t>USA</t>
        </is>
      </c>
      <c r="E4488" s="21" t="n">
        <v>97</v>
      </c>
      <c r="F4488" s="21" t="inlineStr">
        <is>
          <t>English</t>
        </is>
      </c>
      <c r="G4488" s="21" t="inlineStr">
        <is>
          <t>R</t>
        </is>
      </c>
      <c r="H4488" s="22" t="n">
        <v>7574066</v>
      </c>
      <c r="I4488" s="22" t="n">
        <v>10000000</v>
      </c>
      <c r="J4488" s="21">
        <f>IF(OR(H4488="",H4488=25529689.5),"Yes","No")</f>
        <v/>
      </c>
      <c r="K4488" s="21">
        <f>IF(AND(D4488="USA",C4488&gt;=1980,J4488="No"),"Yes","No")</f>
        <v/>
      </c>
      <c r="L4488" s="26">
        <f>IF(J4488="Yes","",H4488-I4488)</f>
        <v/>
      </c>
      <c r="M4488" s="27">
        <f>IF(OR(J4488="Yes",I4488=0),"",H4488/I4488)</f>
        <v/>
      </c>
      <c r="N4488" s="21">
        <f>IF(J4488="Yes","",IF(H4488&gt;=I4488,1,0))</f>
        <v/>
      </c>
      <c r="O4488" s="21">
        <f>IF(I4488&lt;=5000000,"Under $5M",IF(I4488&lt;=20000000,"$5M-20M",IF(I4488&lt;=50000000,"$20M-50M",IF(I4488&lt;=100000000,"$50M-100M","$100M+"))))</f>
        <v/>
      </c>
      <c r="P4488" s="21">
        <f>IF(E4488&lt;=90,"90 or less",IF(E4488&lt;=105,"91-105",IF(E4488&lt;=120,"106-120",IF(E4488&lt;=140,"121-140","Over 140"))))</f>
        <v/>
      </c>
      <c r="Q4488" s="28">
        <f>INT(C4488/10)*10</f>
        <v/>
      </c>
    </row>
    <row r="4489">
      <c r="A4489" s="21" t="n">
        <v>4587</v>
      </c>
      <c r="B4489" s="21" t="inlineStr">
        <is>
          <t>Whiplash</t>
        </is>
      </c>
      <c r="C4489" s="21" t="n">
        <v>2014</v>
      </c>
      <c r="D4489" s="21" t="inlineStr">
        <is>
          <t>USA</t>
        </is>
      </c>
      <c r="E4489" s="21" t="n">
        <v>107</v>
      </c>
      <c r="F4489" s="21" t="inlineStr">
        <is>
          <t>English</t>
        </is>
      </c>
      <c r="G4489" s="21" t="inlineStr">
        <is>
          <t>R</t>
        </is>
      </c>
      <c r="H4489" s="22" t="n">
        <v>13092000</v>
      </c>
      <c r="I4489" s="22" t="n">
        <v>3300000</v>
      </c>
      <c r="J4489" s="21">
        <f>IF(OR(H4489="",H4489=25529689.5),"Yes","No")</f>
        <v/>
      </c>
      <c r="K4489" s="21">
        <f>IF(AND(D4489="USA",C4489&gt;=1980,J4489="No"),"Yes","No")</f>
        <v/>
      </c>
      <c r="L4489" s="26">
        <f>IF(J4489="Yes","",H4489-I4489)</f>
        <v/>
      </c>
      <c r="M4489" s="27">
        <f>IF(OR(J4489="Yes",I4489=0),"",H4489/I4489)</f>
        <v/>
      </c>
      <c r="N4489" s="21">
        <f>IF(J4489="Yes","",IF(H4489&gt;=I4489,1,0))</f>
        <v/>
      </c>
      <c r="O4489" s="21">
        <f>IF(I4489&lt;=5000000,"Under $5M",IF(I4489&lt;=20000000,"$5M-20M",IF(I4489&lt;=50000000,"$20M-50M",IF(I4489&lt;=100000000,"$50M-100M","$100M+"))))</f>
        <v/>
      </c>
      <c r="P4489" s="21">
        <f>IF(E4489&lt;=90,"90 or less",IF(E4489&lt;=105,"91-105",IF(E4489&lt;=120,"106-120",IF(E4489&lt;=140,"121-140","Over 140"))))</f>
        <v/>
      </c>
      <c r="Q4489" s="28">
        <f>INT(C4489/10)*10</f>
        <v/>
      </c>
    </row>
    <row r="4490">
      <c r="A4490" s="21" t="n">
        <v>4588</v>
      </c>
      <c r="B4490" s="21" t="inlineStr">
        <is>
          <t>Wicked Blood</t>
        </is>
      </c>
      <c r="C4490" s="21" t="n">
        <v>2014</v>
      </c>
      <c r="D4490" s="21" t="inlineStr">
        <is>
          <t>USA</t>
        </is>
      </c>
      <c r="E4490" s="21" t="n">
        <v>92</v>
      </c>
      <c r="F4490" s="21" t="inlineStr">
        <is>
          <t>English</t>
        </is>
      </c>
      <c r="G4490" s="21" t="inlineStr">
        <is>
          <t>Not Rated</t>
        </is>
      </c>
      <c r="H4490" s="22" t="n">
        <v>25529689.5</v>
      </c>
      <c r="I4490" s="22" t="n">
        <v>3500000</v>
      </c>
      <c r="J4490" s="21">
        <f>IF(OR(H4490="",H4490=25529689.5),"Yes","No")</f>
        <v/>
      </c>
      <c r="K4490" s="21">
        <f>IF(AND(D4490="USA",C4490&gt;=1980,J4490="No"),"Yes","No")</f>
        <v/>
      </c>
      <c r="L4490" s="26">
        <f>IF(J4490="Yes","",H4490-I4490)</f>
        <v/>
      </c>
      <c r="M4490" s="27">
        <f>IF(OR(J4490="Yes",I4490=0),"",H4490/I4490)</f>
        <v/>
      </c>
      <c r="N4490" s="21">
        <f>IF(J4490="Yes","",IF(H4490&gt;=I4490,1,0))</f>
        <v/>
      </c>
      <c r="O4490" s="21">
        <f>IF(I4490&lt;=5000000,"Under $5M",IF(I4490&lt;=20000000,"$5M-20M",IF(I4490&lt;=50000000,"$20M-50M",IF(I4490&lt;=100000000,"$50M-100M","$100M+"))))</f>
        <v/>
      </c>
      <c r="P4490" s="21">
        <f>IF(E4490&lt;=90,"90 or less",IF(E4490&lt;=105,"91-105",IF(E4490&lt;=120,"106-120",IF(E4490&lt;=140,"121-140","Over 140"))))</f>
        <v/>
      </c>
      <c r="Q4490" s="28">
        <f>INT(C4490/10)*10</f>
        <v/>
      </c>
    </row>
    <row r="4491">
      <c r="A4491" s="21" t="n">
        <v>4589</v>
      </c>
      <c r="B4491" s="21" t="inlineStr">
        <is>
          <t>Wild</t>
        </is>
      </c>
      <c r="C4491" s="21" t="n">
        <v>2014</v>
      </c>
      <c r="D4491" s="21" t="inlineStr">
        <is>
          <t>USA</t>
        </is>
      </c>
      <c r="E4491" s="21" t="n">
        <v>115</v>
      </c>
      <c r="F4491" s="21" t="inlineStr">
        <is>
          <t>English</t>
        </is>
      </c>
      <c r="G4491" s="21" t="inlineStr">
        <is>
          <t>R</t>
        </is>
      </c>
      <c r="H4491" s="22" t="n">
        <v>37877959</v>
      </c>
      <c r="I4491" s="22" t="n">
        <v>15000000</v>
      </c>
      <c r="J4491" s="21">
        <f>IF(OR(H4491="",H4491=25529689.5),"Yes","No")</f>
        <v/>
      </c>
      <c r="K4491" s="21">
        <f>IF(AND(D4491="USA",C4491&gt;=1980,J4491="No"),"Yes","No")</f>
        <v/>
      </c>
      <c r="L4491" s="26">
        <f>IF(J4491="Yes","",H4491-I4491)</f>
        <v/>
      </c>
      <c r="M4491" s="27">
        <f>IF(OR(J4491="Yes",I4491=0),"",H4491/I4491)</f>
        <v/>
      </c>
      <c r="N4491" s="21">
        <f>IF(J4491="Yes","",IF(H4491&gt;=I4491,1,0))</f>
        <v/>
      </c>
      <c r="O4491" s="21">
        <f>IF(I4491&lt;=5000000,"Under $5M",IF(I4491&lt;=20000000,"$5M-20M",IF(I4491&lt;=50000000,"$20M-50M",IF(I4491&lt;=100000000,"$50M-100M","$100M+"))))</f>
        <v/>
      </c>
      <c r="P4491" s="21">
        <f>IF(E4491&lt;=90,"90 or less",IF(E4491&lt;=105,"91-105",IF(E4491&lt;=120,"106-120",IF(E4491&lt;=140,"121-140","Over 140"))))</f>
        <v/>
      </c>
      <c r="Q4491" s="28">
        <f>INT(C4491/10)*10</f>
        <v/>
      </c>
    </row>
    <row r="4492">
      <c r="A4492" s="21" t="n">
        <v>4590</v>
      </c>
      <c r="B4492" s="21" t="inlineStr">
        <is>
          <t>Winter's Tale</t>
        </is>
      </c>
      <c r="C4492" s="21" t="n">
        <v>2014</v>
      </c>
      <c r="D4492" s="21" t="inlineStr">
        <is>
          <t>USA</t>
        </is>
      </c>
      <c r="E4492" s="21" t="n">
        <v>118</v>
      </c>
      <c r="F4492" s="21" t="inlineStr">
        <is>
          <t>English</t>
        </is>
      </c>
      <c r="G4492" s="21" t="inlineStr">
        <is>
          <t>PG-13</t>
        </is>
      </c>
      <c r="H4492" s="22" t="n">
        <v>22451</v>
      </c>
      <c r="I4492" s="22" t="n">
        <v>60000000</v>
      </c>
      <c r="J4492" s="21">
        <f>IF(OR(H4492="",H4492=25529689.5),"Yes","No")</f>
        <v/>
      </c>
      <c r="K4492" s="21">
        <f>IF(AND(D4492="USA",C4492&gt;=1980,J4492="No"),"Yes","No")</f>
        <v/>
      </c>
      <c r="L4492" s="26">
        <f>IF(J4492="Yes","",H4492-I4492)</f>
        <v/>
      </c>
      <c r="M4492" s="27">
        <f>IF(OR(J4492="Yes",I4492=0),"",H4492/I4492)</f>
        <v/>
      </c>
      <c r="N4492" s="21">
        <f>IF(J4492="Yes","",IF(H4492&gt;=I4492,1,0))</f>
        <v/>
      </c>
      <c r="O4492" s="21">
        <f>IF(I4492&lt;=5000000,"Under $5M",IF(I4492&lt;=20000000,"$5M-20M",IF(I4492&lt;=50000000,"$20M-50M",IF(I4492&lt;=100000000,"$50M-100M","$100M+"))))</f>
        <v/>
      </c>
      <c r="P4492" s="21">
        <f>IF(E4492&lt;=90,"90 or less",IF(E4492&lt;=105,"91-105",IF(E4492&lt;=120,"106-120",IF(E4492&lt;=140,"121-140","Over 140"))))</f>
        <v/>
      </c>
      <c r="Q4492" s="28">
        <f>INT(C4492/10)*10</f>
        <v/>
      </c>
    </row>
    <row r="4493">
      <c r="A4493" s="21" t="n">
        <v>4591</v>
      </c>
      <c r="B4493" s="21" t="inlineStr">
        <is>
          <t>Wish I Was Here</t>
        </is>
      </c>
      <c r="C4493" s="21" t="n">
        <v>2014</v>
      </c>
      <c r="D4493" s="21" t="inlineStr">
        <is>
          <t>USA</t>
        </is>
      </c>
      <c r="E4493" s="21" t="n">
        <v>106</v>
      </c>
      <c r="F4493" s="21" t="inlineStr">
        <is>
          <t>English</t>
        </is>
      </c>
      <c r="G4493" s="21" t="inlineStr">
        <is>
          <t>R</t>
        </is>
      </c>
      <c r="H4493" s="22" t="n">
        <v>3588432</v>
      </c>
      <c r="I4493" s="22" t="n">
        <v>6000000</v>
      </c>
      <c r="J4493" s="21">
        <f>IF(OR(H4493="",H4493=25529689.5),"Yes","No")</f>
        <v/>
      </c>
      <c r="K4493" s="21">
        <f>IF(AND(D4493="USA",C4493&gt;=1980,J4493="No"),"Yes","No")</f>
        <v/>
      </c>
      <c r="L4493" s="26">
        <f>IF(J4493="Yes","",H4493-I4493)</f>
        <v/>
      </c>
      <c r="M4493" s="27">
        <f>IF(OR(J4493="Yes",I4493=0),"",H4493/I4493)</f>
        <v/>
      </c>
      <c r="N4493" s="21">
        <f>IF(J4493="Yes","",IF(H4493&gt;=I4493,1,0))</f>
        <v/>
      </c>
      <c r="O4493" s="21">
        <f>IF(I4493&lt;=5000000,"Under $5M",IF(I4493&lt;=20000000,"$5M-20M",IF(I4493&lt;=50000000,"$20M-50M",IF(I4493&lt;=100000000,"$50M-100M","$100M+"))))</f>
        <v/>
      </c>
      <c r="P4493" s="21">
        <f>IF(E4493&lt;=90,"90 or less",IF(E4493&lt;=105,"91-105",IF(E4493&lt;=120,"106-120",IF(E4493&lt;=140,"121-140","Over 140"))))</f>
        <v/>
      </c>
      <c r="Q4493" s="28">
        <f>INT(C4493/10)*10</f>
        <v/>
      </c>
    </row>
    <row r="4494">
      <c r="A4494" s="21" t="n">
        <v>4592</v>
      </c>
      <c r="B4494" s="21" t="inlineStr">
        <is>
          <t>Wolves</t>
        </is>
      </c>
      <c r="C4494" s="21" t="n">
        <v>2014</v>
      </c>
      <c r="D4494" s="21" t="inlineStr">
        <is>
          <t>France</t>
        </is>
      </c>
      <c r="E4494" s="21" t="n">
        <v>91</v>
      </c>
      <c r="F4494" s="21" t="inlineStr">
        <is>
          <t>English</t>
        </is>
      </c>
      <c r="G4494" s="21" t="inlineStr">
        <is>
          <t>R</t>
        </is>
      </c>
      <c r="H4494" s="22" t="n">
        <v>25529689.5</v>
      </c>
      <c r="I4494" s="22" t="n">
        <v>18000000</v>
      </c>
      <c r="J4494" s="21">
        <f>IF(OR(H4494="",H4494=25529689.5),"Yes","No")</f>
        <v/>
      </c>
      <c r="K4494" s="21">
        <f>IF(AND(D4494="USA",C4494&gt;=1980,J4494="No"),"Yes","No")</f>
        <v/>
      </c>
      <c r="L4494" s="26">
        <f>IF(J4494="Yes","",H4494-I4494)</f>
        <v/>
      </c>
      <c r="M4494" s="27">
        <f>IF(OR(J4494="Yes",I4494=0),"",H4494/I4494)</f>
        <v/>
      </c>
      <c r="N4494" s="21">
        <f>IF(J4494="Yes","",IF(H4494&gt;=I4494,1,0))</f>
        <v/>
      </c>
      <c r="O4494" s="21">
        <f>IF(I4494&lt;=5000000,"Under $5M",IF(I4494&lt;=20000000,"$5M-20M",IF(I4494&lt;=50000000,"$20M-50M",IF(I4494&lt;=100000000,"$50M-100M","$100M+"))))</f>
        <v/>
      </c>
      <c r="P4494" s="21">
        <f>IF(E4494&lt;=90,"90 or less",IF(E4494&lt;=105,"91-105",IF(E4494&lt;=120,"106-120",IF(E4494&lt;=140,"121-140","Over 140"))))</f>
        <v/>
      </c>
      <c r="Q4494" s="28">
        <f>INT(C4494/10)*10</f>
        <v/>
      </c>
    </row>
    <row r="4495">
      <c r="A4495" s="21" t="n">
        <v>4593</v>
      </c>
      <c r="B4495" s="21" t="inlineStr">
        <is>
          <t>X-Men: Days of Future Past</t>
        </is>
      </c>
      <c r="C4495" s="21" t="n">
        <v>2014</v>
      </c>
      <c r="D4495" s="21" t="inlineStr">
        <is>
          <t>USA</t>
        </is>
      </c>
      <c r="E4495" s="21" t="n">
        <v>149</v>
      </c>
      <c r="F4495" s="21" t="inlineStr">
        <is>
          <t>English</t>
        </is>
      </c>
      <c r="G4495" s="21" t="inlineStr">
        <is>
          <t>PG-13</t>
        </is>
      </c>
      <c r="H4495" s="22" t="n">
        <v>233914986</v>
      </c>
      <c r="I4495" s="22" t="n">
        <v>200000000</v>
      </c>
      <c r="J4495" s="21">
        <f>IF(OR(H4495="",H4495=25529689.5),"Yes","No")</f>
        <v/>
      </c>
      <c r="K4495" s="21">
        <f>IF(AND(D4495="USA",C4495&gt;=1980,J4495="No"),"Yes","No")</f>
        <v/>
      </c>
      <c r="L4495" s="26">
        <f>IF(J4495="Yes","",H4495-I4495)</f>
        <v/>
      </c>
      <c r="M4495" s="27">
        <f>IF(OR(J4495="Yes",I4495=0),"",H4495/I4495)</f>
        <v/>
      </c>
      <c r="N4495" s="21">
        <f>IF(J4495="Yes","",IF(H4495&gt;=I4495,1,0))</f>
        <v/>
      </c>
      <c r="O4495" s="21">
        <f>IF(I4495&lt;=5000000,"Under $5M",IF(I4495&lt;=20000000,"$5M-20M",IF(I4495&lt;=50000000,"$20M-50M",IF(I4495&lt;=100000000,"$50M-100M","$100M+"))))</f>
        <v/>
      </c>
      <c r="P4495" s="21">
        <f>IF(E4495&lt;=90,"90 or less",IF(E4495&lt;=105,"91-105",IF(E4495&lt;=120,"106-120",IF(E4495&lt;=140,"121-140","Over 140"))))</f>
        <v/>
      </c>
      <c r="Q4495" s="28">
        <f>INT(C4495/10)*10</f>
        <v/>
      </c>
    </row>
    <row r="4496">
      <c r="A4496" s="21" t="n">
        <v>4594</v>
      </c>
      <c r="B4496" s="21" t="inlineStr">
        <is>
          <t>Z Storm</t>
        </is>
      </c>
      <c r="C4496" s="21" t="n">
        <v>2014</v>
      </c>
      <c r="D4496" s="21" t="inlineStr">
        <is>
          <t>Hong Kong</t>
        </is>
      </c>
      <c r="E4496" s="21" t="n">
        <v>92</v>
      </c>
      <c r="F4496" s="21" t="inlineStr">
        <is>
          <t>Cantonese</t>
        </is>
      </c>
      <c r="G4496" s="21" t="n"/>
      <c r="H4496" s="22" t="n">
        <v>25529689.5</v>
      </c>
      <c r="I4496" s="22" t="n">
        <v>7000000</v>
      </c>
      <c r="J4496" s="21">
        <f>IF(OR(H4496="",H4496=25529689.5),"Yes","No")</f>
        <v/>
      </c>
      <c r="K4496" s="21">
        <f>IF(AND(D4496="USA",C4496&gt;=1980,J4496="No"),"Yes","No")</f>
        <v/>
      </c>
      <c r="L4496" s="26">
        <f>IF(J4496="Yes","",H4496-I4496)</f>
        <v/>
      </c>
      <c r="M4496" s="27">
        <f>IF(OR(J4496="Yes",I4496=0),"",H4496/I4496)</f>
        <v/>
      </c>
      <c r="N4496" s="21">
        <f>IF(J4496="Yes","",IF(H4496&gt;=I4496,1,0))</f>
        <v/>
      </c>
      <c r="O4496" s="21">
        <f>IF(I4496&lt;=5000000,"Under $5M",IF(I4496&lt;=20000000,"$5M-20M",IF(I4496&lt;=50000000,"$20M-50M",IF(I4496&lt;=100000000,"$50M-100M","$100M+"))))</f>
        <v/>
      </c>
      <c r="P4496" s="21">
        <f>IF(E4496&lt;=90,"90 or less",IF(E4496&lt;=105,"91-105",IF(E4496&lt;=120,"106-120",IF(E4496&lt;=140,"121-140","Over 140"))))</f>
        <v/>
      </c>
      <c r="Q4496" s="28">
        <f>INT(C4496/10)*10</f>
        <v/>
      </c>
    </row>
    <row r="4497">
      <c r="A4497" s="21" t="n">
        <v>4595</v>
      </c>
      <c r="B4497" s="21" t="inlineStr">
        <is>
          <t>#Horror</t>
        </is>
      </c>
      <c r="C4497" s="21" t="n">
        <v>2015</v>
      </c>
      <c r="D4497" s="21" t="inlineStr">
        <is>
          <t>USA</t>
        </is>
      </c>
      <c r="E4497" s="21" t="n">
        <v>101</v>
      </c>
      <c r="F4497" s="21" t="inlineStr">
        <is>
          <t>English</t>
        </is>
      </c>
      <c r="G4497" s="21" t="inlineStr">
        <is>
          <t>Not Rated</t>
        </is>
      </c>
      <c r="H4497" s="22" t="n">
        <v>25529689.5</v>
      </c>
      <c r="I4497" s="22" t="n">
        <v>1500000</v>
      </c>
      <c r="J4497" s="21">
        <f>IF(OR(H4497="",H4497=25529689.5),"Yes","No")</f>
        <v/>
      </c>
      <c r="K4497" s="21">
        <f>IF(AND(D4497="USA",C4497&gt;=1980,J4497="No"),"Yes","No")</f>
        <v/>
      </c>
      <c r="L4497" s="26">
        <f>IF(J4497="Yes","",H4497-I4497)</f>
        <v/>
      </c>
      <c r="M4497" s="27">
        <f>IF(OR(J4497="Yes",I4497=0),"",H4497/I4497)</f>
        <v/>
      </c>
      <c r="N4497" s="21">
        <f>IF(J4497="Yes","",IF(H4497&gt;=I4497,1,0))</f>
        <v/>
      </c>
      <c r="O4497" s="21">
        <f>IF(I4497&lt;=5000000,"Under $5M",IF(I4497&lt;=20000000,"$5M-20M",IF(I4497&lt;=50000000,"$20M-50M",IF(I4497&lt;=100000000,"$50M-100M","$100M+"))))</f>
        <v/>
      </c>
      <c r="P4497" s="21">
        <f>IF(E4497&lt;=90,"90 or less",IF(E4497&lt;=105,"91-105",IF(E4497&lt;=120,"106-120",IF(E4497&lt;=140,"121-140","Over 140"))))</f>
        <v/>
      </c>
      <c r="Q4497" s="28">
        <f>INT(C4497/10)*10</f>
        <v/>
      </c>
    </row>
    <row r="4498">
      <c r="A4498" s="21" t="n">
        <v>4596</v>
      </c>
      <c r="B4498" s="21" t="inlineStr">
        <is>
          <t>10 Days in a Madhouse</t>
        </is>
      </c>
      <c r="C4498" s="21" t="n">
        <v>2015</v>
      </c>
      <c r="D4498" s="21" t="inlineStr">
        <is>
          <t>USA</t>
        </is>
      </c>
      <c r="E4498" s="21" t="n">
        <v>111</v>
      </c>
      <c r="F4498" s="21" t="inlineStr">
        <is>
          <t>English</t>
        </is>
      </c>
      <c r="G4498" s="21" t="inlineStr">
        <is>
          <t>R</t>
        </is>
      </c>
      <c r="H4498" s="22" t="n">
        <v>14616</v>
      </c>
      <c r="I4498" s="22" t="n">
        <v>12000000</v>
      </c>
      <c r="J4498" s="21">
        <f>IF(OR(H4498="",H4498=25529689.5),"Yes","No")</f>
        <v/>
      </c>
      <c r="K4498" s="21">
        <f>IF(AND(D4498="USA",C4498&gt;=1980,J4498="No"),"Yes","No")</f>
        <v/>
      </c>
      <c r="L4498" s="26">
        <f>IF(J4498="Yes","",H4498-I4498)</f>
        <v/>
      </c>
      <c r="M4498" s="27">
        <f>IF(OR(J4498="Yes",I4498=0),"",H4498/I4498)</f>
        <v/>
      </c>
      <c r="N4498" s="21">
        <f>IF(J4498="Yes","",IF(H4498&gt;=I4498,1,0))</f>
        <v/>
      </c>
      <c r="O4498" s="21">
        <f>IF(I4498&lt;=5000000,"Under $5M",IF(I4498&lt;=20000000,"$5M-20M",IF(I4498&lt;=50000000,"$20M-50M",IF(I4498&lt;=100000000,"$50M-100M","$100M+"))))</f>
        <v/>
      </c>
      <c r="P4498" s="21">
        <f>IF(E4498&lt;=90,"90 or less",IF(E4498&lt;=105,"91-105",IF(E4498&lt;=120,"106-120",IF(E4498&lt;=140,"121-140","Over 140"))))</f>
        <v/>
      </c>
      <c r="Q4498" s="28">
        <f>INT(C4498/10)*10</f>
        <v/>
      </c>
    </row>
    <row r="4499">
      <c r="A4499" s="21" t="n">
        <v>4597</v>
      </c>
      <c r="B4499" s="21" t="inlineStr">
        <is>
          <t>90 Minutes in Heaven</t>
        </is>
      </c>
      <c r="C4499" s="21" t="n">
        <v>2015</v>
      </c>
      <c r="D4499" s="21" t="inlineStr">
        <is>
          <t>USA</t>
        </is>
      </c>
      <c r="E4499" s="21" t="n">
        <v>121</v>
      </c>
      <c r="F4499" s="21" t="inlineStr">
        <is>
          <t>English</t>
        </is>
      </c>
      <c r="G4499" s="21" t="inlineStr">
        <is>
          <t>PG-13</t>
        </is>
      </c>
      <c r="H4499" s="22" t="n">
        <v>4700361</v>
      </c>
      <c r="I4499" s="22" t="n">
        <v>5000000</v>
      </c>
      <c r="J4499" s="21">
        <f>IF(OR(H4499="",H4499=25529689.5),"Yes","No")</f>
        <v/>
      </c>
      <c r="K4499" s="21">
        <f>IF(AND(D4499="USA",C4499&gt;=1980,J4499="No"),"Yes","No")</f>
        <v/>
      </c>
      <c r="L4499" s="26">
        <f>IF(J4499="Yes","",H4499-I4499)</f>
        <v/>
      </c>
      <c r="M4499" s="27">
        <f>IF(OR(J4499="Yes",I4499=0),"",H4499/I4499)</f>
        <v/>
      </c>
      <c r="N4499" s="21">
        <f>IF(J4499="Yes","",IF(H4499&gt;=I4499,1,0))</f>
        <v/>
      </c>
      <c r="O4499" s="21">
        <f>IF(I4499&lt;=5000000,"Under $5M",IF(I4499&lt;=20000000,"$5M-20M",IF(I4499&lt;=50000000,"$20M-50M",IF(I4499&lt;=100000000,"$50M-100M","$100M+"))))</f>
        <v/>
      </c>
      <c r="P4499" s="21">
        <f>IF(E4499&lt;=90,"90 or less",IF(E4499&lt;=105,"91-105",IF(E4499&lt;=120,"106-120",IF(E4499&lt;=140,"121-140","Over 140"))))</f>
        <v/>
      </c>
      <c r="Q4499" s="28">
        <f>INT(C4499/10)*10</f>
        <v/>
      </c>
    </row>
    <row r="4500">
      <c r="A4500" s="21" t="n">
        <v>4598</v>
      </c>
      <c r="B4500" s="21" t="inlineStr">
        <is>
          <t>A Tale of Three Cities</t>
        </is>
      </c>
      <c r="C4500" s="21" t="n">
        <v>2015</v>
      </c>
      <c r="D4500" s="21" t="inlineStr">
        <is>
          <t>China</t>
        </is>
      </c>
      <c r="E4500" s="21" t="n">
        <v>130</v>
      </c>
      <c r="F4500" s="21" t="inlineStr">
        <is>
          <t>Chinese</t>
        </is>
      </c>
      <c r="G4500" s="21" t="n"/>
      <c r="H4500" s="22" t="n">
        <v>25529689.5</v>
      </c>
      <c r="I4500" s="22" t="n">
        <v>12000000</v>
      </c>
      <c r="J4500" s="21">
        <f>IF(OR(H4500="",H4500=25529689.5),"Yes","No")</f>
        <v/>
      </c>
      <c r="K4500" s="21">
        <f>IF(AND(D4500="USA",C4500&gt;=1980,J4500="No"),"Yes","No")</f>
        <v/>
      </c>
      <c r="L4500" s="26">
        <f>IF(J4500="Yes","",H4500-I4500)</f>
        <v/>
      </c>
      <c r="M4500" s="27">
        <f>IF(OR(J4500="Yes",I4500=0),"",H4500/I4500)</f>
        <v/>
      </c>
      <c r="N4500" s="21">
        <f>IF(J4500="Yes","",IF(H4500&gt;=I4500,1,0))</f>
        <v/>
      </c>
      <c r="O4500" s="21">
        <f>IF(I4500&lt;=5000000,"Under $5M",IF(I4500&lt;=20000000,"$5M-20M",IF(I4500&lt;=50000000,"$20M-50M",IF(I4500&lt;=100000000,"$50M-100M","$100M+"))))</f>
        <v/>
      </c>
      <c r="P4500" s="21">
        <f>IF(E4500&lt;=90,"90 or less",IF(E4500&lt;=105,"91-105",IF(E4500&lt;=120,"106-120",IF(E4500&lt;=140,"121-140","Over 140"))))</f>
        <v/>
      </c>
      <c r="Q4500" s="28">
        <f>INT(C4500/10)*10</f>
        <v/>
      </c>
    </row>
    <row r="4501">
      <c r="A4501" s="21" t="n">
        <v>4599</v>
      </c>
      <c r="B4501" s="21" t="inlineStr">
        <is>
          <t>A Warrior's Tail</t>
        </is>
      </c>
      <c r="C4501" s="21" t="n">
        <v>2015</v>
      </c>
      <c r="D4501" s="21" t="inlineStr">
        <is>
          <t>Russia</t>
        </is>
      </c>
      <c r="E4501" s="21" t="n">
        <v>85</v>
      </c>
      <c r="F4501" s="21" t="inlineStr">
        <is>
          <t>Russian</t>
        </is>
      </c>
      <c r="G4501" s="21" t="n"/>
      <c r="H4501" s="22" t="n">
        <v>25529689.5</v>
      </c>
      <c r="I4501" s="22" t="n">
        <v>30000000</v>
      </c>
      <c r="J4501" s="21">
        <f>IF(OR(H4501="",H4501=25529689.5),"Yes","No")</f>
        <v/>
      </c>
      <c r="K4501" s="21">
        <f>IF(AND(D4501="USA",C4501&gt;=1980,J4501="No"),"Yes","No")</f>
        <v/>
      </c>
      <c r="L4501" s="26">
        <f>IF(J4501="Yes","",H4501-I4501)</f>
        <v/>
      </c>
      <c r="M4501" s="27">
        <f>IF(OR(J4501="Yes",I4501=0),"",H4501/I4501)</f>
        <v/>
      </c>
      <c r="N4501" s="21">
        <f>IF(J4501="Yes","",IF(H4501&gt;=I4501,1,0))</f>
        <v/>
      </c>
      <c r="O4501" s="21">
        <f>IF(I4501&lt;=5000000,"Under $5M",IF(I4501&lt;=20000000,"$5M-20M",IF(I4501&lt;=50000000,"$20M-50M",IF(I4501&lt;=100000000,"$50M-100M","$100M+"))))</f>
        <v/>
      </c>
      <c r="P4501" s="21">
        <f>IF(E4501&lt;=90,"90 or less",IF(E4501&lt;=105,"91-105",IF(E4501&lt;=120,"106-120",IF(E4501&lt;=140,"121-140","Over 140"))))</f>
        <v/>
      </c>
      <c r="Q4501" s="28">
        <f>INT(C4501/10)*10</f>
        <v/>
      </c>
    </row>
    <row r="4502">
      <c r="A4502" s="21" t="n">
        <v>4600</v>
      </c>
      <c r="B4502" s="21" t="inlineStr">
        <is>
          <t>Abandoned</t>
        </is>
      </c>
      <c r="C4502" s="21" t="n">
        <v>2015</v>
      </c>
      <c r="D4502" s="21" t="inlineStr">
        <is>
          <t>New Zealand</t>
        </is>
      </c>
      <c r="E4502" s="21" t="n">
        <v>86</v>
      </c>
      <c r="F4502" s="21" t="inlineStr">
        <is>
          <t>English</t>
        </is>
      </c>
      <c r="G4502" s="21" t="n"/>
      <c r="H4502" s="22" t="n">
        <v>25529689.5</v>
      </c>
      <c r="I4502" s="22" t="n">
        <v>20000000</v>
      </c>
      <c r="J4502" s="21">
        <f>IF(OR(H4502="",H4502=25529689.5),"Yes","No")</f>
        <v/>
      </c>
      <c r="K4502" s="21">
        <f>IF(AND(D4502="USA",C4502&gt;=1980,J4502="No"),"Yes","No")</f>
        <v/>
      </c>
      <c r="L4502" s="26">
        <f>IF(J4502="Yes","",H4502-I4502)</f>
        <v/>
      </c>
      <c r="M4502" s="27">
        <f>IF(OR(J4502="Yes",I4502=0),"",H4502/I4502)</f>
        <v/>
      </c>
      <c r="N4502" s="21">
        <f>IF(J4502="Yes","",IF(H4502&gt;=I4502,1,0))</f>
        <v/>
      </c>
      <c r="O4502" s="21">
        <f>IF(I4502&lt;=5000000,"Under $5M",IF(I4502&lt;=20000000,"$5M-20M",IF(I4502&lt;=50000000,"$20M-50M",IF(I4502&lt;=100000000,"$50M-100M","$100M+"))))</f>
        <v/>
      </c>
      <c r="P4502" s="21">
        <f>IF(E4502&lt;=90,"90 or less",IF(E4502&lt;=105,"91-105",IF(E4502&lt;=120,"106-120",IF(E4502&lt;=140,"121-140","Over 140"))))</f>
        <v/>
      </c>
      <c r="Q4502" s="28">
        <f>INT(C4502/10)*10</f>
        <v/>
      </c>
    </row>
    <row r="4503">
      <c r="A4503" s="21" t="n">
        <v>4601</v>
      </c>
      <c r="B4503" s="21" t="inlineStr">
        <is>
          <t>Accidental Love</t>
        </is>
      </c>
      <c r="C4503" s="21" t="n">
        <v>2015</v>
      </c>
      <c r="D4503" s="21" t="inlineStr">
        <is>
          <t>USA</t>
        </is>
      </c>
      <c r="E4503" s="21" t="n">
        <v>100</v>
      </c>
      <c r="F4503" s="21" t="inlineStr">
        <is>
          <t>English</t>
        </is>
      </c>
      <c r="G4503" s="21" t="inlineStr">
        <is>
          <t>PG-13</t>
        </is>
      </c>
      <c r="H4503" s="22" t="n">
        <v>25529689.5</v>
      </c>
      <c r="I4503" s="22" t="n">
        <v>26000000</v>
      </c>
      <c r="J4503" s="21">
        <f>IF(OR(H4503="",H4503=25529689.5),"Yes","No")</f>
        <v/>
      </c>
      <c r="K4503" s="21">
        <f>IF(AND(D4503="USA",C4503&gt;=1980,J4503="No"),"Yes","No")</f>
        <v/>
      </c>
      <c r="L4503" s="26">
        <f>IF(J4503="Yes","",H4503-I4503)</f>
        <v/>
      </c>
      <c r="M4503" s="27">
        <f>IF(OR(J4503="Yes",I4503=0),"",H4503/I4503)</f>
        <v/>
      </c>
      <c r="N4503" s="21">
        <f>IF(J4503="Yes","",IF(H4503&gt;=I4503,1,0))</f>
        <v/>
      </c>
      <c r="O4503" s="21">
        <f>IF(I4503&lt;=5000000,"Under $5M",IF(I4503&lt;=20000000,"$5M-20M",IF(I4503&lt;=50000000,"$20M-50M",IF(I4503&lt;=100000000,"$50M-100M","$100M+"))))</f>
        <v/>
      </c>
      <c r="P4503" s="21">
        <f>IF(E4503&lt;=90,"90 or less",IF(E4503&lt;=105,"91-105",IF(E4503&lt;=120,"106-120",IF(E4503&lt;=140,"121-140","Over 140"))))</f>
        <v/>
      </c>
      <c r="Q4503" s="28">
        <f>INT(C4503/10)*10</f>
        <v/>
      </c>
    </row>
    <row r="4504">
      <c r="A4504" s="21" t="n">
        <v>4602</v>
      </c>
      <c r="B4504" s="21" t="inlineStr">
        <is>
          <t>Adulterers</t>
        </is>
      </c>
      <c r="C4504" s="21" t="n">
        <v>2015</v>
      </c>
      <c r="D4504" s="21" t="inlineStr">
        <is>
          <t>USA</t>
        </is>
      </c>
      <c r="E4504" s="21" t="n">
        <v>91</v>
      </c>
      <c r="F4504" s="21" t="inlineStr">
        <is>
          <t>English</t>
        </is>
      </c>
      <c r="G4504" s="21" t="n"/>
      <c r="H4504" s="22" t="n">
        <v>25529689.5</v>
      </c>
      <c r="I4504" s="22" t="n">
        <v>750000</v>
      </c>
      <c r="J4504" s="21">
        <f>IF(OR(H4504="",H4504=25529689.5),"Yes","No")</f>
        <v/>
      </c>
      <c r="K4504" s="21">
        <f>IF(AND(D4504="USA",C4504&gt;=1980,J4504="No"),"Yes","No")</f>
        <v/>
      </c>
      <c r="L4504" s="26">
        <f>IF(J4504="Yes","",H4504-I4504)</f>
        <v/>
      </c>
      <c r="M4504" s="27">
        <f>IF(OR(J4504="Yes",I4504=0),"",H4504/I4504)</f>
        <v/>
      </c>
      <c r="N4504" s="21">
        <f>IF(J4504="Yes","",IF(H4504&gt;=I4504,1,0))</f>
        <v/>
      </c>
      <c r="O4504" s="21">
        <f>IF(I4504&lt;=5000000,"Under $5M",IF(I4504&lt;=20000000,"$5M-20M",IF(I4504&lt;=50000000,"$20M-50M",IF(I4504&lt;=100000000,"$50M-100M","$100M+"))))</f>
        <v/>
      </c>
      <c r="P4504" s="21">
        <f>IF(E4504&lt;=90,"90 or less",IF(E4504&lt;=105,"91-105",IF(E4504&lt;=120,"106-120",IF(E4504&lt;=140,"121-140","Over 140"))))</f>
        <v/>
      </c>
      <c r="Q4504" s="28">
        <f>INT(C4504/10)*10</f>
        <v/>
      </c>
    </row>
    <row r="4505">
      <c r="A4505" s="21" t="n">
        <v>4603</v>
      </c>
      <c r="B4505" s="21" t="inlineStr">
        <is>
          <t>Aloha</t>
        </is>
      </c>
      <c r="C4505" s="21" t="n">
        <v>2015</v>
      </c>
      <c r="D4505" s="21" t="inlineStr">
        <is>
          <t>USA</t>
        </is>
      </c>
      <c r="E4505" s="21" t="n">
        <v>105</v>
      </c>
      <c r="F4505" s="21" t="inlineStr">
        <is>
          <t>English</t>
        </is>
      </c>
      <c r="G4505" s="21" t="inlineStr">
        <is>
          <t>PG-13</t>
        </is>
      </c>
      <c r="H4505" s="22" t="n">
        <v>20991497</v>
      </c>
      <c r="I4505" s="22" t="n">
        <v>37000000</v>
      </c>
      <c r="J4505" s="21">
        <f>IF(OR(H4505="",H4505=25529689.5),"Yes","No")</f>
        <v/>
      </c>
      <c r="K4505" s="21">
        <f>IF(AND(D4505="USA",C4505&gt;=1980,J4505="No"),"Yes","No")</f>
        <v/>
      </c>
      <c r="L4505" s="26">
        <f>IF(J4505="Yes","",H4505-I4505)</f>
        <v/>
      </c>
      <c r="M4505" s="27">
        <f>IF(OR(J4505="Yes",I4505=0),"",H4505/I4505)</f>
        <v/>
      </c>
      <c r="N4505" s="21">
        <f>IF(J4505="Yes","",IF(H4505&gt;=I4505,1,0))</f>
        <v/>
      </c>
      <c r="O4505" s="21">
        <f>IF(I4505&lt;=5000000,"Under $5M",IF(I4505&lt;=20000000,"$5M-20M",IF(I4505&lt;=50000000,"$20M-50M",IF(I4505&lt;=100000000,"$50M-100M","$100M+"))))</f>
        <v/>
      </c>
      <c r="P4505" s="21">
        <f>IF(E4505&lt;=90,"90 or less",IF(E4505&lt;=105,"91-105",IF(E4505&lt;=120,"106-120",IF(E4505&lt;=140,"121-140","Over 140"))))</f>
        <v/>
      </c>
      <c r="Q4505" s="28">
        <f>INT(C4505/10)*10</f>
        <v/>
      </c>
    </row>
    <row r="4506">
      <c r="A4506" s="21" t="n">
        <v>4605</v>
      </c>
      <c r="B4506" s="21" t="inlineStr">
        <is>
          <t>Alvin and the Chipmunks: The Road Chip</t>
        </is>
      </c>
      <c r="C4506" s="21" t="n">
        <v>2015</v>
      </c>
      <c r="D4506" s="21" t="inlineStr">
        <is>
          <t>USA</t>
        </is>
      </c>
      <c r="E4506" s="21" t="n">
        <v>92</v>
      </c>
      <c r="F4506" s="21" t="inlineStr">
        <is>
          <t>English</t>
        </is>
      </c>
      <c r="G4506" s="21" t="inlineStr">
        <is>
          <t>PG</t>
        </is>
      </c>
      <c r="H4506" s="22" t="n">
        <v>85884815</v>
      </c>
      <c r="I4506" s="22" t="n">
        <v>90000000</v>
      </c>
      <c r="J4506" s="21">
        <f>IF(OR(H4506="",H4506=25529689.5),"Yes","No")</f>
        <v/>
      </c>
      <c r="K4506" s="21">
        <f>IF(AND(D4506="USA",C4506&gt;=1980,J4506="No"),"Yes","No")</f>
        <v/>
      </c>
      <c r="L4506" s="26">
        <f>IF(J4506="Yes","",H4506-I4506)</f>
        <v/>
      </c>
      <c r="M4506" s="27">
        <f>IF(OR(J4506="Yes",I4506=0),"",H4506/I4506)</f>
        <v/>
      </c>
      <c r="N4506" s="21">
        <f>IF(J4506="Yes","",IF(H4506&gt;=I4506,1,0))</f>
        <v/>
      </c>
      <c r="O4506" s="21">
        <f>IF(I4506&lt;=5000000,"Under $5M",IF(I4506&lt;=20000000,"$5M-20M",IF(I4506&lt;=50000000,"$20M-50M",IF(I4506&lt;=100000000,"$50M-100M","$100M+"))))</f>
        <v/>
      </c>
      <c r="P4506" s="21">
        <f>IF(E4506&lt;=90,"90 or less",IF(E4506&lt;=105,"91-105",IF(E4506&lt;=120,"106-120",IF(E4506&lt;=140,"121-140","Over 140"))))</f>
        <v/>
      </c>
      <c r="Q4506" s="28">
        <f>INT(C4506/10)*10</f>
        <v/>
      </c>
    </row>
    <row r="4507">
      <c r="A4507" s="21" t="n">
        <v>4606</v>
      </c>
      <c r="B4507" s="21" t="inlineStr">
        <is>
          <t>America Is Still the Place</t>
        </is>
      </c>
      <c r="C4507" s="21" t="n">
        <v>2015</v>
      </c>
      <c r="D4507" s="21" t="inlineStr">
        <is>
          <t>USA</t>
        </is>
      </c>
      <c r="E4507" s="21" t="n">
        <v>90</v>
      </c>
      <c r="F4507" s="21" t="inlineStr">
        <is>
          <t>English</t>
        </is>
      </c>
      <c r="G4507" s="21" t="n"/>
      <c r="H4507" s="22" t="n">
        <v>25529689.5</v>
      </c>
      <c r="I4507" s="22" t="n">
        <v>20000000</v>
      </c>
      <c r="J4507" s="21">
        <f>IF(OR(H4507="",H4507=25529689.5),"Yes","No")</f>
        <v/>
      </c>
      <c r="K4507" s="21">
        <f>IF(AND(D4507="USA",C4507&gt;=1980,J4507="No"),"Yes","No")</f>
        <v/>
      </c>
      <c r="L4507" s="26">
        <f>IF(J4507="Yes","",H4507-I4507)</f>
        <v/>
      </c>
      <c r="M4507" s="27">
        <f>IF(OR(J4507="Yes",I4507=0),"",H4507/I4507)</f>
        <v/>
      </c>
      <c r="N4507" s="21">
        <f>IF(J4507="Yes","",IF(H4507&gt;=I4507,1,0))</f>
        <v/>
      </c>
      <c r="O4507" s="21">
        <f>IF(I4507&lt;=5000000,"Under $5M",IF(I4507&lt;=20000000,"$5M-20M",IF(I4507&lt;=50000000,"$20M-50M",IF(I4507&lt;=100000000,"$50M-100M","$100M+"))))</f>
        <v/>
      </c>
      <c r="P4507" s="21">
        <f>IF(E4507&lt;=90,"90 or less",IF(E4507&lt;=105,"91-105",IF(E4507&lt;=120,"106-120",IF(E4507&lt;=140,"121-140","Over 140"))))</f>
        <v/>
      </c>
      <c r="Q4507" s="28">
        <f>INT(C4507/10)*10</f>
        <v/>
      </c>
    </row>
    <row r="4508">
      <c r="A4508" s="21" t="n">
        <v>4607</v>
      </c>
      <c r="B4508" s="21" t="inlineStr">
        <is>
          <t>American Hero</t>
        </is>
      </c>
      <c r="C4508" s="21" t="n">
        <v>2015</v>
      </c>
      <c r="D4508" s="21" t="inlineStr">
        <is>
          <t>USA</t>
        </is>
      </c>
      <c r="E4508" s="21" t="n">
        <v>86</v>
      </c>
      <c r="F4508" s="21" t="inlineStr">
        <is>
          <t>English</t>
        </is>
      </c>
      <c r="G4508" s="21" t="n"/>
      <c r="H4508" s="22" t="n">
        <v>25529689.5</v>
      </c>
      <c r="I4508" s="22" t="n">
        <v>990000</v>
      </c>
      <c r="J4508" s="21">
        <f>IF(OR(H4508="",H4508=25529689.5),"Yes","No")</f>
        <v/>
      </c>
      <c r="K4508" s="21">
        <f>IF(AND(D4508="USA",C4508&gt;=1980,J4508="No"),"Yes","No")</f>
        <v/>
      </c>
      <c r="L4508" s="26">
        <f>IF(J4508="Yes","",H4508-I4508)</f>
        <v/>
      </c>
      <c r="M4508" s="27">
        <f>IF(OR(J4508="Yes",I4508=0),"",H4508/I4508)</f>
        <v/>
      </c>
      <c r="N4508" s="21">
        <f>IF(J4508="Yes","",IF(H4508&gt;=I4508,1,0))</f>
        <v/>
      </c>
      <c r="O4508" s="21">
        <f>IF(I4508&lt;=5000000,"Under $5M",IF(I4508&lt;=20000000,"$5M-20M",IF(I4508&lt;=50000000,"$20M-50M",IF(I4508&lt;=100000000,"$50M-100M","$100M+"))))</f>
        <v/>
      </c>
      <c r="P4508" s="21">
        <f>IF(E4508&lt;=90,"90 or less",IF(E4508&lt;=105,"91-105",IF(E4508&lt;=120,"106-120",IF(E4508&lt;=140,"121-140","Over 140"))))</f>
        <v/>
      </c>
      <c r="Q4508" s="28">
        <f>INT(C4508/10)*10</f>
        <v/>
      </c>
    </row>
    <row r="4509">
      <c r="A4509" s="21" t="n">
        <v>4608</v>
      </c>
      <c r="B4509" s="21" t="inlineStr">
        <is>
          <t>Animal Kingdom: Let's go Ape</t>
        </is>
      </c>
      <c r="C4509" s="21" t="n">
        <v>2015</v>
      </c>
      <c r="D4509" s="21" t="inlineStr">
        <is>
          <t>France</t>
        </is>
      </c>
      <c r="E4509" s="21" t="n">
        <v>101</v>
      </c>
      <c r="F4509" s="21" t="inlineStr">
        <is>
          <t>French</t>
        </is>
      </c>
      <c r="G4509" s="21" t="n"/>
      <c r="H4509" s="22" t="n">
        <v>25529689.5</v>
      </c>
      <c r="I4509" s="22" t="n">
        <v>20000000</v>
      </c>
      <c r="J4509" s="21">
        <f>IF(OR(H4509="",H4509=25529689.5),"Yes","No")</f>
        <v/>
      </c>
      <c r="K4509" s="21">
        <f>IF(AND(D4509="USA",C4509&gt;=1980,J4509="No"),"Yes","No")</f>
        <v/>
      </c>
      <c r="L4509" s="26">
        <f>IF(J4509="Yes","",H4509-I4509)</f>
        <v/>
      </c>
      <c r="M4509" s="27">
        <f>IF(OR(J4509="Yes",I4509=0),"",H4509/I4509)</f>
        <v/>
      </c>
      <c r="N4509" s="21">
        <f>IF(J4509="Yes","",IF(H4509&gt;=I4509,1,0))</f>
        <v/>
      </c>
      <c r="O4509" s="21">
        <f>IF(I4509&lt;=5000000,"Under $5M",IF(I4509&lt;=20000000,"$5M-20M",IF(I4509&lt;=50000000,"$20M-50M",IF(I4509&lt;=100000000,"$50M-100M","$100M+"))))</f>
        <v/>
      </c>
      <c r="P4509" s="21">
        <f>IF(E4509&lt;=90,"90 or less",IF(E4509&lt;=105,"91-105",IF(E4509&lt;=120,"106-120",IF(E4509&lt;=140,"121-140","Over 140"))))</f>
        <v/>
      </c>
      <c r="Q4509" s="28">
        <f>INT(C4509/10)*10</f>
        <v/>
      </c>
    </row>
    <row r="4510">
      <c r="A4510" s="21" t="n">
        <v>4609</v>
      </c>
      <c r="B4510" s="21" t="inlineStr">
        <is>
          <t>Anomalisa</t>
        </is>
      </c>
      <c r="C4510" s="21" t="n">
        <v>2015</v>
      </c>
      <c r="D4510" s="21" t="inlineStr">
        <is>
          <t>USA</t>
        </is>
      </c>
      <c r="E4510" s="21" t="n">
        <v>90</v>
      </c>
      <c r="F4510" s="21" t="inlineStr">
        <is>
          <t>English</t>
        </is>
      </c>
      <c r="G4510" s="21" t="inlineStr">
        <is>
          <t>R</t>
        </is>
      </c>
      <c r="H4510" s="22" t="n">
        <v>3442820</v>
      </c>
      <c r="I4510" s="22" t="n">
        <v>8000000</v>
      </c>
      <c r="J4510" s="21">
        <f>IF(OR(H4510="",H4510=25529689.5),"Yes","No")</f>
        <v/>
      </c>
      <c r="K4510" s="21">
        <f>IF(AND(D4510="USA",C4510&gt;=1980,J4510="No"),"Yes","No")</f>
        <v/>
      </c>
      <c r="L4510" s="26">
        <f>IF(J4510="Yes","",H4510-I4510)</f>
        <v/>
      </c>
      <c r="M4510" s="27">
        <f>IF(OR(J4510="Yes",I4510=0),"",H4510/I4510)</f>
        <v/>
      </c>
      <c r="N4510" s="21">
        <f>IF(J4510="Yes","",IF(H4510&gt;=I4510,1,0))</f>
        <v/>
      </c>
      <c r="O4510" s="21">
        <f>IF(I4510&lt;=5000000,"Under $5M",IF(I4510&lt;=20000000,"$5M-20M",IF(I4510&lt;=50000000,"$20M-50M",IF(I4510&lt;=100000000,"$50M-100M","$100M+"))))</f>
        <v/>
      </c>
      <c r="P4510" s="21">
        <f>IF(E4510&lt;=90,"90 or less",IF(E4510&lt;=105,"91-105",IF(E4510&lt;=120,"106-120",IF(E4510&lt;=140,"121-140","Over 140"))))</f>
        <v/>
      </c>
      <c r="Q4510" s="28">
        <f>INT(C4510/10)*10</f>
        <v/>
      </c>
    </row>
    <row r="4511">
      <c r="A4511" s="21" t="n">
        <v>4610</v>
      </c>
      <c r="B4511" s="21" t="inlineStr">
        <is>
          <t>Ant-Man</t>
        </is>
      </c>
      <c r="C4511" s="21" t="n">
        <v>2015</v>
      </c>
      <c r="D4511" s="21" t="inlineStr">
        <is>
          <t>USA</t>
        </is>
      </c>
      <c r="E4511" s="21" t="n">
        <v>117</v>
      </c>
      <c r="F4511" s="21" t="inlineStr">
        <is>
          <t>English</t>
        </is>
      </c>
      <c r="G4511" s="21" t="inlineStr">
        <is>
          <t>PG-13</t>
        </is>
      </c>
      <c r="H4511" s="22" t="n">
        <v>180191634</v>
      </c>
      <c r="I4511" s="22" t="n">
        <v>130000000</v>
      </c>
      <c r="J4511" s="21">
        <f>IF(OR(H4511="",H4511=25529689.5),"Yes","No")</f>
        <v/>
      </c>
      <c r="K4511" s="21">
        <f>IF(AND(D4511="USA",C4511&gt;=1980,J4511="No"),"Yes","No")</f>
        <v/>
      </c>
      <c r="L4511" s="26">
        <f>IF(J4511="Yes","",H4511-I4511)</f>
        <v/>
      </c>
      <c r="M4511" s="27">
        <f>IF(OR(J4511="Yes",I4511=0),"",H4511/I4511)</f>
        <v/>
      </c>
      <c r="N4511" s="21">
        <f>IF(J4511="Yes","",IF(H4511&gt;=I4511,1,0))</f>
        <v/>
      </c>
      <c r="O4511" s="21">
        <f>IF(I4511&lt;=5000000,"Under $5M",IF(I4511&lt;=20000000,"$5M-20M",IF(I4511&lt;=50000000,"$20M-50M",IF(I4511&lt;=100000000,"$50M-100M","$100M+"))))</f>
        <v/>
      </c>
      <c r="P4511" s="21">
        <f>IF(E4511&lt;=90,"90 or less",IF(E4511&lt;=105,"91-105",IF(E4511&lt;=120,"106-120",IF(E4511&lt;=140,"121-140","Over 140"))))</f>
        <v/>
      </c>
      <c r="Q4511" s="28">
        <f>INT(C4511/10)*10</f>
        <v/>
      </c>
    </row>
    <row r="4512">
      <c r="A4512" s="21" t="n">
        <v>4611</v>
      </c>
      <c r="B4512" s="21" t="inlineStr">
        <is>
          <t>Antarctic Edge: 70Â° South</t>
        </is>
      </c>
      <c r="C4512" s="21" t="n">
        <v>2015</v>
      </c>
      <c r="D4512" s="21" t="inlineStr">
        <is>
          <t>USA</t>
        </is>
      </c>
      <c r="E4512" s="21" t="n">
        <v>72</v>
      </c>
      <c r="F4512" s="21" t="inlineStr">
        <is>
          <t>English</t>
        </is>
      </c>
      <c r="G4512" s="21" t="n"/>
      <c r="H4512" s="22" t="n">
        <v>4914</v>
      </c>
      <c r="I4512" s="22" t="n">
        <v>150000</v>
      </c>
      <c r="J4512" s="21">
        <f>IF(OR(H4512="",H4512=25529689.5),"Yes","No")</f>
        <v/>
      </c>
      <c r="K4512" s="21">
        <f>IF(AND(D4512="USA",C4512&gt;=1980,J4512="No"),"Yes","No")</f>
        <v/>
      </c>
      <c r="L4512" s="26">
        <f>IF(J4512="Yes","",H4512-I4512)</f>
        <v/>
      </c>
      <c r="M4512" s="27">
        <f>IF(OR(J4512="Yes",I4512=0),"",H4512/I4512)</f>
        <v/>
      </c>
      <c r="N4512" s="21">
        <f>IF(J4512="Yes","",IF(H4512&gt;=I4512,1,0))</f>
        <v/>
      </c>
      <c r="O4512" s="21">
        <f>IF(I4512&lt;=5000000,"Under $5M",IF(I4512&lt;=20000000,"$5M-20M",IF(I4512&lt;=50000000,"$20M-50M",IF(I4512&lt;=100000000,"$50M-100M","$100M+"))))</f>
        <v/>
      </c>
      <c r="P4512" s="21">
        <f>IF(E4512&lt;=90,"90 or less",IF(E4512&lt;=105,"91-105",IF(E4512&lt;=120,"106-120",IF(E4512&lt;=140,"121-140","Over 140"))))</f>
        <v/>
      </c>
      <c r="Q4512" s="28">
        <f>INT(C4512/10)*10</f>
        <v/>
      </c>
    </row>
    <row r="4513">
      <c r="A4513" s="21" t="n">
        <v>4612</v>
      </c>
      <c r="B4513" s="21" t="inlineStr">
        <is>
          <t>Area 51</t>
        </is>
      </c>
      <c r="C4513" s="21" t="n">
        <v>2015</v>
      </c>
      <c r="D4513" s="21" t="inlineStr">
        <is>
          <t>USA</t>
        </is>
      </c>
      <c r="E4513" s="21" t="n">
        <v>91</v>
      </c>
      <c r="F4513" s="21" t="inlineStr">
        <is>
          <t>English</t>
        </is>
      </c>
      <c r="G4513" s="21" t="inlineStr">
        <is>
          <t>R</t>
        </is>
      </c>
      <c r="H4513" s="22" t="n">
        <v>25529689.5</v>
      </c>
      <c r="I4513" s="22" t="n">
        <v>5000000</v>
      </c>
      <c r="J4513" s="21">
        <f>IF(OR(H4513="",H4513=25529689.5),"Yes","No")</f>
        <v/>
      </c>
      <c r="K4513" s="21">
        <f>IF(AND(D4513="USA",C4513&gt;=1980,J4513="No"),"Yes","No")</f>
        <v/>
      </c>
      <c r="L4513" s="26">
        <f>IF(J4513="Yes","",H4513-I4513)</f>
        <v/>
      </c>
      <c r="M4513" s="27">
        <f>IF(OR(J4513="Yes",I4513=0),"",H4513/I4513)</f>
        <v/>
      </c>
      <c r="N4513" s="21">
        <f>IF(J4513="Yes","",IF(H4513&gt;=I4513,1,0))</f>
        <v/>
      </c>
      <c r="O4513" s="21">
        <f>IF(I4513&lt;=5000000,"Under $5M",IF(I4513&lt;=20000000,"$5M-20M",IF(I4513&lt;=50000000,"$20M-50M",IF(I4513&lt;=100000000,"$50M-100M","$100M+"))))</f>
        <v/>
      </c>
      <c r="P4513" s="21">
        <f>IF(E4513&lt;=90,"90 or less",IF(E4513&lt;=105,"91-105",IF(E4513&lt;=120,"106-120",IF(E4513&lt;=140,"121-140","Over 140"))))</f>
        <v/>
      </c>
      <c r="Q4513" s="28">
        <f>INT(C4513/10)*10</f>
        <v/>
      </c>
    </row>
    <row r="4514">
      <c r="A4514" s="21" t="n">
        <v>4613</v>
      </c>
      <c r="B4514" s="21" t="inlineStr">
        <is>
          <t>Avengers: Age of Ultron</t>
        </is>
      </c>
      <c r="C4514" s="21" t="n">
        <v>2015</v>
      </c>
      <c r="D4514" s="21" t="inlineStr">
        <is>
          <t>USA</t>
        </is>
      </c>
      <c r="E4514" s="21" t="n">
        <v>141</v>
      </c>
      <c r="F4514" s="21" t="inlineStr">
        <is>
          <t>English</t>
        </is>
      </c>
      <c r="G4514" s="21" t="inlineStr">
        <is>
          <t>PG-13</t>
        </is>
      </c>
      <c r="H4514" s="22" t="n">
        <v>458991599</v>
      </c>
      <c r="I4514" s="22" t="n">
        <v>250000000</v>
      </c>
      <c r="J4514" s="21">
        <f>IF(OR(H4514="",H4514=25529689.5),"Yes","No")</f>
        <v/>
      </c>
      <c r="K4514" s="21">
        <f>IF(AND(D4514="USA",C4514&gt;=1980,J4514="No"),"Yes","No")</f>
        <v/>
      </c>
      <c r="L4514" s="26">
        <f>IF(J4514="Yes","",H4514-I4514)</f>
        <v/>
      </c>
      <c r="M4514" s="27">
        <f>IF(OR(J4514="Yes",I4514=0),"",H4514/I4514)</f>
        <v/>
      </c>
      <c r="N4514" s="21">
        <f>IF(J4514="Yes","",IF(H4514&gt;=I4514,1,0))</f>
        <v/>
      </c>
      <c r="O4514" s="21">
        <f>IF(I4514&lt;=5000000,"Under $5M",IF(I4514&lt;=20000000,"$5M-20M",IF(I4514&lt;=50000000,"$20M-50M",IF(I4514&lt;=100000000,"$50M-100M","$100M+"))))</f>
        <v/>
      </c>
      <c r="P4514" s="21">
        <f>IF(E4514&lt;=90,"90 or less",IF(E4514&lt;=105,"91-105",IF(E4514&lt;=120,"106-120",IF(E4514&lt;=140,"121-140","Over 140"))))</f>
        <v/>
      </c>
      <c r="Q4514" s="28">
        <f>INT(C4514/10)*10</f>
        <v/>
      </c>
    </row>
    <row r="4515">
      <c r="A4515" s="21" t="n">
        <v>4614</v>
      </c>
      <c r="B4515" s="21" t="inlineStr">
        <is>
          <t>AWOL-72</t>
        </is>
      </c>
      <c r="C4515" s="21" t="n">
        <v>2015</v>
      </c>
      <c r="D4515" s="21" t="inlineStr">
        <is>
          <t>USA</t>
        </is>
      </c>
      <c r="E4515" s="21" t="n">
        <v>82</v>
      </c>
      <c r="F4515" s="21" t="inlineStr">
        <is>
          <t>English</t>
        </is>
      </c>
      <c r="G4515" s="21" t="inlineStr">
        <is>
          <t>R</t>
        </is>
      </c>
      <c r="H4515" s="22" t="n">
        <v>25529689.5</v>
      </c>
      <c r="I4515" s="22" t="n">
        <v>3000000</v>
      </c>
      <c r="J4515" s="21">
        <f>IF(OR(H4515="",H4515=25529689.5),"Yes","No")</f>
        <v/>
      </c>
      <c r="K4515" s="21">
        <f>IF(AND(D4515="USA",C4515&gt;=1980,J4515="No"),"Yes","No")</f>
        <v/>
      </c>
      <c r="L4515" s="26">
        <f>IF(J4515="Yes","",H4515-I4515)</f>
        <v/>
      </c>
      <c r="M4515" s="27">
        <f>IF(OR(J4515="Yes",I4515=0),"",H4515/I4515)</f>
        <v/>
      </c>
      <c r="N4515" s="21">
        <f>IF(J4515="Yes","",IF(H4515&gt;=I4515,1,0))</f>
        <v/>
      </c>
      <c r="O4515" s="21">
        <f>IF(I4515&lt;=5000000,"Under $5M",IF(I4515&lt;=20000000,"$5M-20M",IF(I4515&lt;=50000000,"$20M-50M",IF(I4515&lt;=100000000,"$50M-100M","$100M+"))))</f>
        <v/>
      </c>
      <c r="P4515" s="21">
        <f>IF(E4515&lt;=90,"90 or less",IF(E4515&lt;=105,"91-105",IF(E4515&lt;=120,"106-120",IF(E4515&lt;=140,"121-140","Over 140"))))</f>
        <v/>
      </c>
      <c r="Q4515" s="28">
        <f>INT(C4515/10)*10</f>
        <v/>
      </c>
    </row>
    <row r="4516">
      <c r="A4516" s="21" t="n">
        <v>4615</v>
      </c>
      <c r="B4516" s="21" t="inlineStr">
        <is>
          <t>Baahubali: The Beginning</t>
        </is>
      </c>
      <c r="C4516" s="21" t="n">
        <v>2015</v>
      </c>
      <c r="D4516" s="21" t="inlineStr">
        <is>
          <t>India</t>
        </is>
      </c>
      <c r="E4516" s="21" t="n">
        <v>159</v>
      </c>
      <c r="F4516" s="21" t="inlineStr">
        <is>
          <t>Telugu</t>
        </is>
      </c>
      <c r="G4516" s="21" t="n"/>
      <c r="H4516" s="22" t="n">
        <v>6498000</v>
      </c>
      <c r="I4516" s="22" t="n">
        <v>18026148</v>
      </c>
      <c r="J4516" s="21">
        <f>IF(OR(H4516="",H4516=25529689.5),"Yes","No")</f>
        <v/>
      </c>
      <c r="K4516" s="21">
        <f>IF(AND(D4516="USA",C4516&gt;=1980,J4516="No"),"Yes","No")</f>
        <v/>
      </c>
      <c r="L4516" s="26">
        <f>IF(J4516="Yes","",H4516-I4516)</f>
        <v/>
      </c>
      <c r="M4516" s="27">
        <f>IF(OR(J4516="Yes",I4516=0),"",H4516/I4516)</f>
        <v/>
      </c>
      <c r="N4516" s="21">
        <f>IF(J4516="Yes","",IF(H4516&gt;=I4516,1,0))</f>
        <v/>
      </c>
      <c r="O4516" s="21">
        <f>IF(I4516&lt;=5000000,"Under $5M",IF(I4516&lt;=20000000,"$5M-20M",IF(I4516&lt;=50000000,"$20M-50M",IF(I4516&lt;=100000000,"$50M-100M","$100M+"))))</f>
        <v/>
      </c>
      <c r="P4516" s="21">
        <f>IF(E4516&lt;=90,"90 or less",IF(E4516&lt;=105,"91-105",IF(E4516&lt;=120,"106-120",IF(E4516&lt;=140,"121-140","Over 140"))))</f>
        <v/>
      </c>
      <c r="Q4516" s="28">
        <f>INT(C4516/10)*10</f>
        <v/>
      </c>
    </row>
    <row r="4517">
      <c r="A4517" s="21" t="n">
        <v>4616</v>
      </c>
      <c r="B4517" s="21" t="inlineStr">
        <is>
          <t>Bizarre</t>
        </is>
      </c>
      <c r="C4517" s="21" t="n">
        <v>2015</v>
      </c>
      <c r="D4517" s="21" t="inlineStr">
        <is>
          <t>France</t>
        </is>
      </c>
      <c r="E4517" s="21" t="n">
        <v>98</v>
      </c>
      <c r="F4517" s="21" t="inlineStr">
        <is>
          <t>English</t>
        </is>
      </c>
      <c r="G4517" s="21" t="inlineStr">
        <is>
          <t>Unrated</t>
        </is>
      </c>
      <c r="H4517" s="22" t="n">
        <v>25529689.5</v>
      </c>
      <c r="I4517" s="22" t="n">
        <v>500000</v>
      </c>
      <c r="J4517" s="21">
        <f>IF(OR(H4517="",H4517=25529689.5),"Yes","No")</f>
        <v/>
      </c>
      <c r="K4517" s="21">
        <f>IF(AND(D4517="USA",C4517&gt;=1980,J4517="No"),"Yes","No")</f>
        <v/>
      </c>
      <c r="L4517" s="26">
        <f>IF(J4517="Yes","",H4517-I4517)</f>
        <v/>
      </c>
      <c r="M4517" s="27">
        <f>IF(OR(J4517="Yes",I4517=0),"",H4517/I4517)</f>
        <v/>
      </c>
      <c r="N4517" s="21">
        <f>IF(J4517="Yes","",IF(H4517&gt;=I4517,1,0))</f>
        <v/>
      </c>
      <c r="O4517" s="21">
        <f>IF(I4517&lt;=5000000,"Under $5M",IF(I4517&lt;=20000000,"$5M-20M",IF(I4517&lt;=50000000,"$20M-50M",IF(I4517&lt;=100000000,"$50M-100M","$100M+"))))</f>
        <v/>
      </c>
      <c r="P4517" s="21">
        <f>IF(E4517&lt;=90,"90 or less",IF(E4517&lt;=105,"91-105",IF(E4517&lt;=120,"106-120",IF(E4517&lt;=140,"121-140","Over 140"))))</f>
        <v/>
      </c>
      <c r="Q4517" s="28">
        <f>INT(C4517/10)*10</f>
        <v/>
      </c>
    </row>
    <row r="4518">
      <c r="A4518" s="21" t="n">
        <v>4617</v>
      </c>
      <c r="B4518" s="21" t="inlineStr">
        <is>
          <t>Black Mass</t>
        </is>
      </c>
      <c r="C4518" s="21" t="n">
        <v>2015</v>
      </c>
      <c r="D4518" s="21" t="inlineStr">
        <is>
          <t>USA</t>
        </is>
      </c>
      <c r="E4518" s="21" t="n">
        <v>123</v>
      </c>
      <c r="F4518" s="21" t="inlineStr">
        <is>
          <t>English</t>
        </is>
      </c>
      <c r="G4518" s="21" t="inlineStr">
        <is>
          <t>R</t>
        </is>
      </c>
      <c r="H4518" s="22" t="n">
        <v>62563543</v>
      </c>
      <c r="I4518" s="22" t="n">
        <v>53000000</v>
      </c>
      <c r="J4518" s="21">
        <f>IF(OR(H4518="",H4518=25529689.5),"Yes","No")</f>
        <v/>
      </c>
      <c r="K4518" s="21">
        <f>IF(AND(D4518="USA",C4518&gt;=1980,J4518="No"),"Yes","No")</f>
        <v/>
      </c>
      <c r="L4518" s="26">
        <f>IF(J4518="Yes","",H4518-I4518)</f>
        <v/>
      </c>
      <c r="M4518" s="27">
        <f>IF(OR(J4518="Yes",I4518=0),"",H4518/I4518)</f>
        <v/>
      </c>
      <c r="N4518" s="21">
        <f>IF(J4518="Yes","",IF(H4518&gt;=I4518,1,0))</f>
        <v/>
      </c>
      <c r="O4518" s="21">
        <f>IF(I4518&lt;=5000000,"Under $5M",IF(I4518&lt;=20000000,"$5M-20M",IF(I4518&lt;=50000000,"$20M-50M",IF(I4518&lt;=100000000,"$50M-100M","$100M+"))))</f>
        <v/>
      </c>
      <c r="P4518" s="21">
        <f>IF(E4518&lt;=90,"90 or less",IF(E4518&lt;=105,"91-105",IF(E4518&lt;=120,"106-120",IF(E4518&lt;=140,"121-140","Over 140"))))</f>
        <v/>
      </c>
      <c r="Q4518" s="28">
        <f>INT(C4518/10)*10</f>
        <v/>
      </c>
    </row>
    <row r="4519">
      <c r="A4519" s="21" t="n">
        <v>4618</v>
      </c>
      <c r="B4519" s="21" t="inlineStr">
        <is>
          <t>Blackhat</t>
        </is>
      </c>
      <c r="C4519" s="21" t="n">
        <v>2015</v>
      </c>
      <c r="D4519" s="21" t="inlineStr">
        <is>
          <t>USA</t>
        </is>
      </c>
      <c r="E4519" s="21" t="n">
        <v>133</v>
      </c>
      <c r="F4519" s="21" t="inlineStr">
        <is>
          <t>English</t>
        </is>
      </c>
      <c r="G4519" s="21" t="inlineStr">
        <is>
          <t>R</t>
        </is>
      </c>
      <c r="H4519" s="22" t="n">
        <v>7097125</v>
      </c>
      <c r="I4519" s="22" t="n">
        <v>70000000</v>
      </c>
      <c r="J4519" s="21">
        <f>IF(OR(H4519="",H4519=25529689.5),"Yes","No")</f>
        <v/>
      </c>
      <c r="K4519" s="21">
        <f>IF(AND(D4519="USA",C4519&gt;=1980,J4519="No"),"Yes","No")</f>
        <v/>
      </c>
      <c r="L4519" s="26">
        <f>IF(J4519="Yes","",H4519-I4519)</f>
        <v/>
      </c>
      <c r="M4519" s="27">
        <f>IF(OR(J4519="Yes",I4519=0),"",H4519/I4519)</f>
        <v/>
      </c>
      <c r="N4519" s="21">
        <f>IF(J4519="Yes","",IF(H4519&gt;=I4519,1,0))</f>
        <v/>
      </c>
      <c r="O4519" s="21">
        <f>IF(I4519&lt;=5000000,"Under $5M",IF(I4519&lt;=20000000,"$5M-20M",IF(I4519&lt;=50000000,"$20M-50M",IF(I4519&lt;=100000000,"$50M-100M","$100M+"))))</f>
        <v/>
      </c>
      <c r="P4519" s="21">
        <f>IF(E4519&lt;=90,"90 or less",IF(E4519&lt;=105,"91-105",IF(E4519&lt;=120,"106-120",IF(E4519&lt;=140,"121-140","Over 140"))))</f>
        <v/>
      </c>
      <c r="Q4519" s="28">
        <f>INT(C4519/10)*10</f>
        <v/>
      </c>
    </row>
    <row r="4520">
      <c r="A4520" s="21" t="n">
        <v>4619</v>
      </c>
      <c r="B4520" s="21" t="inlineStr">
        <is>
          <t>Bleeding Hearts</t>
        </is>
      </c>
      <c r="C4520" s="21" t="n">
        <v>2015</v>
      </c>
      <c r="D4520" s="21" t="inlineStr">
        <is>
          <t>USA</t>
        </is>
      </c>
      <c r="E4520" s="21" t="n">
        <v>100</v>
      </c>
      <c r="F4520" s="21" t="inlineStr">
        <is>
          <t>English</t>
        </is>
      </c>
      <c r="G4520" s="21" t="n"/>
      <c r="H4520" s="22" t="n">
        <v>25529689.5</v>
      </c>
      <c r="I4520" s="22" t="n">
        <v>1200000</v>
      </c>
      <c r="J4520" s="21">
        <f>IF(OR(H4520="",H4520=25529689.5),"Yes","No")</f>
        <v/>
      </c>
      <c r="K4520" s="21">
        <f>IF(AND(D4520="USA",C4520&gt;=1980,J4520="No"),"Yes","No")</f>
        <v/>
      </c>
      <c r="L4520" s="26">
        <f>IF(J4520="Yes","",H4520-I4520)</f>
        <v/>
      </c>
      <c r="M4520" s="27">
        <f>IF(OR(J4520="Yes",I4520=0),"",H4520/I4520)</f>
        <v/>
      </c>
      <c r="N4520" s="21">
        <f>IF(J4520="Yes","",IF(H4520&gt;=I4520,1,0))</f>
        <v/>
      </c>
      <c r="O4520" s="21">
        <f>IF(I4520&lt;=5000000,"Under $5M",IF(I4520&lt;=20000000,"$5M-20M",IF(I4520&lt;=50000000,"$20M-50M",IF(I4520&lt;=100000000,"$50M-100M","$100M+"))))</f>
        <v/>
      </c>
      <c r="P4520" s="21">
        <f>IF(E4520&lt;=90,"90 or less",IF(E4520&lt;=105,"91-105",IF(E4520&lt;=120,"106-120",IF(E4520&lt;=140,"121-140","Over 140"))))</f>
        <v/>
      </c>
      <c r="Q4520" s="28">
        <f>INT(C4520/10)*10</f>
        <v/>
      </c>
    </row>
    <row r="4521">
      <c r="A4521" s="21" t="n">
        <v>4620</v>
      </c>
      <c r="B4521" s="21" t="inlineStr">
        <is>
          <t>Bridge of Spies</t>
        </is>
      </c>
      <c r="C4521" s="21" t="n">
        <v>2015</v>
      </c>
      <c r="D4521" s="21" t="inlineStr">
        <is>
          <t>USA</t>
        </is>
      </c>
      <c r="E4521" s="21" t="n">
        <v>142</v>
      </c>
      <c r="F4521" s="21" t="inlineStr">
        <is>
          <t>English</t>
        </is>
      </c>
      <c r="G4521" s="21" t="inlineStr">
        <is>
          <t>PG-13</t>
        </is>
      </c>
      <c r="H4521" s="22" t="n">
        <v>72306065</v>
      </c>
      <c r="I4521" s="22" t="n">
        <v>40000000</v>
      </c>
      <c r="J4521" s="21">
        <f>IF(OR(H4521="",H4521=25529689.5),"Yes","No")</f>
        <v/>
      </c>
      <c r="K4521" s="21">
        <f>IF(AND(D4521="USA",C4521&gt;=1980,J4521="No"),"Yes","No")</f>
        <v/>
      </c>
      <c r="L4521" s="26">
        <f>IF(J4521="Yes","",H4521-I4521)</f>
        <v/>
      </c>
      <c r="M4521" s="27">
        <f>IF(OR(J4521="Yes",I4521=0),"",H4521/I4521)</f>
        <v/>
      </c>
      <c r="N4521" s="21">
        <f>IF(J4521="Yes","",IF(H4521&gt;=I4521,1,0))</f>
        <v/>
      </c>
      <c r="O4521" s="21">
        <f>IF(I4521&lt;=5000000,"Under $5M",IF(I4521&lt;=20000000,"$5M-20M",IF(I4521&lt;=50000000,"$20M-50M",IF(I4521&lt;=100000000,"$50M-100M","$100M+"))))</f>
        <v/>
      </c>
      <c r="P4521" s="21">
        <f>IF(E4521&lt;=90,"90 or less",IF(E4521&lt;=105,"91-105",IF(E4521&lt;=120,"106-120",IF(E4521&lt;=140,"121-140","Over 140"))))</f>
        <v/>
      </c>
      <c r="Q4521" s="28">
        <f>INT(C4521/10)*10</f>
        <v/>
      </c>
    </row>
    <row r="4522">
      <c r="A4522" s="21" t="n">
        <v>4621</v>
      </c>
      <c r="B4522" s="21" t="inlineStr">
        <is>
          <t>Broken Horses</t>
        </is>
      </c>
      <c r="C4522" s="21" t="n">
        <v>2015</v>
      </c>
      <c r="D4522" s="21" t="inlineStr">
        <is>
          <t>USA</t>
        </is>
      </c>
      <c r="E4522" s="21" t="n">
        <v>101</v>
      </c>
      <c r="F4522" s="21" t="inlineStr">
        <is>
          <t>English</t>
        </is>
      </c>
      <c r="G4522" s="21" t="inlineStr">
        <is>
          <t>R</t>
        </is>
      </c>
      <c r="H4522" s="22" t="n">
        <v>25529689.5</v>
      </c>
      <c r="I4522" s="22" t="n">
        <v>15000000</v>
      </c>
      <c r="J4522" s="21">
        <f>IF(OR(H4522="",H4522=25529689.5),"Yes","No")</f>
        <v/>
      </c>
      <c r="K4522" s="21">
        <f>IF(AND(D4522="USA",C4522&gt;=1980,J4522="No"),"Yes","No")</f>
        <v/>
      </c>
      <c r="L4522" s="26">
        <f>IF(J4522="Yes","",H4522-I4522)</f>
        <v/>
      </c>
      <c r="M4522" s="27">
        <f>IF(OR(J4522="Yes",I4522=0),"",H4522/I4522)</f>
        <v/>
      </c>
      <c r="N4522" s="21">
        <f>IF(J4522="Yes","",IF(H4522&gt;=I4522,1,0))</f>
        <v/>
      </c>
      <c r="O4522" s="21">
        <f>IF(I4522&lt;=5000000,"Under $5M",IF(I4522&lt;=20000000,"$5M-20M",IF(I4522&lt;=50000000,"$20M-50M",IF(I4522&lt;=100000000,"$50M-100M","$100M+"))))</f>
        <v/>
      </c>
      <c r="P4522" s="21">
        <f>IF(E4522&lt;=90,"90 or less",IF(E4522&lt;=105,"91-105",IF(E4522&lt;=120,"106-120",IF(E4522&lt;=140,"121-140","Over 140"))))</f>
        <v/>
      </c>
      <c r="Q4522" s="28">
        <f>INT(C4522/10)*10</f>
        <v/>
      </c>
    </row>
    <row r="4523">
      <c r="A4523" s="21" t="n">
        <v>4622</v>
      </c>
      <c r="B4523" s="21" t="inlineStr">
        <is>
          <t>Brooklyn</t>
        </is>
      </c>
      <c r="C4523" s="21" t="n">
        <v>2015</v>
      </c>
      <c r="D4523" s="21" t="inlineStr">
        <is>
          <t>UK</t>
        </is>
      </c>
      <c r="E4523" s="21" t="n">
        <v>111</v>
      </c>
      <c r="F4523" s="21" t="inlineStr">
        <is>
          <t>English</t>
        </is>
      </c>
      <c r="G4523" s="21" t="inlineStr">
        <is>
          <t>PG-13</t>
        </is>
      </c>
      <c r="H4523" s="22" t="n">
        <v>38317535</v>
      </c>
      <c r="I4523" s="22" t="n">
        <v>11000000</v>
      </c>
      <c r="J4523" s="21">
        <f>IF(OR(H4523="",H4523=25529689.5),"Yes","No")</f>
        <v/>
      </c>
      <c r="K4523" s="21">
        <f>IF(AND(D4523="USA",C4523&gt;=1980,J4523="No"),"Yes","No")</f>
        <v/>
      </c>
      <c r="L4523" s="26">
        <f>IF(J4523="Yes","",H4523-I4523)</f>
        <v/>
      </c>
      <c r="M4523" s="27">
        <f>IF(OR(J4523="Yes",I4523=0),"",H4523/I4523)</f>
        <v/>
      </c>
      <c r="N4523" s="21">
        <f>IF(J4523="Yes","",IF(H4523&gt;=I4523,1,0))</f>
        <v/>
      </c>
      <c r="O4523" s="21">
        <f>IF(I4523&lt;=5000000,"Under $5M",IF(I4523&lt;=20000000,"$5M-20M",IF(I4523&lt;=50000000,"$20M-50M",IF(I4523&lt;=100000000,"$50M-100M","$100M+"))))</f>
        <v/>
      </c>
      <c r="P4523" s="21">
        <f>IF(E4523&lt;=90,"90 or less",IF(E4523&lt;=105,"91-105",IF(E4523&lt;=120,"106-120",IF(E4523&lt;=140,"121-140","Over 140"))))</f>
        <v/>
      </c>
      <c r="Q4523" s="28">
        <f>INT(C4523/10)*10</f>
        <v/>
      </c>
    </row>
    <row r="4524">
      <c r="A4524" s="21" t="n">
        <v>4623</v>
      </c>
      <c r="B4524" s="21" t="inlineStr">
        <is>
          <t>Brotherly Love</t>
        </is>
      </c>
      <c r="C4524" s="21" t="n">
        <v>2015</v>
      </c>
      <c r="D4524" s="21" t="inlineStr">
        <is>
          <t>USA</t>
        </is>
      </c>
      <c r="E4524" s="21" t="n">
        <v>89</v>
      </c>
      <c r="F4524" s="21" t="inlineStr">
        <is>
          <t>English</t>
        </is>
      </c>
      <c r="G4524" s="21" t="inlineStr">
        <is>
          <t>R</t>
        </is>
      </c>
      <c r="H4524" s="22" t="n">
        <v>444044</v>
      </c>
      <c r="I4524" s="22" t="n">
        <v>1900000</v>
      </c>
      <c r="J4524" s="21">
        <f>IF(OR(H4524="",H4524=25529689.5),"Yes","No")</f>
        <v/>
      </c>
      <c r="K4524" s="21">
        <f>IF(AND(D4524="USA",C4524&gt;=1980,J4524="No"),"Yes","No")</f>
        <v/>
      </c>
      <c r="L4524" s="26">
        <f>IF(J4524="Yes","",H4524-I4524)</f>
        <v/>
      </c>
      <c r="M4524" s="27">
        <f>IF(OR(J4524="Yes",I4524=0),"",H4524/I4524)</f>
        <v/>
      </c>
      <c r="N4524" s="21">
        <f>IF(J4524="Yes","",IF(H4524&gt;=I4524,1,0))</f>
        <v/>
      </c>
      <c r="O4524" s="21">
        <f>IF(I4524&lt;=5000000,"Under $5M",IF(I4524&lt;=20000000,"$5M-20M",IF(I4524&lt;=50000000,"$20M-50M",IF(I4524&lt;=100000000,"$50M-100M","$100M+"))))</f>
        <v/>
      </c>
      <c r="P4524" s="21">
        <f>IF(E4524&lt;=90,"90 or less",IF(E4524&lt;=105,"91-105",IF(E4524&lt;=120,"106-120",IF(E4524&lt;=140,"121-140","Over 140"))))</f>
        <v/>
      </c>
      <c r="Q4524" s="28">
        <f>INT(C4524/10)*10</f>
        <v/>
      </c>
    </row>
    <row r="4525">
      <c r="A4525" s="21" t="n">
        <v>4624</v>
      </c>
      <c r="B4525" s="21" t="inlineStr">
        <is>
          <t>Burnt</t>
        </is>
      </c>
      <c r="C4525" s="21" t="n">
        <v>2015</v>
      </c>
      <c r="D4525" s="21" t="inlineStr">
        <is>
          <t>USA</t>
        </is>
      </c>
      <c r="E4525" s="21" t="n">
        <v>101</v>
      </c>
      <c r="F4525" s="21" t="inlineStr">
        <is>
          <t>English</t>
        </is>
      </c>
      <c r="G4525" s="21" t="inlineStr">
        <is>
          <t>R</t>
        </is>
      </c>
      <c r="H4525" s="22" t="n">
        <v>13650738</v>
      </c>
      <c r="I4525" s="22" t="n">
        <v>20000000</v>
      </c>
      <c r="J4525" s="21">
        <f>IF(OR(H4525="",H4525=25529689.5),"Yes","No")</f>
        <v/>
      </c>
      <c r="K4525" s="21">
        <f>IF(AND(D4525="USA",C4525&gt;=1980,J4525="No"),"Yes","No")</f>
        <v/>
      </c>
      <c r="L4525" s="26">
        <f>IF(J4525="Yes","",H4525-I4525)</f>
        <v/>
      </c>
      <c r="M4525" s="27">
        <f>IF(OR(J4525="Yes",I4525=0),"",H4525/I4525)</f>
        <v/>
      </c>
      <c r="N4525" s="21">
        <f>IF(J4525="Yes","",IF(H4525&gt;=I4525,1,0))</f>
        <v/>
      </c>
      <c r="O4525" s="21">
        <f>IF(I4525&lt;=5000000,"Under $5M",IF(I4525&lt;=20000000,"$5M-20M",IF(I4525&lt;=50000000,"$20M-50M",IF(I4525&lt;=100000000,"$50M-100M","$100M+"))))</f>
        <v/>
      </c>
      <c r="P4525" s="21">
        <f>IF(E4525&lt;=90,"90 or less",IF(E4525&lt;=105,"91-105",IF(E4525&lt;=120,"106-120",IF(E4525&lt;=140,"121-140","Over 140"))))</f>
        <v/>
      </c>
      <c r="Q4525" s="28">
        <f>INT(C4525/10)*10</f>
        <v/>
      </c>
    </row>
    <row r="4526">
      <c r="A4526" s="21" t="n">
        <v>4625</v>
      </c>
      <c r="B4526" s="21" t="inlineStr">
        <is>
          <t>By the Sea</t>
        </is>
      </c>
      <c r="C4526" s="21" t="n">
        <v>2015</v>
      </c>
      <c r="D4526" s="21" t="inlineStr">
        <is>
          <t>USA</t>
        </is>
      </c>
      <c r="E4526" s="21" t="n">
        <v>122</v>
      </c>
      <c r="F4526" s="21" t="inlineStr">
        <is>
          <t>English</t>
        </is>
      </c>
      <c r="G4526" s="21" t="inlineStr">
        <is>
          <t>R</t>
        </is>
      </c>
      <c r="H4526" s="22" t="n">
        <v>531009</v>
      </c>
      <c r="I4526" s="22" t="n">
        <v>10000000</v>
      </c>
      <c r="J4526" s="21">
        <f>IF(OR(H4526="",H4526=25529689.5),"Yes","No")</f>
        <v/>
      </c>
      <c r="K4526" s="21">
        <f>IF(AND(D4526="USA",C4526&gt;=1980,J4526="No"),"Yes","No")</f>
        <v/>
      </c>
      <c r="L4526" s="26">
        <f>IF(J4526="Yes","",H4526-I4526)</f>
        <v/>
      </c>
      <c r="M4526" s="27">
        <f>IF(OR(J4526="Yes",I4526=0),"",H4526/I4526)</f>
        <v/>
      </c>
      <c r="N4526" s="21">
        <f>IF(J4526="Yes","",IF(H4526&gt;=I4526,1,0))</f>
        <v/>
      </c>
      <c r="O4526" s="21">
        <f>IF(I4526&lt;=5000000,"Under $5M",IF(I4526&lt;=20000000,"$5M-20M",IF(I4526&lt;=50000000,"$20M-50M",IF(I4526&lt;=100000000,"$50M-100M","$100M+"))))</f>
        <v/>
      </c>
      <c r="P4526" s="21">
        <f>IF(E4526&lt;=90,"90 or less",IF(E4526&lt;=105,"91-105",IF(E4526&lt;=120,"106-120",IF(E4526&lt;=140,"121-140","Over 140"))))</f>
        <v/>
      </c>
      <c r="Q4526" s="28">
        <f>INT(C4526/10)*10</f>
        <v/>
      </c>
    </row>
    <row r="4527">
      <c r="A4527" s="21" t="n">
        <v>4626</v>
      </c>
      <c r="B4527" s="21" t="inlineStr">
        <is>
          <t>Captive</t>
        </is>
      </c>
      <c r="C4527" s="21" t="n">
        <v>2015</v>
      </c>
      <c r="D4527" s="21" t="inlineStr">
        <is>
          <t>USA</t>
        </is>
      </c>
      <c r="E4527" s="21" t="n">
        <v>97</v>
      </c>
      <c r="F4527" s="21" t="inlineStr">
        <is>
          <t>English</t>
        </is>
      </c>
      <c r="G4527" s="21" t="inlineStr">
        <is>
          <t>PG-13</t>
        </is>
      </c>
      <c r="H4527" s="22" t="n">
        <v>2557668</v>
      </c>
      <c r="I4527" s="22" t="n">
        <v>2000000</v>
      </c>
      <c r="J4527" s="21">
        <f>IF(OR(H4527="",H4527=25529689.5),"Yes","No")</f>
        <v/>
      </c>
      <c r="K4527" s="21">
        <f>IF(AND(D4527="USA",C4527&gt;=1980,J4527="No"),"Yes","No")</f>
        <v/>
      </c>
      <c r="L4527" s="26">
        <f>IF(J4527="Yes","",H4527-I4527)</f>
        <v/>
      </c>
      <c r="M4527" s="27">
        <f>IF(OR(J4527="Yes",I4527=0),"",H4527/I4527)</f>
        <v/>
      </c>
      <c r="N4527" s="21">
        <f>IF(J4527="Yes","",IF(H4527&gt;=I4527,1,0))</f>
        <v/>
      </c>
      <c r="O4527" s="21">
        <f>IF(I4527&lt;=5000000,"Under $5M",IF(I4527&lt;=20000000,"$5M-20M",IF(I4527&lt;=50000000,"$20M-50M",IF(I4527&lt;=100000000,"$50M-100M","$100M+"))))</f>
        <v/>
      </c>
      <c r="P4527" s="21">
        <f>IF(E4527&lt;=90,"90 or less",IF(E4527&lt;=105,"91-105",IF(E4527&lt;=120,"106-120",IF(E4527&lt;=140,"121-140","Over 140"))))</f>
        <v/>
      </c>
      <c r="Q4527" s="28">
        <f>INT(C4527/10)*10</f>
        <v/>
      </c>
    </row>
    <row r="4528">
      <c r="A4528" s="21" t="n">
        <v>4627</v>
      </c>
      <c r="B4528" s="21" t="inlineStr">
        <is>
          <t>Censored Voices</t>
        </is>
      </c>
      <c r="C4528" s="21" t="n">
        <v>2015</v>
      </c>
      <c r="D4528" s="21" t="inlineStr">
        <is>
          <t>Israel</t>
        </is>
      </c>
      <c r="E4528" s="21" t="n">
        <v>84</v>
      </c>
      <c r="F4528" s="21" t="inlineStr">
        <is>
          <t>Hebrew</t>
        </is>
      </c>
      <c r="G4528" s="21" t="n"/>
      <c r="H4528" s="22" t="n">
        <v>34151</v>
      </c>
      <c r="I4528" s="22" t="n">
        <v>450000</v>
      </c>
      <c r="J4528" s="21">
        <f>IF(OR(H4528="",H4528=25529689.5),"Yes","No")</f>
        <v/>
      </c>
      <c r="K4528" s="21">
        <f>IF(AND(D4528="USA",C4528&gt;=1980,J4528="No"),"Yes","No")</f>
        <v/>
      </c>
      <c r="L4528" s="26">
        <f>IF(J4528="Yes","",H4528-I4528)</f>
        <v/>
      </c>
      <c r="M4528" s="27">
        <f>IF(OR(J4528="Yes",I4528=0),"",H4528/I4528)</f>
        <v/>
      </c>
      <c r="N4528" s="21">
        <f>IF(J4528="Yes","",IF(H4528&gt;=I4528,1,0))</f>
        <v/>
      </c>
      <c r="O4528" s="21">
        <f>IF(I4528&lt;=5000000,"Under $5M",IF(I4528&lt;=20000000,"$5M-20M",IF(I4528&lt;=50000000,"$20M-50M",IF(I4528&lt;=100000000,"$50M-100M","$100M+"))))</f>
        <v/>
      </c>
      <c r="P4528" s="21">
        <f>IF(E4528&lt;=90,"90 or less",IF(E4528&lt;=105,"91-105",IF(E4528&lt;=120,"106-120",IF(E4528&lt;=140,"121-140","Over 140"))))</f>
        <v/>
      </c>
      <c r="Q4528" s="28">
        <f>INT(C4528/10)*10</f>
        <v/>
      </c>
    </row>
    <row r="4529">
      <c r="A4529" s="21" t="n">
        <v>4628</v>
      </c>
      <c r="B4529" s="21" t="inlineStr">
        <is>
          <t>Chain of Command</t>
        </is>
      </c>
      <c r="C4529" s="21" t="n">
        <v>2015</v>
      </c>
      <c r="D4529" s="21" t="inlineStr">
        <is>
          <t>USA</t>
        </is>
      </c>
      <c r="E4529" s="21" t="n">
        <v>88</v>
      </c>
      <c r="F4529" s="21" t="inlineStr">
        <is>
          <t>English</t>
        </is>
      </c>
      <c r="G4529" s="21" t="inlineStr">
        <is>
          <t>R</t>
        </is>
      </c>
      <c r="H4529" s="22" t="n">
        <v>25529689.5</v>
      </c>
      <c r="I4529" s="22" t="n">
        <v>5000000</v>
      </c>
      <c r="J4529" s="21">
        <f>IF(OR(H4529="",H4529=25529689.5),"Yes","No")</f>
        <v/>
      </c>
      <c r="K4529" s="21">
        <f>IF(AND(D4529="USA",C4529&gt;=1980,J4529="No"),"Yes","No")</f>
        <v/>
      </c>
      <c r="L4529" s="26">
        <f>IF(J4529="Yes","",H4529-I4529)</f>
        <v/>
      </c>
      <c r="M4529" s="27">
        <f>IF(OR(J4529="Yes",I4529=0),"",H4529/I4529)</f>
        <v/>
      </c>
      <c r="N4529" s="21">
        <f>IF(J4529="Yes","",IF(H4529&gt;=I4529,1,0))</f>
        <v/>
      </c>
      <c r="O4529" s="21">
        <f>IF(I4529&lt;=5000000,"Under $5M",IF(I4529&lt;=20000000,"$5M-20M",IF(I4529&lt;=50000000,"$20M-50M",IF(I4529&lt;=100000000,"$50M-100M","$100M+"))))</f>
        <v/>
      </c>
      <c r="P4529" s="21">
        <f>IF(E4529&lt;=90,"90 or less",IF(E4529&lt;=105,"91-105",IF(E4529&lt;=120,"106-120",IF(E4529&lt;=140,"121-140","Over 140"))))</f>
        <v/>
      </c>
      <c r="Q4529" s="28">
        <f>INT(C4529/10)*10</f>
        <v/>
      </c>
    </row>
    <row r="4530">
      <c r="A4530" s="21" t="n">
        <v>4629</v>
      </c>
      <c r="B4530" s="21" t="inlineStr">
        <is>
          <t>Chappie</t>
        </is>
      </c>
      <c r="C4530" s="21" t="n">
        <v>2015</v>
      </c>
      <c r="D4530" s="21" t="inlineStr">
        <is>
          <t>USA</t>
        </is>
      </c>
      <c r="E4530" s="21" t="n">
        <v>120</v>
      </c>
      <c r="F4530" s="21" t="inlineStr">
        <is>
          <t>English</t>
        </is>
      </c>
      <c r="G4530" s="21" t="inlineStr">
        <is>
          <t>R</t>
        </is>
      </c>
      <c r="H4530" s="22" t="n">
        <v>31569268</v>
      </c>
      <c r="I4530" s="22" t="n">
        <v>49000000</v>
      </c>
      <c r="J4530" s="21">
        <f>IF(OR(H4530="",H4530=25529689.5),"Yes","No")</f>
        <v/>
      </c>
      <c r="K4530" s="21">
        <f>IF(AND(D4530="USA",C4530&gt;=1980,J4530="No"),"Yes","No")</f>
        <v/>
      </c>
      <c r="L4530" s="26">
        <f>IF(J4530="Yes","",H4530-I4530)</f>
        <v/>
      </c>
      <c r="M4530" s="27">
        <f>IF(OR(J4530="Yes",I4530=0),"",H4530/I4530)</f>
        <v/>
      </c>
      <c r="N4530" s="21">
        <f>IF(J4530="Yes","",IF(H4530&gt;=I4530,1,0))</f>
        <v/>
      </c>
      <c r="O4530" s="21">
        <f>IF(I4530&lt;=5000000,"Under $5M",IF(I4530&lt;=20000000,"$5M-20M",IF(I4530&lt;=50000000,"$20M-50M",IF(I4530&lt;=100000000,"$50M-100M","$100M+"))))</f>
        <v/>
      </c>
      <c r="P4530" s="21">
        <f>IF(E4530&lt;=90,"90 or less",IF(E4530&lt;=105,"91-105",IF(E4530&lt;=120,"106-120",IF(E4530&lt;=140,"121-140","Over 140"))))</f>
        <v/>
      </c>
      <c r="Q4530" s="28">
        <f>INT(C4530/10)*10</f>
        <v/>
      </c>
    </row>
    <row r="4531">
      <c r="A4531" s="21" t="n">
        <v>4630</v>
      </c>
      <c r="B4531" s="21" t="inlineStr">
        <is>
          <t>Checkmate</t>
        </is>
      </c>
      <c r="C4531" s="21" t="n">
        <v>2015</v>
      </c>
      <c r="D4531" s="21" t="inlineStr">
        <is>
          <t>USA</t>
        </is>
      </c>
      <c r="E4531" s="21" t="n">
        <v>97</v>
      </c>
      <c r="F4531" s="21" t="inlineStr">
        <is>
          <t>English</t>
        </is>
      </c>
      <c r="G4531" s="21" t="n"/>
      <c r="H4531" s="22" t="n">
        <v>25529689.5</v>
      </c>
      <c r="I4531" s="22" t="n">
        <v>1500000</v>
      </c>
      <c r="J4531" s="21">
        <f>IF(OR(H4531="",H4531=25529689.5),"Yes","No")</f>
        <v/>
      </c>
      <c r="K4531" s="21">
        <f>IF(AND(D4531="USA",C4531&gt;=1980,J4531="No"),"Yes","No")</f>
        <v/>
      </c>
      <c r="L4531" s="26">
        <f>IF(J4531="Yes","",H4531-I4531)</f>
        <v/>
      </c>
      <c r="M4531" s="27">
        <f>IF(OR(J4531="Yes",I4531=0),"",H4531/I4531)</f>
        <v/>
      </c>
      <c r="N4531" s="21">
        <f>IF(J4531="Yes","",IF(H4531&gt;=I4531,1,0))</f>
        <v/>
      </c>
      <c r="O4531" s="21">
        <f>IF(I4531&lt;=5000000,"Under $5M",IF(I4531&lt;=20000000,"$5M-20M",IF(I4531&lt;=50000000,"$20M-50M",IF(I4531&lt;=100000000,"$50M-100M","$100M+"))))</f>
        <v/>
      </c>
      <c r="P4531" s="21">
        <f>IF(E4531&lt;=90,"90 or less",IF(E4531&lt;=105,"91-105",IF(E4531&lt;=120,"106-120",IF(E4531&lt;=140,"121-140","Over 140"))))</f>
        <v/>
      </c>
      <c r="Q4531" s="28">
        <f>INT(C4531/10)*10</f>
        <v/>
      </c>
    </row>
    <row r="4532">
      <c r="A4532" s="21" t="n">
        <v>4631</v>
      </c>
      <c r="B4532" s="21" t="inlineStr">
        <is>
          <t>Chiamatemi Francesco - Il Papa della gente</t>
        </is>
      </c>
      <c r="C4532" s="21" t="n">
        <v>2015</v>
      </c>
      <c r="D4532" s="21" t="inlineStr">
        <is>
          <t>Italy</t>
        </is>
      </c>
      <c r="E4532" s="21" t="n">
        <v>98</v>
      </c>
      <c r="F4532" s="21" t="inlineStr">
        <is>
          <t>Spanish</t>
        </is>
      </c>
      <c r="G4532" s="21" t="n"/>
      <c r="H4532" s="22" t="n">
        <v>25529689.5</v>
      </c>
      <c r="I4532" s="22" t="n">
        <v>15000000</v>
      </c>
      <c r="J4532" s="21">
        <f>IF(OR(H4532="",H4532=25529689.5),"Yes","No")</f>
        <v/>
      </c>
      <c r="K4532" s="21">
        <f>IF(AND(D4532="USA",C4532&gt;=1980,J4532="No"),"Yes","No")</f>
        <v/>
      </c>
      <c r="L4532" s="26">
        <f>IF(J4532="Yes","",H4532-I4532)</f>
        <v/>
      </c>
      <c r="M4532" s="27">
        <f>IF(OR(J4532="Yes",I4532=0),"",H4532/I4532)</f>
        <v/>
      </c>
      <c r="N4532" s="21">
        <f>IF(J4532="Yes","",IF(H4532&gt;=I4532,1,0))</f>
        <v/>
      </c>
      <c r="O4532" s="21">
        <f>IF(I4532&lt;=5000000,"Under $5M",IF(I4532&lt;=20000000,"$5M-20M",IF(I4532&lt;=50000000,"$20M-50M",IF(I4532&lt;=100000000,"$50M-100M","$100M+"))))</f>
        <v/>
      </c>
      <c r="P4532" s="21">
        <f>IF(E4532&lt;=90,"90 or less",IF(E4532&lt;=105,"91-105",IF(E4532&lt;=120,"106-120",IF(E4532&lt;=140,"121-140","Over 140"))))</f>
        <v/>
      </c>
      <c r="Q4532" s="28">
        <f>INT(C4532/10)*10</f>
        <v/>
      </c>
    </row>
    <row r="4533">
      <c r="A4533" s="21" t="n">
        <v>4632</v>
      </c>
      <c r="B4533" s="21" t="inlineStr">
        <is>
          <t>Child 44</t>
        </is>
      </c>
      <c r="C4533" s="21" t="n">
        <v>2015</v>
      </c>
      <c r="D4533" s="21" t="inlineStr">
        <is>
          <t>Czech Republic</t>
        </is>
      </c>
      <c r="E4533" s="21" t="n">
        <v>137</v>
      </c>
      <c r="F4533" s="21" t="inlineStr">
        <is>
          <t>English</t>
        </is>
      </c>
      <c r="G4533" s="21" t="inlineStr">
        <is>
          <t>R</t>
        </is>
      </c>
      <c r="H4533" s="22" t="n">
        <v>1206135</v>
      </c>
      <c r="I4533" s="22" t="n">
        <v>50000000</v>
      </c>
      <c r="J4533" s="21">
        <f>IF(OR(H4533="",H4533=25529689.5),"Yes","No")</f>
        <v/>
      </c>
      <c r="K4533" s="21">
        <f>IF(AND(D4533="USA",C4533&gt;=1980,J4533="No"),"Yes","No")</f>
        <v/>
      </c>
      <c r="L4533" s="26">
        <f>IF(J4533="Yes","",H4533-I4533)</f>
        <v/>
      </c>
      <c r="M4533" s="27">
        <f>IF(OR(J4533="Yes",I4533=0),"",H4533/I4533)</f>
        <v/>
      </c>
      <c r="N4533" s="21">
        <f>IF(J4533="Yes","",IF(H4533&gt;=I4533,1,0))</f>
        <v/>
      </c>
      <c r="O4533" s="21">
        <f>IF(I4533&lt;=5000000,"Under $5M",IF(I4533&lt;=20000000,"$5M-20M",IF(I4533&lt;=50000000,"$20M-50M",IF(I4533&lt;=100000000,"$50M-100M","$100M+"))))</f>
        <v/>
      </c>
      <c r="P4533" s="21">
        <f>IF(E4533&lt;=90,"90 or less",IF(E4533&lt;=105,"91-105",IF(E4533&lt;=120,"106-120",IF(E4533&lt;=140,"121-140","Over 140"))))</f>
        <v/>
      </c>
      <c r="Q4533" s="28">
        <f>INT(C4533/10)*10</f>
        <v/>
      </c>
    </row>
    <row r="4534">
      <c r="A4534" s="21" t="n">
        <v>4633</v>
      </c>
      <c r="B4534" s="21" t="inlineStr">
        <is>
          <t>Christmas Eve</t>
        </is>
      </c>
      <c r="C4534" s="21" t="n">
        <v>2015</v>
      </c>
      <c r="D4534" s="21" t="inlineStr">
        <is>
          <t>USA</t>
        </is>
      </c>
      <c r="E4534" s="21" t="n">
        <v>95</v>
      </c>
      <c r="F4534" s="21" t="inlineStr">
        <is>
          <t>English</t>
        </is>
      </c>
      <c r="G4534" s="21" t="inlineStr">
        <is>
          <t>PG</t>
        </is>
      </c>
      <c r="H4534" s="22" t="n">
        <v>25529689.5</v>
      </c>
      <c r="I4534" s="22" t="n">
        <v>20000000</v>
      </c>
      <c r="J4534" s="21">
        <f>IF(OR(H4534="",H4534=25529689.5),"Yes","No")</f>
        <v/>
      </c>
      <c r="K4534" s="21">
        <f>IF(AND(D4534="USA",C4534&gt;=1980,J4534="No"),"Yes","No")</f>
        <v/>
      </c>
      <c r="L4534" s="26">
        <f>IF(J4534="Yes","",H4534-I4534)</f>
        <v/>
      </c>
      <c r="M4534" s="27">
        <f>IF(OR(J4534="Yes",I4534=0),"",H4534/I4534)</f>
        <v/>
      </c>
      <c r="N4534" s="21">
        <f>IF(J4534="Yes","",IF(H4534&gt;=I4534,1,0))</f>
        <v/>
      </c>
      <c r="O4534" s="21">
        <f>IF(I4534&lt;=5000000,"Under $5M",IF(I4534&lt;=20000000,"$5M-20M",IF(I4534&lt;=50000000,"$20M-50M",IF(I4534&lt;=100000000,"$50M-100M","$100M+"))))</f>
        <v/>
      </c>
      <c r="P4534" s="21">
        <f>IF(E4534&lt;=90,"90 or less",IF(E4534&lt;=105,"91-105",IF(E4534&lt;=120,"106-120",IF(E4534&lt;=140,"121-140","Over 140"))))</f>
        <v/>
      </c>
      <c r="Q4534" s="28">
        <f>INT(C4534/10)*10</f>
        <v/>
      </c>
    </row>
    <row r="4535">
      <c r="A4535" s="21" t="n">
        <v>4634</v>
      </c>
      <c r="B4535" s="21" t="inlineStr">
        <is>
          <t>Cinderella</t>
        </is>
      </c>
      <c r="C4535" s="21" t="n">
        <v>2015</v>
      </c>
      <c r="D4535" s="21" t="inlineStr">
        <is>
          <t>USA</t>
        </is>
      </c>
      <c r="E4535" s="21" t="n">
        <v>105</v>
      </c>
      <c r="F4535" s="21" t="inlineStr">
        <is>
          <t>English</t>
        </is>
      </c>
      <c r="G4535" s="21" t="inlineStr">
        <is>
          <t>PG</t>
        </is>
      </c>
      <c r="H4535" s="22" t="n">
        <v>201148159</v>
      </c>
      <c r="I4535" s="22" t="n">
        <v>95000000</v>
      </c>
      <c r="J4535" s="21">
        <f>IF(OR(H4535="",H4535=25529689.5),"Yes","No")</f>
        <v/>
      </c>
      <c r="K4535" s="21">
        <f>IF(AND(D4535="USA",C4535&gt;=1980,J4535="No"),"Yes","No")</f>
        <v/>
      </c>
      <c r="L4535" s="26">
        <f>IF(J4535="Yes","",H4535-I4535)</f>
        <v/>
      </c>
      <c r="M4535" s="27">
        <f>IF(OR(J4535="Yes",I4535=0),"",H4535/I4535)</f>
        <v/>
      </c>
      <c r="N4535" s="21">
        <f>IF(J4535="Yes","",IF(H4535&gt;=I4535,1,0))</f>
        <v/>
      </c>
      <c r="O4535" s="21">
        <f>IF(I4535&lt;=5000000,"Under $5M",IF(I4535&lt;=20000000,"$5M-20M",IF(I4535&lt;=50000000,"$20M-50M",IF(I4535&lt;=100000000,"$50M-100M","$100M+"))))</f>
        <v/>
      </c>
      <c r="P4535" s="21">
        <f>IF(E4535&lt;=90,"90 or less",IF(E4535&lt;=105,"91-105",IF(E4535&lt;=120,"106-120",IF(E4535&lt;=140,"121-140","Over 140"))))</f>
        <v/>
      </c>
      <c r="Q4535" s="28">
        <f>INT(C4535/10)*10</f>
        <v/>
      </c>
    </row>
    <row r="4536">
      <c r="A4536" s="21" t="n">
        <v>4636</v>
      </c>
      <c r="B4536" s="21" t="inlineStr">
        <is>
          <t>Circle</t>
        </is>
      </c>
      <c r="C4536" s="21" t="n">
        <v>2015</v>
      </c>
      <c r="D4536" s="21" t="inlineStr">
        <is>
          <t>USA</t>
        </is>
      </c>
      <c r="E4536" s="21" t="n">
        <v>87</v>
      </c>
      <c r="F4536" s="21" t="inlineStr">
        <is>
          <t>English</t>
        </is>
      </c>
      <c r="G4536" s="21" t="inlineStr">
        <is>
          <t>Not Rated</t>
        </is>
      </c>
      <c r="H4536" s="22" t="n">
        <v>25529689.5</v>
      </c>
      <c r="I4536" s="22" t="n">
        <v>20000000</v>
      </c>
      <c r="J4536" s="21">
        <f>IF(OR(H4536="",H4536=25529689.5),"Yes","No")</f>
        <v/>
      </c>
      <c r="K4536" s="21">
        <f>IF(AND(D4536="USA",C4536&gt;=1980,J4536="No"),"Yes","No")</f>
        <v/>
      </c>
      <c r="L4536" s="26">
        <f>IF(J4536="Yes","",H4536-I4536)</f>
        <v/>
      </c>
      <c r="M4536" s="27">
        <f>IF(OR(J4536="Yes",I4536=0),"",H4536/I4536)</f>
        <v/>
      </c>
      <c r="N4536" s="21">
        <f>IF(J4536="Yes","",IF(H4536&gt;=I4536,1,0))</f>
        <v/>
      </c>
      <c r="O4536" s="21">
        <f>IF(I4536&lt;=5000000,"Under $5M",IF(I4536&lt;=20000000,"$5M-20M",IF(I4536&lt;=50000000,"$20M-50M",IF(I4536&lt;=100000000,"$50M-100M","$100M+"))))</f>
        <v/>
      </c>
      <c r="P4536" s="21">
        <f>IF(E4536&lt;=90,"90 or less",IF(E4536&lt;=105,"91-105",IF(E4536&lt;=120,"106-120",IF(E4536&lt;=140,"121-140","Over 140"))))</f>
        <v/>
      </c>
      <c r="Q4536" s="28">
        <f>INT(C4536/10)*10</f>
        <v/>
      </c>
    </row>
    <row r="4537">
      <c r="A4537" s="21" t="n">
        <v>4637</v>
      </c>
      <c r="B4537" s="21" t="inlineStr">
        <is>
          <t>Close Range</t>
        </is>
      </c>
      <c r="C4537" s="21" t="n">
        <v>2015</v>
      </c>
      <c r="D4537" s="21" t="inlineStr">
        <is>
          <t>USA</t>
        </is>
      </c>
      <c r="E4537" s="21" t="n">
        <v>80</v>
      </c>
      <c r="F4537" s="21" t="inlineStr">
        <is>
          <t>English</t>
        </is>
      </c>
      <c r="G4537" s="21" t="n"/>
      <c r="H4537" s="22" t="n">
        <v>25529689.5</v>
      </c>
      <c r="I4537" s="22" t="n">
        <v>3000000</v>
      </c>
      <c r="J4537" s="21">
        <f>IF(OR(H4537="",H4537=25529689.5),"Yes","No")</f>
        <v/>
      </c>
      <c r="K4537" s="21">
        <f>IF(AND(D4537="USA",C4537&gt;=1980,J4537="No"),"Yes","No")</f>
        <v/>
      </c>
      <c r="L4537" s="26">
        <f>IF(J4537="Yes","",H4537-I4537)</f>
        <v/>
      </c>
      <c r="M4537" s="27">
        <f>IF(OR(J4537="Yes",I4537=0),"",H4537/I4537)</f>
        <v/>
      </c>
      <c r="N4537" s="21">
        <f>IF(J4537="Yes","",IF(H4537&gt;=I4537,1,0))</f>
        <v/>
      </c>
      <c r="O4537" s="21">
        <f>IF(I4537&lt;=5000000,"Under $5M",IF(I4537&lt;=20000000,"$5M-20M",IF(I4537&lt;=50000000,"$20M-50M",IF(I4537&lt;=100000000,"$50M-100M","$100M+"))))</f>
        <v/>
      </c>
      <c r="P4537" s="21">
        <f>IF(E4537&lt;=90,"90 or less",IF(E4537&lt;=105,"91-105",IF(E4537&lt;=120,"106-120",IF(E4537&lt;=140,"121-140","Over 140"))))</f>
        <v/>
      </c>
      <c r="Q4537" s="28">
        <f>INT(C4537/10)*10</f>
        <v/>
      </c>
    </row>
    <row r="4538">
      <c r="A4538" s="21" t="n">
        <v>4638</v>
      </c>
      <c r="B4538" s="21" t="inlineStr">
        <is>
          <t>Concussion</t>
        </is>
      </c>
      <c r="C4538" s="21" t="n">
        <v>2015</v>
      </c>
      <c r="D4538" s="21" t="inlineStr">
        <is>
          <t>UK</t>
        </is>
      </c>
      <c r="E4538" s="21" t="n">
        <v>123</v>
      </c>
      <c r="F4538" s="21" t="inlineStr">
        <is>
          <t>English</t>
        </is>
      </c>
      <c r="G4538" s="21" t="inlineStr">
        <is>
          <t>PG-13</t>
        </is>
      </c>
      <c r="H4538" s="22" t="n">
        <v>34531832</v>
      </c>
      <c r="I4538" s="22" t="n">
        <v>35000000</v>
      </c>
      <c r="J4538" s="21">
        <f>IF(OR(H4538="",H4538=25529689.5),"Yes","No")</f>
        <v/>
      </c>
      <c r="K4538" s="21">
        <f>IF(AND(D4538="USA",C4538&gt;=1980,J4538="No"),"Yes","No")</f>
        <v/>
      </c>
      <c r="L4538" s="26">
        <f>IF(J4538="Yes","",H4538-I4538)</f>
        <v/>
      </c>
      <c r="M4538" s="27">
        <f>IF(OR(J4538="Yes",I4538=0),"",H4538/I4538)</f>
        <v/>
      </c>
      <c r="N4538" s="21">
        <f>IF(J4538="Yes","",IF(H4538&gt;=I4538,1,0))</f>
        <v/>
      </c>
      <c r="O4538" s="21">
        <f>IF(I4538&lt;=5000000,"Under $5M",IF(I4538&lt;=20000000,"$5M-20M",IF(I4538&lt;=50000000,"$20M-50M",IF(I4538&lt;=100000000,"$50M-100M","$100M+"))))</f>
        <v/>
      </c>
      <c r="P4538" s="21">
        <f>IF(E4538&lt;=90,"90 or less",IF(E4538&lt;=105,"91-105",IF(E4538&lt;=120,"106-120",IF(E4538&lt;=140,"121-140","Over 140"))))</f>
        <v/>
      </c>
      <c r="Q4538" s="28">
        <f>INT(C4538/10)*10</f>
        <v/>
      </c>
    </row>
    <row r="4539">
      <c r="A4539" s="21" t="n">
        <v>4639</v>
      </c>
      <c r="B4539" s="21" t="inlineStr">
        <is>
          <t>Containment</t>
        </is>
      </c>
      <c r="C4539" s="21" t="n">
        <v>2015</v>
      </c>
      <c r="D4539" s="21" t="inlineStr">
        <is>
          <t>UK</t>
        </is>
      </c>
      <c r="E4539" s="21" t="n">
        <v>77</v>
      </c>
      <c r="F4539" s="21" t="inlineStr">
        <is>
          <t>English</t>
        </is>
      </c>
      <c r="G4539" s="21" t="n"/>
      <c r="H4539" s="22" t="n">
        <v>25529689.5</v>
      </c>
      <c r="I4539" s="22" t="n">
        <v>20000000</v>
      </c>
      <c r="J4539" s="21">
        <f>IF(OR(H4539="",H4539=25529689.5),"Yes","No")</f>
        <v/>
      </c>
      <c r="K4539" s="21">
        <f>IF(AND(D4539="USA",C4539&gt;=1980,J4539="No"),"Yes","No")</f>
        <v/>
      </c>
      <c r="L4539" s="26">
        <f>IF(J4539="Yes","",H4539-I4539)</f>
        <v/>
      </c>
      <c r="M4539" s="27">
        <f>IF(OR(J4539="Yes",I4539=0),"",H4539/I4539)</f>
        <v/>
      </c>
      <c r="N4539" s="21">
        <f>IF(J4539="Yes","",IF(H4539&gt;=I4539,1,0))</f>
        <v/>
      </c>
      <c r="O4539" s="21">
        <f>IF(I4539&lt;=5000000,"Under $5M",IF(I4539&lt;=20000000,"$5M-20M",IF(I4539&lt;=50000000,"$20M-50M",IF(I4539&lt;=100000000,"$50M-100M","$100M+"))))</f>
        <v/>
      </c>
      <c r="P4539" s="21">
        <f>IF(E4539&lt;=90,"90 or less",IF(E4539&lt;=105,"91-105",IF(E4539&lt;=120,"106-120",IF(E4539&lt;=140,"121-140","Over 140"))))</f>
        <v/>
      </c>
      <c r="Q4539" s="28">
        <f>INT(C4539/10)*10</f>
        <v/>
      </c>
    </row>
    <row r="4540">
      <c r="A4540" s="21" t="n">
        <v>4640</v>
      </c>
      <c r="B4540" s="21" t="inlineStr">
        <is>
          <t>Counting</t>
        </is>
      </c>
      <c r="C4540" s="21" t="n">
        <v>2015</v>
      </c>
      <c r="D4540" s="21" t="inlineStr">
        <is>
          <t>USA</t>
        </is>
      </c>
      <c r="E4540" s="21" t="n">
        <v>111</v>
      </c>
      <c r="F4540" s="21" t="inlineStr">
        <is>
          <t>English</t>
        </is>
      </c>
      <c r="G4540" s="21" t="n"/>
      <c r="H4540" s="22" t="n">
        <v>25529689.5</v>
      </c>
      <c r="I4540" s="22" t="n">
        <v>50000</v>
      </c>
      <c r="J4540" s="21">
        <f>IF(OR(H4540="",H4540=25529689.5),"Yes","No")</f>
        <v/>
      </c>
      <c r="K4540" s="21">
        <f>IF(AND(D4540="USA",C4540&gt;=1980,J4540="No"),"Yes","No")</f>
        <v/>
      </c>
      <c r="L4540" s="26">
        <f>IF(J4540="Yes","",H4540-I4540)</f>
        <v/>
      </c>
      <c r="M4540" s="27">
        <f>IF(OR(J4540="Yes",I4540=0),"",H4540/I4540)</f>
        <v/>
      </c>
      <c r="N4540" s="21">
        <f>IF(J4540="Yes","",IF(H4540&gt;=I4540,1,0))</f>
        <v/>
      </c>
      <c r="O4540" s="21">
        <f>IF(I4540&lt;=5000000,"Under $5M",IF(I4540&lt;=20000000,"$5M-20M",IF(I4540&lt;=50000000,"$20M-50M",IF(I4540&lt;=100000000,"$50M-100M","$100M+"))))</f>
        <v/>
      </c>
      <c r="P4540" s="21">
        <f>IF(E4540&lt;=90,"90 or less",IF(E4540&lt;=105,"91-105",IF(E4540&lt;=120,"106-120",IF(E4540&lt;=140,"121-140","Over 140"))))</f>
        <v/>
      </c>
      <c r="Q4540" s="28">
        <f>INT(C4540/10)*10</f>
        <v/>
      </c>
    </row>
    <row r="4541">
      <c r="A4541" s="21" t="n">
        <v>4641</v>
      </c>
      <c r="B4541" s="21" t="inlineStr">
        <is>
          <t>Courage</t>
        </is>
      </c>
      <c r="C4541" s="21" t="n">
        <v>2015</v>
      </c>
      <c r="D4541" s="21" t="inlineStr">
        <is>
          <t>USA</t>
        </is>
      </c>
      <c r="E4541" s="21" t="n">
        <v>118</v>
      </c>
      <c r="F4541" s="21" t="inlineStr">
        <is>
          <t>English</t>
        </is>
      </c>
      <c r="G4541" s="21" t="inlineStr">
        <is>
          <t>PG</t>
        </is>
      </c>
      <c r="H4541" s="22" t="n">
        <v>2246000</v>
      </c>
      <c r="I4541" s="22" t="n">
        <v>20000000</v>
      </c>
      <c r="J4541" s="21">
        <f>IF(OR(H4541="",H4541=25529689.5),"Yes","No")</f>
        <v/>
      </c>
      <c r="K4541" s="21">
        <f>IF(AND(D4541="USA",C4541&gt;=1980,J4541="No"),"Yes","No")</f>
        <v/>
      </c>
      <c r="L4541" s="26">
        <f>IF(J4541="Yes","",H4541-I4541)</f>
        <v/>
      </c>
      <c r="M4541" s="27">
        <f>IF(OR(J4541="Yes",I4541=0),"",H4541/I4541)</f>
        <v/>
      </c>
      <c r="N4541" s="21">
        <f>IF(J4541="Yes","",IF(H4541&gt;=I4541,1,0))</f>
        <v/>
      </c>
      <c r="O4541" s="21">
        <f>IF(I4541&lt;=5000000,"Under $5M",IF(I4541&lt;=20000000,"$5M-20M",IF(I4541&lt;=50000000,"$20M-50M",IF(I4541&lt;=100000000,"$50M-100M","$100M+"))))</f>
        <v/>
      </c>
      <c r="P4541" s="21">
        <f>IF(E4541&lt;=90,"90 or less",IF(E4541&lt;=105,"91-105",IF(E4541&lt;=120,"106-120",IF(E4541&lt;=140,"121-140","Over 140"))))</f>
        <v/>
      </c>
      <c r="Q4541" s="28">
        <f>INT(C4541/10)*10</f>
        <v/>
      </c>
    </row>
    <row r="4542">
      <c r="A4542" s="21" t="n">
        <v>4642</v>
      </c>
      <c r="B4542" s="21" t="inlineStr">
        <is>
          <t>Creative Control</t>
        </is>
      </c>
      <c r="C4542" s="21" t="n">
        <v>2015</v>
      </c>
      <c r="D4542" s="21" t="inlineStr">
        <is>
          <t>USA</t>
        </is>
      </c>
      <c r="E4542" s="21" t="n">
        <v>97</v>
      </c>
      <c r="F4542" s="21" t="inlineStr">
        <is>
          <t>English</t>
        </is>
      </c>
      <c r="G4542" s="21" t="inlineStr">
        <is>
          <t>R</t>
        </is>
      </c>
      <c r="H4542" s="22" t="n">
        <v>62480</v>
      </c>
      <c r="I4542" s="22" t="n">
        <v>1000000</v>
      </c>
      <c r="J4542" s="21">
        <f>IF(OR(H4542="",H4542=25529689.5),"Yes","No")</f>
        <v/>
      </c>
      <c r="K4542" s="21">
        <f>IF(AND(D4542="USA",C4542&gt;=1980,J4542="No"),"Yes","No")</f>
        <v/>
      </c>
      <c r="L4542" s="26">
        <f>IF(J4542="Yes","",H4542-I4542)</f>
        <v/>
      </c>
      <c r="M4542" s="27">
        <f>IF(OR(J4542="Yes",I4542=0),"",H4542/I4542)</f>
        <v/>
      </c>
      <c r="N4542" s="21">
        <f>IF(J4542="Yes","",IF(H4542&gt;=I4542,1,0))</f>
        <v/>
      </c>
      <c r="O4542" s="21">
        <f>IF(I4542&lt;=5000000,"Under $5M",IF(I4542&lt;=20000000,"$5M-20M",IF(I4542&lt;=50000000,"$20M-50M",IF(I4542&lt;=100000000,"$50M-100M","$100M+"))))</f>
        <v/>
      </c>
      <c r="P4542" s="21">
        <f>IF(E4542&lt;=90,"90 or less",IF(E4542&lt;=105,"91-105",IF(E4542&lt;=120,"106-120",IF(E4542&lt;=140,"121-140","Over 140"))))</f>
        <v/>
      </c>
      <c r="Q4542" s="28">
        <f>INT(C4542/10)*10</f>
        <v/>
      </c>
    </row>
    <row r="4543">
      <c r="A4543" s="21" t="n">
        <v>4643</v>
      </c>
      <c r="B4543" s="21" t="inlineStr">
        <is>
          <t>Creed</t>
        </is>
      </c>
      <c r="C4543" s="21" t="n">
        <v>2015</v>
      </c>
      <c r="D4543" s="21" t="inlineStr">
        <is>
          <t>USA</t>
        </is>
      </c>
      <c r="E4543" s="21" t="n">
        <v>133</v>
      </c>
      <c r="F4543" s="21" t="inlineStr">
        <is>
          <t>English</t>
        </is>
      </c>
      <c r="G4543" s="21" t="inlineStr">
        <is>
          <t>PG-13</t>
        </is>
      </c>
      <c r="H4543" s="22" t="n">
        <v>109712885</v>
      </c>
      <c r="I4543" s="22" t="n">
        <v>35000000</v>
      </c>
      <c r="J4543" s="21">
        <f>IF(OR(H4543="",H4543=25529689.5),"Yes","No")</f>
        <v/>
      </c>
      <c r="K4543" s="21">
        <f>IF(AND(D4543="USA",C4543&gt;=1980,J4543="No"),"Yes","No")</f>
        <v/>
      </c>
      <c r="L4543" s="26">
        <f>IF(J4543="Yes","",H4543-I4543)</f>
        <v/>
      </c>
      <c r="M4543" s="27">
        <f>IF(OR(J4543="Yes",I4543=0),"",H4543/I4543)</f>
        <v/>
      </c>
      <c r="N4543" s="21">
        <f>IF(J4543="Yes","",IF(H4543&gt;=I4543,1,0))</f>
        <v/>
      </c>
      <c r="O4543" s="21">
        <f>IF(I4543&lt;=5000000,"Under $5M",IF(I4543&lt;=20000000,"$5M-20M",IF(I4543&lt;=50000000,"$20M-50M",IF(I4543&lt;=100000000,"$50M-100M","$100M+"))))</f>
        <v/>
      </c>
      <c r="P4543" s="21">
        <f>IF(E4543&lt;=90,"90 or less",IF(E4543&lt;=105,"91-105",IF(E4543&lt;=120,"106-120",IF(E4543&lt;=140,"121-140","Over 140"))))</f>
        <v/>
      </c>
      <c r="Q4543" s="28">
        <f>INT(C4543/10)*10</f>
        <v/>
      </c>
    </row>
    <row r="4544">
      <c r="A4544" s="21" t="n">
        <v>4644</v>
      </c>
      <c r="B4544" s="21" t="inlineStr">
        <is>
          <t>Criminal Activities</t>
        </is>
      </c>
      <c r="C4544" s="21" t="n">
        <v>2015</v>
      </c>
      <c r="D4544" s="21" t="inlineStr">
        <is>
          <t>USA</t>
        </is>
      </c>
      <c r="E4544" s="21" t="n">
        <v>94</v>
      </c>
      <c r="F4544" s="21" t="inlineStr">
        <is>
          <t>English</t>
        </is>
      </c>
      <c r="G4544" s="21" t="n"/>
      <c r="H4544" s="22" t="n">
        <v>25529689.5</v>
      </c>
      <c r="I4544" s="22" t="n">
        <v>7000000</v>
      </c>
      <c r="J4544" s="21">
        <f>IF(OR(H4544="",H4544=25529689.5),"Yes","No")</f>
        <v/>
      </c>
      <c r="K4544" s="21">
        <f>IF(AND(D4544="USA",C4544&gt;=1980,J4544="No"),"Yes","No")</f>
        <v/>
      </c>
      <c r="L4544" s="26">
        <f>IF(J4544="Yes","",H4544-I4544)</f>
        <v/>
      </c>
      <c r="M4544" s="27">
        <f>IF(OR(J4544="Yes",I4544=0),"",H4544/I4544)</f>
        <v/>
      </c>
      <c r="N4544" s="21">
        <f>IF(J4544="Yes","",IF(H4544&gt;=I4544,1,0))</f>
        <v/>
      </c>
      <c r="O4544" s="21">
        <f>IF(I4544&lt;=5000000,"Under $5M",IF(I4544&lt;=20000000,"$5M-20M",IF(I4544&lt;=50000000,"$20M-50M",IF(I4544&lt;=100000000,"$50M-100M","$100M+"))))</f>
        <v/>
      </c>
      <c r="P4544" s="21">
        <f>IF(E4544&lt;=90,"90 or less",IF(E4544&lt;=105,"91-105",IF(E4544&lt;=120,"106-120",IF(E4544&lt;=140,"121-140","Over 140"))))</f>
        <v/>
      </c>
      <c r="Q4544" s="28">
        <f>INT(C4544/10)*10</f>
        <v/>
      </c>
    </row>
    <row r="4545">
      <c r="A4545" s="21" t="n">
        <v>4645</v>
      </c>
      <c r="B4545" s="21" t="inlineStr">
        <is>
          <t>Daddy's Home</t>
        </is>
      </c>
      <c r="C4545" s="21" t="n">
        <v>2015</v>
      </c>
      <c r="D4545" s="21" t="inlineStr">
        <is>
          <t>USA</t>
        </is>
      </c>
      <c r="E4545" s="21" t="n">
        <v>96</v>
      </c>
      <c r="F4545" s="21" t="inlineStr">
        <is>
          <t>English</t>
        </is>
      </c>
      <c r="G4545" s="21" t="inlineStr">
        <is>
          <t>PG-13</t>
        </is>
      </c>
      <c r="H4545" s="22" t="n">
        <v>150315155</v>
      </c>
      <c r="I4545" s="22" t="n">
        <v>50000000</v>
      </c>
      <c r="J4545" s="21">
        <f>IF(OR(H4545="",H4545=25529689.5),"Yes","No")</f>
        <v/>
      </c>
      <c r="K4545" s="21">
        <f>IF(AND(D4545="USA",C4545&gt;=1980,J4545="No"),"Yes","No")</f>
        <v/>
      </c>
      <c r="L4545" s="26">
        <f>IF(J4545="Yes","",H4545-I4545)</f>
        <v/>
      </c>
      <c r="M4545" s="27">
        <f>IF(OR(J4545="Yes",I4545=0),"",H4545/I4545)</f>
        <v/>
      </c>
      <c r="N4545" s="21">
        <f>IF(J4545="Yes","",IF(H4545&gt;=I4545,1,0))</f>
        <v/>
      </c>
      <c r="O4545" s="21">
        <f>IF(I4545&lt;=5000000,"Under $5M",IF(I4545&lt;=20000000,"$5M-20M",IF(I4545&lt;=50000000,"$20M-50M",IF(I4545&lt;=100000000,"$50M-100M","$100M+"))))</f>
        <v/>
      </c>
      <c r="P4545" s="21">
        <f>IF(E4545&lt;=90,"90 or less",IF(E4545&lt;=105,"91-105",IF(E4545&lt;=120,"106-120",IF(E4545&lt;=140,"121-140","Over 140"))))</f>
        <v/>
      </c>
      <c r="Q4545" s="28">
        <f>INT(C4545/10)*10</f>
        <v/>
      </c>
    </row>
    <row r="4546">
      <c r="A4546" s="21" t="n">
        <v>4646</v>
      </c>
      <c r="B4546" s="21" t="inlineStr">
        <is>
          <t>Dancin' It's On</t>
        </is>
      </c>
      <c r="C4546" s="21" t="n">
        <v>2015</v>
      </c>
      <c r="D4546" s="21" t="inlineStr">
        <is>
          <t>USA</t>
        </is>
      </c>
      <c r="E4546" s="21" t="n">
        <v>89</v>
      </c>
      <c r="F4546" s="21" t="inlineStr">
        <is>
          <t>English</t>
        </is>
      </c>
      <c r="G4546" s="21" t="inlineStr">
        <is>
          <t>PG</t>
        </is>
      </c>
      <c r="H4546" s="22" t="n">
        <v>25529689.5</v>
      </c>
      <c r="I4546" s="22" t="n">
        <v>12000000</v>
      </c>
      <c r="J4546" s="21">
        <f>IF(OR(H4546="",H4546=25529689.5),"Yes","No")</f>
        <v/>
      </c>
      <c r="K4546" s="21">
        <f>IF(AND(D4546="USA",C4546&gt;=1980,J4546="No"),"Yes","No")</f>
        <v/>
      </c>
      <c r="L4546" s="26">
        <f>IF(J4546="Yes","",H4546-I4546)</f>
        <v/>
      </c>
      <c r="M4546" s="27">
        <f>IF(OR(J4546="Yes",I4546=0),"",H4546/I4546)</f>
        <v/>
      </c>
      <c r="N4546" s="21">
        <f>IF(J4546="Yes","",IF(H4546&gt;=I4546,1,0))</f>
        <v/>
      </c>
      <c r="O4546" s="21">
        <f>IF(I4546&lt;=5000000,"Under $5M",IF(I4546&lt;=20000000,"$5M-20M",IF(I4546&lt;=50000000,"$20M-50M",IF(I4546&lt;=100000000,"$50M-100M","$100M+"))))</f>
        <v/>
      </c>
      <c r="P4546" s="21">
        <f>IF(E4546&lt;=90,"90 or less",IF(E4546&lt;=105,"91-105",IF(E4546&lt;=120,"106-120",IF(E4546&lt;=140,"121-140","Over 140"))))</f>
        <v/>
      </c>
      <c r="Q4546" s="28">
        <f>INT(C4546/10)*10</f>
        <v/>
      </c>
    </row>
    <row r="4547">
      <c r="A4547" s="21" t="n">
        <v>4647</v>
      </c>
      <c r="B4547" s="21" t="inlineStr">
        <is>
          <t>Danny Collins</t>
        </is>
      </c>
      <c r="C4547" s="21" t="n">
        <v>2015</v>
      </c>
      <c r="D4547" s="21" t="inlineStr">
        <is>
          <t>USA</t>
        </is>
      </c>
      <c r="E4547" s="21" t="n">
        <v>106</v>
      </c>
      <c r="F4547" s="21" t="inlineStr">
        <is>
          <t>English</t>
        </is>
      </c>
      <c r="G4547" s="21" t="inlineStr">
        <is>
          <t>R</t>
        </is>
      </c>
      <c r="H4547" s="22" t="n">
        <v>5348317</v>
      </c>
      <c r="I4547" s="22" t="n">
        <v>10000000</v>
      </c>
      <c r="J4547" s="21">
        <f>IF(OR(H4547="",H4547=25529689.5),"Yes","No")</f>
        <v/>
      </c>
      <c r="K4547" s="21">
        <f>IF(AND(D4547="USA",C4547&gt;=1980,J4547="No"),"Yes","No")</f>
        <v/>
      </c>
      <c r="L4547" s="26">
        <f>IF(J4547="Yes","",H4547-I4547)</f>
        <v/>
      </c>
      <c r="M4547" s="27">
        <f>IF(OR(J4547="Yes",I4547=0),"",H4547/I4547)</f>
        <v/>
      </c>
      <c r="N4547" s="21">
        <f>IF(J4547="Yes","",IF(H4547&gt;=I4547,1,0))</f>
        <v/>
      </c>
      <c r="O4547" s="21">
        <f>IF(I4547&lt;=5000000,"Under $5M",IF(I4547&lt;=20000000,"$5M-20M",IF(I4547&lt;=50000000,"$20M-50M",IF(I4547&lt;=100000000,"$50M-100M","$100M+"))))</f>
        <v/>
      </c>
      <c r="P4547" s="21">
        <f>IF(E4547&lt;=90,"90 or less",IF(E4547&lt;=105,"91-105",IF(E4547&lt;=120,"106-120",IF(E4547&lt;=140,"121-140","Over 140"))))</f>
        <v/>
      </c>
      <c r="Q4547" s="28">
        <f>INT(C4547/10)*10</f>
        <v/>
      </c>
    </row>
    <row r="4548">
      <c r="A4548" s="21" t="n">
        <v>4648</v>
      </c>
      <c r="B4548" s="21" t="inlineStr">
        <is>
          <t>Demonic</t>
        </is>
      </c>
      <c r="C4548" s="21" t="n">
        <v>2015</v>
      </c>
      <c r="D4548" s="21" t="inlineStr">
        <is>
          <t>USA</t>
        </is>
      </c>
      <c r="E4548" s="21" t="n">
        <v>83</v>
      </c>
      <c r="F4548" s="21" t="inlineStr">
        <is>
          <t>English</t>
        </is>
      </c>
      <c r="G4548" s="21" t="inlineStr">
        <is>
          <t>R</t>
        </is>
      </c>
      <c r="H4548" s="22" t="n">
        <v>25529689.5</v>
      </c>
      <c r="I4548" s="22" t="n">
        <v>3000000</v>
      </c>
      <c r="J4548" s="21">
        <f>IF(OR(H4548="",H4548=25529689.5),"Yes","No")</f>
        <v/>
      </c>
      <c r="K4548" s="21">
        <f>IF(AND(D4548="USA",C4548&gt;=1980,J4548="No"),"Yes","No")</f>
        <v/>
      </c>
      <c r="L4548" s="26">
        <f>IF(J4548="Yes","",H4548-I4548)</f>
        <v/>
      </c>
      <c r="M4548" s="27">
        <f>IF(OR(J4548="Yes",I4548=0),"",H4548/I4548)</f>
        <v/>
      </c>
      <c r="N4548" s="21">
        <f>IF(J4548="Yes","",IF(H4548&gt;=I4548,1,0))</f>
        <v/>
      </c>
      <c r="O4548" s="21">
        <f>IF(I4548&lt;=5000000,"Under $5M",IF(I4548&lt;=20000000,"$5M-20M",IF(I4548&lt;=50000000,"$20M-50M",IF(I4548&lt;=100000000,"$50M-100M","$100M+"))))</f>
        <v/>
      </c>
      <c r="P4548" s="21">
        <f>IF(E4548&lt;=90,"90 or less",IF(E4548&lt;=105,"91-105",IF(E4548&lt;=120,"106-120",IF(E4548&lt;=140,"121-140","Over 140"))))</f>
        <v/>
      </c>
      <c r="Q4548" s="28">
        <f>INT(C4548/10)*10</f>
        <v/>
      </c>
    </row>
    <row r="4549">
      <c r="A4549" s="21" t="n">
        <v>4649</v>
      </c>
      <c r="B4549" s="21" t="inlineStr">
        <is>
          <t>Departure</t>
        </is>
      </c>
      <c r="C4549" s="21" t="n">
        <v>2015</v>
      </c>
      <c r="D4549" s="21" t="inlineStr">
        <is>
          <t>UK</t>
        </is>
      </c>
      <c r="E4549" s="21" t="n">
        <v>109</v>
      </c>
      <c r="F4549" s="21" t="inlineStr">
        <is>
          <t>English</t>
        </is>
      </c>
      <c r="G4549" s="21" t="n"/>
      <c r="H4549" s="22" t="n">
        <v>25529689.5</v>
      </c>
      <c r="I4549" s="22" t="n">
        <v>1100000</v>
      </c>
      <c r="J4549" s="21">
        <f>IF(OR(H4549="",H4549=25529689.5),"Yes","No")</f>
        <v/>
      </c>
      <c r="K4549" s="21">
        <f>IF(AND(D4549="USA",C4549&gt;=1980,J4549="No"),"Yes","No")</f>
        <v/>
      </c>
      <c r="L4549" s="26">
        <f>IF(J4549="Yes","",H4549-I4549)</f>
        <v/>
      </c>
      <c r="M4549" s="27">
        <f>IF(OR(J4549="Yes",I4549=0),"",H4549/I4549)</f>
        <v/>
      </c>
      <c r="N4549" s="21">
        <f>IF(J4549="Yes","",IF(H4549&gt;=I4549,1,0))</f>
        <v/>
      </c>
      <c r="O4549" s="21">
        <f>IF(I4549&lt;=5000000,"Under $5M",IF(I4549&lt;=20000000,"$5M-20M",IF(I4549&lt;=50000000,"$20M-50M",IF(I4549&lt;=100000000,"$50M-100M","$100M+"))))</f>
        <v/>
      </c>
      <c r="P4549" s="21">
        <f>IF(E4549&lt;=90,"90 or less",IF(E4549&lt;=105,"91-105",IF(E4549&lt;=120,"106-120",IF(E4549&lt;=140,"121-140","Over 140"))))</f>
        <v/>
      </c>
      <c r="Q4549" s="28">
        <f>INT(C4549/10)*10</f>
        <v/>
      </c>
    </row>
    <row r="4550">
      <c r="A4550" s="21" t="n">
        <v>4650</v>
      </c>
      <c r="B4550" s="21" t="inlineStr">
        <is>
          <t>Diamond Ruff</t>
        </is>
      </c>
      <c r="C4550" s="21" t="n">
        <v>2015</v>
      </c>
      <c r="D4550" s="21" t="inlineStr">
        <is>
          <t>USA</t>
        </is>
      </c>
      <c r="E4550" s="21" t="n">
        <v>82</v>
      </c>
      <c r="F4550" s="21" t="inlineStr">
        <is>
          <t>English</t>
        </is>
      </c>
      <c r="G4550" s="21" t="inlineStr">
        <is>
          <t>R</t>
        </is>
      </c>
      <c r="H4550" s="22" t="n">
        <v>25529689.5</v>
      </c>
      <c r="I4550" s="22" t="n">
        <v>500000</v>
      </c>
      <c r="J4550" s="21">
        <f>IF(OR(H4550="",H4550=25529689.5),"Yes","No")</f>
        <v/>
      </c>
      <c r="K4550" s="21">
        <f>IF(AND(D4550="USA",C4550&gt;=1980,J4550="No"),"Yes","No")</f>
        <v/>
      </c>
      <c r="L4550" s="26">
        <f>IF(J4550="Yes","",H4550-I4550)</f>
        <v/>
      </c>
      <c r="M4550" s="27">
        <f>IF(OR(J4550="Yes",I4550=0),"",H4550/I4550)</f>
        <v/>
      </c>
      <c r="N4550" s="21">
        <f>IF(J4550="Yes","",IF(H4550&gt;=I4550,1,0))</f>
        <v/>
      </c>
      <c r="O4550" s="21">
        <f>IF(I4550&lt;=5000000,"Under $5M",IF(I4550&lt;=20000000,"$5M-20M",IF(I4550&lt;=50000000,"$20M-50M",IF(I4550&lt;=100000000,"$50M-100M","$100M+"))))</f>
        <v/>
      </c>
      <c r="P4550" s="21">
        <f>IF(E4550&lt;=90,"90 or less",IF(E4550&lt;=105,"91-105",IF(E4550&lt;=120,"106-120",IF(E4550&lt;=140,"121-140","Over 140"))))</f>
        <v/>
      </c>
      <c r="Q4550" s="28">
        <f>INT(C4550/10)*10</f>
        <v/>
      </c>
    </row>
    <row r="4551">
      <c r="A4551" s="21" t="n">
        <v>4651</v>
      </c>
      <c r="B4551" s="21" t="inlineStr">
        <is>
          <t>Do You Believe?</t>
        </is>
      </c>
      <c r="C4551" s="21" t="n">
        <v>2015</v>
      </c>
      <c r="D4551" s="21" t="inlineStr">
        <is>
          <t>USA</t>
        </is>
      </c>
      <c r="E4551" s="21" t="n">
        <v>120</v>
      </c>
      <c r="F4551" s="21" t="inlineStr">
        <is>
          <t>English</t>
        </is>
      </c>
      <c r="G4551" s="21" t="inlineStr">
        <is>
          <t>PG-13</t>
        </is>
      </c>
      <c r="H4551" s="22" t="n">
        <v>12985267</v>
      </c>
      <c r="I4551" s="22" t="n">
        <v>2300000</v>
      </c>
      <c r="J4551" s="21">
        <f>IF(OR(H4551="",H4551=25529689.5),"Yes","No")</f>
        <v/>
      </c>
      <c r="K4551" s="21">
        <f>IF(AND(D4551="USA",C4551&gt;=1980,J4551="No"),"Yes","No")</f>
        <v/>
      </c>
      <c r="L4551" s="26">
        <f>IF(J4551="Yes","",H4551-I4551)</f>
        <v/>
      </c>
      <c r="M4551" s="27">
        <f>IF(OR(J4551="Yes",I4551=0),"",H4551/I4551)</f>
        <v/>
      </c>
      <c r="N4551" s="21">
        <f>IF(J4551="Yes","",IF(H4551&gt;=I4551,1,0))</f>
        <v/>
      </c>
      <c r="O4551" s="21">
        <f>IF(I4551&lt;=5000000,"Under $5M",IF(I4551&lt;=20000000,"$5M-20M",IF(I4551&lt;=50000000,"$20M-50M",IF(I4551&lt;=100000000,"$50M-100M","$100M+"))))</f>
        <v/>
      </c>
      <c r="P4551" s="21">
        <f>IF(E4551&lt;=90,"90 or less",IF(E4551&lt;=105,"91-105",IF(E4551&lt;=120,"106-120",IF(E4551&lt;=140,"121-140","Over 140"))))</f>
        <v/>
      </c>
      <c r="Q4551" s="28">
        <f>INT(C4551/10)*10</f>
        <v/>
      </c>
    </row>
    <row r="4552">
      <c r="A4552" s="21" t="n">
        <v>4652</v>
      </c>
      <c r="B4552" s="21" t="inlineStr">
        <is>
          <t>Dope</t>
        </is>
      </c>
      <c r="C4552" s="21" t="n">
        <v>2015</v>
      </c>
      <c r="D4552" s="21" t="inlineStr">
        <is>
          <t>USA</t>
        </is>
      </c>
      <c r="E4552" s="21" t="n">
        <v>103</v>
      </c>
      <c r="F4552" s="21" t="inlineStr">
        <is>
          <t>English</t>
        </is>
      </c>
      <c r="G4552" s="21" t="inlineStr">
        <is>
          <t>R</t>
        </is>
      </c>
      <c r="H4552" s="22" t="n">
        <v>17474107</v>
      </c>
      <c r="I4552" s="22" t="n">
        <v>7000000</v>
      </c>
      <c r="J4552" s="21">
        <f>IF(OR(H4552="",H4552=25529689.5),"Yes","No")</f>
        <v/>
      </c>
      <c r="K4552" s="21">
        <f>IF(AND(D4552="USA",C4552&gt;=1980,J4552="No"),"Yes","No")</f>
        <v/>
      </c>
      <c r="L4552" s="26">
        <f>IF(J4552="Yes","",H4552-I4552)</f>
        <v/>
      </c>
      <c r="M4552" s="27">
        <f>IF(OR(J4552="Yes",I4552=0),"",H4552/I4552)</f>
        <v/>
      </c>
      <c r="N4552" s="21">
        <f>IF(J4552="Yes","",IF(H4552&gt;=I4552,1,0))</f>
        <v/>
      </c>
      <c r="O4552" s="21">
        <f>IF(I4552&lt;=5000000,"Under $5M",IF(I4552&lt;=20000000,"$5M-20M",IF(I4552&lt;=50000000,"$20M-50M",IF(I4552&lt;=100000000,"$50M-100M","$100M+"))))</f>
        <v/>
      </c>
      <c r="P4552" s="21">
        <f>IF(E4552&lt;=90,"90 or less",IF(E4552&lt;=105,"91-105",IF(E4552&lt;=120,"106-120",IF(E4552&lt;=140,"121-140","Over 140"))))</f>
        <v/>
      </c>
      <c r="Q4552" s="28">
        <f>INT(C4552/10)*10</f>
        <v/>
      </c>
    </row>
    <row r="4553">
      <c r="A4553" s="21" t="n">
        <v>4653</v>
      </c>
      <c r="B4553" s="21" t="inlineStr">
        <is>
          <t>Dragon Blade</t>
        </is>
      </c>
      <c r="C4553" s="21" t="n">
        <v>2015</v>
      </c>
      <c r="D4553" s="21" t="inlineStr">
        <is>
          <t>China</t>
        </is>
      </c>
      <c r="E4553" s="21" t="n">
        <v>103</v>
      </c>
      <c r="F4553" s="21" t="inlineStr">
        <is>
          <t>Mandarin</t>
        </is>
      </c>
      <c r="G4553" s="21" t="inlineStr">
        <is>
          <t>R</t>
        </is>
      </c>
      <c r="H4553" s="22" t="n">
        <v>72413</v>
      </c>
      <c r="I4553" s="22" t="n">
        <v>65000000</v>
      </c>
      <c r="J4553" s="21">
        <f>IF(OR(H4553="",H4553=25529689.5),"Yes","No")</f>
        <v/>
      </c>
      <c r="K4553" s="21">
        <f>IF(AND(D4553="USA",C4553&gt;=1980,J4553="No"),"Yes","No")</f>
        <v/>
      </c>
      <c r="L4553" s="26">
        <f>IF(J4553="Yes","",H4553-I4553)</f>
        <v/>
      </c>
      <c r="M4553" s="27">
        <f>IF(OR(J4553="Yes",I4553=0),"",H4553/I4553)</f>
        <v/>
      </c>
      <c r="N4553" s="21">
        <f>IF(J4553="Yes","",IF(H4553&gt;=I4553,1,0))</f>
        <v/>
      </c>
      <c r="O4553" s="21">
        <f>IF(I4553&lt;=5000000,"Under $5M",IF(I4553&lt;=20000000,"$5M-20M",IF(I4553&lt;=50000000,"$20M-50M",IF(I4553&lt;=100000000,"$50M-100M","$100M+"))))</f>
        <v/>
      </c>
      <c r="P4553" s="21">
        <f>IF(E4553&lt;=90,"90 or less",IF(E4553&lt;=105,"91-105",IF(E4553&lt;=120,"106-120",IF(E4553&lt;=140,"121-140","Over 140"))))</f>
        <v/>
      </c>
      <c r="Q4553" s="28">
        <f>INT(C4553/10)*10</f>
        <v/>
      </c>
    </row>
    <row r="4554">
      <c r="A4554" s="21" t="n">
        <v>4654</v>
      </c>
      <c r="B4554" s="21" t="inlineStr">
        <is>
          <t>Dutch Kills</t>
        </is>
      </c>
      <c r="C4554" s="21" t="n">
        <v>2015</v>
      </c>
      <c r="D4554" s="21" t="inlineStr">
        <is>
          <t>USA</t>
        </is>
      </c>
      <c r="E4554" s="21" t="n">
        <v>90</v>
      </c>
      <c r="F4554" s="21" t="inlineStr">
        <is>
          <t>English</t>
        </is>
      </c>
      <c r="G4554" s="21" t="n"/>
      <c r="H4554" s="22" t="n">
        <v>25529689.5</v>
      </c>
      <c r="I4554" s="22" t="n">
        <v>25000</v>
      </c>
      <c r="J4554" s="21">
        <f>IF(OR(H4554="",H4554=25529689.5),"Yes","No")</f>
        <v/>
      </c>
      <c r="K4554" s="21">
        <f>IF(AND(D4554="USA",C4554&gt;=1980,J4554="No"),"Yes","No")</f>
        <v/>
      </c>
      <c r="L4554" s="26">
        <f>IF(J4554="Yes","",H4554-I4554)</f>
        <v/>
      </c>
      <c r="M4554" s="27">
        <f>IF(OR(J4554="Yes",I4554=0),"",H4554/I4554)</f>
        <v/>
      </c>
      <c r="N4554" s="21">
        <f>IF(J4554="Yes","",IF(H4554&gt;=I4554,1,0))</f>
        <v/>
      </c>
      <c r="O4554" s="21">
        <f>IF(I4554&lt;=5000000,"Under $5M",IF(I4554&lt;=20000000,"$5M-20M",IF(I4554&lt;=50000000,"$20M-50M",IF(I4554&lt;=100000000,"$50M-100M","$100M+"))))</f>
        <v/>
      </c>
      <c r="P4554" s="21">
        <f>IF(E4554&lt;=90,"90 or less",IF(E4554&lt;=105,"91-105",IF(E4554&lt;=120,"106-120",IF(E4554&lt;=140,"121-140","Over 140"))))</f>
        <v/>
      </c>
      <c r="Q4554" s="28">
        <f>INT(C4554/10)*10</f>
        <v/>
      </c>
    </row>
    <row r="4555">
      <c r="A4555" s="21" t="n">
        <v>4655</v>
      </c>
      <c r="B4555" s="21" t="inlineStr">
        <is>
          <t>Eden</t>
        </is>
      </c>
      <c r="C4555" s="21" t="n">
        <v>2015</v>
      </c>
      <c r="D4555" s="21" t="inlineStr">
        <is>
          <t>Spain</t>
        </is>
      </c>
      <c r="E4555" s="21" t="n">
        <v>90</v>
      </c>
      <c r="F4555" s="21" t="inlineStr">
        <is>
          <t>English</t>
        </is>
      </c>
      <c r="G4555" s="21" t="inlineStr">
        <is>
          <t>R</t>
        </is>
      </c>
      <c r="H4555" s="22" t="n">
        <v>25529689.5</v>
      </c>
      <c r="I4555" s="22" t="n">
        <v>20000000</v>
      </c>
      <c r="J4555" s="21">
        <f>IF(OR(H4555="",H4555=25529689.5),"Yes","No")</f>
        <v/>
      </c>
      <c r="K4555" s="21">
        <f>IF(AND(D4555="USA",C4555&gt;=1980,J4555="No"),"Yes","No")</f>
        <v/>
      </c>
      <c r="L4555" s="26">
        <f>IF(J4555="Yes","",H4555-I4555)</f>
        <v/>
      </c>
      <c r="M4555" s="27">
        <f>IF(OR(J4555="Yes",I4555=0),"",H4555/I4555)</f>
        <v/>
      </c>
      <c r="N4555" s="21">
        <f>IF(J4555="Yes","",IF(H4555&gt;=I4555,1,0))</f>
        <v/>
      </c>
      <c r="O4555" s="21">
        <f>IF(I4555&lt;=5000000,"Under $5M",IF(I4555&lt;=20000000,"$5M-20M",IF(I4555&lt;=50000000,"$20M-50M",IF(I4555&lt;=100000000,"$50M-100M","$100M+"))))</f>
        <v/>
      </c>
      <c r="P4555" s="21">
        <f>IF(E4555&lt;=90,"90 or less",IF(E4555&lt;=105,"91-105",IF(E4555&lt;=120,"106-120",IF(E4555&lt;=140,"121-140","Over 140"))))</f>
        <v/>
      </c>
      <c r="Q4555" s="28">
        <f>INT(C4555/10)*10</f>
        <v/>
      </c>
    </row>
    <row r="4556">
      <c r="A4556" s="21" t="n">
        <v>4656</v>
      </c>
      <c r="B4556" s="21" t="inlineStr">
        <is>
          <t>Everest</t>
        </is>
      </c>
      <c r="C4556" s="21" t="n">
        <v>2015</v>
      </c>
      <c r="D4556" s="21" t="inlineStr">
        <is>
          <t>UK</t>
        </is>
      </c>
      <c r="E4556" s="21" t="n">
        <v>121</v>
      </c>
      <c r="F4556" s="21" t="inlineStr">
        <is>
          <t>English</t>
        </is>
      </c>
      <c r="G4556" s="21" t="inlineStr">
        <is>
          <t>PG-13</t>
        </is>
      </c>
      <c r="H4556" s="22" t="n">
        <v>43247140</v>
      </c>
      <c r="I4556" s="22" t="n">
        <v>55000000</v>
      </c>
      <c r="J4556" s="21">
        <f>IF(OR(H4556="",H4556=25529689.5),"Yes","No")</f>
        <v/>
      </c>
      <c r="K4556" s="21">
        <f>IF(AND(D4556="USA",C4556&gt;=1980,J4556="No"),"Yes","No")</f>
        <v/>
      </c>
      <c r="L4556" s="26">
        <f>IF(J4556="Yes","",H4556-I4556)</f>
        <v/>
      </c>
      <c r="M4556" s="27">
        <f>IF(OR(J4556="Yes",I4556=0),"",H4556/I4556)</f>
        <v/>
      </c>
      <c r="N4556" s="21">
        <f>IF(J4556="Yes","",IF(H4556&gt;=I4556,1,0))</f>
        <v/>
      </c>
      <c r="O4556" s="21">
        <f>IF(I4556&lt;=5000000,"Under $5M",IF(I4556&lt;=20000000,"$5M-20M",IF(I4556&lt;=50000000,"$20M-50M",IF(I4556&lt;=100000000,"$50M-100M","$100M+"))))</f>
        <v/>
      </c>
      <c r="P4556" s="21">
        <f>IF(E4556&lt;=90,"90 or less",IF(E4556&lt;=105,"91-105",IF(E4556&lt;=120,"106-120",IF(E4556&lt;=140,"121-140","Over 140"))))</f>
        <v/>
      </c>
      <c r="Q4556" s="28">
        <f>INT(C4556/10)*10</f>
        <v/>
      </c>
    </row>
    <row r="4557">
      <c r="A4557" s="21" t="n">
        <v>4657</v>
      </c>
      <c r="B4557" s="21" t="inlineStr">
        <is>
          <t>Evolution</t>
        </is>
      </c>
      <c r="C4557" s="21" t="n">
        <v>2015</v>
      </c>
      <c r="D4557" s="21" t="inlineStr">
        <is>
          <t>France</t>
        </is>
      </c>
      <c r="E4557" s="21" t="n">
        <v>81</v>
      </c>
      <c r="F4557" s="21" t="inlineStr">
        <is>
          <t>French</t>
        </is>
      </c>
      <c r="G4557" s="21" t="n"/>
      <c r="H4557" s="22" t="n">
        <v>25529689.5</v>
      </c>
      <c r="I4557" s="22" t="n">
        <v>20000000</v>
      </c>
      <c r="J4557" s="21">
        <f>IF(OR(H4557="",H4557=25529689.5),"Yes","No")</f>
        <v/>
      </c>
      <c r="K4557" s="21">
        <f>IF(AND(D4557="USA",C4557&gt;=1980,J4557="No"),"Yes","No")</f>
        <v/>
      </c>
      <c r="L4557" s="26">
        <f>IF(J4557="Yes","",H4557-I4557)</f>
        <v/>
      </c>
      <c r="M4557" s="27">
        <f>IF(OR(J4557="Yes",I4557=0),"",H4557/I4557)</f>
        <v/>
      </c>
      <c r="N4557" s="21">
        <f>IF(J4557="Yes","",IF(H4557&gt;=I4557,1,0))</f>
        <v/>
      </c>
      <c r="O4557" s="21">
        <f>IF(I4557&lt;=5000000,"Under $5M",IF(I4557&lt;=20000000,"$5M-20M",IF(I4557&lt;=50000000,"$20M-50M",IF(I4557&lt;=100000000,"$50M-100M","$100M+"))))</f>
        <v/>
      </c>
      <c r="P4557" s="21">
        <f>IF(E4557&lt;=90,"90 or less",IF(E4557&lt;=105,"91-105",IF(E4557&lt;=120,"106-120",IF(E4557&lt;=140,"121-140","Over 140"))))</f>
        <v/>
      </c>
      <c r="Q4557" s="28">
        <f>INT(C4557/10)*10</f>
        <v/>
      </c>
    </row>
    <row r="4558">
      <c r="A4558" s="21" t="n">
        <v>4658</v>
      </c>
      <c r="B4558" s="21" t="inlineStr">
        <is>
          <t>Ex Machina</t>
        </is>
      </c>
      <c r="C4558" s="21" t="n">
        <v>2015</v>
      </c>
      <c r="D4558" s="21" t="inlineStr">
        <is>
          <t>UK</t>
        </is>
      </c>
      <c r="E4558" s="21" t="n">
        <v>108</v>
      </c>
      <c r="F4558" s="21" t="inlineStr">
        <is>
          <t>English</t>
        </is>
      </c>
      <c r="G4558" s="21" t="inlineStr">
        <is>
          <t>R</t>
        </is>
      </c>
      <c r="H4558" s="22" t="n">
        <v>25440971</v>
      </c>
      <c r="I4558" s="22" t="n">
        <v>15000000</v>
      </c>
      <c r="J4558" s="21">
        <f>IF(OR(H4558="",H4558=25529689.5),"Yes","No")</f>
        <v/>
      </c>
      <c r="K4558" s="21">
        <f>IF(AND(D4558="USA",C4558&gt;=1980,J4558="No"),"Yes","No")</f>
        <v/>
      </c>
      <c r="L4558" s="26">
        <f>IF(J4558="Yes","",H4558-I4558)</f>
        <v/>
      </c>
      <c r="M4558" s="27">
        <f>IF(OR(J4558="Yes",I4558=0),"",H4558/I4558)</f>
        <v/>
      </c>
      <c r="N4558" s="21">
        <f>IF(J4558="Yes","",IF(H4558&gt;=I4558,1,0))</f>
        <v/>
      </c>
      <c r="O4558" s="21">
        <f>IF(I4558&lt;=5000000,"Under $5M",IF(I4558&lt;=20000000,"$5M-20M",IF(I4558&lt;=50000000,"$20M-50M",IF(I4558&lt;=100000000,"$50M-100M","$100M+"))))</f>
        <v/>
      </c>
      <c r="P4558" s="21">
        <f>IF(E4558&lt;=90,"90 or less",IF(E4558&lt;=105,"91-105",IF(E4558&lt;=120,"106-120",IF(E4558&lt;=140,"121-140","Over 140"))))</f>
        <v/>
      </c>
      <c r="Q4558" s="28">
        <f>INT(C4558/10)*10</f>
        <v/>
      </c>
    </row>
    <row r="4559">
      <c r="A4559" s="21" t="n">
        <v>4659</v>
      </c>
      <c r="B4559" s="21" t="inlineStr">
        <is>
          <t>Exeter</t>
        </is>
      </c>
      <c r="C4559" s="21" t="n">
        <v>2015</v>
      </c>
      <c r="D4559" s="21" t="inlineStr">
        <is>
          <t>USA</t>
        </is>
      </c>
      <c r="E4559" s="21" t="n">
        <v>91</v>
      </c>
      <c r="F4559" s="21" t="inlineStr">
        <is>
          <t>English</t>
        </is>
      </c>
      <c r="G4559" s="21" t="inlineStr">
        <is>
          <t>R</t>
        </is>
      </c>
      <c r="H4559" s="22" t="n">
        <v>25529689.5</v>
      </c>
      <c r="I4559" s="22" t="n">
        <v>20000000</v>
      </c>
      <c r="J4559" s="21">
        <f>IF(OR(H4559="",H4559=25529689.5),"Yes","No")</f>
        <v/>
      </c>
      <c r="K4559" s="21">
        <f>IF(AND(D4559="USA",C4559&gt;=1980,J4559="No"),"Yes","No")</f>
        <v/>
      </c>
      <c r="L4559" s="26">
        <f>IF(J4559="Yes","",H4559-I4559)</f>
        <v/>
      </c>
      <c r="M4559" s="27">
        <f>IF(OR(J4559="Yes",I4559=0),"",H4559/I4559)</f>
        <v/>
      </c>
      <c r="N4559" s="21">
        <f>IF(J4559="Yes","",IF(H4559&gt;=I4559,1,0))</f>
        <v/>
      </c>
      <c r="O4559" s="21">
        <f>IF(I4559&lt;=5000000,"Under $5M",IF(I4559&lt;=20000000,"$5M-20M",IF(I4559&lt;=50000000,"$20M-50M",IF(I4559&lt;=100000000,"$50M-100M","$100M+"))))</f>
        <v/>
      </c>
      <c r="P4559" s="21">
        <f>IF(E4559&lt;=90,"90 or less",IF(E4559&lt;=105,"91-105",IF(E4559&lt;=120,"106-120",IF(E4559&lt;=140,"121-140","Over 140"))))</f>
        <v/>
      </c>
      <c r="Q4559" s="28">
        <f>INT(C4559/10)*10</f>
        <v/>
      </c>
    </row>
    <row r="4560">
      <c r="A4560" s="21" t="n">
        <v>4660</v>
      </c>
      <c r="B4560" s="21" t="inlineStr">
        <is>
          <t>Fantastic Four</t>
        </is>
      </c>
      <c r="C4560" s="21" t="n">
        <v>2015</v>
      </c>
      <c r="D4560" s="21" t="inlineStr">
        <is>
          <t>USA</t>
        </is>
      </c>
      <c r="E4560" s="21" t="n">
        <v>100</v>
      </c>
      <c r="F4560" s="21" t="inlineStr">
        <is>
          <t>English</t>
        </is>
      </c>
      <c r="G4560" s="21" t="inlineStr">
        <is>
          <t>PG-13</t>
        </is>
      </c>
      <c r="H4560" s="22" t="n">
        <v>56114221</v>
      </c>
      <c r="I4560" s="22" t="n">
        <v>120000000</v>
      </c>
      <c r="J4560" s="21">
        <f>IF(OR(H4560="",H4560=25529689.5),"Yes","No")</f>
        <v/>
      </c>
      <c r="K4560" s="21">
        <f>IF(AND(D4560="USA",C4560&gt;=1980,J4560="No"),"Yes","No")</f>
        <v/>
      </c>
      <c r="L4560" s="26">
        <f>IF(J4560="Yes","",H4560-I4560)</f>
        <v/>
      </c>
      <c r="M4560" s="27">
        <f>IF(OR(J4560="Yes",I4560=0),"",H4560/I4560)</f>
        <v/>
      </c>
      <c r="N4560" s="21">
        <f>IF(J4560="Yes","",IF(H4560&gt;=I4560,1,0))</f>
        <v/>
      </c>
      <c r="O4560" s="21">
        <f>IF(I4560&lt;=5000000,"Under $5M",IF(I4560&lt;=20000000,"$5M-20M",IF(I4560&lt;=50000000,"$20M-50M",IF(I4560&lt;=100000000,"$50M-100M","$100M+"))))</f>
        <v/>
      </c>
      <c r="P4560" s="21">
        <f>IF(E4560&lt;=90,"90 or less",IF(E4560&lt;=105,"91-105",IF(E4560&lt;=120,"106-120",IF(E4560&lt;=140,"121-140","Over 140"))))</f>
        <v/>
      </c>
      <c r="Q4560" s="28">
        <f>INT(C4560/10)*10</f>
        <v/>
      </c>
    </row>
    <row r="4561">
      <c r="A4561" s="21" t="n">
        <v>4662</v>
      </c>
      <c r="B4561" s="21" t="inlineStr">
        <is>
          <t>Fear Clinic</t>
        </is>
      </c>
      <c r="C4561" s="21" t="n">
        <v>2015</v>
      </c>
      <c r="D4561" s="21" t="inlineStr">
        <is>
          <t>USA</t>
        </is>
      </c>
      <c r="E4561" s="21" t="n">
        <v>95</v>
      </c>
      <c r="F4561" s="21" t="inlineStr">
        <is>
          <t>English</t>
        </is>
      </c>
      <c r="G4561" s="21" t="inlineStr">
        <is>
          <t>R</t>
        </is>
      </c>
      <c r="H4561" s="22" t="n">
        <v>25529689.5</v>
      </c>
      <c r="I4561" s="22" t="n">
        <v>1000000</v>
      </c>
      <c r="J4561" s="21">
        <f>IF(OR(H4561="",H4561=25529689.5),"Yes","No")</f>
        <v/>
      </c>
      <c r="K4561" s="21">
        <f>IF(AND(D4561="USA",C4561&gt;=1980,J4561="No"),"Yes","No")</f>
        <v/>
      </c>
      <c r="L4561" s="26">
        <f>IF(J4561="Yes","",H4561-I4561)</f>
        <v/>
      </c>
      <c r="M4561" s="27">
        <f>IF(OR(J4561="Yes",I4561=0),"",H4561/I4561)</f>
        <v/>
      </c>
      <c r="N4561" s="21">
        <f>IF(J4561="Yes","",IF(H4561&gt;=I4561,1,0))</f>
        <v/>
      </c>
      <c r="O4561" s="21">
        <f>IF(I4561&lt;=5000000,"Under $5M",IF(I4561&lt;=20000000,"$5M-20M",IF(I4561&lt;=50000000,"$20M-50M",IF(I4561&lt;=100000000,"$50M-100M","$100M+"))))</f>
        <v/>
      </c>
      <c r="P4561" s="21">
        <f>IF(E4561&lt;=90,"90 or less",IF(E4561&lt;=105,"91-105",IF(E4561&lt;=120,"106-120",IF(E4561&lt;=140,"121-140","Over 140"))))</f>
        <v/>
      </c>
      <c r="Q4561" s="28">
        <f>INT(C4561/10)*10</f>
        <v/>
      </c>
    </row>
    <row r="4562">
      <c r="A4562" s="21" t="n">
        <v>4663</v>
      </c>
      <c r="B4562" s="21" t="inlineStr">
        <is>
          <t>Fifty Shades of Grey</t>
        </is>
      </c>
      <c r="C4562" s="21" t="n">
        <v>2015</v>
      </c>
      <c r="D4562" s="21" t="inlineStr">
        <is>
          <t>USA</t>
        </is>
      </c>
      <c r="E4562" s="21" t="n">
        <v>129</v>
      </c>
      <c r="F4562" s="21" t="inlineStr">
        <is>
          <t>English</t>
        </is>
      </c>
      <c r="G4562" s="21" t="inlineStr">
        <is>
          <t>R</t>
        </is>
      </c>
      <c r="H4562" s="22" t="n">
        <v>166147885</v>
      </c>
      <c r="I4562" s="22" t="n">
        <v>40000000</v>
      </c>
      <c r="J4562" s="21">
        <f>IF(OR(H4562="",H4562=25529689.5),"Yes","No")</f>
        <v/>
      </c>
      <c r="K4562" s="21">
        <f>IF(AND(D4562="USA",C4562&gt;=1980,J4562="No"),"Yes","No")</f>
        <v/>
      </c>
      <c r="L4562" s="26">
        <f>IF(J4562="Yes","",H4562-I4562)</f>
        <v/>
      </c>
      <c r="M4562" s="27">
        <f>IF(OR(J4562="Yes",I4562=0),"",H4562/I4562)</f>
        <v/>
      </c>
      <c r="N4562" s="21">
        <f>IF(J4562="Yes","",IF(H4562&gt;=I4562,1,0))</f>
        <v/>
      </c>
      <c r="O4562" s="21">
        <f>IF(I4562&lt;=5000000,"Under $5M",IF(I4562&lt;=20000000,"$5M-20M",IF(I4562&lt;=50000000,"$20M-50M",IF(I4562&lt;=100000000,"$50M-100M","$100M+"))))</f>
        <v/>
      </c>
      <c r="P4562" s="21">
        <f>IF(E4562&lt;=90,"90 or less",IF(E4562&lt;=105,"91-105",IF(E4562&lt;=120,"106-120",IF(E4562&lt;=140,"121-140","Over 140"))))</f>
        <v/>
      </c>
      <c r="Q4562" s="28">
        <f>INT(C4562/10)*10</f>
        <v/>
      </c>
    </row>
    <row r="4563">
      <c r="A4563" s="21" t="n">
        <v>4664</v>
      </c>
      <c r="B4563" s="21" t="inlineStr">
        <is>
          <t>Focus</t>
        </is>
      </c>
      <c r="C4563" s="21" t="n">
        <v>2015</v>
      </c>
      <c r="D4563" s="21" t="inlineStr">
        <is>
          <t>USA</t>
        </is>
      </c>
      <c r="E4563" s="21" t="n">
        <v>105</v>
      </c>
      <c r="F4563" s="21" t="inlineStr">
        <is>
          <t>English</t>
        </is>
      </c>
      <c r="G4563" s="21" t="inlineStr">
        <is>
          <t>R</t>
        </is>
      </c>
      <c r="H4563" s="22" t="n">
        <v>53846915</v>
      </c>
      <c r="I4563" s="22" t="n">
        <v>50100000</v>
      </c>
      <c r="J4563" s="21">
        <f>IF(OR(H4563="",H4563=25529689.5),"Yes","No")</f>
        <v/>
      </c>
      <c r="K4563" s="21">
        <f>IF(AND(D4563="USA",C4563&gt;=1980,J4563="No"),"Yes","No")</f>
        <v/>
      </c>
      <c r="L4563" s="26">
        <f>IF(J4563="Yes","",H4563-I4563)</f>
        <v/>
      </c>
      <c r="M4563" s="27">
        <f>IF(OR(J4563="Yes",I4563=0),"",H4563/I4563)</f>
        <v/>
      </c>
      <c r="N4563" s="21">
        <f>IF(J4563="Yes","",IF(H4563&gt;=I4563,1,0))</f>
        <v/>
      </c>
      <c r="O4563" s="21">
        <f>IF(I4563&lt;=5000000,"Under $5M",IF(I4563&lt;=20000000,"$5M-20M",IF(I4563&lt;=50000000,"$20M-50M",IF(I4563&lt;=100000000,"$50M-100M","$100M+"))))</f>
        <v/>
      </c>
      <c r="P4563" s="21">
        <f>IF(E4563&lt;=90,"90 or less",IF(E4563&lt;=105,"91-105",IF(E4563&lt;=120,"106-120",IF(E4563&lt;=140,"121-140","Over 140"))))</f>
        <v/>
      </c>
      <c r="Q4563" s="28">
        <f>INT(C4563/10)*10</f>
        <v/>
      </c>
    </row>
    <row r="4564">
      <c r="A4564" s="21" t="n">
        <v>4665</v>
      </c>
      <c r="B4564" s="21" t="inlineStr">
        <is>
          <t>Forsaken</t>
        </is>
      </c>
      <c r="C4564" s="21" t="n">
        <v>2015</v>
      </c>
      <c r="D4564" s="21" t="inlineStr">
        <is>
          <t>Canada</t>
        </is>
      </c>
      <c r="E4564" s="21" t="n">
        <v>90</v>
      </c>
      <c r="F4564" s="21" t="inlineStr">
        <is>
          <t>English</t>
        </is>
      </c>
      <c r="G4564" s="21" t="inlineStr">
        <is>
          <t>R</t>
        </is>
      </c>
      <c r="H4564" s="22" t="n">
        <v>25529689.5</v>
      </c>
      <c r="I4564" s="22" t="n">
        <v>11000000</v>
      </c>
      <c r="J4564" s="21">
        <f>IF(OR(H4564="",H4564=25529689.5),"Yes","No")</f>
        <v/>
      </c>
      <c r="K4564" s="21">
        <f>IF(AND(D4564="USA",C4564&gt;=1980,J4564="No"),"Yes","No")</f>
        <v/>
      </c>
      <c r="L4564" s="26">
        <f>IF(J4564="Yes","",H4564-I4564)</f>
        <v/>
      </c>
      <c r="M4564" s="27">
        <f>IF(OR(J4564="Yes",I4564=0),"",H4564/I4564)</f>
        <v/>
      </c>
      <c r="N4564" s="21">
        <f>IF(J4564="Yes","",IF(H4564&gt;=I4564,1,0))</f>
        <v/>
      </c>
      <c r="O4564" s="21">
        <f>IF(I4564&lt;=5000000,"Under $5M",IF(I4564&lt;=20000000,"$5M-20M",IF(I4564&lt;=50000000,"$20M-50M",IF(I4564&lt;=100000000,"$50M-100M","$100M+"))))</f>
        <v/>
      </c>
      <c r="P4564" s="21">
        <f>IF(E4564&lt;=90,"90 or less",IF(E4564&lt;=105,"91-105",IF(E4564&lt;=120,"106-120",IF(E4564&lt;=140,"121-140","Over 140"))))</f>
        <v/>
      </c>
      <c r="Q4564" s="28">
        <f>INT(C4564/10)*10</f>
        <v/>
      </c>
    </row>
    <row r="4565">
      <c r="A4565" s="21" t="n">
        <v>4667</v>
      </c>
      <c r="B4565" s="21" t="inlineStr">
        <is>
          <t>Freeheld</t>
        </is>
      </c>
      <c r="C4565" s="21" t="n">
        <v>2015</v>
      </c>
      <c r="D4565" s="21" t="inlineStr">
        <is>
          <t>USA</t>
        </is>
      </c>
      <c r="E4565" s="21" t="n">
        <v>103</v>
      </c>
      <c r="F4565" s="21" t="inlineStr">
        <is>
          <t>English</t>
        </is>
      </c>
      <c r="G4565" s="21" t="inlineStr">
        <is>
          <t>PG-13</t>
        </is>
      </c>
      <c r="H4565" s="22" t="n">
        <v>532988</v>
      </c>
      <c r="I4565" s="22" t="n">
        <v>7000000</v>
      </c>
      <c r="J4565" s="21">
        <f>IF(OR(H4565="",H4565=25529689.5),"Yes","No")</f>
        <v/>
      </c>
      <c r="K4565" s="21">
        <f>IF(AND(D4565="USA",C4565&gt;=1980,J4565="No"),"Yes","No")</f>
        <v/>
      </c>
      <c r="L4565" s="26">
        <f>IF(J4565="Yes","",H4565-I4565)</f>
        <v/>
      </c>
      <c r="M4565" s="27">
        <f>IF(OR(J4565="Yes",I4565=0),"",H4565/I4565)</f>
        <v/>
      </c>
      <c r="N4565" s="21">
        <f>IF(J4565="Yes","",IF(H4565&gt;=I4565,1,0))</f>
        <v/>
      </c>
      <c r="O4565" s="21">
        <f>IF(I4565&lt;=5000000,"Under $5M",IF(I4565&lt;=20000000,"$5M-20M",IF(I4565&lt;=50000000,"$20M-50M",IF(I4565&lt;=100000000,"$50M-100M","$100M+"))))</f>
        <v/>
      </c>
      <c r="P4565" s="21">
        <f>IF(E4565&lt;=90,"90 or less",IF(E4565&lt;=105,"91-105",IF(E4565&lt;=120,"106-120",IF(E4565&lt;=140,"121-140","Over 140"))))</f>
        <v/>
      </c>
      <c r="Q4565" s="28">
        <f>INT(C4565/10)*10</f>
        <v/>
      </c>
    </row>
    <row r="4566">
      <c r="A4566" s="21" t="n">
        <v>4668</v>
      </c>
      <c r="B4566" s="21" t="inlineStr">
        <is>
          <t>Furious 7</t>
        </is>
      </c>
      <c r="C4566" s="21" t="n">
        <v>2015</v>
      </c>
      <c r="D4566" s="21" t="inlineStr">
        <is>
          <t>USA</t>
        </is>
      </c>
      <c r="E4566" s="21" t="n">
        <v>140</v>
      </c>
      <c r="F4566" s="21" t="inlineStr">
        <is>
          <t>English</t>
        </is>
      </c>
      <c r="G4566" s="21" t="inlineStr">
        <is>
          <t>PG-13</t>
        </is>
      </c>
      <c r="H4566" s="22" t="n">
        <v>350034110</v>
      </c>
      <c r="I4566" s="22" t="n">
        <v>190000000</v>
      </c>
      <c r="J4566" s="21">
        <f>IF(OR(H4566="",H4566=25529689.5),"Yes","No")</f>
        <v/>
      </c>
      <c r="K4566" s="21">
        <f>IF(AND(D4566="USA",C4566&gt;=1980,J4566="No"),"Yes","No")</f>
        <v/>
      </c>
      <c r="L4566" s="26">
        <f>IF(J4566="Yes","",H4566-I4566)</f>
        <v/>
      </c>
      <c r="M4566" s="27">
        <f>IF(OR(J4566="Yes",I4566=0),"",H4566/I4566)</f>
        <v/>
      </c>
      <c r="N4566" s="21">
        <f>IF(J4566="Yes","",IF(H4566&gt;=I4566,1,0))</f>
        <v/>
      </c>
      <c r="O4566" s="21">
        <f>IF(I4566&lt;=5000000,"Under $5M",IF(I4566&lt;=20000000,"$5M-20M",IF(I4566&lt;=50000000,"$20M-50M",IF(I4566&lt;=100000000,"$50M-100M","$100M+"))))</f>
        <v/>
      </c>
      <c r="P4566" s="21">
        <f>IF(E4566&lt;=90,"90 or less",IF(E4566&lt;=105,"91-105",IF(E4566&lt;=120,"106-120",IF(E4566&lt;=140,"121-140","Over 140"))))</f>
        <v/>
      </c>
      <c r="Q4566" s="28">
        <f>INT(C4566/10)*10</f>
        <v/>
      </c>
    </row>
    <row r="4567">
      <c r="A4567" s="21" t="n">
        <v>4669</v>
      </c>
      <c r="B4567" s="21" t="inlineStr">
        <is>
          <t>Get Hard</t>
        </is>
      </c>
      <c r="C4567" s="21" t="n">
        <v>2015</v>
      </c>
      <c r="D4567" s="21" t="inlineStr">
        <is>
          <t>USA</t>
        </is>
      </c>
      <c r="E4567" s="21" t="n">
        <v>107</v>
      </c>
      <c r="F4567" s="21" t="inlineStr">
        <is>
          <t>English</t>
        </is>
      </c>
      <c r="G4567" s="21" t="inlineStr">
        <is>
          <t>R</t>
        </is>
      </c>
      <c r="H4567" s="22" t="n">
        <v>90353764</v>
      </c>
      <c r="I4567" s="22" t="n">
        <v>40000000</v>
      </c>
      <c r="J4567" s="21">
        <f>IF(OR(H4567="",H4567=25529689.5),"Yes","No")</f>
        <v/>
      </c>
      <c r="K4567" s="21">
        <f>IF(AND(D4567="USA",C4567&gt;=1980,J4567="No"),"Yes","No")</f>
        <v/>
      </c>
      <c r="L4567" s="26">
        <f>IF(J4567="Yes","",H4567-I4567)</f>
        <v/>
      </c>
      <c r="M4567" s="27">
        <f>IF(OR(J4567="Yes",I4567=0),"",H4567/I4567)</f>
        <v/>
      </c>
      <c r="N4567" s="21">
        <f>IF(J4567="Yes","",IF(H4567&gt;=I4567,1,0))</f>
        <v/>
      </c>
      <c r="O4567" s="21">
        <f>IF(I4567&lt;=5000000,"Under $5M",IF(I4567&lt;=20000000,"$5M-20M",IF(I4567&lt;=50000000,"$20M-50M",IF(I4567&lt;=100000000,"$50M-100M","$100M+"))))</f>
        <v/>
      </c>
      <c r="P4567" s="21">
        <f>IF(E4567&lt;=90,"90 or less",IF(E4567&lt;=105,"91-105",IF(E4567&lt;=120,"106-120",IF(E4567&lt;=140,"121-140","Over 140"))))</f>
        <v/>
      </c>
      <c r="Q4567" s="28">
        <f>INT(C4567/10)*10</f>
        <v/>
      </c>
    </row>
    <row r="4568">
      <c r="A4568" s="21" t="n">
        <v>4670</v>
      </c>
      <c r="B4568" s="21" t="inlineStr">
        <is>
          <t>Goddess of Love</t>
        </is>
      </c>
      <c r="C4568" s="21" t="n">
        <v>2015</v>
      </c>
      <c r="D4568" s="21" t="inlineStr">
        <is>
          <t>USA</t>
        </is>
      </c>
      <c r="E4568" s="21" t="n">
        <v>93</v>
      </c>
      <c r="F4568" s="21" t="inlineStr">
        <is>
          <t>English</t>
        </is>
      </c>
      <c r="G4568" s="21" t="n"/>
      <c r="H4568" s="22" t="n">
        <v>25529689.5</v>
      </c>
      <c r="I4568" s="22" t="n">
        <v>20000000</v>
      </c>
      <c r="J4568" s="21">
        <f>IF(OR(H4568="",H4568=25529689.5),"Yes","No")</f>
        <v/>
      </c>
      <c r="K4568" s="21">
        <f>IF(AND(D4568="USA",C4568&gt;=1980,J4568="No"),"Yes","No")</f>
        <v/>
      </c>
      <c r="L4568" s="26">
        <f>IF(J4568="Yes","",H4568-I4568)</f>
        <v/>
      </c>
      <c r="M4568" s="27">
        <f>IF(OR(J4568="Yes",I4568=0),"",H4568/I4568)</f>
        <v/>
      </c>
      <c r="N4568" s="21">
        <f>IF(J4568="Yes","",IF(H4568&gt;=I4568,1,0))</f>
        <v/>
      </c>
      <c r="O4568" s="21">
        <f>IF(I4568&lt;=5000000,"Under $5M",IF(I4568&lt;=20000000,"$5M-20M",IF(I4568&lt;=50000000,"$20M-50M",IF(I4568&lt;=100000000,"$50M-100M","$100M+"))))</f>
        <v/>
      </c>
      <c r="P4568" s="21">
        <f>IF(E4568&lt;=90,"90 or less",IF(E4568&lt;=105,"91-105",IF(E4568&lt;=120,"106-120",IF(E4568&lt;=140,"121-140","Over 140"))))</f>
        <v/>
      </c>
      <c r="Q4568" s="28">
        <f>INT(C4568/10)*10</f>
        <v/>
      </c>
    </row>
    <row r="4569">
      <c r="A4569" s="21" t="n">
        <v>4671</v>
      </c>
      <c r="B4569" s="21" t="inlineStr">
        <is>
          <t>Goosebumps</t>
        </is>
      </c>
      <c r="C4569" s="21" t="n">
        <v>2015</v>
      </c>
      <c r="D4569" s="21" t="inlineStr">
        <is>
          <t>USA</t>
        </is>
      </c>
      <c r="E4569" s="21" t="n">
        <v>103</v>
      </c>
      <c r="F4569" s="21" t="inlineStr">
        <is>
          <t>English</t>
        </is>
      </c>
      <c r="G4569" s="21" t="inlineStr">
        <is>
          <t>PG</t>
        </is>
      </c>
      <c r="H4569" s="22" t="n">
        <v>80021740</v>
      </c>
      <c r="I4569" s="22" t="n">
        <v>58000000</v>
      </c>
      <c r="J4569" s="21">
        <f>IF(OR(H4569="",H4569=25529689.5),"Yes","No")</f>
        <v/>
      </c>
      <c r="K4569" s="21">
        <f>IF(AND(D4569="USA",C4569&gt;=1980,J4569="No"),"Yes","No")</f>
        <v/>
      </c>
      <c r="L4569" s="26">
        <f>IF(J4569="Yes","",H4569-I4569)</f>
        <v/>
      </c>
      <c r="M4569" s="27">
        <f>IF(OR(J4569="Yes",I4569=0),"",H4569/I4569)</f>
        <v/>
      </c>
      <c r="N4569" s="21">
        <f>IF(J4569="Yes","",IF(H4569&gt;=I4569,1,0))</f>
        <v/>
      </c>
      <c r="O4569" s="21">
        <f>IF(I4569&lt;=5000000,"Under $5M",IF(I4569&lt;=20000000,"$5M-20M",IF(I4569&lt;=50000000,"$20M-50M",IF(I4569&lt;=100000000,"$50M-100M","$100M+"))))</f>
        <v/>
      </c>
      <c r="P4569" s="21">
        <f>IF(E4569&lt;=90,"90 or less",IF(E4569&lt;=105,"91-105",IF(E4569&lt;=120,"106-120",IF(E4569&lt;=140,"121-140","Over 140"))))</f>
        <v/>
      </c>
      <c r="Q4569" s="28">
        <f>INT(C4569/10)*10</f>
        <v/>
      </c>
    </row>
    <row r="4570">
      <c r="A4570" s="21" t="n">
        <v>4673</v>
      </c>
      <c r="B4570" s="21" t="inlineStr">
        <is>
          <t>Green Room</t>
        </is>
      </c>
      <c r="C4570" s="21" t="n">
        <v>2015</v>
      </c>
      <c r="D4570" s="21" t="inlineStr">
        <is>
          <t>USA</t>
        </is>
      </c>
      <c r="E4570" s="21" t="n">
        <v>95</v>
      </c>
      <c r="F4570" s="21" t="inlineStr">
        <is>
          <t>English</t>
        </is>
      </c>
      <c r="G4570" s="21" t="inlineStr">
        <is>
          <t>R</t>
        </is>
      </c>
      <c r="H4570" s="22" t="n">
        <v>3219029</v>
      </c>
      <c r="I4570" s="22" t="n">
        <v>5000000</v>
      </c>
      <c r="J4570" s="21">
        <f>IF(OR(H4570="",H4570=25529689.5),"Yes","No")</f>
        <v/>
      </c>
      <c r="K4570" s="21">
        <f>IF(AND(D4570="USA",C4570&gt;=1980,J4570="No"),"Yes","No")</f>
        <v/>
      </c>
      <c r="L4570" s="26">
        <f>IF(J4570="Yes","",H4570-I4570)</f>
        <v/>
      </c>
      <c r="M4570" s="27">
        <f>IF(OR(J4570="Yes",I4570=0),"",H4570/I4570)</f>
        <v/>
      </c>
      <c r="N4570" s="21">
        <f>IF(J4570="Yes","",IF(H4570&gt;=I4570,1,0))</f>
        <v/>
      </c>
      <c r="O4570" s="21">
        <f>IF(I4570&lt;=5000000,"Under $5M",IF(I4570&lt;=20000000,"$5M-20M",IF(I4570&lt;=50000000,"$20M-50M",IF(I4570&lt;=100000000,"$50M-100M","$100M+"))))</f>
        <v/>
      </c>
      <c r="P4570" s="21">
        <f>IF(E4570&lt;=90,"90 or less",IF(E4570&lt;=105,"91-105",IF(E4570&lt;=120,"106-120",IF(E4570&lt;=140,"121-140","Over 140"))))</f>
        <v/>
      </c>
      <c r="Q4570" s="28">
        <f>INT(C4570/10)*10</f>
        <v/>
      </c>
    </row>
    <row r="4571">
      <c r="A4571" s="21" t="n">
        <v>4674</v>
      </c>
      <c r="B4571" s="21" t="inlineStr">
        <is>
          <t>Growing Up Smith</t>
        </is>
      </c>
      <c r="C4571" s="21" t="n">
        <v>2015</v>
      </c>
      <c r="D4571" s="21" t="inlineStr">
        <is>
          <t>USA</t>
        </is>
      </c>
      <c r="E4571" s="21" t="n">
        <v>102</v>
      </c>
      <c r="F4571" s="21" t="inlineStr">
        <is>
          <t>English</t>
        </is>
      </c>
      <c r="G4571" s="21" t="inlineStr">
        <is>
          <t>PG-13</t>
        </is>
      </c>
      <c r="H4571" s="22" t="n">
        <v>25529689.5</v>
      </c>
      <c r="I4571" s="22" t="n">
        <v>2000000</v>
      </c>
      <c r="J4571" s="21">
        <f>IF(OR(H4571="",H4571=25529689.5),"Yes","No")</f>
        <v/>
      </c>
      <c r="K4571" s="21">
        <f>IF(AND(D4571="USA",C4571&gt;=1980,J4571="No"),"Yes","No")</f>
        <v/>
      </c>
      <c r="L4571" s="26">
        <f>IF(J4571="Yes","",H4571-I4571)</f>
        <v/>
      </c>
      <c r="M4571" s="27">
        <f>IF(OR(J4571="Yes",I4571=0),"",H4571/I4571)</f>
        <v/>
      </c>
      <c r="N4571" s="21">
        <f>IF(J4571="Yes","",IF(H4571&gt;=I4571,1,0))</f>
        <v/>
      </c>
      <c r="O4571" s="21">
        <f>IF(I4571&lt;=5000000,"Under $5M",IF(I4571&lt;=20000000,"$5M-20M",IF(I4571&lt;=50000000,"$20M-50M",IF(I4571&lt;=100000000,"$50M-100M","$100M+"))))</f>
        <v/>
      </c>
      <c r="P4571" s="21">
        <f>IF(E4571&lt;=90,"90 or less",IF(E4571&lt;=105,"91-105",IF(E4571&lt;=120,"106-120",IF(E4571&lt;=140,"121-140","Over 140"))))</f>
        <v/>
      </c>
      <c r="Q4571" s="28">
        <f>INT(C4571/10)*10</f>
        <v/>
      </c>
    </row>
    <row r="4572">
      <c r="A4572" s="21" t="n">
        <v>4675</v>
      </c>
      <c r="B4572" s="21" t="inlineStr">
        <is>
          <t>Heist</t>
        </is>
      </c>
      <c r="C4572" s="21" t="n">
        <v>2015</v>
      </c>
      <c r="D4572" s="21" t="inlineStr">
        <is>
          <t>USA</t>
        </is>
      </c>
      <c r="E4572" s="21" t="n">
        <v>93</v>
      </c>
      <c r="F4572" s="21" t="inlineStr">
        <is>
          <t>English</t>
        </is>
      </c>
      <c r="G4572" s="21" t="inlineStr">
        <is>
          <t>R</t>
        </is>
      </c>
      <c r="H4572" s="22" t="n">
        <v>25529689.5</v>
      </c>
      <c r="I4572" s="22" t="n">
        <v>19000000</v>
      </c>
      <c r="J4572" s="21">
        <f>IF(OR(H4572="",H4572=25529689.5),"Yes","No")</f>
        <v/>
      </c>
      <c r="K4572" s="21">
        <f>IF(AND(D4572="USA",C4572&gt;=1980,J4572="No"),"Yes","No")</f>
        <v/>
      </c>
      <c r="L4572" s="26">
        <f>IF(J4572="Yes","",H4572-I4572)</f>
        <v/>
      </c>
      <c r="M4572" s="27">
        <f>IF(OR(J4572="Yes",I4572=0),"",H4572/I4572)</f>
        <v/>
      </c>
      <c r="N4572" s="21">
        <f>IF(J4572="Yes","",IF(H4572&gt;=I4572,1,0))</f>
        <v/>
      </c>
      <c r="O4572" s="21">
        <f>IF(I4572&lt;=5000000,"Under $5M",IF(I4572&lt;=20000000,"$5M-20M",IF(I4572&lt;=50000000,"$20M-50M",IF(I4572&lt;=100000000,"$50M-100M","$100M+"))))</f>
        <v/>
      </c>
      <c r="P4572" s="21">
        <f>IF(E4572&lt;=90,"90 or less",IF(E4572&lt;=105,"91-105",IF(E4572&lt;=120,"106-120",IF(E4572&lt;=140,"121-140","Over 140"))))</f>
        <v/>
      </c>
      <c r="Q4572" s="28">
        <f>INT(C4572/10)*10</f>
        <v/>
      </c>
    </row>
    <row r="4573">
      <c r="A4573" s="21" t="n">
        <v>4677</v>
      </c>
      <c r="B4573" s="21" t="inlineStr">
        <is>
          <t>Heroes of Dirt</t>
        </is>
      </c>
      <c r="C4573" s="21" t="n">
        <v>2015</v>
      </c>
      <c r="D4573" s="21" t="inlineStr">
        <is>
          <t>USA</t>
        </is>
      </c>
      <c r="E4573" s="21" t="n">
        <v>98</v>
      </c>
      <c r="F4573" s="21" t="inlineStr">
        <is>
          <t>English</t>
        </is>
      </c>
      <c r="G4573" s="21" t="inlineStr">
        <is>
          <t>PG-13</t>
        </is>
      </c>
      <c r="H4573" s="22" t="n">
        <v>25529689.5</v>
      </c>
      <c r="I4573" s="22" t="n">
        <v>20000000</v>
      </c>
      <c r="J4573" s="21">
        <f>IF(OR(H4573="",H4573=25529689.5),"Yes","No")</f>
        <v/>
      </c>
      <c r="K4573" s="21">
        <f>IF(AND(D4573="USA",C4573&gt;=1980,J4573="No"),"Yes","No")</f>
        <v/>
      </c>
      <c r="L4573" s="26">
        <f>IF(J4573="Yes","",H4573-I4573)</f>
        <v/>
      </c>
      <c r="M4573" s="27">
        <f>IF(OR(J4573="Yes",I4573=0),"",H4573/I4573)</f>
        <v/>
      </c>
      <c r="N4573" s="21">
        <f>IF(J4573="Yes","",IF(H4573&gt;=I4573,1,0))</f>
        <v/>
      </c>
      <c r="O4573" s="21">
        <f>IF(I4573&lt;=5000000,"Under $5M",IF(I4573&lt;=20000000,"$5M-20M",IF(I4573&lt;=50000000,"$20M-50M",IF(I4573&lt;=100000000,"$50M-100M","$100M+"))))</f>
        <v/>
      </c>
      <c r="P4573" s="21">
        <f>IF(E4573&lt;=90,"90 or less",IF(E4573&lt;=105,"91-105",IF(E4573&lt;=120,"106-120",IF(E4573&lt;=140,"121-140","Over 140"))))</f>
        <v/>
      </c>
      <c r="Q4573" s="28">
        <f>INT(C4573/10)*10</f>
        <v/>
      </c>
    </row>
    <row r="4574">
      <c r="A4574" s="21" t="n">
        <v>4678</v>
      </c>
      <c r="B4574" s="21" t="inlineStr">
        <is>
          <t>Home</t>
        </is>
      </c>
      <c r="C4574" s="21" t="n">
        <v>2015</v>
      </c>
      <c r="D4574" s="21" t="inlineStr">
        <is>
          <t>USA</t>
        </is>
      </c>
      <c r="E4574" s="21" t="n">
        <v>94</v>
      </c>
      <c r="F4574" s="21" t="inlineStr">
        <is>
          <t>English</t>
        </is>
      </c>
      <c r="G4574" s="21" t="inlineStr">
        <is>
          <t>PG</t>
        </is>
      </c>
      <c r="H4574" s="22" t="n">
        <v>177343675</v>
      </c>
      <c r="I4574" s="22" t="n">
        <v>135000000</v>
      </c>
      <c r="J4574" s="21">
        <f>IF(OR(H4574="",H4574=25529689.5),"Yes","No")</f>
        <v/>
      </c>
      <c r="K4574" s="21">
        <f>IF(AND(D4574="USA",C4574&gt;=1980,J4574="No"),"Yes","No")</f>
        <v/>
      </c>
      <c r="L4574" s="26">
        <f>IF(J4574="Yes","",H4574-I4574)</f>
        <v/>
      </c>
      <c r="M4574" s="27">
        <f>IF(OR(J4574="Yes",I4574=0),"",H4574/I4574)</f>
        <v/>
      </c>
      <c r="N4574" s="21">
        <f>IF(J4574="Yes","",IF(H4574&gt;=I4574,1,0))</f>
        <v/>
      </c>
      <c r="O4574" s="21">
        <f>IF(I4574&lt;=5000000,"Under $5M",IF(I4574&lt;=20000000,"$5M-20M",IF(I4574&lt;=50000000,"$20M-50M",IF(I4574&lt;=100000000,"$50M-100M","$100M+"))))</f>
        <v/>
      </c>
      <c r="P4574" s="21">
        <f>IF(E4574&lt;=90,"90 or less",IF(E4574&lt;=105,"91-105",IF(E4574&lt;=120,"106-120",IF(E4574&lt;=140,"121-140","Over 140"))))</f>
        <v/>
      </c>
      <c r="Q4574" s="28">
        <f>INT(C4574/10)*10</f>
        <v/>
      </c>
    </row>
    <row r="4575">
      <c r="A4575" s="21" t="n">
        <v>4681</v>
      </c>
      <c r="B4575" s="21" t="inlineStr">
        <is>
          <t>Hot Pursuit</t>
        </is>
      </c>
      <c r="C4575" s="21" t="n">
        <v>2015</v>
      </c>
      <c r="D4575" s="21" t="inlineStr">
        <is>
          <t>USA</t>
        </is>
      </c>
      <c r="E4575" s="21" t="n">
        <v>87</v>
      </c>
      <c r="F4575" s="21" t="inlineStr">
        <is>
          <t>English</t>
        </is>
      </c>
      <c r="G4575" s="21" t="inlineStr">
        <is>
          <t>PG-13</t>
        </is>
      </c>
      <c r="H4575" s="22" t="n">
        <v>34507079</v>
      </c>
      <c r="I4575" s="22" t="n">
        <v>35000000</v>
      </c>
      <c r="J4575" s="21">
        <f>IF(OR(H4575="",H4575=25529689.5),"Yes","No")</f>
        <v/>
      </c>
      <c r="K4575" s="21">
        <f>IF(AND(D4575="USA",C4575&gt;=1980,J4575="No"),"Yes","No")</f>
        <v/>
      </c>
      <c r="L4575" s="26">
        <f>IF(J4575="Yes","",H4575-I4575)</f>
        <v/>
      </c>
      <c r="M4575" s="27">
        <f>IF(OR(J4575="Yes",I4575=0),"",H4575/I4575)</f>
        <v/>
      </c>
      <c r="N4575" s="21">
        <f>IF(J4575="Yes","",IF(H4575&gt;=I4575,1,0))</f>
        <v/>
      </c>
      <c r="O4575" s="21">
        <f>IF(I4575&lt;=5000000,"Under $5M",IF(I4575&lt;=20000000,"$5M-20M",IF(I4575&lt;=50000000,"$20M-50M",IF(I4575&lt;=100000000,"$50M-100M","$100M+"))))</f>
        <v/>
      </c>
      <c r="P4575" s="21">
        <f>IF(E4575&lt;=90,"90 or less",IF(E4575&lt;=105,"91-105",IF(E4575&lt;=120,"106-120",IF(E4575&lt;=140,"121-140","Over 140"))))</f>
        <v/>
      </c>
      <c r="Q4575" s="28">
        <f>INT(C4575/10)*10</f>
        <v/>
      </c>
    </row>
    <row r="4576">
      <c r="A4576" s="21" t="n">
        <v>4682</v>
      </c>
      <c r="B4576" s="21" t="inlineStr">
        <is>
          <t>Hot Tub Time Machine 2</t>
        </is>
      </c>
      <c r="C4576" s="21" t="n">
        <v>2015</v>
      </c>
      <c r="D4576" s="21" t="inlineStr">
        <is>
          <t>USA</t>
        </is>
      </c>
      <c r="E4576" s="21" t="n">
        <v>99</v>
      </c>
      <c r="F4576" s="21" t="inlineStr">
        <is>
          <t>English</t>
        </is>
      </c>
      <c r="G4576" s="21" t="inlineStr">
        <is>
          <t>R</t>
        </is>
      </c>
      <c r="H4576" s="22" t="n">
        <v>12282677</v>
      </c>
      <c r="I4576" s="22" t="n">
        <v>14000000</v>
      </c>
      <c r="J4576" s="21">
        <f>IF(OR(H4576="",H4576=25529689.5),"Yes","No")</f>
        <v/>
      </c>
      <c r="K4576" s="21">
        <f>IF(AND(D4576="USA",C4576&gt;=1980,J4576="No"),"Yes","No")</f>
        <v/>
      </c>
      <c r="L4576" s="26">
        <f>IF(J4576="Yes","",H4576-I4576)</f>
        <v/>
      </c>
      <c r="M4576" s="27">
        <f>IF(OR(J4576="Yes",I4576=0),"",H4576/I4576)</f>
        <v/>
      </c>
      <c r="N4576" s="21">
        <f>IF(J4576="Yes","",IF(H4576&gt;=I4576,1,0))</f>
        <v/>
      </c>
      <c r="O4576" s="21">
        <f>IF(I4576&lt;=5000000,"Under $5M",IF(I4576&lt;=20000000,"$5M-20M",IF(I4576&lt;=50000000,"$20M-50M",IF(I4576&lt;=100000000,"$50M-100M","$100M+"))))</f>
        <v/>
      </c>
      <c r="P4576" s="21">
        <f>IF(E4576&lt;=90,"90 or less",IF(E4576&lt;=105,"91-105",IF(E4576&lt;=120,"106-120",IF(E4576&lt;=140,"121-140","Over 140"))))</f>
        <v/>
      </c>
      <c r="Q4576" s="28">
        <f>INT(C4576/10)*10</f>
        <v/>
      </c>
    </row>
    <row r="4577">
      <c r="A4577" s="21" t="n">
        <v>4683</v>
      </c>
      <c r="B4577" s="21" t="inlineStr">
        <is>
          <t>Hotel Transylvania 2</t>
        </is>
      </c>
      <c r="C4577" s="21" t="n">
        <v>2015</v>
      </c>
      <c r="D4577" s="21" t="inlineStr">
        <is>
          <t>USA</t>
        </is>
      </c>
      <c r="E4577" s="21" t="n">
        <v>89</v>
      </c>
      <c r="F4577" s="21" t="inlineStr">
        <is>
          <t>English</t>
        </is>
      </c>
      <c r="G4577" s="21" t="inlineStr">
        <is>
          <t>PG</t>
        </is>
      </c>
      <c r="H4577" s="22" t="n">
        <v>169692572</v>
      </c>
      <c r="I4577" s="22" t="n">
        <v>80000000</v>
      </c>
      <c r="J4577" s="21">
        <f>IF(OR(H4577="",H4577=25529689.5),"Yes","No")</f>
        <v/>
      </c>
      <c r="K4577" s="21">
        <f>IF(AND(D4577="USA",C4577&gt;=1980,J4577="No"),"Yes","No")</f>
        <v/>
      </c>
      <c r="L4577" s="26">
        <f>IF(J4577="Yes","",H4577-I4577)</f>
        <v/>
      </c>
      <c r="M4577" s="27">
        <f>IF(OR(J4577="Yes",I4577=0),"",H4577/I4577)</f>
        <v/>
      </c>
      <c r="N4577" s="21">
        <f>IF(J4577="Yes","",IF(H4577&gt;=I4577,1,0))</f>
        <v/>
      </c>
      <c r="O4577" s="21">
        <f>IF(I4577&lt;=5000000,"Under $5M",IF(I4577&lt;=20000000,"$5M-20M",IF(I4577&lt;=50000000,"$20M-50M",IF(I4577&lt;=100000000,"$50M-100M","$100M+"))))</f>
        <v/>
      </c>
      <c r="P4577" s="21">
        <f>IF(E4577&lt;=90,"90 or less",IF(E4577&lt;=105,"91-105",IF(E4577&lt;=120,"106-120",IF(E4577&lt;=140,"121-140","Over 140"))))</f>
        <v/>
      </c>
      <c r="Q4577" s="28">
        <f>INT(C4577/10)*10</f>
        <v/>
      </c>
    </row>
    <row r="4578">
      <c r="A4578" s="21" t="n">
        <v>4684</v>
      </c>
      <c r="B4578" s="21" t="inlineStr">
        <is>
          <t>In the Heart of the Sea</t>
        </is>
      </c>
      <c r="C4578" s="21" t="n">
        <v>2015</v>
      </c>
      <c r="D4578" s="21" t="inlineStr">
        <is>
          <t>USA</t>
        </is>
      </c>
      <c r="E4578" s="21" t="n">
        <v>122</v>
      </c>
      <c r="F4578" s="21" t="inlineStr">
        <is>
          <t>English</t>
        </is>
      </c>
      <c r="G4578" s="21" t="inlineStr">
        <is>
          <t>PG-13</t>
        </is>
      </c>
      <c r="H4578" s="22" t="n">
        <v>24985612</v>
      </c>
      <c r="I4578" s="22" t="n">
        <v>100000000</v>
      </c>
      <c r="J4578" s="21">
        <f>IF(OR(H4578="",H4578=25529689.5),"Yes","No")</f>
        <v/>
      </c>
      <c r="K4578" s="21">
        <f>IF(AND(D4578="USA",C4578&gt;=1980,J4578="No"),"Yes","No")</f>
        <v/>
      </c>
      <c r="L4578" s="26">
        <f>IF(J4578="Yes","",H4578-I4578)</f>
        <v/>
      </c>
      <c r="M4578" s="27">
        <f>IF(OR(J4578="Yes",I4578=0),"",H4578/I4578)</f>
        <v/>
      </c>
      <c r="N4578" s="21">
        <f>IF(J4578="Yes","",IF(H4578&gt;=I4578,1,0))</f>
        <v/>
      </c>
      <c r="O4578" s="21">
        <f>IF(I4578&lt;=5000000,"Under $5M",IF(I4578&lt;=20000000,"$5M-20M",IF(I4578&lt;=50000000,"$20M-50M",IF(I4578&lt;=100000000,"$50M-100M","$100M+"))))</f>
        <v/>
      </c>
      <c r="P4578" s="21">
        <f>IF(E4578&lt;=90,"90 or less",IF(E4578&lt;=105,"91-105",IF(E4578&lt;=120,"106-120",IF(E4578&lt;=140,"121-140","Over 140"))))</f>
        <v/>
      </c>
      <c r="Q4578" s="28">
        <f>INT(C4578/10)*10</f>
        <v/>
      </c>
    </row>
    <row r="4579">
      <c r="A4579" s="21" t="n">
        <v>4685</v>
      </c>
      <c r="B4579" s="21" t="inlineStr">
        <is>
          <t>Inside Out</t>
        </is>
      </c>
      <c r="C4579" s="21" t="n">
        <v>2015</v>
      </c>
      <c r="D4579" s="21" t="inlineStr">
        <is>
          <t>USA</t>
        </is>
      </c>
      <c r="E4579" s="21" t="n">
        <v>95</v>
      </c>
      <c r="F4579" s="21" t="inlineStr">
        <is>
          <t>English</t>
        </is>
      </c>
      <c r="G4579" s="21" t="inlineStr">
        <is>
          <t>PG</t>
        </is>
      </c>
      <c r="H4579" s="22" t="n">
        <v>356454367</v>
      </c>
      <c r="I4579" s="22" t="n">
        <v>175000000</v>
      </c>
      <c r="J4579" s="21">
        <f>IF(OR(H4579="",H4579=25529689.5),"Yes","No")</f>
        <v/>
      </c>
      <c r="K4579" s="21">
        <f>IF(AND(D4579="USA",C4579&gt;=1980,J4579="No"),"Yes","No")</f>
        <v/>
      </c>
      <c r="L4579" s="26">
        <f>IF(J4579="Yes","",H4579-I4579)</f>
        <v/>
      </c>
      <c r="M4579" s="27">
        <f>IF(OR(J4579="Yes",I4579=0),"",H4579/I4579)</f>
        <v/>
      </c>
      <c r="N4579" s="21">
        <f>IF(J4579="Yes","",IF(H4579&gt;=I4579,1,0))</f>
        <v/>
      </c>
      <c r="O4579" s="21">
        <f>IF(I4579&lt;=5000000,"Under $5M",IF(I4579&lt;=20000000,"$5M-20M",IF(I4579&lt;=50000000,"$20M-50M",IF(I4579&lt;=100000000,"$50M-100M","$100M+"))))</f>
        <v/>
      </c>
      <c r="P4579" s="21">
        <f>IF(E4579&lt;=90,"90 or less",IF(E4579&lt;=105,"91-105",IF(E4579&lt;=120,"106-120",IF(E4579&lt;=140,"121-140","Over 140"))))</f>
        <v/>
      </c>
      <c r="Q4579" s="28">
        <f>INT(C4579/10)*10</f>
        <v/>
      </c>
    </row>
    <row r="4580">
      <c r="A4580" s="21" t="n">
        <v>4686</v>
      </c>
      <c r="B4580" s="21" t="inlineStr">
        <is>
          <t>Insidious: Chapter 3</t>
        </is>
      </c>
      <c r="C4580" s="21" t="n">
        <v>2015</v>
      </c>
      <c r="D4580" s="21" t="inlineStr">
        <is>
          <t>Canada</t>
        </is>
      </c>
      <c r="E4580" s="21" t="n">
        <v>97</v>
      </c>
      <c r="F4580" s="21" t="inlineStr">
        <is>
          <t>English</t>
        </is>
      </c>
      <c r="G4580" s="21" t="inlineStr">
        <is>
          <t>PG-13</t>
        </is>
      </c>
      <c r="H4580" s="22" t="n">
        <v>52200504</v>
      </c>
      <c r="I4580" s="22" t="n">
        <v>10000000</v>
      </c>
      <c r="J4580" s="21">
        <f>IF(OR(H4580="",H4580=25529689.5),"Yes","No")</f>
        <v/>
      </c>
      <c r="K4580" s="21">
        <f>IF(AND(D4580="USA",C4580&gt;=1980,J4580="No"),"Yes","No")</f>
        <v/>
      </c>
      <c r="L4580" s="26">
        <f>IF(J4580="Yes","",H4580-I4580)</f>
        <v/>
      </c>
      <c r="M4580" s="27">
        <f>IF(OR(J4580="Yes",I4580=0),"",H4580/I4580)</f>
        <v/>
      </c>
      <c r="N4580" s="21">
        <f>IF(J4580="Yes","",IF(H4580&gt;=I4580,1,0))</f>
        <v/>
      </c>
      <c r="O4580" s="21">
        <f>IF(I4580&lt;=5000000,"Under $5M",IF(I4580&lt;=20000000,"$5M-20M",IF(I4580&lt;=50000000,"$20M-50M",IF(I4580&lt;=100000000,"$50M-100M","$100M+"))))</f>
        <v/>
      </c>
      <c r="P4580" s="21">
        <f>IF(E4580&lt;=90,"90 or less",IF(E4580&lt;=105,"91-105",IF(E4580&lt;=120,"106-120",IF(E4580&lt;=140,"121-140","Over 140"))))</f>
        <v/>
      </c>
      <c r="Q4580" s="28">
        <f>INT(C4580/10)*10</f>
        <v/>
      </c>
    </row>
    <row r="4581">
      <c r="A4581" s="21" t="n">
        <v>4687</v>
      </c>
      <c r="B4581" s="21" t="inlineStr">
        <is>
          <t>Insurgent</t>
        </is>
      </c>
      <c r="C4581" s="21" t="n">
        <v>2015</v>
      </c>
      <c r="D4581" s="21" t="inlineStr">
        <is>
          <t>USA</t>
        </is>
      </c>
      <c r="E4581" s="21" t="n">
        <v>119</v>
      </c>
      <c r="F4581" s="21" t="inlineStr">
        <is>
          <t>English</t>
        </is>
      </c>
      <c r="G4581" s="21" t="inlineStr">
        <is>
          <t>PG-13</t>
        </is>
      </c>
      <c r="H4581" s="22" t="n">
        <v>129995817</v>
      </c>
      <c r="I4581" s="22" t="n">
        <v>110000000</v>
      </c>
      <c r="J4581" s="21">
        <f>IF(OR(H4581="",H4581=25529689.5),"Yes","No")</f>
        <v/>
      </c>
      <c r="K4581" s="21">
        <f>IF(AND(D4581="USA",C4581&gt;=1980,J4581="No"),"Yes","No")</f>
        <v/>
      </c>
      <c r="L4581" s="26">
        <f>IF(J4581="Yes","",H4581-I4581)</f>
        <v/>
      </c>
      <c r="M4581" s="27">
        <f>IF(OR(J4581="Yes",I4581=0),"",H4581/I4581)</f>
        <v/>
      </c>
      <c r="N4581" s="21">
        <f>IF(J4581="Yes","",IF(H4581&gt;=I4581,1,0))</f>
        <v/>
      </c>
      <c r="O4581" s="21">
        <f>IF(I4581&lt;=5000000,"Under $5M",IF(I4581&lt;=20000000,"$5M-20M",IF(I4581&lt;=50000000,"$20M-50M",IF(I4581&lt;=100000000,"$50M-100M","$100M+"))))</f>
        <v/>
      </c>
      <c r="P4581" s="21">
        <f>IF(E4581&lt;=90,"90 or less",IF(E4581&lt;=105,"91-105",IF(E4581&lt;=120,"106-120",IF(E4581&lt;=140,"121-140","Over 140"))))</f>
        <v/>
      </c>
      <c r="Q4581" s="28">
        <f>INT(C4581/10)*10</f>
        <v/>
      </c>
    </row>
    <row r="4582">
      <c r="A4582" s="21" t="n">
        <v>4688</v>
      </c>
      <c r="B4582" s="21" t="inlineStr">
        <is>
          <t>Into the Grizzly Maze</t>
        </is>
      </c>
      <c r="C4582" s="21" t="n">
        <v>2015</v>
      </c>
      <c r="D4582" s="21" t="inlineStr">
        <is>
          <t>USA</t>
        </is>
      </c>
      <c r="E4582" s="21" t="n">
        <v>94</v>
      </c>
      <c r="F4582" s="21" t="inlineStr">
        <is>
          <t>English</t>
        </is>
      </c>
      <c r="G4582" s="21" t="inlineStr">
        <is>
          <t>R</t>
        </is>
      </c>
      <c r="H4582" s="22" t="n">
        <v>25529689.5</v>
      </c>
      <c r="I4582" s="22" t="n">
        <v>10000000</v>
      </c>
      <c r="J4582" s="21">
        <f>IF(OR(H4582="",H4582=25529689.5),"Yes","No")</f>
        <v/>
      </c>
      <c r="K4582" s="21">
        <f>IF(AND(D4582="USA",C4582&gt;=1980,J4582="No"),"Yes","No")</f>
        <v/>
      </c>
      <c r="L4582" s="26">
        <f>IF(J4582="Yes","",H4582-I4582)</f>
        <v/>
      </c>
      <c r="M4582" s="27">
        <f>IF(OR(J4582="Yes",I4582=0),"",H4582/I4582)</f>
        <v/>
      </c>
      <c r="N4582" s="21">
        <f>IF(J4582="Yes","",IF(H4582&gt;=I4582,1,0))</f>
        <v/>
      </c>
      <c r="O4582" s="21">
        <f>IF(I4582&lt;=5000000,"Under $5M",IF(I4582&lt;=20000000,"$5M-20M",IF(I4582&lt;=50000000,"$20M-50M",IF(I4582&lt;=100000000,"$50M-100M","$100M+"))))</f>
        <v/>
      </c>
      <c r="P4582" s="21">
        <f>IF(E4582&lt;=90,"90 or less",IF(E4582&lt;=105,"91-105",IF(E4582&lt;=120,"106-120",IF(E4582&lt;=140,"121-140","Over 140"))))</f>
        <v/>
      </c>
      <c r="Q4582" s="28">
        <f>INT(C4582/10)*10</f>
        <v/>
      </c>
    </row>
    <row r="4583">
      <c r="A4583" s="21" t="n">
        <v>4689</v>
      </c>
      <c r="B4583" s="21" t="inlineStr">
        <is>
          <t>Ip Man 3</t>
        </is>
      </c>
      <c r="C4583" s="21" t="n">
        <v>2015</v>
      </c>
      <c r="D4583" s="21" t="inlineStr">
        <is>
          <t>Hong Kong</t>
        </is>
      </c>
      <c r="E4583" s="21" t="n">
        <v>105</v>
      </c>
      <c r="F4583" s="21" t="inlineStr">
        <is>
          <t>Cantonese</t>
        </is>
      </c>
      <c r="G4583" s="21" t="inlineStr">
        <is>
          <t>PG-13</t>
        </is>
      </c>
      <c r="H4583" s="22" t="n">
        <v>2126511</v>
      </c>
      <c r="I4583" s="22" t="n">
        <v>36000000</v>
      </c>
      <c r="J4583" s="21">
        <f>IF(OR(H4583="",H4583=25529689.5),"Yes","No")</f>
        <v/>
      </c>
      <c r="K4583" s="21">
        <f>IF(AND(D4583="USA",C4583&gt;=1980,J4583="No"),"Yes","No")</f>
        <v/>
      </c>
      <c r="L4583" s="26">
        <f>IF(J4583="Yes","",H4583-I4583)</f>
        <v/>
      </c>
      <c r="M4583" s="27">
        <f>IF(OR(J4583="Yes",I4583=0),"",H4583/I4583)</f>
        <v/>
      </c>
      <c r="N4583" s="21">
        <f>IF(J4583="Yes","",IF(H4583&gt;=I4583,1,0))</f>
        <v/>
      </c>
      <c r="O4583" s="21">
        <f>IF(I4583&lt;=5000000,"Under $5M",IF(I4583&lt;=20000000,"$5M-20M",IF(I4583&lt;=50000000,"$20M-50M",IF(I4583&lt;=100000000,"$50M-100M","$100M+"))))</f>
        <v/>
      </c>
      <c r="P4583" s="21">
        <f>IF(E4583&lt;=90,"90 or less",IF(E4583&lt;=105,"91-105",IF(E4583&lt;=120,"106-120",IF(E4583&lt;=140,"121-140","Over 140"))))</f>
        <v/>
      </c>
      <c r="Q4583" s="28">
        <f>INT(C4583/10)*10</f>
        <v/>
      </c>
    </row>
    <row r="4584">
      <c r="A4584" s="21" t="n">
        <v>4690</v>
      </c>
      <c r="B4584" s="21" t="inlineStr">
        <is>
          <t>Joy</t>
        </is>
      </c>
      <c r="C4584" s="21" t="n">
        <v>2015</v>
      </c>
      <c r="D4584" s="21" t="inlineStr">
        <is>
          <t>USA</t>
        </is>
      </c>
      <c r="E4584" s="21" t="n">
        <v>124</v>
      </c>
      <c r="F4584" s="21" t="inlineStr">
        <is>
          <t>English</t>
        </is>
      </c>
      <c r="G4584" s="21" t="inlineStr">
        <is>
          <t>PG-13</t>
        </is>
      </c>
      <c r="H4584" s="22" t="n">
        <v>56443482</v>
      </c>
      <c r="I4584" s="22" t="n">
        <v>60000000</v>
      </c>
      <c r="J4584" s="21">
        <f>IF(OR(H4584="",H4584=25529689.5),"Yes","No")</f>
        <v/>
      </c>
      <c r="K4584" s="21">
        <f>IF(AND(D4584="USA",C4584&gt;=1980,J4584="No"),"Yes","No")</f>
        <v/>
      </c>
      <c r="L4584" s="26">
        <f>IF(J4584="Yes","",H4584-I4584)</f>
        <v/>
      </c>
      <c r="M4584" s="27">
        <f>IF(OR(J4584="Yes",I4584=0),"",H4584/I4584)</f>
        <v/>
      </c>
      <c r="N4584" s="21">
        <f>IF(J4584="Yes","",IF(H4584&gt;=I4584,1,0))</f>
        <v/>
      </c>
      <c r="O4584" s="21">
        <f>IF(I4584&lt;=5000000,"Under $5M",IF(I4584&lt;=20000000,"$5M-20M",IF(I4584&lt;=50000000,"$20M-50M",IF(I4584&lt;=100000000,"$50M-100M","$100M+"))))</f>
        <v/>
      </c>
      <c r="P4584" s="21">
        <f>IF(E4584&lt;=90,"90 or less",IF(E4584&lt;=105,"91-105",IF(E4584&lt;=120,"106-120",IF(E4584&lt;=140,"121-140","Over 140"))))</f>
        <v/>
      </c>
      <c r="Q4584" s="28">
        <f>INT(C4584/10)*10</f>
        <v/>
      </c>
    </row>
    <row r="4585">
      <c r="A4585" s="21" t="n">
        <v>4691</v>
      </c>
      <c r="B4585" s="21" t="inlineStr">
        <is>
          <t>Julija in alfa Romeo</t>
        </is>
      </c>
      <c r="C4585" s="21" t="n">
        <v>2015</v>
      </c>
      <c r="D4585" s="21" t="inlineStr">
        <is>
          <t>Slovenia</t>
        </is>
      </c>
      <c r="E4585" s="21" t="n">
        <v>83</v>
      </c>
      <c r="F4585" s="21" t="inlineStr">
        <is>
          <t>Slovenian</t>
        </is>
      </c>
      <c r="G4585" s="21" t="n"/>
      <c r="H4585" s="22" t="n">
        <v>25529689.5</v>
      </c>
      <c r="I4585" s="22" t="n">
        <v>500000</v>
      </c>
      <c r="J4585" s="21">
        <f>IF(OR(H4585="",H4585=25529689.5),"Yes","No")</f>
        <v/>
      </c>
      <c r="K4585" s="21">
        <f>IF(AND(D4585="USA",C4585&gt;=1980,J4585="No"),"Yes","No")</f>
        <v/>
      </c>
      <c r="L4585" s="26">
        <f>IF(J4585="Yes","",H4585-I4585)</f>
        <v/>
      </c>
      <c r="M4585" s="27">
        <f>IF(OR(J4585="Yes",I4585=0),"",H4585/I4585)</f>
        <v/>
      </c>
      <c r="N4585" s="21">
        <f>IF(J4585="Yes","",IF(H4585&gt;=I4585,1,0))</f>
        <v/>
      </c>
      <c r="O4585" s="21">
        <f>IF(I4585&lt;=5000000,"Under $5M",IF(I4585&lt;=20000000,"$5M-20M",IF(I4585&lt;=50000000,"$20M-50M",IF(I4585&lt;=100000000,"$50M-100M","$100M+"))))</f>
        <v/>
      </c>
      <c r="P4585" s="21">
        <f>IF(E4585&lt;=90,"90 or less",IF(E4585&lt;=105,"91-105",IF(E4585&lt;=120,"106-120",IF(E4585&lt;=140,"121-140","Over 140"))))</f>
        <v/>
      </c>
      <c r="Q4585" s="28">
        <f>INT(C4585/10)*10</f>
        <v/>
      </c>
    </row>
    <row r="4586">
      <c r="A4586" s="21" t="n">
        <v>4692</v>
      </c>
      <c r="B4586" s="21" t="inlineStr">
        <is>
          <t>Jupiter Ascending</t>
        </is>
      </c>
      <c r="C4586" s="21" t="n">
        <v>2015</v>
      </c>
      <c r="D4586" s="21" t="inlineStr">
        <is>
          <t>USA</t>
        </is>
      </c>
      <c r="E4586" s="21" t="n">
        <v>127</v>
      </c>
      <c r="F4586" s="21" t="inlineStr">
        <is>
          <t>English</t>
        </is>
      </c>
      <c r="G4586" s="21" t="inlineStr">
        <is>
          <t>PG-13</t>
        </is>
      </c>
      <c r="H4586" s="22" t="n">
        <v>47375327</v>
      </c>
      <c r="I4586" s="22" t="n">
        <v>176000000</v>
      </c>
      <c r="J4586" s="21">
        <f>IF(OR(H4586="",H4586=25529689.5),"Yes","No")</f>
        <v/>
      </c>
      <c r="K4586" s="21">
        <f>IF(AND(D4586="USA",C4586&gt;=1980,J4586="No"),"Yes","No")</f>
        <v/>
      </c>
      <c r="L4586" s="26">
        <f>IF(J4586="Yes","",H4586-I4586)</f>
        <v/>
      </c>
      <c r="M4586" s="27">
        <f>IF(OR(J4586="Yes",I4586=0),"",H4586/I4586)</f>
        <v/>
      </c>
      <c r="N4586" s="21">
        <f>IF(J4586="Yes","",IF(H4586&gt;=I4586,1,0))</f>
        <v/>
      </c>
      <c r="O4586" s="21">
        <f>IF(I4586&lt;=5000000,"Under $5M",IF(I4586&lt;=20000000,"$5M-20M",IF(I4586&lt;=50000000,"$20M-50M",IF(I4586&lt;=100000000,"$50M-100M","$100M+"))))</f>
        <v/>
      </c>
      <c r="P4586" s="21">
        <f>IF(E4586&lt;=90,"90 or less",IF(E4586&lt;=105,"91-105",IF(E4586&lt;=120,"106-120",IF(E4586&lt;=140,"121-140","Over 140"))))</f>
        <v/>
      </c>
      <c r="Q4586" s="28">
        <f>INT(C4586/10)*10</f>
        <v/>
      </c>
    </row>
    <row r="4587">
      <c r="A4587" s="21" t="n">
        <v>4693</v>
      </c>
      <c r="B4587" s="21" t="inlineStr">
        <is>
          <t>Jurassic World</t>
        </is>
      </c>
      <c r="C4587" s="21" t="n">
        <v>2015</v>
      </c>
      <c r="D4587" s="21" t="inlineStr">
        <is>
          <t>USA</t>
        </is>
      </c>
      <c r="E4587" s="21" t="n">
        <v>124</v>
      </c>
      <c r="F4587" s="21" t="inlineStr">
        <is>
          <t>English</t>
        </is>
      </c>
      <c r="G4587" s="21" t="inlineStr">
        <is>
          <t>PG-13</t>
        </is>
      </c>
      <c r="H4587" s="22" t="n">
        <v>652177271</v>
      </c>
      <c r="I4587" s="22" t="n">
        <v>150000000</v>
      </c>
      <c r="J4587" s="21">
        <f>IF(OR(H4587="",H4587=25529689.5),"Yes","No")</f>
        <v/>
      </c>
      <c r="K4587" s="21">
        <f>IF(AND(D4587="USA",C4587&gt;=1980,J4587="No"),"Yes","No")</f>
        <v/>
      </c>
      <c r="L4587" s="26">
        <f>IF(J4587="Yes","",H4587-I4587)</f>
        <v/>
      </c>
      <c r="M4587" s="27">
        <f>IF(OR(J4587="Yes",I4587=0),"",H4587/I4587)</f>
        <v/>
      </c>
      <c r="N4587" s="21">
        <f>IF(J4587="Yes","",IF(H4587&gt;=I4587,1,0))</f>
        <v/>
      </c>
      <c r="O4587" s="21">
        <f>IF(I4587&lt;=5000000,"Under $5M",IF(I4587&lt;=20000000,"$5M-20M",IF(I4587&lt;=50000000,"$20M-50M",IF(I4587&lt;=100000000,"$50M-100M","$100M+"))))</f>
        <v/>
      </c>
      <c r="P4587" s="21">
        <f>IF(E4587&lt;=90,"90 or less",IF(E4587&lt;=105,"91-105",IF(E4587&lt;=120,"106-120",IF(E4587&lt;=140,"121-140","Over 140"))))</f>
        <v/>
      </c>
      <c r="Q4587" s="28">
        <f>INT(C4587/10)*10</f>
        <v/>
      </c>
    </row>
    <row r="4588">
      <c r="A4588" s="21" t="n">
        <v>4694</v>
      </c>
      <c r="B4588" s="21" t="inlineStr">
        <is>
          <t>Karachi se Lahore</t>
        </is>
      </c>
      <c r="C4588" s="21" t="n">
        <v>2015</v>
      </c>
      <c r="D4588" s="21" t="inlineStr">
        <is>
          <t>Pakistan</t>
        </is>
      </c>
      <c r="E4588" s="21" t="n">
        <v>104</v>
      </c>
      <c r="F4588" s="21" t="inlineStr">
        <is>
          <t>Urdu</t>
        </is>
      </c>
      <c r="G4588" s="21" t="n"/>
      <c r="H4588" s="22" t="n">
        <v>25529689.5</v>
      </c>
      <c r="I4588" s="22" t="n">
        <v>1000000</v>
      </c>
      <c r="J4588" s="21">
        <f>IF(OR(H4588="",H4588=25529689.5),"Yes","No")</f>
        <v/>
      </c>
      <c r="K4588" s="21">
        <f>IF(AND(D4588="USA",C4588&gt;=1980,J4588="No"),"Yes","No")</f>
        <v/>
      </c>
      <c r="L4588" s="26">
        <f>IF(J4588="Yes","",H4588-I4588)</f>
        <v/>
      </c>
      <c r="M4588" s="27">
        <f>IF(OR(J4588="Yes",I4588=0),"",H4588/I4588)</f>
        <v/>
      </c>
      <c r="N4588" s="21">
        <f>IF(J4588="Yes","",IF(H4588&gt;=I4588,1,0))</f>
        <v/>
      </c>
      <c r="O4588" s="21">
        <f>IF(I4588&lt;=5000000,"Under $5M",IF(I4588&lt;=20000000,"$5M-20M",IF(I4588&lt;=50000000,"$20M-50M",IF(I4588&lt;=100000000,"$50M-100M","$100M+"))))</f>
        <v/>
      </c>
      <c r="P4588" s="21">
        <f>IF(E4588&lt;=90,"90 or less",IF(E4588&lt;=105,"91-105",IF(E4588&lt;=120,"106-120",IF(E4588&lt;=140,"121-140","Over 140"))))</f>
        <v/>
      </c>
      <c r="Q4588" s="28">
        <f>INT(C4588/10)*10</f>
        <v/>
      </c>
    </row>
    <row r="4589">
      <c r="A4589" s="21" t="n">
        <v>4695</v>
      </c>
      <c r="B4589" s="21" t="inlineStr">
        <is>
          <t>Krampus</t>
        </is>
      </c>
      <c r="C4589" s="21" t="n">
        <v>2015</v>
      </c>
      <c r="D4589" s="21" t="inlineStr">
        <is>
          <t>USA</t>
        </is>
      </c>
      <c r="E4589" s="21" t="n">
        <v>98</v>
      </c>
      <c r="F4589" s="21" t="inlineStr">
        <is>
          <t>English</t>
        </is>
      </c>
      <c r="G4589" s="21" t="inlineStr">
        <is>
          <t>PG-13</t>
        </is>
      </c>
      <c r="H4589" s="22" t="n">
        <v>42592530</v>
      </c>
      <c r="I4589" s="22" t="n">
        <v>15000000</v>
      </c>
      <c r="J4589" s="21">
        <f>IF(OR(H4589="",H4589=25529689.5),"Yes","No")</f>
        <v/>
      </c>
      <c r="K4589" s="21">
        <f>IF(AND(D4589="USA",C4589&gt;=1980,J4589="No"),"Yes","No")</f>
        <v/>
      </c>
      <c r="L4589" s="26">
        <f>IF(J4589="Yes","",H4589-I4589)</f>
        <v/>
      </c>
      <c r="M4589" s="27">
        <f>IF(OR(J4589="Yes",I4589=0),"",H4589/I4589)</f>
        <v/>
      </c>
      <c r="N4589" s="21">
        <f>IF(J4589="Yes","",IF(H4589&gt;=I4589,1,0))</f>
        <v/>
      </c>
      <c r="O4589" s="21">
        <f>IF(I4589&lt;=5000000,"Under $5M",IF(I4589&lt;=20000000,"$5M-20M",IF(I4589&lt;=50000000,"$20M-50M",IF(I4589&lt;=100000000,"$50M-100M","$100M+"))))</f>
        <v/>
      </c>
      <c r="P4589" s="21">
        <f>IF(E4589&lt;=90,"90 or less",IF(E4589&lt;=105,"91-105",IF(E4589&lt;=120,"106-120",IF(E4589&lt;=140,"121-140","Over 140"))))</f>
        <v/>
      </c>
      <c r="Q4589" s="28">
        <f>INT(C4589/10)*10</f>
        <v/>
      </c>
    </row>
    <row r="4590">
      <c r="A4590" s="21" t="n">
        <v>4696</v>
      </c>
      <c r="B4590" s="21" t="inlineStr">
        <is>
          <t>Legend</t>
        </is>
      </c>
      <c r="C4590" s="21" t="n">
        <v>2015</v>
      </c>
      <c r="D4590" s="21" t="inlineStr">
        <is>
          <t>UK</t>
        </is>
      </c>
      <c r="E4590" s="21" t="n">
        <v>132</v>
      </c>
      <c r="F4590" s="21" t="inlineStr">
        <is>
          <t>English</t>
        </is>
      </c>
      <c r="G4590" s="21" t="inlineStr">
        <is>
          <t>R</t>
        </is>
      </c>
      <c r="H4590" s="22" t="n">
        <v>1865774</v>
      </c>
      <c r="I4590" s="22" t="n">
        <v>30000000</v>
      </c>
      <c r="J4590" s="21">
        <f>IF(OR(H4590="",H4590=25529689.5),"Yes","No")</f>
        <v/>
      </c>
      <c r="K4590" s="21">
        <f>IF(AND(D4590="USA",C4590&gt;=1980,J4590="No"),"Yes","No")</f>
        <v/>
      </c>
      <c r="L4590" s="26">
        <f>IF(J4590="Yes","",H4590-I4590)</f>
        <v/>
      </c>
      <c r="M4590" s="27">
        <f>IF(OR(J4590="Yes",I4590=0),"",H4590/I4590)</f>
        <v/>
      </c>
      <c r="N4590" s="21">
        <f>IF(J4590="Yes","",IF(H4590&gt;=I4590,1,0))</f>
        <v/>
      </c>
      <c r="O4590" s="21">
        <f>IF(I4590&lt;=5000000,"Under $5M",IF(I4590&lt;=20000000,"$5M-20M",IF(I4590&lt;=50000000,"$20M-50M",IF(I4590&lt;=100000000,"$50M-100M","$100M+"))))</f>
        <v/>
      </c>
      <c r="P4590" s="21">
        <f>IF(E4590&lt;=90,"90 or less",IF(E4590&lt;=105,"91-105",IF(E4590&lt;=120,"106-120",IF(E4590&lt;=140,"121-140","Over 140"))))</f>
        <v/>
      </c>
      <c r="Q4590" s="28">
        <f>INT(C4590/10)*10</f>
        <v/>
      </c>
    </row>
    <row r="4591">
      <c r="A4591" s="21" t="n">
        <v>4697</v>
      </c>
      <c r="B4591" s="21" t="inlineStr">
        <is>
          <t>Little Boy</t>
        </is>
      </c>
      <c r="C4591" s="21" t="n">
        <v>2015</v>
      </c>
      <c r="D4591" s="21" t="inlineStr">
        <is>
          <t>Mexico</t>
        </is>
      </c>
      <c r="E4591" s="21" t="n">
        <v>106</v>
      </c>
      <c r="F4591" s="21" t="inlineStr">
        <is>
          <t>English</t>
        </is>
      </c>
      <c r="G4591" s="21" t="inlineStr">
        <is>
          <t>PG-13</t>
        </is>
      </c>
      <c r="H4591" s="22" t="n">
        <v>6420319</v>
      </c>
      <c r="I4591" s="22" t="n">
        <v>20000000</v>
      </c>
      <c r="J4591" s="21">
        <f>IF(OR(H4591="",H4591=25529689.5),"Yes","No")</f>
        <v/>
      </c>
      <c r="K4591" s="21">
        <f>IF(AND(D4591="USA",C4591&gt;=1980,J4591="No"),"Yes","No")</f>
        <v/>
      </c>
      <c r="L4591" s="26">
        <f>IF(J4591="Yes","",H4591-I4591)</f>
        <v/>
      </c>
      <c r="M4591" s="27">
        <f>IF(OR(J4591="Yes",I4591=0),"",H4591/I4591)</f>
        <v/>
      </c>
      <c r="N4591" s="21">
        <f>IF(J4591="Yes","",IF(H4591&gt;=I4591,1,0))</f>
        <v/>
      </c>
      <c r="O4591" s="21">
        <f>IF(I4591&lt;=5000000,"Under $5M",IF(I4591&lt;=20000000,"$5M-20M",IF(I4591&lt;=50000000,"$20M-50M",IF(I4591&lt;=100000000,"$50M-100M","$100M+"))))</f>
        <v/>
      </c>
      <c r="P4591" s="21">
        <f>IF(E4591&lt;=90,"90 or less",IF(E4591&lt;=105,"91-105",IF(E4591&lt;=120,"106-120",IF(E4591&lt;=140,"121-140","Over 140"))))</f>
        <v/>
      </c>
      <c r="Q4591" s="28">
        <f>INT(C4591/10)*10</f>
        <v/>
      </c>
    </row>
    <row r="4592">
      <c r="A4592" s="21" t="n">
        <v>4698</v>
      </c>
      <c r="B4592" s="21" t="inlineStr">
        <is>
          <t>Love the Coopers</t>
        </is>
      </c>
      <c r="C4592" s="21" t="n">
        <v>2015</v>
      </c>
      <c r="D4592" s="21" t="inlineStr">
        <is>
          <t>USA</t>
        </is>
      </c>
      <c r="E4592" s="21" t="n">
        <v>107</v>
      </c>
      <c r="F4592" s="21" t="inlineStr">
        <is>
          <t>English</t>
        </is>
      </c>
      <c r="G4592" s="21" t="inlineStr">
        <is>
          <t>PG-13</t>
        </is>
      </c>
      <c r="H4592" s="22" t="n">
        <v>26284475</v>
      </c>
      <c r="I4592" s="22" t="n">
        <v>17000000</v>
      </c>
      <c r="J4592" s="21">
        <f>IF(OR(H4592="",H4592=25529689.5),"Yes","No")</f>
        <v/>
      </c>
      <c r="K4592" s="21">
        <f>IF(AND(D4592="USA",C4592&gt;=1980,J4592="No"),"Yes","No")</f>
        <v/>
      </c>
      <c r="L4592" s="26">
        <f>IF(J4592="Yes","",H4592-I4592)</f>
        <v/>
      </c>
      <c r="M4592" s="27">
        <f>IF(OR(J4592="Yes",I4592=0),"",H4592/I4592)</f>
        <v/>
      </c>
      <c r="N4592" s="21">
        <f>IF(J4592="Yes","",IF(H4592&gt;=I4592,1,0))</f>
        <v/>
      </c>
      <c r="O4592" s="21">
        <f>IF(I4592&lt;=5000000,"Under $5M",IF(I4592&lt;=20000000,"$5M-20M",IF(I4592&lt;=50000000,"$20M-50M",IF(I4592&lt;=100000000,"$50M-100M","$100M+"))))</f>
        <v/>
      </c>
      <c r="P4592" s="21">
        <f>IF(E4592&lt;=90,"90 or less",IF(E4592&lt;=105,"91-105",IF(E4592&lt;=120,"106-120",IF(E4592&lt;=140,"121-140","Over 140"))))</f>
        <v/>
      </c>
      <c r="Q4592" s="28">
        <f>INT(C4592/10)*10</f>
        <v/>
      </c>
    </row>
    <row r="4593">
      <c r="A4593" s="21" t="n">
        <v>4699</v>
      </c>
      <c r="B4593" s="21" t="inlineStr">
        <is>
          <t>Mad Max: Fury Road</t>
        </is>
      </c>
      <c r="C4593" s="21" t="n">
        <v>2015</v>
      </c>
      <c r="D4593" s="21" t="inlineStr">
        <is>
          <t>Australia</t>
        </is>
      </c>
      <c r="E4593" s="21" t="n">
        <v>120</v>
      </c>
      <c r="F4593" s="21" t="inlineStr">
        <is>
          <t>English</t>
        </is>
      </c>
      <c r="G4593" s="21" t="inlineStr">
        <is>
          <t>R</t>
        </is>
      </c>
      <c r="H4593" s="22" t="n">
        <v>153629485</v>
      </c>
      <c r="I4593" s="22" t="n">
        <v>150000000</v>
      </c>
      <c r="J4593" s="21">
        <f>IF(OR(H4593="",H4593=25529689.5),"Yes","No")</f>
        <v/>
      </c>
      <c r="K4593" s="21">
        <f>IF(AND(D4593="USA",C4593&gt;=1980,J4593="No"),"Yes","No")</f>
        <v/>
      </c>
      <c r="L4593" s="26">
        <f>IF(J4593="Yes","",H4593-I4593)</f>
        <v/>
      </c>
      <c r="M4593" s="27">
        <f>IF(OR(J4593="Yes",I4593=0),"",H4593/I4593)</f>
        <v/>
      </c>
      <c r="N4593" s="21">
        <f>IF(J4593="Yes","",IF(H4593&gt;=I4593,1,0))</f>
        <v/>
      </c>
      <c r="O4593" s="21">
        <f>IF(I4593&lt;=5000000,"Under $5M",IF(I4593&lt;=20000000,"$5M-20M",IF(I4593&lt;=50000000,"$20M-50M",IF(I4593&lt;=100000000,"$50M-100M","$100M+"))))</f>
        <v/>
      </c>
      <c r="P4593" s="21">
        <f>IF(E4593&lt;=90,"90 or less",IF(E4593&lt;=105,"91-105",IF(E4593&lt;=120,"106-120",IF(E4593&lt;=140,"121-140","Over 140"))))</f>
        <v/>
      </c>
      <c r="Q4593" s="28">
        <f>INT(C4593/10)*10</f>
        <v/>
      </c>
    </row>
    <row r="4594">
      <c r="A4594" s="21" t="n">
        <v>4700</v>
      </c>
      <c r="B4594" s="21" t="inlineStr">
        <is>
          <t>Maggie</t>
        </is>
      </c>
      <c r="C4594" s="21" t="n">
        <v>2015</v>
      </c>
      <c r="D4594" s="21" t="inlineStr">
        <is>
          <t>USA</t>
        </is>
      </c>
      <c r="E4594" s="21" t="n">
        <v>95</v>
      </c>
      <c r="F4594" s="21" t="inlineStr">
        <is>
          <t>English</t>
        </is>
      </c>
      <c r="G4594" s="21" t="inlineStr">
        <is>
          <t>PG-13</t>
        </is>
      </c>
      <c r="H4594" s="22" t="n">
        <v>131175</v>
      </c>
      <c r="I4594" s="22" t="n">
        <v>8500000</v>
      </c>
      <c r="J4594" s="21">
        <f>IF(OR(H4594="",H4594=25529689.5),"Yes","No")</f>
        <v/>
      </c>
      <c r="K4594" s="21">
        <f>IF(AND(D4594="USA",C4594&gt;=1980,J4594="No"),"Yes","No")</f>
        <v/>
      </c>
      <c r="L4594" s="26">
        <f>IF(J4594="Yes","",H4594-I4594)</f>
        <v/>
      </c>
      <c r="M4594" s="27">
        <f>IF(OR(J4594="Yes",I4594=0),"",H4594/I4594)</f>
        <v/>
      </c>
      <c r="N4594" s="21">
        <f>IF(J4594="Yes","",IF(H4594&gt;=I4594,1,0))</f>
        <v/>
      </c>
      <c r="O4594" s="21">
        <f>IF(I4594&lt;=5000000,"Under $5M",IF(I4594&lt;=20000000,"$5M-20M",IF(I4594&lt;=50000000,"$20M-50M",IF(I4594&lt;=100000000,"$50M-100M","$100M+"))))</f>
        <v/>
      </c>
      <c r="P4594" s="21">
        <f>IF(E4594&lt;=90,"90 or less",IF(E4594&lt;=105,"91-105",IF(E4594&lt;=120,"106-120",IF(E4594&lt;=140,"121-140","Over 140"))))</f>
        <v/>
      </c>
      <c r="Q4594" s="28">
        <f>INT(C4594/10)*10</f>
        <v/>
      </c>
    </row>
    <row r="4595">
      <c r="A4595" s="21" t="n">
        <v>4701</v>
      </c>
      <c r="B4595" s="21" t="inlineStr">
        <is>
          <t>Magic Mike XXL</t>
        </is>
      </c>
      <c r="C4595" s="21" t="n">
        <v>2015</v>
      </c>
      <c r="D4595" s="21" t="inlineStr">
        <is>
          <t>USA</t>
        </is>
      </c>
      <c r="E4595" s="21" t="n">
        <v>115</v>
      </c>
      <c r="F4595" s="21" t="inlineStr">
        <is>
          <t>English</t>
        </is>
      </c>
      <c r="G4595" s="21" t="inlineStr">
        <is>
          <t>R</t>
        </is>
      </c>
      <c r="H4595" s="22" t="n">
        <v>66009973</v>
      </c>
      <c r="I4595" s="22" t="n">
        <v>14800000</v>
      </c>
      <c r="J4595" s="21">
        <f>IF(OR(H4595="",H4595=25529689.5),"Yes","No")</f>
        <v/>
      </c>
      <c r="K4595" s="21">
        <f>IF(AND(D4595="USA",C4595&gt;=1980,J4595="No"),"Yes","No")</f>
        <v/>
      </c>
      <c r="L4595" s="26">
        <f>IF(J4595="Yes","",H4595-I4595)</f>
        <v/>
      </c>
      <c r="M4595" s="27">
        <f>IF(OR(J4595="Yes",I4595=0),"",H4595/I4595)</f>
        <v/>
      </c>
      <c r="N4595" s="21">
        <f>IF(J4595="Yes","",IF(H4595&gt;=I4595,1,0))</f>
        <v/>
      </c>
      <c r="O4595" s="21">
        <f>IF(I4595&lt;=5000000,"Under $5M",IF(I4595&lt;=20000000,"$5M-20M",IF(I4595&lt;=50000000,"$20M-50M",IF(I4595&lt;=100000000,"$50M-100M","$100M+"))))</f>
        <v/>
      </c>
      <c r="P4595" s="21">
        <f>IF(E4595&lt;=90,"90 or less",IF(E4595&lt;=105,"91-105",IF(E4595&lt;=120,"106-120",IF(E4595&lt;=140,"121-140","Over 140"))))</f>
        <v/>
      </c>
      <c r="Q4595" s="28">
        <f>INT(C4595/10)*10</f>
        <v/>
      </c>
    </row>
    <row r="4596">
      <c r="A4596" s="21" t="n">
        <v>4702</v>
      </c>
      <c r="B4596" s="21" t="inlineStr">
        <is>
          <t>Max</t>
        </is>
      </c>
      <c r="C4596" s="21" t="n">
        <v>2015</v>
      </c>
      <c r="D4596" s="21" t="inlineStr">
        <is>
          <t>USA</t>
        </is>
      </c>
      <c r="E4596" s="21" t="n">
        <v>111</v>
      </c>
      <c r="F4596" s="21" t="inlineStr">
        <is>
          <t>English</t>
        </is>
      </c>
      <c r="G4596" s="21" t="inlineStr">
        <is>
          <t>PG</t>
        </is>
      </c>
      <c r="H4596" s="22" t="n">
        <v>42652003</v>
      </c>
      <c r="I4596" s="22" t="n">
        <v>20000000</v>
      </c>
      <c r="J4596" s="21">
        <f>IF(OR(H4596="",H4596=25529689.5),"Yes","No")</f>
        <v/>
      </c>
      <c r="K4596" s="21">
        <f>IF(AND(D4596="USA",C4596&gt;=1980,J4596="No"),"Yes","No")</f>
        <v/>
      </c>
      <c r="L4596" s="26">
        <f>IF(J4596="Yes","",H4596-I4596)</f>
        <v/>
      </c>
      <c r="M4596" s="27">
        <f>IF(OR(J4596="Yes",I4596=0),"",H4596/I4596)</f>
        <v/>
      </c>
      <c r="N4596" s="21">
        <f>IF(J4596="Yes","",IF(H4596&gt;=I4596,1,0))</f>
        <v/>
      </c>
      <c r="O4596" s="21">
        <f>IF(I4596&lt;=5000000,"Under $5M",IF(I4596&lt;=20000000,"$5M-20M",IF(I4596&lt;=50000000,"$20M-50M",IF(I4596&lt;=100000000,"$50M-100M","$100M+"))))</f>
        <v/>
      </c>
      <c r="P4596" s="21">
        <f>IF(E4596&lt;=90,"90 or less",IF(E4596&lt;=105,"91-105",IF(E4596&lt;=120,"106-120",IF(E4596&lt;=140,"121-140","Over 140"))))</f>
        <v/>
      </c>
      <c r="Q4596" s="28">
        <f>INT(C4596/10)*10</f>
        <v/>
      </c>
    </row>
    <row r="4597">
      <c r="A4597" s="21" t="n">
        <v>4703</v>
      </c>
      <c r="B4597" s="21" t="inlineStr">
        <is>
          <t>McFarland, USA</t>
        </is>
      </c>
      <c r="C4597" s="21" t="n">
        <v>2015</v>
      </c>
      <c r="D4597" s="21" t="inlineStr">
        <is>
          <t>USA</t>
        </is>
      </c>
      <c r="E4597" s="21" t="n">
        <v>129</v>
      </c>
      <c r="F4597" s="21" t="inlineStr">
        <is>
          <t>English</t>
        </is>
      </c>
      <c r="G4597" s="21" t="inlineStr">
        <is>
          <t>PG</t>
        </is>
      </c>
      <c r="H4597" s="22" t="n">
        <v>44469602</v>
      </c>
      <c r="I4597" s="22" t="n">
        <v>17000000</v>
      </c>
      <c r="J4597" s="21">
        <f>IF(OR(H4597="",H4597=25529689.5),"Yes","No")</f>
        <v/>
      </c>
      <c r="K4597" s="21">
        <f>IF(AND(D4597="USA",C4597&gt;=1980,J4597="No"),"Yes","No")</f>
        <v/>
      </c>
      <c r="L4597" s="26">
        <f>IF(J4597="Yes","",H4597-I4597)</f>
        <v/>
      </c>
      <c r="M4597" s="27">
        <f>IF(OR(J4597="Yes",I4597=0),"",H4597/I4597)</f>
        <v/>
      </c>
      <c r="N4597" s="21">
        <f>IF(J4597="Yes","",IF(H4597&gt;=I4597,1,0))</f>
        <v/>
      </c>
      <c r="O4597" s="21">
        <f>IF(I4597&lt;=5000000,"Under $5M",IF(I4597&lt;=20000000,"$5M-20M",IF(I4597&lt;=50000000,"$20M-50M",IF(I4597&lt;=100000000,"$50M-100M","$100M+"))))</f>
        <v/>
      </c>
      <c r="P4597" s="21">
        <f>IF(E4597&lt;=90,"90 or less",IF(E4597&lt;=105,"91-105",IF(E4597&lt;=120,"106-120",IF(E4597&lt;=140,"121-140","Over 140"))))</f>
        <v/>
      </c>
      <c r="Q4597" s="28">
        <f>INT(C4597/10)*10</f>
        <v/>
      </c>
    </row>
    <row r="4598">
      <c r="A4598" s="21" t="n">
        <v>4704</v>
      </c>
      <c r="B4598" s="21" t="inlineStr">
        <is>
          <t>Me You and Five Bucks</t>
        </is>
      </c>
      <c r="C4598" s="21" t="n">
        <v>2015</v>
      </c>
      <c r="D4598" s="21" t="inlineStr">
        <is>
          <t>USA</t>
        </is>
      </c>
      <c r="E4598" s="21" t="n">
        <v>93</v>
      </c>
      <c r="F4598" s="21" t="inlineStr">
        <is>
          <t>English</t>
        </is>
      </c>
      <c r="G4598" s="21" t="n"/>
      <c r="H4598" s="22" t="n">
        <v>25529689.5</v>
      </c>
      <c r="I4598" s="22" t="n">
        <v>1500000</v>
      </c>
      <c r="J4598" s="21">
        <f>IF(OR(H4598="",H4598=25529689.5),"Yes","No")</f>
        <v/>
      </c>
      <c r="K4598" s="21">
        <f>IF(AND(D4598="USA",C4598&gt;=1980,J4598="No"),"Yes","No")</f>
        <v/>
      </c>
      <c r="L4598" s="26">
        <f>IF(J4598="Yes","",H4598-I4598)</f>
        <v/>
      </c>
      <c r="M4598" s="27">
        <f>IF(OR(J4598="Yes",I4598=0),"",H4598/I4598)</f>
        <v/>
      </c>
      <c r="N4598" s="21">
        <f>IF(J4598="Yes","",IF(H4598&gt;=I4598,1,0))</f>
        <v/>
      </c>
      <c r="O4598" s="21">
        <f>IF(I4598&lt;=5000000,"Under $5M",IF(I4598&lt;=20000000,"$5M-20M",IF(I4598&lt;=50000000,"$20M-50M",IF(I4598&lt;=100000000,"$50M-100M","$100M+"))))</f>
        <v/>
      </c>
      <c r="P4598" s="21">
        <f>IF(E4598&lt;=90,"90 or less",IF(E4598&lt;=105,"91-105",IF(E4598&lt;=120,"106-120",IF(E4598&lt;=140,"121-140","Over 140"))))</f>
        <v/>
      </c>
      <c r="Q4598" s="28">
        <f>INT(C4598/10)*10</f>
        <v/>
      </c>
    </row>
    <row r="4599">
      <c r="A4599" s="21" t="n">
        <v>4705</v>
      </c>
      <c r="B4599" s="21" t="inlineStr">
        <is>
          <t>Mi America</t>
        </is>
      </c>
      <c r="C4599" s="21" t="n">
        <v>2015</v>
      </c>
      <c r="D4599" s="21" t="inlineStr">
        <is>
          <t>USA</t>
        </is>
      </c>
      <c r="E4599" s="21" t="n">
        <v>125</v>
      </c>
      <c r="F4599" s="21" t="inlineStr">
        <is>
          <t>English</t>
        </is>
      </c>
      <c r="G4599" s="21" t="inlineStr">
        <is>
          <t>R</t>
        </is>
      </c>
      <c r="H4599" s="22" t="n">
        <v>3330</v>
      </c>
      <c r="I4599" s="22" t="n">
        <v>2100000</v>
      </c>
      <c r="J4599" s="21">
        <f>IF(OR(H4599="",H4599=25529689.5),"Yes","No")</f>
        <v/>
      </c>
      <c r="K4599" s="21">
        <f>IF(AND(D4599="USA",C4599&gt;=1980,J4599="No"),"Yes","No")</f>
        <v/>
      </c>
      <c r="L4599" s="26">
        <f>IF(J4599="Yes","",H4599-I4599)</f>
        <v/>
      </c>
      <c r="M4599" s="27">
        <f>IF(OR(J4599="Yes",I4599=0),"",H4599/I4599)</f>
        <v/>
      </c>
      <c r="N4599" s="21">
        <f>IF(J4599="Yes","",IF(H4599&gt;=I4599,1,0))</f>
        <v/>
      </c>
      <c r="O4599" s="21">
        <f>IF(I4599&lt;=5000000,"Under $5M",IF(I4599&lt;=20000000,"$5M-20M",IF(I4599&lt;=50000000,"$20M-50M",IF(I4599&lt;=100000000,"$50M-100M","$100M+"))))</f>
        <v/>
      </c>
      <c r="P4599" s="21">
        <f>IF(E4599&lt;=90,"90 or less",IF(E4599&lt;=105,"91-105",IF(E4599&lt;=120,"106-120",IF(E4599&lt;=140,"121-140","Over 140"))))</f>
        <v/>
      </c>
      <c r="Q4599" s="28">
        <f>INT(C4599/10)*10</f>
        <v/>
      </c>
    </row>
    <row r="4600">
      <c r="A4600" s="21" t="n">
        <v>4706</v>
      </c>
      <c r="B4600" s="21" t="inlineStr">
        <is>
          <t>Minions</t>
        </is>
      </c>
      <c r="C4600" s="21" t="n">
        <v>2015</v>
      </c>
      <c r="D4600" s="21" t="inlineStr">
        <is>
          <t>USA</t>
        </is>
      </c>
      <c r="E4600" s="21" t="n">
        <v>91</v>
      </c>
      <c r="F4600" s="21" t="inlineStr">
        <is>
          <t>English</t>
        </is>
      </c>
      <c r="G4600" s="21" t="inlineStr">
        <is>
          <t>PG</t>
        </is>
      </c>
      <c r="H4600" s="22" t="n">
        <v>336029560</v>
      </c>
      <c r="I4600" s="22" t="n">
        <v>74000000</v>
      </c>
      <c r="J4600" s="21">
        <f>IF(OR(H4600="",H4600=25529689.5),"Yes","No")</f>
        <v/>
      </c>
      <c r="K4600" s="21">
        <f>IF(AND(D4600="USA",C4600&gt;=1980,J4600="No"),"Yes","No")</f>
        <v/>
      </c>
      <c r="L4600" s="26">
        <f>IF(J4600="Yes","",H4600-I4600)</f>
        <v/>
      </c>
      <c r="M4600" s="27">
        <f>IF(OR(J4600="Yes",I4600=0),"",H4600/I4600)</f>
        <v/>
      </c>
      <c r="N4600" s="21">
        <f>IF(J4600="Yes","",IF(H4600&gt;=I4600,1,0))</f>
        <v/>
      </c>
      <c r="O4600" s="21">
        <f>IF(I4600&lt;=5000000,"Under $5M",IF(I4600&lt;=20000000,"$5M-20M",IF(I4600&lt;=50000000,"$20M-50M",IF(I4600&lt;=100000000,"$50M-100M","$100M+"))))</f>
        <v/>
      </c>
      <c r="P4600" s="21">
        <f>IF(E4600&lt;=90,"90 or less",IF(E4600&lt;=105,"91-105",IF(E4600&lt;=120,"106-120",IF(E4600&lt;=140,"121-140","Over 140"))))</f>
        <v/>
      </c>
      <c r="Q4600" s="28">
        <f>INT(C4600/10)*10</f>
        <v/>
      </c>
    </row>
    <row r="4601">
      <c r="A4601" s="21" t="n">
        <v>4707</v>
      </c>
      <c r="B4601" s="21" t="inlineStr">
        <is>
          <t>Mission: Impossible - Rogue Nation</t>
        </is>
      </c>
      <c r="C4601" s="21" t="n">
        <v>2015</v>
      </c>
      <c r="D4601" s="21" t="inlineStr">
        <is>
          <t>China</t>
        </is>
      </c>
      <c r="E4601" s="21" t="n">
        <v>131</v>
      </c>
      <c r="F4601" s="21" t="inlineStr">
        <is>
          <t>English</t>
        </is>
      </c>
      <c r="G4601" s="21" t="inlineStr">
        <is>
          <t>PG-13</t>
        </is>
      </c>
      <c r="H4601" s="22" t="n">
        <v>195000874</v>
      </c>
      <c r="I4601" s="22" t="n">
        <v>150000000</v>
      </c>
      <c r="J4601" s="21">
        <f>IF(OR(H4601="",H4601=25529689.5),"Yes","No")</f>
        <v/>
      </c>
      <c r="K4601" s="21">
        <f>IF(AND(D4601="USA",C4601&gt;=1980,J4601="No"),"Yes","No")</f>
        <v/>
      </c>
      <c r="L4601" s="26">
        <f>IF(J4601="Yes","",H4601-I4601)</f>
        <v/>
      </c>
      <c r="M4601" s="27">
        <f>IF(OR(J4601="Yes",I4601=0),"",H4601/I4601)</f>
        <v/>
      </c>
      <c r="N4601" s="21">
        <f>IF(J4601="Yes","",IF(H4601&gt;=I4601,1,0))</f>
        <v/>
      </c>
      <c r="O4601" s="21">
        <f>IF(I4601&lt;=5000000,"Under $5M",IF(I4601&lt;=20000000,"$5M-20M",IF(I4601&lt;=50000000,"$20M-50M",IF(I4601&lt;=100000000,"$50M-100M","$100M+"))))</f>
        <v/>
      </c>
      <c r="P4601" s="21">
        <f>IF(E4601&lt;=90,"90 or less",IF(E4601&lt;=105,"91-105",IF(E4601&lt;=120,"106-120",IF(E4601&lt;=140,"121-140","Over 140"))))</f>
        <v/>
      </c>
      <c r="Q4601" s="28">
        <f>INT(C4601/10)*10</f>
        <v/>
      </c>
    </row>
    <row r="4602">
      <c r="A4602" s="21" t="n">
        <v>4708</v>
      </c>
      <c r="B4602" s="21" t="inlineStr">
        <is>
          <t>Mortdecai</t>
        </is>
      </c>
      <c r="C4602" s="21" t="n">
        <v>2015</v>
      </c>
      <c r="D4602" s="21" t="inlineStr">
        <is>
          <t>UK</t>
        </is>
      </c>
      <c r="E4602" s="21" t="n">
        <v>107</v>
      </c>
      <c r="F4602" s="21" t="inlineStr">
        <is>
          <t>English</t>
        </is>
      </c>
      <c r="G4602" s="21" t="inlineStr">
        <is>
          <t>R</t>
        </is>
      </c>
      <c r="H4602" s="22" t="n">
        <v>7605668</v>
      </c>
      <c r="I4602" s="22" t="n">
        <v>60000000</v>
      </c>
      <c r="J4602" s="21">
        <f>IF(OR(H4602="",H4602=25529689.5),"Yes","No")</f>
        <v/>
      </c>
      <c r="K4602" s="21">
        <f>IF(AND(D4602="USA",C4602&gt;=1980,J4602="No"),"Yes","No")</f>
        <v/>
      </c>
      <c r="L4602" s="26">
        <f>IF(J4602="Yes","",H4602-I4602)</f>
        <v/>
      </c>
      <c r="M4602" s="27">
        <f>IF(OR(J4602="Yes",I4602=0),"",H4602/I4602)</f>
        <v/>
      </c>
      <c r="N4602" s="21">
        <f>IF(J4602="Yes","",IF(H4602&gt;=I4602,1,0))</f>
        <v/>
      </c>
      <c r="O4602" s="21">
        <f>IF(I4602&lt;=5000000,"Under $5M",IF(I4602&lt;=20000000,"$5M-20M",IF(I4602&lt;=50000000,"$20M-50M",IF(I4602&lt;=100000000,"$50M-100M","$100M+"))))</f>
        <v/>
      </c>
      <c r="P4602" s="21">
        <f>IF(E4602&lt;=90,"90 or less",IF(E4602&lt;=105,"91-105",IF(E4602&lt;=120,"106-120",IF(E4602&lt;=140,"121-140","Over 140"))))</f>
        <v/>
      </c>
      <c r="Q4602" s="28">
        <f>INT(C4602/10)*10</f>
        <v/>
      </c>
    </row>
    <row r="4603">
      <c r="A4603" s="21" t="n">
        <v>4709</v>
      </c>
      <c r="B4603" s="21" t="inlineStr">
        <is>
          <t>Navy Seals vs. Zombies</t>
        </is>
      </c>
      <c r="C4603" s="21" t="n">
        <v>2015</v>
      </c>
      <c r="D4603" s="21" t="inlineStr">
        <is>
          <t>USA</t>
        </is>
      </c>
      <c r="E4603" s="21" t="n">
        <v>97</v>
      </c>
      <c r="F4603" s="21" t="inlineStr">
        <is>
          <t>English</t>
        </is>
      </c>
      <c r="G4603" s="21" t="n"/>
      <c r="H4603" s="22" t="n">
        <v>25529689.5</v>
      </c>
      <c r="I4603" s="22" t="n">
        <v>20000000</v>
      </c>
      <c r="J4603" s="21">
        <f>IF(OR(H4603="",H4603=25529689.5),"Yes","No")</f>
        <v/>
      </c>
      <c r="K4603" s="21">
        <f>IF(AND(D4603="USA",C4603&gt;=1980,J4603="No"),"Yes","No")</f>
        <v/>
      </c>
      <c r="L4603" s="26">
        <f>IF(J4603="Yes","",H4603-I4603)</f>
        <v/>
      </c>
      <c r="M4603" s="27">
        <f>IF(OR(J4603="Yes",I4603=0),"",H4603/I4603)</f>
        <v/>
      </c>
      <c r="N4603" s="21">
        <f>IF(J4603="Yes","",IF(H4603&gt;=I4603,1,0))</f>
        <v/>
      </c>
      <c r="O4603" s="21">
        <f>IF(I4603&lt;=5000000,"Under $5M",IF(I4603&lt;=20000000,"$5M-20M",IF(I4603&lt;=50000000,"$20M-50M",IF(I4603&lt;=100000000,"$50M-100M","$100M+"))))</f>
        <v/>
      </c>
      <c r="P4603" s="21">
        <f>IF(E4603&lt;=90,"90 or less",IF(E4603&lt;=105,"91-105",IF(E4603&lt;=120,"106-120",IF(E4603&lt;=140,"121-140","Over 140"))))</f>
        <v/>
      </c>
      <c r="Q4603" s="28">
        <f>INT(C4603/10)*10</f>
        <v/>
      </c>
    </row>
    <row r="4604">
      <c r="A4604" s="21" t="n">
        <v>4710</v>
      </c>
      <c r="B4604" s="21" t="inlineStr">
        <is>
          <t>No Escape</t>
        </is>
      </c>
      <c r="C4604" s="21" t="n">
        <v>2015</v>
      </c>
      <c r="D4604" s="21" t="inlineStr">
        <is>
          <t>USA</t>
        </is>
      </c>
      <c r="E4604" s="21" t="n">
        <v>103</v>
      </c>
      <c r="F4604" s="21" t="inlineStr">
        <is>
          <t>English</t>
        </is>
      </c>
      <c r="G4604" s="21" t="inlineStr">
        <is>
          <t>R</t>
        </is>
      </c>
      <c r="H4604" s="22" t="n">
        <v>27285953</v>
      </c>
      <c r="I4604" s="22" t="n">
        <v>5000000</v>
      </c>
      <c r="J4604" s="21">
        <f>IF(OR(H4604="",H4604=25529689.5),"Yes","No")</f>
        <v/>
      </c>
      <c r="K4604" s="21">
        <f>IF(AND(D4604="USA",C4604&gt;=1980,J4604="No"),"Yes","No")</f>
        <v/>
      </c>
      <c r="L4604" s="26">
        <f>IF(J4604="Yes","",H4604-I4604)</f>
        <v/>
      </c>
      <c r="M4604" s="27">
        <f>IF(OR(J4604="Yes",I4604=0),"",H4604/I4604)</f>
        <v/>
      </c>
      <c r="N4604" s="21">
        <f>IF(J4604="Yes","",IF(H4604&gt;=I4604,1,0))</f>
        <v/>
      </c>
      <c r="O4604" s="21">
        <f>IF(I4604&lt;=5000000,"Under $5M",IF(I4604&lt;=20000000,"$5M-20M",IF(I4604&lt;=50000000,"$20M-50M",IF(I4604&lt;=100000000,"$50M-100M","$100M+"))))</f>
        <v/>
      </c>
      <c r="P4604" s="21">
        <f>IF(E4604&lt;=90,"90 or less",IF(E4604&lt;=105,"91-105",IF(E4604&lt;=120,"106-120",IF(E4604&lt;=140,"121-140","Over 140"))))</f>
        <v/>
      </c>
      <c r="Q4604" s="28">
        <f>INT(C4604/10)*10</f>
        <v/>
      </c>
    </row>
    <row r="4605">
      <c r="A4605" s="21" t="n">
        <v>4711</v>
      </c>
      <c r="B4605" s="21" t="inlineStr">
        <is>
          <t>Our Brand Is Crisis</t>
        </is>
      </c>
      <c r="C4605" s="21" t="n">
        <v>2015</v>
      </c>
      <c r="D4605" s="21" t="inlineStr">
        <is>
          <t>USA</t>
        </is>
      </c>
      <c r="E4605" s="21" t="n">
        <v>107</v>
      </c>
      <c r="F4605" s="21" t="inlineStr">
        <is>
          <t>English</t>
        </is>
      </c>
      <c r="G4605" s="21" t="inlineStr">
        <is>
          <t>R</t>
        </is>
      </c>
      <c r="H4605" s="22" t="n">
        <v>6998324</v>
      </c>
      <c r="I4605" s="22" t="n">
        <v>28000000</v>
      </c>
      <c r="J4605" s="21">
        <f>IF(OR(H4605="",H4605=25529689.5),"Yes","No")</f>
        <v/>
      </c>
      <c r="K4605" s="21">
        <f>IF(AND(D4605="USA",C4605&gt;=1980,J4605="No"),"Yes","No")</f>
        <v/>
      </c>
      <c r="L4605" s="26">
        <f>IF(J4605="Yes","",H4605-I4605)</f>
        <v/>
      </c>
      <c r="M4605" s="27">
        <f>IF(OR(J4605="Yes",I4605=0),"",H4605/I4605)</f>
        <v/>
      </c>
      <c r="N4605" s="21">
        <f>IF(J4605="Yes","",IF(H4605&gt;=I4605,1,0))</f>
        <v/>
      </c>
      <c r="O4605" s="21">
        <f>IF(I4605&lt;=5000000,"Under $5M",IF(I4605&lt;=20000000,"$5M-20M",IF(I4605&lt;=50000000,"$20M-50M",IF(I4605&lt;=100000000,"$50M-100M","$100M+"))))</f>
        <v/>
      </c>
      <c r="P4605" s="21">
        <f>IF(E4605&lt;=90,"90 or less",IF(E4605&lt;=105,"91-105",IF(E4605&lt;=120,"106-120",IF(E4605&lt;=140,"121-140","Over 140"))))</f>
        <v/>
      </c>
      <c r="Q4605" s="28">
        <f>INT(C4605/10)*10</f>
        <v/>
      </c>
    </row>
    <row r="4606">
      <c r="A4606" s="21" t="n">
        <v>4712</v>
      </c>
      <c r="B4606" s="21" t="inlineStr">
        <is>
          <t>Pan</t>
        </is>
      </c>
      <c r="C4606" s="21" t="n">
        <v>2015</v>
      </c>
      <c r="D4606" s="21" t="inlineStr">
        <is>
          <t>USA</t>
        </is>
      </c>
      <c r="E4606" s="21" t="n">
        <v>111</v>
      </c>
      <c r="F4606" s="21" t="inlineStr">
        <is>
          <t>English</t>
        </is>
      </c>
      <c r="G4606" s="21" t="inlineStr">
        <is>
          <t>PG</t>
        </is>
      </c>
      <c r="H4606" s="22" t="n">
        <v>34964818</v>
      </c>
      <c r="I4606" s="22" t="n">
        <v>150000000</v>
      </c>
      <c r="J4606" s="21">
        <f>IF(OR(H4606="",H4606=25529689.5),"Yes","No")</f>
        <v/>
      </c>
      <c r="K4606" s="21">
        <f>IF(AND(D4606="USA",C4606&gt;=1980,J4606="No"),"Yes","No")</f>
        <v/>
      </c>
      <c r="L4606" s="26">
        <f>IF(J4606="Yes","",H4606-I4606)</f>
        <v/>
      </c>
      <c r="M4606" s="27">
        <f>IF(OR(J4606="Yes",I4606=0),"",H4606/I4606)</f>
        <v/>
      </c>
      <c r="N4606" s="21">
        <f>IF(J4606="Yes","",IF(H4606&gt;=I4606,1,0))</f>
        <v/>
      </c>
      <c r="O4606" s="21">
        <f>IF(I4606&lt;=5000000,"Under $5M",IF(I4606&lt;=20000000,"$5M-20M",IF(I4606&lt;=50000000,"$20M-50M",IF(I4606&lt;=100000000,"$50M-100M","$100M+"))))</f>
        <v/>
      </c>
      <c r="P4606" s="21">
        <f>IF(E4606&lt;=90,"90 or less",IF(E4606&lt;=105,"91-105",IF(E4606&lt;=120,"106-120",IF(E4606&lt;=140,"121-140","Over 140"))))</f>
        <v/>
      </c>
      <c r="Q4606" s="28">
        <f>INT(C4606/10)*10</f>
        <v/>
      </c>
    </row>
    <row r="4607">
      <c r="A4607" s="21" t="n">
        <v>4715</v>
      </c>
      <c r="B4607" s="21" t="inlineStr">
        <is>
          <t>Paper Towns</t>
        </is>
      </c>
      <c r="C4607" s="21" t="n">
        <v>2015</v>
      </c>
      <c r="D4607" s="21" t="inlineStr">
        <is>
          <t>USA</t>
        </is>
      </c>
      <c r="E4607" s="21" t="n">
        <v>109</v>
      </c>
      <c r="F4607" s="21" t="inlineStr">
        <is>
          <t>English</t>
        </is>
      </c>
      <c r="G4607" s="21" t="inlineStr">
        <is>
          <t>PG-13</t>
        </is>
      </c>
      <c r="H4607" s="22" t="n">
        <v>31990064</v>
      </c>
      <c r="I4607" s="22" t="n">
        <v>12000000</v>
      </c>
      <c r="J4607" s="21">
        <f>IF(OR(H4607="",H4607=25529689.5),"Yes","No")</f>
        <v/>
      </c>
      <c r="K4607" s="21">
        <f>IF(AND(D4607="USA",C4607&gt;=1980,J4607="No"),"Yes","No")</f>
        <v/>
      </c>
      <c r="L4607" s="26">
        <f>IF(J4607="Yes","",H4607-I4607)</f>
        <v/>
      </c>
      <c r="M4607" s="27">
        <f>IF(OR(J4607="Yes",I4607=0),"",H4607/I4607)</f>
        <v/>
      </c>
      <c r="N4607" s="21">
        <f>IF(J4607="Yes","",IF(H4607&gt;=I4607,1,0))</f>
        <v/>
      </c>
      <c r="O4607" s="21">
        <f>IF(I4607&lt;=5000000,"Under $5M",IF(I4607&lt;=20000000,"$5M-20M",IF(I4607&lt;=50000000,"$20M-50M",IF(I4607&lt;=100000000,"$50M-100M","$100M+"))))</f>
        <v/>
      </c>
      <c r="P4607" s="21">
        <f>IF(E4607&lt;=90,"90 or less",IF(E4607&lt;=105,"91-105",IF(E4607&lt;=120,"106-120",IF(E4607&lt;=140,"121-140","Over 140"))))</f>
        <v/>
      </c>
      <c r="Q4607" s="28">
        <f>INT(C4607/10)*10</f>
        <v/>
      </c>
    </row>
    <row r="4608">
      <c r="A4608" s="21" t="n">
        <v>4716</v>
      </c>
      <c r="B4608" s="21" t="inlineStr">
        <is>
          <t>Paul Blart: Mall Cop 2</t>
        </is>
      </c>
      <c r="C4608" s="21" t="n">
        <v>2015</v>
      </c>
      <c r="D4608" s="21" t="inlineStr">
        <is>
          <t>USA</t>
        </is>
      </c>
      <c r="E4608" s="21" t="n">
        <v>94</v>
      </c>
      <c r="F4608" s="21" t="inlineStr">
        <is>
          <t>English</t>
        </is>
      </c>
      <c r="G4608" s="21" t="inlineStr">
        <is>
          <t>PG</t>
        </is>
      </c>
      <c r="H4608" s="22" t="n">
        <v>71038190</v>
      </c>
      <c r="I4608" s="22" t="n">
        <v>30000000</v>
      </c>
      <c r="J4608" s="21">
        <f>IF(OR(H4608="",H4608=25529689.5),"Yes","No")</f>
        <v/>
      </c>
      <c r="K4608" s="21">
        <f>IF(AND(D4608="USA",C4608&gt;=1980,J4608="No"),"Yes","No")</f>
        <v/>
      </c>
      <c r="L4608" s="26">
        <f>IF(J4608="Yes","",H4608-I4608)</f>
        <v/>
      </c>
      <c r="M4608" s="27">
        <f>IF(OR(J4608="Yes",I4608=0),"",H4608/I4608)</f>
        <v/>
      </c>
      <c r="N4608" s="21">
        <f>IF(J4608="Yes","",IF(H4608&gt;=I4608,1,0))</f>
        <v/>
      </c>
      <c r="O4608" s="21">
        <f>IF(I4608&lt;=5000000,"Under $5M",IF(I4608&lt;=20000000,"$5M-20M",IF(I4608&lt;=50000000,"$20M-50M",IF(I4608&lt;=100000000,"$50M-100M","$100M+"))))</f>
        <v/>
      </c>
      <c r="P4608" s="21">
        <f>IF(E4608&lt;=90,"90 or less",IF(E4608&lt;=105,"91-105",IF(E4608&lt;=120,"106-120",IF(E4608&lt;=140,"121-140","Over 140"))))</f>
        <v/>
      </c>
      <c r="Q4608" s="28">
        <f>INT(C4608/10)*10</f>
        <v/>
      </c>
    </row>
    <row r="4609">
      <c r="A4609" s="21" t="n">
        <v>4717</v>
      </c>
      <c r="B4609" s="21" t="inlineStr">
        <is>
          <t>Pitch Perfect 2</t>
        </is>
      </c>
      <c r="C4609" s="21" t="n">
        <v>2015</v>
      </c>
      <c r="D4609" s="21" t="inlineStr">
        <is>
          <t>USA</t>
        </is>
      </c>
      <c r="E4609" s="21" t="n">
        <v>115</v>
      </c>
      <c r="F4609" s="21" t="inlineStr">
        <is>
          <t>English</t>
        </is>
      </c>
      <c r="G4609" s="21" t="inlineStr">
        <is>
          <t>PG-13</t>
        </is>
      </c>
      <c r="H4609" s="22" t="n">
        <v>183436380</v>
      </c>
      <c r="I4609" s="22" t="n">
        <v>29000000</v>
      </c>
      <c r="J4609" s="21">
        <f>IF(OR(H4609="",H4609=25529689.5),"Yes","No")</f>
        <v/>
      </c>
      <c r="K4609" s="21">
        <f>IF(AND(D4609="USA",C4609&gt;=1980,J4609="No"),"Yes","No")</f>
        <v/>
      </c>
      <c r="L4609" s="26">
        <f>IF(J4609="Yes","",H4609-I4609)</f>
        <v/>
      </c>
      <c r="M4609" s="27">
        <f>IF(OR(J4609="Yes",I4609=0),"",H4609/I4609)</f>
        <v/>
      </c>
      <c r="N4609" s="21">
        <f>IF(J4609="Yes","",IF(H4609&gt;=I4609,1,0))</f>
        <v/>
      </c>
      <c r="O4609" s="21">
        <f>IF(I4609&lt;=5000000,"Under $5M",IF(I4609&lt;=20000000,"$5M-20M",IF(I4609&lt;=50000000,"$20M-50M",IF(I4609&lt;=100000000,"$50M-100M","$100M+"))))</f>
        <v/>
      </c>
      <c r="P4609" s="21">
        <f>IF(E4609&lt;=90,"90 or less",IF(E4609&lt;=105,"91-105",IF(E4609&lt;=120,"106-120",IF(E4609&lt;=140,"121-140","Over 140"))))</f>
        <v/>
      </c>
      <c r="Q4609" s="28">
        <f>INT(C4609/10)*10</f>
        <v/>
      </c>
    </row>
    <row r="4610">
      <c r="A4610" s="21" t="n">
        <v>4718</v>
      </c>
      <c r="B4610" s="21" t="inlineStr">
        <is>
          <t>Pixels</t>
        </is>
      </c>
      <c r="C4610" s="21" t="n">
        <v>2015</v>
      </c>
      <c r="D4610" s="21" t="inlineStr">
        <is>
          <t>USA</t>
        </is>
      </c>
      <c r="E4610" s="21" t="n">
        <v>106</v>
      </c>
      <c r="F4610" s="21" t="inlineStr">
        <is>
          <t>English</t>
        </is>
      </c>
      <c r="G4610" s="21" t="inlineStr">
        <is>
          <t>PG-13</t>
        </is>
      </c>
      <c r="H4610" s="22" t="n">
        <v>78747585</v>
      </c>
      <c r="I4610" s="22" t="n">
        <v>88000000</v>
      </c>
      <c r="J4610" s="21">
        <f>IF(OR(H4610="",H4610=25529689.5),"Yes","No")</f>
        <v/>
      </c>
      <c r="K4610" s="21">
        <f>IF(AND(D4610="USA",C4610&gt;=1980,J4610="No"),"Yes","No")</f>
        <v/>
      </c>
      <c r="L4610" s="26">
        <f>IF(J4610="Yes","",H4610-I4610)</f>
        <v/>
      </c>
      <c r="M4610" s="27">
        <f>IF(OR(J4610="Yes",I4610=0),"",H4610/I4610)</f>
        <v/>
      </c>
      <c r="N4610" s="21">
        <f>IF(J4610="Yes","",IF(H4610&gt;=I4610,1,0))</f>
        <v/>
      </c>
      <c r="O4610" s="21">
        <f>IF(I4610&lt;=5000000,"Under $5M",IF(I4610&lt;=20000000,"$5M-20M",IF(I4610&lt;=50000000,"$20M-50M",IF(I4610&lt;=100000000,"$50M-100M","$100M+"))))</f>
        <v/>
      </c>
      <c r="P4610" s="21">
        <f>IF(E4610&lt;=90,"90 or less",IF(E4610&lt;=105,"91-105",IF(E4610&lt;=120,"106-120",IF(E4610&lt;=140,"121-140","Over 140"))))</f>
        <v/>
      </c>
      <c r="Q4610" s="28">
        <f>INT(C4610/10)*10</f>
        <v/>
      </c>
    </row>
    <row r="4611">
      <c r="A4611" s="21" t="n">
        <v>4719</v>
      </c>
      <c r="B4611" s="21" t="inlineStr">
        <is>
          <t>Point Break</t>
        </is>
      </c>
      <c r="C4611" s="21" t="n">
        <v>2015</v>
      </c>
      <c r="D4611" s="21" t="inlineStr">
        <is>
          <t>USA</t>
        </is>
      </c>
      <c r="E4611" s="21" t="n">
        <v>114</v>
      </c>
      <c r="F4611" s="21" t="inlineStr">
        <is>
          <t>English</t>
        </is>
      </c>
      <c r="G4611" s="21" t="inlineStr">
        <is>
          <t>PG-13</t>
        </is>
      </c>
      <c r="H4611" s="22" t="n">
        <v>28772222</v>
      </c>
      <c r="I4611" s="22" t="n">
        <v>105000000</v>
      </c>
      <c r="J4611" s="21">
        <f>IF(OR(H4611="",H4611=25529689.5),"Yes","No")</f>
        <v/>
      </c>
      <c r="K4611" s="21">
        <f>IF(AND(D4611="USA",C4611&gt;=1980,J4611="No"),"Yes","No")</f>
        <v/>
      </c>
      <c r="L4611" s="26">
        <f>IF(J4611="Yes","",H4611-I4611)</f>
        <v/>
      </c>
      <c r="M4611" s="27">
        <f>IF(OR(J4611="Yes",I4611=0),"",H4611/I4611)</f>
        <v/>
      </c>
      <c r="N4611" s="21">
        <f>IF(J4611="Yes","",IF(H4611&gt;=I4611,1,0))</f>
        <v/>
      </c>
      <c r="O4611" s="21">
        <f>IF(I4611&lt;=5000000,"Under $5M",IF(I4611&lt;=20000000,"$5M-20M",IF(I4611&lt;=50000000,"$20M-50M",IF(I4611&lt;=100000000,"$50M-100M","$100M+"))))</f>
        <v/>
      </c>
      <c r="P4611" s="21">
        <f>IF(E4611&lt;=90,"90 or less",IF(E4611&lt;=105,"91-105",IF(E4611&lt;=120,"106-120",IF(E4611&lt;=140,"121-140","Over 140"))))</f>
        <v/>
      </c>
      <c r="Q4611" s="28">
        <f>INT(C4611/10)*10</f>
        <v/>
      </c>
    </row>
    <row r="4612">
      <c r="A4612" s="21" t="n">
        <v>4721</v>
      </c>
      <c r="B4612" s="21" t="inlineStr">
        <is>
          <t>Pound of Flesh</t>
        </is>
      </c>
      <c r="C4612" s="21" t="n">
        <v>2015</v>
      </c>
      <c r="D4612" s="21" t="inlineStr">
        <is>
          <t>Canada</t>
        </is>
      </c>
      <c r="E4612" s="21" t="n">
        <v>104</v>
      </c>
      <c r="F4612" s="21" t="inlineStr">
        <is>
          <t>English</t>
        </is>
      </c>
      <c r="G4612" s="21" t="inlineStr">
        <is>
          <t>R</t>
        </is>
      </c>
      <c r="H4612" s="22" t="n">
        <v>25529689.5</v>
      </c>
      <c r="I4612" s="22" t="n">
        <v>7500000</v>
      </c>
      <c r="J4612" s="21">
        <f>IF(OR(H4612="",H4612=25529689.5),"Yes","No")</f>
        <v/>
      </c>
      <c r="K4612" s="21">
        <f>IF(AND(D4612="USA",C4612&gt;=1980,J4612="No"),"Yes","No")</f>
        <v/>
      </c>
      <c r="L4612" s="26">
        <f>IF(J4612="Yes","",H4612-I4612)</f>
        <v/>
      </c>
      <c r="M4612" s="27">
        <f>IF(OR(J4612="Yes",I4612=0),"",H4612/I4612)</f>
        <v/>
      </c>
      <c r="N4612" s="21">
        <f>IF(J4612="Yes","",IF(H4612&gt;=I4612,1,0))</f>
        <v/>
      </c>
      <c r="O4612" s="21">
        <f>IF(I4612&lt;=5000000,"Under $5M",IF(I4612&lt;=20000000,"$5M-20M",IF(I4612&lt;=50000000,"$20M-50M",IF(I4612&lt;=100000000,"$50M-100M","$100M+"))))</f>
        <v/>
      </c>
      <c r="P4612" s="21">
        <f>IF(E4612&lt;=90,"90 or less",IF(E4612&lt;=105,"91-105",IF(E4612&lt;=120,"106-120",IF(E4612&lt;=140,"121-140","Over 140"))))</f>
        <v/>
      </c>
      <c r="Q4612" s="28">
        <f>INT(C4612/10)*10</f>
        <v/>
      </c>
    </row>
    <row r="4613">
      <c r="A4613" s="21" t="n">
        <v>4722</v>
      </c>
      <c r="B4613" s="21" t="inlineStr">
        <is>
          <t>Project Almanac</t>
        </is>
      </c>
      <c r="C4613" s="21" t="n">
        <v>2015</v>
      </c>
      <c r="D4613" s="21" t="inlineStr">
        <is>
          <t>USA</t>
        </is>
      </c>
      <c r="E4613" s="21" t="n">
        <v>106</v>
      </c>
      <c r="F4613" s="21" t="inlineStr">
        <is>
          <t>English</t>
        </is>
      </c>
      <c r="G4613" s="21" t="inlineStr">
        <is>
          <t>PG-13</t>
        </is>
      </c>
      <c r="H4613" s="22" t="n">
        <v>22331028</v>
      </c>
      <c r="I4613" s="22" t="n">
        <v>12000000</v>
      </c>
      <c r="J4613" s="21">
        <f>IF(OR(H4613="",H4613=25529689.5),"Yes","No")</f>
        <v/>
      </c>
      <c r="K4613" s="21">
        <f>IF(AND(D4613="USA",C4613&gt;=1980,J4613="No"),"Yes","No")</f>
        <v/>
      </c>
      <c r="L4613" s="26">
        <f>IF(J4613="Yes","",H4613-I4613)</f>
        <v/>
      </c>
      <c r="M4613" s="27">
        <f>IF(OR(J4613="Yes",I4613=0),"",H4613/I4613)</f>
        <v/>
      </c>
      <c r="N4613" s="21">
        <f>IF(J4613="Yes","",IF(H4613&gt;=I4613,1,0))</f>
        <v/>
      </c>
      <c r="O4613" s="21">
        <f>IF(I4613&lt;=5000000,"Under $5M",IF(I4613&lt;=20000000,"$5M-20M",IF(I4613&lt;=50000000,"$20M-50M",IF(I4613&lt;=100000000,"$50M-100M","$100M+"))))</f>
        <v/>
      </c>
      <c r="P4613" s="21">
        <f>IF(E4613&lt;=90,"90 or less",IF(E4613&lt;=105,"91-105",IF(E4613&lt;=120,"106-120",IF(E4613&lt;=140,"121-140","Over 140"))))</f>
        <v/>
      </c>
      <c r="Q4613" s="28">
        <f>INT(C4613/10)*10</f>
        <v/>
      </c>
    </row>
    <row r="4614">
      <c r="A4614" s="21" t="n">
        <v>4723</v>
      </c>
      <c r="B4614" s="21" t="inlineStr">
        <is>
          <t>Queen Crab</t>
        </is>
      </c>
      <c r="C4614" s="21" t="n">
        <v>2015</v>
      </c>
      <c r="D4614" s="21" t="inlineStr">
        <is>
          <t>USA</t>
        </is>
      </c>
      <c r="E4614" s="21" t="n">
        <v>80</v>
      </c>
      <c r="F4614" s="21" t="inlineStr">
        <is>
          <t>English</t>
        </is>
      </c>
      <c r="G4614" s="21" t="n"/>
      <c r="H4614" s="22" t="n">
        <v>25529689.5</v>
      </c>
      <c r="I4614" s="22" t="n">
        <v>75000</v>
      </c>
      <c r="J4614" s="21">
        <f>IF(OR(H4614="",H4614=25529689.5),"Yes","No")</f>
        <v/>
      </c>
      <c r="K4614" s="21">
        <f>IF(AND(D4614="USA",C4614&gt;=1980,J4614="No"),"Yes","No")</f>
        <v/>
      </c>
      <c r="L4614" s="26">
        <f>IF(J4614="Yes","",H4614-I4614)</f>
        <v/>
      </c>
      <c r="M4614" s="27">
        <f>IF(OR(J4614="Yes",I4614=0),"",H4614/I4614)</f>
        <v/>
      </c>
      <c r="N4614" s="21">
        <f>IF(J4614="Yes","",IF(H4614&gt;=I4614,1,0))</f>
        <v/>
      </c>
      <c r="O4614" s="21">
        <f>IF(I4614&lt;=5000000,"Under $5M",IF(I4614&lt;=20000000,"$5M-20M",IF(I4614&lt;=50000000,"$20M-50M",IF(I4614&lt;=100000000,"$50M-100M","$100M+"))))</f>
        <v/>
      </c>
      <c r="P4614" s="21">
        <f>IF(E4614&lt;=90,"90 or less",IF(E4614&lt;=105,"91-105",IF(E4614&lt;=120,"106-120",IF(E4614&lt;=140,"121-140","Over 140"))))</f>
        <v/>
      </c>
      <c r="Q4614" s="28">
        <f>INT(C4614/10)*10</f>
        <v/>
      </c>
    </row>
    <row r="4615">
      <c r="A4615" s="21" t="n">
        <v>4724</v>
      </c>
      <c r="B4615" s="21" t="inlineStr">
        <is>
          <t>R.L. Stine's Monsterville: The Cabinet of Souls</t>
        </is>
      </c>
      <c r="C4615" s="21" t="n">
        <v>2015</v>
      </c>
      <c r="D4615" s="21" t="inlineStr">
        <is>
          <t>USA</t>
        </is>
      </c>
      <c r="E4615" s="21" t="n">
        <v>85</v>
      </c>
      <c r="F4615" s="21" t="inlineStr">
        <is>
          <t>English</t>
        </is>
      </c>
      <c r="G4615" s="21" t="inlineStr">
        <is>
          <t>PG</t>
        </is>
      </c>
      <c r="H4615" s="22" t="n">
        <v>25529689.5</v>
      </c>
      <c r="I4615" s="22" t="n">
        <v>4400000</v>
      </c>
      <c r="J4615" s="21">
        <f>IF(OR(H4615="",H4615=25529689.5),"Yes","No")</f>
        <v/>
      </c>
      <c r="K4615" s="21">
        <f>IF(AND(D4615="USA",C4615&gt;=1980,J4615="No"),"Yes","No")</f>
        <v/>
      </c>
      <c r="L4615" s="26">
        <f>IF(J4615="Yes","",H4615-I4615)</f>
        <v/>
      </c>
      <c r="M4615" s="27">
        <f>IF(OR(J4615="Yes",I4615=0),"",H4615/I4615)</f>
        <v/>
      </c>
      <c r="N4615" s="21">
        <f>IF(J4615="Yes","",IF(H4615&gt;=I4615,1,0))</f>
        <v/>
      </c>
      <c r="O4615" s="21">
        <f>IF(I4615&lt;=5000000,"Under $5M",IF(I4615&lt;=20000000,"$5M-20M",IF(I4615&lt;=50000000,"$20M-50M",IF(I4615&lt;=100000000,"$50M-100M","$100M+"))))</f>
        <v/>
      </c>
      <c r="P4615" s="21">
        <f>IF(E4615&lt;=90,"90 or less",IF(E4615&lt;=105,"91-105",IF(E4615&lt;=120,"106-120",IF(E4615&lt;=140,"121-140","Over 140"))))</f>
        <v/>
      </c>
      <c r="Q4615" s="28">
        <f>INT(C4615/10)*10</f>
        <v/>
      </c>
    </row>
    <row r="4616">
      <c r="A4616" s="21" t="n">
        <v>4725</v>
      </c>
      <c r="B4616" s="21" t="inlineStr">
        <is>
          <t>Re-Kill</t>
        </is>
      </c>
      <c r="C4616" s="21" t="n">
        <v>2015</v>
      </c>
      <c r="D4616" s="21" t="inlineStr">
        <is>
          <t>USA</t>
        </is>
      </c>
      <c r="E4616" s="21" t="n">
        <v>88</v>
      </c>
      <c r="F4616" s="21" t="inlineStr">
        <is>
          <t>English</t>
        </is>
      </c>
      <c r="G4616" s="21" t="inlineStr">
        <is>
          <t>R</t>
        </is>
      </c>
      <c r="H4616" s="22" t="n">
        <v>25529689.5</v>
      </c>
      <c r="I4616" s="22" t="n">
        <v>9500000</v>
      </c>
      <c r="J4616" s="21">
        <f>IF(OR(H4616="",H4616=25529689.5),"Yes","No")</f>
        <v/>
      </c>
      <c r="K4616" s="21">
        <f>IF(AND(D4616="USA",C4616&gt;=1980,J4616="No"),"Yes","No")</f>
        <v/>
      </c>
      <c r="L4616" s="26">
        <f>IF(J4616="Yes","",H4616-I4616)</f>
        <v/>
      </c>
      <c r="M4616" s="27">
        <f>IF(OR(J4616="Yes",I4616=0),"",H4616/I4616)</f>
        <v/>
      </c>
      <c r="N4616" s="21">
        <f>IF(J4616="Yes","",IF(H4616&gt;=I4616,1,0))</f>
        <v/>
      </c>
      <c r="O4616" s="21">
        <f>IF(I4616&lt;=5000000,"Under $5M",IF(I4616&lt;=20000000,"$5M-20M",IF(I4616&lt;=50000000,"$20M-50M",IF(I4616&lt;=100000000,"$50M-100M","$100M+"))))</f>
        <v/>
      </c>
      <c r="P4616" s="21">
        <f>IF(E4616&lt;=90,"90 or less",IF(E4616&lt;=105,"91-105",IF(E4616&lt;=120,"106-120",IF(E4616&lt;=140,"121-140","Over 140"))))</f>
        <v/>
      </c>
      <c r="Q4616" s="28">
        <f>INT(C4616/10)*10</f>
        <v/>
      </c>
    </row>
    <row r="4617">
      <c r="A4617" s="21" t="n">
        <v>4726</v>
      </c>
      <c r="B4617" s="21" t="inlineStr">
        <is>
          <t>Regression</t>
        </is>
      </c>
      <c r="C4617" s="21" t="n">
        <v>2015</v>
      </c>
      <c r="D4617" s="21" t="inlineStr">
        <is>
          <t>Spain</t>
        </is>
      </c>
      <c r="E4617" s="21" t="n">
        <v>106</v>
      </c>
      <c r="F4617" s="21" t="inlineStr">
        <is>
          <t>English</t>
        </is>
      </c>
      <c r="G4617" s="21" t="inlineStr">
        <is>
          <t>R</t>
        </is>
      </c>
      <c r="H4617" s="22" t="n">
        <v>54734</v>
      </c>
      <c r="I4617" s="22" t="n">
        <v>20000000</v>
      </c>
      <c r="J4617" s="21">
        <f>IF(OR(H4617="",H4617=25529689.5),"Yes","No")</f>
        <v/>
      </c>
      <c r="K4617" s="21">
        <f>IF(AND(D4617="USA",C4617&gt;=1980,J4617="No"),"Yes","No")</f>
        <v/>
      </c>
      <c r="L4617" s="26">
        <f>IF(J4617="Yes","",H4617-I4617)</f>
        <v/>
      </c>
      <c r="M4617" s="27">
        <f>IF(OR(J4617="Yes",I4617=0),"",H4617/I4617)</f>
        <v/>
      </c>
      <c r="N4617" s="21">
        <f>IF(J4617="Yes","",IF(H4617&gt;=I4617,1,0))</f>
        <v/>
      </c>
      <c r="O4617" s="21">
        <f>IF(I4617&lt;=5000000,"Under $5M",IF(I4617&lt;=20000000,"$5M-20M",IF(I4617&lt;=50000000,"$20M-50M",IF(I4617&lt;=100000000,"$50M-100M","$100M+"))))</f>
        <v/>
      </c>
      <c r="P4617" s="21">
        <f>IF(E4617&lt;=90,"90 or less",IF(E4617&lt;=105,"91-105",IF(E4617&lt;=120,"106-120",IF(E4617&lt;=140,"121-140","Over 140"))))</f>
        <v/>
      </c>
      <c r="Q4617" s="28">
        <f>INT(C4617/10)*10</f>
        <v/>
      </c>
    </row>
    <row r="4618">
      <c r="A4618" s="21" t="n">
        <v>4727</v>
      </c>
      <c r="B4618" s="21" t="inlineStr">
        <is>
          <t>Road Hard</t>
        </is>
      </c>
      <c r="C4618" s="21" t="n">
        <v>2015</v>
      </c>
      <c r="D4618" s="21" t="inlineStr">
        <is>
          <t>USA</t>
        </is>
      </c>
      <c r="E4618" s="21" t="n">
        <v>98</v>
      </c>
      <c r="F4618" s="21" t="inlineStr">
        <is>
          <t>English</t>
        </is>
      </c>
      <c r="G4618" s="21" t="n"/>
      <c r="H4618" s="22" t="n">
        <v>105943</v>
      </c>
      <c r="I4618" s="22" t="n">
        <v>1500000</v>
      </c>
      <c r="J4618" s="21">
        <f>IF(OR(H4618="",H4618=25529689.5),"Yes","No")</f>
        <v/>
      </c>
      <c r="K4618" s="21">
        <f>IF(AND(D4618="USA",C4618&gt;=1980,J4618="No"),"Yes","No")</f>
        <v/>
      </c>
      <c r="L4618" s="26">
        <f>IF(J4618="Yes","",H4618-I4618)</f>
        <v/>
      </c>
      <c r="M4618" s="27">
        <f>IF(OR(J4618="Yes",I4618=0),"",H4618/I4618)</f>
        <v/>
      </c>
      <c r="N4618" s="21">
        <f>IF(J4618="Yes","",IF(H4618&gt;=I4618,1,0))</f>
        <v/>
      </c>
      <c r="O4618" s="21">
        <f>IF(I4618&lt;=5000000,"Under $5M",IF(I4618&lt;=20000000,"$5M-20M",IF(I4618&lt;=50000000,"$20M-50M",IF(I4618&lt;=100000000,"$50M-100M","$100M+"))))</f>
        <v/>
      </c>
      <c r="P4618" s="21">
        <f>IF(E4618&lt;=90,"90 or less",IF(E4618&lt;=105,"91-105",IF(E4618&lt;=120,"106-120",IF(E4618&lt;=140,"121-140","Over 140"))))</f>
        <v/>
      </c>
      <c r="Q4618" s="28">
        <f>INT(C4618/10)*10</f>
        <v/>
      </c>
    </row>
    <row r="4619">
      <c r="A4619" s="21" t="n">
        <v>4728</v>
      </c>
      <c r="B4619" s="21" t="inlineStr">
        <is>
          <t>Romantic Schemer</t>
        </is>
      </c>
      <c r="C4619" s="21" t="n">
        <v>2015</v>
      </c>
      <c r="D4619" s="21" t="inlineStr">
        <is>
          <t>USA</t>
        </is>
      </c>
      <c r="E4619" s="21" t="n">
        <v>104</v>
      </c>
      <c r="F4619" s="21" t="inlineStr">
        <is>
          <t>English</t>
        </is>
      </c>
      <c r="G4619" s="21" t="inlineStr">
        <is>
          <t>PG-13</t>
        </is>
      </c>
      <c r="H4619" s="22" t="n">
        <v>25529689.5</v>
      </c>
      <c r="I4619" s="22" t="n">
        <v>125000</v>
      </c>
      <c r="J4619" s="21">
        <f>IF(OR(H4619="",H4619=25529689.5),"Yes","No")</f>
        <v/>
      </c>
      <c r="K4619" s="21">
        <f>IF(AND(D4619="USA",C4619&gt;=1980,J4619="No"),"Yes","No")</f>
        <v/>
      </c>
      <c r="L4619" s="26">
        <f>IF(J4619="Yes","",H4619-I4619)</f>
        <v/>
      </c>
      <c r="M4619" s="27">
        <f>IF(OR(J4619="Yes",I4619=0),"",H4619/I4619)</f>
        <v/>
      </c>
      <c r="N4619" s="21">
        <f>IF(J4619="Yes","",IF(H4619&gt;=I4619,1,0))</f>
        <v/>
      </c>
      <c r="O4619" s="21">
        <f>IF(I4619&lt;=5000000,"Under $5M",IF(I4619&lt;=20000000,"$5M-20M",IF(I4619&lt;=50000000,"$20M-50M",IF(I4619&lt;=100000000,"$50M-100M","$100M+"))))</f>
        <v/>
      </c>
      <c r="P4619" s="21">
        <f>IF(E4619&lt;=90,"90 or less",IF(E4619&lt;=105,"91-105",IF(E4619&lt;=120,"106-120",IF(E4619&lt;=140,"121-140","Over 140"))))</f>
        <v/>
      </c>
      <c r="Q4619" s="28">
        <f>INT(C4619/10)*10</f>
        <v/>
      </c>
    </row>
    <row r="4620">
      <c r="A4620" s="21" t="n">
        <v>4729</v>
      </c>
      <c r="B4620" s="21" t="inlineStr">
        <is>
          <t>Room</t>
        </is>
      </c>
      <c r="C4620" s="21" t="n">
        <v>2015</v>
      </c>
      <c r="D4620" s="21" t="inlineStr">
        <is>
          <t>Ireland</t>
        </is>
      </c>
      <c r="E4620" s="21" t="n">
        <v>118</v>
      </c>
      <c r="F4620" s="21" t="inlineStr">
        <is>
          <t>English</t>
        </is>
      </c>
      <c r="G4620" s="21" t="inlineStr">
        <is>
          <t>R</t>
        </is>
      </c>
      <c r="H4620" s="22" t="n">
        <v>14677654</v>
      </c>
      <c r="I4620" s="22" t="n">
        <v>13000000</v>
      </c>
      <c r="J4620" s="21">
        <f>IF(OR(H4620="",H4620=25529689.5),"Yes","No")</f>
        <v/>
      </c>
      <c r="K4620" s="21">
        <f>IF(AND(D4620="USA",C4620&gt;=1980,J4620="No"),"Yes","No")</f>
        <v/>
      </c>
      <c r="L4620" s="26">
        <f>IF(J4620="Yes","",H4620-I4620)</f>
        <v/>
      </c>
      <c r="M4620" s="27">
        <f>IF(OR(J4620="Yes",I4620=0),"",H4620/I4620)</f>
        <v/>
      </c>
      <c r="N4620" s="21">
        <f>IF(J4620="Yes","",IF(H4620&gt;=I4620,1,0))</f>
        <v/>
      </c>
      <c r="O4620" s="21">
        <f>IF(I4620&lt;=5000000,"Under $5M",IF(I4620&lt;=20000000,"$5M-20M",IF(I4620&lt;=50000000,"$20M-50M",IF(I4620&lt;=100000000,"$50M-100M","$100M+"))))</f>
        <v/>
      </c>
      <c r="P4620" s="21">
        <f>IF(E4620&lt;=90,"90 or less",IF(E4620&lt;=105,"91-105",IF(E4620&lt;=120,"106-120",IF(E4620&lt;=140,"121-140","Over 140"))))</f>
        <v/>
      </c>
      <c r="Q4620" s="28">
        <f>INT(C4620/10)*10</f>
        <v/>
      </c>
    </row>
    <row r="4621">
      <c r="A4621" s="21" t="n">
        <v>4730</v>
      </c>
      <c r="B4621" s="21" t="inlineStr">
        <is>
          <t>Rotor DR1</t>
        </is>
      </c>
      <c r="C4621" s="21" t="n">
        <v>2015</v>
      </c>
      <c r="D4621" s="21" t="inlineStr">
        <is>
          <t>USA</t>
        </is>
      </c>
      <c r="E4621" s="21" t="n">
        <v>98</v>
      </c>
      <c r="F4621" s="21" t="inlineStr">
        <is>
          <t>English</t>
        </is>
      </c>
      <c r="G4621" s="21" t="n"/>
      <c r="H4621" s="22" t="n">
        <v>25529689.5</v>
      </c>
      <c r="I4621" s="22" t="n">
        <v>350000</v>
      </c>
      <c r="J4621" s="21">
        <f>IF(OR(H4621="",H4621=25529689.5),"Yes","No")</f>
        <v/>
      </c>
      <c r="K4621" s="21">
        <f>IF(AND(D4621="USA",C4621&gt;=1980,J4621="No"),"Yes","No")</f>
        <v/>
      </c>
      <c r="L4621" s="26">
        <f>IF(J4621="Yes","",H4621-I4621)</f>
        <v/>
      </c>
      <c r="M4621" s="27">
        <f>IF(OR(J4621="Yes",I4621=0),"",H4621/I4621)</f>
        <v/>
      </c>
      <c r="N4621" s="21">
        <f>IF(J4621="Yes","",IF(H4621&gt;=I4621,1,0))</f>
        <v/>
      </c>
      <c r="O4621" s="21">
        <f>IF(I4621&lt;=5000000,"Under $5M",IF(I4621&lt;=20000000,"$5M-20M",IF(I4621&lt;=50000000,"$20M-50M",IF(I4621&lt;=100000000,"$50M-100M","$100M+"))))</f>
        <v/>
      </c>
      <c r="P4621" s="21">
        <f>IF(E4621&lt;=90,"90 or less",IF(E4621&lt;=105,"91-105",IF(E4621&lt;=120,"106-120",IF(E4621&lt;=140,"121-140","Over 140"))))</f>
        <v/>
      </c>
      <c r="Q4621" s="28">
        <f>INT(C4621/10)*10</f>
        <v/>
      </c>
    </row>
    <row r="4622">
      <c r="A4622" s="21" t="n">
        <v>4731</v>
      </c>
      <c r="B4622" s="21" t="inlineStr">
        <is>
          <t>Run All Night</t>
        </is>
      </c>
      <c r="C4622" s="21" t="n">
        <v>2015</v>
      </c>
      <c r="D4622" s="21" t="inlineStr">
        <is>
          <t>USA</t>
        </is>
      </c>
      <c r="E4622" s="21" t="n">
        <v>114</v>
      </c>
      <c r="F4622" s="21" t="inlineStr">
        <is>
          <t>English</t>
        </is>
      </c>
      <c r="G4622" s="21" t="inlineStr">
        <is>
          <t>R</t>
        </is>
      </c>
      <c r="H4622" s="22" t="n">
        <v>26442251</v>
      </c>
      <c r="I4622" s="22" t="n">
        <v>50000000</v>
      </c>
      <c r="J4622" s="21">
        <f>IF(OR(H4622="",H4622=25529689.5),"Yes","No")</f>
        <v/>
      </c>
      <c r="K4622" s="21">
        <f>IF(AND(D4622="USA",C4622&gt;=1980,J4622="No"),"Yes","No")</f>
        <v/>
      </c>
      <c r="L4622" s="26">
        <f>IF(J4622="Yes","",H4622-I4622)</f>
        <v/>
      </c>
      <c r="M4622" s="27">
        <f>IF(OR(J4622="Yes",I4622=0),"",H4622/I4622)</f>
        <v/>
      </c>
      <c r="N4622" s="21">
        <f>IF(J4622="Yes","",IF(H4622&gt;=I4622,1,0))</f>
        <v/>
      </c>
      <c r="O4622" s="21">
        <f>IF(I4622&lt;=5000000,"Under $5M",IF(I4622&lt;=20000000,"$5M-20M",IF(I4622&lt;=50000000,"$20M-50M",IF(I4622&lt;=100000000,"$50M-100M","$100M+"))))</f>
        <v/>
      </c>
      <c r="P4622" s="21">
        <f>IF(E4622&lt;=90,"90 or less",IF(E4622&lt;=105,"91-105",IF(E4622&lt;=120,"106-120",IF(E4622&lt;=140,"121-140","Over 140"))))</f>
        <v/>
      </c>
      <c r="Q4622" s="28">
        <f>INT(C4622/10)*10</f>
        <v/>
      </c>
    </row>
    <row r="4623">
      <c r="A4623" s="21" t="n">
        <v>4732</v>
      </c>
      <c r="B4623" s="21" t="inlineStr">
        <is>
          <t>Running Forever</t>
        </is>
      </c>
      <c r="C4623" s="21" t="n">
        <v>2015</v>
      </c>
      <c r="D4623" s="21" t="inlineStr">
        <is>
          <t>USA</t>
        </is>
      </c>
      <c r="E4623" s="21" t="n">
        <v>88</v>
      </c>
      <c r="F4623" s="21" t="inlineStr">
        <is>
          <t>English</t>
        </is>
      </c>
      <c r="G4623" s="21" t="n"/>
      <c r="H4623" s="22" t="n">
        <v>25529689.5</v>
      </c>
      <c r="I4623" s="22" t="n">
        <v>5000000</v>
      </c>
      <c r="J4623" s="21">
        <f>IF(OR(H4623="",H4623=25529689.5),"Yes","No")</f>
        <v/>
      </c>
      <c r="K4623" s="21">
        <f>IF(AND(D4623="USA",C4623&gt;=1980,J4623="No"),"Yes","No")</f>
        <v/>
      </c>
      <c r="L4623" s="26">
        <f>IF(J4623="Yes","",H4623-I4623)</f>
        <v/>
      </c>
      <c r="M4623" s="27">
        <f>IF(OR(J4623="Yes",I4623=0),"",H4623/I4623)</f>
        <v/>
      </c>
      <c r="N4623" s="21">
        <f>IF(J4623="Yes","",IF(H4623&gt;=I4623,1,0))</f>
        <v/>
      </c>
      <c r="O4623" s="21">
        <f>IF(I4623&lt;=5000000,"Under $5M",IF(I4623&lt;=20000000,"$5M-20M",IF(I4623&lt;=50000000,"$20M-50M",IF(I4623&lt;=100000000,"$50M-100M","$100M+"))))</f>
        <v/>
      </c>
      <c r="P4623" s="21">
        <f>IF(E4623&lt;=90,"90 or less",IF(E4623&lt;=105,"91-105",IF(E4623&lt;=120,"106-120",IF(E4623&lt;=140,"121-140","Over 140"))))</f>
        <v/>
      </c>
      <c r="Q4623" s="28">
        <f>INT(C4623/10)*10</f>
        <v/>
      </c>
    </row>
    <row r="4624">
      <c r="A4624" s="21" t="n">
        <v>4733</v>
      </c>
      <c r="B4624" s="21" t="inlineStr">
        <is>
          <t>San Andreas</t>
        </is>
      </c>
      <c r="C4624" s="21" t="n">
        <v>2015</v>
      </c>
      <c r="D4624" s="21" t="inlineStr">
        <is>
          <t>USA</t>
        </is>
      </c>
      <c r="E4624" s="21" t="n">
        <v>114</v>
      </c>
      <c r="F4624" s="21" t="inlineStr">
        <is>
          <t>English</t>
        </is>
      </c>
      <c r="G4624" s="21" t="inlineStr">
        <is>
          <t>PG-13</t>
        </is>
      </c>
      <c r="H4624" s="22" t="n">
        <v>155181732</v>
      </c>
      <c r="I4624" s="22" t="n">
        <v>110000000</v>
      </c>
      <c r="J4624" s="21">
        <f>IF(OR(H4624="",H4624=25529689.5),"Yes","No")</f>
        <v/>
      </c>
      <c r="K4624" s="21">
        <f>IF(AND(D4624="USA",C4624&gt;=1980,J4624="No"),"Yes","No")</f>
        <v/>
      </c>
      <c r="L4624" s="26">
        <f>IF(J4624="Yes","",H4624-I4624)</f>
        <v/>
      </c>
      <c r="M4624" s="27">
        <f>IF(OR(J4624="Yes",I4624=0),"",H4624/I4624)</f>
        <v/>
      </c>
      <c r="N4624" s="21">
        <f>IF(J4624="Yes","",IF(H4624&gt;=I4624,1,0))</f>
        <v/>
      </c>
      <c r="O4624" s="21">
        <f>IF(I4624&lt;=5000000,"Under $5M",IF(I4624&lt;=20000000,"$5M-20M",IF(I4624&lt;=50000000,"$20M-50M",IF(I4624&lt;=100000000,"$50M-100M","$100M+"))))</f>
        <v/>
      </c>
      <c r="P4624" s="21">
        <f>IF(E4624&lt;=90,"90 or less",IF(E4624&lt;=105,"91-105",IF(E4624&lt;=120,"106-120",IF(E4624&lt;=140,"121-140","Over 140"))))</f>
        <v/>
      </c>
      <c r="Q4624" s="28">
        <f>INT(C4624/10)*10</f>
        <v/>
      </c>
    </row>
    <row r="4625">
      <c r="A4625" s="21" t="n">
        <v>4734</v>
      </c>
      <c r="B4625" s="21" t="inlineStr">
        <is>
          <t>Sardaar Ji</t>
        </is>
      </c>
      <c r="C4625" s="21" t="n">
        <v>2015</v>
      </c>
      <c r="D4625" s="21" t="inlineStr">
        <is>
          <t>Canada</t>
        </is>
      </c>
      <c r="E4625" s="21" t="n">
        <v>141</v>
      </c>
      <c r="F4625" s="21" t="inlineStr">
        <is>
          <t>Panjabi</t>
        </is>
      </c>
      <c r="G4625" s="21" t="n"/>
      <c r="H4625" s="22" t="n">
        <v>25529689.5</v>
      </c>
      <c r="I4625" s="22" t="n">
        <v>3000000</v>
      </c>
      <c r="J4625" s="21">
        <f>IF(OR(H4625="",H4625=25529689.5),"Yes","No")</f>
        <v/>
      </c>
      <c r="K4625" s="21">
        <f>IF(AND(D4625="USA",C4625&gt;=1980,J4625="No"),"Yes","No")</f>
        <v/>
      </c>
      <c r="L4625" s="26">
        <f>IF(J4625="Yes","",H4625-I4625)</f>
        <v/>
      </c>
      <c r="M4625" s="27">
        <f>IF(OR(J4625="Yes",I4625=0),"",H4625/I4625)</f>
        <v/>
      </c>
      <c r="N4625" s="21">
        <f>IF(J4625="Yes","",IF(H4625&gt;=I4625,1,0))</f>
        <v/>
      </c>
      <c r="O4625" s="21">
        <f>IF(I4625&lt;=5000000,"Under $5M",IF(I4625&lt;=20000000,"$5M-20M",IF(I4625&lt;=50000000,"$20M-50M",IF(I4625&lt;=100000000,"$50M-100M","$100M+"))))</f>
        <v/>
      </c>
      <c r="P4625" s="21">
        <f>IF(E4625&lt;=90,"90 or less",IF(E4625&lt;=105,"91-105",IF(E4625&lt;=120,"106-120",IF(E4625&lt;=140,"121-140","Over 140"))))</f>
        <v/>
      </c>
      <c r="Q4625" s="28">
        <f>INT(C4625/10)*10</f>
        <v/>
      </c>
    </row>
    <row r="4626">
      <c r="A4626" s="21" t="n">
        <v>4735</v>
      </c>
      <c r="B4626" s="21" t="inlineStr">
        <is>
          <t>Secret in Their Eyes</t>
        </is>
      </c>
      <c r="C4626" s="21" t="n">
        <v>2015</v>
      </c>
      <c r="D4626" s="21" t="inlineStr">
        <is>
          <t>USA</t>
        </is>
      </c>
      <c r="E4626" s="21" t="n">
        <v>111</v>
      </c>
      <c r="F4626" s="21" t="inlineStr">
        <is>
          <t>English</t>
        </is>
      </c>
      <c r="G4626" s="21" t="inlineStr">
        <is>
          <t>PG-13</t>
        </is>
      </c>
      <c r="H4626" s="22" t="n">
        <v>25529689.5</v>
      </c>
      <c r="I4626" s="22" t="n">
        <v>19500000</v>
      </c>
      <c r="J4626" s="21">
        <f>IF(OR(H4626="",H4626=25529689.5),"Yes","No")</f>
        <v/>
      </c>
      <c r="K4626" s="21">
        <f>IF(AND(D4626="USA",C4626&gt;=1980,J4626="No"),"Yes","No")</f>
        <v/>
      </c>
      <c r="L4626" s="26">
        <f>IF(J4626="Yes","",H4626-I4626)</f>
        <v/>
      </c>
      <c r="M4626" s="27">
        <f>IF(OR(J4626="Yes",I4626=0),"",H4626/I4626)</f>
        <v/>
      </c>
      <c r="N4626" s="21">
        <f>IF(J4626="Yes","",IF(H4626&gt;=I4626,1,0))</f>
        <v/>
      </c>
      <c r="O4626" s="21">
        <f>IF(I4626&lt;=5000000,"Under $5M",IF(I4626&lt;=20000000,"$5M-20M",IF(I4626&lt;=50000000,"$20M-50M",IF(I4626&lt;=100000000,"$50M-100M","$100M+"))))</f>
        <v/>
      </c>
      <c r="P4626" s="21">
        <f>IF(E4626&lt;=90,"90 or less",IF(E4626&lt;=105,"91-105",IF(E4626&lt;=120,"106-120",IF(E4626&lt;=140,"121-140","Over 140"))))</f>
        <v/>
      </c>
      <c r="Q4626" s="28">
        <f>INT(C4626/10)*10</f>
        <v/>
      </c>
    </row>
    <row r="4627">
      <c r="A4627" s="21" t="n">
        <v>4736</v>
      </c>
      <c r="B4627" s="21" t="inlineStr">
        <is>
          <t>Self/less</t>
        </is>
      </c>
      <c r="C4627" s="21" t="n">
        <v>2015</v>
      </c>
      <c r="D4627" s="21" t="inlineStr">
        <is>
          <t>USA</t>
        </is>
      </c>
      <c r="E4627" s="21" t="n">
        <v>117</v>
      </c>
      <c r="F4627" s="21" t="inlineStr">
        <is>
          <t>English</t>
        </is>
      </c>
      <c r="G4627" s="21" t="inlineStr">
        <is>
          <t>PG-13</t>
        </is>
      </c>
      <c r="H4627" s="22" t="n">
        <v>12276810</v>
      </c>
      <c r="I4627" s="22" t="n">
        <v>26000000</v>
      </c>
      <c r="J4627" s="21">
        <f>IF(OR(H4627="",H4627=25529689.5),"Yes","No")</f>
        <v/>
      </c>
      <c r="K4627" s="21">
        <f>IF(AND(D4627="USA",C4627&gt;=1980,J4627="No"),"Yes","No")</f>
        <v/>
      </c>
      <c r="L4627" s="26">
        <f>IF(J4627="Yes","",H4627-I4627)</f>
        <v/>
      </c>
      <c r="M4627" s="27">
        <f>IF(OR(J4627="Yes",I4627=0),"",H4627/I4627)</f>
        <v/>
      </c>
      <c r="N4627" s="21">
        <f>IF(J4627="Yes","",IF(H4627&gt;=I4627,1,0))</f>
        <v/>
      </c>
      <c r="O4627" s="21">
        <f>IF(I4627&lt;=5000000,"Under $5M",IF(I4627&lt;=20000000,"$5M-20M",IF(I4627&lt;=50000000,"$20M-50M",IF(I4627&lt;=100000000,"$50M-100M","$100M+"))))</f>
        <v/>
      </c>
      <c r="P4627" s="21">
        <f>IF(E4627&lt;=90,"90 or less",IF(E4627&lt;=105,"91-105",IF(E4627&lt;=120,"106-120",IF(E4627&lt;=140,"121-140","Over 140"))))</f>
        <v/>
      </c>
      <c r="Q4627" s="28">
        <f>INT(C4627/10)*10</f>
        <v/>
      </c>
    </row>
    <row r="4628">
      <c r="A4628" s="21" t="n">
        <v>4737</v>
      </c>
      <c r="B4628" s="21" t="inlineStr">
        <is>
          <t>Shark Lake</t>
        </is>
      </c>
      <c r="C4628" s="21" t="n">
        <v>2015</v>
      </c>
      <c r="D4628" s="21" t="inlineStr">
        <is>
          <t>USA</t>
        </is>
      </c>
      <c r="E4628" s="21" t="n">
        <v>92</v>
      </c>
      <c r="F4628" s="21" t="inlineStr">
        <is>
          <t>English</t>
        </is>
      </c>
      <c r="G4628" s="21" t="inlineStr">
        <is>
          <t>Not Rated</t>
        </is>
      </c>
      <c r="H4628" s="22" t="n">
        <v>25529689.5</v>
      </c>
      <c r="I4628" s="22" t="n">
        <v>2000000</v>
      </c>
      <c r="J4628" s="21">
        <f>IF(OR(H4628="",H4628=25529689.5),"Yes","No")</f>
        <v/>
      </c>
      <c r="K4628" s="21">
        <f>IF(AND(D4628="USA",C4628&gt;=1980,J4628="No"),"Yes","No")</f>
        <v/>
      </c>
      <c r="L4628" s="26">
        <f>IF(J4628="Yes","",H4628-I4628)</f>
        <v/>
      </c>
      <c r="M4628" s="27">
        <f>IF(OR(J4628="Yes",I4628=0),"",H4628/I4628)</f>
        <v/>
      </c>
      <c r="N4628" s="21">
        <f>IF(J4628="Yes","",IF(H4628&gt;=I4628,1,0))</f>
        <v/>
      </c>
      <c r="O4628" s="21">
        <f>IF(I4628&lt;=5000000,"Under $5M",IF(I4628&lt;=20000000,"$5M-20M",IF(I4628&lt;=50000000,"$20M-50M",IF(I4628&lt;=100000000,"$50M-100M","$100M+"))))</f>
        <v/>
      </c>
      <c r="P4628" s="21">
        <f>IF(E4628&lt;=90,"90 or less",IF(E4628&lt;=105,"91-105",IF(E4628&lt;=120,"106-120",IF(E4628&lt;=140,"121-140","Over 140"))))</f>
        <v/>
      </c>
      <c r="Q4628" s="28">
        <f>INT(C4628/10)*10</f>
        <v/>
      </c>
    </row>
    <row r="4629">
      <c r="A4629" s="21" t="n">
        <v>4738</v>
      </c>
      <c r="B4629" s="21" t="inlineStr">
        <is>
          <t>Sharkskin</t>
        </is>
      </c>
      <c r="C4629" s="21" t="n">
        <v>2015</v>
      </c>
      <c r="D4629" s="21" t="inlineStr">
        <is>
          <t>USA</t>
        </is>
      </c>
      <c r="E4629" s="21" t="n">
        <v>100</v>
      </c>
      <c r="F4629" s="21" t="inlineStr">
        <is>
          <t>English</t>
        </is>
      </c>
      <c r="G4629" s="21" t="n"/>
      <c r="H4629" s="22" t="n">
        <v>25529689.5</v>
      </c>
      <c r="I4629" s="22" t="n">
        <v>2100000</v>
      </c>
      <c r="J4629" s="21">
        <f>IF(OR(H4629="",H4629=25529689.5),"Yes","No")</f>
        <v/>
      </c>
      <c r="K4629" s="21">
        <f>IF(AND(D4629="USA",C4629&gt;=1980,J4629="No"),"Yes","No")</f>
        <v/>
      </c>
      <c r="L4629" s="26">
        <f>IF(J4629="Yes","",H4629-I4629)</f>
        <v/>
      </c>
      <c r="M4629" s="27">
        <f>IF(OR(J4629="Yes",I4629=0),"",H4629/I4629)</f>
        <v/>
      </c>
      <c r="N4629" s="21">
        <f>IF(J4629="Yes","",IF(H4629&gt;=I4629,1,0))</f>
        <v/>
      </c>
      <c r="O4629" s="21">
        <f>IF(I4629&lt;=5000000,"Under $5M",IF(I4629&lt;=20000000,"$5M-20M",IF(I4629&lt;=50000000,"$20M-50M",IF(I4629&lt;=100000000,"$50M-100M","$100M+"))))</f>
        <v/>
      </c>
      <c r="P4629" s="21">
        <f>IF(E4629&lt;=90,"90 or less",IF(E4629&lt;=105,"91-105",IF(E4629&lt;=120,"106-120",IF(E4629&lt;=140,"121-140","Over 140"))))</f>
        <v/>
      </c>
      <c r="Q4629" s="28">
        <f>INT(C4629/10)*10</f>
        <v/>
      </c>
    </row>
    <row r="4630">
      <c r="A4630" s="21" t="n">
        <v>4739</v>
      </c>
      <c r="B4630" s="21" t="inlineStr">
        <is>
          <t>Shooting the Warwicks</t>
        </is>
      </c>
      <c r="C4630" s="21" t="n">
        <v>2015</v>
      </c>
      <c r="D4630" s="21" t="inlineStr">
        <is>
          <t>USA</t>
        </is>
      </c>
      <c r="E4630" s="21" t="n">
        <v>95</v>
      </c>
      <c r="F4630" s="21" t="inlineStr">
        <is>
          <t>English</t>
        </is>
      </c>
      <c r="G4630" s="21" t="n"/>
      <c r="H4630" s="22" t="n">
        <v>25529689.5</v>
      </c>
      <c r="I4630" s="22" t="n">
        <v>250000</v>
      </c>
      <c r="J4630" s="21">
        <f>IF(OR(H4630="",H4630=25529689.5),"Yes","No")</f>
        <v/>
      </c>
      <c r="K4630" s="21">
        <f>IF(AND(D4630="USA",C4630&gt;=1980,J4630="No"),"Yes","No")</f>
        <v/>
      </c>
      <c r="L4630" s="26">
        <f>IF(J4630="Yes","",H4630-I4630)</f>
        <v/>
      </c>
      <c r="M4630" s="27">
        <f>IF(OR(J4630="Yes",I4630=0),"",H4630/I4630)</f>
        <v/>
      </c>
      <c r="N4630" s="21">
        <f>IF(J4630="Yes","",IF(H4630&gt;=I4630,1,0))</f>
        <v/>
      </c>
      <c r="O4630" s="21">
        <f>IF(I4630&lt;=5000000,"Under $5M",IF(I4630&lt;=20000000,"$5M-20M",IF(I4630&lt;=50000000,"$20M-50M",IF(I4630&lt;=100000000,"$50M-100M","$100M+"))))</f>
        <v/>
      </c>
      <c r="P4630" s="21">
        <f>IF(E4630&lt;=90,"90 or less",IF(E4630&lt;=105,"91-105",IF(E4630&lt;=120,"106-120",IF(E4630&lt;=140,"121-140","Over 140"))))</f>
        <v/>
      </c>
      <c r="Q4630" s="28">
        <f>INT(C4630/10)*10</f>
        <v/>
      </c>
    </row>
    <row r="4631">
      <c r="A4631" s="21" t="n">
        <v>4740</v>
      </c>
      <c r="B4631" s="21" t="inlineStr">
        <is>
          <t>Sicario</t>
        </is>
      </c>
      <c r="C4631" s="21" t="n">
        <v>2015</v>
      </c>
      <c r="D4631" s="21" t="inlineStr">
        <is>
          <t>USA</t>
        </is>
      </c>
      <c r="E4631" s="21" t="n">
        <v>121</v>
      </c>
      <c r="F4631" s="21" t="inlineStr">
        <is>
          <t>English</t>
        </is>
      </c>
      <c r="G4631" s="21" t="inlineStr">
        <is>
          <t>R</t>
        </is>
      </c>
      <c r="H4631" s="22" t="n">
        <v>46875468</v>
      </c>
      <c r="I4631" s="22" t="n">
        <v>30000000</v>
      </c>
      <c r="J4631" s="21">
        <f>IF(OR(H4631="",H4631=25529689.5),"Yes","No")</f>
        <v/>
      </c>
      <c r="K4631" s="21">
        <f>IF(AND(D4631="USA",C4631&gt;=1980,J4631="No"),"Yes","No")</f>
        <v/>
      </c>
      <c r="L4631" s="26">
        <f>IF(J4631="Yes","",H4631-I4631)</f>
        <v/>
      </c>
      <c r="M4631" s="27">
        <f>IF(OR(J4631="Yes",I4631=0),"",H4631/I4631)</f>
        <v/>
      </c>
      <c r="N4631" s="21">
        <f>IF(J4631="Yes","",IF(H4631&gt;=I4631,1,0))</f>
        <v/>
      </c>
      <c r="O4631" s="21">
        <f>IF(I4631&lt;=5000000,"Under $5M",IF(I4631&lt;=20000000,"$5M-20M",IF(I4631&lt;=50000000,"$20M-50M",IF(I4631&lt;=100000000,"$50M-100M","$100M+"))))</f>
        <v/>
      </c>
      <c r="P4631" s="21">
        <f>IF(E4631&lt;=90,"90 or less",IF(E4631&lt;=105,"91-105",IF(E4631&lt;=120,"106-120",IF(E4631&lt;=140,"121-140","Over 140"))))</f>
        <v/>
      </c>
      <c r="Q4631" s="28">
        <f>INT(C4631/10)*10</f>
        <v/>
      </c>
    </row>
    <row r="4632">
      <c r="A4632" s="21" t="n">
        <v>4741</v>
      </c>
      <c r="B4632" s="21" t="inlineStr">
        <is>
          <t>Sinister 2</t>
        </is>
      </c>
      <c r="C4632" s="21" t="n">
        <v>2015</v>
      </c>
      <c r="D4632" s="21" t="inlineStr">
        <is>
          <t>USA</t>
        </is>
      </c>
      <c r="E4632" s="21" t="n">
        <v>97</v>
      </c>
      <c r="F4632" s="21" t="inlineStr">
        <is>
          <t>English</t>
        </is>
      </c>
      <c r="G4632" s="21" t="inlineStr">
        <is>
          <t>R</t>
        </is>
      </c>
      <c r="H4632" s="22" t="n">
        <v>27736779</v>
      </c>
      <c r="I4632" s="22" t="n">
        <v>10000000</v>
      </c>
      <c r="J4632" s="21">
        <f>IF(OR(H4632="",H4632=25529689.5),"Yes","No")</f>
        <v/>
      </c>
      <c r="K4632" s="21">
        <f>IF(AND(D4632="USA",C4632&gt;=1980,J4632="No"),"Yes","No")</f>
        <v/>
      </c>
      <c r="L4632" s="26">
        <f>IF(J4632="Yes","",H4632-I4632)</f>
        <v/>
      </c>
      <c r="M4632" s="27">
        <f>IF(OR(J4632="Yes",I4632=0),"",H4632/I4632)</f>
        <v/>
      </c>
      <c r="N4632" s="21">
        <f>IF(J4632="Yes","",IF(H4632&gt;=I4632,1,0))</f>
        <v/>
      </c>
      <c r="O4632" s="21">
        <f>IF(I4632&lt;=5000000,"Under $5M",IF(I4632&lt;=20000000,"$5M-20M",IF(I4632&lt;=50000000,"$20M-50M",IF(I4632&lt;=100000000,"$50M-100M","$100M+"))))</f>
        <v/>
      </c>
      <c r="P4632" s="21">
        <f>IF(E4632&lt;=90,"90 or less",IF(E4632&lt;=105,"91-105",IF(E4632&lt;=120,"106-120",IF(E4632&lt;=140,"121-140","Over 140"))))</f>
        <v/>
      </c>
      <c r="Q4632" s="28">
        <f>INT(C4632/10)*10</f>
        <v/>
      </c>
    </row>
    <row r="4633">
      <c r="A4633" s="21" t="n">
        <v>4742</v>
      </c>
      <c r="B4633" s="21" t="inlineStr">
        <is>
          <t>Slow West</t>
        </is>
      </c>
      <c r="C4633" s="21" t="n">
        <v>2015</v>
      </c>
      <c r="D4633" s="21" t="inlineStr">
        <is>
          <t>UK</t>
        </is>
      </c>
      <c r="E4633" s="21" t="n">
        <v>84</v>
      </c>
      <c r="F4633" s="21" t="inlineStr">
        <is>
          <t>English</t>
        </is>
      </c>
      <c r="G4633" s="21" t="inlineStr">
        <is>
          <t>R</t>
        </is>
      </c>
      <c r="H4633" s="22" t="n">
        <v>229094</v>
      </c>
      <c r="I4633" s="22" t="n">
        <v>20000000</v>
      </c>
      <c r="J4633" s="21">
        <f>IF(OR(H4633="",H4633=25529689.5),"Yes","No")</f>
        <v/>
      </c>
      <c r="K4633" s="21">
        <f>IF(AND(D4633="USA",C4633&gt;=1980,J4633="No"),"Yes","No")</f>
        <v/>
      </c>
      <c r="L4633" s="26">
        <f>IF(J4633="Yes","",H4633-I4633)</f>
        <v/>
      </c>
      <c r="M4633" s="27">
        <f>IF(OR(J4633="Yes",I4633=0),"",H4633/I4633)</f>
        <v/>
      </c>
      <c r="N4633" s="21">
        <f>IF(J4633="Yes","",IF(H4633&gt;=I4633,1,0))</f>
        <v/>
      </c>
      <c r="O4633" s="21">
        <f>IF(I4633&lt;=5000000,"Under $5M",IF(I4633&lt;=20000000,"$5M-20M",IF(I4633&lt;=50000000,"$20M-50M",IF(I4633&lt;=100000000,"$50M-100M","$100M+"))))</f>
        <v/>
      </c>
      <c r="P4633" s="21">
        <f>IF(E4633&lt;=90,"90 or less",IF(E4633&lt;=105,"91-105",IF(E4633&lt;=120,"106-120",IF(E4633&lt;=140,"121-140","Over 140"))))</f>
        <v/>
      </c>
      <c r="Q4633" s="28">
        <f>INT(C4633/10)*10</f>
        <v/>
      </c>
    </row>
    <row r="4634">
      <c r="A4634" s="21" t="n">
        <v>4743</v>
      </c>
      <c r="B4634" s="21" t="inlineStr">
        <is>
          <t>Southpaw</t>
        </is>
      </c>
      <c r="C4634" s="21" t="n">
        <v>2015</v>
      </c>
      <c r="D4634" s="21" t="inlineStr">
        <is>
          <t>USA</t>
        </is>
      </c>
      <c r="E4634" s="21" t="n">
        <v>124</v>
      </c>
      <c r="F4634" s="21" t="inlineStr">
        <is>
          <t>English</t>
        </is>
      </c>
      <c r="G4634" s="21" t="inlineStr">
        <is>
          <t>R</t>
        </is>
      </c>
      <c r="H4634" s="22" t="n">
        <v>52418902</v>
      </c>
      <c r="I4634" s="22" t="n">
        <v>30000000</v>
      </c>
      <c r="J4634" s="21">
        <f>IF(OR(H4634="",H4634=25529689.5),"Yes","No")</f>
        <v/>
      </c>
      <c r="K4634" s="21">
        <f>IF(AND(D4634="USA",C4634&gt;=1980,J4634="No"),"Yes","No")</f>
        <v/>
      </c>
      <c r="L4634" s="26">
        <f>IF(J4634="Yes","",H4634-I4634)</f>
        <v/>
      </c>
      <c r="M4634" s="27">
        <f>IF(OR(J4634="Yes",I4634=0),"",H4634/I4634)</f>
        <v/>
      </c>
      <c r="N4634" s="21">
        <f>IF(J4634="Yes","",IF(H4634&gt;=I4634,1,0))</f>
        <v/>
      </c>
      <c r="O4634" s="21">
        <f>IF(I4634&lt;=5000000,"Under $5M",IF(I4634&lt;=20000000,"$5M-20M",IF(I4634&lt;=50000000,"$20M-50M",IF(I4634&lt;=100000000,"$50M-100M","$100M+"))))</f>
        <v/>
      </c>
      <c r="P4634" s="21">
        <f>IF(E4634&lt;=90,"90 or less",IF(E4634&lt;=105,"91-105",IF(E4634&lt;=120,"106-120",IF(E4634&lt;=140,"121-140","Over 140"))))</f>
        <v/>
      </c>
      <c r="Q4634" s="28">
        <f>INT(C4634/10)*10</f>
        <v/>
      </c>
    </row>
    <row r="4635">
      <c r="A4635" s="21" t="n">
        <v>4744</v>
      </c>
      <c r="B4635" s="21" t="inlineStr">
        <is>
          <t>Spectre</t>
        </is>
      </c>
      <c r="C4635" s="21" t="n">
        <v>2015</v>
      </c>
      <c r="D4635" s="21" t="inlineStr">
        <is>
          <t>UK</t>
        </is>
      </c>
      <c r="E4635" s="21" t="n">
        <v>148</v>
      </c>
      <c r="F4635" s="21" t="inlineStr">
        <is>
          <t>English</t>
        </is>
      </c>
      <c r="G4635" s="21" t="inlineStr">
        <is>
          <t>PG-13</t>
        </is>
      </c>
      <c r="H4635" s="22" t="n">
        <v>200074175</v>
      </c>
      <c r="I4635" s="22" t="n">
        <v>245000000</v>
      </c>
      <c r="J4635" s="21">
        <f>IF(OR(H4635="",H4635=25529689.5),"Yes","No")</f>
        <v/>
      </c>
      <c r="K4635" s="21">
        <f>IF(AND(D4635="USA",C4635&gt;=1980,J4635="No"),"Yes","No")</f>
        <v/>
      </c>
      <c r="L4635" s="26">
        <f>IF(J4635="Yes","",H4635-I4635)</f>
        <v/>
      </c>
      <c r="M4635" s="27">
        <f>IF(OR(J4635="Yes",I4635=0),"",H4635/I4635)</f>
        <v/>
      </c>
      <c r="N4635" s="21">
        <f>IF(J4635="Yes","",IF(H4635&gt;=I4635,1,0))</f>
        <v/>
      </c>
      <c r="O4635" s="21">
        <f>IF(I4635&lt;=5000000,"Under $5M",IF(I4635&lt;=20000000,"$5M-20M",IF(I4635&lt;=50000000,"$20M-50M",IF(I4635&lt;=100000000,"$50M-100M","$100M+"))))</f>
        <v/>
      </c>
      <c r="P4635" s="21">
        <f>IF(E4635&lt;=90,"90 or less",IF(E4635&lt;=105,"91-105",IF(E4635&lt;=120,"106-120",IF(E4635&lt;=140,"121-140","Over 140"))))</f>
        <v/>
      </c>
      <c r="Q4635" s="28">
        <f>INT(C4635/10)*10</f>
        <v/>
      </c>
    </row>
    <row r="4636">
      <c r="A4636" s="21" t="n">
        <v>4745</v>
      </c>
      <c r="B4636" s="21" t="inlineStr">
        <is>
          <t>Spotlight</t>
        </is>
      </c>
      <c r="C4636" s="21" t="n">
        <v>2015</v>
      </c>
      <c r="D4636" s="21" t="inlineStr">
        <is>
          <t>USA</t>
        </is>
      </c>
      <c r="E4636" s="21" t="n">
        <v>128</v>
      </c>
      <c r="F4636" s="21" t="inlineStr">
        <is>
          <t>English</t>
        </is>
      </c>
      <c r="G4636" s="21" t="inlineStr">
        <is>
          <t>R</t>
        </is>
      </c>
      <c r="H4636" s="22" t="n">
        <v>44988180</v>
      </c>
      <c r="I4636" s="22" t="n">
        <v>20000000</v>
      </c>
      <c r="J4636" s="21">
        <f>IF(OR(H4636="",H4636=25529689.5),"Yes","No")</f>
        <v/>
      </c>
      <c r="K4636" s="21">
        <f>IF(AND(D4636="USA",C4636&gt;=1980,J4636="No"),"Yes","No")</f>
        <v/>
      </c>
      <c r="L4636" s="26">
        <f>IF(J4636="Yes","",H4636-I4636)</f>
        <v/>
      </c>
      <c r="M4636" s="27">
        <f>IF(OR(J4636="Yes",I4636=0),"",H4636/I4636)</f>
        <v/>
      </c>
      <c r="N4636" s="21">
        <f>IF(J4636="Yes","",IF(H4636&gt;=I4636,1,0))</f>
        <v/>
      </c>
      <c r="O4636" s="21">
        <f>IF(I4636&lt;=5000000,"Under $5M",IF(I4636&lt;=20000000,"$5M-20M",IF(I4636&lt;=50000000,"$20M-50M",IF(I4636&lt;=100000000,"$50M-100M","$100M+"))))</f>
        <v/>
      </c>
      <c r="P4636" s="21">
        <f>IF(E4636&lt;=90,"90 or less",IF(E4636&lt;=105,"91-105",IF(E4636&lt;=120,"106-120",IF(E4636&lt;=140,"121-140","Over 140"))))</f>
        <v/>
      </c>
      <c r="Q4636" s="28">
        <f>INT(C4636/10)*10</f>
        <v/>
      </c>
    </row>
    <row r="4637">
      <c r="A4637" s="21" t="n">
        <v>4746</v>
      </c>
      <c r="B4637" s="21" t="inlineStr">
        <is>
          <t>Star Wars: Episode VII - The Force Awakens</t>
        </is>
      </c>
      <c r="C4637" s="21" t="n">
        <v>2015</v>
      </c>
      <c r="D4637" s="21" t="inlineStr">
        <is>
          <t>USA</t>
        </is>
      </c>
      <c r="E4637" s="21" t="n">
        <v>136</v>
      </c>
      <c r="F4637" s="21" t="inlineStr">
        <is>
          <t>English</t>
        </is>
      </c>
      <c r="G4637" s="21" t="inlineStr">
        <is>
          <t>PG-13</t>
        </is>
      </c>
      <c r="H4637" s="22" t="n">
        <v>936627416</v>
      </c>
      <c r="I4637" s="22" t="n">
        <v>245000000</v>
      </c>
      <c r="J4637" s="21">
        <f>IF(OR(H4637="",H4637=25529689.5),"Yes","No")</f>
        <v/>
      </c>
      <c r="K4637" s="21">
        <f>IF(AND(D4637="USA",C4637&gt;=1980,J4637="No"),"Yes","No")</f>
        <v/>
      </c>
      <c r="L4637" s="26">
        <f>IF(J4637="Yes","",H4637-I4637)</f>
        <v/>
      </c>
      <c r="M4637" s="27">
        <f>IF(OR(J4637="Yes",I4637=0),"",H4637/I4637)</f>
        <v/>
      </c>
      <c r="N4637" s="21">
        <f>IF(J4637="Yes","",IF(H4637&gt;=I4637,1,0))</f>
        <v/>
      </c>
      <c r="O4637" s="21">
        <f>IF(I4637&lt;=5000000,"Under $5M",IF(I4637&lt;=20000000,"$5M-20M",IF(I4637&lt;=50000000,"$20M-50M",IF(I4637&lt;=100000000,"$50M-100M","$100M+"))))</f>
        <v/>
      </c>
      <c r="P4637" s="21">
        <f>IF(E4637&lt;=90,"90 or less",IF(E4637&lt;=105,"91-105",IF(E4637&lt;=120,"106-120",IF(E4637&lt;=140,"121-140","Over 140"))))</f>
        <v/>
      </c>
      <c r="Q4637" s="28">
        <f>INT(C4637/10)*10</f>
        <v/>
      </c>
    </row>
    <row r="4638">
      <c r="A4638" s="21" t="n">
        <v>4747</v>
      </c>
      <c r="B4638" s="21" t="inlineStr">
        <is>
          <t>Steve Jobs</t>
        </is>
      </c>
      <c r="C4638" s="21" t="n">
        <v>2015</v>
      </c>
      <c r="D4638" s="21" t="inlineStr">
        <is>
          <t>UK</t>
        </is>
      </c>
      <c r="E4638" s="21" t="n">
        <v>122</v>
      </c>
      <c r="F4638" s="21" t="inlineStr">
        <is>
          <t>English</t>
        </is>
      </c>
      <c r="G4638" s="21" t="inlineStr">
        <is>
          <t>R</t>
        </is>
      </c>
      <c r="H4638" s="22" t="n">
        <v>17750583</v>
      </c>
      <c r="I4638" s="22" t="n">
        <v>30000000</v>
      </c>
      <c r="J4638" s="21">
        <f>IF(OR(H4638="",H4638=25529689.5),"Yes","No")</f>
        <v/>
      </c>
      <c r="K4638" s="21">
        <f>IF(AND(D4638="USA",C4638&gt;=1980,J4638="No"),"Yes","No")</f>
        <v/>
      </c>
      <c r="L4638" s="26">
        <f>IF(J4638="Yes","",H4638-I4638)</f>
        <v/>
      </c>
      <c r="M4638" s="27">
        <f>IF(OR(J4638="Yes",I4638=0),"",H4638/I4638)</f>
        <v/>
      </c>
      <c r="N4638" s="21">
        <f>IF(J4638="Yes","",IF(H4638&gt;=I4638,1,0))</f>
        <v/>
      </c>
      <c r="O4638" s="21">
        <f>IF(I4638&lt;=5000000,"Under $5M",IF(I4638&lt;=20000000,"$5M-20M",IF(I4638&lt;=50000000,"$20M-50M",IF(I4638&lt;=100000000,"$50M-100M","$100M+"))))</f>
        <v/>
      </c>
      <c r="P4638" s="21">
        <f>IF(E4638&lt;=90,"90 or less",IF(E4638&lt;=105,"91-105",IF(E4638&lt;=120,"106-120",IF(E4638&lt;=140,"121-140","Over 140"))))</f>
        <v/>
      </c>
      <c r="Q4638" s="28">
        <f>INT(C4638/10)*10</f>
        <v/>
      </c>
    </row>
    <row r="4639">
      <c r="A4639" s="21" t="n">
        <v>4748</v>
      </c>
      <c r="B4639" s="21" t="inlineStr">
        <is>
          <t>Stonewall</t>
        </is>
      </c>
      <c r="C4639" s="21" t="n">
        <v>2015</v>
      </c>
      <c r="D4639" s="21" t="inlineStr">
        <is>
          <t>USA</t>
        </is>
      </c>
      <c r="E4639" s="21" t="n">
        <v>129</v>
      </c>
      <c r="F4639" s="21" t="inlineStr">
        <is>
          <t>English</t>
        </is>
      </c>
      <c r="G4639" s="21" t="inlineStr">
        <is>
          <t>R</t>
        </is>
      </c>
      <c r="H4639" s="22" t="n">
        <v>186354</v>
      </c>
      <c r="I4639" s="22" t="n">
        <v>13500000</v>
      </c>
      <c r="J4639" s="21">
        <f>IF(OR(H4639="",H4639=25529689.5),"Yes","No")</f>
        <v/>
      </c>
      <c r="K4639" s="21">
        <f>IF(AND(D4639="USA",C4639&gt;=1980,J4639="No"),"Yes","No")</f>
        <v/>
      </c>
      <c r="L4639" s="26">
        <f>IF(J4639="Yes","",H4639-I4639)</f>
        <v/>
      </c>
      <c r="M4639" s="27">
        <f>IF(OR(J4639="Yes",I4639=0),"",H4639/I4639)</f>
        <v/>
      </c>
      <c r="N4639" s="21">
        <f>IF(J4639="Yes","",IF(H4639&gt;=I4639,1,0))</f>
        <v/>
      </c>
      <c r="O4639" s="21">
        <f>IF(I4639&lt;=5000000,"Under $5M",IF(I4639&lt;=20000000,"$5M-20M",IF(I4639&lt;=50000000,"$20M-50M",IF(I4639&lt;=100000000,"$50M-100M","$100M+"))))</f>
        <v/>
      </c>
      <c r="P4639" s="21">
        <f>IF(E4639&lt;=90,"90 or less",IF(E4639&lt;=105,"91-105",IF(E4639&lt;=120,"106-120",IF(E4639&lt;=140,"121-140","Over 140"))))</f>
        <v/>
      </c>
      <c r="Q4639" s="28">
        <f>INT(C4639/10)*10</f>
        <v/>
      </c>
    </row>
    <row r="4640">
      <c r="A4640" s="21" t="n">
        <v>4749</v>
      </c>
      <c r="B4640" s="21" t="inlineStr">
        <is>
          <t>Straight Outta Compton</t>
        </is>
      </c>
      <c r="C4640" s="21" t="n">
        <v>2015</v>
      </c>
      <c r="D4640" s="21" t="inlineStr">
        <is>
          <t>USA</t>
        </is>
      </c>
      <c r="E4640" s="21" t="n">
        <v>167</v>
      </c>
      <c r="F4640" s="21" t="inlineStr">
        <is>
          <t>English</t>
        </is>
      </c>
      <c r="G4640" s="21" t="inlineStr">
        <is>
          <t>R</t>
        </is>
      </c>
      <c r="H4640" s="22" t="n">
        <v>161029270</v>
      </c>
      <c r="I4640" s="22" t="n">
        <v>28000000</v>
      </c>
      <c r="J4640" s="21">
        <f>IF(OR(H4640="",H4640=25529689.5),"Yes","No")</f>
        <v/>
      </c>
      <c r="K4640" s="21">
        <f>IF(AND(D4640="USA",C4640&gt;=1980,J4640="No"),"Yes","No")</f>
        <v/>
      </c>
      <c r="L4640" s="26">
        <f>IF(J4640="Yes","",H4640-I4640)</f>
        <v/>
      </c>
      <c r="M4640" s="27">
        <f>IF(OR(J4640="Yes",I4640=0),"",H4640/I4640)</f>
        <v/>
      </c>
      <c r="N4640" s="21">
        <f>IF(J4640="Yes","",IF(H4640&gt;=I4640,1,0))</f>
        <v/>
      </c>
      <c r="O4640" s="21">
        <f>IF(I4640&lt;=5000000,"Under $5M",IF(I4640&lt;=20000000,"$5M-20M",IF(I4640&lt;=50000000,"$20M-50M",IF(I4640&lt;=100000000,"$50M-100M","$100M+"))))</f>
        <v/>
      </c>
      <c r="P4640" s="21">
        <f>IF(E4640&lt;=90,"90 or less",IF(E4640&lt;=105,"91-105",IF(E4640&lt;=120,"106-120",IF(E4640&lt;=140,"121-140","Over 140"))))</f>
        <v/>
      </c>
      <c r="Q4640" s="28">
        <f>INT(C4640/10)*10</f>
        <v/>
      </c>
    </row>
    <row r="4641">
      <c r="A4641" s="21" t="n">
        <v>4750</v>
      </c>
      <c r="B4641" s="21" t="inlineStr">
        <is>
          <t>Strangerland</t>
        </is>
      </c>
      <c r="C4641" s="21" t="n">
        <v>2015</v>
      </c>
      <c r="D4641" s="21" t="inlineStr">
        <is>
          <t>Australia</t>
        </is>
      </c>
      <c r="E4641" s="21" t="n">
        <v>112</v>
      </c>
      <c r="F4641" s="21" t="inlineStr">
        <is>
          <t>English</t>
        </is>
      </c>
      <c r="G4641" s="21" t="inlineStr">
        <is>
          <t>R</t>
        </is>
      </c>
      <c r="H4641" s="22" t="n">
        <v>25529689.5</v>
      </c>
      <c r="I4641" s="22" t="n">
        <v>10000000</v>
      </c>
      <c r="J4641" s="21">
        <f>IF(OR(H4641="",H4641=25529689.5),"Yes","No")</f>
        <v/>
      </c>
      <c r="K4641" s="21">
        <f>IF(AND(D4641="USA",C4641&gt;=1980,J4641="No"),"Yes","No")</f>
        <v/>
      </c>
      <c r="L4641" s="26">
        <f>IF(J4641="Yes","",H4641-I4641)</f>
        <v/>
      </c>
      <c r="M4641" s="27">
        <f>IF(OR(J4641="Yes",I4641=0),"",H4641/I4641)</f>
        <v/>
      </c>
      <c r="N4641" s="21">
        <f>IF(J4641="Yes","",IF(H4641&gt;=I4641,1,0))</f>
        <v/>
      </c>
      <c r="O4641" s="21">
        <f>IF(I4641&lt;=5000000,"Under $5M",IF(I4641&lt;=20000000,"$5M-20M",IF(I4641&lt;=50000000,"$20M-50M",IF(I4641&lt;=100000000,"$50M-100M","$100M+"))))</f>
        <v/>
      </c>
      <c r="P4641" s="21">
        <f>IF(E4641&lt;=90,"90 or less",IF(E4641&lt;=105,"91-105",IF(E4641&lt;=120,"106-120",IF(E4641&lt;=140,"121-140","Over 140"))))</f>
        <v/>
      </c>
      <c r="Q4641" s="28">
        <f>INT(C4641/10)*10</f>
        <v/>
      </c>
    </row>
    <row r="4642">
      <c r="A4642" s="21" t="n">
        <v>4751</v>
      </c>
      <c r="B4642" s="21" t="inlineStr">
        <is>
          <t>Stung</t>
        </is>
      </c>
      <c r="C4642" s="21" t="n">
        <v>2015</v>
      </c>
      <c r="D4642" s="21" t="inlineStr">
        <is>
          <t>Germany</t>
        </is>
      </c>
      <c r="E4642" s="21" t="n">
        <v>87</v>
      </c>
      <c r="F4642" s="21" t="inlineStr">
        <is>
          <t>English</t>
        </is>
      </c>
      <c r="G4642" s="21" t="inlineStr">
        <is>
          <t>Not Rated</t>
        </is>
      </c>
      <c r="H4642" s="22" t="n">
        <v>25529689.5</v>
      </c>
      <c r="I4642" s="22" t="n">
        <v>2500000</v>
      </c>
      <c r="J4642" s="21">
        <f>IF(OR(H4642="",H4642=25529689.5),"Yes","No")</f>
        <v/>
      </c>
      <c r="K4642" s="21">
        <f>IF(AND(D4642="USA",C4642&gt;=1980,J4642="No"),"Yes","No")</f>
        <v/>
      </c>
      <c r="L4642" s="26">
        <f>IF(J4642="Yes","",H4642-I4642)</f>
        <v/>
      </c>
      <c r="M4642" s="27">
        <f>IF(OR(J4642="Yes",I4642=0),"",H4642/I4642)</f>
        <v/>
      </c>
      <c r="N4642" s="21">
        <f>IF(J4642="Yes","",IF(H4642&gt;=I4642,1,0))</f>
        <v/>
      </c>
      <c r="O4642" s="21">
        <f>IF(I4642&lt;=5000000,"Under $5M",IF(I4642&lt;=20000000,"$5M-20M",IF(I4642&lt;=50000000,"$20M-50M",IF(I4642&lt;=100000000,"$50M-100M","$100M+"))))</f>
        <v/>
      </c>
      <c r="P4642" s="21">
        <f>IF(E4642&lt;=90,"90 or less",IF(E4642&lt;=105,"91-105",IF(E4642&lt;=120,"106-120",IF(E4642&lt;=140,"121-140","Over 140"))))</f>
        <v/>
      </c>
      <c r="Q4642" s="28">
        <f>INT(C4642/10)*10</f>
        <v/>
      </c>
    </row>
    <row r="4643">
      <c r="A4643" s="21" t="n">
        <v>4752</v>
      </c>
      <c r="B4643" s="21" t="inlineStr">
        <is>
          <t>Subconscious</t>
        </is>
      </c>
      <c r="C4643" s="21" t="n">
        <v>2015</v>
      </c>
      <c r="D4643" s="21" t="inlineStr">
        <is>
          <t>USA</t>
        </is>
      </c>
      <c r="E4643" s="21" t="n">
        <v>122</v>
      </c>
      <c r="F4643" s="21" t="inlineStr">
        <is>
          <t>English</t>
        </is>
      </c>
      <c r="G4643" s="21" t="inlineStr">
        <is>
          <t>R</t>
        </is>
      </c>
      <c r="H4643" s="22" t="n">
        <v>25529689.5</v>
      </c>
      <c r="I4643" s="22" t="n">
        <v>20000000</v>
      </c>
      <c r="J4643" s="21">
        <f>IF(OR(H4643="",H4643=25529689.5),"Yes","No")</f>
        <v/>
      </c>
      <c r="K4643" s="21">
        <f>IF(AND(D4643="USA",C4643&gt;=1980,J4643="No"),"Yes","No")</f>
        <v/>
      </c>
      <c r="L4643" s="26">
        <f>IF(J4643="Yes","",H4643-I4643)</f>
        <v/>
      </c>
      <c r="M4643" s="27">
        <f>IF(OR(J4643="Yes",I4643=0),"",H4643/I4643)</f>
        <v/>
      </c>
      <c r="N4643" s="21">
        <f>IF(J4643="Yes","",IF(H4643&gt;=I4643,1,0))</f>
        <v/>
      </c>
      <c r="O4643" s="21">
        <f>IF(I4643&lt;=5000000,"Under $5M",IF(I4643&lt;=20000000,"$5M-20M",IF(I4643&lt;=50000000,"$20M-50M",IF(I4643&lt;=100000000,"$50M-100M","$100M+"))))</f>
        <v/>
      </c>
      <c r="P4643" s="21">
        <f>IF(E4643&lt;=90,"90 or less",IF(E4643&lt;=105,"91-105",IF(E4643&lt;=120,"106-120",IF(E4643&lt;=140,"121-140","Over 140"))))</f>
        <v/>
      </c>
      <c r="Q4643" s="28">
        <f>INT(C4643/10)*10</f>
        <v/>
      </c>
    </row>
    <row r="4644">
      <c r="A4644" s="21" t="n">
        <v>4753</v>
      </c>
      <c r="B4644" s="21" t="inlineStr">
        <is>
          <t>Survivor</t>
        </is>
      </c>
      <c r="C4644" s="21" t="n">
        <v>2015</v>
      </c>
      <c r="D4644" s="21" t="inlineStr">
        <is>
          <t>USA</t>
        </is>
      </c>
      <c r="E4644" s="21" t="n">
        <v>96</v>
      </c>
      <c r="F4644" s="21" t="inlineStr">
        <is>
          <t>English</t>
        </is>
      </c>
      <c r="G4644" s="21" t="inlineStr">
        <is>
          <t>PG-13</t>
        </is>
      </c>
      <c r="H4644" s="22" t="n">
        <v>25529689.5</v>
      </c>
      <c r="I4644" s="22" t="n">
        <v>20000000</v>
      </c>
      <c r="J4644" s="21">
        <f>IF(OR(H4644="",H4644=25529689.5),"Yes","No")</f>
        <v/>
      </c>
      <c r="K4644" s="21">
        <f>IF(AND(D4644="USA",C4644&gt;=1980,J4644="No"),"Yes","No")</f>
        <v/>
      </c>
      <c r="L4644" s="26">
        <f>IF(J4644="Yes","",H4644-I4644)</f>
        <v/>
      </c>
      <c r="M4644" s="27">
        <f>IF(OR(J4644="Yes",I4644=0),"",H4644/I4644)</f>
        <v/>
      </c>
      <c r="N4644" s="21">
        <f>IF(J4644="Yes","",IF(H4644&gt;=I4644,1,0))</f>
        <v/>
      </c>
      <c r="O4644" s="21">
        <f>IF(I4644&lt;=5000000,"Under $5M",IF(I4644&lt;=20000000,"$5M-20M",IF(I4644&lt;=50000000,"$20M-50M",IF(I4644&lt;=100000000,"$50M-100M","$100M+"))))</f>
        <v/>
      </c>
      <c r="P4644" s="21">
        <f>IF(E4644&lt;=90,"90 or less",IF(E4644&lt;=105,"91-105",IF(E4644&lt;=120,"106-120",IF(E4644&lt;=140,"121-140","Over 140"))))</f>
        <v/>
      </c>
      <c r="Q4644" s="28">
        <f>INT(C4644/10)*10</f>
        <v/>
      </c>
    </row>
    <row r="4645">
      <c r="A4645" s="21" t="n">
        <v>4754</v>
      </c>
      <c r="B4645" s="21" t="inlineStr">
        <is>
          <t>Ted 2</t>
        </is>
      </c>
      <c r="C4645" s="21" t="n">
        <v>2015</v>
      </c>
      <c r="D4645" s="21" t="inlineStr">
        <is>
          <t>USA</t>
        </is>
      </c>
      <c r="E4645" s="21" t="n">
        <v>125</v>
      </c>
      <c r="F4645" s="21" t="inlineStr">
        <is>
          <t>English</t>
        </is>
      </c>
      <c r="G4645" s="21" t="inlineStr">
        <is>
          <t>R</t>
        </is>
      </c>
      <c r="H4645" s="22" t="n">
        <v>81257500</v>
      </c>
      <c r="I4645" s="22" t="n">
        <v>68000000</v>
      </c>
      <c r="J4645" s="21">
        <f>IF(OR(H4645="",H4645=25529689.5),"Yes","No")</f>
        <v/>
      </c>
      <c r="K4645" s="21">
        <f>IF(AND(D4645="USA",C4645&gt;=1980,J4645="No"),"Yes","No")</f>
        <v/>
      </c>
      <c r="L4645" s="26">
        <f>IF(J4645="Yes","",H4645-I4645)</f>
        <v/>
      </c>
      <c r="M4645" s="27">
        <f>IF(OR(J4645="Yes",I4645=0),"",H4645/I4645)</f>
        <v/>
      </c>
      <c r="N4645" s="21">
        <f>IF(J4645="Yes","",IF(H4645&gt;=I4645,1,0))</f>
        <v/>
      </c>
      <c r="O4645" s="21">
        <f>IF(I4645&lt;=5000000,"Under $5M",IF(I4645&lt;=20000000,"$5M-20M",IF(I4645&lt;=50000000,"$20M-50M",IF(I4645&lt;=100000000,"$50M-100M","$100M+"))))</f>
        <v/>
      </c>
      <c r="P4645" s="21">
        <f>IF(E4645&lt;=90,"90 or less",IF(E4645&lt;=105,"91-105",IF(E4645&lt;=120,"106-120",IF(E4645&lt;=140,"121-140","Over 140"))))</f>
        <v/>
      </c>
      <c r="Q4645" s="28">
        <f>INT(C4645/10)*10</f>
        <v/>
      </c>
    </row>
    <row r="4646">
      <c r="A4646" s="21" t="n">
        <v>4755</v>
      </c>
      <c r="B4646" s="21" t="inlineStr">
        <is>
          <t>Teeth and Blood</t>
        </is>
      </c>
      <c r="C4646" s="21" t="n">
        <v>2015</v>
      </c>
      <c r="D4646" s="21" t="inlineStr">
        <is>
          <t>USA</t>
        </is>
      </c>
      <c r="E4646" s="21" t="n">
        <v>96</v>
      </c>
      <c r="F4646" s="21" t="inlineStr">
        <is>
          <t>English</t>
        </is>
      </c>
      <c r="G4646" s="21" t="n"/>
      <c r="H4646" s="22" t="n">
        <v>25529689.5</v>
      </c>
      <c r="I4646" s="22" t="n">
        <v>300000</v>
      </c>
      <c r="J4646" s="21">
        <f>IF(OR(H4646="",H4646=25529689.5),"Yes","No")</f>
        <v/>
      </c>
      <c r="K4646" s="21">
        <f>IF(AND(D4646="USA",C4646&gt;=1980,J4646="No"),"Yes","No")</f>
        <v/>
      </c>
      <c r="L4646" s="26">
        <f>IF(J4646="Yes","",H4646-I4646)</f>
        <v/>
      </c>
      <c r="M4646" s="27">
        <f>IF(OR(J4646="Yes",I4646=0),"",H4646/I4646)</f>
        <v/>
      </c>
      <c r="N4646" s="21">
        <f>IF(J4646="Yes","",IF(H4646&gt;=I4646,1,0))</f>
        <v/>
      </c>
      <c r="O4646" s="21">
        <f>IF(I4646&lt;=5000000,"Under $5M",IF(I4646&lt;=20000000,"$5M-20M",IF(I4646&lt;=50000000,"$20M-50M",IF(I4646&lt;=100000000,"$50M-100M","$100M+"))))</f>
        <v/>
      </c>
      <c r="P4646" s="21">
        <f>IF(E4646&lt;=90,"90 or less",IF(E4646&lt;=105,"91-105",IF(E4646&lt;=120,"106-120",IF(E4646&lt;=140,"121-140","Over 140"))))</f>
        <v/>
      </c>
      <c r="Q4646" s="28">
        <f>INT(C4646/10)*10</f>
        <v/>
      </c>
    </row>
    <row r="4647">
      <c r="A4647" s="21" t="n">
        <v>4756</v>
      </c>
      <c r="B4647" s="21" t="inlineStr">
        <is>
          <t>Terminator Genisys</t>
        </is>
      </c>
      <c r="C4647" s="21" t="n">
        <v>2015</v>
      </c>
      <c r="D4647" s="21" t="inlineStr">
        <is>
          <t>USA</t>
        </is>
      </c>
      <c r="E4647" s="21" t="n">
        <v>126</v>
      </c>
      <c r="F4647" s="21" t="inlineStr">
        <is>
          <t>English</t>
        </is>
      </c>
      <c r="G4647" s="21" t="inlineStr">
        <is>
          <t>PG-13</t>
        </is>
      </c>
      <c r="H4647" s="22" t="n">
        <v>89732035</v>
      </c>
      <c r="I4647" s="22" t="n">
        <v>155000000</v>
      </c>
      <c r="J4647" s="21">
        <f>IF(OR(H4647="",H4647=25529689.5),"Yes","No")</f>
        <v/>
      </c>
      <c r="K4647" s="21">
        <f>IF(AND(D4647="USA",C4647&gt;=1980,J4647="No"),"Yes","No")</f>
        <v/>
      </c>
      <c r="L4647" s="26">
        <f>IF(J4647="Yes","",H4647-I4647)</f>
        <v/>
      </c>
      <c r="M4647" s="27">
        <f>IF(OR(J4647="Yes",I4647=0),"",H4647/I4647)</f>
        <v/>
      </c>
      <c r="N4647" s="21">
        <f>IF(J4647="Yes","",IF(H4647&gt;=I4647,1,0))</f>
        <v/>
      </c>
      <c r="O4647" s="21">
        <f>IF(I4647&lt;=5000000,"Under $5M",IF(I4647&lt;=20000000,"$5M-20M",IF(I4647&lt;=50000000,"$20M-50M",IF(I4647&lt;=100000000,"$50M-100M","$100M+"))))</f>
        <v/>
      </c>
      <c r="P4647" s="21">
        <f>IF(E4647&lt;=90,"90 or less",IF(E4647&lt;=105,"91-105",IF(E4647&lt;=120,"106-120",IF(E4647&lt;=140,"121-140","Over 140"))))</f>
        <v/>
      </c>
      <c r="Q4647" s="28">
        <f>INT(C4647/10)*10</f>
        <v/>
      </c>
    </row>
    <row r="4648">
      <c r="A4648" s="21" t="n">
        <v>4757</v>
      </c>
      <c r="B4648" s="21" t="inlineStr">
        <is>
          <t>The 33</t>
        </is>
      </c>
      <c r="C4648" s="21" t="n">
        <v>2015</v>
      </c>
      <c r="D4648" s="21" t="inlineStr">
        <is>
          <t>Chile</t>
        </is>
      </c>
      <c r="E4648" s="21" t="n">
        <v>127</v>
      </c>
      <c r="F4648" s="21" t="inlineStr">
        <is>
          <t>English</t>
        </is>
      </c>
      <c r="G4648" s="21" t="inlineStr">
        <is>
          <t>PG-13</t>
        </is>
      </c>
      <c r="H4648" s="22" t="n">
        <v>12188642</v>
      </c>
      <c r="I4648" s="22" t="n">
        <v>26000000</v>
      </c>
      <c r="J4648" s="21">
        <f>IF(OR(H4648="",H4648=25529689.5),"Yes","No")</f>
        <v/>
      </c>
      <c r="K4648" s="21">
        <f>IF(AND(D4648="USA",C4648&gt;=1980,J4648="No"),"Yes","No")</f>
        <v/>
      </c>
      <c r="L4648" s="26">
        <f>IF(J4648="Yes","",H4648-I4648)</f>
        <v/>
      </c>
      <c r="M4648" s="27">
        <f>IF(OR(J4648="Yes",I4648=0),"",H4648/I4648)</f>
        <v/>
      </c>
      <c r="N4648" s="21">
        <f>IF(J4648="Yes","",IF(H4648&gt;=I4648,1,0))</f>
        <v/>
      </c>
      <c r="O4648" s="21">
        <f>IF(I4648&lt;=5000000,"Under $5M",IF(I4648&lt;=20000000,"$5M-20M",IF(I4648&lt;=50000000,"$20M-50M",IF(I4648&lt;=100000000,"$50M-100M","$100M+"))))</f>
        <v/>
      </c>
      <c r="P4648" s="21">
        <f>IF(E4648&lt;=90,"90 or less",IF(E4648&lt;=105,"91-105",IF(E4648&lt;=120,"106-120",IF(E4648&lt;=140,"121-140","Over 140"))))</f>
        <v/>
      </c>
      <c r="Q4648" s="28">
        <f>INT(C4648/10)*10</f>
        <v/>
      </c>
    </row>
    <row r="4649">
      <c r="A4649" s="21" t="n">
        <v>4758</v>
      </c>
      <c r="B4649" s="21" t="inlineStr">
        <is>
          <t>The Age of Adaline</t>
        </is>
      </c>
      <c r="C4649" s="21" t="n">
        <v>2015</v>
      </c>
      <c r="D4649" s="21" t="inlineStr">
        <is>
          <t>USA</t>
        </is>
      </c>
      <c r="E4649" s="21" t="n">
        <v>112</v>
      </c>
      <c r="F4649" s="21" t="inlineStr">
        <is>
          <t>English</t>
        </is>
      </c>
      <c r="G4649" s="21" t="inlineStr">
        <is>
          <t>PG-13</t>
        </is>
      </c>
      <c r="H4649" s="22" t="n">
        <v>42478175</v>
      </c>
      <c r="I4649" s="22" t="n">
        <v>25000000</v>
      </c>
      <c r="J4649" s="21">
        <f>IF(OR(H4649="",H4649=25529689.5),"Yes","No")</f>
        <v/>
      </c>
      <c r="K4649" s="21">
        <f>IF(AND(D4649="USA",C4649&gt;=1980,J4649="No"),"Yes","No")</f>
        <v/>
      </c>
      <c r="L4649" s="26">
        <f>IF(J4649="Yes","",H4649-I4649)</f>
        <v/>
      </c>
      <c r="M4649" s="27">
        <f>IF(OR(J4649="Yes",I4649=0),"",H4649/I4649)</f>
        <v/>
      </c>
      <c r="N4649" s="21">
        <f>IF(J4649="Yes","",IF(H4649&gt;=I4649,1,0))</f>
        <v/>
      </c>
      <c r="O4649" s="21">
        <f>IF(I4649&lt;=5000000,"Under $5M",IF(I4649&lt;=20000000,"$5M-20M",IF(I4649&lt;=50000000,"$20M-50M",IF(I4649&lt;=100000000,"$50M-100M","$100M+"))))</f>
        <v/>
      </c>
      <c r="P4649" s="21">
        <f>IF(E4649&lt;=90,"90 or less",IF(E4649&lt;=105,"91-105",IF(E4649&lt;=120,"106-120",IF(E4649&lt;=140,"121-140","Over 140"))))</f>
        <v/>
      </c>
      <c r="Q4649" s="28">
        <f>INT(C4649/10)*10</f>
        <v/>
      </c>
    </row>
    <row r="4650">
      <c r="A4650" s="21" t="n">
        <v>4759</v>
      </c>
      <c r="B4650" s="21" t="inlineStr">
        <is>
          <t>The Assassin</t>
        </is>
      </c>
      <c r="C4650" s="21" t="n">
        <v>2015</v>
      </c>
      <c r="D4650" s="21" t="inlineStr">
        <is>
          <t>Taiwan</t>
        </is>
      </c>
      <c r="E4650" s="21" t="n">
        <v>105</v>
      </c>
      <c r="F4650" s="21" t="inlineStr">
        <is>
          <t>Mandarin</t>
        </is>
      </c>
      <c r="G4650" s="21" t="inlineStr">
        <is>
          <t>Not Rated</t>
        </is>
      </c>
      <c r="H4650" s="22" t="n">
        <v>613556</v>
      </c>
      <c r="I4650" s="22" t="n">
        <v>15000000</v>
      </c>
      <c r="J4650" s="21">
        <f>IF(OR(H4650="",H4650=25529689.5),"Yes","No")</f>
        <v/>
      </c>
      <c r="K4650" s="21">
        <f>IF(AND(D4650="USA",C4650&gt;=1980,J4650="No"),"Yes","No")</f>
        <v/>
      </c>
      <c r="L4650" s="26">
        <f>IF(J4650="Yes","",H4650-I4650)</f>
        <v/>
      </c>
      <c r="M4650" s="27">
        <f>IF(OR(J4650="Yes",I4650=0),"",H4650/I4650)</f>
        <v/>
      </c>
      <c r="N4650" s="21">
        <f>IF(J4650="Yes","",IF(H4650&gt;=I4650,1,0))</f>
        <v/>
      </c>
      <c r="O4650" s="21">
        <f>IF(I4650&lt;=5000000,"Under $5M",IF(I4650&lt;=20000000,"$5M-20M",IF(I4650&lt;=50000000,"$20M-50M",IF(I4650&lt;=100000000,"$50M-100M","$100M+"))))</f>
        <v/>
      </c>
      <c r="P4650" s="21">
        <f>IF(E4650&lt;=90,"90 or less",IF(E4650&lt;=105,"91-105",IF(E4650&lt;=120,"106-120",IF(E4650&lt;=140,"121-140","Over 140"))))</f>
        <v/>
      </c>
      <c r="Q4650" s="28">
        <f>INT(C4650/10)*10</f>
        <v/>
      </c>
    </row>
    <row r="4651">
      <c r="A4651" s="21" t="n">
        <v>4760</v>
      </c>
      <c r="B4651" s="21" t="inlineStr">
        <is>
          <t>The Big Short</t>
        </is>
      </c>
      <c r="C4651" s="21" t="n">
        <v>2015</v>
      </c>
      <c r="D4651" s="21" t="inlineStr">
        <is>
          <t>USA</t>
        </is>
      </c>
      <c r="E4651" s="21" t="n">
        <v>130</v>
      </c>
      <c r="F4651" s="21" t="inlineStr">
        <is>
          <t>English</t>
        </is>
      </c>
      <c r="G4651" s="21" t="inlineStr">
        <is>
          <t>R</t>
        </is>
      </c>
      <c r="H4651" s="22" t="n">
        <v>70235322</v>
      </c>
      <c r="I4651" s="22" t="n">
        <v>28000000</v>
      </c>
      <c r="J4651" s="21">
        <f>IF(OR(H4651="",H4651=25529689.5),"Yes","No")</f>
        <v/>
      </c>
      <c r="K4651" s="21">
        <f>IF(AND(D4651="USA",C4651&gt;=1980,J4651="No"),"Yes","No")</f>
        <v/>
      </c>
      <c r="L4651" s="26">
        <f>IF(J4651="Yes","",H4651-I4651)</f>
        <v/>
      </c>
      <c r="M4651" s="27">
        <f>IF(OR(J4651="Yes",I4651=0),"",H4651/I4651)</f>
        <v/>
      </c>
      <c r="N4651" s="21">
        <f>IF(J4651="Yes","",IF(H4651&gt;=I4651,1,0))</f>
        <v/>
      </c>
      <c r="O4651" s="21">
        <f>IF(I4651&lt;=5000000,"Under $5M",IF(I4651&lt;=20000000,"$5M-20M",IF(I4651&lt;=50000000,"$20M-50M",IF(I4651&lt;=100000000,"$50M-100M","$100M+"))))</f>
        <v/>
      </c>
      <c r="P4651" s="21">
        <f>IF(E4651&lt;=90,"90 or less",IF(E4651&lt;=105,"91-105",IF(E4651&lt;=120,"106-120",IF(E4651&lt;=140,"121-140","Over 140"))))</f>
        <v/>
      </c>
      <c r="Q4651" s="28">
        <f>INT(C4651/10)*10</f>
        <v/>
      </c>
    </row>
    <row r="4652">
      <c r="A4652" s="21" t="n">
        <v>4761</v>
      </c>
      <c r="B4652" s="21" t="inlineStr">
        <is>
          <t>The Boy Next Door</t>
        </is>
      </c>
      <c r="C4652" s="21" t="n">
        <v>2015</v>
      </c>
      <c r="D4652" s="21" t="inlineStr">
        <is>
          <t>USA</t>
        </is>
      </c>
      <c r="E4652" s="21" t="n">
        <v>91</v>
      </c>
      <c r="F4652" s="21" t="inlineStr">
        <is>
          <t>English</t>
        </is>
      </c>
      <c r="G4652" s="21" t="inlineStr">
        <is>
          <t>R</t>
        </is>
      </c>
      <c r="H4652" s="22" t="n">
        <v>35385560</v>
      </c>
      <c r="I4652" s="22" t="n">
        <v>4000000</v>
      </c>
      <c r="J4652" s="21">
        <f>IF(OR(H4652="",H4652=25529689.5),"Yes","No")</f>
        <v/>
      </c>
      <c r="K4652" s="21">
        <f>IF(AND(D4652="USA",C4652&gt;=1980,J4652="No"),"Yes","No")</f>
        <v/>
      </c>
      <c r="L4652" s="26">
        <f>IF(J4652="Yes","",H4652-I4652)</f>
        <v/>
      </c>
      <c r="M4652" s="27">
        <f>IF(OR(J4652="Yes",I4652=0),"",H4652/I4652)</f>
        <v/>
      </c>
      <c r="N4652" s="21">
        <f>IF(J4652="Yes","",IF(H4652&gt;=I4652,1,0))</f>
        <v/>
      </c>
      <c r="O4652" s="21">
        <f>IF(I4652&lt;=5000000,"Under $5M",IF(I4652&lt;=20000000,"$5M-20M",IF(I4652&lt;=50000000,"$20M-50M",IF(I4652&lt;=100000000,"$50M-100M","$100M+"))))</f>
        <v/>
      </c>
      <c r="P4652" s="21">
        <f>IF(E4652&lt;=90,"90 or less",IF(E4652&lt;=105,"91-105",IF(E4652&lt;=120,"106-120",IF(E4652&lt;=140,"121-140","Over 140"))))</f>
        <v/>
      </c>
      <c r="Q4652" s="28">
        <f>INT(C4652/10)*10</f>
        <v/>
      </c>
    </row>
    <row r="4653">
      <c r="A4653" s="21" t="n">
        <v>4762</v>
      </c>
      <c r="B4653" s="21" t="inlineStr">
        <is>
          <t>The Curse of Downers Grove</t>
        </is>
      </c>
      <c r="C4653" s="21" t="n">
        <v>2015</v>
      </c>
      <c r="D4653" s="21" t="inlineStr">
        <is>
          <t>USA</t>
        </is>
      </c>
      <c r="E4653" s="21" t="n">
        <v>89</v>
      </c>
      <c r="F4653" s="21" t="inlineStr">
        <is>
          <t>English</t>
        </is>
      </c>
      <c r="G4653" s="21" t="n"/>
      <c r="H4653" s="22" t="n">
        <v>25529689.5</v>
      </c>
      <c r="I4653" s="22" t="n">
        <v>2000000</v>
      </c>
      <c r="J4653" s="21">
        <f>IF(OR(H4653="",H4653=25529689.5),"Yes","No")</f>
        <v/>
      </c>
      <c r="K4653" s="21">
        <f>IF(AND(D4653="USA",C4653&gt;=1980,J4653="No"),"Yes","No")</f>
        <v/>
      </c>
      <c r="L4653" s="26">
        <f>IF(J4653="Yes","",H4653-I4653)</f>
        <v/>
      </c>
      <c r="M4653" s="27">
        <f>IF(OR(J4653="Yes",I4653=0),"",H4653/I4653)</f>
        <v/>
      </c>
      <c r="N4653" s="21">
        <f>IF(J4653="Yes","",IF(H4653&gt;=I4653,1,0))</f>
        <v/>
      </c>
      <c r="O4653" s="21">
        <f>IF(I4653&lt;=5000000,"Under $5M",IF(I4653&lt;=20000000,"$5M-20M",IF(I4653&lt;=50000000,"$20M-50M",IF(I4653&lt;=100000000,"$50M-100M","$100M+"))))</f>
        <v/>
      </c>
      <c r="P4653" s="21">
        <f>IF(E4653&lt;=90,"90 or less",IF(E4653&lt;=105,"91-105",IF(E4653&lt;=120,"106-120",IF(E4653&lt;=140,"121-140","Over 140"))))</f>
        <v/>
      </c>
      <c r="Q4653" s="28">
        <f>INT(C4653/10)*10</f>
        <v/>
      </c>
    </row>
    <row r="4654">
      <c r="A4654" s="21" t="n">
        <v>4763</v>
      </c>
      <c r="B4654" s="21" t="inlineStr">
        <is>
          <t>The Diary of a Teenage Girl</t>
        </is>
      </c>
      <c r="C4654" s="21" t="n">
        <v>2015</v>
      </c>
      <c r="D4654" s="21" t="inlineStr">
        <is>
          <t>USA</t>
        </is>
      </c>
      <c r="E4654" s="21" t="n">
        <v>102</v>
      </c>
      <c r="F4654" s="21" t="inlineStr">
        <is>
          <t>English</t>
        </is>
      </c>
      <c r="G4654" s="21" t="inlineStr">
        <is>
          <t>R</t>
        </is>
      </c>
      <c r="H4654" s="22" t="n">
        <v>1477002</v>
      </c>
      <c r="I4654" s="22" t="n">
        <v>2000000</v>
      </c>
      <c r="J4654" s="21">
        <f>IF(OR(H4654="",H4654=25529689.5),"Yes","No")</f>
        <v/>
      </c>
      <c r="K4654" s="21">
        <f>IF(AND(D4654="USA",C4654&gt;=1980,J4654="No"),"Yes","No")</f>
        <v/>
      </c>
      <c r="L4654" s="26">
        <f>IF(J4654="Yes","",H4654-I4654)</f>
        <v/>
      </c>
      <c r="M4654" s="27">
        <f>IF(OR(J4654="Yes",I4654=0),"",H4654/I4654)</f>
        <v/>
      </c>
      <c r="N4654" s="21">
        <f>IF(J4654="Yes","",IF(H4654&gt;=I4654,1,0))</f>
        <v/>
      </c>
      <c r="O4654" s="21">
        <f>IF(I4654&lt;=5000000,"Under $5M",IF(I4654&lt;=20000000,"$5M-20M",IF(I4654&lt;=50000000,"$20M-50M",IF(I4654&lt;=100000000,"$50M-100M","$100M+"))))</f>
        <v/>
      </c>
      <c r="P4654" s="21">
        <f>IF(E4654&lt;=90,"90 or less",IF(E4654&lt;=105,"91-105",IF(E4654&lt;=120,"106-120",IF(E4654&lt;=140,"121-140","Over 140"))))</f>
        <v/>
      </c>
      <c r="Q4654" s="28">
        <f>INT(C4654/10)*10</f>
        <v/>
      </c>
    </row>
    <row r="4655">
      <c r="A4655" s="21" t="n">
        <v>4764</v>
      </c>
      <c r="B4655" s="21" t="inlineStr">
        <is>
          <t>The DUFF</t>
        </is>
      </c>
      <c r="C4655" s="21" t="n">
        <v>2015</v>
      </c>
      <c r="D4655" s="21" t="inlineStr">
        <is>
          <t>USA</t>
        </is>
      </c>
      <c r="E4655" s="21" t="n">
        <v>101</v>
      </c>
      <c r="F4655" s="21" t="inlineStr">
        <is>
          <t>English</t>
        </is>
      </c>
      <c r="G4655" s="21" t="inlineStr">
        <is>
          <t>PG-13</t>
        </is>
      </c>
      <c r="H4655" s="22" t="n">
        <v>34017854</v>
      </c>
      <c r="I4655" s="22" t="n">
        <v>8500000</v>
      </c>
      <c r="J4655" s="21">
        <f>IF(OR(H4655="",H4655=25529689.5),"Yes","No")</f>
        <v/>
      </c>
      <c r="K4655" s="21">
        <f>IF(AND(D4655="USA",C4655&gt;=1980,J4655="No"),"Yes","No")</f>
        <v/>
      </c>
      <c r="L4655" s="26">
        <f>IF(J4655="Yes","",H4655-I4655)</f>
        <v/>
      </c>
      <c r="M4655" s="27">
        <f>IF(OR(J4655="Yes",I4655=0),"",H4655/I4655)</f>
        <v/>
      </c>
      <c r="N4655" s="21">
        <f>IF(J4655="Yes","",IF(H4655&gt;=I4655,1,0))</f>
        <v/>
      </c>
      <c r="O4655" s="21">
        <f>IF(I4655&lt;=5000000,"Under $5M",IF(I4655&lt;=20000000,"$5M-20M",IF(I4655&lt;=50000000,"$20M-50M",IF(I4655&lt;=100000000,"$50M-100M","$100M+"))))</f>
        <v/>
      </c>
      <c r="P4655" s="21">
        <f>IF(E4655&lt;=90,"90 or less",IF(E4655&lt;=105,"91-105",IF(E4655&lt;=120,"106-120",IF(E4655&lt;=140,"121-140","Over 140"))))</f>
        <v/>
      </c>
      <c r="Q4655" s="28">
        <f>INT(C4655/10)*10</f>
        <v/>
      </c>
    </row>
    <row r="4656">
      <c r="A4656" s="21" t="n">
        <v>4765</v>
      </c>
      <c r="B4656" s="21" t="inlineStr">
        <is>
          <t>The Gallows</t>
        </is>
      </c>
      <c r="C4656" s="21" t="n">
        <v>2015</v>
      </c>
      <c r="D4656" s="21" t="inlineStr">
        <is>
          <t>USA</t>
        </is>
      </c>
      <c r="E4656" s="21" t="n">
        <v>81</v>
      </c>
      <c r="F4656" s="21" t="inlineStr">
        <is>
          <t>English</t>
        </is>
      </c>
      <c r="G4656" s="21" t="inlineStr">
        <is>
          <t>R</t>
        </is>
      </c>
      <c r="H4656" s="22" t="n">
        <v>22757819</v>
      </c>
      <c r="I4656" s="22" t="n">
        <v>100000</v>
      </c>
      <c r="J4656" s="21">
        <f>IF(OR(H4656="",H4656=25529689.5),"Yes","No")</f>
        <v/>
      </c>
      <c r="K4656" s="21">
        <f>IF(AND(D4656="USA",C4656&gt;=1980,J4656="No"),"Yes","No")</f>
        <v/>
      </c>
      <c r="L4656" s="26">
        <f>IF(J4656="Yes","",H4656-I4656)</f>
        <v/>
      </c>
      <c r="M4656" s="27">
        <f>IF(OR(J4656="Yes",I4656=0),"",H4656/I4656)</f>
        <v/>
      </c>
      <c r="N4656" s="21">
        <f>IF(J4656="Yes","",IF(H4656&gt;=I4656,1,0))</f>
        <v/>
      </c>
      <c r="O4656" s="21">
        <f>IF(I4656&lt;=5000000,"Under $5M",IF(I4656&lt;=20000000,"$5M-20M",IF(I4656&lt;=50000000,"$20M-50M",IF(I4656&lt;=100000000,"$50M-100M","$100M+"))))</f>
        <v/>
      </c>
      <c r="P4656" s="21">
        <f>IF(E4656&lt;=90,"90 or less",IF(E4656&lt;=105,"91-105",IF(E4656&lt;=120,"106-120",IF(E4656&lt;=140,"121-140","Over 140"))))</f>
        <v/>
      </c>
      <c r="Q4656" s="28">
        <f>INT(C4656/10)*10</f>
        <v/>
      </c>
    </row>
    <row r="4657">
      <c r="A4657" s="21" t="n">
        <v>4766</v>
      </c>
      <c r="B4657" s="21" t="inlineStr">
        <is>
          <t>The Gift</t>
        </is>
      </c>
      <c r="C4657" s="21" t="n">
        <v>2015</v>
      </c>
      <c r="D4657" s="21" t="inlineStr">
        <is>
          <t>USA</t>
        </is>
      </c>
      <c r="E4657" s="21" t="n">
        <v>108</v>
      </c>
      <c r="F4657" s="21" t="inlineStr">
        <is>
          <t>English</t>
        </is>
      </c>
      <c r="G4657" s="21" t="inlineStr">
        <is>
          <t>R</t>
        </is>
      </c>
      <c r="H4657" s="22" t="n">
        <v>43771291</v>
      </c>
      <c r="I4657" s="22" t="n">
        <v>5000000</v>
      </c>
      <c r="J4657" s="21">
        <f>IF(OR(H4657="",H4657=25529689.5),"Yes","No")</f>
        <v/>
      </c>
      <c r="K4657" s="21">
        <f>IF(AND(D4657="USA",C4657&gt;=1980,J4657="No"),"Yes","No")</f>
        <v/>
      </c>
      <c r="L4657" s="26">
        <f>IF(J4657="Yes","",H4657-I4657)</f>
        <v/>
      </c>
      <c r="M4657" s="27">
        <f>IF(OR(J4657="Yes",I4657=0),"",H4657/I4657)</f>
        <v/>
      </c>
      <c r="N4657" s="21">
        <f>IF(J4657="Yes","",IF(H4657&gt;=I4657,1,0))</f>
        <v/>
      </c>
      <c r="O4657" s="21">
        <f>IF(I4657&lt;=5000000,"Under $5M",IF(I4657&lt;=20000000,"$5M-20M",IF(I4657&lt;=50000000,"$20M-50M",IF(I4657&lt;=100000000,"$50M-100M","$100M+"))))</f>
        <v/>
      </c>
      <c r="P4657" s="21">
        <f>IF(E4657&lt;=90,"90 or less",IF(E4657&lt;=105,"91-105",IF(E4657&lt;=120,"106-120",IF(E4657&lt;=140,"121-140","Over 140"))))</f>
        <v/>
      </c>
      <c r="Q4657" s="28">
        <f>INT(C4657/10)*10</f>
        <v/>
      </c>
    </row>
    <row r="4658">
      <c r="A4658" s="21" t="n">
        <v>4768</v>
      </c>
      <c r="B4658" s="21" t="inlineStr">
        <is>
          <t>The Good Dinosaur</t>
        </is>
      </c>
      <c r="C4658" s="21" t="n">
        <v>2015</v>
      </c>
      <c r="D4658" s="21" t="inlineStr">
        <is>
          <t>USA</t>
        </is>
      </c>
      <c r="E4658" s="21" t="n">
        <v>93</v>
      </c>
      <c r="F4658" s="21" t="inlineStr">
        <is>
          <t>English</t>
        </is>
      </c>
      <c r="G4658" s="21" t="inlineStr">
        <is>
          <t>PG</t>
        </is>
      </c>
      <c r="H4658" s="22" t="n">
        <v>123070338</v>
      </c>
      <c r="I4658" s="22" t="n">
        <v>20000000</v>
      </c>
      <c r="J4658" s="21">
        <f>IF(OR(H4658="",H4658=25529689.5),"Yes","No")</f>
        <v/>
      </c>
      <c r="K4658" s="21">
        <f>IF(AND(D4658="USA",C4658&gt;=1980,J4658="No"),"Yes","No")</f>
        <v/>
      </c>
      <c r="L4658" s="26">
        <f>IF(J4658="Yes","",H4658-I4658)</f>
        <v/>
      </c>
      <c r="M4658" s="27">
        <f>IF(OR(J4658="Yes",I4658=0),"",H4658/I4658)</f>
        <v/>
      </c>
      <c r="N4658" s="21">
        <f>IF(J4658="Yes","",IF(H4658&gt;=I4658,1,0))</f>
        <v/>
      </c>
      <c r="O4658" s="21">
        <f>IF(I4658&lt;=5000000,"Under $5M",IF(I4658&lt;=20000000,"$5M-20M",IF(I4658&lt;=50000000,"$20M-50M",IF(I4658&lt;=100000000,"$50M-100M","$100M+"))))</f>
        <v/>
      </c>
      <c r="P4658" s="21">
        <f>IF(E4658&lt;=90,"90 or less",IF(E4658&lt;=105,"91-105",IF(E4658&lt;=120,"106-120",IF(E4658&lt;=140,"121-140","Over 140"))))</f>
        <v/>
      </c>
      <c r="Q4658" s="28">
        <f>INT(C4658/10)*10</f>
        <v/>
      </c>
    </row>
    <row r="4659">
      <c r="A4659" s="21" t="n">
        <v>4769</v>
      </c>
      <c r="B4659" s="21" t="inlineStr">
        <is>
          <t>The Gunman</t>
        </is>
      </c>
      <c r="C4659" s="21" t="n">
        <v>2015</v>
      </c>
      <c r="D4659" s="21" t="inlineStr">
        <is>
          <t>USA</t>
        </is>
      </c>
      <c r="E4659" s="21" t="n">
        <v>115</v>
      </c>
      <c r="F4659" s="21" t="inlineStr">
        <is>
          <t>English</t>
        </is>
      </c>
      <c r="G4659" s="21" t="inlineStr">
        <is>
          <t>R</t>
        </is>
      </c>
      <c r="H4659" s="22" t="n">
        <v>10640645</v>
      </c>
      <c r="I4659" s="22" t="n">
        <v>40000000</v>
      </c>
      <c r="J4659" s="21">
        <f>IF(OR(H4659="",H4659=25529689.5),"Yes","No")</f>
        <v/>
      </c>
      <c r="K4659" s="21">
        <f>IF(AND(D4659="USA",C4659&gt;=1980,J4659="No"),"Yes","No")</f>
        <v/>
      </c>
      <c r="L4659" s="26">
        <f>IF(J4659="Yes","",H4659-I4659)</f>
        <v/>
      </c>
      <c r="M4659" s="27">
        <f>IF(OR(J4659="Yes",I4659=0),"",H4659/I4659)</f>
        <v/>
      </c>
      <c r="N4659" s="21">
        <f>IF(J4659="Yes","",IF(H4659&gt;=I4659,1,0))</f>
        <v/>
      </c>
      <c r="O4659" s="21">
        <f>IF(I4659&lt;=5000000,"Under $5M",IF(I4659&lt;=20000000,"$5M-20M",IF(I4659&lt;=50000000,"$20M-50M",IF(I4659&lt;=100000000,"$50M-100M","$100M+"))))</f>
        <v/>
      </c>
      <c r="P4659" s="21">
        <f>IF(E4659&lt;=90,"90 or less",IF(E4659&lt;=105,"91-105",IF(E4659&lt;=120,"106-120",IF(E4659&lt;=140,"121-140","Over 140"))))</f>
        <v/>
      </c>
      <c r="Q4659" s="28">
        <f>INT(C4659/10)*10</f>
        <v/>
      </c>
    </row>
    <row r="4660">
      <c r="A4660" s="21" t="n">
        <v>4770</v>
      </c>
      <c r="B4660" s="21" t="inlineStr">
        <is>
          <t>The Hateful Eight</t>
        </is>
      </c>
      <c r="C4660" s="21" t="n">
        <v>2015</v>
      </c>
      <c r="D4660" s="21" t="inlineStr">
        <is>
          <t>USA</t>
        </is>
      </c>
      <c r="E4660" s="21" t="n">
        <v>187</v>
      </c>
      <c r="F4660" s="21" t="inlineStr">
        <is>
          <t>English</t>
        </is>
      </c>
      <c r="G4660" s="21" t="inlineStr">
        <is>
          <t>R</t>
        </is>
      </c>
      <c r="H4660" s="22" t="n">
        <v>54116191</v>
      </c>
      <c r="I4660" s="22" t="n">
        <v>44000000</v>
      </c>
      <c r="J4660" s="21">
        <f>IF(OR(H4660="",H4660=25529689.5),"Yes","No")</f>
        <v/>
      </c>
      <c r="K4660" s="21">
        <f>IF(AND(D4660="USA",C4660&gt;=1980,J4660="No"),"Yes","No")</f>
        <v/>
      </c>
      <c r="L4660" s="26">
        <f>IF(J4660="Yes","",H4660-I4660)</f>
        <v/>
      </c>
      <c r="M4660" s="27">
        <f>IF(OR(J4660="Yes",I4660=0),"",H4660/I4660)</f>
        <v/>
      </c>
      <c r="N4660" s="21">
        <f>IF(J4660="Yes","",IF(H4660&gt;=I4660,1,0))</f>
        <v/>
      </c>
      <c r="O4660" s="21">
        <f>IF(I4660&lt;=5000000,"Under $5M",IF(I4660&lt;=20000000,"$5M-20M",IF(I4660&lt;=50000000,"$20M-50M",IF(I4660&lt;=100000000,"$50M-100M","$100M+"))))</f>
        <v/>
      </c>
      <c r="P4660" s="21">
        <f>IF(E4660&lt;=90,"90 or less",IF(E4660&lt;=105,"91-105",IF(E4660&lt;=120,"106-120",IF(E4660&lt;=140,"121-140","Over 140"))))</f>
        <v/>
      </c>
      <c r="Q4660" s="28">
        <f>INT(C4660/10)*10</f>
        <v/>
      </c>
    </row>
    <row r="4661">
      <c r="A4661" s="21" t="n">
        <v>4771</v>
      </c>
      <c r="B4661" s="21" t="inlineStr">
        <is>
          <t>The Horror Network Vol. 1</t>
        </is>
      </c>
      <c r="C4661" s="21" t="n">
        <v>2015</v>
      </c>
      <c r="D4661" s="21" t="inlineStr">
        <is>
          <t>USA</t>
        </is>
      </c>
      <c r="E4661" s="21" t="n">
        <v>97</v>
      </c>
      <c r="F4661" s="21" t="inlineStr">
        <is>
          <t>English</t>
        </is>
      </c>
      <c r="G4661" s="21" t="n"/>
      <c r="H4661" s="22" t="n">
        <v>25529689.5</v>
      </c>
      <c r="I4661" s="22" t="n">
        <v>3000000</v>
      </c>
      <c r="J4661" s="21">
        <f>IF(OR(H4661="",H4661=25529689.5),"Yes","No")</f>
        <v/>
      </c>
      <c r="K4661" s="21">
        <f>IF(AND(D4661="USA",C4661&gt;=1980,J4661="No"),"Yes","No")</f>
        <v/>
      </c>
      <c r="L4661" s="26">
        <f>IF(J4661="Yes","",H4661-I4661)</f>
        <v/>
      </c>
      <c r="M4661" s="27">
        <f>IF(OR(J4661="Yes",I4661=0),"",H4661/I4661)</f>
        <v/>
      </c>
      <c r="N4661" s="21">
        <f>IF(J4661="Yes","",IF(H4661&gt;=I4661,1,0))</f>
        <v/>
      </c>
      <c r="O4661" s="21">
        <f>IF(I4661&lt;=5000000,"Under $5M",IF(I4661&lt;=20000000,"$5M-20M",IF(I4661&lt;=50000000,"$20M-50M",IF(I4661&lt;=100000000,"$50M-100M","$100M+"))))</f>
        <v/>
      </c>
      <c r="P4661" s="21">
        <f>IF(E4661&lt;=90,"90 or less",IF(E4661&lt;=105,"91-105",IF(E4661&lt;=120,"106-120",IF(E4661&lt;=140,"121-140","Over 140"))))</f>
        <v/>
      </c>
      <c r="Q4661" s="28">
        <f>INT(C4661/10)*10</f>
        <v/>
      </c>
    </row>
    <row r="4662">
      <c r="A4662" s="21" t="n">
        <v>4772</v>
      </c>
      <c r="B4662" s="21" t="inlineStr">
        <is>
          <t>The Hunger Games: Mockingjay - Part 2</t>
        </is>
      </c>
      <c r="C4662" s="21" t="n">
        <v>2015</v>
      </c>
      <c r="D4662" s="21" t="inlineStr">
        <is>
          <t>USA</t>
        </is>
      </c>
      <c r="E4662" s="21" t="n">
        <v>137</v>
      </c>
      <c r="F4662" s="21" t="inlineStr">
        <is>
          <t>English</t>
        </is>
      </c>
      <c r="G4662" s="21" t="inlineStr">
        <is>
          <t>PG-13</t>
        </is>
      </c>
      <c r="H4662" s="22" t="n">
        <v>281666058</v>
      </c>
      <c r="I4662" s="22" t="n">
        <v>160000000</v>
      </c>
      <c r="J4662" s="21">
        <f>IF(OR(H4662="",H4662=25529689.5),"Yes","No")</f>
        <v/>
      </c>
      <c r="K4662" s="21">
        <f>IF(AND(D4662="USA",C4662&gt;=1980,J4662="No"),"Yes","No")</f>
        <v/>
      </c>
      <c r="L4662" s="26">
        <f>IF(J4662="Yes","",H4662-I4662)</f>
        <v/>
      </c>
      <c r="M4662" s="27">
        <f>IF(OR(J4662="Yes",I4662=0),"",H4662/I4662)</f>
        <v/>
      </c>
      <c r="N4662" s="21">
        <f>IF(J4662="Yes","",IF(H4662&gt;=I4662,1,0))</f>
        <v/>
      </c>
      <c r="O4662" s="21">
        <f>IF(I4662&lt;=5000000,"Under $5M",IF(I4662&lt;=20000000,"$5M-20M",IF(I4662&lt;=50000000,"$20M-50M",IF(I4662&lt;=100000000,"$50M-100M","$100M+"))))</f>
        <v/>
      </c>
      <c r="P4662" s="21">
        <f>IF(E4662&lt;=90,"90 or less",IF(E4662&lt;=105,"91-105",IF(E4662&lt;=120,"106-120",IF(E4662&lt;=140,"121-140","Over 140"))))</f>
        <v/>
      </c>
      <c r="Q4662" s="28">
        <f>INT(C4662/10)*10</f>
        <v/>
      </c>
    </row>
    <row r="4663">
      <c r="A4663" s="21" t="n">
        <v>4773</v>
      </c>
      <c r="B4663" s="21" t="inlineStr">
        <is>
          <t>The Intern</t>
        </is>
      </c>
      <c r="C4663" s="21" t="n">
        <v>2015</v>
      </c>
      <c r="D4663" s="21" t="inlineStr">
        <is>
          <t>USA</t>
        </is>
      </c>
      <c r="E4663" s="21" t="n">
        <v>121</v>
      </c>
      <c r="F4663" s="21" t="inlineStr">
        <is>
          <t>English</t>
        </is>
      </c>
      <c r="G4663" s="21" t="inlineStr">
        <is>
          <t>PG-13</t>
        </is>
      </c>
      <c r="H4663" s="22" t="n">
        <v>75274748</v>
      </c>
      <c r="I4663" s="22" t="n">
        <v>35000000</v>
      </c>
      <c r="J4663" s="21">
        <f>IF(OR(H4663="",H4663=25529689.5),"Yes","No")</f>
        <v/>
      </c>
      <c r="K4663" s="21">
        <f>IF(AND(D4663="USA",C4663&gt;=1980,J4663="No"),"Yes","No")</f>
        <v/>
      </c>
      <c r="L4663" s="26">
        <f>IF(J4663="Yes","",H4663-I4663)</f>
        <v/>
      </c>
      <c r="M4663" s="27">
        <f>IF(OR(J4663="Yes",I4663=0),"",H4663/I4663)</f>
        <v/>
      </c>
      <c r="N4663" s="21">
        <f>IF(J4663="Yes","",IF(H4663&gt;=I4663,1,0))</f>
        <v/>
      </c>
      <c r="O4663" s="21">
        <f>IF(I4663&lt;=5000000,"Under $5M",IF(I4663&lt;=20000000,"$5M-20M",IF(I4663&lt;=50000000,"$20M-50M",IF(I4663&lt;=100000000,"$50M-100M","$100M+"))))</f>
        <v/>
      </c>
      <c r="P4663" s="21">
        <f>IF(E4663&lt;=90,"90 or less",IF(E4663&lt;=105,"91-105",IF(E4663&lt;=120,"106-120",IF(E4663&lt;=140,"121-140","Over 140"))))</f>
        <v/>
      </c>
      <c r="Q4663" s="28">
        <f>INT(C4663/10)*10</f>
        <v/>
      </c>
    </row>
    <row r="4664">
      <c r="A4664" s="21" t="n">
        <v>4774</v>
      </c>
      <c r="B4664" s="21" t="inlineStr">
        <is>
          <t>The Last Witch Hunter</t>
        </is>
      </c>
      <c r="C4664" s="21" t="n">
        <v>2015</v>
      </c>
      <c r="D4664" s="21" t="inlineStr">
        <is>
          <t>USA</t>
        </is>
      </c>
      <c r="E4664" s="21" t="n">
        <v>106</v>
      </c>
      <c r="F4664" s="21" t="inlineStr">
        <is>
          <t>English</t>
        </is>
      </c>
      <c r="G4664" s="21" t="inlineStr">
        <is>
          <t>PG-13</t>
        </is>
      </c>
      <c r="H4664" s="22" t="n">
        <v>27356090</v>
      </c>
      <c r="I4664" s="22" t="n">
        <v>90000000</v>
      </c>
      <c r="J4664" s="21">
        <f>IF(OR(H4664="",H4664=25529689.5),"Yes","No")</f>
        <v/>
      </c>
      <c r="K4664" s="21">
        <f>IF(AND(D4664="USA",C4664&gt;=1980,J4664="No"),"Yes","No")</f>
        <v/>
      </c>
      <c r="L4664" s="26">
        <f>IF(J4664="Yes","",H4664-I4664)</f>
        <v/>
      </c>
      <c r="M4664" s="27">
        <f>IF(OR(J4664="Yes",I4664=0),"",H4664/I4664)</f>
        <v/>
      </c>
      <c r="N4664" s="21">
        <f>IF(J4664="Yes","",IF(H4664&gt;=I4664,1,0))</f>
        <v/>
      </c>
      <c r="O4664" s="21">
        <f>IF(I4664&lt;=5000000,"Under $5M",IF(I4664&lt;=20000000,"$5M-20M",IF(I4664&lt;=50000000,"$20M-50M",IF(I4664&lt;=100000000,"$50M-100M","$100M+"))))</f>
        <v/>
      </c>
      <c r="P4664" s="21">
        <f>IF(E4664&lt;=90,"90 or less",IF(E4664&lt;=105,"91-105",IF(E4664&lt;=120,"106-120",IF(E4664&lt;=140,"121-140","Over 140"))))</f>
        <v/>
      </c>
      <c r="Q4664" s="28">
        <f>INT(C4664/10)*10</f>
        <v/>
      </c>
    </row>
    <row r="4665">
      <c r="A4665" s="21" t="n">
        <v>4775</v>
      </c>
      <c r="B4665" s="21" t="inlineStr">
        <is>
          <t>The Lazarus Effect</t>
        </is>
      </c>
      <c r="C4665" s="21" t="n">
        <v>2015</v>
      </c>
      <c r="D4665" s="21" t="inlineStr">
        <is>
          <t>USA</t>
        </is>
      </c>
      <c r="E4665" s="21" t="n">
        <v>83</v>
      </c>
      <c r="F4665" s="21" t="inlineStr">
        <is>
          <t>English</t>
        </is>
      </c>
      <c r="G4665" s="21" t="inlineStr">
        <is>
          <t>PG-13</t>
        </is>
      </c>
      <c r="H4665" s="22" t="n">
        <v>25799043</v>
      </c>
      <c r="I4665" s="22" t="n">
        <v>3300000</v>
      </c>
      <c r="J4665" s="21">
        <f>IF(OR(H4665="",H4665=25529689.5),"Yes","No")</f>
        <v/>
      </c>
      <c r="K4665" s="21">
        <f>IF(AND(D4665="USA",C4665&gt;=1980,J4665="No"),"Yes","No")</f>
        <v/>
      </c>
      <c r="L4665" s="26">
        <f>IF(J4665="Yes","",H4665-I4665)</f>
        <v/>
      </c>
      <c r="M4665" s="27">
        <f>IF(OR(J4665="Yes",I4665=0),"",H4665/I4665)</f>
        <v/>
      </c>
      <c r="N4665" s="21">
        <f>IF(J4665="Yes","",IF(H4665&gt;=I4665,1,0))</f>
        <v/>
      </c>
      <c r="O4665" s="21">
        <f>IF(I4665&lt;=5000000,"Under $5M",IF(I4665&lt;=20000000,"$5M-20M",IF(I4665&lt;=50000000,"$20M-50M",IF(I4665&lt;=100000000,"$50M-100M","$100M+"))))</f>
        <v/>
      </c>
      <c r="P4665" s="21">
        <f>IF(E4665&lt;=90,"90 or less",IF(E4665&lt;=105,"91-105",IF(E4665&lt;=120,"106-120",IF(E4665&lt;=140,"121-140","Over 140"))))</f>
        <v/>
      </c>
      <c r="Q4665" s="28">
        <f>INT(C4665/10)*10</f>
        <v/>
      </c>
    </row>
    <row r="4666">
      <c r="A4666" s="21" t="n">
        <v>4776</v>
      </c>
      <c r="B4666" s="21" t="inlineStr">
        <is>
          <t>The Little Prince</t>
        </is>
      </c>
      <c r="C4666" s="21" t="n">
        <v>2015</v>
      </c>
      <c r="D4666" s="21" t="inlineStr">
        <is>
          <t>France</t>
        </is>
      </c>
      <c r="E4666" s="21" t="n">
        <v>108</v>
      </c>
      <c r="F4666" s="21" t="inlineStr">
        <is>
          <t>English</t>
        </is>
      </c>
      <c r="G4666" s="21" t="inlineStr">
        <is>
          <t>PG</t>
        </is>
      </c>
      <c r="H4666" s="22" t="n">
        <v>1339152</v>
      </c>
      <c r="I4666" s="22" t="n">
        <v>81200000</v>
      </c>
      <c r="J4666" s="21">
        <f>IF(OR(H4666="",H4666=25529689.5),"Yes","No")</f>
        <v/>
      </c>
      <c r="K4666" s="21">
        <f>IF(AND(D4666="USA",C4666&gt;=1980,J4666="No"),"Yes","No")</f>
        <v/>
      </c>
      <c r="L4666" s="26">
        <f>IF(J4666="Yes","",H4666-I4666)</f>
        <v/>
      </c>
      <c r="M4666" s="27">
        <f>IF(OR(J4666="Yes",I4666=0),"",H4666/I4666)</f>
        <v/>
      </c>
      <c r="N4666" s="21">
        <f>IF(J4666="Yes","",IF(H4666&gt;=I4666,1,0))</f>
        <v/>
      </c>
      <c r="O4666" s="21">
        <f>IF(I4666&lt;=5000000,"Under $5M",IF(I4666&lt;=20000000,"$5M-20M",IF(I4666&lt;=50000000,"$20M-50M",IF(I4666&lt;=100000000,"$50M-100M","$100M+"))))</f>
        <v/>
      </c>
      <c r="P4666" s="21">
        <f>IF(E4666&lt;=90,"90 or less",IF(E4666&lt;=105,"91-105",IF(E4666&lt;=120,"106-120",IF(E4666&lt;=140,"121-140","Over 140"))))</f>
        <v/>
      </c>
      <c r="Q4666" s="28">
        <f>INT(C4666/10)*10</f>
        <v/>
      </c>
    </row>
    <row r="4667">
      <c r="A4667" s="21" t="n">
        <v>4777</v>
      </c>
      <c r="B4667" s="21" t="inlineStr">
        <is>
          <t>The Longest Ride</t>
        </is>
      </c>
      <c r="C4667" s="21" t="n">
        <v>2015</v>
      </c>
      <c r="D4667" s="21" t="inlineStr">
        <is>
          <t>USA</t>
        </is>
      </c>
      <c r="E4667" s="21" t="n">
        <v>128</v>
      </c>
      <c r="F4667" s="21" t="inlineStr">
        <is>
          <t>English</t>
        </is>
      </c>
      <c r="G4667" s="21" t="inlineStr">
        <is>
          <t>PG-13</t>
        </is>
      </c>
      <c r="H4667" s="22" t="n">
        <v>37432299</v>
      </c>
      <c r="I4667" s="22" t="n">
        <v>34000000</v>
      </c>
      <c r="J4667" s="21">
        <f>IF(OR(H4667="",H4667=25529689.5),"Yes","No")</f>
        <v/>
      </c>
      <c r="K4667" s="21">
        <f>IF(AND(D4667="USA",C4667&gt;=1980,J4667="No"),"Yes","No")</f>
        <v/>
      </c>
      <c r="L4667" s="26">
        <f>IF(J4667="Yes","",H4667-I4667)</f>
        <v/>
      </c>
      <c r="M4667" s="27">
        <f>IF(OR(J4667="Yes",I4667=0),"",H4667/I4667)</f>
        <v/>
      </c>
      <c r="N4667" s="21">
        <f>IF(J4667="Yes","",IF(H4667&gt;=I4667,1,0))</f>
        <v/>
      </c>
      <c r="O4667" s="21">
        <f>IF(I4667&lt;=5000000,"Under $5M",IF(I4667&lt;=20000000,"$5M-20M",IF(I4667&lt;=50000000,"$20M-50M",IF(I4667&lt;=100000000,"$50M-100M","$100M+"))))</f>
        <v/>
      </c>
      <c r="P4667" s="21">
        <f>IF(E4667&lt;=90,"90 or less",IF(E4667&lt;=105,"91-105",IF(E4667&lt;=120,"106-120",IF(E4667&lt;=140,"121-140","Over 140"))))</f>
        <v/>
      </c>
      <c r="Q4667" s="28">
        <f>INT(C4667/10)*10</f>
        <v/>
      </c>
    </row>
    <row r="4668">
      <c r="A4668" s="21" t="n">
        <v>4778</v>
      </c>
      <c r="B4668" s="21" t="inlineStr">
        <is>
          <t>The Looking Glass</t>
        </is>
      </c>
      <c r="C4668" s="21" t="n">
        <v>2015</v>
      </c>
      <c r="D4668" s="21" t="inlineStr">
        <is>
          <t>USA</t>
        </is>
      </c>
      <c r="E4668" s="21" t="n">
        <v>110</v>
      </c>
      <c r="F4668" s="21" t="inlineStr">
        <is>
          <t>English</t>
        </is>
      </c>
      <c r="G4668" s="21" t="n"/>
      <c r="H4668" s="22" t="n">
        <v>1711</v>
      </c>
      <c r="I4668" s="22" t="n">
        <v>20000000</v>
      </c>
      <c r="J4668" s="21">
        <f>IF(OR(H4668="",H4668=25529689.5),"Yes","No")</f>
        <v/>
      </c>
      <c r="K4668" s="21">
        <f>IF(AND(D4668="USA",C4668&gt;=1980,J4668="No"),"Yes","No")</f>
        <v/>
      </c>
      <c r="L4668" s="26">
        <f>IF(J4668="Yes","",H4668-I4668)</f>
        <v/>
      </c>
      <c r="M4668" s="27">
        <f>IF(OR(J4668="Yes",I4668=0),"",H4668/I4668)</f>
        <v/>
      </c>
      <c r="N4668" s="21">
        <f>IF(J4668="Yes","",IF(H4668&gt;=I4668,1,0))</f>
        <v/>
      </c>
      <c r="O4668" s="21">
        <f>IF(I4668&lt;=5000000,"Under $5M",IF(I4668&lt;=20000000,"$5M-20M",IF(I4668&lt;=50000000,"$20M-50M",IF(I4668&lt;=100000000,"$50M-100M","$100M+"))))</f>
        <v/>
      </c>
      <c r="P4668" s="21">
        <f>IF(E4668&lt;=90,"90 or less",IF(E4668&lt;=105,"91-105",IF(E4668&lt;=120,"106-120",IF(E4668&lt;=140,"121-140","Over 140"))))</f>
        <v/>
      </c>
      <c r="Q4668" s="28">
        <f>INT(C4668/10)*10</f>
        <v/>
      </c>
    </row>
    <row r="4669">
      <c r="A4669" s="21" t="n">
        <v>4779</v>
      </c>
      <c r="B4669" s="21" t="inlineStr">
        <is>
          <t>The Lovers</t>
        </is>
      </c>
      <c r="C4669" s="21" t="n">
        <v>2015</v>
      </c>
      <c r="D4669" s="21" t="inlineStr">
        <is>
          <t>Belgium</t>
        </is>
      </c>
      <c r="E4669" s="21" t="n">
        <v>109</v>
      </c>
      <c r="F4669" s="21" t="inlineStr">
        <is>
          <t>English</t>
        </is>
      </c>
      <c r="G4669" s="21" t="inlineStr">
        <is>
          <t>R</t>
        </is>
      </c>
      <c r="H4669" s="22" t="n">
        <v>25529689.5</v>
      </c>
      <c r="I4669" s="22" t="n">
        <v>20000000</v>
      </c>
      <c r="J4669" s="21">
        <f>IF(OR(H4669="",H4669=25529689.5),"Yes","No")</f>
        <v/>
      </c>
      <c r="K4669" s="21">
        <f>IF(AND(D4669="USA",C4669&gt;=1980,J4669="No"),"Yes","No")</f>
        <v/>
      </c>
      <c r="L4669" s="26">
        <f>IF(J4669="Yes","",H4669-I4669)</f>
        <v/>
      </c>
      <c r="M4669" s="27">
        <f>IF(OR(J4669="Yes",I4669=0),"",H4669/I4669)</f>
        <v/>
      </c>
      <c r="N4669" s="21">
        <f>IF(J4669="Yes","",IF(H4669&gt;=I4669,1,0))</f>
        <v/>
      </c>
      <c r="O4669" s="21">
        <f>IF(I4669&lt;=5000000,"Under $5M",IF(I4669&lt;=20000000,"$5M-20M",IF(I4669&lt;=50000000,"$20M-50M",IF(I4669&lt;=100000000,"$50M-100M","$100M+"))))</f>
        <v/>
      </c>
      <c r="P4669" s="21">
        <f>IF(E4669&lt;=90,"90 or less",IF(E4669&lt;=105,"91-105",IF(E4669&lt;=120,"106-120",IF(E4669&lt;=140,"121-140","Over 140"))))</f>
        <v/>
      </c>
      <c r="Q4669" s="28">
        <f>INT(C4669/10)*10</f>
        <v/>
      </c>
    </row>
    <row r="4670">
      <c r="A4670" s="21" t="n">
        <v>4781</v>
      </c>
      <c r="B4670" s="21" t="inlineStr">
        <is>
          <t>The Man from U.N.C.L.E.</t>
        </is>
      </c>
      <c r="C4670" s="21" t="n">
        <v>2015</v>
      </c>
      <c r="D4670" s="21" t="inlineStr">
        <is>
          <t>USA</t>
        </is>
      </c>
      <c r="E4670" s="21" t="n">
        <v>116</v>
      </c>
      <c r="F4670" s="21" t="inlineStr">
        <is>
          <t>English</t>
        </is>
      </c>
      <c r="G4670" s="21" t="inlineStr">
        <is>
          <t>PG-13</t>
        </is>
      </c>
      <c r="H4670" s="22" t="n">
        <v>45434443</v>
      </c>
      <c r="I4670" s="22" t="n">
        <v>75000000</v>
      </c>
      <c r="J4670" s="21">
        <f>IF(OR(H4670="",H4670=25529689.5),"Yes","No")</f>
        <v/>
      </c>
      <c r="K4670" s="21">
        <f>IF(AND(D4670="USA",C4670&gt;=1980,J4670="No"),"Yes","No")</f>
        <v/>
      </c>
      <c r="L4670" s="26">
        <f>IF(J4670="Yes","",H4670-I4670)</f>
        <v/>
      </c>
      <c r="M4670" s="27">
        <f>IF(OR(J4670="Yes",I4670=0),"",H4670/I4670)</f>
        <v/>
      </c>
      <c r="N4670" s="21">
        <f>IF(J4670="Yes","",IF(H4670&gt;=I4670,1,0))</f>
        <v/>
      </c>
      <c r="O4670" s="21">
        <f>IF(I4670&lt;=5000000,"Under $5M",IF(I4670&lt;=20000000,"$5M-20M",IF(I4670&lt;=50000000,"$20M-50M",IF(I4670&lt;=100000000,"$50M-100M","$100M+"))))</f>
        <v/>
      </c>
      <c r="P4670" s="21">
        <f>IF(E4670&lt;=90,"90 or less",IF(E4670&lt;=105,"91-105",IF(E4670&lt;=120,"106-120",IF(E4670&lt;=140,"121-140","Over 140"))))</f>
        <v/>
      </c>
      <c r="Q4670" s="28">
        <f>INT(C4670/10)*10</f>
        <v/>
      </c>
    </row>
    <row r="4671">
      <c r="A4671" s="21" t="n">
        <v>4782</v>
      </c>
      <c r="B4671" s="21" t="inlineStr">
        <is>
          <t>The Marine 4: Moving Target</t>
        </is>
      </c>
      <c r="C4671" s="21" t="n">
        <v>2015</v>
      </c>
      <c r="D4671" s="21" t="inlineStr">
        <is>
          <t>USA</t>
        </is>
      </c>
      <c r="E4671" s="21" t="n">
        <v>90</v>
      </c>
      <c r="F4671" s="21" t="inlineStr">
        <is>
          <t>English</t>
        </is>
      </c>
      <c r="G4671" s="21" t="inlineStr">
        <is>
          <t>R</t>
        </is>
      </c>
      <c r="H4671" s="22" t="n">
        <v>25529689.5</v>
      </c>
      <c r="I4671" s="22" t="n">
        <v>1950000</v>
      </c>
      <c r="J4671" s="21">
        <f>IF(OR(H4671="",H4671=25529689.5),"Yes","No")</f>
        <v/>
      </c>
      <c r="K4671" s="21">
        <f>IF(AND(D4671="USA",C4671&gt;=1980,J4671="No"),"Yes","No")</f>
        <v/>
      </c>
      <c r="L4671" s="26">
        <f>IF(J4671="Yes","",H4671-I4671)</f>
        <v/>
      </c>
      <c r="M4671" s="27">
        <f>IF(OR(J4671="Yes",I4671=0),"",H4671/I4671)</f>
        <v/>
      </c>
      <c r="N4671" s="21">
        <f>IF(J4671="Yes","",IF(H4671&gt;=I4671,1,0))</f>
        <v/>
      </c>
      <c r="O4671" s="21">
        <f>IF(I4671&lt;=5000000,"Under $5M",IF(I4671&lt;=20000000,"$5M-20M",IF(I4671&lt;=50000000,"$20M-50M",IF(I4671&lt;=100000000,"$50M-100M","$100M+"))))</f>
        <v/>
      </c>
      <c r="P4671" s="21">
        <f>IF(E4671&lt;=90,"90 or less",IF(E4671&lt;=105,"91-105",IF(E4671&lt;=120,"106-120",IF(E4671&lt;=140,"121-140","Over 140"))))</f>
        <v/>
      </c>
      <c r="Q4671" s="28">
        <f>INT(C4671/10)*10</f>
        <v/>
      </c>
    </row>
    <row r="4672">
      <c r="A4672" s="21" t="n">
        <v>4783</v>
      </c>
      <c r="B4672" s="21" t="inlineStr">
        <is>
          <t>The Martian</t>
        </is>
      </c>
      <c r="C4672" s="21" t="n">
        <v>2015</v>
      </c>
      <c r="D4672" s="21" t="inlineStr">
        <is>
          <t>USA</t>
        </is>
      </c>
      <c r="E4672" s="21" t="n">
        <v>151</v>
      </c>
      <c r="F4672" s="21" t="inlineStr">
        <is>
          <t>English</t>
        </is>
      </c>
      <c r="G4672" s="21" t="inlineStr">
        <is>
          <t>PG-13</t>
        </is>
      </c>
      <c r="H4672" s="22" t="n">
        <v>228430993</v>
      </c>
      <c r="I4672" s="22" t="n">
        <v>108000000</v>
      </c>
      <c r="J4672" s="21">
        <f>IF(OR(H4672="",H4672=25529689.5),"Yes","No")</f>
        <v/>
      </c>
      <c r="K4672" s="21">
        <f>IF(AND(D4672="USA",C4672&gt;=1980,J4672="No"),"Yes","No")</f>
        <v/>
      </c>
      <c r="L4672" s="26">
        <f>IF(J4672="Yes","",H4672-I4672)</f>
        <v/>
      </c>
      <c r="M4672" s="27">
        <f>IF(OR(J4672="Yes",I4672=0),"",H4672/I4672)</f>
        <v/>
      </c>
      <c r="N4672" s="21">
        <f>IF(J4672="Yes","",IF(H4672&gt;=I4672,1,0))</f>
        <v/>
      </c>
      <c r="O4672" s="21">
        <f>IF(I4672&lt;=5000000,"Under $5M",IF(I4672&lt;=20000000,"$5M-20M",IF(I4672&lt;=50000000,"$20M-50M",IF(I4672&lt;=100000000,"$50M-100M","$100M+"))))</f>
        <v/>
      </c>
      <c r="P4672" s="21">
        <f>IF(E4672&lt;=90,"90 or less",IF(E4672&lt;=105,"91-105",IF(E4672&lt;=120,"106-120",IF(E4672&lt;=140,"121-140","Over 140"))))</f>
        <v/>
      </c>
      <c r="Q4672" s="28">
        <f>INT(C4672/10)*10</f>
        <v/>
      </c>
    </row>
    <row r="4673">
      <c r="A4673" s="21" t="n">
        <v>4784</v>
      </c>
      <c r="B4673" s="21" t="inlineStr">
        <is>
          <t>The Peanuts Movie</t>
        </is>
      </c>
      <c r="C4673" s="21" t="n">
        <v>2015</v>
      </c>
      <c r="D4673" s="21" t="inlineStr">
        <is>
          <t>USA</t>
        </is>
      </c>
      <c r="E4673" s="21" t="n">
        <v>88</v>
      </c>
      <c r="F4673" s="21" t="inlineStr">
        <is>
          <t>English</t>
        </is>
      </c>
      <c r="G4673" s="21" t="inlineStr">
        <is>
          <t>G</t>
        </is>
      </c>
      <c r="H4673" s="22" t="n">
        <v>130174897</v>
      </c>
      <c r="I4673" s="22" t="n">
        <v>99000000</v>
      </c>
      <c r="J4673" s="21">
        <f>IF(OR(H4673="",H4673=25529689.5),"Yes","No")</f>
        <v/>
      </c>
      <c r="K4673" s="21">
        <f>IF(AND(D4673="USA",C4673&gt;=1980,J4673="No"),"Yes","No")</f>
        <v/>
      </c>
      <c r="L4673" s="26">
        <f>IF(J4673="Yes","",H4673-I4673)</f>
        <v/>
      </c>
      <c r="M4673" s="27">
        <f>IF(OR(J4673="Yes",I4673=0),"",H4673/I4673)</f>
        <v/>
      </c>
      <c r="N4673" s="21">
        <f>IF(J4673="Yes","",IF(H4673&gt;=I4673,1,0))</f>
        <v/>
      </c>
      <c r="O4673" s="21">
        <f>IF(I4673&lt;=5000000,"Under $5M",IF(I4673&lt;=20000000,"$5M-20M",IF(I4673&lt;=50000000,"$20M-50M",IF(I4673&lt;=100000000,"$50M-100M","$100M+"))))</f>
        <v/>
      </c>
      <c r="P4673" s="21">
        <f>IF(E4673&lt;=90,"90 or less",IF(E4673&lt;=105,"91-105",IF(E4673&lt;=120,"106-120",IF(E4673&lt;=140,"121-140","Over 140"))))</f>
        <v/>
      </c>
      <c r="Q4673" s="28">
        <f>INT(C4673/10)*10</f>
        <v/>
      </c>
    </row>
    <row r="4674">
      <c r="A4674" s="21" t="n">
        <v>4785</v>
      </c>
      <c r="B4674" s="21" t="inlineStr">
        <is>
          <t>The Revenant</t>
        </is>
      </c>
      <c r="C4674" s="21" t="n">
        <v>2015</v>
      </c>
      <c r="D4674" s="21" t="inlineStr">
        <is>
          <t>USA</t>
        </is>
      </c>
      <c r="E4674" s="21" t="n">
        <v>156</v>
      </c>
      <c r="F4674" s="21" t="inlineStr">
        <is>
          <t>English</t>
        </is>
      </c>
      <c r="G4674" s="21" t="inlineStr">
        <is>
          <t>R</t>
        </is>
      </c>
      <c r="H4674" s="22" t="n">
        <v>183635922</v>
      </c>
      <c r="I4674" s="22" t="n">
        <v>135000000</v>
      </c>
      <c r="J4674" s="21">
        <f>IF(OR(H4674="",H4674=25529689.5),"Yes","No")</f>
        <v/>
      </c>
      <c r="K4674" s="21">
        <f>IF(AND(D4674="USA",C4674&gt;=1980,J4674="No"),"Yes","No")</f>
        <v/>
      </c>
      <c r="L4674" s="26">
        <f>IF(J4674="Yes","",H4674-I4674)</f>
        <v/>
      </c>
      <c r="M4674" s="27">
        <f>IF(OR(J4674="Yes",I4674=0),"",H4674/I4674)</f>
        <v/>
      </c>
      <c r="N4674" s="21">
        <f>IF(J4674="Yes","",IF(H4674&gt;=I4674,1,0))</f>
        <v/>
      </c>
      <c r="O4674" s="21">
        <f>IF(I4674&lt;=5000000,"Under $5M",IF(I4674&lt;=20000000,"$5M-20M",IF(I4674&lt;=50000000,"$20M-50M",IF(I4674&lt;=100000000,"$50M-100M","$100M+"))))</f>
        <v/>
      </c>
      <c r="P4674" s="21">
        <f>IF(E4674&lt;=90,"90 or less",IF(E4674&lt;=105,"91-105",IF(E4674&lt;=120,"106-120",IF(E4674&lt;=140,"121-140","Over 140"))))</f>
        <v/>
      </c>
      <c r="Q4674" s="28">
        <f>INT(C4674/10)*10</f>
        <v/>
      </c>
    </row>
    <row r="4675">
      <c r="A4675" s="21" t="n">
        <v>4786</v>
      </c>
      <c r="B4675" s="21" t="inlineStr">
        <is>
          <t>The Rise of the Krays</t>
        </is>
      </c>
      <c r="C4675" s="21" t="n">
        <v>2015</v>
      </c>
      <c r="D4675" s="21" t="inlineStr">
        <is>
          <t>UK</t>
        </is>
      </c>
      <c r="E4675" s="21" t="n">
        <v>110</v>
      </c>
      <c r="F4675" s="21" t="inlineStr">
        <is>
          <t>English</t>
        </is>
      </c>
      <c r="G4675" s="21" t="inlineStr">
        <is>
          <t>R</t>
        </is>
      </c>
      <c r="H4675" s="22" t="n">
        <v>25529689.5</v>
      </c>
      <c r="I4675" s="22" t="n">
        <v>2500000</v>
      </c>
      <c r="J4675" s="21">
        <f>IF(OR(H4675="",H4675=25529689.5),"Yes","No")</f>
        <v/>
      </c>
      <c r="K4675" s="21">
        <f>IF(AND(D4675="USA",C4675&gt;=1980,J4675="No"),"Yes","No")</f>
        <v/>
      </c>
      <c r="L4675" s="26">
        <f>IF(J4675="Yes","",H4675-I4675)</f>
        <v/>
      </c>
      <c r="M4675" s="27">
        <f>IF(OR(J4675="Yes",I4675=0),"",H4675/I4675)</f>
        <v/>
      </c>
      <c r="N4675" s="21">
        <f>IF(J4675="Yes","",IF(H4675&gt;=I4675,1,0))</f>
        <v/>
      </c>
      <c r="O4675" s="21">
        <f>IF(I4675&lt;=5000000,"Under $5M",IF(I4675&lt;=20000000,"$5M-20M",IF(I4675&lt;=50000000,"$20M-50M",IF(I4675&lt;=100000000,"$50M-100M","$100M+"))))</f>
        <v/>
      </c>
      <c r="P4675" s="21">
        <f>IF(E4675&lt;=90,"90 or less",IF(E4675&lt;=105,"91-105",IF(E4675&lt;=120,"106-120",IF(E4675&lt;=140,"121-140","Over 140"))))</f>
        <v/>
      </c>
      <c r="Q4675" s="28">
        <f>INT(C4675/10)*10</f>
        <v/>
      </c>
    </row>
    <row r="4676">
      <c r="A4676" s="21" t="n">
        <v>4787</v>
      </c>
      <c r="B4676" s="21" t="inlineStr">
        <is>
          <t>The Scorch Trials</t>
        </is>
      </c>
      <c r="C4676" s="21" t="n">
        <v>2015</v>
      </c>
      <c r="D4676" s="21" t="inlineStr">
        <is>
          <t>USA</t>
        </is>
      </c>
      <c r="E4676" s="21" t="n">
        <v>132</v>
      </c>
      <c r="F4676" s="21" t="inlineStr">
        <is>
          <t>English</t>
        </is>
      </c>
      <c r="G4676" s="21" t="inlineStr">
        <is>
          <t>PG-13</t>
        </is>
      </c>
      <c r="H4676" s="22" t="n">
        <v>81687587</v>
      </c>
      <c r="I4676" s="22" t="n">
        <v>61000000</v>
      </c>
      <c r="J4676" s="21">
        <f>IF(OR(H4676="",H4676=25529689.5),"Yes","No")</f>
        <v/>
      </c>
      <c r="K4676" s="21">
        <f>IF(AND(D4676="USA",C4676&gt;=1980,J4676="No"),"Yes","No")</f>
        <v/>
      </c>
      <c r="L4676" s="26">
        <f>IF(J4676="Yes","",H4676-I4676)</f>
        <v/>
      </c>
      <c r="M4676" s="27">
        <f>IF(OR(J4676="Yes",I4676=0),"",H4676/I4676)</f>
        <v/>
      </c>
      <c r="N4676" s="21">
        <f>IF(J4676="Yes","",IF(H4676&gt;=I4676,1,0))</f>
        <v/>
      </c>
      <c r="O4676" s="21">
        <f>IF(I4676&lt;=5000000,"Under $5M",IF(I4676&lt;=20000000,"$5M-20M",IF(I4676&lt;=50000000,"$20M-50M",IF(I4676&lt;=100000000,"$50M-100M","$100M+"))))</f>
        <v/>
      </c>
      <c r="P4676" s="21">
        <f>IF(E4676&lt;=90,"90 or less",IF(E4676&lt;=105,"91-105",IF(E4676&lt;=120,"106-120",IF(E4676&lt;=140,"121-140","Over 140"))))</f>
        <v/>
      </c>
      <c r="Q4676" s="28">
        <f>INT(C4676/10)*10</f>
        <v/>
      </c>
    </row>
    <row r="4677">
      <c r="A4677" s="21" t="n">
        <v>4788</v>
      </c>
      <c r="B4677" s="21" t="inlineStr">
        <is>
          <t>The Second Best Exotic Marigold Hotel</t>
        </is>
      </c>
      <c r="C4677" s="21" t="n">
        <v>2015</v>
      </c>
      <c r="D4677" s="21" t="inlineStr">
        <is>
          <t>UK</t>
        </is>
      </c>
      <c r="E4677" s="21" t="n">
        <v>122</v>
      </c>
      <c r="F4677" s="21" t="inlineStr">
        <is>
          <t>English</t>
        </is>
      </c>
      <c r="G4677" s="21" t="inlineStr">
        <is>
          <t>PG</t>
        </is>
      </c>
      <c r="H4677" s="22" t="n">
        <v>33071558</v>
      </c>
      <c r="I4677" s="22" t="n">
        <v>10000000</v>
      </c>
      <c r="J4677" s="21">
        <f>IF(OR(H4677="",H4677=25529689.5),"Yes","No")</f>
        <v/>
      </c>
      <c r="K4677" s="21">
        <f>IF(AND(D4677="USA",C4677&gt;=1980,J4677="No"),"Yes","No")</f>
        <v/>
      </c>
      <c r="L4677" s="26">
        <f>IF(J4677="Yes","",H4677-I4677)</f>
        <v/>
      </c>
      <c r="M4677" s="27">
        <f>IF(OR(J4677="Yes",I4677=0),"",H4677/I4677)</f>
        <v/>
      </c>
      <c r="N4677" s="21">
        <f>IF(J4677="Yes","",IF(H4677&gt;=I4677,1,0))</f>
        <v/>
      </c>
      <c r="O4677" s="21">
        <f>IF(I4677&lt;=5000000,"Under $5M",IF(I4677&lt;=20000000,"$5M-20M",IF(I4677&lt;=50000000,"$20M-50M",IF(I4677&lt;=100000000,"$50M-100M","$100M+"))))</f>
        <v/>
      </c>
      <c r="P4677" s="21">
        <f>IF(E4677&lt;=90,"90 or less",IF(E4677&lt;=105,"91-105",IF(E4677&lt;=120,"106-120",IF(E4677&lt;=140,"121-140","Over 140"))))</f>
        <v/>
      </c>
      <c r="Q4677" s="28">
        <f>INT(C4677/10)*10</f>
        <v/>
      </c>
    </row>
    <row r="4678">
      <c r="A4678" s="21" t="n">
        <v>4789</v>
      </c>
      <c r="B4678" s="21" t="inlineStr">
        <is>
          <t>The Second Mother</t>
        </is>
      </c>
      <c r="C4678" s="21" t="n">
        <v>2015</v>
      </c>
      <c r="D4678" s="21" t="inlineStr">
        <is>
          <t>Brazil</t>
        </is>
      </c>
      <c r="E4678" s="21" t="n">
        <v>112</v>
      </c>
      <c r="F4678" s="21" t="inlineStr">
        <is>
          <t>Portuguese</t>
        </is>
      </c>
      <c r="G4678" s="21" t="inlineStr">
        <is>
          <t>R</t>
        </is>
      </c>
      <c r="H4678" s="22" t="n">
        <v>375723</v>
      </c>
      <c r="I4678" s="22" t="n">
        <v>4000000</v>
      </c>
      <c r="J4678" s="21">
        <f>IF(OR(H4678="",H4678=25529689.5),"Yes","No")</f>
        <v/>
      </c>
      <c r="K4678" s="21">
        <f>IF(AND(D4678="USA",C4678&gt;=1980,J4678="No"),"Yes","No")</f>
        <v/>
      </c>
      <c r="L4678" s="26">
        <f>IF(J4678="Yes","",H4678-I4678)</f>
        <v/>
      </c>
      <c r="M4678" s="27">
        <f>IF(OR(J4678="Yes",I4678=0),"",H4678/I4678)</f>
        <v/>
      </c>
      <c r="N4678" s="21">
        <f>IF(J4678="Yes","",IF(H4678&gt;=I4678,1,0))</f>
        <v/>
      </c>
      <c r="O4678" s="21">
        <f>IF(I4678&lt;=5000000,"Under $5M",IF(I4678&lt;=20000000,"$5M-20M",IF(I4678&lt;=50000000,"$20M-50M",IF(I4678&lt;=100000000,"$50M-100M","$100M+"))))</f>
        <v/>
      </c>
      <c r="P4678" s="21">
        <f>IF(E4678&lt;=90,"90 or less",IF(E4678&lt;=105,"91-105",IF(E4678&lt;=120,"106-120",IF(E4678&lt;=140,"121-140","Over 140"))))</f>
        <v/>
      </c>
      <c r="Q4678" s="28">
        <f>INT(C4678/10)*10</f>
        <v/>
      </c>
    </row>
    <row r="4679">
      <c r="A4679" s="21" t="n">
        <v>4790</v>
      </c>
      <c r="B4679" s="21" t="inlineStr">
        <is>
          <t>The SpongeBob Movie: Sponge Out of Water</t>
        </is>
      </c>
      <c r="C4679" s="21" t="n">
        <v>2015</v>
      </c>
      <c r="D4679" s="21" t="inlineStr">
        <is>
          <t>USA</t>
        </is>
      </c>
      <c r="E4679" s="21" t="n">
        <v>92</v>
      </c>
      <c r="F4679" s="21" t="inlineStr">
        <is>
          <t>English</t>
        </is>
      </c>
      <c r="G4679" s="21" t="inlineStr">
        <is>
          <t>PG</t>
        </is>
      </c>
      <c r="H4679" s="22" t="n">
        <v>162495848</v>
      </c>
      <c r="I4679" s="22" t="n">
        <v>74000000</v>
      </c>
      <c r="J4679" s="21">
        <f>IF(OR(H4679="",H4679=25529689.5),"Yes","No")</f>
        <v/>
      </c>
      <c r="K4679" s="21">
        <f>IF(AND(D4679="USA",C4679&gt;=1980,J4679="No"),"Yes","No")</f>
        <v/>
      </c>
      <c r="L4679" s="26">
        <f>IF(J4679="Yes","",H4679-I4679)</f>
        <v/>
      </c>
      <c r="M4679" s="27">
        <f>IF(OR(J4679="Yes",I4679=0),"",H4679/I4679)</f>
        <v/>
      </c>
      <c r="N4679" s="21">
        <f>IF(J4679="Yes","",IF(H4679&gt;=I4679,1,0))</f>
        <v/>
      </c>
      <c r="O4679" s="21">
        <f>IF(I4679&lt;=5000000,"Under $5M",IF(I4679&lt;=20000000,"$5M-20M",IF(I4679&lt;=50000000,"$20M-50M",IF(I4679&lt;=100000000,"$50M-100M","$100M+"))))</f>
        <v/>
      </c>
      <c r="P4679" s="21">
        <f>IF(E4679&lt;=90,"90 or less",IF(E4679&lt;=105,"91-105",IF(E4679&lt;=120,"106-120",IF(E4679&lt;=140,"121-140","Over 140"))))</f>
        <v/>
      </c>
      <c r="Q4679" s="28">
        <f>INT(C4679/10)*10</f>
        <v/>
      </c>
    </row>
    <row r="4680">
      <c r="A4680" s="21" t="n">
        <v>4791</v>
      </c>
      <c r="B4680" s="21" t="inlineStr">
        <is>
          <t>The Timber</t>
        </is>
      </c>
      <c r="C4680" s="21" t="n">
        <v>2015</v>
      </c>
      <c r="D4680" s="21" t="inlineStr">
        <is>
          <t>USA</t>
        </is>
      </c>
      <c r="E4680" s="21" t="n">
        <v>81</v>
      </c>
      <c r="F4680" s="21" t="inlineStr">
        <is>
          <t>English</t>
        </is>
      </c>
      <c r="G4680" s="21" t="n"/>
      <c r="H4680" s="22" t="n">
        <v>25529689.5</v>
      </c>
      <c r="I4680" s="22" t="n">
        <v>2100000</v>
      </c>
      <c r="J4680" s="21">
        <f>IF(OR(H4680="",H4680=25529689.5),"Yes","No")</f>
        <v/>
      </c>
      <c r="K4680" s="21">
        <f>IF(AND(D4680="USA",C4680&gt;=1980,J4680="No"),"Yes","No")</f>
        <v/>
      </c>
      <c r="L4680" s="26">
        <f>IF(J4680="Yes","",H4680-I4680)</f>
        <v/>
      </c>
      <c r="M4680" s="27">
        <f>IF(OR(J4680="Yes",I4680=0),"",H4680/I4680)</f>
        <v/>
      </c>
      <c r="N4680" s="21">
        <f>IF(J4680="Yes","",IF(H4680&gt;=I4680,1,0))</f>
        <v/>
      </c>
      <c r="O4680" s="21">
        <f>IF(I4680&lt;=5000000,"Under $5M",IF(I4680&lt;=20000000,"$5M-20M",IF(I4680&lt;=50000000,"$20M-50M",IF(I4680&lt;=100000000,"$50M-100M","$100M+"))))</f>
        <v/>
      </c>
      <c r="P4680" s="21">
        <f>IF(E4680&lt;=90,"90 or less",IF(E4680&lt;=105,"91-105",IF(E4680&lt;=120,"106-120",IF(E4680&lt;=140,"121-140","Over 140"))))</f>
        <v/>
      </c>
      <c r="Q4680" s="28">
        <f>INT(C4680/10)*10</f>
        <v/>
      </c>
    </row>
    <row r="4681">
      <c r="A4681" s="21" t="n">
        <v>4792</v>
      </c>
      <c r="B4681" s="21" t="inlineStr">
        <is>
          <t>The Transporter Refueled</t>
        </is>
      </c>
      <c r="C4681" s="21" t="n">
        <v>2015</v>
      </c>
      <c r="D4681" s="21" t="inlineStr">
        <is>
          <t>France</t>
        </is>
      </c>
      <c r="E4681" s="21" t="n">
        <v>96</v>
      </c>
      <c r="F4681" s="21" t="inlineStr">
        <is>
          <t>English</t>
        </is>
      </c>
      <c r="G4681" s="21" t="inlineStr">
        <is>
          <t>PG-13</t>
        </is>
      </c>
      <c r="H4681" s="22" t="n">
        <v>16027866</v>
      </c>
      <c r="I4681" s="22" t="n">
        <v>25000000</v>
      </c>
      <c r="J4681" s="21">
        <f>IF(OR(H4681="",H4681=25529689.5),"Yes","No")</f>
        <v/>
      </c>
      <c r="K4681" s="21">
        <f>IF(AND(D4681="USA",C4681&gt;=1980,J4681="No"),"Yes","No")</f>
        <v/>
      </c>
      <c r="L4681" s="26">
        <f>IF(J4681="Yes","",H4681-I4681)</f>
        <v/>
      </c>
      <c r="M4681" s="27">
        <f>IF(OR(J4681="Yes",I4681=0),"",H4681/I4681)</f>
        <v/>
      </c>
      <c r="N4681" s="21">
        <f>IF(J4681="Yes","",IF(H4681&gt;=I4681,1,0))</f>
        <v/>
      </c>
      <c r="O4681" s="21">
        <f>IF(I4681&lt;=5000000,"Under $5M",IF(I4681&lt;=20000000,"$5M-20M",IF(I4681&lt;=50000000,"$20M-50M",IF(I4681&lt;=100000000,"$50M-100M","$100M+"))))</f>
        <v/>
      </c>
      <c r="P4681" s="21">
        <f>IF(E4681&lt;=90,"90 or less",IF(E4681&lt;=105,"91-105",IF(E4681&lt;=120,"106-120",IF(E4681&lt;=140,"121-140","Over 140"))))</f>
        <v/>
      </c>
      <c r="Q4681" s="28">
        <f>INT(C4681/10)*10</f>
        <v/>
      </c>
    </row>
    <row r="4682">
      <c r="A4682" s="21" t="n">
        <v>4793</v>
      </c>
      <c r="B4682" s="21" t="inlineStr">
        <is>
          <t>The Vatican Tapes</t>
        </is>
      </c>
      <c r="C4682" s="21" t="n">
        <v>2015</v>
      </c>
      <c r="D4682" s="21" t="inlineStr">
        <is>
          <t>USA</t>
        </is>
      </c>
      <c r="E4682" s="21" t="n">
        <v>91</v>
      </c>
      <c r="F4682" s="21" t="inlineStr">
        <is>
          <t>English</t>
        </is>
      </c>
      <c r="G4682" s="21" t="inlineStr">
        <is>
          <t>PG-13</t>
        </is>
      </c>
      <c r="H4682" s="22" t="n">
        <v>1712111</v>
      </c>
      <c r="I4682" s="22" t="n">
        <v>8495000</v>
      </c>
      <c r="J4682" s="21">
        <f>IF(OR(H4682="",H4682=25529689.5),"Yes","No")</f>
        <v/>
      </c>
      <c r="K4682" s="21">
        <f>IF(AND(D4682="USA",C4682&gt;=1980,J4682="No"),"Yes","No")</f>
        <v/>
      </c>
      <c r="L4682" s="26">
        <f>IF(J4682="Yes","",H4682-I4682)</f>
        <v/>
      </c>
      <c r="M4682" s="27">
        <f>IF(OR(J4682="Yes",I4682=0),"",H4682/I4682)</f>
        <v/>
      </c>
      <c r="N4682" s="21">
        <f>IF(J4682="Yes","",IF(H4682&gt;=I4682,1,0))</f>
        <v/>
      </c>
      <c r="O4682" s="21">
        <f>IF(I4682&lt;=5000000,"Under $5M",IF(I4682&lt;=20000000,"$5M-20M",IF(I4682&lt;=50000000,"$20M-50M",IF(I4682&lt;=100000000,"$50M-100M","$100M+"))))</f>
        <v/>
      </c>
      <c r="P4682" s="21">
        <f>IF(E4682&lt;=90,"90 or less",IF(E4682&lt;=105,"91-105",IF(E4682&lt;=120,"106-120",IF(E4682&lt;=140,"121-140","Over 140"))))</f>
        <v/>
      </c>
      <c r="Q4682" s="28">
        <f>INT(C4682/10)*10</f>
        <v/>
      </c>
    </row>
    <row r="4683">
      <c r="A4683" s="21" t="n">
        <v>4794</v>
      </c>
      <c r="B4683" s="21" t="inlineStr">
        <is>
          <t>The Visit</t>
        </is>
      </c>
      <c r="C4683" s="21" t="n">
        <v>2015</v>
      </c>
      <c r="D4683" s="21" t="inlineStr">
        <is>
          <t>USA</t>
        </is>
      </c>
      <c r="E4683" s="21" t="n">
        <v>94</v>
      </c>
      <c r="F4683" s="21" t="inlineStr">
        <is>
          <t>English</t>
        </is>
      </c>
      <c r="G4683" s="21" t="inlineStr">
        <is>
          <t>PG-13</t>
        </is>
      </c>
      <c r="H4683" s="22" t="n">
        <v>65069140</v>
      </c>
      <c r="I4683" s="22" t="n">
        <v>5000000</v>
      </c>
      <c r="J4683" s="21">
        <f>IF(OR(H4683="",H4683=25529689.5),"Yes","No")</f>
        <v/>
      </c>
      <c r="K4683" s="21">
        <f>IF(AND(D4683="USA",C4683&gt;=1980,J4683="No"),"Yes","No")</f>
        <v/>
      </c>
      <c r="L4683" s="26">
        <f>IF(J4683="Yes","",H4683-I4683)</f>
        <v/>
      </c>
      <c r="M4683" s="27">
        <f>IF(OR(J4683="Yes",I4683=0),"",H4683/I4683)</f>
        <v/>
      </c>
      <c r="N4683" s="21">
        <f>IF(J4683="Yes","",IF(H4683&gt;=I4683,1,0))</f>
        <v/>
      </c>
      <c r="O4683" s="21">
        <f>IF(I4683&lt;=5000000,"Under $5M",IF(I4683&lt;=20000000,"$5M-20M",IF(I4683&lt;=50000000,"$20M-50M",IF(I4683&lt;=100000000,"$50M-100M","$100M+"))))</f>
        <v/>
      </c>
      <c r="P4683" s="21">
        <f>IF(E4683&lt;=90,"90 or less",IF(E4683&lt;=105,"91-105",IF(E4683&lt;=120,"106-120",IF(E4683&lt;=140,"121-140","Over 140"))))</f>
        <v/>
      </c>
      <c r="Q4683" s="28">
        <f>INT(C4683/10)*10</f>
        <v/>
      </c>
    </row>
    <row r="4684">
      <c r="A4684" s="21" t="n">
        <v>4795</v>
      </c>
      <c r="B4684" s="21" t="inlineStr">
        <is>
          <t>The Walk</t>
        </is>
      </c>
      <c r="C4684" s="21" t="n">
        <v>2015</v>
      </c>
      <c r="D4684" s="21" t="inlineStr">
        <is>
          <t>USA</t>
        </is>
      </c>
      <c r="E4684" s="21" t="n">
        <v>123</v>
      </c>
      <c r="F4684" s="21" t="inlineStr">
        <is>
          <t>English</t>
        </is>
      </c>
      <c r="G4684" s="21" t="inlineStr">
        <is>
          <t>PG</t>
        </is>
      </c>
      <c r="H4684" s="22" t="n">
        <v>10137502</v>
      </c>
      <c r="I4684" s="22" t="n">
        <v>35000000</v>
      </c>
      <c r="J4684" s="21">
        <f>IF(OR(H4684="",H4684=25529689.5),"Yes","No")</f>
        <v/>
      </c>
      <c r="K4684" s="21">
        <f>IF(AND(D4684="USA",C4684&gt;=1980,J4684="No"),"Yes","No")</f>
        <v/>
      </c>
      <c r="L4684" s="26">
        <f>IF(J4684="Yes","",H4684-I4684)</f>
        <v/>
      </c>
      <c r="M4684" s="27">
        <f>IF(OR(J4684="Yes",I4684=0),"",H4684/I4684)</f>
        <v/>
      </c>
      <c r="N4684" s="21">
        <f>IF(J4684="Yes","",IF(H4684&gt;=I4684,1,0))</f>
        <v/>
      </c>
      <c r="O4684" s="21">
        <f>IF(I4684&lt;=5000000,"Under $5M",IF(I4684&lt;=20000000,"$5M-20M",IF(I4684&lt;=50000000,"$20M-50M",IF(I4684&lt;=100000000,"$50M-100M","$100M+"))))</f>
        <v/>
      </c>
      <c r="P4684" s="21">
        <f>IF(E4684&lt;=90,"90 or less",IF(E4684&lt;=105,"91-105",IF(E4684&lt;=120,"106-120",IF(E4684&lt;=140,"121-140","Over 140"))))</f>
        <v/>
      </c>
      <c r="Q4684" s="28">
        <f>INT(C4684/10)*10</f>
        <v/>
      </c>
    </row>
    <row r="4685">
      <c r="A4685" s="21" t="n">
        <v>4796</v>
      </c>
      <c r="B4685" s="21" t="inlineStr">
        <is>
          <t>The Walking Deceased</t>
        </is>
      </c>
      <c r="C4685" s="21" t="n">
        <v>2015</v>
      </c>
      <c r="D4685" s="21" t="inlineStr">
        <is>
          <t>USA</t>
        </is>
      </c>
      <c r="E4685" s="21" t="n">
        <v>88</v>
      </c>
      <c r="F4685" s="21" t="inlineStr">
        <is>
          <t>English</t>
        </is>
      </c>
      <c r="G4685" s="21" t="inlineStr">
        <is>
          <t>R</t>
        </is>
      </c>
      <c r="H4685" s="22" t="n">
        <v>25529689.5</v>
      </c>
      <c r="I4685" s="22" t="n">
        <v>1250000</v>
      </c>
      <c r="J4685" s="21">
        <f>IF(OR(H4685="",H4685=25529689.5),"Yes","No")</f>
        <v/>
      </c>
      <c r="K4685" s="21">
        <f>IF(AND(D4685="USA",C4685&gt;=1980,J4685="No"),"Yes","No")</f>
        <v/>
      </c>
      <c r="L4685" s="26">
        <f>IF(J4685="Yes","",H4685-I4685)</f>
        <v/>
      </c>
      <c r="M4685" s="27">
        <f>IF(OR(J4685="Yes",I4685=0),"",H4685/I4685)</f>
        <v/>
      </c>
      <c r="N4685" s="21">
        <f>IF(J4685="Yes","",IF(H4685&gt;=I4685,1,0))</f>
        <v/>
      </c>
      <c r="O4685" s="21">
        <f>IF(I4685&lt;=5000000,"Under $5M",IF(I4685&lt;=20000000,"$5M-20M",IF(I4685&lt;=50000000,"$20M-50M",IF(I4685&lt;=100000000,"$50M-100M","$100M+"))))</f>
        <v/>
      </c>
      <c r="P4685" s="21">
        <f>IF(E4685&lt;=90,"90 or less",IF(E4685&lt;=105,"91-105",IF(E4685&lt;=120,"106-120",IF(E4685&lt;=140,"121-140","Over 140"))))</f>
        <v/>
      </c>
      <c r="Q4685" s="28">
        <f>INT(C4685/10)*10</f>
        <v/>
      </c>
    </row>
    <row r="4686">
      <c r="A4686" s="21" t="n">
        <v>4797</v>
      </c>
      <c r="B4686" s="21" t="inlineStr">
        <is>
          <t>The Wicked Within</t>
        </is>
      </c>
      <c r="C4686" s="21" t="n">
        <v>2015</v>
      </c>
      <c r="D4686" s="21" t="inlineStr">
        <is>
          <t>USA</t>
        </is>
      </c>
      <c r="E4686" s="21" t="n">
        <v>84</v>
      </c>
      <c r="F4686" s="21" t="inlineStr">
        <is>
          <t>English</t>
        </is>
      </c>
      <c r="G4686" s="21" t="inlineStr">
        <is>
          <t>R</t>
        </is>
      </c>
      <c r="H4686" s="22" t="n">
        <v>25529689.5</v>
      </c>
      <c r="I4686" s="22" t="n">
        <v>1200000</v>
      </c>
      <c r="J4686" s="21">
        <f>IF(OR(H4686="",H4686=25529689.5),"Yes","No")</f>
        <v/>
      </c>
      <c r="K4686" s="21">
        <f>IF(AND(D4686="USA",C4686&gt;=1980,J4686="No"),"Yes","No")</f>
        <v/>
      </c>
      <c r="L4686" s="26">
        <f>IF(J4686="Yes","",H4686-I4686)</f>
        <v/>
      </c>
      <c r="M4686" s="27">
        <f>IF(OR(J4686="Yes",I4686=0),"",H4686/I4686)</f>
        <v/>
      </c>
      <c r="N4686" s="21">
        <f>IF(J4686="Yes","",IF(H4686&gt;=I4686,1,0))</f>
        <v/>
      </c>
      <c r="O4686" s="21">
        <f>IF(I4686&lt;=5000000,"Under $5M",IF(I4686&lt;=20000000,"$5M-20M",IF(I4686&lt;=50000000,"$20M-50M",IF(I4686&lt;=100000000,"$50M-100M","$100M+"))))</f>
        <v/>
      </c>
      <c r="P4686" s="21">
        <f>IF(E4686&lt;=90,"90 or less",IF(E4686&lt;=105,"91-105",IF(E4686&lt;=120,"106-120",IF(E4686&lt;=140,"121-140","Over 140"))))</f>
        <v/>
      </c>
      <c r="Q4686" s="28">
        <f>INT(C4686/10)*10</f>
        <v/>
      </c>
    </row>
    <row r="4687">
      <c r="A4687" s="21" t="n">
        <v>4798</v>
      </c>
      <c r="B4687" s="21" t="inlineStr">
        <is>
          <t>The Witch</t>
        </is>
      </c>
      <c r="C4687" s="21" t="n">
        <v>2015</v>
      </c>
      <c r="D4687" s="21" t="inlineStr">
        <is>
          <t>USA</t>
        </is>
      </c>
      <c r="E4687" s="21" t="n">
        <v>92</v>
      </c>
      <c r="F4687" s="21" t="inlineStr">
        <is>
          <t>English</t>
        </is>
      </c>
      <c r="G4687" s="21" t="inlineStr">
        <is>
          <t>R</t>
        </is>
      </c>
      <c r="H4687" s="22" t="n">
        <v>25138292</v>
      </c>
      <c r="I4687" s="22" t="n">
        <v>3500000</v>
      </c>
      <c r="J4687" s="21">
        <f>IF(OR(H4687="",H4687=25529689.5),"Yes","No")</f>
        <v/>
      </c>
      <c r="K4687" s="21">
        <f>IF(AND(D4687="USA",C4687&gt;=1980,J4687="No"),"Yes","No")</f>
        <v/>
      </c>
      <c r="L4687" s="26">
        <f>IF(J4687="Yes","",H4687-I4687)</f>
        <v/>
      </c>
      <c r="M4687" s="27">
        <f>IF(OR(J4687="Yes",I4687=0),"",H4687/I4687)</f>
        <v/>
      </c>
      <c r="N4687" s="21">
        <f>IF(J4687="Yes","",IF(H4687&gt;=I4687,1,0))</f>
        <v/>
      </c>
      <c r="O4687" s="21">
        <f>IF(I4687&lt;=5000000,"Under $5M",IF(I4687&lt;=20000000,"$5M-20M",IF(I4687&lt;=50000000,"$20M-50M",IF(I4687&lt;=100000000,"$50M-100M","$100M+"))))</f>
        <v/>
      </c>
      <c r="P4687" s="21">
        <f>IF(E4687&lt;=90,"90 or less",IF(E4687&lt;=105,"91-105",IF(E4687&lt;=120,"106-120",IF(E4687&lt;=140,"121-140","Over 140"))))</f>
        <v/>
      </c>
      <c r="Q4687" s="28">
        <f>INT(C4687/10)*10</f>
        <v/>
      </c>
    </row>
    <row r="4688">
      <c r="A4688" s="21" t="n">
        <v>4799</v>
      </c>
      <c r="B4688" s="21" t="inlineStr">
        <is>
          <t>The World Is Mine</t>
        </is>
      </c>
      <c r="C4688" s="21" t="n">
        <v>2015</v>
      </c>
      <c r="D4688" s="21" t="inlineStr">
        <is>
          <t>Romania</t>
        </is>
      </c>
      <c r="E4688" s="21" t="n">
        <v>104</v>
      </c>
      <c r="F4688" s="21" t="inlineStr">
        <is>
          <t>Romanian</t>
        </is>
      </c>
      <c r="G4688" s="21" t="n"/>
      <c r="H4688" s="22" t="n">
        <v>25529689.5</v>
      </c>
      <c r="I4688" s="22" t="n">
        <v>168000</v>
      </c>
      <c r="J4688" s="21">
        <f>IF(OR(H4688="",H4688=25529689.5),"Yes","No")</f>
        <v/>
      </c>
      <c r="K4688" s="21">
        <f>IF(AND(D4688="USA",C4688&gt;=1980,J4688="No"),"Yes","No")</f>
        <v/>
      </c>
      <c r="L4688" s="26">
        <f>IF(J4688="Yes","",H4688-I4688)</f>
        <v/>
      </c>
      <c r="M4688" s="27">
        <f>IF(OR(J4688="Yes",I4688=0),"",H4688/I4688)</f>
        <v/>
      </c>
      <c r="N4688" s="21">
        <f>IF(J4688="Yes","",IF(H4688&gt;=I4688,1,0))</f>
        <v/>
      </c>
      <c r="O4688" s="21">
        <f>IF(I4688&lt;=5000000,"Under $5M",IF(I4688&lt;=20000000,"$5M-20M",IF(I4688&lt;=50000000,"$20M-50M",IF(I4688&lt;=100000000,"$50M-100M","$100M+"))))</f>
        <v/>
      </c>
      <c r="P4688" s="21">
        <f>IF(E4688&lt;=90,"90 or less",IF(E4688&lt;=105,"91-105",IF(E4688&lt;=120,"106-120",IF(E4688&lt;=140,"121-140","Over 140"))))</f>
        <v/>
      </c>
      <c r="Q4688" s="28">
        <f>INT(C4688/10)*10</f>
        <v/>
      </c>
    </row>
    <row r="4689">
      <c r="A4689" s="21" t="n">
        <v>4800</v>
      </c>
      <c r="B4689" s="21" t="inlineStr">
        <is>
          <t>They Will Have to Kill Us First</t>
        </is>
      </c>
      <c r="C4689" s="21" t="n">
        <v>2015</v>
      </c>
      <c r="D4689" s="21" t="inlineStr">
        <is>
          <t>UK</t>
        </is>
      </c>
      <c r="E4689" s="21" t="n">
        <v>105</v>
      </c>
      <c r="F4689" s="21" t="inlineStr">
        <is>
          <t>French</t>
        </is>
      </c>
      <c r="G4689" s="21" t="n"/>
      <c r="H4689" s="22" t="n">
        <v>25529689.5</v>
      </c>
      <c r="I4689" s="22" t="n">
        <v>400000</v>
      </c>
      <c r="J4689" s="21">
        <f>IF(OR(H4689="",H4689=25529689.5),"Yes","No")</f>
        <v/>
      </c>
      <c r="K4689" s="21">
        <f>IF(AND(D4689="USA",C4689&gt;=1980,J4689="No"),"Yes","No")</f>
        <v/>
      </c>
      <c r="L4689" s="26">
        <f>IF(J4689="Yes","",H4689-I4689)</f>
        <v/>
      </c>
      <c r="M4689" s="27">
        <f>IF(OR(J4689="Yes",I4689=0),"",H4689/I4689)</f>
        <v/>
      </c>
      <c r="N4689" s="21">
        <f>IF(J4689="Yes","",IF(H4689&gt;=I4689,1,0))</f>
        <v/>
      </c>
      <c r="O4689" s="21">
        <f>IF(I4689&lt;=5000000,"Under $5M",IF(I4689&lt;=20000000,"$5M-20M",IF(I4689&lt;=50000000,"$20M-50M",IF(I4689&lt;=100000000,"$50M-100M","$100M+"))))</f>
        <v/>
      </c>
      <c r="P4689" s="21">
        <f>IF(E4689&lt;=90,"90 or less",IF(E4689&lt;=105,"91-105",IF(E4689&lt;=120,"106-120",IF(E4689&lt;=140,"121-140","Over 140"))))</f>
        <v/>
      </c>
      <c r="Q4689" s="28">
        <f>INT(C4689/10)*10</f>
        <v/>
      </c>
    </row>
    <row r="4690">
      <c r="A4690" s="21" t="n">
        <v>4801</v>
      </c>
      <c r="B4690" s="21" t="inlineStr">
        <is>
          <t>Time to Choose</t>
        </is>
      </c>
      <c r="C4690" s="21" t="n">
        <v>2015</v>
      </c>
      <c r="D4690" s="21" t="inlineStr">
        <is>
          <t>USA</t>
        </is>
      </c>
      <c r="E4690" s="21" t="n">
        <v>100</v>
      </c>
      <c r="F4690" s="21" t="inlineStr">
        <is>
          <t>English</t>
        </is>
      </c>
      <c r="G4690" s="21" t="n"/>
      <c r="H4690" s="22" t="n">
        <v>29233</v>
      </c>
      <c r="I4690" s="22" t="n">
        <v>3500000</v>
      </c>
      <c r="J4690" s="21">
        <f>IF(OR(H4690="",H4690=25529689.5),"Yes","No")</f>
        <v/>
      </c>
      <c r="K4690" s="21">
        <f>IF(AND(D4690="USA",C4690&gt;=1980,J4690="No"),"Yes","No")</f>
        <v/>
      </c>
      <c r="L4690" s="26">
        <f>IF(J4690="Yes","",H4690-I4690)</f>
        <v/>
      </c>
      <c r="M4690" s="27">
        <f>IF(OR(J4690="Yes",I4690=0),"",H4690/I4690)</f>
        <v/>
      </c>
      <c r="N4690" s="21">
        <f>IF(J4690="Yes","",IF(H4690&gt;=I4690,1,0))</f>
        <v/>
      </c>
      <c r="O4690" s="21">
        <f>IF(I4690&lt;=5000000,"Under $5M",IF(I4690&lt;=20000000,"$5M-20M",IF(I4690&lt;=50000000,"$20M-50M",IF(I4690&lt;=100000000,"$50M-100M","$100M+"))))</f>
        <v/>
      </c>
      <c r="P4690" s="21">
        <f>IF(E4690&lt;=90,"90 or less",IF(E4690&lt;=105,"91-105",IF(E4690&lt;=120,"106-120",IF(E4690&lt;=140,"121-140","Over 140"))))</f>
        <v/>
      </c>
      <c r="Q4690" s="28">
        <f>INT(C4690/10)*10</f>
        <v/>
      </c>
    </row>
    <row r="4691">
      <c r="A4691" s="21" t="n">
        <v>4802</v>
      </c>
      <c r="B4691" s="21" t="inlineStr">
        <is>
          <t>To Be Frank, Sinatra at 100</t>
        </is>
      </c>
      <c r="C4691" s="21" t="n">
        <v>2015</v>
      </c>
      <c r="D4691" s="21" t="inlineStr">
        <is>
          <t>UK</t>
        </is>
      </c>
      <c r="E4691" s="21" t="n">
        <v>81</v>
      </c>
      <c r="F4691" s="21" t="inlineStr">
        <is>
          <t>English</t>
        </is>
      </c>
      <c r="G4691" s="21" t="n"/>
      <c r="H4691" s="22" t="n">
        <v>25529689.5</v>
      </c>
      <c r="I4691" s="22" t="n">
        <v>2000000</v>
      </c>
      <c r="J4691" s="21">
        <f>IF(OR(H4691="",H4691=25529689.5),"Yes","No")</f>
        <v/>
      </c>
      <c r="K4691" s="21">
        <f>IF(AND(D4691="USA",C4691&gt;=1980,J4691="No"),"Yes","No")</f>
        <v/>
      </c>
      <c r="L4691" s="26">
        <f>IF(J4691="Yes","",H4691-I4691)</f>
        <v/>
      </c>
      <c r="M4691" s="27">
        <f>IF(OR(J4691="Yes",I4691=0),"",H4691/I4691)</f>
        <v/>
      </c>
      <c r="N4691" s="21">
        <f>IF(J4691="Yes","",IF(H4691&gt;=I4691,1,0))</f>
        <v/>
      </c>
      <c r="O4691" s="21">
        <f>IF(I4691&lt;=5000000,"Under $5M",IF(I4691&lt;=20000000,"$5M-20M",IF(I4691&lt;=50000000,"$20M-50M",IF(I4691&lt;=100000000,"$50M-100M","$100M+"))))</f>
        <v/>
      </c>
      <c r="P4691" s="21">
        <f>IF(E4691&lt;=90,"90 or less",IF(E4691&lt;=105,"91-105",IF(E4691&lt;=120,"106-120",IF(E4691&lt;=140,"121-140","Over 140"))))</f>
        <v/>
      </c>
      <c r="Q4691" s="28">
        <f>INT(C4691/10)*10</f>
        <v/>
      </c>
    </row>
    <row r="4692">
      <c r="A4692" s="21" t="n">
        <v>4803</v>
      </c>
      <c r="B4692" s="21" t="inlineStr">
        <is>
          <t>Tomorrowland</t>
        </is>
      </c>
      <c r="C4692" s="21" t="n">
        <v>2015</v>
      </c>
      <c r="D4692" s="21" t="inlineStr">
        <is>
          <t>USA</t>
        </is>
      </c>
      <c r="E4692" s="21" t="n">
        <v>130</v>
      </c>
      <c r="F4692" s="21" t="inlineStr">
        <is>
          <t>English</t>
        </is>
      </c>
      <c r="G4692" s="21" t="inlineStr">
        <is>
          <t>PG</t>
        </is>
      </c>
      <c r="H4692" s="22" t="n">
        <v>93417865</v>
      </c>
      <c r="I4692" s="22" t="n">
        <v>190000000</v>
      </c>
      <c r="J4692" s="21">
        <f>IF(OR(H4692="",H4692=25529689.5),"Yes","No")</f>
        <v/>
      </c>
      <c r="K4692" s="21">
        <f>IF(AND(D4692="USA",C4692&gt;=1980,J4692="No"),"Yes","No")</f>
        <v/>
      </c>
      <c r="L4692" s="26">
        <f>IF(J4692="Yes","",H4692-I4692)</f>
        <v/>
      </c>
      <c r="M4692" s="27">
        <f>IF(OR(J4692="Yes",I4692=0),"",H4692/I4692)</f>
        <v/>
      </c>
      <c r="N4692" s="21">
        <f>IF(J4692="Yes","",IF(H4692&gt;=I4692,1,0))</f>
        <v/>
      </c>
      <c r="O4692" s="21">
        <f>IF(I4692&lt;=5000000,"Under $5M",IF(I4692&lt;=20000000,"$5M-20M",IF(I4692&lt;=50000000,"$20M-50M",IF(I4692&lt;=100000000,"$50M-100M","$100M+"))))</f>
        <v/>
      </c>
      <c r="P4692" s="21">
        <f>IF(E4692&lt;=90,"90 or less",IF(E4692&lt;=105,"91-105",IF(E4692&lt;=120,"106-120",IF(E4692&lt;=140,"121-140","Over 140"))))</f>
        <v/>
      </c>
      <c r="Q4692" s="28">
        <f>INT(C4692/10)*10</f>
        <v/>
      </c>
    </row>
    <row r="4693">
      <c r="A4693" s="21" t="n">
        <v>4804</v>
      </c>
      <c r="B4693" s="21" t="inlineStr">
        <is>
          <t>Top Cat Begins</t>
        </is>
      </c>
      <c r="C4693" s="21" t="n">
        <v>2015</v>
      </c>
      <c r="D4693" s="21" t="inlineStr">
        <is>
          <t>Mexico</t>
        </is>
      </c>
      <c r="E4693" s="21" t="n">
        <v>89</v>
      </c>
      <c r="F4693" s="21" t="inlineStr">
        <is>
          <t>Spanish</t>
        </is>
      </c>
      <c r="G4693" s="21" t="inlineStr">
        <is>
          <t>PG</t>
        </is>
      </c>
      <c r="H4693" s="22" t="n">
        <v>25529689.5</v>
      </c>
      <c r="I4693" s="22" t="n">
        <v>8000000</v>
      </c>
      <c r="J4693" s="21">
        <f>IF(OR(H4693="",H4693=25529689.5),"Yes","No")</f>
        <v/>
      </c>
      <c r="K4693" s="21">
        <f>IF(AND(D4693="USA",C4693&gt;=1980,J4693="No"),"Yes","No")</f>
        <v/>
      </c>
      <c r="L4693" s="26">
        <f>IF(J4693="Yes","",H4693-I4693)</f>
        <v/>
      </c>
      <c r="M4693" s="27">
        <f>IF(OR(J4693="Yes",I4693=0),"",H4693/I4693)</f>
        <v/>
      </c>
      <c r="N4693" s="21">
        <f>IF(J4693="Yes","",IF(H4693&gt;=I4693,1,0))</f>
        <v/>
      </c>
      <c r="O4693" s="21">
        <f>IF(I4693&lt;=5000000,"Under $5M",IF(I4693&lt;=20000000,"$5M-20M",IF(I4693&lt;=50000000,"$20M-50M",IF(I4693&lt;=100000000,"$50M-100M","$100M+"))))</f>
        <v/>
      </c>
      <c r="P4693" s="21">
        <f>IF(E4693&lt;=90,"90 or less",IF(E4693&lt;=105,"91-105",IF(E4693&lt;=120,"106-120",IF(E4693&lt;=140,"121-140","Over 140"))))</f>
        <v/>
      </c>
      <c r="Q4693" s="28">
        <f>INT(C4693/10)*10</f>
        <v/>
      </c>
    </row>
    <row r="4694">
      <c r="A4694" s="21" t="n">
        <v>4805</v>
      </c>
      <c r="B4694" s="21" t="inlineStr">
        <is>
          <t>Trainwreck</t>
        </is>
      </c>
      <c r="C4694" s="21" t="n">
        <v>2015</v>
      </c>
      <c r="D4694" s="21" t="inlineStr">
        <is>
          <t>Japan</t>
        </is>
      </c>
      <c r="E4694" s="21" t="n">
        <v>129</v>
      </c>
      <c r="F4694" s="21" t="inlineStr">
        <is>
          <t>English</t>
        </is>
      </c>
      <c r="G4694" s="21" t="inlineStr">
        <is>
          <t>R</t>
        </is>
      </c>
      <c r="H4694" s="22" t="n">
        <v>110008260</v>
      </c>
      <c r="I4694" s="22" t="n">
        <v>35000000</v>
      </c>
      <c r="J4694" s="21">
        <f>IF(OR(H4694="",H4694=25529689.5),"Yes","No")</f>
        <v/>
      </c>
      <c r="K4694" s="21">
        <f>IF(AND(D4694="USA",C4694&gt;=1980,J4694="No"),"Yes","No")</f>
        <v/>
      </c>
      <c r="L4694" s="26">
        <f>IF(J4694="Yes","",H4694-I4694)</f>
        <v/>
      </c>
      <c r="M4694" s="27">
        <f>IF(OR(J4694="Yes",I4694=0),"",H4694/I4694)</f>
        <v/>
      </c>
      <c r="N4694" s="21">
        <f>IF(J4694="Yes","",IF(H4694&gt;=I4694,1,0))</f>
        <v/>
      </c>
      <c r="O4694" s="21">
        <f>IF(I4694&lt;=5000000,"Under $5M",IF(I4694&lt;=20000000,"$5M-20M",IF(I4694&lt;=50000000,"$20M-50M",IF(I4694&lt;=100000000,"$50M-100M","$100M+"))))</f>
        <v/>
      </c>
      <c r="P4694" s="21">
        <f>IF(E4694&lt;=90,"90 or less",IF(E4694&lt;=105,"91-105",IF(E4694&lt;=120,"106-120",IF(E4694&lt;=140,"121-140","Over 140"))))</f>
        <v/>
      </c>
      <c r="Q4694" s="28">
        <f>INT(C4694/10)*10</f>
        <v/>
      </c>
    </row>
    <row r="4695">
      <c r="A4695" s="21" t="n">
        <v>4806</v>
      </c>
      <c r="B4695" s="21" t="inlineStr">
        <is>
          <t>Unfinished Business</t>
        </is>
      </c>
      <c r="C4695" s="21" t="n">
        <v>2015</v>
      </c>
      <c r="D4695" s="21" t="inlineStr">
        <is>
          <t>USA</t>
        </is>
      </c>
      <c r="E4695" s="21" t="n">
        <v>91</v>
      </c>
      <c r="F4695" s="21" t="inlineStr">
        <is>
          <t>English</t>
        </is>
      </c>
      <c r="G4695" s="21" t="inlineStr">
        <is>
          <t>R</t>
        </is>
      </c>
      <c r="H4695" s="22" t="n">
        <v>10214013</v>
      </c>
      <c r="I4695" s="22" t="n">
        <v>35000000</v>
      </c>
      <c r="J4695" s="21">
        <f>IF(OR(H4695="",H4695=25529689.5),"Yes","No")</f>
        <v/>
      </c>
      <c r="K4695" s="21">
        <f>IF(AND(D4695="USA",C4695&gt;=1980,J4695="No"),"Yes","No")</f>
        <v/>
      </c>
      <c r="L4695" s="26">
        <f>IF(J4695="Yes","",H4695-I4695)</f>
        <v/>
      </c>
      <c r="M4695" s="27">
        <f>IF(OR(J4695="Yes",I4695=0),"",H4695/I4695)</f>
        <v/>
      </c>
      <c r="N4695" s="21">
        <f>IF(J4695="Yes","",IF(H4695&gt;=I4695,1,0))</f>
        <v/>
      </c>
      <c r="O4695" s="21">
        <f>IF(I4695&lt;=5000000,"Under $5M",IF(I4695&lt;=20000000,"$5M-20M",IF(I4695&lt;=50000000,"$20M-50M",IF(I4695&lt;=100000000,"$50M-100M","$100M+"))))</f>
        <v/>
      </c>
      <c r="P4695" s="21">
        <f>IF(E4695&lt;=90,"90 or less",IF(E4695&lt;=105,"91-105",IF(E4695&lt;=120,"106-120",IF(E4695&lt;=140,"121-140","Over 140"))))</f>
        <v/>
      </c>
      <c r="Q4695" s="28">
        <f>INT(C4695/10)*10</f>
        <v/>
      </c>
    </row>
    <row r="4696">
      <c r="A4696" s="21" t="n">
        <v>4807</v>
      </c>
      <c r="B4696" s="21" t="inlineStr">
        <is>
          <t>Unnatural</t>
        </is>
      </c>
      <c r="C4696" s="21" t="n">
        <v>2015</v>
      </c>
      <c r="D4696" s="21" t="inlineStr">
        <is>
          <t>USA</t>
        </is>
      </c>
      <c r="E4696" s="21" t="n">
        <v>89</v>
      </c>
      <c r="F4696" s="21" t="inlineStr">
        <is>
          <t>English</t>
        </is>
      </c>
      <c r="G4696" s="21" t="inlineStr">
        <is>
          <t>R</t>
        </is>
      </c>
      <c r="H4696" s="22" t="n">
        <v>25529689.5</v>
      </c>
      <c r="I4696" s="22" t="n">
        <v>3000000</v>
      </c>
      <c r="J4696" s="21">
        <f>IF(OR(H4696="",H4696=25529689.5),"Yes","No")</f>
        <v/>
      </c>
      <c r="K4696" s="21">
        <f>IF(AND(D4696="USA",C4696&gt;=1980,J4696="No"),"Yes","No")</f>
        <v/>
      </c>
      <c r="L4696" s="26">
        <f>IF(J4696="Yes","",H4696-I4696)</f>
        <v/>
      </c>
      <c r="M4696" s="27">
        <f>IF(OR(J4696="Yes",I4696=0),"",H4696/I4696)</f>
        <v/>
      </c>
      <c r="N4696" s="21">
        <f>IF(J4696="Yes","",IF(H4696&gt;=I4696,1,0))</f>
        <v/>
      </c>
      <c r="O4696" s="21">
        <f>IF(I4696&lt;=5000000,"Under $5M",IF(I4696&lt;=20000000,"$5M-20M",IF(I4696&lt;=50000000,"$20M-50M",IF(I4696&lt;=100000000,"$50M-100M","$100M+"))))</f>
        <v/>
      </c>
      <c r="P4696" s="21">
        <f>IF(E4696&lt;=90,"90 or less",IF(E4696&lt;=105,"91-105",IF(E4696&lt;=120,"106-120",IF(E4696&lt;=140,"121-140","Over 140"))))</f>
        <v/>
      </c>
      <c r="Q4696" s="28">
        <f>INT(C4696/10)*10</f>
        <v/>
      </c>
    </row>
    <row r="4697">
      <c r="A4697" s="21" t="n">
        <v>4808</v>
      </c>
      <c r="B4697" s="21" t="inlineStr">
        <is>
          <t>Vaalu</t>
        </is>
      </c>
      <c r="C4697" s="21" t="n">
        <v>2015</v>
      </c>
      <c r="D4697" s="21" t="inlineStr">
        <is>
          <t>India</t>
        </is>
      </c>
      <c r="E4697" s="21" t="n">
        <v>155</v>
      </c>
      <c r="F4697" s="21" t="inlineStr">
        <is>
          <t>Tamil</t>
        </is>
      </c>
      <c r="G4697" s="21" t="n"/>
      <c r="H4697" s="22" t="n">
        <v>25529689.5</v>
      </c>
      <c r="I4697" s="22" t="n">
        <v>150000000</v>
      </c>
      <c r="J4697" s="21">
        <f>IF(OR(H4697="",H4697=25529689.5),"Yes","No")</f>
        <v/>
      </c>
      <c r="K4697" s="21">
        <f>IF(AND(D4697="USA",C4697&gt;=1980,J4697="No"),"Yes","No")</f>
        <v/>
      </c>
      <c r="L4697" s="26">
        <f>IF(J4697="Yes","",H4697-I4697)</f>
        <v/>
      </c>
      <c r="M4697" s="27">
        <f>IF(OR(J4697="Yes",I4697=0),"",H4697/I4697)</f>
        <v/>
      </c>
      <c r="N4697" s="21">
        <f>IF(J4697="Yes","",IF(H4697&gt;=I4697,1,0))</f>
        <v/>
      </c>
      <c r="O4697" s="21">
        <f>IF(I4697&lt;=5000000,"Under $5M",IF(I4697&lt;=20000000,"$5M-20M",IF(I4697&lt;=50000000,"$20M-50M",IF(I4697&lt;=100000000,"$50M-100M","$100M+"))))</f>
        <v/>
      </c>
      <c r="P4697" s="21">
        <f>IF(E4697&lt;=90,"90 or less",IF(E4697&lt;=105,"91-105",IF(E4697&lt;=120,"106-120",IF(E4697&lt;=140,"121-140","Over 140"))))</f>
        <v/>
      </c>
      <c r="Q4697" s="28">
        <f>INT(C4697/10)*10</f>
        <v/>
      </c>
    </row>
    <row r="4698">
      <c r="A4698" s="21" t="n">
        <v>4809</v>
      </c>
      <c r="B4698" s="21" t="inlineStr">
        <is>
          <t>Vacation</t>
        </is>
      </c>
      <c r="C4698" s="21" t="n">
        <v>2015</v>
      </c>
      <c r="D4698" s="21" t="inlineStr">
        <is>
          <t>USA</t>
        </is>
      </c>
      <c r="E4698" s="21" t="n">
        <v>99</v>
      </c>
      <c r="F4698" s="21" t="inlineStr">
        <is>
          <t>English</t>
        </is>
      </c>
      <c r="G4698" s="21" t="inlineStr">
        <is>
          <t>R</t>
        </is>
      </c>
      <c r="H4698" s="22" t="n">
        <v>58879132</v>
      </c>
      <c r="I4698" s="22" t="n">
        <v>31000000</v>
      </c>
      <c r="J4698" s="21">
        <f>IF(OR(H4698="",H4698=25529689.5),"Yes","No")</f>
        <v/>
      </c>
      <c r="K4698" s="21">
        <f>IF(AND(D4698="USA",C4698&gt;=1980,J4698="No"),"Yes","No")</f>
        <v/>
      </c>
      <c r="L4698" s="26">
        <f>IF(J4698="Yes","",H4698-I4698)</f>
        <v/>
      </c>
      <c r="M4698" s="27">
        <f>IF(OR(J4698="Yes",I4698=0),"",H4698/I4698)</f>
        <v/>
      </c>
      <c r="N4698" s="21">
        <f>IF(J4698="Yes","",IF(H4698&gt;=I4698,1,0))</f>
        <v/>
      </c>
      <c r="O4698" s="21">
        <f>IF(I4698&lt;=5000000,"Under $5M",IF(I4698&lt;=20000000,"$5M-20M",IF(I4698&lt;=50000000,"$20M-50M",IF(I4698&lt;=100000000,"$50M-100M","$100M+"))))</f>
        <v/>
      </c>
      <c r="P4698" s="21">
        <f>IF(E4698&lt;=90,"90 or less",IF(E4698&lt;=105,"91-105",IF(E4698&lt;=120,"106-120",IF(E4698&lt;=140,"121-140","Over 140"))))</f>
        <v/>
      </c>
      <c r="Q4698" s="28">
        <f>INT(C4698/10)*10</f>
        <v/>
      </c>
    </row>
    <row r="4699">
      <c r="A4699" s="21" t="n">
        <v>4810</v>
      </c>
      <c r="B4699" s="21" t="inlineStr">
        <is>
          <t>Victor Frankenstein</t>
        </is>
      </c>
      <c r="C4699" s="21" t="n">
        <v>2015</v>
      </c>
      <c r="D4699" s="21" t="inlineStr">
        <is>
          <t>USA</t>
        </is>
      </c>
      <c r="E4699" s="21" t="n">
        <v>110</v>
      </c>
      <c r="F4699" s="21" t="inlineStr">
        <is>
          <t>English</t>
        </is>
      </c>
      <c r="G4699" s="21" t="inlineStr">
        <is>
          <t>PG-13</t>
        </is>
      </c>
      <c r="H4699" s="22" t="n">
        <v>5773519</v>
      </c>
      <c r="I4699" s="22" t="n">
        <v>40000000</v>
      </c>
      <c r="J4699" s="21">
        <f>IF(OR(H4699="",H4699=25529689.5),"Yes","No")</f>
        <v/>
      </c>
      <c r="K4699" s="21">
        <f>IF(AND(D4699="USA",C4699&gt;=1980,J4699="No"),"Yes","No")</f>
        <v/>
      </c>
      <c r="L4699" s="26">
        <f>IF(J4699="Yes","",H4699-I4699)</f>
        <v/>
      </c>
      <c r="M4699" s="27">
        <f>IF(OR(J4699="Yes",I4699=0),"",H4699/I4699)</f>
        <v/>
      </c>
      <c r="N4699" s="21">
        <f>IF(J4699="Yes","",IF(H4699&gt;=I4699,1,0))</f>
        <v/>
      </c>
      <c r="O4699" s="21">
        <f>IF(I4699&lt;=5000000,"Under $5M",IF(I4699&lt;=20000000,"$5M-20M",IF(I4699&lt;=50000000,"$20M-50M",IF(I4699&lt;=100000000,"$50M-100M","$100M+"))))</f>
        <v/>
      </c>
      <c r="P4699" s="21">
        <f>IF(E4699&lt;=90,"90 or less",IF(E4699&lt;=105,"91-105",IF(E4699&lt;=120,"106-120",IF(E4699&lt;=140,"121-140","Over 140"))))</f>
        <v/>
      </c>
      <c r="Q4699" s="28">
        <f>INT(C4699/10)*10</f>
        <v/>
      </c>
    </row>
    <row r="4700">
      <c r="A4700" s="21" t="n">
        <v>4813</v>
      </c>
      <c r="B4700" s="21" t="inlineStr">
        <is>
          <t>Walter</t>
        </is>
      </c>
      <c r="C4700" s="21" t="n">
        <v>2015</v>
      </c>
      <c r="D4700" s="21" t="inlineStr">
        <is>
          <t>USA</t>
        </is>
      </c>
      <c r="E4700" s="21" t="n">
        <v>94</v>
      </c>
      <c r="F4700" s="21" t="inlineStr">
        <is>
          <t>English</t>
        </is>
      </c>
      <c r="G4700" s="21" t="n"/>
      <c r="H4700" s="22" t="n">
        <v>25529689.5</v>
      </c>
      <c r="I4700" s="22" t="n">
        <v>700000</v>
      </c>
      <c r="J4700" s="21">
        <f>IF(OR(H4700="",H4700=25529689.5),"Yes","No")</f>
        <v/>
      </c>
      <c r="K4700" s="21">
        <f>IF(AND(D4700="USA",C4700&gt;=1980,J4700="No"),"Yes","No")</f>
        <v/>
      </c>
      <c r="L4700" s="26">
        <f>IF(J4700="Yes","",H4700-I4700)</f>
        <v/>
      </c>
      <c r="M4700" s="27">
        <f>IF(OR(J4700="Yes",I4700=0),"",H4700/I4700)</f>
        <v/>
      </c>
      <c r="N4700" s="21">
        <f>IF(J4700="Yes","",IF(H4700&gt;=I4700,1,0))</f>
        <v/>
      </c>
      <c r="O4700" s="21">
        <f>IF(I4700&lt;=5000000,"Under $5M",IF(I4700&lt;=20000000,"$5M-20M",IF(I4700&lt;=50000000,"$20M-50M",IF(I4700&lt;=100000000,"$50M-100M","$100M+"))))</f>
        <v/>
      </c>
      <c r="P4700" s="21">
        <f>IF(E4700&lt;=90,"90 or less",IF(E4700&lt;=105,"91-105",IF(E4700&lt;=120,"106-120",IF(E4700&lt;=140,"121-140","Over 140"))))</f>
        <v/>
      </c>
      <c r="Q4700" s="28">
        <f>INT(C4700/10)*10</f>
        <v/>
      </c>
    </row>
    <row r="4701">
      <c r="A4701" s="21" t="n">
        <v>4814</v>
      </c>
      <c r="B4701" s="21" t="inlineStr">
        <is>
          <t>We Are Your Friends</t>
        </is>
      </c>
      <c r="C4701" s="21" t="n">
        <v>2015</v>
      </c>
      <c r="D4701" s="21" t="inlineStr">
        <is>
          <t>UK</t>
        </is>
      </c>
      <c r="E4701" s="21" t="n">
        <v>96</v>
      </c>
      <c r="F4701" s="21" t="inlineStr">
        <is>
          <t>English</t>
        </is>
      </c>
      <c r="G4701" s="21" t="inlineStr">
        <is>
          <t>R</t>
        </is>
      </c>
      <c r="H4701" s="22" t="n">
        <v>3590010</v>
      </c>
      <c r="I4701" s="22" t="n">
        <v>2000000</v>
      </c>
      <c r="J4701" s="21">
        <f>IF(OR(H4701="",H4701=25529689.5),"Yes","No")</f>
        <v/>
      </c>
      <c r="K4701" s="21">
        <f>IF(AND(D4701="USA",C4701&gt;=1980,J4701="No"),"Yes","No")</f>
        <v/>
      </c>
      <c r="L4701" s="26">
        <f>IF(J4701="Yes","",H4701-I4701)</f>
        <v/>
      </c>
      <c r="M4701" s="27">
        <f>IF(OR(J4701="Yes",I4701=0),"",H4701/I4701)</f>
        <v/>
      </c>
      <c r="N4701" s="21">
        <f>IF(J4701="Yes","",IF(H4701&gt;=I4701,1,0))</f>
        <v/>
      </c>
      <c r="O4701" s="21">
        <f>IF(I4701&lt;=5000000,"Under $5M",IF(I4701&lt;=20000000,"$5M-20M",IF(I4701&lt;=50000000,"$20M-50M",IF(I4701&lt;=100000000,"$50M-100M","$100M+"))))</f>
        <v/>
      </c>
      <c r="P4701" s="21">
        <f>IF(E4701&lt;=90,"90 or less",IF(E4701&lt;=105,"91-105",IF(E4701&lt;=120,"106-120",IF(E4701&lt;=140,"121-140","Over 140"))))</f>
        <v/>
      </c>
      <c r="Q4701" s="28">
        <f>INT(C4701/10)*10</f>
        <v/>
      </c>
    </row>
    <row r="4702">
      <c r="A4702" s="21" t="n">
        <v>4815</v>
      </c>
      <c r="B4702" s="21" t="inlineStr">
        <is>
          <t>Western Religion</t>
        </is>
      </c>
      <c r="C4702" s="21" t="n">
        <v>2015</v>
      </c>
      <c r="D4702" s="21" t="inlineStr">
        <is>
          <t>USA</t>
        </is>
      </c>
      <c r="E4702" s="21" t="n">
        <v>105</v>
      </c>
      <c r="F4702" s="21" t="inlineStr">
        <is>
          <t>English</t>
        </is>
      </c>
      <c r="G4702" s="21" t="n"/>
      <c r="H4702" s="22" t="n">
        <v>25529689.5</v>
      </c>
      <c r="I4702" s="22" t="n">
        <v>250000</v>
      </c>
      <c r="J4702" s="21">
        <f>IF(OR(H4702="",H4702=25529689.5),"Yes","No")</f>
        <v/>
      </c>
      <c r="K4702" s="21">
        <f>IF(AND(D4702="USA",C4702&gt;=1980,J4702="No"),"Yes","No")</f>
        <v/>
      </c>
      <c r="L4702" s="26">
        <f>IF(J4702="Yes","",H4702-I4702)</f>
        <v/>
      </c>
      <c r="M4702" s="27">
        <f>IF(OR(J4702="Yes",I4702=0),"",H4702/I4702)</f>
        <v/>
      </c>
      <c r="N4702" s="21">
        <f>IF(J4702="Yes","",IF(H4702&gt;=I4702,1,0))</f>
        <v/>
      </c>
      <c r="O4702" s="21">
        <f>IF(I4702&lt;=5000000,"Under $5M",IF(I4702&lt;=20000000,"$5M-20M",IF(I4702&lt;=50000000,"$20M-50M",IF(I4702&lt;=100000000,"$50M-100M","$100M+"))))</f>
        <v/>
      </c>
      <c r="P4702" s="21">
        <f>IF(E4702&lt;=90,"90 or less",IF(E4702&lt;=105,"91-105",IF(E4702&lt;=120,"106-120",IF(E4702&lt;=140,"121-140","Over 140"))))</f>
        <v/>
      </c>
      <c r="Q4702" s="28">
        <f>INT(C4702/10)*10</f>
        <v/>
      </c>
    </row>
    <row r="4703">
      <c r="A4703" s="21" t="n">
        <v>4816</v>
      </c>
      <c r="B4703" s="21" t="inlineStr">
        <is>
          <t>Wild Card</t>
        </is>
      </c>
      <c r="C4703" s="21" t="n">
        <v>2015</v>
      </c>
      <c r="D4703" s="21" t="inlineStr">
        <is>
          <t>USA</t>
        </is>
      </c>
      <c r="E4703" s="21" t="n">
        <v>92</v>
      </c>
      <c r="F4703" s="21" t="inlineStr">
        <is>
          <t>English</t>
        </is>
      </c>
      <c r="G4703" s="21" t="inlineStr">
        <is>
          <t>R</t>
        </is>
      </c>
      <c r="H4703" s="22" t="n">
        <v>25529689.5</v>
      </c>
      <c r="I4703" s="22" t="n">
        <v>30000000</v>
      </c>
      <c r="J4703" s="21">
        <f>IF(OR(H4703="",H4703=25529689.5),"Yes","No")</f>
        <v/>
      </c>
      <c r="K4703" s="21">
        <f>IF(AND(D4703="USA",C4703&gt;=1980,J4703="No"),"Yes","No")</f>
        <v/>
      </c>
      <c r="L4703" s="26">
        <f>IF(J4703="Yes","",H4703-I4703)</f>
        <v/>
      </c>
      <c r="M4703" s="27">
        <f>IF(OR(J4703="Yes",I4703=0),"",H4703/I4703)</f>
        <v/>
      </c>
      <c r="N4703" s="21">
        <f>IF(J4703="Yes","",IF(H4703&gt;=I4703,1,0))</f>
        <v/>
      </c>
      <c r="O4703" s="21">
        <f>IF(I4703&lt;=5000000,"Under $5M",IF(I4703&lt;=20000000,"$5M-20M",IF(I4703&lt;=50000000,"$20M-50M",IF(I4703&lt;=100000000,"$50M-100M","$100M+"))))</f>
        <v/>
      </c>
      <c r="P4703" s="21">
        <f>IF(E4703&lt;=90,"90 or less",IF(E4703&lt;=105,"91-105",IF(E4703&lt;=120,"106-120",IF(E4703&lt;=140,"121-140","Over 140"))))</f>
        <v/>
      </c>
      <c r="Q4703" s="28">
        <f>INT(C4703/10)*10</f>
        <v/>
      </c>
    </row>
    <row r="4704">
      <c r="A4704" s="21" t="n">
        <v>4817</v>
      </c>
      <c r="B4704" s="21" t="inlineStr">
        <is>
          <t>Wind Walkers</t>
        </is>
      </c>
      <c r="C4704" s="21" t="n">
        <v>2015</v>
      </c>
      <c r="D4704" s="21" t="inlineStr">
        <is>
          <t>USA</t>
        </is>
      </c>
      <c r="E4704" s="21" t="n">
        <v>93</v>
      </c>
      <c r="F4704" s="21" t="inlineStr">
        <is>
          <t>English</t>
        </is>
      </c>
      <c r="G4704" s="21" t="inlineStr">
        <is>
          <t>R</t>
        </is>
      </c>
      <c r="H4704" s="22" t="n">
        <v>25529689.5</v>
      </c>
      <c r="I4704" s="22" t="n">
        <v>2000000</v>
      </c>
      <c r="J4704" s="21">
        <f>IF(OR(H4704="",H4704=25529689.5),"Yes","No")</f>
        <v/>
      </c>
      <c r="K4704" s="21">
        <f>IF(AND(D4704="USA",C4704&gt;=1980,J4704="No"),"Yes","No")</f>
        <v/>
      </c>
      <c r="L4704" s="26">
        <f>IF(J4704="Yes","",H4704-I4704)</f>
        <v/>
      </c>
      <c r="M4704" s="27">
        <f>IF(OR(J4704="Yes",I4704=0),"",H4704/I4704)</f>
        <v/>
      </c>
      <c r="N4704" s="21">
        <f>IF(J4704="Yes","",IF(H4704&gt;=I4704,1,0))</f>
        <v/>
      </c>
      <c r="O4704" s="21">
        <f>IF(I4704&lt;=5000000,"Under $5M",IF(I4704&lt;=20000000,"$5M-20M",IF(I4704&lt;=50000000,"$20M-50M",IF(I4704&lt;=100000000,"$50M-100M","$100M+"))))</f>
        <v/>
      </c>
      <c r="P4704" s="21">
        <f>IF(E4704&lt;=90,"90 or less",IF(E4704&lt;=105,"91-105",IF(E4704&lt;=120,"106-120",IF(E4704&lt;=140,"121-140","Over 140"))))</f>
        <v/>
      </c>
      <c r="Q4704" s="28">
        <f>INT(C4704/10)*10</f>
        <v/>
      </c>
    </row>
    <row r="4705">
      <c r="A4705" s="21" t="n">
        <v>4818</v>
      </c>
      <c r="B4705" s="21" t="inlineStr">
        <is>
          <t>Windsor Drive</t>
        </is>
      </c>
      <c r="C4705" s="21" t="n">
        <v>2015</v>
      </c>
      <c r="D4705" s="21" t="inlineStr">
        <is>
          <t>USA</t>
        </is>
      </c>
      <c r="E4705" s="21" t="n">
        <v>90</v>
      </c>
      <c r="F4705" s="21" t="inlineStr">
        <is>
          <t>English</t>
        </is>
      </c>
      <c r="G4705" s="21" t="n"/>
      <c r="H4705" s="22" t="n">
        <v>25529689.5</v>
      </c>
      <c r="I4705" s="22" t="n">
        <v>100000</v>
      </c>
      <c r="J4705" s="21">
        <f>IF(OR(H4705="",H4705=25529689.5),"Yes","No")</f>
        <v/>
      </c>
      <c r="K4705" s="21">
        <f>IF(AND(D4705="USA",C4705&gt;=1980,J4705="No"),"Yes","No")</f>
        <v/>
      </c>
      <c r="L4705" s="26">
        <f>IF(J4705="Yes","",H4705-I4705)</f>
        <v/>
      </c>
      <c r="M4705" s="27">
        <f>IF(OR(J4705="Yes",I4705=0),"",H4705/I4705)</f>
        <v/>
      </c>
      <c r="N4705" s="21">
        <f>IF(J4705="Yes","",IF(H4705&gt;=I4705,1,0))</f>
        <v/>
      </c>
      <c r="O4705" s="21">
        <f>IF(I4705&lt;=5000000,"Under $5M",IF(I4705&lt;=20000000,"$5M-20M",IF(I4705&lt;=50000000,"$20M-50M",IF(I4705&lt;=100000000,"$50M-100M","$100M+"))))</f>
        <v/>
      </c>
      <c r="P4705" s="21">
        <f>IF(E4705&lt;=90,"90 or less",IF(E4705&lt;=105,"91-105",IF(E4705&lt;=120,"106-120",IF(E4705&lt;=140,"121-140","Over 140"))))</f>
        <v/>
      </c>
      <c r="Q4705" s="28">
        <f>INT(C4705/10)*10</f>
        <v/>
      </c>
    </row>
    <row r="4706">
      <c r="A4706" s="21" t="n">
        <v>4819</v>
      </c>
      <c r="B4706" s="21" t="inlineStr">
        <is>
          <t>Woman in Gold</t>
        </is>
      </c>
      <c r="C4706" s="21" t="n">
        <v>2015</v>
      </c>
      <c r="D4706" s="21" t="inlineStr">
        <is>
          <t>UK</t>
        </is>
      </c>
      <c r="E4706" s="21" t="n">
        <v>109</v>
      </c>
      <c r="F4706" s="21" t="inlineStr">
        <is>
          <t>English</t>
        </is>
      </c>
      <c r="G4706" s="21" t="inlineStr">
        <is>
          <t>PG-13</t>
        </is>
      </c>
      <c r="H4706" s="22" t="n">
        <v>33305037</v>
      </c>
      <c r="I4706" s="22" t="n">
        <v>11000000</v>
      </c>
      <c r="J4706" s="21">
        <f>IF(OR(H4706="",H4706=25529689.5),"Yes","No")</f>
        <v/>
      </c>
      <c r="K4706" s="21">
        <f>IF(AND(D4706="USA",C4706&gt;=1980,J4706="No"),"Yes","No")</f>
        <v/>
      </c>
      <c r="L4706" s="26">
        <f>IF(J4706="Yes","",H4706-I4706)</f>
        <v/>
      </c>
      <c r="M4706" s="27">
        <f>IF(OR(J4706="Yes",I4706=0),"",H4706/I4706)</f>
        <v/>
      </c>
      <c r="N4706" s="21">
        <f>IF(J4706="Yes","",IF(H4706&gt;=I4706,1,0))</f>
        <v/>
      </c>
      <c r="O4706" s="21">
        <f>IF(I4706&lt;=5000000,"Under $5M",IF(I4706&lt;=20000000,"$5M-20M",IF(I4706&lt;=50000000,"$20M-50M",IF(I4706&lt;=100000000,"$50M-100M","$100M+"))))</f>
        <v/>
      </c>
      <c r="P4706" s="21">
        <f>IF(E4706&lt;=90,"90 or less",IF(E4706&lt;=105,"91-105",IF(E4706&lt;=120,"106-120",IF(E4706&lt;=140,"121-140","Over 140"))))</f>
        <v/>
      </c>
      <c r="Q4706" s="28">
        <f>INT(C4706/10)*10</f>
        <v/>
      </c>
    </row>
    <row r="4707">
      <c r="A4707" s="21" t="n">
        <v>4820</v>
      </c>
      <c r="B4707" s="21" t="inlineStr">
        <is>
          <t>Zipper</t>
        </is>
      </c>
      <c r="C4707" s="21" t="n">
        <v>2015</v>
      </c>
      <c r="D4707" s="21" t="inlineStr">
        <is>
          <t>USA</t>
        </is>
      </c>
      <c r="E4707" s="21" t="n">
        <v>103</v>
      </c>
      <c r="F4707" s="21" t="inlineStr">
        <is>
          <t>English</t>
        </is>
      </c>
      <c r="G4707" s="21" t="inlineStr">
        <is>
          <t>R</t>
        </is>
      </c>
      <c r="H4707" s="22" t="n">
        <v>25529689.5</v>
      </c>
      <c r="I4707" s="22" t="n">
        <v>4500000</v>
      </c>
      <c r="J4707" s="21">
        <f>IF(OR(H4707="",H4707=25529689.5),"Yes","No")</f>
        <v/>
      </c>
      <c r="K4707" s="21">
        <f>IF(AND(D4707="USA",C4707&gt;=1980,J4707="No"),"Yes","No")</f>
        <v/>
      </c>
      <c r="L4707" s="26">
        <f>IF(J4707="Yes","",H4707-I4707)</f>
        <v/>
      </c>
      <c r="M4707" s="27">
        <f>IF(OR(J4707="Yes",I4707=0),"",H4707/I4707)</f>
        <v/>
      </c>
      <c r="N4707" s="21">
        <f>IF(J4707="Yes","",IF(H4707&gt;=I4707,1,0))</f>
        <v/>
      </c>
      <c r="O4707" s="21">
        <f>IF(I4707&lt;=5000000,"Under $5M",IF(I4707&lt;=20000000,"$5M-20M",IF(I4707&lt;=50000000,"$20M-50M",IF(I4707&lt;=100000000,"$50M-100M","$100M+"))))</f>
        <v/>
      </c>
      <c r="P4707" s="21">
        <f>IF(E4707&lt;=90,"90 or less",IF(E4707&lt;=105,"91-105",IF(E4707&lt;=120,"106-120",IF(E4707&lt;=140,"121-140","Over 140"))))</f>
        <v/>
      </c>
      <c r="Q4707" s="28">
        <f>INT(C4707/10)*10</f>
        <v/>
      </c>
    </row>
    <row r="4708">
      <c r="A4708" s="21" t="n">
        <v>4821</v>
      </c>
      <c r="B4708" s="21" t="inlineStr">
        <is>
          <t>10 Cloverfield Lane</t>
        </is>
      </c>
      <c r="C4708" s="21" t="n">
        <v>2016</v>
      </c>
      <c r="D4708" s="21" t="inlineStr">
        <is>
          <t>USA</t>
        </is>
      </c>
      <c r="E4708" s="21" t="n">
        <v>104</v>
      </c>
      <c r="F4708" s="21" t="inlineStr">
        <is>
          <t>English</t>
        </is>
      </c>
      <c r="G4708" s="21" t="inlineStr">
        <is>
          <t>PG-13</t>
        </is>
      </c>
      <c r="H4708" s="22" t="n">
        <v>71897215</v>
      </c>
      <c r="I4708" s="22" t="n">
        <v>15000000</v>
      </c>
      <c r="J4708" s="21">
        <f>IF(OR(H4708="",H4708=25529689.5),"Yes","No")</f>
        <v/>
      </c>
      <c r="K4708" s="21">
        <f>IF(AND(D4708="USA",C4708&gt;=1980,J4708="No"),"Yes","No")</f>
        <v/>
      </c>
      <c r="L4708" s="26">
        <f>IF(J4708="Yes","",H4708-I4708)</f>
        <v/>
      </c>
      <c r="M4708" s="27">
        <f>IF(OR(J4708="Yes",I4708=0),"",H4708/I4708)</f>
        <v/>
      </c>
      <c r="N4708" s="21">
        <f>IF(J4708="Yes","",IF(H4708&gt;=I4708,1,0))</f>
        <v/>
      </c>
      <c r="O4708" s="21">
        <f>IF(I4708&lt;=5000000,"Under $5M",IF(I4708&lt;=20000000,"$5M-20M",IF(I4708&lt;=50000000,"$20M-50M",IF(I4708&lt;=100000000,"$50M-100M","$100M+"))))</f>
        <v/>
      </c>
      <c r="P4708" s="21">
        <f>IF(E4708&lt;=90,"90 or less",IF(E4708&lt;=105,"91-105",IF(E4708&lt;=120,"106-120",IF(E4708&lt;=140,"121-140","Over 140"))))</f>
        <v/>
      </c>
      <c r="Q4708" s="28">
        <f>INT(C4708/10)*10</f>
        <v/>
      </c>
    </row>
    <row r="4709">
      <c r="A4709" s="21" t="n">
        <v>4822</v>
      </c>
      <c r="B4709" s="21" t="inlineStr">
        <is>
          <t>13 Hours</t>
        </is>
      </c>
      <c r="C4709" s="21" t="n">
        <v>2016</v>
      </c>
      <c r="D4709" s="21" t="inlineStr">
        <is>
          <t>USA</t>
        </is>
      </c>
      <c r="E4709" s="21" t="n">
        <v>144</v>
      </c>
      <c r="F4709" s="21" t="inlineStr">
        <is>
          <t>English</t>
        </is>
      </c>
      <c r="G4709" s="21" t="inlineStr">
        <is>
          <t>R</t>
        </is>
      </c>
      <c r="H4709" s="22" t="n">
        <v>52822418</v>
      </c>
      <c r="I4709" s="22" t="n">
        <v>50000000</v>
      </c>
      <c r="J4709" s="21">
        <f>IF(OR(H4709="",H4709=25529689.5),"Yes","No")</f>
        <v/>
      </c>
      <c r="K4709" s="21">
        <f>IF(AND(D4709="USA",C4709&gt;=1980,J4709="No"),"Yes","No")</f>
        <v/>
      </c>
      <c r="L4709" s="26">
        <f>IF(J4709="Yes","",H4709-I4709)</f>
        <v/>
      </c>
      <c r="M4709" s="27">
        <f>IF(OR(J4709="Yes",I4709=0),"",H4709/I4709)</f>
        <v/>
      </c>
      <c r="N4709" s="21">
        <f>IF(J4709="Yes","",IF(H4709&gt;=I4709,1,0))</f>
        <v/>
      </c>
      <c r="O4709" s="21">
        <f>IF(I4709&lt;=5000000,"Under $5M",IF(I4709&lt;=20000000,"$5M-20M",IF(I4709&lt;=50000000,"$20M-50M",IF(I4709&lt;=100000000,"$50M-100M","$100M+"))))</f>
        <v/>
      </c>
      <c r="P4709" s="21">
        <f>IF(E4709&lt;=90,"90 or less",IF(E4709&lt;=105,"91-105",IF(E4709&lt;=120,"106-120",IF(E4709&lt;=140,"121-140","Over 140"))))</f>
        <v/>
      </c>
      <c r="Q4709" s="28">
        <f>INT(C4709/10)*10</f>
        <v/>
      </c>
    </row>
    <row r="4710">
      <c r="A4710" s="21" t="n">
        <v>4823</v>
      </c>
      <c r="B4710" s="21" t="inlineStr">
        <is>
          <t>A Beginner's Guide to Snuff</t>
        </is>
      </c>
      <c r="C4710" s="21" t="n">
        <v>2016</v>
      </c>
      <c r="D4710" s="21" t="inlineStr">
        <is>
          <t>USA</t>
        </is>
      </c>
      <c r="E4710" s="21" t="n">
        <v>87</v>
      </c>
      <c r="F4710" s="21" t="inlineStr">
        <is>
          <t>English</t>
        </is>
      </c>
      <c r="G4710" s="21" t="n"/>
      <c r="H4710" s="22" t="n">
        <v>25529689.5</v>
      </c>
      <c r="I4710" s="22" t="n">
        <v>20000000</v>
      </c>
      <c r="J4710" s="21">
        <f>IF(OR(H4710="",H4710=25529689.5),"Yes","No")</f>
        <v/>
      </c>
      <c r="K4710" s="21">
        <f>IF(AND(D4710="USA",C4710&gt;=1980,J4710="No"),"Yes","No")</f>
        <v/>
      </c>
      <c r="L4710" s="26">
        <f>IF(J4710="Yes","",H4710-I4710)</f>
        <v/>
      </c>
      <c r="M4710" s="27">
        <f>IF(OR(J4710="Yes",I4710=0),"",H4710/I4710)</f>
        <v/>
      </c>
      <c r="N4710" s="21">
        <f>IF(J4710="Yes","",IF(H4710&gt;=I4710,1,0))</f>
        <v/>
      </c>
      <c r="O4710" s="21">
        <f>IF(I4710&lt;=5000000,"Under $5M",IF(I4710&lt;=20000000,"$5M-20M",IF(I4710&lt;=50000000,"$20M-50M",IF(I4710&lt;=100000000,"$50M-100M","$100M+"))))</f>
        <v/>
      </c>
      <c r="P4710" s="21">
        <f>IF(E4710&lt;=90,"90 or less",IF(E4710&lt;=105,"91-105",IF(E4710&lt;=120,"106-120",IF(E4710&lt;=140,"121-140","Over 140"))))</f>
        <v/>
      </c>
      <c r="Q4710" s="28">
        <f>INT(C4710/10)*10</f>
        <v/>
      </c>
    </row>
    <row r="4711">
      <c r="A4711" s="21" t="n">
        <v>4824</v>
      </c>
      <c r="B4711" s="21" t="inlineStr">
        <is>
          <t>Airlift</t>
        </is>
      </c>
      <c r="C4711" s="21" t="n">
        <v>2016</v>
      </c>
      <c r="D4711" s="21" t="inlineStr">
        <is>
          <t>India</t>
        </is>
      </c>
      <c r="E4711" s="21" t="n">
        <v>130</v>
      </c>
      <c r="F4711" s="21" t="inlineStr">
        <is>
          <t>Hindi</t>
        </is>
      </c>
      <c r="G4711" s="21" t="n"/>
      <c r="H4711" s="22" t="n">
        <v>25529689.5</v>
      </c>
      <c r="I4711" s="22" t="n">
        <v>4400000</v>
      </c>
      <c r="J4711" s="21">
        <f>IF(OR(H4711="",H4711=25529689.5),"Yes","No")</f>
        <v/>
      </c>
      <c r="K4711" s="21">
        <f>IF(AND(D4711="USA",C4711&gt;=1980,J4711="No"),"Yes","No")</f>
        <v/>
      </c>
      <c r="L4711" s="26">
        <f>IF(J4711="Yes","",H4711-I4711)</f>
        <v/>
      </c>
      <c r="M4711" s="27">
        <f>IF(OR(J4711="Yes",I4711=0),"",H4711/I4711)</f>
        <v/>
      </c>
      <c r="N4711" s="21">
        <f>IF(J4711="Yes","",IF(H4711&gt;=I4711,1,0))</f>
        <v/>
      </c>
      <c r="O4711" s="21">
        <f>IF(I4711&lt;=5000000,"Under $5M",IF(I4711&lt;=20000000,"$5M-20M",IF(I4711&lt;=50000000,"$20M-50M",IF(I4711&lt;=100000000,"$50M-100M","$100M+"))))</f>
        <v/>
      </c>
      <c r="P4711" s="21">
        <f>IF(E4711&lt;=90,"90 or less",IF(E4711&lt;=105,"91-105",IF(E4711&lt;=120,"106-120",IF(E4711&lt;=140,"121-140","Over 140"))))</f>
        <v/>
      </c>
      <c r="Q4711" s="28">
        <f>INT(C4711/10)*10</f>
        <v/>
      </c>
    </row>
    <row r="4712">
      <c r="A4712" s="21" t="n">
        <v>4825</v>
      </c>
      <c r="B4712" s="21" t="inlineStr">
        <is>
          <t>Alice Through the Looking Glass</t>
        </is>
      </c>
      <c r="C4712" s="21" t="n">
        <v>2016</v>
      </c>
      <c r="D4712" s="21" t="inlineStr">
        <is>
          <t>USA</t>
        </is>
      </c>
      <c r="E4712" s="21" t="n">
        <v>113</v>
      </c>
      <c r="F4712" s="21" t="inlineStr">
        <is>
          <t>English</t>
        </is>
      </c>
      <c r="G4712" s="21" t="inlineStr">
        <is>
          <t>PG</t>
        </is>
      </c>
      <c r="H4712" s="22" t="n">
        <v>76846624</v>
      </c>
      <c r="I4712" s="22" t="n">
        <v>170000000</v>
      </c>
      <c r="J4712" s="21">
        <f>IF(OR(H4712="",H4712=25529689.5),"Yes","No")</f>
        <v/>
      </c>
      <c r="K4712" s="21">
        <f>IF(AND(D4712="USA",C4712&gt;=1980,J4712="No"),"Yes","No")</f>
        <v/>
      </c>
      <c r="L4712" s="26">
        <f>IF(J4712="Yes","",H4712-I4712)</f>
        <v/>
      </c>
      <c r="M4712" s="27">
        <f>IF(OR(J4712="Yes",I4712=0),"",H4712/I4712)</f>
        <v/>
      </c>
      <c r="N4712" s="21">
        <f>IF(J4712="Yes","",IF(H4712&gt;=I4712,1,0))</f>
        <v/>
      </c>
      <c r="O4712" s="21">
        <f>IF(I4712&lt;=5000000,"Under $5M",IF(I4712&lt;=20000000,"$5M-20M",IF(I4712&lt;=50000000,"$20M-50M",IF(I4712&lt;=100000000,"$50M-100M","$100M+"))))</f>
        <v/>
      </c>
      <c r="P4712" s="21">
        <f>IF(E4712&lt;=90,"90 or less",IF(E4712&lt;=105,"91-105",IF(E4712&lt;=120,"106-120",IF(E4712&lt;=140,"121-140","Over 140"))))</f>
        <v/>
      </c>
      <c r="Q4712" s="28">
        <f>INT(C4712/10)*10</f>
        <v/>
      </c>
    </row>
    <row r="4713">
      <c r="A4713" s="21" t="n">
        <v>4826</v>
      </c>
      <c r="B4713" s="21" t="inlineStr">
        <is>
          <t>Allegiant</t>
        </is>
      </c>
      <c r="C4713" s="21" t="n">
        <v>2016</v>
      </c>
      <c r="D4713" s="21" t="inlineStr">
        <is>
          <t>USA</t>
        </is>
      </c>
      <c r="E4713" s="21" t="n">
        <v>120</v>
      </c>
      <c r="F4713" s="21" t="inlineStr">
        <is>
          <t>English</t>
        </is>
      </c>
      <c r="G4713" s="21" t="inlineStr">
        <is>
          <t>PG-13</t>
        </is>
      </c>
      <c r="H4713" s="22" t="n">
        <v>66002193</v>
      </c>
      <c r="I4713" s="22" t="n">
        <v>110000000</v>
      </c>
      <c r="J4713" s="21">
        <f>IF(OR(H4713="",H4713=25529689.5),"Yes","No")</f>
        <v/>
      </c>
      <c r="K4713" s="21">
        <f>IF(AND(D4713="USA",C4713&gt;=1980,J4713="No"),"Yes","No")</f>
        <v/>
      </c>
      <c r="L4713" s="26">
        <f>IF(J4713="Yes","",H4713-I4713)</f>
        <v/>
      </c>
      <c r="M4713" s="27">
        <f>IF(OR(J4713="Yes",I4713=0),"",H4713/I4713)</f>
        <v/>
      </c>
      <c r="N4713" s="21">
        <f>IF(J4713="Yes","",IF(H4713&gt;=I4713,1,0))</f>
        <v/>
      </c>
      <c r="O4713" s="21">
        <f>IF(I4713&lt;=5000000,"Under $5M",IF(I4713&lt;=20000000,"$5M-20M",IF(I4713&lt;=50000000,"$20M-50M",IF(I4713&lt;=100000000,"$50M-100M","$100M+"))))</f>
        <v/>
      </c>
      <c r="P4713" s="21">
        <f>IF(E4713&lt;=90,"90 or less",IF(E4713&lt;=105,"91-105",IF(E4713&lt;=120,"106-120",IF(E4713&lt;=140,"121-140","Over 140"))))</f>
        <v/>
      </c>
      <c r="Q4713" s="28">
        <f>INT(C4713/10)*10</f>
        <v/>
      </c>
    </row>
    <row r="4714">
      <c r="A4714" s="21" t="n">
        <v>4827</v>
      </c>
      <c r="B4714" s="21" t="inlineStr">
        <is>
          <t>Alleluia! The Devil's Carnival</t>
        </is>
      </c>
      <c r="C4714" s="21" t="n">
        <v>2016</v>
      </c>
      <c r="D4714" s="21" t="inlineStr">
        <is>
          <t>USA</t>
        </is>
      </c>
      <c r="E4714" s="21" t="n">
        <v>97</v>
      </c>
      <c r="F4714" s="21" t="inlineStr">
        <is>
          <t>English</t>
        </is>
      </c>
      <c r="G4714" s="21" t="n"/>
      <c r="H4714" s="22" t="n">
        <v>25529689.5</v>
      </c>
      <c r="I4714" s="22" t="n">
        <v>500000</v>
      </c>
      <c r="J4714" s="21">
        <f>IF(OR(H4714="",H4714=25529689.5),"Yes","No")</f>
        <v/>
      </c>
      <c r="K4714" s="21">
        <f>IF(AND(D4714="USA",C4714&gt;=1980,J4714="No"),"Yes","No")</f>
        <v/>
      </c>
      <c r="L4714" s="26">
        <f>IF(J4714="Yes","",H4714-I4714)</f>
        <v/>
      </c>
      <c r="M4714" s="27">
        <f>IF(OR(J4714="Yes",I4714=0),"",H4714/I4714)</f>
        <v/>
      </c>
      <c r="N4714" s="21">
        <f>IF(J4714="Yes","",IF(H4714&gt;=I4714,1,0))</f>
        <v/>
      </c>
      <c r="O4714" s="21">
        <f>IF(I4714&lt;=5000000,"Under $5M",IF(I4714&lt;=20000000,"$5M-20M",IF(I4714&lt;=50000000,"$20M-50M",IF(I4714&lt;=100000000,"$50M-100M","$100M+"))))</f>
        <v/>
      </c>
      <c r="P4714" s="21">
        <f>IF(E4714&lt;=90,"90 or less",IF(E4714&lt;=105,"91-105",IF(E4714&lt;=120,"106-120",IF(E4714&lt;=140,"121-140","Over 140"))))</f>
        <v/>
      </c>
      <c r="Q4714" s="28">
        <f>INT(C4714/10)*10</f>
        <v/>
      </c>
    </row>
    <row r="4715">
      <c r="A4715" s="21" t="n">
        <v>4828</v>
      </c>
      <c r="B4715" s="21" t="inlineStr">
        <is>
          <t>Antibirth</t>
        </is>
      </c>
      <c r="C4715" s="21" t="n">
        <v>2016</v>
      </c>
      <c r="D4715" s="21" t="inlineStr">
        <is>
          <t>USA</t>
        </is>
      </c>
      <c r="E4715" s="21" t="n">
        <v>94</v>
      </c>
      <c r="F4715" s="21" t="inlineStr">
        <is>
          <t>English</t>
        </is>
      </c>
      <c r="G4715" s="21" t="n"/>
      <c r="H4715" s="22" t="n">
        <v>25529689.5</v>
      </c>
      <c r="I4715" s="22" t="n">
        <v>3500000</v>
      </c>
      <c r="J4715" s="21">
        <f>IF(OR(H4715="",H4715=25529689.5),"Yes","No")</f>
        <v/>
      </c>
      <c r="K4715" s="21">
        <f>IF(AND(D4715="USA",C4715&gt;=1980,J4715="No"),"Yes","No")</f>
        <v/>
      </c>
      <c r="L4715" s="26">
        <f>IF(J4715="Yes","",H4715-I4715)</f>
        <v/>
      </c>
      <c r="M4715" s="27">
        <f>IF(OR(J4715="Yes",I4715=0),"",H4715/I4715)</f>
        <v/>
      </c>
      <c r="N4715" s="21">
        <f>IF(J4715="Yes","",IF(H4715&gt;=I4715,1,0))</f>
        <v/>
      </c>
      <c r="O4715" s="21">
        <f>IF(I4715&lt;=5000000,"Under $5M",IF(I4715&lt;=20000000,"$5M-20M",IF(I4715&lt;=50000000,"$20M-50M",IF(I4715&lt;=100000000,"$50M-100M","$100M+"))))</f>
        <v/>
      </c>
      <c r="P4715" s="21">
        <f>IF(E4715&lt;=90,"90 or less",IF(E4715&lt;=105,"91-105",IF(E4715&lt;=120,"106-120",IF(E4715&lt;=140,"121-140","Over 140"))))</f>
        <v/>
      </c>
      <c r="Q4715" s="28">
        <f>INT(C4715/10)*10</f>
        <v/>
      </c>
    </row>
    <row r="4716">
      <c r="A4716" s="21" t="n">
        <v>4829</v>
      </c>
      <c r="B4716" s="21" t="inlineStr">
        <is>
          <t>Bad Moms</t>
        </is>
      </c>
      <c r="C4716" s="21" t="n">
        <v>2016</v>
      </c>
      <c r="D4716" s="21" t="inlineStr">
        <is>
          <t>USA</t>
        </is>
      </c>
      <c r="E4716" s="21" t="n">
        <v>100</v>
      </c>
      <c r="F4716" s="21" t="inlineStr">
        <is>
          <t>English</t>
        </is>
      </c>
      <c r="G4716" s="21" t="inlineStr">
        <is>
          <t>R</t>
        </is>
      </c>
      <c r="H4716" s="22" t="n">
        <v>55461307</v>
      </c>
      <c r="I4716" s="22" t="n">
        <v>20000000</v>
      </c>
      <c r="J4716" s="21">
        <f>IF(OR(H4716="",H4716=25529689.5),"Yes","No")</f>
        <v/>
      </c>
      <c r="K4716" s="21">
        <f>IF(AND(D4716="USA",C4716&gt;=1980,J4716="No"),"Yes","No")</f>
        <v/>
      </c>
      <c r="L4716" s="26">
        <f>IF(J4716="Yes","",H4716-I4716)</f>
        <v/>
      </c>
      <c r="M4716" s="27">
        <f>IF(OR(J4716="Yes",I4716=0),"",H4716/I4716)</f>
        <v/>
      </c>
      <c r="N4716" s="21">
        <f>IF(J4716="Yes","",IF(H4716&gt;=I4716,1,0))</f>
        <v/>
      </c>
      <c r="O4716" s="21">
        <f>IF(I4716&lt;=5000000,"Under $5M",IF(I4716&lt;=20000000,"$5M-20M",IF(I4716&lt;=50000000,"$20M-50M",IF(I4716&lt;=100000000,"$50M-100M","$100M+"))))</f>
        <v/>
      </c>
      <c r="P4716" s="21">
        <f>IF(E4716&lt;=90,"90 or less",IF(E4716&lt;=105,"91-105",IF(E4716&lt;=120,"106-120",IF(E4716&lt;=140,"121-140","Over 140"))))</f>
        <v/>
      </c>
      <c r="Q4716" s="28">
        <f>INT(C4716/10)*10</f>
        <v/>
      </c>
    </row>
    <row r="4717">
      <c r="A4717" s="21" t="n">
        <v>4831</v>
      </c>
      <c r="B4717" s="21" t="inlineStr">
        <is>
          <t>Batman v Superman: Dawn of Justice</t>
        </is>
      </c>
      <c r="C4717" s="21" t="n">
        <v>2016</v>
      </c>
      <c r="D4717" s="21" t="inlineStr">
        <is>
          <t>USA</t>
        </is>
      </c>
      <c r="E4717" s="21" t="n">
        <v>183</v>
      </c>
      <c r="F4717" s="21" t="inlineStr">
        <is>
          <t>English</t>
        </is>
      </c>
      <c r="G4717" s="21" t="inlineStr">
        <is>
          <t>PG-13</t>
        </is>
      </c>
      <c r="H4717" s="22" t="n">
        <v>330249062</v>
      </c>
      <c r="I4717" s="22" t="n">
        <v>250000000</v>
      </c>
      <c r="J4717" s="21">
        <f>IF(OR(H4717="",H4717=25529689.5),"Yes","No")</f>
        <v/>
      </c>
      <c r="K4717" s="21">
        <f>IF(AND(D4717="USA",C4717&gt;=1980,J4717="No"),"Yes","No")</f>
        <v/>
      </c>
      <c r="L4717" s="26">
        <f>IF(J4717="Yes","",H4717-I4717)</f>
        <v/>
      </c>
      <c r="M4717" s="27">
        <f>IF(OR(J4717="Yes",I4717=0),"",H4717/I4717)</f>
        <v/>
      </c>
      <c r="N4717" s="21">
        <f>IF(J4717="Yes","",IF(H4717&gt;=I4717,1,0))</f>
        <v/>
      </c>
      <c r="O4717" s="21">
        <f>IF(I4717&lt;=5000000,"Under $5M",IF(I4717&lt;=20000000,"$5M-20M",IF(I4717&lt;=50000000,"$20M-50M",IF(I4717&lt;=100000000,"$50M-100M","$100M+"))))</f>
        <v/>
      </c>
      <c r="P4717" s="21">
        <f>IF(E4717&lt;=90,"90 or less",IF(E4717&lt;=105,"91-105",IF(E4717&lt;=120,"106-120",IF(E4717&lt;=140,"121-140","Over 140"))))</f>
        <v/>
      </c>
      <c r="Q4717" s="28">
        <f>INT(C4717/10)*10</f>
        <v/>
      </c>
    </row>
    <row r="4718">
      <c r="A4718" s="21" t="n">
        <v>4832</v>
      </c>
      <c r="B4718" s="21" t="inlineStr">
        <is>
          <t>Ben-Hur</t>
        </is>
      </c>
      <c r="C4718" s="21" t="n">
        <v>2016</v>
      </c>
      <c r="D4718" s="21" t="inlineStr">
        <is>
          <t>USA</t>
        </is>
      </c>
      <c r="E4718" s="21" t="n">
        <v>141</v>
      </c>
      <c r="F4718" s="21" t="inlineStr">
        <is>
          <t>English</t>
        </is>
      </c>
      <c r="G4718" s="21" t="inlineStr">
        <is>
          <t>PG-13</t>
        </is>
      </c>
      <c r="H4718" s="22" t="n">
        <v>25529689.5</v>
      </c>
      <c r="I4718" s="22" t="n">
        <v>20000000</v>
      </c>
      <c r="J4718" s="21">
        <f>IF(OR(H4718="",H4718=25529689.5),"Yes","No")</f>
        <v/>
      </c>
      <c r="K4718" s="21">
        <f>IF(AND(D4718="USA",C4718&gt;=1980,J4718="No"),"Yes","No")</f>
        <v/>
      </c>
      <c r="L4718" s="26">
        <f>IF(J4718="Yes","",H4718-I4718)</f>
        <v/>
      </c>
      <c r="M4718" s="27">
        <f>IF(OR(J4718="Yes",I4718=0),"",H4718/I4718)</f>
        <v/>
      </c>
      <c r="N4718" s="21">
        <f>IF(J4718="Yes","",IF(H4718&gt;=I4718,1,0))</f>
        <v/>
      </c>
      <c r="O4718" s="21">
        <f>IF(I4718&lt;=5000000,"Under $5M",IF(I4718&lt;=20000000,"$5M-20M",IF(I4718&lt;=50000000,"$20M-50M",IF(I4718&lt;=100000000,"$50M-100M","$100M+"))))</f>
        <v/>
      </c>
      <c r="P4718" s="21">
        <f>IF(E4718&lt;=90,"90 or less",IF(E4718&lt;=105,"91-105",IF(E4718&lt;=120,"106-120",IF(E4718&lt;=140,"121-140","Over 140"))))</f>
        <v/>
      </c>
      <c r="Q4718" s="28">
        <f>INT(C4718/10)*10</f>
        <v/>
      </c>
    </row>
    <row r="4719">
      <c r="A4719" s="21" t="n">
        <v>4835</v>
      </c>
      <c r="B4719" s="21" t="inlineStr">
        <is>
          <t>Cabin Fever</t>
        </is>
      </c>
      <c r="C4719" s="21" t="n">
        <v>2016</v>
      </c>
      <c r="D4719" s="21" t="inlineStr">
        <is>
          <t>USA</t>
        </is>
      </c>
      <c r="E4719" s="21" t="n">
        <v>99</v>
      </c>
      <c r="F4719" s="21" t="inlineStr">
        <is>
          <t>English</t>
        </is>
      </c>
      <c r="G4719" s="21" t="inlineStr">
        <is>
          <t>Not Rated</t>
        </is>
      </c>
      <c r="H4719" s="22" t="n">
        <v>25529689.5</v>
      </c>
      <c r="I4719" s="22" t="n">
        <v>20000000</v>
      </c>
      <c r="J4719" s="21">
        <f>IF(OR(H4719="",H4719=25529689.5),"Yes","No")</f>
        <v/>
      </c>
      <c r="K4719" s="21">
        <f>IF(AND(D4719="USA",C4719&gt;=1980,J4719="No"),"Yes","No")</f>
        <v/>
      </c>
      <c r="L4719" s="26">
        <f>IF(J4719="Yes","",H4719-I4719)</f>
        <v/>
      </c>
      <c r="M4719" s="27">
        <f>IF(OR(J4719="Yes",I4719=0),"",H4719/I4719)</f>
        <v/>
      </c>
      <c r="N4719" s="21">
        <f>IF(J4719="Yes","",IF(H4719&gt;=I4719,1,0))</f>
        <v/>
      </c>
      <c r="O4719" s="21">
        <f>IF(I4719&lt;=5000000,"Under $5M",IF(I4719&lt;=20000000,"$5M-20M",IF(I4719&lt;=50000000,"$20M-50M",IF(I4719&lt;=100000000,"$50M-100M","$100M+"))))</f>
        <v/>
      </c>
      <c r="P4719" s="21">
        <f>IF(E4719&lt;=90,"90 or less",IF(E4719&lt;=105,"91-105",IF(E4719&lt;=120,"106-120",IF(E4719&lt;=140,"121-140","Over 140"))))</f>
        <v/>
      </c>
      <c r="Q4719" s="28">
        <f>INT(C4719/10)*10</f>
        <v/>
      </c>
    </row>
    <row r="4720">
      <c r="A4720" s="21" t="n">
        <v>4836</v>
      </c>
      <c r="B4720" s="21" t="inlineStr">
        <is>
          <t>Captain America: Civil War</t>
        </is>
      </c>
      <c r="C4720" s="21" t="n">
        <v>2016</v>
      </c>
      <c r="D4720" s="21" t="inlineStr">
        <is>
          <t>USA</t>
        </is>
      </c>
      <c r="E4720" s="21" t="n">
        <v>147</v>
      </c>
      <c r="F4720" s="21" t="inlineStr">
        <is>
          <t>English</t>
        </is>
      </c>
      <c r="G4720" s="21" t="inlineStr">
        <is>
          <t>PG-13</t>
        </is>
      </c>
      <c r="H4720" s="22" t="n">
        <v>407197282</v>
      </c>
      <c r="I4720" s="22" t="n">
        <v>250000000</v>
      </c>
      <c r="J4720" s="21">
        <f>IF(OR(H4720="",H4720=25529689.5),"Yes","No")</f>
        <v/>
      </c>
      <c r="K4720" s="21">
        <f>IF(AND(D4720="USA",C4720&gt;=1980,J4720="No"),"Yes","No")</f>
        <v/>
      </c>
      <c r="L4720" s="26">
        <f>IF(J4720="Yes","",H4720-I4720)</f>
        <v/>
      </c>
      <c r="M4720" s="27">
        <f>IF(OR(J4720="Yes",I4720=0),"",H4720/I4720)</f>
        <v/>
      </c>
      <c r="N4720" s="21">
        <f>IF(J4720="Yes","",IF(H4720&gt;=I4720,1,0))</f>
        <v/>
      </c>
      <c r="O4720" s="21">
        <f>IF(I4720&lt;=5000000,"Under $5M",IF(I4720&lt;=20000000,"$5M-20M",IF(I4720&lt;=50000000,"$20M-50M",IF(I4720&lt;=100000000,"$50M-100M","$100M+"))))</f>
        <v/>
      </c>
      <c r="P4720" s="21">
        <f>IF(E4720&lt;=90,"90 or less",IF(E4720&lt;=105,"91-105",IF(E4720&lt;=120,"106-120",IF(E4720&lt;=140,"121-140","Over 140"))))</f>
        <v/>
      </c>
      <c r="Q4720" s="28">
        <f>INT(C4720/10)*10</f>
        <v/>
      </c>
    </row>
    <row r="4721">
      <c r="A4721" s="21" t="n">
        <v>4837</v>
      </c>
      <c r="B4721" s="21" t="inlineStr">
        <is>
          <t>Central Intelligence</t>
        </is>
      </c>
      <c r="C4721" s="21" t="n">
        <v>2016</v>
      </c>
      <c r="D4721" s="21" t="inlineStr">
        <is>
          <t>USA</t>
        </is>
      </c>
      <c r="E4721" s="21" t="n">
        <v>107</v>
      </c>
      <c r="F4721" s="21" t="inlineStr">
        <is>
          <t>English</t>
        </is>
      </c>
      <c r="G4721" s="21" t="inlineStr">
        <is>
          <t>PG-13</t>
        </is>
      </c>
      <c r="H4721" s="22" t="n">
        <v>126088877</v>
      </c>
      <c r="I4721" s="22" t="n">
        <v>50000000</v>
      </c>
      <c r="J4721" s="21">
        <f>IF(OR(H4721="",H4721=25529689.5),"Yes","No")</f>
        <v/>
      </c>
      <c r="K4721" s="21">
        <f>IF(AND(D4721="USA",C4721&gt;=1980,J4721="No"),"Yes","No")</f>
        <v/>
      </c>
      <c r="L4721" s="26">
        <f>IF(J4721="Yes","",H4721-I4721)</f>
        <v/>
      </c>
      <c r="M4721" s="27">
        <f>IF(OR(J4721="Yes",I4721=0),"",H4721/I4721)</f>
        <v/>
      </c>
      <c r="N4721" s="21">
        <f>IF(J4721="Yes","",IF(H4721&gt;=I4721,1,0))</f>
        <v/>
      </c>
      <c r="O4721" s="21">
        <f>IF(I4721&lt;=5000000,"Under $5M",IF(I4721&lt;=20000000,"$5M-20M",IF(I4721&lt;=50000000,"$20M-50M",IF(I4721&lt;=100000000,"$50M-100M","$100M+"))))</f>
        <v/>
      </c>
      <c r="P4721" s="21">
        <f>IF(E4721&lt;=90,"90 or less",IF(E4721&lt;=105,"91-105",IF(E4721&lt;=120,"106-120",IF(E4721&lt;=140,"121-140","Over 140"))))</f>
        <v/>
      </c>
      <c r="Q4721" s="28">
        <f>INT(C4721/10)*10</f>
        <v/>
      </c>
    </row>
    <row r="4722">
      <c r="A4722" s="21" t="n">
        <v>4838</v>
      </c>
      <c r="B4722" s="21" t="inlineStr">
        <is>
          <t>Code of Honor</t>
        </is>
      </c>
      <c r="C4722" s="21" t="n">
        <v>2016</v>
      </c>
      <c r="D4722" s="21" t="inlineStr">
        <is>
          <t>USA</t>
        </is>
      </c>
      <c r="E4722" s="21" t="n">
        <v>106</v>
      </c>
      <c r="F4722" s="21" t="inlineStr">
        <is>
          <t>English</t>
        </is>
      </c>
      <c r="G4722" s="21" t="inlineStr">
        <is>
          <t>R</t>
        </is>
      </c>
      <c r="H4722" s="22" t="n">
        <v>25529689.5</v>
      </c>
      <c r="I4722" s="22" t="n">
        <v>8000000</v>
      </c>
      <c r="J4722" s="21">
        <f>IF(OR(H4722="",H4722=25529689.5),"Yes","No")</f>
        <v/>
      </c>
      <c r="K4722" s="21">
        <f>IF(AND(D4722="USA",C4722&gt;=1980,J4722="No"),"Yes","No")</f>
        <v/>
      </c>
      <c r="L4722" s="26">
        <f>IF(J4722="Yes","",H4722-I4722)</f>
        <v/>
      </c>
      <c r="M4722" s="27">
        <f>IF(OR(J4722="Yes",I4722=0),"",H4722/I4722)</f>
        <v/>
      </c>
      <c r="N4722" s="21">
        <f>IF(J4722="Yes","",IF(H4722&gt;=I4722,1,0))</f>
        <v/>
      </c>
      <c r="O4722" s="21">
        <f>IF(I4722&lt;=5000000,"Under $5M",IF(I4722&lt;=20000000,"$5M-20M",IF(I4722&lt;=50000000,"$20M-50M",IF(I4722&lt;=100000000,"$50M-100M","$100M+"))))</f>
        <v/>
      </c>
      <c r="P4722" s="21">
        <f>IF(E4722&lt;=90,"90 or less",IF(E4722&lt;=105,"91-105",IF(E4722&lt;=120,"106-120",IF(E4722&lt;=140,"121-140","Over 140"))))</f>
        <v/>
      </c>
      <c r="Q4722" s="28">
        <f>INT(C4722/10)*10</f>
        <v/>
      </c>
    </row>
    <row r="4723">
      <c r="A4723" s="21" t="n">
        <v>4839</v>
      </c>
      <c r="B4723" s="21" t="inlineStr">
        <is>
          <t>Compadres</t>
        </is>
      </c>
      <c r="C4723" s="21" t="n">
        <v>2016</v>
      </c>
      <c r="D4723" s="21" t="inlineStr">
        <is>
          <t>Mexico</t>
        </is>
      </c>
      <c r="E4723" s="21" t="n">
        <v>101</v>
      </c>
      <c r="F4723" s="21" t="inlineStr">
        <is>
          <t>English</t>
        </is>
      </c>
      <c r="G4723" s="21" t="inlineStr">
        <is>
          <t>R</t>
        </is>
      </c>
      <c r="H4723" s="22" t="n">
        <v>3105269</v>
      </c>
      <c r="I4723" s="22" t="n">
        <v>3000000</v>
      </c>
      <c r="J4723" s="21">
        <f>IF(OR(H4723="",H4723=25529689.5),"Yes","No")</f>
        <v/>
      </c>
      <c r="K4723" s="21">
        <f>IF(AND(D4723="USA",C4723&gt;=1980,J4723="No"),"Yes","No")</f>
        <v/>
      </c>
      <c r="L4723" s="26">
        <f>IF(J4723="Yes","",H4723-I4723)</f>
        <v/>
      </c>
      <c r="M4723" s="27">
        <f>IF(OR(J4723="Yes",I4723=0),"",H4723/I4723)</f>
        <v/>
      </c>
      <c r="N4723" s="21">
        <f>IF(J4723="Yes","",IF(H4723&gt;=I4723,1,0))</f>
        <v/>
      </c>
      <c r="O4723" s="21">
        <f>IF(I4723&lt;=5000000,"Under $5M",IF(I4723&lt;=20000000,"$5M-20M",IF(I4723&lt;=50000000,"$20M-50M",IF(I4723&lt;=100000000,"$50M-100M","$100M+"))))</f>
        <v/>
      </c>
      <c r="P4723" s="21">
        <f>IF(E4723&lt;=90,"90 or less",IF(E4723&lt;=105,"91-105",IF(E4723&lt;=120,"106-120",IF(E4723&lt;=140,"121-140","Over 140"))))</f>
        <v/>
      </c>
      <c r="Q4723" s="28">
        <f>INT(C4723/10)*10</f>
        <v/>
      </c>
    </row>
    <row r="4724">
      <c r="A4724" s="21" t="n">
        <v>4840</v>
      </c>
      <c r="B4724" s="21" t="inlineStr">
        <is>
          <t>Criminal</t>
        </is>
      </c>
      <c r="C4724" s="21" t="n">
        <v>2016</v>
      </c>
      <c r="D4724" s="21" t="inlineStr">
        <is>
          <t>UK</t>
        </is>
      </c>
      <c r="E4724" s="21" t="n">
        <v>113</v>
      </c>
      <c r="F4724" s="21" t="inlineStr">
        <is>
          <t>English</t>
        </is>
      </c>
      <c r="G4724" s="21" t="inlineStr">
        <is>
          <t>R</t>
        </is>
      </c>
      <c r="H4724" s="22" t="n">
        <v>14268533</v>
      </c>
      <c r="I4724" s="22" t="n">
        <v>31500000</v>
      </c>
      <c r="J4724" s="21">
        <f>IF(OR(H4724="",H4724=25529689.5),"Yes","No")</f>
        <v/>
      </c>
      <c r="K4724" s="21">
        <f>IF(AND(D4724="USA",C4724&gt;=1980,J4724="No"),"Yes","No")</f>
        <v/>
      </c>
      <c r="L4724" s="26">
        <f>IF(J4724="Yes","",H4724-I4724)</f>
        <v/>
      </c>
      <c r="M4724" s="27">
        <f>IF(OR(J4724="Yes",I4724=0),"",H4724/I4724)</f>
        <v/>
      </c>
      <c r="N4724" s="21">
        <f>IF(J4724="Yes","",IF(H4724&gt;=I4724,1,0))</f>
        <v/>
      </c>
      <c r="O4724" s="21">
        <f>IF(I4724&lt;=5000000,"Under $5M",IF(I4724&lt;=20000000,"$5M-20M",IF(I4724&lt;=50000000,"$20M-50M",IF(I4724&lt;=100000000,"$50M-100M","$100M+"))))</f>
        <v/>
      </c>
      <c r="P4724" s="21">
        <f>IF(E4724&lt;=90,"90 or less",IF(E4724&lt;=105,"91-105",IF(E4724&lt;=120,"106-120",IF(E4724&lt;=140,"121-140","Over 140"))))</f>
        <v/>
      </c>
      <c r="Q4724" s="28">
        <f>INT(C4724/10)*10</f>
        <v/>
      </c>
    </row>
    <row r="4725">
      <c r="A4725" s="21" t="n">
        <v>4841</v>
      </c>
      <c r="B4725" s="21" t="inlineStr">
        <is>
          <t>Deadpool</t>
        </is>
      </c>
      <c r="C4725" s="21" t="n">
        <v>2016</v>
      </c>
      <c r="D4725" s="21" t="inlineStr">
        <is>
          <t>USA</t>
        </is>
      </c>
      <c r="E4725" s="21" t="n">
        <v>108</v>
      </c>
      <c r="F4725" s="21" t="inlineStr">
        <is>
          <t>English</t>
        </is>
      </c>
      <c r="G4725" s="21" t="inlineStr">
        <is>
          <t>R</t>
        </is>
      </c>
      <c r="H4725" s="22" t="n">
        <v>363024263</v>
      </c>
      <c r="I4725" s="22" t="n">
        <v>58000000</v>
      </c>
      <c r="J4725" s="21">
        <f>IF(OR(H4725="",H4725=25529689.5),"Yes","No")</f>
        <v/>
      </c>
      <c r="K4725" s="21">
        <f>IF(AND(D4725="USA",C4725&gt;=1980,J4725="No"),"Yes","No")</f>
        <v/>
      </c>
      <c r="L4725" s="26">
        <f>IF(J4725="Yes","",H4725-I4725)</f>
        <v/>
      </c>
      <c r="M4725" s="27">
        <f>IF(OR(J4725="Yes",I4725=0),"",H4725/I4725)</f>
        <v/>
      </c>
      <c r="N4725" s="21">
        <f>IF(J4725="Yes","",IF(H4725&gt;=I4725,1,0))</f>
        <v/>
      </c>
      <c r="O4725" s="21">
        <f>IF(I4725&lt;=5000000,"Under $5M",IF(I4725&lt;=20000000,"$5M-20M",IF(I4725&lt;=50000000,"$20M-50M",IF(I4725&lt;=100000000,"$50M-100M","$100M+"))))</f>
        <v/>
      </c>
      <c r="P4725" s="21">
        <f>IF(E4725&lt;=90,"90 or less",IF(E4725&lt;=105,"91-105",IF(E4725&lt;=120,"106-120",IF(E4725&lt;=140,"121-140","Over 140"))))</f>
        <v/>
      </c>
      <c r="Q4725" s="28">
        <f>INT(C4725/10)*10</f>
        <v/>
      </c>
    </row>
    <row r="4726">
      <c r="A4726" s="21" t="n">
        <v>4842</v>
      </c>
      <c r="B4726" s="21" t="inlineStr">
        <is>
          <t>Dirty Grandpa</t>
        </is>
      </c>
      <c r="C4726" s="21" t="n">
        <v>2016</v>
      </c>
      <c r="D4726" s="21" t="inlineStr">
        <is>
          <t>USA</t>
        </is>
      </c>
      <c r="E4726" s="21" t="n">
        <v>109</v>
      </c>
      <c r="F4726" s="21" t="inlineStr">
        <is>
          <t>English</t>
        </is>
      </c>
      <c r="G4726" s="21" t="inlineStr">
        <is>
          <t>R</t>
        </is>
      </c>
      <c r="H4726" s="22" t="n">
        <v>35537564</v>
      </c>
      <c r="I4726" s="22" t="n">
        <v>11500000</v>
      </c>
      <c r="J4726" s="21">
        <f>IF(OR(H4726="",H4726=25529689.5),"Yes","No")</f>
        <v/>
      </c>
      <c r="K4726" s="21">
        <f>IF(AND(D4726="USA",C4726&gt;=1980,J4726="No"),"Yes","No")</f>
        <v/>
      </c>
      <c r="L4726" s="26">
        <f>IF(J4726="Yes","",H4726-I4726)</f>
        <v/>
      </c>
      <c r="M4726" s="27">
        <f>IF(OR(J4726="Yes",I4726=0),"",H4726/I4726)</f>
        <v/>
      </c>
      <c r="N4726" s="21">
        <f>IF(J4726="Yes","",IF(H4726&gt;=I4726,1,0))</f>
        <v/>
      </c>
      <c r="O4726" s="21">
        <f>IF(I4726&lt;=5000000,"Under $5M",IF(I4726&lt;=20000000,"$5M-20M",IF(I4726&lt;=50000000,"$20M-50M",IF(I4726&lt;=100000000,"$50M-100M","$100M+"))))</f>
        <v/>
      </c>
      <c r="P4726" s="21">
        <f>IF(E4726&lt;=90,"90 or less",IF(E4726&lt;=105,"91-105",IF(E4726&lt;=120,"106-120",IF(E4726&lt;=140,"121-140","Over 140"))))</f>
        <v/>
      </c>
      <c r="Q4726" s="28">
        <f>INT(C4726/10)*10</f>
        <v/>
      </c>
    </row>
    <row r="4727">
      <c r="A4727" s="21" t="n">
        <v>4843</v>
      </c>
      <c r="B4727" s="21" t="inlineStr">
        <is>
          <t>Eddie the Eagle</t>
        </is>
      </c>
      <c r="C4727" s="21" t="n">
        <v>2016</v>
      </c>
      <c r="D4727" s="21" t="inlineStr">
        <is>
          <t>UK</t>
        </is>
      </c>
      <c r="E4727" s="21" t="n">
        <v>106</v>
      </c>
      <c r="F4727" s="21" t="inlineStr">
        <is>
          <t>English</t>
        </is>
      </c>
      <c r="G4727" s="21" t="inlineStr">
        <is>
          <t>PG-13</t>
        </is>
      </c>
      <c r="H4727" s="22" t="n">
        <v>15785632</v>
      </c>
      <c r="I4727" s="22" t="n">
        <v>23000000</v>
      </c>
      <c r="J4727" s="21">
        <f>IF(OR(H4727="",H4727=25529689.5),"Yes","No")</f>
        <v/>
      </c>
      <c r="K4727" s="21">
        <f>IF(AND(D4727="USA",C4727&gt;=1980,J4727="No"),"Yes","No")</f>
        <v/>
      </c>
      <c r="L4727" s="26">
        <f>IF(J4727="Yes","",H4727-I4727)</f>
        <v/>
      </c>
      <c r="M4727" s="27">
        <f>IF(OR(J4727="Yes",I4727=0),"",H4727/I4727)</f>
        <v/>
      </c>
      <c r="N4727" s="21">
        <f>IF(J4727="Yes","",IF(H4727&gt;=I4727,1,0))</f>
        <v/>
      </c>
      <c r="O4727" s="21">
        <f>IF(I4727&lt;=5000000,"Under $5M",IF(I4727&lt;=20000000,"$5M-20M",IF(I4727&lt;=50000000,"$20M-50M",IF(I4727&lt;=100000000,"$50M-100M","$100M+"))))</f>
        <v/>
      </c>
      <c r="P4727" s="21">
        <f>IF(E4727&lt;=90,"90 or less",IF(E4727&lt;=105,"91-105",IF(E4727&lt;=120,"106-120",IF(E4727&lt;=140,"121-140","Over 140"))))</f>
        <v/>
      </c>
      <c r="Q4727" s="28">
        <f>INT(C4727/10)*10</f>
        <v/>
      </c>
    </row>
    <row r="4728">
      <c r="A4728" s="21" t="n">
        <v>4845</v>
      </c>
      <c r="B4728" s="21" t="inlineStr">
        <is>
          <t>Fifty Shades of Black</t>
        </is>
      </c>
      <c r="C4728" s="21" t="n">
        <v>2016</v>
      </c>
      <c r="D4728" s="21" t="inlineStr">
        <is>
          <t>USA</t>
        </is>
      </c>
      <c r="E4728" s="21" t="n">
        <v>92</v>
      </c>
      <c r="F4728" s="21" t="inlineStr">
        <is>
          <t>English</t>
        </is>
      </c>
      <c r="G4728" s="21" t="inlineStr">
        <is>
          <t>R</t>
        </is>
      </c>
      <c r="H4728" s="22" t="n">
        <v>11675178</v>
      </c>
      <c r="I4728" s="22" t="n">
        <v>5000000</v>
      </c>
      <c r="J4728" s="21">
        <f>IF(OR(H4728="",H4728=25529689.5),"Yes","No")</f>
        <v/>
      </c>
      <c r="K4728" s="21">
        <f>IF(AND(D4728="USA",C4728&gt;=1980,J4728="No"),"Yes","No")</f>
        <v/>
      </c>
      <c r="L4728" s="26">
        <f>IF(J4728="Yes","",H4728-I4728)</f>
        <v/>
      </c>
      <c r="M4728" s="27">
        <f>IF(OR(J4728="Yes",I4728=0),"",H4728/I4728)</f>
        <v/>
      </c>
      <c r="N4728" s="21">
        <f>IF(J4728="Yes","",IF(H4728&gt;=I4728,1,0))</f>
        <v/>
      </c>
      <c r="O4728" s="21">
        <f>IF(I4728&lt;=5000000,"Under $5M",IF(I4728&lt;=20000000,"$5M-20M",IF(I4728&lt;=50000000,"$20M-50M",IF(I4728&lt;=100000000,"$50M-100M","$100M+"))))</f>
        <v/>
      </c>
      <c r="P4728" s="21">
        <f>IF(E4728&lt;=90,"90 or less",IF(E4728&lt;=105,"91-105",IF(E4728&lt;=120,"106-120",IF(E4728&lt;=140,"121-140","Over 140"))))</f>
        <v/>
      </c>
      <c r="Q4728" s="28">
        <f>INT(C4728/10)*10</f>
        <v/>
      </c>
    </row>
    <row r="4729">
      <c r="A4729" s="21" t="n">
        <v>4846</v>
      </c>
      <c r="B4729" s="21" t="inlineStr">
        <is>
          <t>Fight to the Finish</t>
        </is>
      </c>
      <c r="C4729" s="21" t="n">
        <v>2016</v>
      </c>
      <c r="D4729" s="21" t="inlineStr">
        <is>
          <t>USA</t>
        </is>
      </c>
      <c r="E4729" s="21" t="n">
        <v>94</v>
      </c>
      <c r="F4729" s="21" t="inlineStr">
        <is>
          <t>English</t>
        </is>
      </c>
      <c r="G4729" s="21" t="inlineStr">
        <is>
          <t>PG-13</t>
        </is>
      </c>
      <c r="H4729" s="22" t="n">
        <v>25529689.5</v>
      </c>
      <c r="I4729" s="22" t="n">
        <v>150000</v>
      </c>
      <c r="J4729" s="21">
        <f>IF(OR(H4729="",H4729=25529689.5),"Yes","No")</f>
        <v/>
      </c>
      <c r="K4729" s="21">
        <f>IF(AND(D4729="USA",C4729&gt;=1980,J4729="No"),"Yes","No")</f>
        <v/>
      </c>
      <c r="L4729" s="26">
        <f>IF(J4729="Yes","",H4729-I4729)</f>
        <v/>
      </c>
      <c r="M4729" s="27">
        <f>IF(OR(J4729="Yes",I4729=0),"",H4729/I4729)</f>
        <v/>
      </c>
      <c r="N4729" s="21">
        <f>IF(J4729="Yes","",IF(H4729&gt;=I4729,1,0))</f>
        <v/>
      </c>
      <c r="O4729" s="21">
        <f>IF(I4729&lt;=5000000,"Under $5M",IF(I4729&lt;=20000000,"$5M-20M",IF(I4729&lt;=50000000,"$20M-50M",IF(I4729&lt;=100000000,"$50M-100M","$100M+"))))</f>
        <v/>
      </c>
      <c r="P4729" s="21">
        <f>IF(E4729&lt;=90,"90 or less",IF(E4729&lt;=105,"91-105",IF(E4729&lt;=120,"106-120",IF(E4729&lt;=140,"121-140","Over 140"))))</f>
        <v/>
      </c>
      <c r="Q4729" s="28">
        <f>INT(C4729/10)*10</f>
        <v/>
      </c>
    </row>
    <row r="4730">
      <c r="A4730" s="21" t="n">
        <v>4847</v>
      </c>
      <c r="B4730" s="21" t="inlineStr">
        <is>
          <t>Fight Valley</t>
        </is>
      </c>
      <c r="C4730" s="21" t="n">
        <v>2016</v>
      </c>
      <c r="D4730" s="21" t="inlineStr">
        <is>
          <t>USA</t>
        </is>
      </c>
      <c r="E4730" s="21" t="n">
        <v>90</v>
      </c>
      <c r="F4730" s="21" t="inlineStr">
        <is>
          <t>English</t>
        </is>
      </c>
      <c r="G4730" s="21" t="n"/>
      <c r="H4730" s="22" t="n">
        <v>25529689.5</v>
      </c>
      <c r="I4730" s="22" t="n">
        <v>27000000</v>
      </c>
      <c r="J4730" s="21">
        <f>IF(OR(H4730="",H4730=25529689.5),"Yes","No")</f>
        <v/>
      </c>
      <c r="K4730" s="21">
        <f>IF(AND(D4730="USA",C4730&gt;=1980,J4730="No"),"Yes","No")</f>
        <v/>
      </c>
      <c r="L4730" s="26">
        <f>IF(J4730="Yes","",H4730-I4730)</f>
        <v/>
      </c>
      <c r="M4730" s="27">
        <f>IF(OR(J4730="Yes",I4730=0),"",H4730/I4730)</f>
        <v/>
      </c>
      <c r="N4730" s="21">
        <f>IF(J4730="Yes","",IF(H4730&gt;=I4730,1,0))</f>
        <v/>
      </c>
      <c r="O4730" s="21">
        <f>IF(I4730&lt;=5000000,"Under $5M",IF(I4730&lt;=20000000,"$5M-20M",IF(I4730&lt;=50000000,"$20M-50M",IF(I4730&lt;=100000000,"$50M-100M","$100M+"))))</f>
        <v/>
      </c>
      <c r="P4730" s="21">
        <f>IF(E4730&lt;=90,"90 or less",IF(E4730&lt;=105,"91-105",IF(E4730&lt;=120,"106-120",IF(E4730&lt;=140,"121-140","Over 140"))))</f>
        <v/>
      </c>
      <c r="Q4730" s="28">
        <f>INT(C4730/10)*10</f>
        <v/>
      </c>
    </row>
    <row r="4731">
      <c r="A4731" s="21" t="n">
        <v>4848</v>
      </c>
      <c r="B4731" s="21" t="inlineStr">
        <is>
          <t>Florence Foster Jenkins</t>
        </is>
      </c>
      <c r="C4731" s="21" t="n">
        <v>2016</v>
      </c>
      <c r="D4731" s="21" t="inlineStr">
        <is>
          <t>UK</t>
        </is>
      </c>
      <c r="E4731" s="21" t="n">
        <v>110</v>
      </c>
      <c r="F4731" s="21" t="inlineStr">
        <is>
          <t>English</t>
        </is>
      </c>
      <c r="G4731" s="21" t="inlineStr">
        <is>
          <t>PG-13</t>
        </is>
      </c>
      <c r="H4731" s="22" t="n">
        <v>25529689.5</v>
      </c>
      <c r="I4731" s="22" t="n">
        <v>29000000</v>
      </c>
      <c r="J4731" s="21">
        <f>IF(OR(H4731="",H4731=25529689.5),"Yes","No")</f>
        <v/>
      </c>
      <c r="K4731" s="21">
        <f>IF(AND(D4731="USA",C4731&gt;=1980,J4731="No"),"Yes","No")</f>
        <v/>
      </c>
      <c r="L4731" s="26">
        <f>IF(J4731="Yes","",H4731-I4731)</f>
        <v/>
      </c>
      <c r="M4731" s="27">
        <f>IF(OR(J4731="Yes",I4731=0),"",H4731/I4731)</f>
        <v/>
      </c>
      <c r="N4731" s="21">
        <f>IF(J4731="Yes","",IF(H4731&gt;=I4731,1,0))</f>
        <v/>
      </c>
      <c r="O4731" s="21">
        <f>IF(I4731&lt;=5000000,"Under $5M",IF(I4731&lt;=20000000,"$5M-20M",IF(I4731&lt;=50000000,"$20M-50M",IF(I4731&lt;=100000000,"$50M-100M","$100M+"))))</f>
        <v/>
      </c>
      <c r="P4731" s="21">
        <f>IF(E4731&lt;=90,"90 or less",IF(E4731&lt;=105,"91-105",IF(E4731&lt;=120,"106-120",IF(E4731&lt;=140,"121-140","Over 140"))))</f>
        <v/>
      </c>
      <c r="Q4731" s="28">
        <f>INT(C4731/10)*10</f>
        <v/>
      </c>
    </row>
    <row r="4732">
      <c r="A4732" s="21" t="n">
        <v>4849</v>
      </c>
      <c r="B4732" s="21" t="inlineStr">
        <is>
          <t>Free State of Jones</t>
        </is>
      </c>
      <c r="C4732" s="21" t="n">
        <v>2016</v>
      </c>
      <c r="D4732" s="21" t="inlineStr">
        <is>
          <t>USA</t>
        </is>
      </c>
      <c r="E4732" s="21" t="n">
        <v>139</v>
      </c>
      <c r="F4732" s="21" t="inlineStr">
        <is>
          <t>English</t>
        </is>
      </c>
      <c r="G4732" s="21" t="inlineStr">
        <is>
          <t>R</t>
        </is>
      </c>
      <c r="H4732" s="22" t="n">
        <v>20389967</v>
      </c>
      <c r="I4732" s="22" t="n">
        <v>50000000</v>
      </c>
      <c r="J4732" s="21">
        <f>IF(OR(H4732="",H4732=25529689.5),"Yes","No")</f>
        <v/>
      </c>
      <c r="K4732" s="21">
        <f>IF(AND(D4732="USA",C4732&gt;=1980,J4732="No"),"Yes","No")</f>
        <v/>
      </c>
      <c r="L4732" s="26">
        <f>IF(J4732="Yes","",H4732-I4732)</f>
        <v/>
      </c>
      <c r="M4732" s="27">
        <f>IF(OR(J4732="Yes",I4732=0),"",H4732/I4732)</f>
        <v/>
      </c>
      <c r="N4732" s="21">
        <f>IF(J4732="Yes","",IF(H4732&gt;=I4732,1,0))</f>
        <v/>
      </c>
      <c r="O4732" s="21">
        <f>IF(I4732&lt;=5000000,"Under $5M",IF(I4732&lt;=20000000,"$5M-20M",IF(I4732&lt;=50000000,"$20M-50M",IF(I4732&lt;=100000000,"$50M-100M","$100M+"))))</f>
        <v/>
      </c>
      <c r="P4732" s="21">
        <f>IF(E4732&lt;=90,"90 or less",IF(E4732&lt;=105,"91-105",IF(E4732&lt;=120,"106-120",IF(E4732&lt;=140,"121-140","Over 140"))))</f>
        <v/>
      </c>
      <c r="Q4732" s="28">
        <f>INT(C4732/10)*10</f>
        <v/>
      </c>
    </row>
    <row r="4733">
      <c r="A4733" s="21" t="n">
        <v>4850</v>
      </c>
      <c r="B4733" s="21" t="inlineStr">
        <is>
          <t>Ghostbusters</t>
        </is>
      </c>
      <c r="C4733" s="21" t="n">
        <v>2016</v>
      </c>
      <c r="D4733" s="21" t="inlineStr">
        <is>
          <t>USA</t>
        </is>
      </c>
      <c r="E4733" s="21" t="n">
        <v>116</v>
      </c>
      <c r="F4733" s="21" t="inlineStr">
        <is>
          <t>English</t>
        </is>
      </c>
      <c r="G4733" s="21" t="inlineStr">
        <is>
          <t>PG-13</t>
        </is>
      </c>
      <c r="H4733" s="22" t="n">
        <v>118099659</v>
      </c>
      <c r="I4733" s="22" t="n">
        <v>144000000</v>
      </c>
      <c r="J4733" s="21">
        <f>IF(OR(H4733="",H4733=25529689.5),"Yes","No")</f>
        <v/>
      </c>
      <c r="K4733" s="21">
        <f>IF(AND(D4733="USA",C4733&gt;=1980,J4733="No"),"Yes","No")</f>
        <v/>
      </c>
      <c r="L4733" s="26">
        <f>IF(J4733="Yes","",H4733-I4733)</f>
        <v/>
      </c>
      <c r="M4733" s="27">
        <f>IF(OR(J4733="Yes",I4733=0),"",H4733/I4733)</f>
        <v/>
      </c>
      <c r="N4733" s="21">
        <f>IF(J4733="Yes","",IF(H4733&gt;=I4733,1,0))</f>
        <v/>
      </c>
      <c r="O4733" s="21">
        <f>IF(I4733&lt;=5000000,"Under $5M",IF(I4733&lt;=20000000,"$5M-20M",IF(I4733&lt;=50000000,"$20M-50M",IF(I4733&lt;=100000000,"$50M-100M","$100M+"))))</f>
        <v/>
      </c>
      <c r="P4733" s="21">
        <f>IF(E4733&lt;=90,"90 or less",IF(E4733&lt;=105,"91-105",IF(E4733&lt;=120,"106-120",IF(E4733&lt;=140,"121-140","Over 140"))))</f>
        <v/>
      </c>
      <c r="Q4733" s="28">
        <f>INT(C4733/10)*10</f>
        <v/>
      </c>
    </row>
    <row r="4734">
      <c r="A4734" s="21" t="n">
        <v>4852</v>
      </c>
      <c r="B4734" s="21" t="inlineStr">
        <is>
          <t>God's Not Dead 2</t>
        </is>
      </c>
      <c r="C4734" s="21" t="n">
        <v>2016</v>
      </c>
      <c r="D4734" s="21" t="inlineStr">
        <is>
          <t>USA</t>
        </is>
      </c>
      <c r="E4734" s="21" t="n">
        <v>120</v>
      </c>
      <c r="F4734" s="21" t="inlineStr">
        <is>
          <t>English</t>
        </is>
      </c>
      <c r="G4734" s="21" t="inlineStr">
        <is>
          <t>PG</t>
        </is>
      </c>
      <c r="H4734" s="22" t="n">
        <v>20773070</v>
      </c>
      <c r="I4734" s="22" t="n">
        <v>5000000</v>
      </c>
      <c r="J4734" s="21">
        <f>IF(OR(H4734="",H4734=25529689.5),"Yes","No")</f>
        <v/>
      </c>
      <c r="K4734" s="21">
        <f>IF(AND(D4734="USA",C4734&gt;=1980,J4734="No"),"Yes","No")</f>
        <v/>
      </c>
      <c r="L4734" s="26">
        <f>IF(J4734="Yes","",H4734-I4734)</f>
        <v/>
      </c>
      <c r="M4734" s="27">
        <f>IF(OR(J4734="Yes",I4734=0),"",H4734/I4734)</f>
        <v/>
      </c>
      <c r="N4734" s="21">
        <f>IF(J4734="Yes","",IF(H4734&gt;=I4734,1,0))</f>
        <v/>
      </c>
      <c r="O4734" s="21">
        <f>IF(I4734&lt;=5000000,"Under $5M",IF(I4734&lt;=20000000,"$5M-20M",IF(I4734&lt;=50000000,"$20M-50M",IF(I4734&lt;=100000000,"$50M-100M","$100M+"))))</f>
        <v/>
      </c>
      <c r="P4734" s="21">
        <f>IF(E4734&lt;=90,"90 or less",IF(E4734&lt;=105,"91-105",IF(E4734&lt;=120,"106-120",IF(E4734&lt;=140,"121-140","Over 140"))))</f>
        <v/>
      </c>
      <c r="Q4734" s="28">
        <f>INT(C4734/10)*10</f>
        <v/>
      </c>
    </row>
    <row r="4735">
      <c r="A4735" s="21" t="n">
        <v>4853</v>
      </c>
      <c r="B4735" s="21" t="inlineStr">
        <is>
          <t>Gods of Egypt</t>
        </is>
      </c>
      <c r="C4735" s="21" t="n">
        <v>2016</v>
      </c>
      <c r="D4735" s="21" t="inlineStr">
        <is>
          <t>USA</t>
        </is>
      </c>
      <c r="E4735" s="21" t="n">
        <v>126</v>
      </c>
      <c r="F4735" s="21" t="inlineStr">
        <is>
          <t>English</t>
        </is>
      </c>
      <c r="G4735" s="21" t="inlineStr">
        <is>
          <t>PG-13</t>
        </is>
      </c>
      <c r="H4735" s="22" t="n">
        <v>31141074</v>
      </c>
      <c r="I4735" s="22" t="n">
        <v>140000000</v>
      </c>
      <c r="J4735" s="21">
        <f>IF(OR(H4735="",H4735=25529689.5),"Yes","No")</f>
        <v/>
      </c>
      <c r="K4735" s="21">
        <f>IF(AND(D4735="USA",C4735&gt;=1980,J4735="No"),"Yes","No")</f>
        <v/>
      </c>
      <c r="L4735" s="26">
        <f>IF(J4735="Yes","",H4735-I4735)</f>
        <v/>
      </c>
      <c r="M4735" s="27">
        <f>IF(OR(J4735="Yes",I4735=0),"",H4735/I4735)</f>
        <v/>
      </c>
      <c r="N4735" s="21">
        <f>IF(J4735="Yes","",IF(H4735&gt;=I4735,1,0))</f>
        <v/>
      </c>
      <c r="O4735" s="21">
        <f>IF(I4735&lt;=5000000,"Under $5M",IF(I4735&lt;=20000000,"$5M-20M",IF(I4735&lt;=50000000,"$20M-50M",IF(I4735&lt;=100000000,"$50M-100M","$100M+"))))</f>
        <v/>
      </c>
      <c r="P4735" s="21">
        <f>IF(E4735&lt;=90,"90 or less",IF(E4735&lt;=105,"91-105",IF(E4735&lt;=120,"106-120",IF(E4735&lt;=140,"121-140","Over 140"))))</f>
        <v/>
      </c>
      <c r="Q4735" s="28">
        <f>INT(C4735/10)*10</f>
        <v/>
      </c>
    </row>
    <row r="4736">
      <c r="A4736" s="21" t="n">
        <v>4854</v>
      </c>
      <c r="B4736" s="21" t="inlineStr">
        <is>
          <t>Godzilla Resurgence</t>
        </is>
      </c>
      <c r="C4736" s="21" t="n">
        <v>2016</v>
      </c>
      <c r="D4736" s="21" t="inlineStr">
        <is>
          <t>Japan</t>
        </is>
      </c>
      <c r="E4736" s="21" t="n">
        <v>120</v>
      </c>
      <c r="F4736" s="21" t="inlineStr">
        <is>
          <t>Japanese</t>
        </is>
      </c>
      <c r="G4736" s="21" t="n"/>
      <c r="H4736" s="22" t="n">
        <v>25529689.5</v>
      </c>
      <c r="I4736" s="22" t="n">
        <v>20000000</v>
      </c>
      <c r="J4736" s="21">
        <f>IF(OR(H4736="",H4736=25529689.5),"Yes","No")</f>
        <v/>
      </c>
      <c r="K4736" s="21">
        <f>IF(AND(D4736="USA",C4736&gt;=1980,J4736="No"),"Yes","No")</f>
        <v/>
      </c>
      <c r="L4736" s="26">
        <f>IF(J4736="Yes","",H4736-I4736)</f>
        <v/>
      </c>
      <c r="M4736" s="27">
        <f>IF(OR(J4736="Yes",I4736=0),"",H4736/I4736)</f>
        <v/>
      </c>
      <c r="N4736" s="21">
        <f>IF(J4736="Yes","",IF(H4736&gt;=I4736,1,0))</f>
        <v/>
      </c>
      <c r="O4736" s="21">
        <f>IF(I4736&lt;=5000000,"Under $5M",IF(I4736&lt;=20000000,"$5M-20M",IF(I4736&lt;=50000000,"$20M-50M",IF(I4736&lt;=100000000,"$50M-100M","$100M+"))))</f>
        <v/>
      </c>
      <c r="P4736" s="21">
        <f>IF(E4736&lt;=90,"90 or less",IF(E4736&lt;=105,"91-105",IF(E4736&lt;=120,"106-120",IF(E4736&lt;=140,"121-140","Over 140"))))</f>
        <v/>
      </c>
      <c r="Q4736" s="28">
        <f>INT(C4736/10)*10</f>
        <v/>
      </c>
    </row>
    <row r="4737">
      <c r="A4737" s="21" t="n">
        <v>4856</v>
      </c>
      <c r="B4737" s="21" t="inlineStr">
        <is>
          <t>Hail, Caesar!</t>
        </is>
      </c>
      <c r="C4737" s="21" t="n">
        <v>2016</v>
      </c>
      <c r="D4737" s="21" t="inlineStr">
        <is>
          <t>UK</t>
        </is>
      </c>
      <c r="E4737" s="21" t="n">
        <v>106</v>
      </c>
      <c r="F4737" s="21" t="inlineStr">
        <is>
          <t>English</t>
        </is>
      </c>
      <c r="G4737" s="21" t="inlineStr">
        <is>
          <t>PG-13</t>
        </is>
      </c>
      <c r="H4737" s="22" t="n">
        <v>29997095</v>
      </c>
      <c r="I4737" s="22" t="n">
        <v>22000000</v>
      </c>
      <c r="J4737" s="21">
        <f>IF(OR(H4737="",H4737=25529689.5),"Yes","No")</f>
        <v/>
      </c>
      <c r="K4737" s="21">
        <f>IF(AND(D4737="USA",C4737&gt;=1980,J4737="No"),"Yes","No")</f>
        <v/>
      </c>
      <c r="L4737" s="26">
        <f>IF(J4737="Yes","",H4737-I4737)</f>
        <v/>
      </c>
      <c r="M4737" s="27">
        <f>IF(OR(J4737="Yes",I4737=0),"",H4737/I4737)</f>
        <v/>
      </c>
      <c r="N4737" s="21">
        <f>IF(J4737="Yes","",IF(H4737&gt;=I4737,1,0))</f>
        <v/>
      </c>
      <c r="O4737" s="21">
        <f>IF(I4737&lt;=5000000,"Under $5M",IF(I4737&lt;=20000000,"$5M-20M",IF(I4737&lt;=50000000,"$20M-50M",IF(I4737&lt;=100000000,"$50M-100M","$100M+"))))</f>
        <v/>
      </c>
      <c r="P4737" s="21">
        <f>IF(E4737&lt;=90,"90 or less",IF(E4737&lt;=105,"91-105",IF(E4737&lt;=120,"106-120",IF(E4737&lt;=140,"121-140","Over 140"))))</f>
        <v/>
      </c>
      <c r="Q4737" s="28">
        <f>INT(C4737/10)*10</f>
        <v/>
      </c>
    </row>
    <row r="4738">
      <c r="A4738" s="21" t="n">
        <v>4857</v>
      </c>
      <c r="B4738" s="21" t="inlineStr">
        <is>
          <t>Hands of Stone</t>
        </is>
      </c>
      <c r="C4738" s="21" t="n">
        <v>2016</v>
      </c>
      <c r="D4738" s="21" t="inlineStr">
        <is>
          <t>Panama</t>
        </is>
      </c>
      <c r="E4738" s="21" t="n">
        <v>105</v>
      </c>
      <c r="F4738" s="21" t="inlineStr">
        <is>
          <t>English</t>
        </is>
      </c>
      <c r="G4738" s="21" t="inlineStr">
        <is>
          <t>R</t>
        </is>
      </c>
      <c r="H4738" s="22" t="n">
        <v>25529689.5</v>
      </c>
      <c r="I4738" s="22" t="n">
        <v>20000000</v>
      </c>
      <c r="J4738" s="21">
        <f>IF(OR(H4738="",H4738=25529689.5),"Yes","No")</f>
        <v/>
      </c>
      <c r="K4738" s="21">
        <f>IF(AND(D4738="USA",C4738&gt;=1980,J4738="No"),"Yes","No")</f>
        <v/>
      </c>
      <c r="L4738" s="26">
        <f>IF(J4738="Yes","",H4738-I4738)</f>
        <v/>
      </c>
      <c r="M4738" s="27">
        <f>IF(OR(J4738="Yes",I4738=0),"",H4738/I4738)</f>
        <v/>
      </c>
      <c r="N4738" s="21">
        <f>IF(J4738="Yes","",IF(H4738&gt;=I4738,1,0))</f>
        <v/>
      </c>
      <c r="O4738" s="21">
        <f>IF(I4738&lt;=5000000,"Under $5M",IF(I4738&lt;=20000000,"$5M-20M",IF(I4738&lt;=50000000,"$20M-50M",IF(I4738&lt;=100000000,"$50M-100M","$100M+"))))</f>
        <v/>
      </c>
      <c r="P4738" s="21">
        <f>IF(E4738&lt;=90,"90 or less",IF(E4738&lt;=105,"91-105",IF(E4738&lt;=120,"106-120",IF(E4738&lt;=140,"121-140","Over 140"))))</f>
        <v/>
      </c>
      <c r="Q4738" s="28">
        <f>INT(C4738/10)*10</f>
        <v/>
      </c>
    </row>
    <row r="4739">
      <c r="A4739" s="21" t="n">
        <v>4858</v>
      </c>
      <c r="B4739" s="21" t="inlineStr">
        <is>
          <t>How to Be Single</t>
        </is>
      </c>
      <c r="C4739" s="21" t="n">
        <v>2016</v>
      </c>
      <c r="D4739" s="21" t="inlineStr">
        <is>
          <t>USA</t>
        </is>
      </c>
      <c r="E4739" s="21" t="n">
        <v>110</v>
      </c>
      <c r="F4739" s="21" t="inlineStr">
        <is>
          <t>English</t>
        </is>
      </c>
      <c r="G4739" s="21" t="inlineStr">
        <is>
          <t>R</t>
        </is>
      </c>
      <c r="H4739" s="22" t="n">
        <v>46813366</v>
      </c>
      <c r="I4739" s="22" t="n">
        <v>38000000</v>
      </c>
      <c r="J4739" s="21">
        <f>IF(OR(H4739="",H4739=25529689.5),"Yes","No")</f>
        <v/>
      </c>
      <c r="K4739" s="21">
        <f>IF(AND(D4739="USA",C4739&gt;=1980,J4739="No"),"Yes","No")</f>
        <v/>
      </c>
      <c r="L4739" s="26">
        <f>IF(J4739="Yes","",H4739-I4739)</f>
        <v/>
      </c>
      <c r="M4739" s="27">
        <f>IF(OR(J4739="Yes",I4739=0),"",H4739/I4739)</f>
        <v/>
      </c>
      <c r="N4739" s="21">
        <f>IF(J4739="Yes","",IF(H4739&gt;=I4739,1,0))</f>
        <v/>
      </c>
      <c r="O4739" s="21">
        <f>IF(I4739&lt;=5000000,"Under $5M",IF(I4739&lt;=20000000,"$5M-20M",IF(I4739&lt;=50000000,"$20M-50M",IF(I4739&lt;=100000000,"$50M-100M","$100M+"))))</f>
        <v/>
      </c>
      <c r="P4739" s="21">
        <f>IF(E4739&lt;=90,"90 or less",IF(E4739&lt;=105,"91-105",IF(E4739&lt;=120,"106-120",IF(E4739&lt;=140,"121-140","Over 140"))))</f>
        <v/>
      </c>
      <c r="Q4739" s="28">
        <f>INT(C4739/10)*10</f>
        <v/>
      </c>
    </row>
    <row r="4740">
      <c r="A4740" s="21" t="n">
        <v>4859</v>
      </c>
      <c r="B4740" s="21" t="inlineStr">
        <is>
          <t>I Am Wrath</t>
        </is>
      </c>
      <c r="C4740" s="21" t="n">
        <v>2016</v>
      </c>
      <c r="D4740" s="21" t="inlineStr">
        <is>
          <t>USA</t>
        </is>
      </c>
      <c r="E4740" s="21" t="n">
        <v>92</v>
      </c>
      <c r="F4740" s="21" t="inlineStr">
        <is>
          <t>English</t>
        </is>
      </c>
      <c r="G4740" s="21" t="inlineStr">
        <is>
          <t>R</t>
        </is>
      </c>
      <c r="H4740" s="22" t="n">
        <v>25529689.5</v>
      </c>
      <c r="I4740" s="22" t="n">
        <v>18000000</v>
      </c>
      <c r="J4740" s="21">
        <f>IF(OR(H4740="",H4740=25529689.5),"Yes","No")</f>
        <v/>
      </c>
      <c r="K4740" s="21">
        <f>IF(AND(D4740="USA",C4740&gt;=1980,J4740="No"),"Yes","No")</f>
        <v/>
      </c>
      <c r="L4740" s="26">
        <f>IF(J4740="Yes","",H4740-I4740)</f>
        <v/>
      </c>
      <c r="M4740" s="27">
        <f>IF(OR(J4740="Yes",I4740=0),"",H4740/I4740)</f>
        <v/>
      </c>
      <c r="N4740" s="21">
        <f>IF(J4740="Yes","",IF(H4740&gt;=I4740,1,0))</f>
        <v/>
      </c>
      <c r="O4740" s="21">
        <f>IF(I4740&lt;=5000000,"Under $5M",IF(I4740&lt;=20000000,"$5M-20M",IF(I4740&lt;=50000000,"$20M-50M",IF(I4740&lt;=100000000,"$50M-100M","$100M+"))))</f>
        <v/>
      </c>
      <c r="P4740" s="21">
        <f>IF(E4740&lt;=90,"90 or less",IF(E4740&lt;=105,"91-105",IF(E4740&lt;=120,"106-120",IF(E4740&lt;=140,"121-140","Over 140"))))</f>
        <v/>
      </c>
      <c r="Q4740" s="28">
        <f>INT(C4740/10)*10</f>
        <v/>
      </c>
    </row>
    <row r="4741">
      <c r="A4741" s="21" t="n">
        <v>4860</v>
      </c>
      <c r="B4741" s="21" t="inlineStr">
        <is>
          <t>Independence Day: Resurgence</t>
        </is>
      </c>
      <c r="C4741" s="21" t="n">
        <v>2016</v>
      </c>
      <c r="D4741" s="21" t="inlineStr">
        <is>
          <t>USA</t>
        </is>
      </c>
      <c r="E4741" s="21" t="n">
        <v>120</v>
      </c>
      <c r="F4741" s="21" t="inlineStr">
        <is>
          <t>English</t>
        </is>
      </c>
      <c r="G4741" s="21" t="inlineStr">
        <is>
          <t>PG-13</t>
        </is>
      </c>
      <c r="H4741" s="22" t="n">
        <v>102315545</v>
      </c>
      <c r="I4741" s="22" t="n">
        <v>165000000</v>
      </c>
      <c r="J4741" s="21">
        <f>IF(OR(H4741="",H4741=25529689.5),"Yes","No")</f>
        <v/>
      </c>
      <c r="K4741" s="21">
        <f>IF(AND(D4741="USA",C4741&gt;=1980,J4741="No"),"Yes","No")</f>
        <v/>
      </c>
      <c r="L4741" s="26">
        <f>IF(J4741="Yes","",H4741-I4741)</f>
        <v/>
      </c>
      <c r="M4741" s="27">
        <f>IF(OR(J4741="Yes",I4741=0),"",H4741/I4741)</f>
        <v/>
      </c>
      <c r="N4741" s="21">
        <f>IF(J4741="Yes","",IF(H4741&gt;=I4741,1,0))</f>
        <v/>
      </c>
      <c r="O4741" s="21">
        <f>IF(I4741&lt;=5000000,"Under $5M",IF(I4741&lt;=20000000,"$5M-20M",IF(I4741&lt;=50000000,"$20M-50M",IF(I4741&lt;=100000000,"$50M-100M","$100M+"))))</f>
        <v/>
      </c>
      <c r="P4741" s="21">
        <f>IF(E4741&lt;=90,"90 or less",IF(E4741&lt;=105,"91-105",IF(E4741&lt;=120,"106-120",IF(E4741&lt;=140,"121-140","Over 140"))))</f>
        <v/>
      </c>
      <c r="Q4741" s="28">
        <f>INT(C4741/10)*10</f>
        <v/>
      </c>
    </row>
    <row r="4742">
      <c r="A4742" s="21" t="n">
        <v>4861</v>
      </c>
      <c r="B4742" s="21" t="inlineStr">
        <is>
          <t>Indignation</t>
        </is>
      </c>
      <c r="C4742" s="21" t="n">
        <v>2016</v>
      </c>
      <c r="D4742" s="21" t="inlineStr">
        <is>
          <t>USA</t>
        </is>
      </c>
      <c r="E4742" s="21" t="n">
        <v>110</v>
      </c>
      <c r="F4742" s="21" t="inlineStr">
        <is>
          <t>Hebrew</t>
        </is>
      </c>
      <c r="G4742" s="21" t="inlineStr">
        <is>
          <t>R</t>
        </is>
      </c>
      <c r="H4742" s="22" t="n">
        <v>560512</v>
      </c>
      <c r="I4742" s="22" t="n">
        <v>20000000</v>
      </c>
      <c r="J4742" s="21">
        <f>IF(OR(H4742="",H4742=25529689.5),"Yes","No")</f>
        <v/>
      </c>
      <c r="K4742" s="21">
        <f>IF(AND(D4742="USA",C4742&gt;=1980,J4742="No"),"Yes","No")</f>
        <v/>
      </c>
      <c r="L4742" s="26">
        <f>IF(J4742="Yes","",H4742-I4742)</f>
        <v/>
      </c>
      <c r="M4742" s="27">
        <f>IF(OR(J4742="Yes",I4742=0),"",H4742/I4742)</f>
        <v/>
      </c>
      <c r="N4742" s="21">
        <f>IF(J4742="Yes","",IF(H4742&gt;=I4742,1,0))</f>
        <v/>
      </c>
      <c r="O4742" s="21">
        <f>IF(I4742&lt;=5000000,"Under $5M",IF(I4742&lt;=20000000,"$5M-20M",IF(I4742&lt;=50000000,"$20M-50M",IF(I4742&lt;=100000000,"$50M-100M","$100M+"))))</f>
        <v/>
      </c>
      <c r="P4742" s="21">
        <f>IF(E4742&lt;=90,"90 or less",IF(E4742&lt;=105,"91-105",IF(E4742&lt;=120,"106-120",IF(E4742&lt;=140,"121-140","Over 140"))))</f>
        <v/>
      </c>
      <c r="Q4742" s="28">
        <f>INT(C4742/10)*10</f>
        <v/>
      </c>
    </row>
    <row r="4743">
      <c r="A4743" s="21" t="n">
        <v>4862</v>
      </c>
      <c r="B4743" s="21" t="inlineStr">
        <is>
          <t>Irreplaceable</t>
        </is>
      </c>
      <c r="C4743" s="21" t="n">
        <v>2016</v>
      </c>
      <c r="D4743" s="21" t="inlineStr">
        <is>
          <t>France</t>
        </is>
      </c>
      <c r="E4743" s="21" t="n">
        <v>102</v>
      </c>
      <c r="F4743" s="21" t="inlineStr">
        <is>
          <t>French</t>
        </is>
      </c>
      <c r="G4743" s="21" t="n"/>
      <c r="H4743" s="22" t="n">
        <v>25529689.5</v>
      </c>
      <c r="I4743" s="22" t="n">
        <v>20000000</v>
      </c>
      <c r="J4743" s="21">
        <f>IF(OR(H4743="",H4743=25529689.5),"Yes","No")</f>
        <v/>
      </c>
      <c r="K4743" s="21">
        <f>IF(AND(D4743="USA",C4743&gt;=1980,J4743="No"),"Yes","No")</f>
        <v/>
      </c>
      <c r="L4743" s="26">
        <f>IF(J4743="Yes","",H4743-I4743)</f>
        <v/>
      </c>
      <c r="M4743" s="27">
        <f>IF(OR(J4743="Yes",I4743=0),"",H4743/I4743)</f>
        <v/>
      </c>
      <c r="N4743" s="21">
        <f>IF(J4743="Yes","",IF(H4743&gt;=I4743,1,0))</f>
        <v/>
      </c>
      <c r="O4743" s="21">
        <f>IF(I4743&lt;=5000000,"Under $5M",IF(I4743&lt;=20000000,"$5M-20M",IF(I4743&lt;=50000000,"$20M-50M",IF(I4743&lt;=100000000,"$50M-100M","$100M+"))))</f>
        <v/>
      </c>
      <c r="P4743" s="21">
        <f>IF(E4743&lt;=90,"90 or less",IF(E4743&lt;=105,"91-105",IF(E4743&lt;=120,"106-120",IF(E4743&lt;=140,"121-140","Over 140"))))</f>
        <v/>
      </c>
      <c r="Q4743" s="28">
        <f>INT(C4743/10)*10</f>
        <v/>
      </c>
    </row>
    <row r="4744">
      <c r="A4744" s="21" t="n">
        <v>4863</v>
      </c>
      <c r="B4744" s="21" t="inlineStr">
        <is>
          <t>Jane Got a Gun</t>
        </is>
      </c>
      <c r="C4744" s="21" t="n">
        <v>2016</v>
      </c>
      <c r="D4744" s="21" t="inlineStr">
        <is>
          <t>USA</t>
        </is>
      </c>
      <c r="E4744" s="21" t="n">
        <v>98</v>
      </c>
      <c r="F4744" s="21" t="inlineStr">
        <is>
          <t>English</t>
        </is>
      </c>
      <c r="G4744" s="21" t="inlineStr">
        <is>
          <t>R</t>
        </is>
      </c>
      <c r="H4744" s="22" t="n">
        <v>1512815</v>
      </c>
      <c r="I4744" s="22" t="n">
        <v>25000000</v>
      </c>
      <c r="J4744" s="21">
        <f>IF(OR(H4744="",H4744=25529689.5),"Yes","No")</f>
        <v/>
      </c>
      <c r="K4744" s="21">
        <f>IF(AND(D4744="USA",C4744&gt;=1980,J4744="No"),"Yes","No")</f>
        <v/>
      </c>
      <c r="L4744" s="26">
        <f>IF(J4744="Yes","",H4744-I4744)</f>
        <v/>
      </c>
      <c r="M4744" s="27">
        <f>IF(OR(J4744="Yes",I4744=0),"",H4744/I4744)</f>
        <v/>
      </c>
      <c r="N4744" s="21">
        <f>IF(J4744="Yes","",IF(H4744&gt;=I4744,1,0))</f>
        <v/>
      </c>
      <c r="O4744" s="21">
        <f>IF(I4744&lt;=5000000,"Under $5M",IF(I4744&lt;=20000000,"$5M-20M",IF(I4744&lt;=50000000,"$20M-50M",IF(I4744&lt;=100000000,"$50M-100M","$100M+"))))</f>
        <v/>
      </c>
      <c r="P4744" s="21">
        <f>IF(E4744&lt;=90,"90 or less",IF(E4744&lt;=105,"91-105",IF(E4744&lt;=120,"106-120",IF(E4744&lt;=140,"121-140","Over 140"))))</f>
        <v/>
      </c>
      <c r="Q4744" s="28">
        <f>INT(C4744/10)*10</f>
        <v/>
      </c>
    </row>
    <row r="4745">
      <c r="A4745" s="21" t="n">
        <v>4864</v>
      </c>
      <c r="B4745" s="21" t="inlineStr">
        <is>
          <t>Jason Bourne</t>
        </is>
      </c>
      <c r="C4745" s="21" t="n">
        <v>2016</v>
      </c>
      <c r="D4745" s="21" t="inlineStr">
        <is>
          <t>UK</t>
        </is>
      </c>
      <c r="E4745" s="21" t="n">
        <v>123</v>
      </c>
      <c r="F4745" s="21" t="inlineStr">
        <is>
          <t>English</t>
        </is>
      </c>
      <c r="G4745" s="21" t="inlineStr">
        <is>
          <t>PG-13</t>
        </is>
      </c>
      <c r="H4745" s="22" t="n">
        <v>108521835</v>
      </c>
      <c r="I4745" s="22" t="n">
        <v>120000000</v>
      </c>
      <c r="J4745" s="21">
        <f>IF(OR(H4745="",H4745=25529689.5),"Yes","No")</f>
        <v/>
      </c>
      <c r="K4745" s="21">
        <f>IF(AND(D4745="USA",C4745&gt;=1980,J4745="No"),"Yes","No")</f>
        <v/>
      </c>
      <c r="L4745" s="26">
        <f>IF(J4745="Yes","",H4745-I4745)</f>
        <v/>
      </c>
      <c r="M4745" s="27">
        <f>IF(OR(J4745="Yes",I4745=0),"",H4745/I4745)</f>
        <v/>
      </c>
      <c r="N4745" s="21">
        <f>IF(J4745="Yes","",IF(H4745&gt;=I4745,1,0))</f>
        <v/>
      </c>
      <c r="O4745" s="21">
        <f>IF(I4745&lt;=5000000,"Under $5M",IF(I4745&lt;=20000000,"$5M-20M",IF(I4745&lt;=50000000,"$20M-50M",IF(I4745&lt;=100000000,"$50M-100M","$100M+"))))</f>
        <v/>
      </c>
      <c r="P4745" s="21">
        <f>IF(E4745&lt;=90,"90 or less",IF(E4745&lt;=105,"91-105",IF(E4745&lt;=120,"106-120",IF(E4745&lt;=140,"121-140","Over 140"))))</f>
        <v/>
      </c>
      <c r="Q4745" s="28">
        <f>INT(C4745/10)*10</f>
        <v/>
      </c>
    </row>
    <row r="4746">
      <c r="A4746" s="21" t="n">
        <v>4865</v>
      </c>
      <c r="B4746" s="21" t="inlineStr">
        <is>
          <t>Keanu</t>
        </is>
      </c>
      <c r="C4746" s="21" t="n">
        <v>2016</v>
      </c>
      <c r="D4746" s="21" t="inlineStr">
        <is>
          <t>USA</t>
        </is>
      </c>
      <c r="E4746" s="21" t="n">
        <v>100</v>
      </c>
      <c r="F4746" s="21" t="inlineStr">
        <is>
          <t>English</t>
        </is>
      </c>
      <c r="G4746" s="21" t="inlineStr">
        <is>
          <t>R</t>
        </is>
      </c>
      <c r="H4746" s="22" t="n">
        <v>20566327</v>
      </c>
      <c r="I4746" s="22" t="n">
        <v>15000000</v>
      </c>
      <c r="J4746" s="21">
        <f>IF(OR(H4746="",H4746=25529689.5),"Yes","No")</f>
        <v/>
      </c>
      <c r="K4746" s="21">
        <f>IF(AND(D4746="USA",C4746&gt;=1980,J4746="No"),"Yes","No")</f>
        <v/>
      </c>
      <c r="L4746" s="26">
        <f>IF(J4746="Yes","",H4746-I4746)</f>
        <v/>
      </c>
      <c r="M4746" s="27">
        <f>IF(OR(J4746="Yes",I4746=0),"",H4746/I4746)</f>
        <v/>
      </c>
      <c r="N4746" s="21">
        <f>IF(J4746="Yes","",IF(H4746&gt;=I4746,1,0))</f>
        <v/>
      </c>
      <c r="O4746" s="21">
        <f>IF(I4746&lt;=5000000,"Under $5M",IF(I4746&lt;=20000000,"$5M-20M",IF(I4746&lt;=50000000,"$20M-50M",IF(I4746&lt;=100000000,"$50M-100M","$100M+"))))</f>
        <v/>
      </c>
      <c r="P4746" s="21">
        <f>IF(E4746&lt;=90,"90 or less",IF(E4746&lt;=105,"91-105",IF(E4746&lt;=120,"106-120",IF(E4746&lt;=140,"121-140","Over 140"))))</f>
        <v/>
      </c>
      <c r="Q4746" s="28">
        <f>INT(C4746/10)*10</f>
        <v/>
      </c>
    </row>
    <row r="4747">
      <c r="A4747" s="21" t="n">
        <v>4866</v>
      </c>
      <c r="B4747" s="21" t="inlineStr">
        <is>
          <t>Kickboxer: Vengeance</t>
        </is>
      </c>
      <c r="C4747" s="21" t="n">
        <v>2016</v>
      </c>
      <c r="D4747" s="21" t="inlineStr">
        <is>
          <t>USA</t>
        </is>
      </c>
      <c r="E4747" s="21" t="n">
        <v>90</v>
      </c>
      <c r="F4747" s="21" t="n"/>
      <c r="G4747" s="21" t="n"/>
      <c r="H4747" s="22" t="n">
        <v>25529689.5</v>
      </c>
      <c r="I4747" s="22" t="n">
        <v>17000000</v>
      </c>
      <c r="J4747" s="21">
        <f>IF(OR(H4747="",H4747=25529689.5),"Yes","No")</f>
        <v/>
      </c>
      <c r="K4747" s="21">
        <f>IF(AND(D4747="USA",C4747&gt;=1980,J4747="No"),"Yes","No")</f>
        <v/>
      </c>
      <c r="L4747" s="26">
        <f>IF(J4747="Yes","",H4747-I4747)</f>
        <v/>
      </c>
      <c r="M4747" s="27">
        <f>IF(OR(J4747="Yes",I4747=0),"",H4747/I4747)</f>
        <v/>
      </c>
      <c r="N4747" s="21">
        <f>IF(J4747="Yes","",IF(H4747&gt;=I4747,1,0))</f>
        <v/>
      </c>
      <c r="O4747" s="21">
        <f>IF(I4747&lt;=5000000,"Under $5M",IF(I4747&lt;=20000000,"$5M-20M",IF(I4747&lt;=50000000,"$20M-50M",IF(I4747&lt;=100000000,"$50M-100M","$100M+"))))</f>
        <v/>
      </c>
      <c r="P4747" s="21">
        <f>IF(E4747&lt;=90,"90 or less",IF(E4747&lt;=105,"91-105",IF(E4747&lt;=120,"106-120",IF(E4747&lt;=140,"121-140","Over 140"))))</f>
        <v/>
      </c>
      <c r="Q4747" s="28">
        <f>INT(C4747/10)*10</f>
        <v/>
      </c>
    </row>
    <row r="4748">
      <c r="A4748" s="21" t="n">
        <v>4867</v>
      </c>
      <c r="B4748" s="21" t="inlineStr">
        <is>
          <t>Kicks</t>
        </is>
      </c>
      <c r="C4748" s="21" t="n">
        <v>2016</v>
      </c>
      <c r="D4748" s="21" t="inlineStr">
        <is>
          <t>USA</t>
        </is>
      </c>
      <c r="E4748" s="21" t="n">
        <v>80</v>
      </c>
      <c r="F4748" s="21" t="inlineStr">
        <is>
          <t>English</t>
        </is>
      </c>
      <c r="G4748" s="21" t="inlineStr">
        <is>
          <t>R</t>
        </is>
      </c>
      <c r="H4748" s="22" t="n">
        <v>25529689.5</v>
      </c>
      <c r="I4748" s="22" t="n">
        <v>20000000</v>
      </c>
      <c r="J4748" s="21">
        <f>IF(OR(H4748="",H4748=25529689.5),"Yes","No")</f>
        <v/>
      </c>
      <c r="K4748" s="21">
        <f>IF(AND(D4748="USA",C4748&gt;=1980,J4748="No"),"Yes","No")</f>
        <v/>
      </c>
      <c r="L4748" s="26">
        <f>IF(J4748="Yes","",H4748-I4748)</f>
        <v/>
      </c>
      <c r="M4748" s="27">
        <f>IF(OR(J4748="Yes",I4748=0),"",H4748/I4748)</f>
        <v/>
      </c>
      <c r="N4748" s="21">
        <f>IF(J4748="Yes","",IF(H4748&gt;=I4748,1,0))</f>
        <v/>
      </c>
      <c r="O4748" s="21">
        <f>IF(I4748&lt;=5000000,"Under $5M",IF(I4748&lt;=20000000,"$5M-20M",IF(I4748&lt;=50000000,"$20M-50M",IF(I4748&lt;=100000000,"$50M-100M","$100M+"))))</f>
        <v/>
      </c>
      <c r="P4748" s="21">
        <f>IF(E4748&lt;=90,"90 or less",IF(E4748&lt;=105,"91-105",IF(E4748&lt;=120,"106-120",IF(E4748&lt;=140,"121-140","Over 140"))))</f>
        <v/>
      </c>
      <c r="Q4748" s="28">
        <f>INT(C4748/10)*10</f>
        <v/>
      </c>
    </row>
    <row r="4749">
      <c r="A4749" s="21" t="n">
        <v>4868</v>
      </c>
      <c r="B4749" s="21" t="inlineStr">
        <is>
          <t>Kung Fu Panda 3</t>
        </is>
      </c>
      <c r="C4749" s="21" t="n">
        <v>2016</v>
      </c>
      <c r="D4749" s="21" t="inlineStr">
        <is>
          <t>USA</t>
        </is>
      </c>
      <c r="E4749" s="21" t="n">
        <v>95</v>
      </c>
      <c r="F4749" s="21" t="inlineStr">
        <is>
          <t>English</t>
        </is>
      </c>
      <c r="G4749" s="21" t="inlineStr">
        <is>
          <t>PG</t>
        </is>
      </c>
      <c r="H4749" s="22" t="n">
        <v>143523463</v>
      </c>
      <c r="I4749" s="22" t="n">
        <v>145000000</v>
      </c>
      <c r="J4749" s="21">
        <f>IF(OR(H4749="",H4749=25529689.5),"Yes","No")</f>
        <v/>
      </c>
      <c r="K4749" s="21">
        <f>IF(AND(D4749="USA",C4749&gt;=1980,J4749="No"),"Yes","No")</f>
        <v/>
      </c>
      <c r="L4749" s="26">
        <f>IF(J4749="Yes","",H4749-I4749)</f>
        <v/>
      </c>
      <c r="M4749" s="27">
        <f>IF(OR(J4749="Yes",I4749=0),"",H4749/I4749)</f>
        <v/>
      </c>
      <c r="N4749" s="21">
        <f>IF(J4749="Yes","",IF(H4749&gt;=I4749,1,0))</f>
        <v/>
      </c>
      <c r="O4749" s="21">
        <f>IF(I4749&lt;=5000000,"Under $5M",IF(I4749&lt;=20000000,"$5M-20M",IF(I4749&lt;=50000000,"$20M-50M",IF(I4749&lt;=100000000,"$50M-100M","$100M+"))))</f>
        <v/>
      </c>
      <c r="P4749" s="21">
        <f>IF(E4749&lt;=90,"90 or less",IF(E4749&lt;=105,"91-105",IF(E4749&lt;=120,"106-120",IF(E4749&lt;=140,"121-140","Over 140"))))</f>
        <v/>
      </c>
      <c r="Q4749" s="28">
        <f>INT(C4749/10)*10</f>
        <v/>
      </c>
    </row>
    <row r="4750">
      <c r="A4750" s="21" t="n">
        <v>4869</v>
      </c>
      <c r="B4750" s="21" t="inlineStr">
        <is>
          <t>Lights Out</t>
        </is>
      </c>
      <c r="C4750" s="21" t="n">
        <v>2016</v>
      </c>
      <c r="D4750" s="21" t="inlineStr">
        <is>
          <t>USA</t>
        </is>
      </c>
      <c r="E4750" s="21" t="n">
        <v>81</v>
      </c>
      <c r="F4750" s="21" t="inlineStr">
        <is>
          <t>English</t>
        </is>
      </c>
      <c r="G4750" s="21" t="inlineStr">
        <is>
          <t>PG-13</t>
        </is>
      </c>
      <c r="H4750" s="22" t="n">
        <v>56536016</v>
      </c>
      <c r="I4750" s="22" t="n">
        <v>4900000</v>
      </c>
      <c r="J4750" s="21">
        <f>IF(OR(H4750="",H4750=25529689.5),"Yes","No")</f>
        <v/>
      </c>
      <c r="K4750" s="21">
        <f>IF(AND(D4750="USA",C4750&gt;=1980,J4750="No"),"Yes","No")</f>
        <v/>
      </c>
      <c r="L4750" s="26">
        <f>IF(J4750="Yes","",H4750-I4750)</f>
        <v/>
      </c>
      <c r="M4750" s="27">
        <f>IF(OR(J4750="Yes",I4750=0),"",H4750/I4750)</f>
        <v/>
      </c>
      <c r="N4750" s="21">
        <f>IF(J4750="Yes","",IF(H4750&gt;=I4750,1,0))</f>
        <v/>
      </c>
      <c r="O4750" s="21">
        <f>IF(I4750&lt;=5000000,"Under $5M",IF(I4750&lt;=20000000,"$5M-20M",IF(I4750&lt;=50000000,"$20M-50M",IF(I4750&lt;=100000000,"$50M-100M","$100M+"))))</f>
        <v/>
      </c>
      <c r="P4750" s="21">
        <f>IF(E4750&lt;=90,"90 or less",IF(E4750&lt;=105,"91-105",IF(E4750&lt;=120,"106-120",IF(E4750&lt;=140,"121-140","Over 140"))))</f>
        <v/>
      </c>
      <c r="Q4750" s="28">
        <f>INT(C4750/10)*10</f>
        <v/>
      </c>
    </row>
    <row r="4751">
      <c r="A4751" s="21" t="n">
        <v>4870</v>
      </c>
      <c r="B4751" s="21" t="inlineStr">
        <is>
          <t>London Has Fallen</t>
        </is>
      </c>
      <c r="C4751" s="21" t="n">
        <v>2016</v>
      </c>
      <c r="D4751" s="21" t="inlineStr">
        <is>
          <t>UK</t>
        </is>
      </c>
      <c r="E4751" s="21" t="n">
        <v>99</v>
      </c>
      <c r="F4751" s="21" t="inlineStr">
        <is>
          <t>English</t>
        </is>
      </c>
      <c r="G4751" s="21" t="inlineStr">
        <is>
          <t>R</t>
        </is>
      </c>
      <c r="H4751" s="22" t="n">
        <v>62401264</v>
      </c>
      <c r="I4751" s="22" t="n">
        <v>60000000</v>
      </c>
      <c r="J4751" s="21">
        <f>IF(OR(H4751="",H4751=25529689.5),"Yes","No")</f>
        <v/>
      </c>
      <c r="K4751" s="21">
        <f>IF(AND(D4751="USA",C4751&gt;=1980,J4751="No"),"Yes","No")</f>
        <v/>
      </c>
      <c r="L4751" s="26">
        <f>IF(J4751="Yes","",H4751-I4751)</f>
        <v/>
      </c>
      <c r="M4751" s="27">
        <f>IF(OR(J4751="Yes",I4751=0),"",H4751/I4751)</f>
        <v/>
      </c>
      <c r="N4751" s="21">
        <f>IF(J4751="Yes","",IF(H4751&gt;=I4751,1,0))</f>
        <v/>
      </c>
      <c r="O4751" s="21">
        <f>IF(I4751&lt;=5000000,"Under $5M",IF(I4751&lt;=20000000,"$5M-20M",IF(I4751&lt;=50000000,"$20M-50M",IF(I4751&lt;=100000000,"$50M-100M","$100M+"))))</f>
        <v/>
      </c>
      <c r="P4751" s="21">
        <f>IF(E4751&lt;=90,"90 or less",IF(E4751&lt;=105,"91-105",IF(E4751&lt;=120,"106-120",IF(E4751&lt;=140,"121-140","Over 140"))))</f>
        <v/>
      </c>
      <c r="Q4751" s="28">
        <f>INT(C4751/10)*10</f>
        <v/>
      </c>
    </row>
    <row r="4752">
      <c r="A4752" s="21" t="n">
        <v>4871</v>
      </c>
      <c r="B4752" s="21" t="inlineStr">
        <is>
          <t>Me Before You</t>
        </is>
      </c>
      <c r="C4752" s="21" t="n">
        <v>2016</v>
      </c>
      <c r="D4752" s="21" t="inlineStr">
        <is>
          <t>UK</t>
        </is>
      </c>
      <c r="E4752" s="21" t="n">
        <v>110</v>
      </c>
      <c r="F4752" s="21" t="inlineStr">
        <is>
          <t>English</t>
        </is>
      </c>
      <c r="G4752" s="21" t="inlineStr">
        <is>
          <t>PG-13</t>
        </is>
      </c>
      <c r="H4752" s="22" t="n">
        <v>56154094</v>
      </c>
      <c r="I4752" s="22" t="n">
        <v>20000000</v>
      </c>
      <c r="J4752" s="21">
        <f>IF(OR(H4752="",H4752=25529689.5),"Yes","No")</f>
        <v/>
      </c>
      <c r="K4752" s="21">
        <f>IF(AND(D4752="USA",C4752&gt;=1980,J4752="No"),"Yes","No")</f>
        <v/>
      </c>
      <c r="L4752" s="26">
        <f>IF(J4752="Yes","",H4752-I4752)</f>
        <v/>
      </c>
      <c r="M4752" s="27">
        <f>IF(OR(J4752="Yes",I4752=0),"",H4752/I4752)</f>
        <v/>
      </c>
      <c r="N4752" s="21">
        <f>IF(J4752="Yes","",IF(H4752&gt;=I4752,1,0))</f>
        <v/>
      </c>
      <c r="O4752" s="21">
        <f>IF(I4752&lt;=5000000,"Under $5M",IF(I4752&lt;=20000000,"$5M-20M",IF(I4752&lt;=50000000,"$20M-50M",IF(I4752&lt;=100000000,"$50M-100M","$100M+"))))</f>
        <v/>
      </c>
      <c r="P4752" s="21">
        <f>IF(E4752&lt;=90,"90 or less",IF(E4752&lt;=105,"91-105",IF(E4752&lt;=120,"106-120",IF(E4752&lt;=140,"121-140","Over 140"))))</f>
        <v/>
      </c>
      <c r="Q4752" s="28">
        <f>INT(C4752/10)*10</f>
        <v/>
      </c>
    </row>
    <row r="4753">
      <c r="A4753" s="21" t="n">
        <v>4872</v>
      </c>
      <c r="B4753" s="21" t="inlineStr">
        <is>
          <t>Midnight Special</t>
        </is>
      </c>
      <c r="C4753" s="21" t="n">
        <v>2016</v>
      </c>
      <c r="D4753" s="21" t="inlineStr">
        <is>
          <t>Greece</t>
        </is>
      </c>
      <c r="E4753" s="21" t="n">
        <v>112</v>
      </c>
      <c r="F4753" s="21" t="inlineStr">
        <is>
          <t>English</t>
        </is>
      </c>
      <c r="G4753" s="21" t="inlineStr">
        <is>
          <t>PG-13</t>
        </is>
      </c>
      <c r="H4753" s="22" t="n">
        <v>3707794</v>
      </c>
      <c r="I4753" s="22" t="n">
        <v>18000000</v>
      </c>
      <c r="J4753" s="21">
        <f>IF(OR(H4753="",H4753=25529689.5),"Yes","No")</f>
        <v/>
      </c>
      <c r="K4753" s="21">
        <f>IF(AND(D4753="USA",C4753&gt;=1980,J4753="No"),"Yes","No")</f>
        <v/>
      </c>
      <c r="L4753" s="26">
        <f>IF(J4753="Yes","",H4753-I4753)</f>
        <v/>
      </c>
      <c r="M4753" s="27">
        <f>IF(OR(J4753="Yes",I4753=0),"",H4753/I4753)</f>
        <v/>
      </c>
      <c r="N4753" s="21">
        <f>IF(J4753="Yes","",IF(H4753&gt;=I4753,1,0))</f>
        <v/>
      </c>
      <c r="O4753" s="21">
        <f>IF(I4753&lt;=5000000,"Under $5M",IF(I4753&lt;=20000000,"$5M-20M",IF(I4753&lt;=50000000,"$20M-50M",IF(I4753&lt;=100000000,"$50M-100M","$100M+"))))</f>
        <v/>
      </c>
      <c r="P4753" s="21">
        <f>IF(E4753&lt;=90,"90 or less",IF(E4753&lt;=105,"91-105",IF(E4753&lt;=120,"106-120",IF(E4753&lt;=140,"121-140","Over 140"))))</f>
        <v/>
      </c>
      <c r="Q4753" s="28">
        <f>INT(C4753/10)*10</f>
        <v/>
      </c>
    </row>
    <row r="4754">
      <c r="A4754" s="21" t="n">
        <v>4873</v>
      </c>
      <c r="B4754" s="21" t="inlineStr">
        <is>
          <t>Miracles from Heaven</t>
        </is>
      </c>
      <c r="C4754" s="21" t="n">
        <v>2016</v>
      </c>
      <c r="D4754" s="21" t="inlineStr">
        <is>
          <t>USA</t>
        </is>
      </c>
      <c r="E4754" s="21" t="n">
        <v>109</v>
      </c>
      <c r="F4754" s="21" t="inlineStr">
        <is>
          <t>English</t>
        </is>
      </c>
      <c r="G4754" s="21" t="inlineStr">
        <is>
          <t>PG</t>
        </is>
      </c>
      <c r="H4754" s="22" t="n">
        <v>61693523</v>
      </c>
      <c r="I4754" s="22" t="n">
        <v>13000000</v>
      </c>
      <c r="J4754" s="21">
        <f>IF(OR(H4754="",H4754=25529689.5),"Yes","No")</f>
        <v/>
      </c>
      <c r="K4754" s="21">
        <f>IF(AND(D4754="USA",C4754&gt;=1980,J4754="No"),"Yes","No")</f>
        <v/>
      </c>
      <c r="L4754" s="26">
        <f>IF(J4754="Yes","",H4754-I4754)</f>
        <v/>
      </c>
      <c r="M4754" s="27">
        <f>IF(OR(J4754="Yes",I4754=0),"",H4754/I4754)</f>
        <v/>
      </c>
      <c r="N4754" s="21">
        <f>IF(J4754="Yes","",IF(H4754&gt;=I4754,1,0))</f>
        <v/>
      </c>
      <c r="O4754" s="21">
        <f>IF(I4754&lt;=5000000,"Under $5M",IF(I4754&lt;=20000000,"$5M-20M",IF(I4754&lt;=50000000,"$20M-50M",IF(I4754&lt;=100000000,"$50M-100M","$100M+"))))</f>
        <v/>
      </c>
      <c r="P4754" s="21">
        <f>IF(E4754&lt;=90,"90 or less",IF(E4754&lt;=105,"91-105",IF(E4754&lt;=120,"106-120",IF(E4754&lt;=140,"121-140","Over 140"))))</f>
        <v/>
      </c>
      <c r="Q4754" s="28">
        <f>INT(C4754/10)*10</f>
        <v/>
      </c>
    </row>
    <row r="4755">
      <c r="A4755" s="21" t="n">
        <v>4874</v>
      </c>
      <c r="B4755" s="21" t="inlineStr">
        <is>
          <t>Misconduct</t>
        </is>
      </c>
      <c r="C4755" s="21" t="n">
        <v>2016</v>
      </c>
      <c r="D4755" s="21" t="inlineStr">
        <is>
          <t>USA</t>
        </is>
      </c>
      <c r="E4755" s="21" t="n">
        <v>106</v>
      </c>
      <c r="F4755" s="21" t="inlineStr">
        <is>
          <t>English</t>
        </is>
      </c>
      <c r="G4755" s="21" t="inlineStr">
        <is>
          <t>R</t>
        </is>
      </c>
      <c r="H4755" s="22" t="n">
        <v>25529689.5</v>
      </c>
      <c r="I4755" s="22" t="n">
        <v>11000000</v>
      </c>
      <c r="J4755" s="21">
        <f>IF(OR(H4755="",H4755=25529689.5),"Yes","No")</f>
        <v/>
      </c>
      <c r="K4755" s="21">
        <f>IF(AND(D4755="USA",C4755&gt;=1980,J4755="No"),"Yes","No")</f>
        <v/>
      </c>
      <c r="L4755" s="26">
        <f>IF(J4755="Yes","",H4755-I4755)</f>
        <v/>
      </c>
      <c r="M4755" s="27">
        <f>IF(OR(J4755="Yes",I4755=0),"",H4755/I4755)</f>
        <v/>
      </c>
      <c r="N4755" s="21">
        <f>IF(J4755="Yes","",IF(H4755&gt;=I4755,1,0))</f>
        <v/>
      </c>
      <c r="O4755" s="21">
        <f>IF(I4755&lt;=5000000,"Under $5M",IF(I4755&lt;=20000000,"$5M-20M",IF(I4755&lt;=50000000,"$20M-50M",IF(I4755&lt;=100000000,"$50M-100M","$100M+"))))</f>
        <v/>
      </c>
      <c r="P4755" s="21">
        <f>IF(E4755&lt;=90,"90 or less",IF(E4755&lt;=105,"91-105",IF(E4755&lt;=120,"106-120",IF(E4755&lt;=140,"121-140","Over 140"))))</f>
        <v/>
      </c>
      <c r="Q4755" s="28">
        <f>INT(C4755/10)*10</f>
        <v/>
      </c>
    </row>
    <row r="4756">
      <c r="A4756" s="21" t="n">
        <v>4875</v>
      </c>
      <c r="B4756" s="21" t="inlineStr">
        <is>
          <t>Money Monster</t>
        </is>
      </c>
      <c r="C4756" s="21" t="n">
        <v>2016</v>
      </c>
      <c r="D4756" s="21" t="inlineStr">
        <is>
          <t>USA</t>
        </is>
      </c>
      <c r="E4756" s="21" t="n">
        <v>98</v>
      </c>
      <c r="F4756" s="21" t="inlineStr">
        <is>
          <t>English</t>
        </is>
      </c>
      <c r="G4756" s="21" t="inlineStr">
        <is>
          <t>R</t>
        </is>
      </c>
      <c r="H4756" s="22" t="n">
        <v>41008532</v>
      </c>
      <c r="I4756" s="22" t="n">
        <v>27000000</v>
      </c>
      <c r="J4756" s="21">
        <f>IF(OR(H4756="",H4756=25529689.5),"Yes","No")</f>
        <v/>
      </c>
      <c r="K4756" s="21">
        <f>IF(AND(D4756="USA",C4756&gt;=1980,J4756="No"),"Yes","No")</f>
        <v/>
      </c>
      <c r="L4756" s="26">
        <f>IF(J4756="Yes","",H4756-I4756)</f>
        <v/>
      </c>
      <c r="M4756" s="27">
        <f>IF(OR(J4756="Yes",I4756=0),"",H4756/I4756)</f>
        <v/>
      </c>
      <c r="N4756" s="21">
        <f>IF(J4756="Yes","",IF(H4756&gt;=I4756,1,0))</f>
        <v/>
      </c>
      <c r="O4756" s="21">
        <f>IF(I4756&lt;=5000000,"Under $5M",IF(I4756&lt;=20000000,"$5M-20M",IF(I4756&lt;=50000000,"$20M-50M",IF(I4756&lt;=100000000,"$50M-100M","$100M+"))))</f>
        <v/>
      </c>
      <c r="P4756" s="21">
        <f>IF(E4756&lt;=90,"90 or less",IF(E4756&lt;=105,"91-105",IF(E4756&lt;=120,"106-120",IF(E4756&lt;=140,"121-140","Over 140"))))</f>
        <v/>
      </c>
      <c r="Q4756" s="28">
        <f>INT(C4756/10)*10</f>
        <v/>
      </c>
    </row>
    <row r="4757">
      <c r="A4757" s="21" t="n">
        <v>4876</v>
      </c>
      <c r="B4757" s="21" t="inlineStr">
        <is>
          <t>Mr. Church</t>
        </is>
      </c>
      <c r="C4757" s="21" t="n">
        <v>2016</v>
      </c>
      <c r="D4757" s="21" t="inlineStr">
        <is>
          <t>USA</t>
        </is>
      </c>
      <c r="E4757" s="21" t="n">
        <v>104</v>
      </c>
      <c r="F4757" s="21" t="inlineStr">
        <is>
          <t>English</t>
        </is>
      </c>
      <c r="G4757" s="21" t="inlineStr">
        <is>
          <t>PG-13</t>
        </is>
      </c>
      <c r="H4757" s="22" t="n">
        <v>25529689.5</v>
      </c>
      <c r="I4757" s="22" t="n">
        <v>8000000</v>
      </c>
      <c r="J4757" s="21">
        <f>IF(OR(H4757="",H4757=25529689.5),"Yes","No")</f>
        <v/>
      </c>
      <c r="K4757" s="21">
        <f>IF(AND(D4757="USA",C4757&gt;=1980,J4757="No"),"Yes","No")</f>
        <v/>
      </c>
      <c r="L4757" s="26">
        <f>IF(J4757="Yes","",H4757-I4757)</f>
        <v/>
      </c>
      <c r="M4757" s="27">
        <f>IF(OR(J4757="Yes",I4757=0),"",H4757/I4757)</f>
        <v/>
      </c>
      <c r="N4757" s="21">
        <f>IF(J4757="Yes","",IF(H4757&gt;=I4757,1,0))</f>
        <v/>
      </c>
      <c r="O4757" s="21">
        <f>IF(I4757&lt;=5000000,"Under $5M",IF(I4757&lt;=20000000,"$5M-20M",IF(I4757&lt;=50000000,"$20M-50M",IF(I4757&lt;=100000000,"$50M-100M","$100M+"))))</f>
        <v/>
      </c>
      <c r="P4757" s="21">
        <f>IF(E4757&lt;=90,"90 or less",IF(E4757&lt;=105,"91-105",IF(E4757&lt;=120,"106-120",IF(E4757&lt;=140,"121-140","Over 140"))))</f>
        <v/>
      </c>
      <c r="Q4757" s="28">
        <f>INT(C4757/10)*10</f>
        <v/>
      </c>
    </row>
    <row r="4758">
      <c r="A4758" s="21" t="n">
        <v>4877</v>
      </c>
      <c r="B4758" s="21" t="inlineStr">
        <is>
          <t>My Big Fat Greek Wedding 2</t>
        </is>
      </c>
      <c r="C4758" s="21" t="n">
        <v>2016</v>
      </c>
      <c r="D4758" s="21" t="inlineStr">
        <is>
          <t>USA</t>
        </is>
      </c>
      <c r="E4758" s="21" t="n">
        <v>94</v>
      </c>
      <c r="F4758" s="21" t="inlineStr">
        <is>
          <t>English</t>
        </is>
      </c>
      <c r="G4758" s="21" t="inlineStr">
        <is>
          <t>PG-13</t>
        </is>
      </c>
      <c r="H4758" s="22" t="n">
        <v>59573085</v>
      </c>
      <c r="I4758" s="22" t="n">
        <v>18000000</v>
      </c>
      <c r="J4758" s="21">
        <f>IF(OR(H4758="",H4758=25529689.5),"Yes","No")</f>
        <v/>
      </c>
      <c r="K4758" s="21">
        <f>IF(AND(D4758="USA",C4758&gt;=1980,J4758="No"),"Yes","No")</f>
        <v/>
      </c>
      <c r="L4758" s="26">
        <f>IF(J4758="Yes","",H4758-I4758)</f>
        <v/>
      </c>
      <c r="M4758" s="27">
        <f>IF(OR(J4758="Yes",I4758=0),"",H4758/I4758)</f>
        <v/>
      </c>
      <c r="N4758" s="21">
        <f>IF(J4758="Yes","",IF(H4758&gt;=I4758,1,0))</f>
        <v/>
      </c>
      <c r="O4758" s="21">
        <f>IF(I4758&lt;=5000000,"Under $5M",IF(I4758&lt;=20000000,"$5M-20M",IF(I4758&lt;=50000000,"$20M-50M",IF(I4758&lt;=100000000,"$50M-100M","$100M+"))))</f>
        <v/>
      </c>
      <c r="P4758" s="21">
        <f>IF(E4758&lt;=90,"90 or less",IF(E4758&lt;=105,"91-105",IF(E4758&lt;=120,"106-120",IF(E4758&lt;=140,"121-140","Over 140"))))</f>
        <v/>
      </c>
      <c r="Q4758" s="28">
        <f>INT(C4758/10)*10</f>
        <v/>
      </c>
    </row>
    <row r="4759">
      <c r="A4759" s="21" t="n">
        <v>4878</v>
      </c>
      <c r="B4759" s="21" t="inlineStr">
        <is>
          <t>Neighbors 2: Sorority Rising</t>
        </is>
      </c>
      <c r="C4759" s="21" t="n">
        <v>2016</v>
      </c>
      <c r="D4759" s="21" t="inlineStr">
        <is>
          <t>USA</t>
        </is>
      </c>
      <c r="E4759" s="21" t="n">
        <v>92</v>
      </c>
      <c r="F4759" s="21" t="inlineStr">
        <is>
          <t>English</t>
        </is>
      </c>
      <c r="G4759" s="21" t="inlineStr">
        <is>
          <t>R</t>
        </is>
      </c>
      <c r="H4759" s="22" t="n">
        <v>55291815</v>
      </c>
      <c r="I4759" s="22" t="n">
        <v>35000000</v>
      </c>
      <c r="J4759" s="21">
        <f>IF(OR(H4759="",H4759=25529689.5),"Yes","No")</f>
        <v/>
      </c>
      <c r="K4759" s="21">
        <f>IF(AND(D4759="USA",C4759&gt;=1980,J4759="No"),"Yes","No")</f>
        <v/>
      </c>
      <c r="L4759" s="26">
        <f>IF(J4759="Yes","",H4759-I4759)</f>
        <v/>
      </c>
      <c r="M4759" s="27">
        <f>IF(OR(J4759="Yes",I4759=0),"",H4759/I4759)</f>
        <v/>
      </c>
      <c r="N4759" s="21">
        <f>IF(J4759="Yes","",IF(H4759&gt;=I4759,1,0))</f>
        <v/>
      </c>
      <c r="O4759" s="21">
        <f>IF(I4759&lt;=5000000,"Under $5M",IF(I4759&lt;=20000000,"$5M-20M",IF(I4759&lt;=50000000,"$20M-50M",IF(I4759&lt;=100000000,"$50M-100M","$100M+"))))</f>
        <v/>
      </c>
      <c r="P4759" s="21">
        <f>IF(E4759&lt;=90,"90 or less",IF(E4759&lt;=105,"91-105",IF(E4759&lt;=120,"106-120",IF(E4759&lt;=140,"121-140","Over 140"))))</f>
        <v/>
      </c>
      <c r="Q4759" s="28">
        <f>INT(C4759/10)*10</f>
        <v/>
      </c>
    </row>
    <row r="4760">
      <c r="A4760" s="21" t="n">
        <v>4879</v>
      </c>
      <c r="B4760" s="21" t="inlineStr">
        <is>
          <t>Nerve</t>
        </is>
      </c>
      <c r="C4760" s="21" t="n">
        <v>2016</v>
      </c>
      <c r="D4760" s="21" t="inlineStr">
        <is>
          <t>USA</t>
        </is>
      </c>
      <c r="E4760" s="21" t="n">
        <v>96</v>
      </c>
      <c r="F4760" s="21" t="inlineStr">
        <is>
          <t>English</t>
        </is>
      </c>
      <c r="G4760" s="21" t="inlineStr">
        <is>
          <t>PG-13</t>
        </is>
      </c>
      <c r="H4760" s="22" t="n">
        <v>28876924</v>
      </c>
      <c r="I4760" s="22" t="n">
        <v>20000000</v>
      </c>
      <c r="J4760" s="21">
        <f>IF(OR(H4760="",H4760=25529689.5),"Yes","No")</f>
        <v/>
      </c>
      <c r="K4760" s="21">
        <f>IF(AND(D4760="USA",C4760&gt;=1980,J4760="No"),"Yes","No")</f>
        <v/>
      </c>
      <c r="L4760" s="26">
        <f>IF(J4760="Yes","",H4760-I4760)</f>
        <v/>
      </c>
      <c r="M4760" s="27">
        <f>IF(OR(J4760="Yes",I4760=0),"",H4760/I4760)</f>
        <v/>
      </c>
      <c r="N4760" s="21">
        <f>IF(J4760="Yes","",IF(H4760&gt;=I4760,1,0))</f>
        <v/>
      </c>
      <c r="O4760" s="21">
        <f>IF(I4760&lt;=5000000,"Under $5M",IF(I4760&lt;=20000000,"$5M-20M",IF(I4760&lt;=50000000,"$20M-50M",IF(I4760&lt;=100000000,"$50M-100M","$100M+"))))</f>
        <v/>
      </c>
      <c r="P4760" s="21">
        <f>IF(E4760&lt;=90,"90 or less",IF(E4760&lt;=105,"91-105",IF(E4760&lt;=120,"106-120",IF(E4760&lt;=140,"121-140","Over 140"))))</f>
        <v/>
      </c>
      <c r="Q4760" s="28">
        <f>INT(C4760/10)*10</f>
        <v/>
      </c>
    </row>
    <row r="4761">
      <c r="A4761" s="21" t="n">
        <v>4880</v>
      </c>
      <c r="B4761" s="21" t="inlineStr">
        <is>
          <t>Now You See Me 2</t>
        </is>
      </c>
      <c r="C4761" s="21" t="n">
        <v>2016</v>
      </c>
      <c r="D4761" s="21" t="inlineStr">
        <is>
          <t>USA</t>
        </is>
      </c>
      <c r="E4761" s="21" t="n">
        <v>129</v>
      </c>
      <c r="F4761" s="21" t="inlineStr">
        <is>
          <t>English</t>
        </is>
      </c>
      <c r="G4761" s="21" t="inlineStr">
        <is>
          <t>PG-13</t>
        </is>
      </c>
      <c r="H4761" s="22" t="n">
        <v>64685359</v>
      </c>
      <c r="I4761" s="22" t="n">
        <v>90000000</v>
      </c>
      <c r="J4761" s="21">
        <f>IF(OR(H4761="",H4761=25529689.5),"Yes","No")</f>
        <v/>
      </c>
      <c r="K4761" s="21">
        <f>IF(AND(D4761="USA",C4761&gt;=1980,J4761="No"),"Yes","No")</f>
        <v/>
      </c>
      <c r="L4761" s="26">
        <f>IF(J4761="Yes","",H4761-I4761)</f>
        <v/>
      </c>
      <c r="M4761" s="27">
        <f>IF(OR(J4761="Yes",I4761=0),"",H4761/I4761)</f>
        <v/>
      </c>
      <c r="N4761" s="21">
        <f>IF(J4761="Yes","",IF(H4761&gt;=I4761,1,0))</f>
        <v/>
      </c>
      <c r="O4761" s="21">
        <f>IF(I4761&lt;=5000000,"Under $5M",IF(I4761&lt;=20000000,"$5M-20M",IF(I4761&lt;=50000000,"$20M-50M",IF(I4761&lt;=100000000,"$50M-100M","$100M+"))))</f>
        <v/>
      </c>
      <c r="P4761" s="21">
        <f>IF(E4761&lt;=90,"90 or less",IF(E4761&lt;=105,"91-105",IF(E4761&lt;=120,"106-120",IF(E4761&lt;=140,"121-140","Over 140"))))</f>
        <v/>
      </c>
      <c r="Q4761" s="28">
        <f>INT(C4761/10)*10</f>
        <v/>
      </c>
    </row>
    <row r="4762">
      <c r="A4762" s="21" t="n">
        <v>4881</v>
      </c>
      <c r="B4762" s="21" t="inlineStr">
        <is>
          <t>Operation Chromite</t>
        </is>
      </c>
      <c r="C4762" s="21" t="n">
        <v>2016</v>
      </c>
      <c r="D4762" s="21" t="inlineStr">
        <is>
          <t>South Korea</t>
        </is>
      </c>
      <c r="E4762" s="21" t="n">
        <v>115</v>
      </c>
      <c r="F4762" s="21" t="inlineStr">
        <is>
          <t>English</t>
        </is>
      </c>
      <c r="G4762" s="21" t="n"/>
      <c r="H4762" s="22" t="n">
        <v>31662</v>
      </c>
      <c r="I4762" s="22" t="n">
        <v>12620000</v>
      </c>
      <c r="J4762" s="21">
        <f>IF(OR(H4762="",H4762=25529689.5),"Yes","No")</f>
        <v/>
      </c>
      <c r="K4762" s="21">
        <f>IF(AND(D4762="USA",C4762&gt;=1980,J4762="No"),"Yes","No")</f>
        <v/>
      </c>
      <c r="L4762" s="26">
        <f>IF(J4762="Yes","",H4762-I4762)</f>
        <v/>
      </c>
      <c r="M4762" s="27">
        <f>IF(OR(J4762="Yes",I4762=0),"",H4762/I4762)</f>
        <v/>
      </c>
      <c r="N4762" s="21">
        <f>IF(J4762="Yes","",IF(H4762&gt;=I4762,1,0))</f>
        <v/>
      </c>
      <c r="O4762" s="21">
        <f>IF(I4762&lt;=5000000,"Under $5M",IF(I4762&lt;=20000000,"$5M-20M",IF(I4762&lt;=50000000,"$20M-50M",IF(I4762&lt;=100000000,"$50M-100M","$100M+"))))</f>
        <v/>
      </c>
      <c r="P4762" s="21">
        <f>IF(E4762&lt;=90,"90 or less",IF(E4762&lt;=105,"91-105",IF(E4762&lt;=120,"106-120",IF(E4762&lt;=140,"121-140","Over 140"))))</f>
        <v/>
      </c>
      <c r="Q4762" s="28">
        <f>INT(C4762/10)*10</f>
        <v/>
      </c>
    </row>
    <row r="4763">
      <c r="A4763" s="21" t="n">
        <v>4882</v>
      </c>
      <c r="B4763" s="21" t="inlineStr">
        <is>
          <t>Our Kind of Traitor</t>
        </is>
      </c>
      <c r="C4763" s="21" t="n">
        <v>2016</v>
      </c>
      <c r="D4763" s="21" t="inlineStr">
        <is>
          <t>UK</t>
        </is>
      </c>
      <c r="E4763" s="21" t="n">
        <v>108</v>
      </c>
      <c r="F4763" s="21" t="inlineStr">
        <is>
          <t>English</t>
        </is>
      </c>
      <c r="G4763" s="21" t="inlineStr">
        <is>
          <t>R</t>
        </is>
      </c>
      <c r="H4763" s="22" t="n">
        <v>3108216</v>
      </c>
      <c r="I4763" s="22" t="n">
        <v>20000000</v>
      </c>
      <c r="J4763" s="21">
        <f>IF(OR(H4763="",H4763=25529689.5),"Yes","No")</f>
        <v/>
      </c>
      <c r="K4763" s="21">
        <f>IF(AND(D4763="USA",C4763&gt;=1980,J4763="No"),"Yes","No")</f>
        <v/>
      </c>
      <c r="L4763" s="26">
        <f>IF(J4763="Yes","",H4763-I4763)</f>
        <v/>
      </c>
      <c r="M4763" s="27">
        <f>IF(OR(J4763="Yes",I4763=0),"",H4763/I4763)</f>
        <v/>
      </c>
      <c r="N4763" s="21">
        <f>IF(J4763="Yes","",IF(H4763&gt;=I4763,1,0))</f>
        <v/>
      </c>
      <c r="O4763" s="21">
        <f>IF(I4763&lt;=5000000,"Under $5M",IF(I4763&lt;=20000000,"$5M-20M",IF(I4763&lt;=50000000,"$20M-50M",IF(I4763&lt;=100000000,"$50M-100M","$100M+"))))</f>
        <v/>
      </c>
      <c r="P4763" s="21">
        <f>IF(E4763&lt;=90,"90 or less",IF(E4763&lt;=105,"91-105",IF(E4763&lt;=120,"106-120",IF(E4763&lt;=140,"121-140","Over 140"))))</f>
        <v/>
      </c>
      <c r="Q4763" s="28">
        <f>INT(C4763/10)*10</f>
        <v/>
      </c>
    </row>
    <row r="4764">
      <c r="A4764" s="21" t="n">
        <v>4883</v>
      </c>
      <c r="B4764" s="21" t="inlineStr">
        <is>
          <t>Pete's Dragon</t>
        </is>
      </c>
      <c r="C4764" s="21" t="n">
        <v>2016</v>
      </c>
      <c r="D4764" s="21" t="inlineStr">
        <is>
          <t>USA</t>
        </is>
      </c>
      <c r="E4764" s="21" t="n">
        <v>102</v>
      </c>
      <c r="F4764" s="21" t="inlineStr">
        <is>
          <t>English</t>
        </is>
      </c>
      <c r="G4764" s="21" t="inlineStr">
        <is>
          <t>PG</t>
        </is>
      </c>
      <c r="H4764" s="22" t="n">
        <v>25529689.5</v>
      </c>
      <c r="I4764" s="22" t="n">
        <v>65000000</v>
      </c>
      <c r="J4764" s="21">
        <f>IF(OR(H4764="",H4764=25529689.5),"Yes","No")</f>
        <v/>
      </c>
      <c r="K4764" s="21">
        <f>IF(AND(D4764="USA",C4764&gt;=1980,J4764="No"),"Yes","No")</f>
        <v/>
      </c>
      <c r="L4764" s="26">
        <f>IF(J4764="Yes","",H4764-I4764)</f>
        <v/>
      </c>
      <c r="M4764" s="27">
        <f>IF(OR(J4764="Yes",I4764=0),"",H4764/I4764)</f>
        <v/>
      </c>
      <c r="N4764" s="21">
        <f>IF(J4764="Yes","",IF(H4764&gt;=I4764,1,0))</f>
        <v/>
      </c>
      <c r="O4764" s="21">
        <f>IF(I4764&lt;=5000000,"Under $5M",IF(I4764&lt;=20000000,"$5M-20M",IF(I4764&lt;=50000000,"$20M-50M",IF(I4764&lt;=100000000,"$50M-100M","$100M+"))))</f>
        <v/>
      </c>
      <c r="P4764" s="21">
        <f>IF(E4764&lt;=90,"90 or less",IF(E4764&lt;=105,"91-105",IF(E4764&lt;=120,"106-120",IF(E4764&lt;=140,"121-140","Over 140"))))</f>
        <v/>
      </c>
      <c r="Q4764" s="28">
        <f>INT(C4764/10)*10</f>
        <v/>
      </c>
    </row>
    <row r="4765">
      <c r="A4765" s="21" t="n">
        <v>4884</v>
      </c>
      <c r="B4765" s="21" t="inlineStr">
        <is>
          <t>Pride and Prejudice and Zombies</t>
        </is>
      </c>
      <c r="C4765" s="21" t="n">
        <v>2016</v>
      </c>
      <c r="D4765" s="21" t="inlineStr">
        <is>
          <t>USA</t>
        </is>
      </c>
      <c r="E4765" s="21" t="n">
        <v>108</v>
      </c>
      <c r="F4765" s="21" t="inlineStr">
        <is>
          <t>English</t>
        </is>
      </c>
      <c r="G4765" s="21" t="inlineStr">
        <is>
          <t>PG-13</t>
        </is>
      </c>
      <c r="H4765" s="22" t="n">
        <v>10907291</v>
      </c>
      <c r="I4765" s="22" t="n">
        <v>28000000</v>
      </c>
      <c r="J4765" s="21">
        <f>IF(OR(H4765="",H4765=25529689.5),"Yes","No")</f>
        <v/>
      </c>
      <c r="K4765" s="21">
        <f>IF(AND(D4765="USA",C4765&gt;=1980,J4765="No"),"Yes","No")</f>
        <v/>
      </c>
      <c r="L4765" s="26">
        <f>IF(J4765="Yes","",H4765-I4765)</f>
        <v/>
      </c>
      <c r="M4765" s="27">
        <f>IF(OR(J4765="Yes",I4765=0),"",H4765/I4765)</f>
        <v/>
      </c>
      <c r="N4765" s="21">
        <f>IF(J4765="Yes","",IF(H4765&gt;=I4765,1,0))</f>
        <v/>
      </c>
      <c r="O4765" s="21">
        <f>IF(I4765&lt;=5000000,"Under $5M",IF(I4765&lt;=20000000,"$5M-20M",IF(I4765&lt;=50000000,"$20M-50M",IF(I4765&lt;=100000000,"$50M-100M","$100M+"))))</f>
        <v/>
      </c>
      <c r="P4765" s="21">
        <f>IF(E4765&lt;=90,"90 or less",IF(E4765&lt;=105,"91-105",IF(E4765&lt;=120,"106-120",IF(E4765&lt;=140,"121-140","Over 140"))))</f>
        <v/>
      </c>
      <c r="Q4765" s="28">
        <f>INT(C4765/10)*10</f>
        <v/>
      </c>
    </row>
    <row r="4766">
      <c r="A4766" s="21" t="n">
        <v>4885</v>
      </c>
      <c r="B4766" s="21" t="inlineStr">
        <is>
          <t>Race</t>
        </is>
      </c>
      <c r="C4766" s="21" t="n">
        <v>2016</v>
      </c>
      <c r="D4766" s="21" t="inlineStr">
        <is>
          <t>Canada</t>
        </is>
      </c>
      <c r="E4766" s="21" t="n">
        <v>134</v>
      </c>
      <c r="F4766" s="21" t="inlineStr">
        <is>
          <t>English</t>
        </is>
      </c>
      <c r="G4766" s="21" t="inlineStr">
        <is>
          <t>PG-13</t>
        </is>
      </c>
      <c r="H4766" s="22" t="n">
        <v>19097994</v>
      </c>
      <c r="I4766" s="22" t="n">
        <v>20000000</v>
      </c>
      <c r="J4766" s="21">
        <f>IF(OR(H4766="",H4766=25529689.5),"Yes","No")</f>
        <v/>
      </c>
      <c r="K4766" s="21">
        <f>IF(AND(D4766="USA",C4766&gt;=1980,J4766="No"),"Yes","No")</f>
        <v/>
      </c>
      <c r="L4766" s="26">
        <f>IF(J4766="Yes","",H4766-I4766)</f>
        <v/>
      </c>
      <c r="M4766" s="27">
        <f>IF(OR(J4766="Yes",I4766=0),"",H4766/I4766)</f>
        <v/>
      </c>
      <c r="N4766" s="21">
        <f>IF(J4766="Yes","",IF(H4766&gt;=I4766,1,0))</f>
        <v/>
      </c>
      <c r="O4766" s="21">
        <f>IF(I4766&lt;=5000000,"Under $5M",IF(I4766&lt;=20000000,"$5M-20M",IF(I4766&lt;=50000000,"$20M-50M",IF(I4766&lt;=100000000,"$50M-100M","$100M+"))))</f>
        <v/>
      </c>
      <c r="P4766" s="21">
        <f>IF(E4766&lt;=90,"90 or less",IF(E4766&lt;=105,"91-105",IF(E4766&lt;=120,"106-120",IF(E4766&lt;=140,"121-140","Over 140"))))</f>
        <v/>
      </c>
      <c r="Q4766" s="28">
        <f>INT(C4766/10)*10</f>
        <v/>
      </c>
    </row>
    <row r="4767">
      <c r="A4767" s="21" t="n">
        <v>4886</v>
      </c>
      <c r="B4767" s="21" t="inlineStr">
        <is>
          <t>Restoration</t>
        </is>
      </c>
      <c r="C4767" s="21" t="n">
        <v>2016</v>
      </c>
      <c r="D4767" s="21" t="inlineStr">
        <is>
          <t>USA</t>
        </is>
      </c>
      <c r="E4767" s="21" t="n">
        <v>92</v>
      </c>
      <c r="F4767" s="21" t="inlineStr">
        <is>
          <t>English</t>
        </is>
      </c>
      <c r="G4767" s="21" t="n"/>
      <c r="H4767" s="22" t="n">
        <v>25529689.5</v>
      </c>
      <c r="I4767" s="22" t="n">
        <v>20000000</v>
      </c>
      <c r="J4767" s="21">
        <f>IF(OR(H4767="",H4767=25529689.5),"Yes","No")</f>
        <v/>
      </c>
      <c r="K4767" s="21">
        <f>IF(AND(D4767="USA",C4767&gt;=1980,J4767="No"),"Yes","No")</f>
        <v/>
      </c>
      <c r="L4767" s="26">
        <f>IF(J4767="Yes","",H4767-I4767)</f>
        <v/>
      </c>
      <c r="M4767" s="27">
        <f>IF(OR(J4767="Yes",I4767=0),"",H4767/I4767)</f>
        <v/>
      </c>
      <c r="N4767" s="21">
        <f>IF(J4767="Yes","",IF(H4767&gt;=I4767,1,0))</f>
        <v/>
      </c>
      <c r="O4767" s="21">
        <f>IF(I4767&lt;=5000000,"Under $5M",IF(I4767&lt;=20000000,"$5M-20M",IF(I4767&lt;=50000000,"$20M-50M",IF(I4767&lt;=100000000,"$50M-100M","$100M+"))))</f>
        <v/>
      </c>
      <c r="P4767" s="21">
        <f>IF(E4767&lt;=90,"90 or less",IF(E4767&lt;=105,"91-105",IF(E4767&lt;=120,"106-120",IF(E4767&lt;=140,"121-140","Over 140"))))</f>
        <v/>
      </c>
      <c r="Q4767" s="28">
        <f>INT(C4767/10)*10</f>
        <v/>
      </c>
    </row>
    <row r="4768">
      <c r="A4768" s="21" t="n">
        <v>4887</v>
      </c>
      <c r="B4768" s="21" t="inlineStr">
        <is>
          <t>Ride Along 2</t>
        </is>
      </c>
      <c r="C4768" s="21" t="n">
        <v>2016</v>
      </c>
      <c r="D4768" s="21" t="inlineStr">
        <is>
          <t>USA</t>
        </is>
      </c>
      <c r="E4768" s="21" t="n">
        <v>102</v>
      </c>
      <c r="F4768" s="21" t="inlineStr">
        <is>
          <t>English</t>
        </is>
      </c>
      <c r="G4768" s="21" t="inlineStr">
        <is>
          <t>PG-13</t>
        </is>
      </c>
      <c r="H4768" s="22" t="n">
        <v>90835030</v>
      </c>
      <c r="I4768" s="22" t="n">
        <v>40000000</v>
      </c>
      <c r="J4768" s="21">
        <f>IF(OR(H4768="",H4768=25529689.5),"Yes","No")</f>
        <v/>
      </c>
      <c r="K4768" s="21">
        <f>IF(AND(D4768="USA",C4768&gt;=1980,J4768="No"),"Yes","No")</f>
        <v/>
      </c>
      <c r="L4768" s="26">
        <f>IF(J4768="Yes","",H4768-I4768)</f>
        <v/>
      </c>
      <c r="M4768" s="27">
        <f>IF(OR(J4768="Yes",I4768=0),"",H4768/I4768)</f>
        <v/>
      </c>
      <c r="N4768" s="21">
        <f>IF(J4768="Yes","",IF(H4768&gt;=I4768,1,0))</f>
        <v/>
      </c>
      <c r="O4768" s="21">
        <f>IF(I4768&lt;=5000000,"Under $5M",IF(I4768&lt;=20000000,"$5M-20M",IF(I4768&lt;=50000000,"$20M-50M",IF(I4768&lt;=100000000,"$50M-100M","$100M+"))))</f>
        <v/>
      </c>
      <c r="P4768" s="21">
        <f>IF(E4768&lt;=90,"90 or less",IF(E4768&lt;=105,"91-105",IF(E4768&lt;=120,"106-120",IF(E4768&lt;=140,"121-140","Over 140"))))</f>
        <v/>
      </c>
      <c r="Q4768" s="28">
        <f>INT(C4768/10)*10</f>
        <v/>
      </c>
    </row>
    <row r="4769">
      <c r="A4769" s="21" t="n">
        <v>4888</v>
      </c>
      <c r="B4769" s="21" t="inlineStr">
        <is>
          <t>Risen</t>
        </is>
      </c>
      <c r="C4769" s="21" t="n">
        <v>2016</v>
      </c>
      <c r="D4769" s="21" t="inlineStr">
        <is>
          <t>USA</t>
        </is>
      </c>
      <c r="E4769" s="21" t="n">
        <v>107</v>
      </c>
      <c r="F4769" s="21" t="inlineStr">
        <is>
          <t>English</t>
        </is>
      </c>
      <c r="G4769" s="21" t="inlineStr">
        <is>
          <t>PG-13</t>
        </is>
      </c>
      <c r="H4769" s="22" t="n">
        <v>36874745</v>
      </c>
      <c r="I4769" s="22" t="n">
        <v>20000000</v>
      </c>
      <c r="J4769" s="21">
        <f>IF(OR(H4769="",H4769=25529689.5),"Yes","No")</f>
        <v/>
      </c>
      <c r="K4769" s="21">
        <f>IF(AND(D4769="USA",C4769&gt;=1980,J4769="No"),"Yes","No")</f>
        <v/>
      </c>
      <c r="L4769" s="26">
        <f>IF(J4769="Yes","",H4769-I4769)</f>
        <v/>
      </c>
      <c r="M4769" s="27">
        <f>IF(OR(J4769="Yes",I4769=0),"",H4769/I4769)</f>
        <v/>
      </c>
      <c r="N4769" s="21">
        <f>IF(J4769="Yes","",IF(H4769&gt;=I4769,1,0))</f>
        <v/>
      </c>
      <c r="O4769" s="21">
        <f>IF(I4769&lt;=5000000,"Under $5M",IF(I4769&lt;=20000000,"$5M-20M",IF(I4769&lt;=50000000,"$20M-50M",IF(I4769&lt;=100000000,"$50M-100M","$100M+"))))</f>
        <v/>
      </c>
      <c r="P4769" s="21">
        <f>IF(E4769&lt;=90,"90 or less",IF(E4769&lt;=105,"91-105",IF(E4769&lt;=120,"106-120",IF(E4769&lt;=140,"121-140","Over 140"))))</f>
        <v/>
      </c>
      <c r="Q4769" s="28">
        <f>INT(C4769/10)*10</f>
        <v/>
      </c>
    </row>
    <row r="4770">
      <c r="A4770" s="21" t="n">
        <v>4889</v>
      </c>
      <c r="B4770" s="21" t="inlineStr">
        <is>
          <t>Rodeo Girl</t>
        </is>
      </c>
      <c r="C4770" s="21" t="n">
        <v>2016</v>
      </c>
      <c r="D4770" s="21" t="inlineStr">
        <is>
          <t>USA</t>
        </is>
      </c>
      <c r="E4770" s="21" t="n">
        <v>108</v>
      </c>
      <c r="F4770" s="21" t="inlineStr">
        <is>
          <t>English</t>
        </is>
      </c>
      <c r="G4770" s="21" t="inlineStr">
        <is>
          <t>PG</t>
        </is>
      </c>
      <c r="H4770" s="22" t="n">
        <v>25529689.5</v>
      </c>
      <c r="I4770" s="22" t="n">
        <v>500000</v>
      </c>
      <c r="J4770" s="21">
        <f>IF(OR(H4770="",H4770=25529689.5),"Yes","No")</f>
        <v/>
      </c>
      <c r="K4770" s="21">
        <f>IF(AND(D4770="USA",C4770&gt;=1980,J4770="No"),"Yes","No")</f>
        <v/>
      </c>
      <c r="L4770" s="26">
        <f>IF(J4770="Yes","",H4770-I4770)</f>
        <v/>
      </c>
      <c r="M4770" s="27">
        <f>IF(OR(J4770="Yes",I4770=0),"",H4770/I4770)</f>
        <v/>
      </c>
      <c r="N4770" s="21">
        <f>IF(J4770="Yes","",IF(H4770&gt;=I4770,1,0))</f>
        <v/>
      </c>
      <c r="O4770" s="21">
        <f>IF(I4770&lt;=5000000,"Under $5M",IF(I4770&lt;=20000000,"$5M-20M",IF(I4770&lt;=50000000,"$20M-50M",IF(I4770&lt;=100000000,"$50M-100M","$100M+"))))</f>
        <v/>
      </c>
      <c r="P4770" s="21">
        <f>IF(E4770&lt;=90,"90 or less",IF(E4770&lt;=105,"91-105",IF(E4770&lt;=120,"106-120",IF(E4770&lt;=140,"121-140","Over 140"))))</f>
        <v/>
      </c>
      <c r="Q4770" s="28">
        <f>INT(C4770/10)*10</f>
        <v/>
      </c>
    </row>
    <row r="4771">
      <c r="A4771" s="21" t="n">
        <v>4890</v>
      </c>
      <c r="B4771" s="21" t="inlineStr">
        <is>
          <t>Sausage Party</t>
        </is>
      </c>
      <c r="C4771" s="21" t="n">
        <v>2016</v>
      </c>
      <c r="D4771" s="21" t="inlineStr">
        <is>
          <t>USA</t>
        </is>
      </c>
      <c r="E4771" s="21" t="n">
        <v>89</v>
      </c>
      <c r="F4771" s="21" t="inlineStr">
        <is>
          <t>English</t>
        </is>
      </c>
      <c r="G4771" s="21" t="inlineStr">
        <is>
          <t>R</t>
        </is>
      </c>
      <c r="H4771" s="22" t="n">
        <v>25529689.5</v>
      </c>
      <c r="I4771" s="22" t="n">
        <v>19000000</v>
      </c>
      <c r="J4771" s="21">
        <f>IF(OR(H4771="",H4771=25529689.5),"Yes","No")</f>
        <v/>
      </c>
      <c r="K4771" s="21">
        <f>IF(AND(D4771="USA",C4771&gt;=1980,J4771="No"),"Yes","No")</f>
        <v/>
      </c>
      <c r="L4771" s="26">
        <f>IF(J4771="Yes","",H4771-I4771)</f>
        <v/>
      </c>
      <c r="M4771" s="27">
        <f>IF(OR(J4771="Yes",I4771=0),"",H4771/I4771)</f>
        <v/>
      </c>
      <c r="N4771" s="21">
        <f>IF(J4771="Yes","",IF(H4771&gt;=I4771,1,0))</f>
        <v/>
      </c>
      <c r="O4771" s="21">
        <f>IF(I4771&lt;=5000000,"Under $5M",IF(I4771&lt;=20000000,"$5M-20M",IF(I4771&lt;=50000000,"$20M-50M",IF(I4771&lt;=100000000,"$50M-100M","$100M+"))))</f>
        <v/>
      </c>
      <c r="P4771" s="21">
        <f>IF(E4771&lt;=90,"90 or less",IF(E4771&lt;=105,"91-105",IF(E4771&lt;=120,"106-120",IF(E4771&lt;=140,"121-140","Over 140"))))</f>
        <v/>
      </c>
      <c r="Q4771" s="28">
        <f>INT(C4771/10)*10</f>
        <v/>
      </c>
    </row>
    <row r="4772">
      <c r="A4772" s="21" t="n">
        <v>4891</v>
      </c>
      <c r="B4772" s="21" t="inlineStr">
        <is>
          <t>Star Trek Beyond</t>
        </is>
      </c>
      <c r="C4772" s="21" t="n">
        <v>2016</v>
      </c>
      <c r="D4772" s="21" t="inlineStr">
        <is>
          <t>USA</t>
        </is>
      </c>
      <c r="E4772" s="21" t="n">
        <v>122</v>
      </c>
      <c r="F4772" s="21" t="inlineStr">
        <is>
          <t>English</t>
        </is>
      </c>
      <c r="G4772" s="21" t="inlineStr">
        <is>
          <t>PG-13</t>
        </is>
      </c>
      <c r="H4772" s="22" t="n">
        <v>130468626</v>
      </c>
      <c r="I4772" s="22" t="n">
        <v>185000000</v>
      </c>
      <c r="J4772" s="21">
        <f>IF(OR(H4772="",H4772=25529689.5),"Yes","No")</f>
        <v/>
      </c>
      <c r="K4772" s="21">
        <f>IF(AND(D4772="USA",C4772&gt;=1980,J4772="No"),"Yes","No")</f>
        <v/>
      </c>
      <c r="L4772" s="26">
        <f>IF(J4772="Yes","",H4772-I4772)</f>
        <v/>
      </c>
      <c r="M4772" s="27">
        <f>IF(OR(J4772="Yes",I4772=0),"",H4772/I4772)</f>
        <v/>
      </c>
      <c r="N4772" s="21">
        <f>IF(J4772="Yes","",IF(H4772&gt;=I4772,1,0))</f>
        <v/>
      </c>
      <c r="O4772" s="21">
        <f>IF(I4772&lt;=5000000,"Under $5M",IF(I4772&lt;=20000000,"$5M-20M",IF(I4772&lt;=50000000,"$20M-50M",IF(I4772&lt;=100000000,"$50M-100M","$100M+"))))</f>
        <v/>
      </c>
      <c r="P4772" s="21">
        <f>IF(E4772&lt;=90,"90 or less",IF(E4772&lt;=105,"91-105",IF(E4772&lt;=120,"106-120",IF(E4772&lt;=140,"121-140","Over 140"))))</f>
        <v/>
      </c>
      <c r="Q4772" s="28">
        <f>INT(C4772/10)*10</f>
        <v/>
      </c>
    </row>
    <row r="4773">
      <c r="A4773" s="21" t="n">
        <v>4892</v>
      </c>
      <c r="B4773" s="21" t="inlineStr">
        <is>
          <t>Suicide Squad</t>
        </is>
      </c>
      <c r="C4773" s="21" t="n">
        <v>2016</v>
      </c>
      <c r="D4773" s="21" t="inlineStr">
        <is>
          <t>USA</t>
        </is>
      </c>
      <c r="E4773" s="21" t="n">
        <v>123</v>
      </c>
      <c r="F4773" s="21" t="inlineStr">
        <is>
          <t>English</t>
        </is>
      </c>
      <c r="G4773" s="21" t="inlineStr">
        <is>
          <t>PG-13</t>
        </is>
      </c>
      <c r="H4773" s="22" t="n">
        <v>161087183</v>
      </c>
      <c r="I4773" s="22" t="n">
        <v>175000000</v>
      </c>
      <c r="J4773" s="21">
        <f>IF(OR(H4773="",H4773=25529689.5),"Yes","No")</f>
        <v/>
      </c>
      <c r="K4773" s="21">
        <f>IF(AND(D4773="USA",C4773&gt;=1980,J4773="No"),"Yes","No")</f>
        <v/>
      </c>
      <c r="L4773" s="26">
        <f>IF(J4773="Yes","",H4773-I4773)</f>
        <v/>
      </c>
      <c r="M4773" s="27">
        <f>IF(OR(J4773="Yes",I4773=0),"",H4773/I4773)</f>
        <v/>
      </c>
      <c r="N4773" s="21">
        <f>IF(J4773="Yes","",IF(H4773&gt;=I4773,1,0))</f>
        <v/>
      </c>
      <c r="O4773" s="21">
        <f>IF(I4773&lt;=5000000,"Under $5M",IF(I4773&lt;=20000000,"$5M-20M",IF(I4773&lt;=50000000,"$20M-50M",IF(I4773&lt;=100000000,"$50M-100M","$100M+"))))</f>
        <v/>
      </c>
      <c r="P4773" s="21">
        <f>IF(E4773&lt;=90,"90 or less",IF(E4773&lt;=105,"91-105",IF(E4773&lt;=120,"106-120",IF(E4773&lt;=140,"121-140","Over 140"))))</f>
        <v/>
      </c>
      <c r="Q4773" s="28">
        <f>INT(C4773/10)*10</f>
        <v/>
      </c>
    </row>
    <row r="4774">
      <c r="A4774" s="21" t="n">
        <v>4893</v>
      </c>
      <c r="B4774" s="21" t="inlineStr">
        <is>
          <t>Teenage Mutant Ninja Turtles: Out of the Shadows</t>
        </is>
      </c>
      <c r="C4774" s="21" t="n">
        <v>2016</v>
      </c>
      <c r="D4774" s="21" t="inlineStr">
        <is>
          <t>USA</t>
        </is>
      </c>
      <c r="E4774" s="21" t="n">
        <v>112</v>
      </c>
      <c r="F4774" s="21" t="inlineStr">
        <is>
          <t>English</t>
        </is>
      </c>
      <c r="G4774" s="21" t="inlineStr">
        <is>
          <t>PG-13</t>
        </is>
      </c>
      <c r="H4774" s="22" t="n">
        <v>81638674</v>
      </c>
      <c r="I4774" s="22" t="n">
        <v>135000000</v>
      </c>
      <c r="J4774" s="21">
        <f>IF(OR(H4774="",H4774=25529689.5),"Yes","No")</f>
        <v/>
      </c>
      <c r="K4774" s="21">
        <f>IF(AND(D4774="USA",C4774&gt;=1980,J4774="No"),"Yes","No")</f>
        <v/>
      </c>
      <c r="L4774" s="26">
        <f>IF(J4774="Yes","",H4774-I4774)</f>
        <v/>
      </c>
      <c r="M4774" s="27">
        <f>IF(OR(J4774="Yes",I4774=0),"",H4774/I4774)</f>
        <v/>
      </c>
      <c r="N4774" s="21">
        <f>IF(J4774="Yes","",IF(H4774&gt;=I4774,1,0))</f>
        <v/>
      </c>
      <c r="O4774" s="21">
        <f>IF(I4774&lt;=5000000,"Under $5M",IF(I4774&lt;=20000000,"$5M-20M",IF(I4774&lt;=50000000,"$20M-50M",IF(I4774&lt;=100000000,"$50M-100M","$100M+"))))</f>
        <v/>
      </c>
      <c r="P4774" s="21">
        <f>IF(E4774&lt;=90,"90 or less",IF(E4774&lt;=105,"91-105",IF(E4774&lt;=120,"106-120",IF(E4774&lt;=140,"121-140","Over 140"))))</f>
        <v/>
      </c>
      <c r="Q4774" s="28">
        <f>INT(C4774/10)*10</f>
        <v/>
      </c>
    </row>
    <row r="4775">
      <c r="A4775" s="21" t="n">
        <v>4894</v>
      </c>
      <c r="B4775" s="21" t="inlineStr">
        <is>
          <t>The 5th Wave</t>
        </is>
      </c>
      <c r="C4775" s="21" t="n">
        <v>2016</v>
      </c>
      <c r="D4775" s="21" t="inlineStr">
        <is>
          <t>USA</t>
        </is>
      </c>
      <c r="E4775" s="21" t="n">
        <v>112</v>
      </c>
      <c r="F4775" s="21" t="inlineStr">
        <is>
          <t>English</t>
        </is>
      </c>
      <c r="G4775" s="21" t="inlineStr">
        <is>
          <t>PG-13</t>
        </is>
      </c>
      <c r="H4775" s="22" t="n">
        <v>34912982</v>
      </c>
      <c r="I4775" s="22" t="n">
        <v>38000000</v>
      </c>
      <c r="J4775" s="21">
        <f>IF(OR(H4775="",H4775=25529689.5),"Yes","No")</f>
        <v/>
      </c>
      <c r="K4775" s="21">
        <f>IF(AND(D4775="USA",C4775&gt;=1980,J4775="No"),"Yes","No")</f>
        <v/>
      </c>
      <c r="L4775" s="26">
        <f>IF(J4775="Yes","",H4775-I4775)</f>
        <v/>
      </c>
      <c r="M4775" s="27">
        <f>IF(OR(J4775="Yes",I4775=0),"",H4775/I4775)</f>
        <v/>
      </c>
      <c r="N4775" s="21">
        <f>IF(J4775="Yes","",IF(H4775&gt;=I4775,1,0))</f>
        <v/>
      </c>
      <c r="O4775" s="21">
        <f>IF(I4775&lt;=5000000,"Under $5M",IF(I4775&lt;=20000000,"$5M-20M",IF(I4775&lt;=50000000,"$20M-50M",IF(I4775&lt;=100000000,"$50M-100M","$100M+"))))</f>
        <v/>
      </c>
      <c r="P4775" s="21">
        <f>IF(E4775&lt;=90,"90 or less",IF(E4775&lt;=105,"91-105",IF(E4775&lt;=120,"106-120",IF(E4775&lt;=140,"121-140","Over 140"))))</f>
        <v/>
      </c>
      <c r="Q4775" s="28">
        <f>INT(C4775/10)*10</f>
        <v/>
      </c>
    </row>
    <row r="4776">
      <c r="A4776" s="21" t="n">
        <v>4895</v>
      </c>
      <c r="B4776" s="21" t="inlineStr">
        <is>
          <t>The Angry Birds Movie</t>
        </is>
      </c>
      <c r="C4776" s="21" t="n">
        <v>2016</v>
      </c>
      <c r="D4776" s="21" t="inlineStr">
        <is>
          <t>USA</t>
        </is>
      </c>
      <c r="E4776" s="21" t="n">
        <v>97</v>
      </c>
      <c r="F4776" s="21" t="inlineStr">
        <is>
          <t>English</t>
        </is>
      </c>
      <c r="G4776" s="21" t="inlineStr">
        <is>
          <t>PG</t>
        </is>
      </c>
      <c r="H4776" s="22" t="n">
        <v>107225164</v>
      </c>
      <c r="I4776" s="22" t="n">
        <v>73000000</v>
      </c>
      <c r="J4776" s="21">
        <f>IF(OR(H4776="",H4776=25529689.5),"Yes","No")</f>
        <v/>
      </c>
      <c r="K4776" s="21">
        <f>IF(AND(D4776="USA",C4776&gt;=1980,J4776="No"),"Yes","No")</f>
        <v/>
      </c>
      <c r="L4776" s="26">
        <f>IF(J4776="Yes","",H4776-I4776)</f>
        <v/>
      </c>
      <c r="M4776" s="27">
        <f>IF(OR(J4776="Yes",I4776=0),"",H4776/I4776)</f>
        <v/>
      </c>
      <c r="N4776" s="21">
        <f>IF(J4776="Yes","",IF(H4776&gt;=I4776,1,0))</f>
        <v/>
      </c>
      <c r="O4776" s="21">
        <f>IF(I4776&lt;=5000000,"Under $5M",IF(I4776&lt;=20000000,"$5M-20M",IF(I4776&lt;=50000000,"$20M-50M",IF(I4776&lt;=100000000,"$50M-100M","$100M+"))))</f>
        <v/>
      </c>
      <c r="P4776" s="21">
        <f>IF(E4776&lt;=90,"90 or less",IF(E4776&lt;=105,"91-105",IF(E4776&lt;=120,"106-120",IF(E4776&lt;=140,"121-140","Over 140"))))</f>
        <v/>
      </c>
      <c r="Q4776" s="28">
        <f>INT(C4776/10)*10</f>
        <v/>
      </c>
    </row>
    <row r="4777">
      <c r="A4777" s="21" t="n">
        <v>4896</v>
      </c>
      <c r="B4777" s="21" t="inlineStr">
        <is>
          <t>The BFG</t>
        </is>
      </c>
      <c r="C4777" s="21" t="n">
        <v>2016</v>
      </c>
      <c r="D4777" s="21" t="inlineStr">
        <is>
          <t>UK</t>
        </is>
      </c>
      <c r="E4777" s="21" t="n">
        <v>117</v>
      </c>
      <c r="F4777" s="21" t="inlineStr">
        <is>
          <t>English</t>
        </is>
      </c>
      <c r="G4777" s="21" t="inlineStr">
        <is>
          <t>PG</t>
        </is>
      </c>
      <c r="H4777" s="22" t="n">
        <v>52792307</v>
      </c>
      <c r="I4777" s="22" t="n">
        <v>140000000</v>
      </c>
      <c r="J4777" s="21">
        <f>IF(OR(H4777="",H4777=25529689.5),"Yes","No")</f>
        <v/>
      </c>
      <c r="K4777" s="21">
        <f>IF(AND(D4777="USA",C4777&gt;=1980,J4777="No"),"Yes","No")</f>
        <v/>
      </c>
      <c r="L4777" s="26">
        <f>IF(J4777="Yes","",H4777-I4777)</f>
        <v/>
      </c>
      <c r="M4777" s="27">
        <f>IF(OR(J4777="Yes",I4777=0),"",H4777/I4777)</f>
        <v/>
      </c>
      <c r="N4777" s="21">
        <f>IF(J4777="Yes","",IF(H4777&gt;=I4777,1,0))</f>
        <v/>
      </c>
      <c r="O4777" s="21">
        <f>IF(I4777&lt;=5000000,"Under $5M",IF(I4777&lt;=20000000,"$5M-20M",IF(I4777&lt;=50000000,"$20M-50M",IF(I4777&lt;=100000000,"$50M-100M","$100M+"))))</f>
        <v/>
      </c>
      <c r="P4777" s="21">
        <f>IF(E4777&lt;=90,"90 or less",IF(E4777&lt;=105,"91-105",IF(E4777&lt;=120,"106-120",IF(E4777&lt;=140,"121-140","Over 140"))))</f>
        <v/>
      </c>
      <c r="Q4777" s="28">
        <f>INT(C4777/10)*10</f>
        <v/>
      </c>
    </row>
    <row r="4778">
      <c r="A4778" s="21" t="n">
        <v>4897</v>
      </c>
      <c r="B4778" s="21" t="inlineStr">
        <is>
          <t>The Birth of a Nation</t>
        </is>
      </c>
      <c r="C4778" s="21" t="n">
        <v>2016</v>
      </c>
      <c r="D4778" s="21" t="inlineStr">
        <is>
          <t>USA</t>
        </is>
      </c>
      <c r="E4778" s="21" t="n">
        <v>120</v>
      </c>
      <c r="F4778" s="21" t="inlineStr">
        <is>
          <t>English</t>
        </is>
      </c>
      <c r="G4778" s="21" t="inlineStr">
        <is>
          <t>R</t>
        </is>
      </c>
      <c r="H4778" s="22" t="n">
        <v>25529689.5</v>
      </c>
      <c r="I4778" s="22" t="n">
        <v>10000000</v>
      </c>
      <c r="J4778" s="21">
        <f>IF(OR(H4778="",H4778=25529689.5),"Yes","No")</f>
        <v/>
      </c>
      <c r="K4778" s="21">
        <f>IF(AND(D4778="USA",C4778&gt;=1980,J4778="No"),"Yes","No")</f>
        <v/>
      </c>
      <c r="L4778" s="26">
        <f>IF(J4778="Yes","",H4778-I4778)</f>
        <v/>
      </c>
      <c r="M4778" s="27">
        <f>IF(OR(J4778="Yes",I4778=0),"",H4778/I4778)</f>
        <v/>
      </c>
      <c r="N4778" s="21">
        <f>IF(J4778="Yes","",IF(H4778&gt;=I4778,1,0))</f>
        <v/>
      </c>
      <c r="O4778" s="21">
        <f>IF(I4778&lt;=5000000,"Under $5M",IF(I4778&lt;=20000000,"$5M-20M",IF(I4778&lt;=50000000,"$20M-50M",IF(I4778&lt;=100000000,"$50M-100M","$100M+"))))</f>
        <v/>
      </c>
      <c r="P4778" s="21">
        <f>IF(E4778&lt;=90,"90 or less",IF(E4778&lt;=105,"91-105",IF(E4778&lt;=120,"106-120",IF(E4778&lt;=140,"121-140","Over 140"))))</f>
        <v/>
      </c>
      <c r="Q4778" s="28">
        <f>INT(C4778/10)*10</f>
        <v/>
      </c>
    </row>
    <row r="4779">
      <c r="A4779" s="21" t="n">
        <v>4898</v>
      </c>
      <c r="B4779" s="21" t="inlineStr">
        <is>
          <t>The Boss</t>
        </is>
      </c>
      <c r="C4779" s="21" t="n">
        <v>2016</v>
      </c>
      <c r="D4779" s="21" t="inlineStr">
        <is>
          <t>USA</t>
        </is>
      </c>
      <c r="E4779" s="21" t="n">
        <v>99</v>
      </c>
      <c r="F4779" s="21" t="inlineStr">
        <is>
          <t>English</t>
        </is>
      </c>
      <c r="G4779" s="21" t="inlineStr">
        <is>
          <t>R</t>
        </is>
      </c>
      <c r="H4779" s="22" t="n">
        <v>63034755</v>
      </c>
      <c r="I4779" s="22" t="n">
        <v>29000000</v>
      </c>
      <c r="J4779" s="21">
        <f>IF(OR(H4779="",H4779=25529689.5),"Yes","No")</f>
        <v/>
      </c>
      <c r="K4779" s="21">
        <f>IF(AND(D4779="USA",C4779&gt;=1980,J4779="No"),"Yes","No")</f>
        <v/>
      </c>
      <c r="L4779" s="26">
        <f>IF(J4779="Yes","",H4779-I4779)</f>
        <v/>
      </c>
      <c r="M4779" s="27">
        <f>IF(OR(J4779="Yes",I4779=0),"",H4779/I4779)</f>
        <v/>
      </c>
      <c r="N4779" s="21">
        <f>IF(J4779="Yes","",IF(H4779&gt;=I4779,1,0))</f>
        <v/>
      </c>
      <c r="O4779" s="21">
        <f>IF(I4779&lt;=5000000,"Under $5M",IF(I4779&lt;=20000000,"$5M-20M",IF(I4779&lt;=50000000,"$20M-50M",IF(I4779&lt;=100000000,"$50M-100M","$100M+"))))</f>
        <v/>
      </c>
      <c r="P4779" s="21">
        <f>IF(E4779&lt;=90,"90 or less",IF(E4779&lt;=105,"91-105",IF(E4779&lt;=120,"106-120",IF(E4779&lt;=140,"121-140","Over 140"))))</f>
        <v/>
      </c>
      <c r="Q4779" s="28">
        <f>INT(C4779/10)*10</f>
        <v/>
      </c>
    </row>
    <row r="4780">
      <c r="A4780" s="21" t="n">
        <v>4899</v>
      </c>
      <c r="B4780" s="21" t="inlineStr">
        <is>
          <t>The Boy</t>
        </is>
      </c>
      <c r="C4780" s="21" t="n">
        <v>2016</v>
      </c>
      <c r="D4780" s="21" t="inlineStr">
        <is>
          <t>USA</t>
        </is>
      </c>
      <c r="E4780" s="21" t="n">
        <v>97</v>
      </c>
      <c r="F4780" s="21" t="inlineStr">
        <is>
          <t>English</t>
        </is>
      </c>
      <c r="G4780" s="21" t="inlineStr">
        <is>
          <t>PG-13</t>
        </is>
      </c>
      <c r="H4780" s="22" t="n">
        <v>35794166</v>
      </c>
      <c r="I4780" s="22" t="n">
        <v>10000000</v>
      </c>
      <c r="J4780" s="21">
        <f>IF(OR(H4780="",H4780=25529689.5),"Yes","No")</f>
        <v/>
      </c>
      <c r="K4780" s="21">
        <f>IF(AND(D4780="USA",C4780&gt;=1980,J4780="No"),"Yes","No")</f>
        <v/>
      </c>
      <c r="L4780" s="26">
        <f>IF(J4780="Yes","",H4780-I4780)</f>
        <v/>
      </c>
      <c r="M4780" s="27">
        <f>IF(OR(J4780="Yes",I4780=0),"",H4780/I4780)</f>
        <v/>
      </c>
      <c r="N4780" s="21">
        <f>IF(J4780="Yes","",IF(H4780&gt;=I4780,1,0))</f>
        <v/>
      </c>
      <c r="O4780" s="21">
        <f>IF(I4780&lt;=5000000,"Under $5M",IF(I4780&lt;=20000000,"$5M-20M",IF(I4780&lt;=50000000,"$20M-50M",IF(I4780&lt;=100000000,"$50M-100M","$100M+"))))</f>
        <v/>
      </c>
      <c r="P4780" s="21">
        <f>IF(E4780&lt;=90,"90 or less",IF(E4780&lt;=105,"91-105",IF(E4780&lt;=120,"106-120",IF(E4780&lt;=140,"121-140","Over 140"))))</f>
        <v/>
      </c>
      <c r="Q4780" s="28">
        <f>INT(C4780/10)*10</f>
        <v/>
      </c>
    </row>
    <row r="4781">
      <c r="A4781" s="21" t="n">
        <v>4900</v>
      </c>
      <c r="B4781" s="21" t="inlineStr">
        <is>
          <t>The Conjuring 2</t>
        </is>
      </c>
      <c r="C4781" s="21" t="n">
        <v>2016</v>
      </c>
      <c r="D4781" s="21" t="inlineStr">
        <is>
          <t>USA</t>
        </is>
      </c>
      <c r="E4781" s="21" t="n">
        <v>134</v>
      </c>
      <c r="F4781" s="21" t="inlineStr">
        <is>
          <t>English</t>
        </is>
      </c>
      <c r="G4781" s="21" t="inlineStr">
        <is>
          <t>R</t>
        </is>
      </c>
      <c r="H4781" s="22" t="n">
        <v>102310175</v>
      </c>
      <c r="I4781" s="22" t="n">
        <v>40000000</v>
      </c>
      <c r="J4781" s="21">
        <f>IF(OR(H4781="",H4781=25529689.5),"Yes","No")</f>
        <v/>
      </c>
      <c r="K4781" s="21">
        <f>IF(AND(D4781="USA",C4781&gt;=1980,J4781="No"),"Yes","No")</f>
        <v/>
      </c>
      <c r="L4781" s="26">
        <f>IF(J4781="Yes","",H4781-I4781)</f>
        <v/>
      </c>
      <c r="M4781" s="27">
        <f>IF(OR(J4781="Yes",I4781=0),"",H4781/I4781)</f>
        <v/>
      </c>
      <c r="N4781" s="21">
        <f>IF(J4781="Yes","",IF(H4781&gt;=I4781,1,0))</f>
        <v/>
      </c>
      <c r="O4781" s="21">
        <f>IF(I4781&lt;=5000000,"Under $5M",IF(I4781&lt;=20000000,"$5M-20M",IF(I4781&lt;=50000000,"$20M-50M",IF(I4781&lt;=100000000,"$50M-100M","$100M+"))))</f>
        <v/>
      </c>
      <c r="P4781" s="21">
        <f>IF(E4781&lt;=90,"90 or less",IF(E4781&lt;=105,"91-105",IF(E4781&lt;=120,"106-120",IF(E4781&lt;=140,"121-140","Over 140"))))</f>
        <v/>
      </c>
      <c r="Q4781" s="28">
        <f>INT(C4781/10)*10</f>
        <v/>
      </c>
    </row>
    <row r="4782">
      <c r="A4782" s="21" t="n">
        <v>4901</v>
      </c>
      <c r="B4782" s="21" t="inlineStr">
        <is>
          <t>The Dog Lover</t>
        </is>
      </c>
      <c r="C4782" s="21" t="n">
        <v>2016</v>
      </c>
      <c r="D4782" s="21" t="inlineStr">
        <is>
          <t>USA</t>
        </is>
      </c>
      <c r="E4782" s="21" t="n">
        <v>101</v>
      </c>
      <c r="F4782" s="21" t="inlineStr">
        <is>
          <t>English</t>
        </is>
      </c>
      <c r="G4782" s="21" t="inlineStr">
        <is>
          <t>PG</t>
        </is>
      </c>
      <c r="H4782" s="22" t="n">
        <v>25529689.5</v>
      </c>
      <c r="I4782" s="22" t="n">
        <v>2000000</v>
      </c>
      <c r="J4782" s="21">
        <f>IF(OR(H4782="",H4782=25529689.5),"Yes","No")</f>
        <v/>
      </c>
      <c r="K4782" s="21">
        <f>IF(AND(D4782="USA",C4782&gt;=1980,J4782="No"),"Yes","No")</f>
        <v/>
      </c>
      <c r="L4782" s="26">
        <f>IF(J4782="Yes","",H4782-I4782)</f>
        <v/>
      </c>
      <c r="M4782" s="27">
        <f>IF(OR(J4782="Yes",I4782=0),"",H4782/I4782)</f>
        <v/>
      </c>
      <c r="N4782" s="21">
        <f>IF(J4782="Yes","",IF(H4782&gt;=I4782,1,0))</f>
        <v/>
      </c>
      <c r="O4782" s="21">
        <f>IF(I4782&lt;=5000000,"Under $5M",IF(I4782&lt;=20000000,"$5M-20M",IF(I4782&lt;=50000000,"$20M-50M",IF(I4782&lt;=100000000,"$50M-100M","$100M+"))))</f>
        <v/>
      </c>
      <c r="P4782" s="21">
        <f>IF(E4782&lt;=90,"90 or less",IF(E4782&lt;=105,"91-105",IF(E4782&lt;=120,"106-120",IF(E4782&lt;=140,"121-140","Over 140"))))</f>
        <v/>
      </c>
      <c r="Q4782" s="28">
        <f>INT(C4782/10)*10</f>
        <v/>
      </c>
    </row>
    <row r="4783">
      <c r="A4783" s="21" t="n">
        <v>4902</v>
      </c>
      <c r="B4783" s="21" t="inlineStr">
        <is>
          <t>The Finest Hours</t>
        </is>
      </c>
      <c r="C4783" s="21" t="n">
        <v>2016</v>
      </c>
      <c r="D4783" s="21" t="inlineStr">
        <is>
          <t>USA</t>
        </is>
      </c>
      <c r="E4783" s="21" t="n">
        <v>117</v>
      </c>
      <c r="F4783" s="21" t="inlineStr">
        <is>
          <t>English</t>
        </is>
      </c>
      <c r="G4783" s="21" t="inlineStr">
        <is>
          <t>PG-13</t>
        </is>
      </c>
      <c r="H4783" s="22" t="n">
        <v>27550735</v>
      </c>
      <c r="I4783" s="22" t="n">
        <v>20000000</v>
      </c>
      <c r="J4783" s="21">
        <f>IF(OR(H4783="",H4783=25529689.5),"Yes","No")</f>
        <v/>
      </c>
      <c r="K4783" s="21">
        <f>IF(AND(D4783="USA",C4783&gt;=1980,J4783="No"),"Yes","No")</f>
        <v/>
      </c>
      <c r="L4783" s="26">
        <f>IF(J4783="Yes","",H4783-I4783)</f>
        <v/>
      </c>
      <c r="M4783" s="27">
        <f>IF(OR(J4783="Yes",I4783=0),"",H4783/I4783)</f>
        <v/>
      </c>
      <c r="N4783" s="21">
        <f>IF(J4783="Yes","",IF(H4783&gt;=I4783,1,0))</f>
        <v/>
      </c>
      <c r="O4783" s="21">
        <f>IF(I4783&lt;=5000000,"Under $5M",IF(I4783&lt;=20000000,"$5M-20M",IF(I4783&lt;=50000000,"$20M-50M",IF(I4783&lt;=100000000,"$50M-100M","$100M+"))))</f>
        <v/>
      </c>
      <c r="P4783" s="21">
        <f>IF(E4783&lt;=90,"90 or less",IF(E4783&lt;=105,"91-105",IF(E4783&lt;=120,"106-120",IF(E4783&lt;=140,"121-140","Over 140"))))</f>
        <v/>
      </c>
      <c r="Q4783" s="28">
        <f>INT(C4783/10)*10</f>
        <v/>
      </c>
    </row>
    <row r="4784">
      <c r="A4784" s="21" t="n">
        <v>4903</v>
      </c>
      <c r="B4784" s="21" t="inlineStr">
        <is>
          <t>The Forest</t>
        </is>
      </c>
      <c r="C4784" s="21" t="n">
        <v>2016</v>
      </c>
      <c r="D4784" s="21" t="inlineStr">
        <is>
          <t>USA</t>
        </is>
      </c>
      <c r="E4784" s="21" t="n">
        <v>93</v>
      </c>
      <c r="F4784" s="21" t="inlineStr">
        <is>
          <t>English</t>
        </is>
      </c>
      <c r="G4784" s="21" t="inlineStr">
        <is>
          <t>PG-13</t>
        </is>
      </c>
      <c r="H4784" s="22" t="n">
        <v>26583369</v>
      </c>
      <c r="I4784" s="22" t="n">
        <v>10000000</v>
      </c>
      <c r="J4784" s="21">
        <f>IF(OR(H4784="",H4784=25529689.5),"Yes","No")</f>
        <v/>
      </c>
      <c r="K4784" s="21">
        <f>IF(AND(D4784="USA",C4784&gt;=1980,J4784="No"),"Yes","No")</f>
        <v/>
      </c>
      <c r="L4784" s="26">
        <f>IF(J4784="Yes","",H4784-I4784)</f>
        <v/>
      </c>
      <c r="M4784" s="27">
        <f>IF(OR(J4784="Yes",I4784=0),"",H4784/I4784)</f>
        <v/>
      </c>
      <c r="N4784" s="21">
        <f>IF(J4784="Yes","",IF(H4784&gt;=I4784,1,0))</f>
        <v/>
      </c>
      <c r="O4784" s="21">
        <f>IF(I4784&lt;=5000000,"Under $5M",IF(I4784&lt;=20000000,"$5M-20M",IF(I4784&lt;=50000000,"$20M-50M",IF(I4784&lt;=100000000,"$50M-100M","$100M+"))))</f>
        <v/>
      </c>
      <c r="P4784" s="21">
        <f>IF(E4784&lt;=90,"90 or less",IF(E4784&lt;=105,"91-105",IF(E4784&lt;=120,"106-120",IF(E4784&lt;=140,"121-140","Over 140"))))</f>
        <v/>
      </c>
      <c r="Q4784" s="28">
        <f>INT(C4784/10)*10</f>
        <v/>
      </c>
    </row>
    <row r="4785">
      <c r="A4785" s="21" t="n">
        <v>4904</v>
      </c>
      <c r="B4785" s="21" t="inlineStr">
        <is>
          <t>The Huntsman: Winter's War</t>
        </is>
      </c>
      <c r="C4785" s="21" t="n">
        <v>2016</v>
      </c>
      <c r="D4785" s="21" t="inlineStr">
        <is>
          <t>USA</t>
        </is>
      </c>
      <c r="E4785" s="21" t="n">
        <v>120</v>
      </c>
      <c r="F4785" s="21" t="inlineStr">
        <is>
          <t>English</t>
        </is>
      </c>
      <c r="G4785" s="21" t="inlineStr">
        <is>
          <t>PG-13</t>
        </is>
      </c>
      <c r="H4785" s="22" t="n">
        <v>47952020</v>
      </c>
      <c r="I4785" s="22" t="n">
        <v>115000000</v>
      </c>
      <c r="J4785" s="21">
        <f>IF(OR(H4785="",H4785=25529689.5),"Yes","No")</f>
        <v/>
      </c>
      <c r="K4785" s="21">
        <f>IF(AND(D4785="USA",C4785&gt;=1980,J4785="No"),"Yes","No")</f>
        <v/>
      </c>
      <c r="L4785" s="26">
        <f>IF(J4785="Yes","",H4785-I4785)</f>
        <v/>
      </c>
      <c r="M4785" s="27">
        <f>IF(OR(J4785="Yes",I4785=0),"",H4785/I4785)</f>
        <v/>
      </c>
      <c r="N4785" s="21">
        <f>IF(J4785="Yes","",IF(H4785&gt;=I4785,1,0))</f>
        <v/>
      </c>
      <c r="O4785" s="21">
        <f>IF(I4785&lt;=5000000,"Under $5M",IF(I4785&lt;=20000000,"$5M-20M",IF(I4785&lt;=50000000,"$20M-50M",IF(I4785&lt;=100000000,"$50M-100M","$100M+"))))</f>
        <v/>
      </c>
      <c r="P4785" s="21">
        <f>IF(E4785&lt;=90,"90 or less",IF(E4785&lt;=105,"91-105",IF(E4785&lt;=120,"106-120",IF(E4785&lt;=140,"121-140","Over 140"))))</f>
        <v/>
      </c>
      <c r="Q4785" s="28">
        <f>INT(C4785/10)*10</f>
        <v/>
      </c>
    </row>
    <row r="4786">
      <c r="A4786" s="21" t="n">
        <v>4905</v>
      </c>
      <c r="B4786" s="21" t="inlineStr">
        <is>
          <t>The Infiltrator</t>
        </is>
      </c>
      <c r="C4786" s="21" t="n">
        <v>2016</v>
      </c>
      <c r="D4786" s="21" t="inlineStr">
        <is>
          <t>UK</t>
        </is>
      </c>
      <c r="E4786" s="21" t="n">
        <v>127</v>
      </c>
      <c r="F4786" s="21" t="inlineStr">
        <is>
          <t>English</t>
        </is>
      </c>
      <c r="G4786" s="21" t="inlineStr">
        <is>
          <t>R</t>
        </is>
      </c>
      <c r="H4786" s="22" t="n">
        <v>14946229</v>
      </c>
      <c r="I4786" s="22" t="n">
        <v>25000000</v>
      </c>
      <c r="J4786" s="21">
        <f>IF(OR(H4786="",H4786=25529689.5),"Yes","No")</f>
        <v/>
      </c>
      <c r="K4786" s="21">
        <f>IF(AND(D4786="USA",C4786&gt;=1980,J4786="No"),"Yes","No")</f>
        <v/>
      </c>
      <c r="L4786" s="26">
        <f>IF(J4786="Yes","",H4786-I4786)</f>
        <v/>
      </c>
      <c r="M4786" s="27">
        <f>IF(OR(J4786="Yes",I4786=0),"",H4786/I4786)</f>
        <v/>
      </c>
      <c r="N4786" s="21">
        <f>IF(J4786="Yes","",IF(H4786&gt;=I4786,1,0))</f>
        <v/>
      </c>
      <c r="O4786" s="21">
        <f>IF(I4786&lt;=5000000,"Under $5M",IF(I4786&lt;=20000000,"$5M-20M",IF(I4786&lt;=50000000,"$20M-50M",IF(I4786&lt;=100000000,"$50M-100M","$100M+"))))</f>
        <v/>
      </c>
      <c r="P4786" s="21">
        <f>IF(E4786&lt;=90,"90 or less",IF(E4786&lt;=105,"91-105",IF(E4786&lt;=120,"106-120",IF(E4786&lt;=140,"121-140","Over 140"))))</f>
        <v/>
      </c>
      <c r="Q4786" s="28">
        <f>INT(C4786/10)*10</f>
        <v/>
      </c>
    </row>
    <row r="4787">
      <c r="A4787" s="21" t="n">
        <v>4906</v>
      </c>
      <c r="B4787" s="21" t="inlineStr">
        <is>
          <t>The Jungle Book</t>
        </is>
      </c>
      <c r="C4787" s="21" t="n">
        <v>2016</v>
      </c>
      <c r="D4787" s="21" t="inlineStr">
        <is>
          <t>UK</t>
        </is>
      </c>
      <c r="E4787" s="21" t="n">
        <v>106</v>
      </c>
      <c r="F4787" s="21" t="inlineStr">
        <is>
          <t>English</t>
        </is>
      </c>
      <c r="G4787" s="21" t="inlineStr">
        <is>
          <t>PG</t>
        </is>
      </c>
      <c r="H4787" s="22" t="n">
        <v>362645141</v>
      </c>
      <c r="I4787" s="22" t="n">
        <v>175000000</v>
      </c>
      <c r="J4787" s="21">
        <f>IF(OR(H4787="",H4787=25529689.5),"Yes","No")</f>
        <v/>
      </c>
      <c r="K4787" s="21">
        <f>IF(AND(D4787="USA",C4787&gt;=1980,J4787="No"),"Yes","No")</f>
        <v/>
      </c>
      <c r="L4787" s="26">
        <f>IF(J4787="Yes","",H4787-I4787)</f>
        <v/>
      </c>
      <c r="M4787" s="27">
        <f>IF(OR(J4787="Yes",I4787=0),"",H4787/I4787)</f>
        <v/>
      </c>
      <c r="N4787" s="21">
        <f>IF(J4787="Yes","",IF(H4787&gt;=I4787,1,0))</f>
        <v/>
      </c>
      <c r="O4787" s="21">
        <f>IF(I4787&lt;=5000000,"Under $5M",IF(I4787&lt;=20000000,"$5M-20M",IF(I4787&lt;=50000000,"$20M-50M",IF(I4787&lt;=100000000,"$50M-100M","$100M+"))))</f>
        <v/>
      </c>
      <c r="P4787" s="21">
        <f>IF(E4787&lt;=90,"90 or less",IF(E4787&lt;=105,"91-105",IF(E4787&lt;=120,"106-120",IF(E4787&lt;=140,"121-140","Over 140"))))</f>
        <v/>
      </c>
      <c r="Q4787" s="28">
        <f>INT(C4787/10)*10</f>
        <v/>
      </c>
    </row>
    <row r="4788">
      <c r="A4788" s="21" t="n">
        <v>4908</v>
      </c>
      <c r="B4788" s="21" t="inlineStr">
        <is>
          <t>The Legend of Tarzan</t>
        </is>
      </c>
      <c r="C4788" s="21" t="n">
        <v>2016</v>
      </c>
      <c r="D4788" s="21" t="inlineStr">
        <is>
          <t>USA</t>
        </is>
      </c>
      <c r="E4788" s="21" t="n">
        <v>110</v>
      </c>
      <c r="F4788" s="21" t="inlineStr">
        <is>
          <t>English</t>
        </is>
      </c>
      <c r="G4788" s="21" t="inlineStr">
        <is>
          <t>PG-13</t>
        </is>
      </c>
      <c r="H4788" s="22" t="n">
        <v>124051759</v>
      </c>
      <c r="I4788" s="22" t="n">
        <v>180000000</v>
      </c>
      <c r="J4788" s="21">
        <f>IF(OR(H4788="",H4788=25529689.5),"Yes","No")</f>
        <v/>
      </c>
      <c r="K4788" s="21">
        <f>IF(AND(D4788="USA",C4788&gt;=1980,J4788="No"),"Yes","No")</f>
        <v/>
      </c>
      <c r="L4788" s="26">
        <f>IF(J4788="Yes","",H4788-I4788)</f>
        <v/>
      </c>
      <c r="M4788" s="27">
        <f>IF(OR(J4788="Yes",I4788=0),"",H4788/I4788)</f>
        <v/>
      </c>
      <c r="N4788" s="21">
        <f>IF(J4788="Yes","",IF(H4788&gt;=I4788,1,0))</f>
        <v/>
      </c>
      <c r="O4788" s="21">
        <f>IF(I4788&lt;=5000000,"Under $5M",IF(I4788&lt;=20000000,"$5M-20M",IF(I4788&lt;=50000000,"$20M-50M",IF(I4788&lt;=100000000,"$50M-100M","$100M+"))))</f>
        <v/>
      </c>
      <c r="P4788" s="21">
        <f>IF(E4788&lt;=90,"90 or less",IF(E4788&lt;=105,"91-105",IF(E4788&lt;=120,"106-120",IF(E4788&lt;=140,"121-140","Over 140"))))</f>
        <v/>
      </c>
      <c r="Q4788" s="28">
        <f>INT(C4788/10)*10</f>
        <v/>
      </c>
    </row>
    <row r="4789">
      <c r="A4789" s="21" t="n">
        <v>4910</v>
      </c>
      <c r="B4789" s="21" t="inlineStr">
        <is>
          <t>The Little Ponderosa Zoo</t>
        </is>
      </c>
      <c r="C4789" s="21" t="n">
        <v>2016</v>
      </c>
      <c r="D4789" s="21" t="inlineStr">
        <is>
          <t>USA</t>
        </is>
      </c>
      <c r="E4789" s="21" t="n">
        <v>84</v>
      </c>
      <c r="F4789" s="21" t="inlineStr">
        <is>
          <t>English</t>
        </is>
      </c>
      <c r="G4789" s="21" t="n"/>
      <c r="H4789" s="22" t="n">
        <v>25529689.5</v>
      </c>
      <c r="I4789" s="22" t="n">
        <v>500000</v>
      </c>
      <c r="J4789" s="21">
        <f>IF(OR(H4789="",H4789=25529689.5),"Yes","No")</f>
        <v/>
      </c>
      <c r="K4789" s="21">
        <f>IF(AND(D4789="USA",C4789&gt;=1980,J4789="No"),"Yes","No")</f>
        <v/>
      </c>
      <c r="L4789" s="26">
        <f>IF(J4789="Yes","",H4789-I4789)</f>
        <v/>
      </c>
      <c r="M4789" s="27">
        <f>IF(OR(J4789="Yes",I4789=0),"",H4789/I4789)</f>
        <v/>
      </c>
      <c r="N4789" s="21">
        <f>IF(J4789="Yes","",IF(H4789&gt;=I4789,1,0))</f>
        <v/>
      </c>
      <c r="O4789" s="21">
        <f>IF(I4789&lt;=5000000,"Under $5M",IF(I4789&lt;=20000000,"$5M-20M",IF(I4789&lt;=50000000,"$20M-50M",IF(I4789&lt;=100000000,"$50M-100M","$100M+"))))</f>
        <v/>
      </c>
      <c r="P4789" s="21">
        <f>IF(E4789&lt;=90,"90 or less",IF(E4789&lt;=105,"91-105",IF(E4789&lt;=120,"106-120",IF(E4789&lt;=140,"121-140","Over 140"))))</f>
        <v/>
      </c>
      <c r="Q4789" s="28">
        <f>INT(C4789/10)*10</f>
        <v/>
      </c>
    </row>
    <row r="4790">
      <c r="A4790" s="21" t="n">
        <v>4911</v>
      </c>
      <c r="B4790" s="21" t="inlineStr">
        <is>
          <t>The Masked Saint</t>
        </is>
      </c>
      <c r="C4790" s="21" t="n">
        <v>2016</v>
      </c>
      <c r="D4790" s="21" t="inlineStr">
        <is>
          <t>Canada</t>
        </is>
      </c>
      <c r="E4790" s="21" t="n">
        <v>105</v>
      </c>
      <c r="F4790" s="21" t="inlineStr">
        <is>
          <t>English</t>
        </is>
      </c>
      <c r="G4790" s="21" t="inlineStr">
        <is>
          <t>PG-13</t>
        </is>
      </c>
      <c r="H4790" s="22" t="n">
        <v>123777</v>
      </c>
      <c r="I4790" s="22" t="n">
        <v>3500000</v>
      </c>
      <c r="J4790" s="21">
        <f>IF(OR(H4790="",H4790=25529689.5),"Yes","No")</f>
        <v/>
      </c>
      <c r="K4790" s="21">
        <f>IF(AND(D4790="USA",C4790&gt;=1980,J4790="No"),"Yes","No")</f>
        <v/>
      </c>
      <c r="L4790" s="26">
        <f>IF(J4790="Yes","",H4790-I4790)</f>
        <v/>
      </c>
      <c r="M4790" s="27">
        <f>IF(OR(J4790="Yes",I4790=0),"",H4790/I4790)</f>
        <v/>
      </c>
      <c r="N4790" s="21">
        <f>IF(J4790="Yes","",IF(H4790&gt;=I4790,1,0))</f>
        <v/>
      </c>
      <c r="O4790" s="21">
        <f>IF(I4790&lt;=5000000,"Under $5M",IF(I4790&lt;=20000000,"$5M-20M",IF(I4790&lt;=50000000,"$20M-50M",IF(I4790&lt;=100000000,"$50M-100M","$100M+"))))</f>
        <v/>
      </c>
      <c r="P4790" s="21">
        <f>IF(E4790&lt;=90,"90 or less",IF(E4790&lt;=105,"91-105",IF(E4790&lt;=120,"106-120",IF(E4790&lt;=140,"121-140","Over 140"))))</f>
        <v/>
      </c>
      <c r="Q4790" s="28">
        <f>INT(C4790/10)*10</f>
        <v/>
      </c>
    </row>
    <row r="4791">
      <c r="A4791" s="21" t="n">
        <v>4912</v>
      </c>
      <c r="B4791" s="21" t="inlineStr">
        <is>
          <t>The Neon Demon</t>
        </is>
      </c>
      <c r="C4791" s="21" t="n">
        <v>2016</v>
      </c>
      <c r="D4791" s="21" t="inlineStr">
        <is>
          <t>France</t>
        </is>
      </c>
      <c r="E4791" s="21" t="n">
        <v>118</v>
      </c>
      <c r="F4791" s="21" t="inlineStr">
        <is>
          <t>English</t>
        </is>
      </c>
      <c r="G4791" s="21" t="inlineStr">
        <is>
          <t>R</t>
        </is>
      </c>
      <c r="H4791" s="22" t="n">
        <v>1330827</v>
      </c>
      <c r="I4791" s="22" t="n">
        <v>7000000</v>
      </c>
      <c r="J4791" s="21">
        <f>IF(OR(H4791="",H4791=25529689.5),"Yes","No")</f>
        <v/>
      </c>
      <c r="K4791" s="21">
        <f>IF(AND(D4791="USA",C4791&gt;=1980,J4791="No"),"Yes","No")</f>
        <v/>
      </c>
      <c r="L4791" s="26">
        <f>IF(J4791="Yes","",H4791-I4791)</f>
        <v/>
      </c>
      <c r="M4791" s="27">
        <f>IF(OR(J4791="Yes",I4791=0),"",H4791/I4791)</f>
        <v/>
      </c>
      <c r="N4791" s="21">
        <f>IF(J4791="Yes","",IF(H4791&gt;=I4791,1,0))</f>
        <v/>
      </c>
      <c r="O4791" s="21">
        <f>IF(I4791&lt;=5000000,"Under $5M",IF(I4791&lt;=20000000,"$5M-20M",IF(I4791&lt;=50000000,"$20M-50M",IF(I4791&lt;=100000000,"$50M-100M","$100M+"))))</f>
        <v/>
      </c>
      <c r="P4791" s="21">
        <f>IF(E4791&lt;=90,"90 or less",IF(E4791&lt;=105,"91-105",IF(E4791&lt;=120,"106-120",IF(E4791&lt;=140,"121-140","Over 140"))))</f>
        <v/>
      </c>
      <c r="Q4791" s="28">
        <f>INT(C4791/10)*10</f>
        <v/>
      </c>
    </row>
    <row r="4792">
      <c r="A4792" s="21" t="n">
        <v>4913</v>
      </c>
      <c r="B4792" s="21" t="inlineStr">
        <is>
          <t>The Perfect Match</t>
        </is>
      </c>
      <c r="C4792" s="21" t="n">
        <v>2016</v>
      </c>
      <c r="D4792" s="21" t="inlineStr">
        <is>
          <t>USA</t>
        </is>
      </c>
      <c r="E4792" s="21" t="n">
        <v>96</v>
      </c>
      <c r="F4792" s="21" t="inlineStr">
        <is>
          <t>English</t>
        </is>
      </c>
      <c r="G4792" s="21" t="inlineStr">
        <is>
          <t>R</t>
        </is>
      </c>
      <c r="H4792" s="22" t="n">
        <v>9658370</v>
      </c>
      <c r="I4792" s="22" t="n">
        <v>5000000</v>
      </c>
      <c r="J4792" s="21">
        <f>IF(OR(H4792="",H4792=25529689.5),"Yes","No")</f>
        <v/>
      </c>
      <c r="K4792" s="21">
        <f>IF(AND(D4792="USA",C4792&gt;=1980,J4792="No"),"Yes","No")</f>
        <v/>
      </c>
      <c r="L4792" s="26">
        <f>IF(J4792="Yes","",H4792-I4792)</f>
        <v/>
      </c>
      <c r="M4792" s="27">
        <f>IF(OR(J4792="Yes",I4792=0),"",H4792/I4792)</f>
        <v/>
      </c>
      <c r="N4792" s="21">
        <f>IF(J4792="Yes","",IF(H4792&gt;=I4792,1,0))</f>
        <v/>
      </c>
      <c r="O4792" s="21">
        <f>IF(I4792&lt;=5000000,"Under $5M",IF(I4792&lt;=20000000,"$5M-20M",IF(I4792&lt;=50000000,"$20M-50M",IF(I4792&lt;=100000000,"$50M-100M","$100M+"))))</f>
        <v/>
      </c>
      <c r="P4792" s="21">
        <f>IF(E4792&lt;=90,"90 or less",IF(E4792&lt;=105,"91-105",IF(E4792&lt;=120,"106-120",IF(E4792&lt;=140,"121-140","Over 140"))))</f>
        <v/>
      </c>
      <c r="Q4792" s="28">
        <f>INT(C4792/10)*10</f>
        <v/>
      </c>
    </row>
    <row r="4793">
      <c r="A4793" s="21" t="n">
        <v>4914</v>
      </c>
      <c r="B4793" s="21" t="inlineStr">
        <is>
          <t>The Purge: Election Year</t>
        </is>
      </c>
      <c r="C4793" s="21" t="n">
        <v>2016</v>
      </c>
      <c r="D4793" s="21" t="inlineStr">
        <is>
          <t>France</t>
        </is>
      </c>
      <c r="E4793" s="21" t="n">
        <v>109</v>
      </c>
      <c r="F4793" s="21" t="inlineStr">
        <is>
          <t>English</t>
        </is>
      </c>
      <c r="G4793" s="21" t="inlineStr">
        <is>
          <t>R</t>
        </is>
      </c>
      <c r="H4793" s="22" t="n">
        <v>78845130</v>
      </c>
      <c r="I4793" s="22" t="n">
        <v>10000000</v>
      </c>
      <c r="J4793" s="21">
        <f>IF(OR(H4793="",H4793=25529689.5),"Yes","No")</f>
        <v/>
      </c>
      <c r="K4793" s="21">
        <f>IF(AND(D4793="USA",C4793&gt;=1980,J4793="No"),"Yes","No")</f>
        <v/>
      </c>
      <c r="L4793" s="26">
        <f>IF(J4793="Yes","",H4793-I4793)</f>
        <v/>
      </c>
      <c r="M4793" s="27">
        <f>IF(OR(J4793="Yes",I4793=0),"",H4793/I4793)</f>
        <v/>
      </c>
      <c r="N4793" s="21">
        <f>IF(J4793="Yes","",IF(H4793&gt;=I4793,1,0))</f>
        <v/>
      </c>
      <c r="O4793" s="21">
        <f>IF(I4793&lt;=5000000,"Under $5M",IF(I4793&lt;=20000000,"$5M-20M",IF(I4793&lt;=50000000,"$20M-50M",IF(I4793&lt;=100000000,"$50M-100M","$100M+"))))</f>
        <v/>
      </c>
      <c r="P4793" s="21">
        <f>IF(E4793&lt;=90,"90 or less",IF(E4793&lt;=105,"91-105",IF(E4793&lt;=120,"106-120",IF(E4793&lt;=140,"121-140","Over 140"))))</f>
        <v/>
      </c>
      <c r="Q4793" s="28">
        <f>INT(C4793/10)*10</f>
        <v/>
      </c>
    </row>
    <row r="4794">
      <c r="A4794" s="21" t="n">
        <v>4915</v>
      </c>
      <c r="B4794" s="21" t="inlineStr">
        <is>
          <t>The Secret Life of Pets</t>
        </is>
      </c>
      <c r="C4794" s="21" t="n">
        <v>2016</v>
      </c>
      <c r="D4794" s="21" t="inlineStr">
        <is>
          <t>Japan</t>
        </is>
      </c>
      <c r="E4794" s="21" t="n">
        <v>87</v>
      </c>
      <c r="F4794" s="21" t="inlineStr">
        <is>
          <t>English</t>
        </is>
      </c>
      <c r="G4794" s="21" t="inlineStr">
        <is>
          <t>PG</t>
        </is>
      </c>
      <c r="H4794" s="22" t="n">
        <v>323505540</v>
      </c>
      <c r="I4794" s="22" t="n">
        <v>75000000</v>
      </c>
      <c r="J4794" s="21">
        <f>IF(OR(H4794="",H4794=25529689.5),"Yes","No")</f>
        <v/>
      </c>
      <c r="K4794" s="21">
        <f>IF(AND(D4794="USA",C4794&gt;=1980,J4794="No"),"Yes","No")</f>
        <v/>
      </c>
      <c r="L4794" s="26">
        <f>IF(J4794="Yes","",H4794-I4794)</f>
        <v/>
      </c>
      <c r="M4794" s="27">
        <f>IF(OR(J4794="Yes",I4794=0),"",H4794/I4794)</f>
        <v/>
      </c>
      <c r="N4794" s="21">
        <f>IF(J4794="Yes","",IF(H4794&gt;=I4794,1,0))</f>
        <v/>
      </c>
      <c r="O4794" s="21">
        <f>IF(I4794&lt;=5000000,"Under $5M",IF(I4794&lt;=20000000,"$5M-20M",IF(I4794&lt;=50000000,"$20M-50M",IF(I4794&lt;=100000000,"$50M-100M","$100M+"))))</f>
        <v/>
      </c>
      <c r="P4794" s="21">
        <f>IF(E4794&lt;=90,"90 or less",IF(E4794&lt;=105,"91-105",IF(E4794&lt;=120,"106-120",IF(E4794&lt;=140,"121-140","Over 140"))))</f>
        <v/>
      </c>
      <c r="Q4794" s="28">
        <f>INT(C4794/10)*10</f>
        <v/>
      </c>
    </row>
    <row r="4795">
      <c r="A4795" s="21" t="n">
        <v>4916</v>
      </c>
      <c r="B4795" s="21" t="inlineStr">
        <is>
          <t>The Shallows</t>
        </is>
      </c>
      <c r="C4795" s="21" t="n">
        <v>2016</v>
      </c>
      <c r="D4795" s="21" t="inlineStr">
        <is>
          <t>USA</t>
        </is>
      </c>
      <c r="E4795" s="21" t="n">
        <v>86</v>
      </c>
      <c r="F4795" s="21" t="inlineStr">
        <is>
          <t>English</t>
        </is>
      </c>
      <c r="G4795" s="21" t="inlineStr">
        <is>
          <t>PG-13</t>
        </is>
      </c>
      <c r="H4795" s="22" t="n">
        <v>54257433</v>
      </c>
      <c r="I4795" s="22" t="n">
        <v>17000000</v>
      </c>
      <c r="J4795" s="21">
        <f>IF(OR(H4795="",H4795=25529689.5),"Yes","No")</f>
        <v/>
      </c>
      <c r="K4795" s="21">
        <f>IF(AND(D4795="USA",C4795&gt;=1980,J4795="No"),"Yes","No")</f>
        <v/>
      </c>
      <c r="L4795" s="26">
        <f>IF(J4795="Yes","",H4795-I4795)</f>
        <v/>
      </c>
      <c r="M4795" s="27">
        <f>IF(OR(J4795="Yes",I4795=0),"",H4795/I4795)</f>
        <v/>
      </c>
      <c r="N4795" s="21">
        <f>IF(J4795="Yes","",IF(H4795&gt;=I4795,1,0))</f>
        <v/>
      </c>
      <c r="O4795" s="21">
        <f>IF(I4795&lt;=5000000,"Under $5M",IF(I4795&lt;=20000000,"$5M-20M",IF(I4795&lt;=50000000,"$20M-50M",IF(I4795&lt;=100000000,"$50M-100M","$100M+"))))</f>
        <v/>
      </c>
      <c r="P4795" s="21">
        <f>IF(E4795&lt;=90,"90 or less",IF(E4795&lt;=105,"91-105",IF(E4795&lt;=120,"106-120",IF(E4795&lt;=140,"121-140","Over 140"))))</f>
        <v/>
      </c>
      <c r="Q4795" s="28">
        <f>INT(C4795/10)*10</f>
        <v/>
      </c>
    </row>
    <row r="4796">
      <c r="A4796" s="21" t="n">
        <v>4917</v>
      </c>
      <c r="B4796" s="21" t="inlineStr">
        <is>
          <t>The Veil</t>
        </is>
      </c>
      <c r="C4796" s="21" t="n">
        <v>2016</v>
      </c>
      <c r="D4796" s="21" t="inlineStr">
        <is>
          <t>USA</t>
        </is>
      </c>
      <c r="E4796" s="21" t="n">
        <v>93</v>
      </c>
      <c r="F4796" s="21" t="inlineStr">
        <is>
          <t>English</t>
        </is>
      </c>
      <c r="G4796" s="21" t="inlineStr">
        <is>
          <t>R</t>
        </is>
      </c>
      <c r="H4796" s="22" t="n">
        <v>25529689.5</v>
      </c>
      <c r="I4796" s="22" t="n">
        <v>4000000</v>
      </c>
      <c r="J4796" s="21">
        <f>IF(OR(H4796="",H4796=25529689.5),"Yes","No")</f>
        <v/>
      </c>
      <c r="K4796" s="21">
        <f>IF(AND(D4796="USA",C4796&gt;=1980,J4796="No"),"Yes","No")</f>
        <v/>
      </c>
      <c r="L4796" s="26">
        <f>IF(J4796="Yes","",H4796-I4796)</f>
        <v/>
      </c>
      <c r="M4796" s="27">
        <f>IF(OR(J4796="Yes",I4796=0),"",H4796/I4796)</f>
        <v/>
      </c>
      <c r="N4796" s="21">
        <f>IF(J4796="Yes","",IF(H4796&gt;=I4796,1,0))</f>
        <v/>
      </c>
      <c r="O4796" s="21">
        <f>IF(I4796&lt;=5000000,"Under $5M",IF(I4796&lt;=20000000,"$5M-20M",IF(I4796&lt;=50000000,"$20M-50M",IF(I4796&lt;=100000000,"$50M-100M","$100M+"))))</f>
        <v/>
      </c>
      <c r="P4796" s="21">
        <f>IF(E4796&lt;=90,"90 or less",IF(E4796&lt;=105,"91-105",IF(E4796&lt;=120,"106-120",IF(E4796&lt;=140,"121-140","Over 140"))))</f>
        <v/>
      </c>
      <c r="Q4796" s="28">
        <f>INT(C4796/10)*10</f>
        <v/>
      </c>
    </row>
    <row r="4797">
      <c r="A4797" s="21" t="n">
        <v>4918</v>
      </c>
      <c r="B4797" s="21" t="inlineStr">
        <is>
          <t>The Wailing</t>
        </is>
      </c>
      <c r="C4797" s="21" t="n">
        <v>2016</v>
      </c>
      <c r="D4797" s="21" t="inlineStr">
        <is>
          <t>South Korea</t>
        </is>
      </c>
      <c r="E4797" s="21" t="n">
        <v>156</v>
      </c>
      <c r="F4797" s="21" t="inlineStr">
        <is>
          <t>Korean</t>
        </is>
      </c>
      <c r="G4797" s="21" t="inlineStr">
        <is>
          <t>Not Rated</t>
        </is>
      </c>
      <c r="H4797" s="22" t="n">
        <v>770629</v>
      </c>
      <c r="I4797" s="22" t="n">
        <v>20000000</v>
      </c>
      <c r="J4797" s="21">
        <f>IF(OR(H4797="",H4797=25529689.5),"Yes","No")</f>
        <v/>
      </c>
      <c r="K4797" s="21">
        <f>IF(AND(D4797="USA",C4797&gt;=1980,J4797="No"),"Yes","No")</f>
        <v/>
      </c>
      <c r="L4797" s="26">
        <f>IF(J4797="Yes","",H4797-I4797)</f>
        <v/>
      </c>
      <c r="M4797" s="27">
        <f>IF(OR(J4797="Yes",I4797=0),"",H4797/I4797)</f>
        <v/>
      </c>
      <c r="N4797" s="21">
        <f>IF(J4797="Yes","",IF(H4797&gt;=I4797,1,0))</f>
        <v/>
      </c>
      <c r="O4797" s="21">
        <f>IF(I4797&lt;=5000000,"Under $5M",IF(I4797&lt;=20000000,"$5M-20M",IF(I4797&lt;=50000000,"$20M-50M",IF(I4797&lt;=100000000,"$50M-100M","$100M+"))))</f>
        <v/>
      </c>
      <c r="P4797" s="21">
        <f>IF(E4797&lt;=90,"90 or less",IF(E4797&lt;=105,"91-105",IF(E4797&lt;=120,"106-120",IF(E4797&lt;=140,"121-140","Over 140"))))</f>
        <v/>
      </c>
      <c r="Q4797" s="28">
        <f>INT(C4797/10)*10</f>
        <v/>
      </c>
    </row>
    <row r="4798">
      <c r="A4798" s="21" t="n">
        <v>4919</v>
      </c>
      <c r="B4798" s="21" t="inlineStr">
        <is>
          <t>The Young Messiah</t>
        </is>
      </c>
      <c r="C4798" s="21" t="n">
        <v>2016</v>
      </c>
      <c r="D4798" s="21" t="inlineStr">
        <is>
          <t>USA</t>
        </is>
      </c>
      <c r="E4798" s="21" t="n">
        <v>111</v>
      </c>
      <c r="F4798" s="21" t="inlineStr">
        <is>
          <t>English</t>
        </is>
      </c>
      <c r="G4798" s="21" t="inlineStr">
        <is>
          <t>PG-13</t>
        </is>
      </c>
      <c r="H4798" s="22" t="n">
        <v>6462576</v>
      </c>
      <c r="I4798" s="22" t="n">
        <v>18500000</v>
      </c>
      <c r="J4798" s="21">
        <f>IF(OR(H4798="",H4798=25529689.5),"Yes","No")</f>
        <v/>
      </c>
      <c r="K4798" s="21">
        <f>IF(AND(D4798="USA",C4798&gt;=1980,J4798="No"),"Yes","No")</f>
        <v/>
      </c>
      <c r="L4798" s="26">
        <f>IF(J4798="Yes","",H4798-I4798)</f>
        <v/>
      </c>
      <c r="M4798" s="27">
        <f>IF(OR(J4798="Yes",I4798=0),"",H4798/I4798)</f>
        <v/>
      </c>
      <c r="N4798" s="21">
        <f>IF(J4798="Yes","",IF(H4798&gt;=I4798,1,0))</f>
        <v/>
      </c>
      <c r="O4798" s="21">
        <f>IF(I4798&lt;=5000000,"Under $5M",IF(I4798&lt;=20000000,"$5M-20M",IF(I4798&lt;=50000000,"$20M-50M",IF(I4798&lt;=100000000,"$50M-100M","$100M+"))))</f>
        <v/>
      </c>
      <c r="P4798" s="21">
        <f>IF(E4798&lt;=90,"90 or less",IF(E4798&lt;=105,"91-105",IF(E4798&lt;=120,"106-120",IF(E4798&lt;=140,"121-140","Over 140"))))</f>
        <v/>
      </c>
      <c r="Q4798" s="28">
        <f>INT(C4798/10)*10</f>
        <v/>
      </c>
    </row>
    <row r="4799">
      <c r="A4799" s="21" t="n">
        <v>4920</v>
      </c>
      <c r="B4799" s="21" t="inlineStr">
        <is>
          <t>Triple 9</t>
        </is>
      </c>
      <c r="C4799" s="21" t="n">
        <v>2016</v>
      </c>
      <c r="D4799" s="21" t="inlineStr">
        <is>
          <t>USA</t>
        </is>
      </c>
      <c r="E4799" s="21" t="n">
        <v>115</v>
      </c>
      <c r="F4799" s="21" t="inlineStr">
        <is>
          <t>English</t>
        </is>
      </c>
      <c r="G4799" s="21" t="inlineStr">
        <is>
          <t>R</t>
        </is>
      </c>
      <c r="H4799" s="22" t="n">
        <v>12626905</v>
      </c>
      <c r="I4799" s="22" t="n">
        <v>20000000</v>
      </c>
      <c r="J4799" s="21">
        <f>IF(OR(H4799="",H4799=25529689.5),"Yes","No")</f>
        <v/>
      </c>
      <c r="K4799" s="21">
        <f>IF(AND(D4799="USA",C4799&gt;=1980,J4799="No"),"Yes","No")</f>
        <v/>
      </c>
      <c r="L4799" s="26">
        <f>IF(J4799="Yes","",H4799-I4799)</f>
        <v/>
      </c>
      <c r="M4799" s="27">
        <f>IF(OR(J4799="Yes",I4799=0),"",H4799/I4799)</f>
        <v/>
      </c>
      <c r="N4799" s="21">
        <f>IF(J4799="Yes","",IF(H4799&gt;=I4799,1,0))</f>
        <v/>
      </c>
      <c r="O4799" s="21">
        <f>IF(I4799&lt;=5000000,"Under $5M",IF(I4799&lt;=20000000,"$5M-20M",IF(I4799&lt;=50000000,"$20M-50M",IF(I4799&lt;=100000000,"$50M-100M","$100M+"))))</f>
        <v/>
      </c>
      <c r="P4799" s="21">
        <f>IF(E4799&lt;=90,"90 or less",IF(E4799&lt;=105,"91-105",IF(E4799&lt;=120,"106-120",IF(E4799&lt;=140,"121-140","Over 140"))))</f>
        <v/>
      </c>
      <c r="Q4799" s="28">
        <f>INT(C4799/10)*10</f>
        <v/>
      </c>
    </row>
    <row r="4800">
      <c r="A4800" s="21" t="n">
        <v>4921</v>
      </c>
      <c r="B4800" s="21" t="inlineStr">
        <is>
          <t>Two Lovers and a Bear</t>
        </is>
      </c>
      <c r="C4800" s="21" t="n">
        <v>2016</v>
      </c>
      <c r="D4800" s="21" t="inlineStr">
        <is>
          <t>Canada</t>
        </is>
      </c>
      <c r="E4800" s="21" t="n">
        <v>96</v>
      </c>
      <c r="F4800" s="21" t="inlineStr">
        <is>
          <t>English</t>
        </is>
      </c>
      <c r="G4800" s="21" t="n"/>
      <c r="H4800" s="22" t="n">
        <v>25529689.5</v>
      </c>
      <c r="I4800" s="22" t="n">
        <v>8700000</v>
      </c>
      <c r="J4800" s="21">
        <f>IF(OR(H4800="",H4800=25529689.5),"Yes","No")</f>
        <v/>
      </c>
      <c r="K4800" s="21">
        <f>IF(AND(D4800="USA",C4800&gt;=1980,J4800="No"),"Yes","No")</f>
        <v/>
      </c>
      <c r="L4800" s="26">
        <f>IF(J4800="Yes","",H4800-I4800)</f>
        <v/>
      </c>
      <c r="M4800" s="27">
        <f>IF(OR(J4800="Yes",I4800=0),"",H4800/I4800)</f>
        <v/>
      </c>
      <c r="N4800" s="21">
        <f>IF(J4800="Yes","",IF(H4800&gt;=I4800,1,0))</f>
        <v/>
      </c>
      <c r="O4800" s="21">
        <f>IF(I4800&lt;=5000000,"Under $5M",IF(I4800&lt;=20000000,"$5M-20M",IF(I4800&lt;=50000000,"$20M-50M",IF(I4800&lt;=100000000,"$50M-100M","$100M+"))))</f>
        <v/>
      </c>
      <c r="P4800" s="21">
        <f>IF(E4800&lt;=90,"90 or less",IF(E4800&lt;=105,"91-105",IF(E4800&lt;=120,"106-120",IF(E4800&lt;=140,"121-140","Over 140"))))</f>
        <v/>
      </c>
      <c r="Q4800" s="28">
        <f>INT(C4800/10)*10</f>
        <v/>
      </c>
    </row>
    <row r="4801">
      <c r="A4801" s="21" t="n">
        <v>4922</v>
      </c>
      <c r="B4801" s="21" t="inlineStr">
        <is>
          <t>Warcraft</t>
        </is>
      </c>
      <c r="C4801" s="21" t="n">
        <v>2016</v>
      </c>
      <c r="D4801" s="21" t="inlineStr">
        <is>
          <t>USA</t>
        </is>
      </c>
      <c r="E4801" s="21" t="n">
        <v>123</v>
      </c>
      <c r="F4801" s="21" t="inlineStr">
        <is>
          <t>English</t>
        </is>
      </c>
      <c r="G4801" s="21" t="inlineStr">
        <is>
          <t>PG-13</t>
        </is>
      </c>
      <c r="H4801" s="22" t="n">
        <v>46978995</v>
      </c>
      <c r="I4801" s="22" t="n">
        <v>160000000</v>
      </c>
      <c r="J4801" s="21">
        <f>IF(OR(H4801="",H4801=25529689.5),"Yes","No")</f>
        <v/>
      </c>
      <c r="K4801" s="21">
        <f>IF(AND(D4801="USA",C4801&gt;=1980,J4801="No"),"Yes","No")</f>
        <v/>
      </c>
      <c r="L4801" s="26">
        <f>IF(J4801="Yes","",H4801-I4801)</f>
        <v/>
      </c>
      <c r="M4801" s="27">
        <f>IF(OR(J4801="Yes",I4801=0),"",H4801/I4801)</f>
        <v/>
      </c>
      <c r="N4801" s="21">
        <f>IF(J4801="Yes","",IF(H4801&gt;=I4801,1,0))</f>
        <v/>
      </c>
      <c r="O4801" s="21">
        <f>IF(I4801&lt;=5000000,"Under $5M",IF(I4801&lt;=20000000,"$5M-20M",IF(I4801&lt;=50000000,"$20M-50M",IF(I4801&lt;=100000000,"$50M-100M","$100M+"))))</f>
        <v/>
      </c>
      <c r="P4801" s="21">
        <f>IF(E4801&lt;=90,"90 or less",IF(E4801&lt;=105,"91-105",IF(E4801&lt;=120,"106-120",IF(E4801&lt;=140,"121-140","Over 140"))))</f>
        <v/>
      </c>
      <c r="Q4801" s="28">
        <f>INT(C4801/10)*10</f>
        <v/>
      </c>
    </row>
    <row r="4802">
      <c r="A4802" s="21" t="n">
        <v>4923</v>
      </c>
      <c r="B4802" s="21" t="inlineStr">
        <is>
          <t>X-Men: Apocalypse</t>
        </is>
      </c>
      <c r="C4802" s="21" t="n">
        <v>2016</v>
      </c>
      <c r="D4802" s="21" t="inlineStr">
        <is>
          <t>USA</t>
        </is>
      </c>
      <c r="E4802" s="21" t="n">
        <v>144</v>
      </c>
      <c r="F4802" s="21" t="inlineStr">
        <is>
          <t>English</t>
        </is>
      </c>
      <c r="G4802" s="21" t="inlineStr">
        <is>
          <t>PG-13</t>
        </is>
      </c>
      <c r="H4802" s="22" t="n">
        <v>154985087</v>
      </c>
      <c r="I4802" s="22" t="n">
        <v>178000000</v>
      </c>
      <c r="J4802" s="21">
        <f>IF(OR(H4802="",H4802=25529689.5),"Yes","No")</f>
        <v/>
      </c>
      <c r="K4802" s="21">
        <f>IF(AND(D4802="USA",C4802&gt;=1980,J4802="No"),"Yes","No")</f>
        <v/>
      </c>
      <c r="L4802" s="26">
        <f>IF(J4802="Yes","",H4802-I4802)</f>
        <v/>
      </c>
      <c r="M4802" s="27">
        <f>IF(OR(J4802="Yes",I4802=0),"",H4802/I4802)</f>
        <v/>
      </c>
      <c r="N4802" s="21">
        <f>IF(J4802="Yes","",IF(H4802&gt;=I4802,1,0))</f>
        <v/>
      </c>
      <c r="O4802" s="21">
        <f>IF(I4802&lt;=5000000,"Under $5M",IF(I4802&lt;=20000000,"$5M-20M",IF(I4802&lt;=50000000,"$20M-50M",IF(I4802&lt;=100000000,"$50M-100M","$100M+"))))</f>
        <v/>
      </c>
      <c r="P4802" s="21">
        <f>IF(E4802&lt;=90,"90 or less",IF(E4802&lt;=105,"91-105",IF(E4802&lt;=120,"106-120",IF(E4802&lt;=140,"121-140","Over 140"))))</f>
        <v/>
      </c>
      <c r="Q4802" s="28">
        <f>INT(C4802/10)*10</f>
        <v/>
      </c>
    </row>
    <row r="4803">
      <c r="A4803" s="21" t="n">
        <v>4924</v>
      </c>
      <c r="B4803" s="21" t="inlineStr">
        <is>
          <t>Xi you ji zhi: Sun Wukong san da Baigu Jing</t>
        </is>
      </c>
      <c r="C4803" s="21" t="n">
        <v>2016</v>
      </c>
      <c r="D4803" s="21" t="inlineStr">
        <is>
          <t>China</t>
        </is>
      </c>
      <c r="E4803" s="21" t="n">
        <v>119</v>
      </c>
      <c r="F4803" s="21" t="inlineStr">
        <is>
          <t>English</t>
        </is>
      </c>
      <c r="G4803" s="21" t="n"/>
      <c r="H4803" s="22" t="n">
        <v>25529689.5</v>
      </c>
      <c r="I4803" s="22" t="n">
        <v>68005000</v>
      </c>
      <c r="J4803" s="21">
        <f>IF(OR(H4803="",H4803=25529689.5),"Yes","No")</f>
        <v/>
      </c>
      <c r="K4803" s="21">
        <f>IF(AND(D4803="USA",C4803&gt;=1980,J4803="No"),"Yes","No")</f>
        <v/>
      </c>
      <c r="L4803" s="26">
        <f>IF(J4803="Yes","",H4803-I4803)</f>
        <v/>
      </c>
      <c r="M4803" s="27">
        <f>IF(OR(J4803="Yes",I4803=0),"",H4803/I4803)</f>
        <v/>
      </c>
      <c r="N4803" s="21">
        <f>IF(J4803="Yes","",IF(H4803&gt;=I4803,1,0))</f>
        <v/>
      </c>
      <c r="O4803" s="21">
        <f>IF(I4803&lt;=5000000,"Under $5M",IF(I4803&lt;=20000000,"$5M-20M",IF(I4803&lt;=50000000,"$20M-50M",IF(I4803&lt;=100000000,"$50M-100M","$100M+"))))</f>
        <v/>
      </c>
      <c r="P4803" s="21">
        <f>IF(E4803&lt;=90,"90 or less",IF(E4803&lt;=105,"91-105",IF(E4803&lt;=120,"106-120",IF(E4803&lt;=140,"121-140","Over 140"))))</f>
        <v/>
      </c>
      <c r="Q4803" s="28">
        <f>INT(C4803/10)*10</f>
        <v/>
      </c>
    </row>
    <row r="4804">
      <c r="A4804" s="21" t="n">
        <v>4925</v>
      </c>
      <c r="B4804" s="21" t="inlineStr">
        <is>
          <t>Yoga Hosers</t>
        </is>
      </c>
      <c r="C4804" s="21" t="n">
        <v>2016</v>
      </c>
      <c r="D4804" s="21" t="inlineStr">
        <is>
          <t>USA</t>
        </is>
      </c>
      <c r="E4804" s="21" t="n">
        <v>88</v>
      </c>
      <c r="F4804" s="21" t="inlineStr">
        <is>
          <t>English</t>
        </is>
      </c>
      <c r="G4804" s="21" t="inlineStr">
        <is>
          <t>PG-13</t>
        </is>
      </c>
      <c r="H4804" s="22" t="n">
        <v>25529689.5</v>
      </c>
      <c r="I4804" s="22" t="n">
        <v>5000000</v>
      </c>
      <c r="J4804" s="21">
        <f>IF(OR(H4804="",H4804=25529689.5),"Yes","No")</f>
        <v/>
      </c>
      <c r="K4804" s="21">
        <f>IF(AND(D4804="USA",C4804&gt;=1980,J4804="No"),"Yes","No")</f>
        <v/>
      </c>
      <c r="L4804" s="26">
        <f>IF(J4804="Yes","",H4804-I4804)</f>
        <v/>
      </c>
      <c r="M4804" s="27">
        <f>IF(OR(J4804="Yes",I4804=0),"",H4804/I4804)</f>
        <v/>
      </c>
      <c r="N4804" s="21">
        <f>IF(J4804="Yes","",IF(H4804&gt;=I4804,1,0))</f>
        <v/>
      </c>
      <c r="O4804" s="21">
        <f>IF(I4804&lt;=5000000,"Under $5M",IF(I4804&lt;=20000000,"$5M-20M",IF(I4804&lt;=50000000,"$20M-50M",IF(I4804&lt;=100000000,"$50M-100M","$100M+"))))</f>
        <v/>
      </c>
      <c r="P4804" s="21">
        <f>IF(E4804&lt;=90,"90 or less",IF(E4804&lt;=105,"91-105",IF(E4804&lt;=120,"106-120",IF(E4804&lt;=140,"121-140","Over 140"))))</f>
        <v/>
      </c>
      <c r="Q4804" s="28">
        <f>INT(C4804/10)*10</f>
        <v/>
      </c>
    </row>
    <row r="4805">
      <c r="A4805" s="21" t="n">
        <v>4926</v>
      </c>
      <c r="B4805" s="21" t="inlineStr">
        <is>
          <t>Zoolander 2</t>
        </is>
      </c>
      <c r="C4805" s="21" t="n">
        <v>2016</v>
      </c>
      <c r="D4805" s="21" t="inlineStr">
        <is>
          <t>USA</t>
        </is>
      </c>
      <c r="E4805" s="21" t="n">
        <v>102</v>
      </c>
      <c r="F4805" s="21" t="inlineStr">
        <is>
          <t>English</t>
        </is>
      </c>
      <c r="G4805" s="21" t="inlineStr">
        <is>
          <t>PG-13</t>
        </is>
      </c>
      <c r="H4805" s="22" t="n">
        <v>28837115</v>
      </c>
      <c r="I4805" s="22" t="n">
        <v>50000000</v>
      </c>
      <c r="J4805" s="21">
        <f>IF(OR(H4805="",H4805=25529689.5),"Yes","No")</f>
        <v/>
      </c>
      <c r="K4805" s="21">
        <f>IF(AND(D4805="USA",C4805&gt;=1980,J4805="No"),"Yes","No")</f>
        <v/>
      </c>
      <c r="L4805" s="26">
        <f>IF(J4805="Yes","",H4805-I4805)</f>
        <v/>
      </c>
      <c r="M4805" s="27">
        <f>IF(OR(J4805="Yes",I4805=0),"",H4805/I4805)</f>
        <v/>
      </c>
      <c r="N4805" s="21">
        <f>IF(J4805="Yes","",IF(H4805&gt;=I4805,1,0))</f>
        <v/>
      </c>
      <c r="O4805" s="21">
        <f>IF(I4805&lt;=5000000,"Under $5M",IF(I4805&lt;=20000000,"$5M-20M",IF(I4805&lt;=50000000,"$20M-50M",IF(I4805&lt;=100000000,"$50M-100M","$100M+"))))</f>
        <v/>
      </c>
      <c r="P4805" s="21">
        <f>IF(E4805&lt;=90,"90 or less",IF(E4805&lt;=105,"91-105",IF(E4805&lt;=120,"106-120",IF(E4805&lt;=140,"121-140","Over 140"))))</f>
        <v/>
      </c>
      <c r="Q4805" s="28">
        <f>INT(C4805/10)*10</f>
        <v/>
      </c>
    </row>
    <row r="4806">
      <c r="A4806" s="21" t="n">
        <v>4927</v>
      </c>
      <c r="B4806" s="21" t="inlineStr">
        <is>
          <t>10,000 B.C.</t>
        </is>
      </c>
      <c r="C4806" s="21" t="n">
        <v>2005</v>
      </c>
      <c r="D4806" s="21" t="n"/>
      <c r="E4806" s="21" t="n">
        <v>22</v>
      </c>
      <c r="F4806" s="21" t="n"/>
      <c r="G4806" s="21" t="n"/>
      <c r="H4806" s="22" t="n">
        <v>25529689.5</v>
      </c>
      <c r="I4806" s="22" t="n">
        <v>20000000</v>
      </c>
      <c r="J4806" s="21">
        <f>IF(OR(H4806="",H4806=25529689.5),"Yes","No")</f>
        <v/>
      </c>
      <c r="K4806" s="21">
        <f>IF(AND(D4806="USA",C4806&gt;=1980,J4806="No"),"Yes","No")</f>
        <v/>
      </c>
      <c r="L4806" s="26">
        <f>IF(J4806="Yes","",H4806-I4806)</f>
        <v/>
      </c>
      <c r="M4806" s="27">
        <f>IF(OR(J4806="Yes",I4806=0),"",H4806/I4806)</f>
        <v/>
      </c>
      <c r="N4806" s="21">
        <f>IF(J4806="Yes","",IF(H4806&gt;=I4806,1,0))</f>
        <v/>
      </c>
      <c r="O4806" s="21">
        <f>IF(I4806&lt;=5000000,"Under $5M",IF(I4806&lt;=20000000,"$5M-20M",IF(I4806&lt;=50000000,"$20M-50M",IF(I4806&lt;=100000000,"$50M-100M","$100M+"))))</f>
        <v/>
      </c>
      <c r="P4806" s="21">
        <f>IF(E4806&lt;=90,"90 or less",IF(E4806&lt;=105,"91-105",IF(E4806&lt;=120,"106-120",IF(E4806&lt;=140,"121-140","Over 140"))))</f>
        <v/>
      </c>
      <c r="Q4806" s="28">
        <f>INT(C4806/10)*10</f>
        <v/>
      </c>
    </row>
    <row r="4807">
      <c r="A4807" s="21" t="n">
        <v>4928</v>
      </c>
      <c r="B4807" s="21" t="inlineStr">
        <is>
          <t>A Touch of Frost</t>
        </is>
      </c>
      <c r="C4807" s="21" t="n">
        <v>2005</v>
      </c>
      <c r="D4807" s="21" t="inlineStr">
        <is>
          <t>UK</t>
        </is>
      </c>
      <c r="E4807" s="21" t="n">
        <v>105</v>
      </c>
      <c r="F4807" s="21" t="inlineStr">
        <is>
          <t>English</t>
        </is>
      </c>
      <c r="G4807" s="21" t="n"/>
      <c r="H4807" s="22" t="n">
        <v>25529689.5</v>
      </c>
      <c r="I4807" s="22" t="n">
        <v>20000000</v>
      </c>
      <c r="J4807" s="21">
        <f>IF(OR(H4807="",H4807=25529689.5),"Yes","No")</f>
        <v/>
      </c>
      <c r="K4807" s="21">
        <f>IF(AND(D4807="USA",C4807&gt;=1980,J4807="No"),"Yes","No")</f>
        <v/>
      </c>
      <c r="L4807" s="26">
        <f>IF(J4807="Yes","",H4807-I4807)</f>
        <v/>
      </c>
      <c r="M4807" s="27">
        <f>IF(OR(J4807="Yes",I4807=0),"",H4807/I4807)</f>
        <v/>
      </c>
      <c r="N4807" s="21">
        <f>IF(J4807="Yes","",IF(H4807&gt;=I4807,1,0))</f>
        <v/>
      </c>
      <c r="O4807" s="21">
        <f>IF(I4807&lt;=5000000,"Under $5M",IF(I4807&lt;=20000000,"$5M-20M",IF(I4807&lt;=50000000,"$20M-50M",IF(I4807&lt;=100000000,"$50M-100M","$100M+"))))</f>
        <v/>
      </c>
      <c r="P4807" s="21">
        <f>IF(E4807&lt;=90,"90 or less",IF(E4807&lt;=105,"91-105",IF(E4807&lt;=120,"106-120",IF(E4807&lt;=140,"121-140","Over 140"))))</f>
        <v/>
      </c>
      <c r="Q4807" s="28">
        <f>INT(C4807/10)*10</f>
        <v/>
      </c>
    </row>
    <row r="4808">
      <c r="A4808" s="21" t="n">
        <v>4929</v>
      </c>
      <c r="B4808" s="21" t="inlineStr">
        <is>
          <t>Anger Management</t>
        </is>
      </c>
      <c r="C4808" s="21" t="n">
        <v>2005</v>
      </c>
      <c r="D4808" s="21" t="inlineStr">
        <is>
          <t>USA</t>
        </is>
      </c>
      <c r="E4808" s="21" t="n">
        <v>22</v>
      </c>
      <c r="F4808" s="21" t="inlineStr">
        <is>
          <t>English</t>
        </is>
      </c>
      <c r="G4808" s="21" t="n"/>
      <c r="H4808" s="22" t="n">
        <v>25529689.5</v>
      </c>
      <c r="I4808" s="22" t="n">
        <v>20000000</v>
      </c>
      <c r="J4808" s="21">
        <f>IF(OR(H4808="",H4808=25529689.5),"Yes","No")</f>
        <v/>
      </c>
      <c r="K4808" s="21">
        <f>IF(AND(D4808="USA",C4808&gt;=1980,J4808="No"),"Yes","No")</f>
        <v/>
      </c>
      <c r="L4808" s="26">
        <f>IF(J4808="Yes","",H4808-I4808)</f>
        <v/>
      </c>
      <c r="M4808" s="27">
        <f>IF(OR(J4808="Yes",I4808=0),"",H4808/I4808)</f>
        <v/>
      </c>
      <c r="N4808" s="21">
        <f>IF(J4808="Yes","",IF(H4808&gt;=I4808,1,0))</f>
        <v/>
      </c>
      <c r="O4808" s="21">
        <f>IF(I4808&lt;=5000000,"Under $5M",IF(I4808&lt;=20000000,"$5M-20M",IF(I4808&lt;=50000000,"$20M-50M",IF(I4808&lt;=100000000,"$50M-100M","$100M+"))))</f>
        <v/>
      </c>
      <c r="P4808" s="21">
        <f>IF(E4808&lt;=90,"90 or less",IF(E4808&lt;=105,"91-105",IF(E4808&lt;=120,"106-120",IF(E4808&lt;=140,"121-140","Over 140"))))</f>
        <v/>
      </c>
      <c r="Q4808" s="28">
        <f>INT(C4808/10)*10</f>
        <v/>
      </c>
    </row>
    <row r="4809">
      <c r="A4809" s="21" t="n">
        <v>4930</v>
      </c>
      <c r="B4809" s="21" t="inlineStr">
        <is>
          <t>Animal Kingdom</t>
        </is>
      </c>
      <c r="C4809" s="21" t="n">
        <v>2005</v>
      </c>
      <c r="D4809" s="21" t="inlineStr">
        <is>
          <t>USA</t>
        </is>
      </c>
      <c r="E4809" s="21" t="n">
        <v>60</v>
      </c>
      <c r="F4809" s="21" t="inlineStr">
        <is>
          <t>English</t>
        </is>
      </c>
      <c r="G4809" s="21" t="n"/>
      <c r="H4809" s="22" t="n">
        <v>25529689.5</v>
      </c>
      <c r="I4809" s="22" t="n">
        <v>20000000</v>
      </c>
      <c r="J4809" s="21">
        <f>IF(OR(H4809="",H4809=25529689.5),"Yes","No")</f>
        <v/>
      </c>
      <c r="K4809" s="21">
        <f>IF(AND(D4809="USA",C4809&gt;=1980,J4809="No"),"Yes","No")</f>
        <v/>
      </c>
      <c r="L4809" s="26">
        <f>IF(J4809="Yes","",H4809-I4809)</f>
        <v/>
      </c>
      <c r="M4809" s="27">
        <f>IF(OR(J4809="Yes",I4809=0),"",H4809/I4809)</f>
        <v/>
      </c>
      <c r="N4809" s="21">
        <f>IF(J4809="Yes","",IF(H4809&gt;=I4809,1,0))</f>
        <v/>
      </c>
      <c r="O4809" s="21">
        <f>IF(I4809&lt;=5000000,"Under $5M",IF(I4809&lt;=20000000,"$5M-20M",IF(I4809&lt;=50000000,"$20M-50M",IF(I4809&lt;=100000000,"$50M-100M","$100M+"))))</f>
        <v/>
      </c>
      <c r="P4809" s="21">
        <f>IF(E4809&lt;=90,"90 or less",IF(E4809&lt;=105,"91-105",IF(E4809&lt;=120,"106-120",IF(E4809&lt;=140,"121-140","Over 140"))))</f>
        <v/>
      </c>
      <c r="Q4809" s="28">
        <f>INT(C4809/10)*10</f>
        <v/>
      </c>
    </row>
    <row r="4810">
      <c r="A4810" s="21" t="n">
        <v>4931</v>
      </c>
      <c r="B4810" s="21" t="inlineStr">
        <is>
          <t>BrainDead</t>
        </is>
      </c>
      <c r="C4810" s="21" t="n">
        <v>2005</v>
      </c>
      <c r="D4810" s="21" t="inlineStr">
        <is>
          <t>USA</t>
        </is>
      </c>
      <c r="E4810" s="21" t="n">
        <v>44</v>
      </c>
      <c r="F4810" s="21" t="inlineStr">
        <is>
          <t>English</t>
        </is>
      </c>
      <c r="G4810" s="21" t="n"/>
      <c r="H4810" s="22" t="n">
        <v>25529689.5</v>
      </c>
      <c r="I4810" s="22" t="n">
        <v>20000000</v>
      </c>
      <c r="J4810" s="21">
        <f>IF(OR(H4810="",H4810=25529689.5),"Yes","No")</f>
        <v/>
      </c>
      <c r="K4810" s="21">
        <f>IF(AND(D4810="USA",C4810&gt;=1980,J4810="No"),"Yes","No")</f>
        <v/>
      </c>
      <c r="L4810" s="26">
        <f>IF(J4810="Yes","",H4810-I4810)</f>
        <v/>
      </c>
      <c r="M4810" s="27">
        <f>IF(OR(J4810="Yes",I4810=0),"",H4810/I4810)</f>
        <v/>
      </c>
      <c r="N4810" s="21">
        <f>IF(J4810="Yes","",IF(H4810&gt;=I4810,1,0))</f>
        <v/>
      </c>
      <c r="O4810" s="21">
        <f>IF(I4810&lt;=5000000,"Under $5M",IF(I4810&lt;=20000000,"$5M-20M",IF(I4810&lt;=50000000,"$20M-50M",IF(I4810&lt;=100000000,"$50M-100M","$100M+"))))</f>
        <v/>
      </c>
      <c r="P4810" s="21">
        <f>IF(E4810&lt;=90,"90 or less",IF(E4810&lt;=105,"91-105",IF(E4810&lt;=120,"106-120",IF(E4810&lt;=140,"121-140","Over 140"))))</f>
        <v/>
      </c>
      <c r="Q4810" s="28">
        <f>INT(C4810/10)*10</f>
        <v/>
      </c>
    </row>
    <row r="4811">
      <c r="A4811" s="21" t="n">
        <v>4932</v>
      </c>
      <c r="B4811" s="21" t="inlineStr">
        <is>
          <t>Carlos</t>
        </is>
      </c>
      <c r="C4811" s="21" t="n">
        <v>2005</v>
      </c>
      <c r="D4811" s="21" t="inlineStr">
        <is>
          <t>France</t>
        </is>
      </c>
      <c r="E4811" s="21" t="n">
        <v>334</v>
      </c>
      <c r="F4811" s="21" t="inlineStr">
        <is>
          <t>English</t>
        </is>
      </c>
      <c r="G4811" s="21" t="inlineStr">
        <is>
          <t>Not Rated</t>
        </is>
      </c>
      <c r="H4811" s="22" t="n">
        <v>145118</v>
      </c>
      <c r="I4811" s="22" t="n">
        <v>20000000</v>
      </c>
      <c r="J4811" s="21">
        <f>IF(OR(H4811="",H4811=25529689.5),"Yes","No")</f>
        <v/>
      </c>
      <c r="K4811" s="21">
        <f>IF(AND(D4811="USA",C4811&gt;=1980,J4811="No"),"Yes","No")</f>
        <v/>
      </c>
      <c r="L4811" s="26">
        <f>IF(J4811="Yes","",H4811-I4811)</f>
        <v/>
      </c>
      <c r="M4811" s="27">
        <f>IF(OR(J4811="Yes",I4811=0),"",H4811/I4811)</f>
        <v/>
      </c>
      <c r="N4811" s="21">
        <f>IF(J4811="Yes","",IF(H4811&gt;=I4811,1,0))</f>
        <v/>
      </c>
      <c r="O4811" s="21">
        <f>IF(I4811&lt;=5000000,"Under $5M",IF(I4811&lt;=20000000,"$5M-20M",IF(I4811&lt;=50000000,"$20M-50M",IF(I4811&lt;=100000000,"$50M-100M","$100M+"))))</f>
        <v/>
      </c>
      <c r="P4811" s="21">
        <f>IF(E4811&lt;=90,"90 or less",IF(E4811&lt;=105,"91-105",IF(E4811&lt;=120,"106-120",IF(E4811&lt;=140,"121-140","Over 140"))))</f>
        <v/>
      </c>
      <c r="Q4811" s="28">
        <f>INT(C4811/10)*10</f>
        <v/>
      </c>
    </row>
    <row r="4812">
      <c r="A4812" s="21" t="n">
        <v>4933</v>
      </c>
      <c r="B4812" s="21" t="inlineStr">
        <is>
          <t>Creature</t>
        </is>
      </c>
      <c r="C4812" s="21" t="n">
        <v>2005</v>
      </c>
      <c r="D4812" s="21" t="inlineStr">
        <is>
          <t>USA</t>
        </is>
      </c>
      <c r="E4812" s="21" t="n">
        <v>173</v>
      </c>
      <c r="F4812" s="21" t="inlineStr">
        <is>
          <t>English</t>
        </is>
      </c>
      <c r="G4812" s="21" t="n"/>
      <c r="H4812" s="22" t="n">
        <v>25529689.5</v>
      </c>
      <c r="I4812" s="22" t="n">
        <v>20000000</v>
      </c>
      <c r="J4812" s="21">
        <f>IF(OR(H4812="",H4812=25529689.5),"Yes","No")</f>
        <v/>
      </c>
      <c r="K4812" s="21">
        <f>IF(AND(D4812="USA",C4812&gt;=1980,J4812="No"),"Yes","No")</f>
        <v/>
      </c>
      <c r="L4812" s="26">
        <f>IF(J4812="Yes","",H4812-I4812)</f>
        <v/>
      </c>
      <c r="M4812" s="27">
        <f>IF(OR(J4812="Yes",I4812=0),"",H4812/I4812)</f>
        <v/>
      </c>
      <c r="N4812" s="21">
        <f>IF(J4812="Yes","",IF(H4812&gt;=I4812,1,0))</f>
        <v/>
      </c>
      <c r="O4812" s="21">
        <f>IF(I4812&lt;=5000000,"Under $5M",IF(I4812&lt;=20000000,"$5M-20M",IF(I4812&lt;=50000000,"$20M-50M",IF(I4812&lt;=100000000,"$50M-100M","$100M+"))))</f>
        <v/>
      </c>
      <c r="P4812" s="21">
        <f>IF(E4812&lt;=90,"90 or less",IF(E4812&lt;=105,"91-105",IF(E4812&lt;=120,"106-120",IF(E4812&lt;=140,"121-140","Over 140"))))</f>
        <v/>
      </c>
      <c r="Q4812" s="28">
        <f>INT(C4812/10)*10</f>
        <v/>
      </c>
    </row>
    <row r="4813">
      <c r="A4813" s="21" t="n">
        <v>4934</v>
      </c>
      <c r="B4813" s="21" t="inlineStr">
        <is>
          <t>Deadline Gallipoli</t>
        </is>
      </c>
      <c r="C4813" s="21" t="n">
        <v>2005</v>
      </c>
      <c r="D4813" s="21" t="inlineStr">
        <is>
          <t>Australia</t>
        </is>
      </c>
      <c r="E4813" s="21" t="n">
        <v>197</v>
      </c>
      <c r="F4813" s="21" t="inlineStr">
        <is>
          <t>English</t>
        </is>
      </c>
      <c r="G4813" s="21" t="n"/>
      <c r="H4813" s="22" t="n">
        <v>25529689.5</v>
      </c>
      <c r="I4813" s="22" t="n">
        <v>15000000</v>
      </c>
      <c r="J4813" s="21">
        <f>IF(OR(H4813="",H4813=25529689.5),"Yes","No")</f>
        <v/>
      </c>
      <c r="K4813" s="21">
        <f>IF(AND(D4813="USA",C4813&gt;=1980,J4813="No"),"Yes","No")</f>
        <v/>
      </c>
      <c r="L4813" s="26">
        <f>IF(J4813="Yes","",H4813-I4813)</f>
        <v/>
      </c>
      <c r="M4813" s="27">
        <f>IF(OR(J4813="Yes",I4813=0),"",H4813/I4813)</f>
        <v/>
      </c>
      <c r="N4813" s="21">
        <f>IF(J4813="Yes","",IF(H4813&gt;=I4813,1,0))</f>
        <v/>
      </c>
      <c r="O4813" s="21">
        <f>IF(I4813&lt;=5000000,"Under $5M",IF(I4813&lt;=20000000,"$5M-20M",IF(I4813&lt;=50000000,"$20M-50M",IF(I4813&lt;=100000000,"$50M-100M","$100M+"))))</f>
        <v/>
      </c>
      <c r="P4813" s="21">
        <f>IF(E4813&lt;=90,"90 or less",IF(E4813&lt;=105,"91-105",IF(E4813&lt;=120,"106-120",IF(E4813&lt;=140,"121-140","Over 140"))))</f>
        <v/>
      </c>
      <c r="Q4813" s="28">
        <f>INT(C4813/10)*10</f>
        <v/>
      </c>
    </row>
    <row r="4814">
      <c r="A4814" s="21" t="n">
        <v>4935</v>
      </c>
      <c r="B4814" s="21" t="inlineStr">
        <is>
          <t>Del 1 - MÃ¤n som hatar kvinnor</t>
        </is>
      </c>
      <c r="C4814" s="21" t="n">
        <v>2005</v>
      </c>
      <c r="D4814" s="21" t="inlineStr">
        <is>
          <t>Sweden</t>
        </is>
      </c>
      <c r="E4814" s="21" t="n">
        <v>88</v>
      </c>
      <c r="F4814" s="21" t="inlineStr">
        <is>
          <t>Swedish</t>
        </is>
      </c>
      <c r="G4814" s="21" t="n"/>
      <c r="H4814" s="22" t="n">
        <v>25529689.5</v>
      </c>
      <c r="I4814" s="22" t="n">
        <v>20000000</v>
      </c>
      <c r="J4814" s="21">
        <f>IF(OR(H4814="",H4814=25529689.5),"Yes","No")</f>
        <v/>
      </c>
      <c r="K4814" s="21">
        <f>IF(AND(D4814="USA",C4814&gt;=1980,J4814="No"),"Yes","No")</f>
        <v/>
      </c>
      <c r="L4814" s="26">
        <f>IF(J4814="Yes","",H4814-I4814)</f>
        <v/>
      </c>
      <c r="M4814" s="27">
        <f>IF(OR(J4814="Yes",I4814=0),"",H4814/I4814)</f>
        <v/>
      </c>
      <c r="N4814" s="21">
        <f>IF(J4814="Yes","",IF(H4814&gt;=I4814,1,0))</f>
        <v/>
      </c>
      <c r="O4814" s="21">
        <f>IF(I4814&lt;=5000000,"Under $5M",IF(I4814&lt;=20000000,"$5M-20M",IF(I4814&lt;=50000000,"$20M-50M",IF(I4814&lt;=100000000,"$50M-100M","$100M+"))))</f>
        <v/>
      </c>
      <c r="P4814" s="21">
        <f>IF(E4814&lt;=90,"90 or less",IF(E4814&lt;=105,"91-105",IF(E4814&lt;=120,"106-120",IF(E4814&lt;=140,"121-140","Over 140"))))</f>
        <v/>
      </c>
      <c r="Q4814" s="28">
        <f>INT(C4814/10)*10</f>
        <v/>
      </c>
    </row>
    <row r="4815">
      <c r="A4815" s="21" t="n">
        <v>4936</v>
      </c>
      <c r="B4815" s="21" t="inlineStr">
        <is>
          <t>Emma</t>
        </is>
      </c>
      <c r="C4815" s="21" t="n">
        <v>2005</v>
      </c>
      <c r="D4815" s="21" t="inlineStr">
        <is>
          <t>UK</t>
        </is>
      </c>
      <c r="E4815" s="21" t="n">
        <v>240</v>
      </c>
      <c r="F4815" s="21" t="inlineStr">
        <is>
          <t>English</t>
        </is>
      </c>
      <c r="G4815" s="21" t="n"/>
      <c r="H4815" s="22" t="n">
        <v>25529689.5</v>
      </c>
      <c r="I4815" s="22" t="n">
        <v>20000000</v>
      </c>
      <c r="J4815" s="21">
        <f>IF(OR(H4815="",H4815=25529689.5),"Yes","No")</f>
        <v/>
      </c>
      <c r="K4815" s="21">
        <f>IF(AND(D4815="USA",C4815&gt;=1980,J4815="No"),"Yes","No")</f>
        <v/>
      </c>
      <c r="L4815" s="26">
        <f>IF(J4815="Yes","",H4815-I4815)</f>
        <v/>
      </c>
      <c r="M4815" s="27">
        <f>IF(OR(J4815="Yes",I4815=0),"",H4815/I4815)</f>
        <v/>
      </c>
      <c r="N4815" s="21">
        <f>IF(J4815="Yes","",IF(H4815&gt;=I4815,1,0))</f>
        <v/>
      </c>
      <c r="O4815" s="21">
        <f>IF(I4815&lt;=5000000,"Under $5M",IF(I4815&lt;=20000000,"$5M-20M",IF(I4815&lt;=50000000,"$20M-50M",IF(I4815&lt;=100000000,"$50M-100M","$100M+"))))</f>
        <v/>
      </c>
      <c r="P4815" s="21">
        <f>IF(E4815&lt;=90,"90 or less",IF(E4815&lt;=105,"91-105",IF(E4815&lt;=120,"106-120",IF(E4815&lt;=140,"121-140","Over 140"))))</f>
        <v/>
      </c>
      <c r="Q4815" s="28">
        <f>INT(C4815/10)*10</f>
        <v/>
      </c>
    </row>
    <row r="4816">
      <c r="A4816" s="21" t="n">
        <v>4937</v>
      </c>
      <c r="B4816" s="21" t="inlineStr">
        <is>
          <t>Fired Up</t>
        </is>
      </c>
      <c r="C4816" s="21" t="n">
        <v>2005</v>
      </c>
      <c r="D4816" s="21" t="inlineStr">
        <is>
          <t>USA</t>
        </is>
      </c>
      <c r="E4816" s="21" t="n">
        <v>30</v>
      </c>
      <c r="F4816" s="21" t="inlineStr">
        <is>
          <t>English</t>
        </is>
      </c>
      <c r="G4816" s="21" t="n"/>
      <c r="H4816" s="22" t="n">
        <v>25529689.5</v>
      </c>
      <c r="I4816" s="22" t="n">
        <v>20000000</v>
      </c>
      <c r="J4816" s="21">
        <f>IF(OR(H4816="",H4816=25529689.5),"Yes","No")</f>
        <v/>
      </c>
      <c r="K4816" s="21">
        <f>IF(AND(D4816="USA",C4816&gt;=1980,J4816="No"),"Yes","No")</f>
        <v/>
      </c>
      <c r="L4816" s="26">
        <f>IF(J4816="Yes","",H4816-I4816)</f>
        <v/>
      </c>
      <c r="M4816" s="27">
        <f>IF(OR(J4816="Yes",I4816=0),"",H4816/I4816)</f>
        <v/>
      </c>
      <c r="N4816" s="21">
        <f>IF(J4816="Yes","",IF(H4816&gt;=I4816,1,0))</f>
        <v/>
      </c>
      <c r="O4816" s="21">
        <f>IF(I4816&lt;=5000000,"Under $5M",IF(I4816&lt;=20000000,"$5M-20M",IF(I4816&lt;=50000000,"$20M-50M",IF(I4816&lt;=100000000,"$50M-100M","$100M+"))))</f>
        <v/>
      </c>
      <c r="P4816" s="21">
        <f>IF(E4816&lt;=90,"90 or less",IF(E4816&lt;=105,"91-105",IF(E4816&lt;=120,"106-120",IF(E4816&lt;=140,"121-140","Over 140"))))</f>
        <v/>
      </c>
      <c r="Q4816" s="28">
        <f>INT(C4816/10)*10</f>
        <v/>
      </c>
    </row>
    <row r="4817">
      <c r="A4817" s="21" t="n">
        <v>4938</v>
      </c>
      <c r="B4817" s="21" t="inlineStr">
        <is>
          <t>Get Real</t>
        </is>
      </c>
      <c r="C4817" s="21" t="n">
        <v>2005</v>
      </c>
      <c r="D4817" s="21" t="inlineStr">
        <is>
          <t>USA</t>
        </is>
      </c>
      <c r="E4817" s="21" t="n">
        <v>60</v>
      </c>
      <c r="F4817" s="21" t="inlineStr">
        <is>
          <t>English</t>
        </is>
      </c>
      <c r="G4817" s="21" t="n"/>
      <c r="H4817" s="22" t="n">
        <v>25529689.5</v>
      </c>
      <c r="I4817" s="22" t="n">
        <v>20000000</v>
      </c>
      <c r="J4817" s="21">
        <f>IF(OR(H4817="",H4817=25529689.5),"Yes","No")</f>
        <v/>
      </c>
      <c r="K4817" s="21">
        <f>IF(AND(D4817="USA",C4817&gt;=1980,J4817="No"),"Yes","No")</f>
        <v/>
      </c>
      <c r="L4817" s="26">
        <f>IF(J4817="Yes","",H4817-I4817)</f>
        <v/>
      </c>
      <c r="M4817" s="27">
        <f>IF(OR(J4817="Yes",I4817=0),"",H4817/I4817)</f>
        <v/>
      </c>
      <c r="N4817" s="21">
        <f>IF(J4817="Yes","",IF(H4817&gt;=I4817,1,0))</f>
        <v/>
      </c>
      <c r="O4817" s="21">
        <f>IF(I4817&lt;=5000000,"Under $5M",IF(I4817&lt;=20000000,"$5M-20M",IF(I4817&lt;=50000000,"$20M-50M",IF(I4817&lt;=100000000,"$50M-100M","$100M+"))))</f>
        <v/>
      </c>
      <c r="P4817" s="21">
        <f>IF(E4817&lt;=90,"90 or less",IF(E4817&lt;=105,"91-105",IF(E4817&lt;=120,"106-120",IF(E4817&lt;=140,"121-140","Over 140"))))</f>
        <v/>
      </c>
      <c r="Q4817" s="28">
        <f>INT(C4817/10)*10</f>
        <v/>
      </c>
    </row>
    <row r="4818">
      <c r="A4818" s="21" t="n">
        <v>4939</v>
      </c>
      <c r="B4818" s="21" t="inlineStr">
        <is>
          <t>Ghost Hunters</t>
        </is>
      </c>
      <c r="C4818" s="21" t="n">
        <v>2005</v>
      </c>
      <c r="D4818" s="21" t="inlineStr">
        <is>
          <t>USA</t>
        </is>
      </c>
      <c r="E4818" s="21" t="n">
        <v>60</v>
      </c>
      <c r="F4818" s="21" t="inlineStr">
        <is>
          <t>English</t>
        </is>
      </c>
      <c r="G4818" s="21" t="n"/>
      <c r="H4818" s="22" t="n">
        <v>25529689.5</v>
      </c>
      <c r="I4818" s="22" t="n">
        <v>20000000</v>
      </c>
      <c r="J4818" s="21">
        <f>IF(OR(H4818="",H4818=25529689.5),"Yes","No")</f>
        <v/>
      </c>
      <c r="K4818" s="21">
        <f>IF(AND(D4818="USA",C4818&gt;=1980,J4818="No"),"Yes","No")</f>
        <v/>
      </c>
      <c r="L4818" s="26">
        <f>IF(J4818="Yes","",H4818-I4818)</f>
        <v/>
      </c>
      <c r="M4818" s="27">
        <f>IF(OR(J4818="Yes",I4818=0),"",H4818/I4818)</f>
        <v/>
      </c>
      <c r="N4818" s="21">
        <f>IF(J4818="Yes","",IF(H4818&gt;=I4818,1,0))</f>
        <v/>
      </c>
      <c r="O4818" s="21">
        <f>IF(I4818&lt;=5000000,"Under $5M",IF(I4818&lt;=20000000,"$5M-20M",IF(I4818&lt;=50000000,"$20M-50M",IF(I4818&lt;=100000000,"$50M-100M","$100M+"))))</f>
        <v/>
      </c>
      <c r="P4818" s="21">
        <f>IF(E4818&lt;=90,"90 or less",IF(E4818&lt;=105,"91-105",IF(E4818&lt;=120,"106-120",IF(E4818&lt;=140,"121-140","Over 140"))))</f>
        <v/>
      </c>
      <c r="Q4818" s="28">
        <f>INT(C4818/10)*10</f>
        <v/>
      </c>
    </row>
    <row r="4819">
      <c r="A4819" s="21" t="n">
        <v>4940</v>
      </c>
      <c r="B4819" s="21" t="inlineStr">
        <is>
          <t>Hit the Floor</t>
        </is>
      </c>
      <c r="C4819" s="21" t="n">
        <v>2005</v>
      </c>
      <c r="D4819" s="21" t="inlineStr">
        <is>
          <t>USA</t>
        </is>
      </c>
      <c r="E4819" s="21" t="n">
        <v>60</v>
      </c>
      <c r="F4819" s="21" t="inlineStr">
        <is>
          <t>English</t>
        </is>
      </c>
      <c r="G4819" s="21" t="n"/>
      <c r="H4819" s="22" t="n">
        <v>25529689.5</v>
      </c>
      <c r="I4819" s="22" t="n">
        <v>20000000</v>
      </c>
      <c r="J4819" s="21">
        <f>IF(OR(H4819="",H4819=25529689.5),"Yes","No")</f>
        <v/>
      </c>
      <c r="K4819" s="21">
        <f>IF(AND(D4819="USA",C4819&gt;=1980,J4819="No"),"Yes","No")</f>
        <v/>
      </c>
      <c r="L4819" s="26">
        <f>IF(J4819="Yes","",H4819-I4819)</f>
        <v/>
      </c>
      <c r="M4819" s="27">
        <f>IF(OR(J4819="Yes",I4819=0),"",H4819/I4819)</f>
        <v/>
      </c>
      <c r="N4819" s="21">
        <f>IF(J4819="Yes","",IF(H4819&gt;=I4819,1,0))</f>
        <v/>
      </c>
      <c r="O4819" s="21">
        <f>IF(I4819&lt;=5000000,"Under $5M",IF(I4819&lt;=20000000,"$5M-20M",IF(I4819&lt;=50000000,"$20M-50M",IF(I4819&lt;=100000000,"$50M-100M","$100M+"))))</f>
        <v/>
      </c>
      <c r="P4819" s="21">
        <f>IF(E4819&lt;=90,"90 or less",IF(E4819&lt;=105,"91-105",IF(E4819&lt;=120,"106-120",IF(E4819&lt;=140,"121-140","Over 140"))))</f>
        <v/>
      </c>
      <c r="Q4819" s="28">
        <f>INT(C4819/10)*10</f>
        <v/>
      </c>
    </row>
    <row r="4820">
      <c r="A4820" s="21" t="n">
        <v>4941</v>
      </c>
      <c r="B4820" s="21" t="inlineStr">
        <is>
          <t>In the Heat of the Night</t>
        </is>
      </c>
      <c r="C4820" s="21" t="n">
        <v>2005</v>
      </c>
      <c r="D4820" s="21" t="inlineStr">
        <is>
          <t>USA</t>
        </is>
      </c>
      <c r="E4820" s="21" t="n">
        <v>60</v>
      </c>
      <c r="F4820" s="21" t="inlineStr">
        <is>
          <t>English</t>
        </is>
      </c>
      <c r="G4820" s="21" t="n"/>
      <c r="H4820" s="22" t="n">
        <v>25529689.5</v>
      </c>
      <c r="I4820" s="22" t="n">
        <v>20000000</v>
      </c>
      <c r="J4820" s="21">
        <f>IF(OR(H4820="",H4820=25529689.5),"Yes","No")</f>
        <v/>
      </c>
      <c r="K4820" s="21">
        <f>IF(AND(D4820="USA",C4820&gt;=1980,J4820="No"),"Yes","No")</f>
        <v/>
      </c>
      <c r="L4820" s="26">
        <f>IF(J4820="Yes","",H4820-I4820)</f>
        <v/>
      </c>
      <c r="M4820" s="27">
        <f>IF(OR(J4820="Yes",I4820=0),"",H4820/I4820)</f>
        <v/>
      </c>
      <c r="N4820" s="21">
        <f>IF(J4820="Yes","",IF(H4820&gt;=I4820,1,0))</f>
        <v/>
      </c>
      <c r="O4820" s="21">
        <f>IF(I4820&lt;=5000000,"Under $5M",IF(I4820&lt;=20000000,"$5M-20M",IF(I4820&lt;=50000000,"$20M-50M",IF(I4820&lt;=100000000,"$50M-100M","$100M+"))))</f>
        <v/>
      </c>
      <c r="P4820" s="21">
        <f>IF(E4820&lt;=90,"90 or less",IF(E4820&lt;=105,"91-105",IF(E4820&lt;=120,"106-120",IF(E4820&lt;=140,"121-140","Over 140"))))</f>
        <v/>
      </c>
      <c r="Q4820" s="28">
        <f>INT(C4820/10)*10</f>
        <v/>
      </c>
    </row>
    <row r="4821">
      <c r="A4821" s="21" t="n">
        <v>4942</v>
      </c>
      <c r="B4821" s="21" t="inlineStr">
        <is>
          <t>Jesse</t>
        </is>
      </c>
      <c r="C4821" s="21" t="n">
        <v>2005</v>
      </c>
      <c r="D4821" s="21" t="inlineStr">
        <is>
          <t>USA</t>
        </is>
      </c>
      <c r="E4821" s="21" t="n">
        <v>30</v>
      </c>
      <c r="F4821" s="21" t="inlineStr">
        <is>
          <t>English</t>
        </is>
      </c>
      <c r="G4821" s="21" t="n"/>
      <c r="H4821" s="22" t="n">
        <v>25529689.5</v>
      </c>
      <c r="I4821" s="22" t="n">
        <v>20000000</v>
      </c>
      <c r="J4821" s="21">
        <f>IF(OR(H4821="",H4821=25529689.5),"Yes","No")</f>
        <v/>
      </c>
      <c r="K4821" s="21">
        <f>IF(AND(D4821="USA",C4821&gt;=1980,J4821="No"),"Yes","No")</f>
        <v/>
      </c>
      <c r="L4821" s="26">
        <f>IF(J4821="Yes","",H4821-I4821)</f>
        <v/>
      </c>
      <c r="M4821" s="27">
        <f>IF(OR(J4821="Yes",I4821=0),"",H4821/I4821)</f>
        <v/>
      </c>
      <c r="N4821" s="21">
        <f>IF(J4821="Yes","",IF(H4821&gt;=I4821,1,0))</f>
        <v/>
      </c>
      <c r="O4821" s="21">
        <f>IF(I4821&lt;=5000000,"Under $5M",IF(I4821&lt;=20000000,"$5M-20M",IF(I4821&lt;=50000000,"$20M-50M",IF(I4821&lt;=100000000,"$50M-100M","$100M+"))))</f>
        <v/>
      </c>
      <c r="P4821" s="21">
        <f>IF(E4821&lt;=90,"90 or less",IF(E4821&lt;=105,"91-105",IF(E4821&lt;=120,"106-120",IF(E4821&lt;=140,"121-140","Over 140"))))</f>
        <v/>
      </c>
      <c r="Q4821" s="28">
        <f>INT(C4821/10)*10</f>
        <v/>
      </c>
    </row>
    <row r="4822">
      <c r="A4822" s="21" t="n">
        <v>4943</v>
      </c>
      <c r="B4822" s="21" t="inlineStr">
        <is>
          <t>Life</t>
        </is>
      </c>
      <c r="C4822" s="21" t="n">
        <v>2005</v>
      </c>
      <c r="D4822" s="21" t="inlineStr">
        <is>
          <t>USA</t>
        </is>
      </c>
      <c r="E4822" s="21" t="n">
        <v>45</v>
      </c>
      <c r="F4822" s="21" t="inlineStr">
        <is>
          <t>English</t>
        </is>
      </c>
      <c r="G4822" s="21" t="n"/>
      <c r="H4822" s="22" t="n">
        <v>25529689.5</v>
      </c>
      <c r="I4822" s="22" t="n">
        <v>20000000</v>
      </c>
      <c r="J4822" s="21">
        <f>IF(OR(H4822="",H4822=25529689.5),"Yes","No")</f>
        <v/>
      </c>
      <c r="K4822" s="21">
        <f>IF(AND(D4822="USA",C4822&gt;=1980,J4822="No"),"Yes","No")</f>
        <v/>
      </c>
      <c r="L4822" s="26">
        <f>IF(J4822="Yes","",H4822-I4822)</f>
        <v/>
      </c>
      <c r="M4822" s="27">
        <f>IF(OR(J4822="Yes",I4822=0),"",H4822/I4822)</f>
        <v/>
      </c>
      <c r="N4822" s="21">
        <f>IF(J4822="Yes","",IF(H4822&gt;=I4822,1,0))</f>
        <v/>
      </c>
      <c r="O4822" s="21">
        <f>IF(I4822&lt;=5000000,"Under $5M",IF(I4822&lt;=20000000,"$5M-20M",IF(I4822&lt;=50000000,"$20M-50M",IF(I4822&lt;=100000000,"$50M-100M","$100M+"))))</f>
        <v/>
      </c>
      <c r="P4822" s="21">
        <f>IF(E4822&lt;=90,"90 or less",IF(E4822&lt;=105,"91-105",IF(E4822&lt;=120,"106-120",IF(E4822&lt;=140,"121-140","Over 140"))))</f>
        <v/>
      </c>
      <c r="Q4822" s="28">
        <f>INT(C4822/10)*10</f>
        <v/>
      </c>
    </row>
    <row r="4823">
      <c r="A4823" s="21" t="n">
        <v>4944</v>
      </c>
      <c r="B4823" s="21" t="inlineStr">
        <is>
          <t>Lovesick</t>
        </is>
      </c>
      <c r="C4823" s="21" t="n">
        <v>2005</v>
      </c>
      <c r="D4823" s="21" t="inlineStr">
        <is>
          <t>UK</t>
        </is>
      </c>
      <c r="E4823" s="21" t="n">
        <v>24</v>
      </c>
      <c r="F4823" s="21" t="inlineStr">
        <is>
          <t>English</t>
        </is>
      </c>
      <c r="G4823" s="21" t="n"/>
      <c r="H4823" s="22" t="n">
        <v>25529689.5</v>
      </c>
      <c r="I4823" s="22" t="n">
        <v>20000000</v>
      </c>
      <c r="J4823" s="21">
        <f>IF(OR(H4823="",H4823=25529689.5),"Yes","No")</f>
        <v/>
      </c>
      <c r="K4823" s="21">
        <f>IF(AND(D4823="USA",C4823&gt;=1980,J4823="No"),"Yes","No")</f>
        <v/>
      </c>
      <c r="L4823" s="26">
        <f>IF(J4823="Yes","",H4823-I4823)</f>
        <v/>
      </c>
      <c r="M4823" s="27">
        <f>IF(OR(J4823="Yes",I4823=0),"",H4823/I4823)</f>
        <v/>
      </c>
      <c r="N4823" s="21">
        <f>IF(J4823="Yes","",IF(H4823&gt;=I4823,1,0))</f>
        <v/>
      </c>
      <c r="O4823" s="21">
        <f>IF(I4823&lt;=5000000,"Under $5M",IF(I4823&lt;=20000000,"$5M-20M",IF(I4823&lt;=50000000,"$20M-50M",IF(I4823&lt;=100000000,"$50M-100M","$100M+"))))</f>
        <v/>
      </c>
      <c r="P4823" s="21">
        <f>IF(E4823&lt;=90,"90 or less",IF(E4823&lt;=105,"91-105",IF(E4823&lt;=120,"106-120",IF(E4823&lt;=140,"121-140","Over 140"))))</f>
        <v/>
      </c>
      <c r="Q4823" s="28">
        <f>INT(C4823/10)*10</f>
        <v/>
      </c>
    </row>
    <row r="4824">
      <c r="A4824" s="21" t="n">
        <v>4945</v>
      </c>
      <c r="B4824" s="21" t="inlineStr">
        <is>
          <t>Meet the Browns</t>
        </is>
      </c>
      <c r="C4824" s="21" t="n">
        <v>2005</v>
      </c>
      <c r="D4824" s="21" t="inlineStr">
        <is>
          <t>USA</t>
        </is>
      </c>
      <c r="E4824" s="21" t="n">
        <v>30</v>
      </c>
      <c r="F4824" s="21" t="inlineStr">
        <is>
          <t>English</t>
        </is>
      </c>
      <c r="G4824" s="21" t="n"/>
      <c r="H4824" s="22" t="n">
        <v>25529689.5</v>
      </c>
      <c r="I4824" s="22" t="n">
        <v>20000000</v>
      </c>
      <c r="J4824" s="21">
        <f>IF(OR(H4824="",H4824=25529689.5),"Yes","No")</f>
        <v/>
      </c>
      <c r="K4824" s="21">
        <f>IF(AND(D4824="USA",C4824&gt;=1980,J4824="No"),"Yes","No")</f>
        <v/>
      </c>
      <c r="L4824" s="26">
        <f>IF(J4824="Yes","",H4824-I4824)</f>
        <v/>
      </c>
      <c r="M4824" s="27">
        <f>IF(OR(J4824="Yes",I4824=0),"",H4824/I4824)</f>
        <v/>
      </c>
      <c r="N4824" s="21">
        <f>IF(J4824="Yes","",IF(H4824&gt;=I4824,1,0))</f>
        <v/>
      </c>
      <c r="O4824" s="21">
        <f>IF(I4824&lt;=5000000,"Under $5M",IF(I4824&lt;=20000000,"$5M-20M",IF(I4824&lt;=50000000,"$20M-50M",IF(I4824&lt;=100000000,"$50M-100M","$100M+"))))</f>
        <v/>
      </c>
      <c r="P4824" s="21">
        <f>IF(E4824&lt;=90,"90 or less",IF(E4824&lt;=105,"91-105",IF(E4824&lt;=120,"106-120",IF(E4824&lt;=140,"121-140","Over 140"))))</f>
        <v/>
      </c>
      <c r="Q4824" s="28">
        <f>INT(C4824/10)*10</f>
        <v/>
      </c>
    </row>
    <row r="4825">
      <c r="A4825" s="21" t="n">
        <v>4946</v>
      </c>
      <c r="B4825" s="21" t="inlineStr">
        <is>
          <t>Nikita</t>
        </is>
      </c>
      <c r="C4825" s="21" t="n">
        <v>2005</v>
      </c>
      <c r="D4825" s="21" t="inlineStr">
        <is>
          <t>USA</t>
        </is>
      </c>
      <c r="E4825" s="21" t="n">
        <v>60</v>
      </c>
      <c r="F4825" s="21" t="inlineStr">
        <is>
          <t>English</t>
        </is>
      </c>
      <c r="G4825" s="21" t="n"/>
      <c r="H4825" s="22" t="n">
        <v>25529689.5</v>
      </c>
      <c r="I4825" s="22" t="n">
        <v>20000000</v>
      </c>
      <c r="J4825" s="21">
        <f>IF(OR(H4825="",H4825=25529689.5),"Yes","No")</f>
        <v/>
      </c>
      <c r="K4825" s="21">
        <f>IF(AND(D4825="USA",C4825&gt;=1980,J4825="No"),"Yes","No")</f>
        <v/>
      </c>
      <c r="L4825" s="26">
        <f>IF(J4825="Yes","",H4825-I4825)</f>
        <v/>
      </c>
      <c r="M4825" s="27">
        <f>IF(OR(J4825="Yes",I4825=0),"",H4825/I4825)</f>
        <v/>
      </c>
      <c r="N4825" s="21">
        <f>IF(J4825="Yes","",IF(H4825&gt;=I4825,1,0))</f>
        <v/>
      </c>
      <c r="O4825" s="21">
        <f>IF(I4825&lt;=5000000,"Under $5M",IF(I4825&lt;=20000000,"$5M-20M",IF(I4825&lt;=50000000,"$20M-50M",IF(I4825&lt;=100000000,"$50M-100M","$100M+"))))</f>
        <v/>
      </c>
      <c r="P4825" s="21">
        <f>IF(E4825&lt;=90,"90 or less",IF(E4825&lt;=105,"91-105",IF(E4825&lt;=120,"106-120",IF(E4825&lt;=140,"121-140","Over 140"))))</f>
        <v/>
      </c>
      <c r="Q4825" s="28">
        <f>INT(C4825/10)*10</f>
        <v/>
      </c>
    </row>
    <row r="4826">
      <c r="A4826" s="21" t="n">
        <v>4947</v>
      </c>
      <c r="B4826" s="21" t="inlineStr">
        <is>
          <t>Rogue</t>
        </is>
      </c>
      <c r="C4826" s="21" t="n">
        <v>2005</v>
      </c>
      <c r="D4826" s="21" t="inlineStr">
        <is>
          <t>USA</t>
        </is>
      </c>
      <c r="E4826" s="21" t="n">
        <v>50</v>
      </c>
      <c r="F4826" s="21" t="inlineStr">
        <is>
          <t>English</t>
        </is>
      </c>
      <c r="G4826" s="21" t="n"/>
      <c r="H4826" s="22" t="n">
        <v>25529689.5</v>
      </c>
      <c r="I4826" s="22" t="n">
        <v>20000000</v>
      </c>
      <c r="J4826" s="21">
        <f>IF(OR(H4826="",H4826=25529689.5),"Yes","No")</f>
        <v/>
      </c>
      <c r="K4826" s="21">
        <f>IF(AND(D4826="USA",C4826&gt;=1980,J4826="No"),"Yes","No")</f>
        <v/>
      </c>
      <c r="L4826" s="26">
        <f>IF(J4826="Yes","",H4826-I4826)</f>
        <v/>
      </c>
      <c r="M4826" s="27">
        <f>IF(OR(J4826="Yes",I4826=0),"",H4826/I4826)</f>
        <v/>
      </c>
      <c r="N4826" s="21">
        <f>IF(J4826="Yes","",IF(H4826&gt;=I4826,1,0))</f>
        <v/>
      </c>
      <c r="O4826" s="21">
        <f>IF(I4826&lt;=5000000,"Under $5M",IF(I4826&lt;=20000000,"$5M-20M",IF(I4826&lt;=50000000,"$20M-50M",IF(I4826&lt;=100000000,"$50M-100M","$100M+"))))</f>
        <v/>
      </c>
      <c r="P4826" s="21">
        <f>IF(E4826&lt;=90,"90 or less",IF(E4826&lt;=105,"91-105",IF(E4826&lt;=120,"106-120",IF(E4826&lt;=140,"121-140","Over 140"))))</f>
        <v/>
      </c>
      <c r="Q4826" s="28">
        <f>INT(C4826/10)*10</f>
        <v/>
      </c>
    </row>
    <row r="4827">
      <c r="A4827" s="21" t="n">
        <v>4948</v>
      </c>
      <c r="B4827" s="21" t="inlineStr">
        <is>
          <t>Secrets and Lies</t>
        </is>
      </c>
      <c r="C4827" s="21" t="n">
        <v>2005</v>
      </c>
      <c r="D4827" s="21" t="inlineStr">
        <is>
          <t>USA</t>
        </is>
      </c>
      <c r="E4827" s="21" t="n">
        <v>43</v>
      </c>
      <c r="F4827" s="21" t="inlineStr">
        <is>
          <t>English</t>
        </is>
      </c>
      <c r="G4827" s="21" t="n"/>
      <c r="H4827" s="22" t="n">
        <v>25529689.5</v>
      </c>
      <c r="I4827" s="22" t="n">
        <v>20000000</v>
      </c>
      <c r="J4827" s="21">
        <f>IF(OR(H4827="",H4827=25529689.5),"Yes","No")</f>
        <v/>
      </c>
      <c r="K4827" s="21">
        <f>IF(AND(D4827="USA",C4827&gt;=1980,J4827="No"),"Yes","No")</f>
        <v/>
      </c>
      <c r="L4827" s="26">
        <f>IF(J4827="Yes","",H4827-I4827)</f>
        <v/>
      </c>
      <c r="M4827" s="27">
        <f>IF(OR(J4827="Yes",I4827=0),"",H4827/I4827)</f>
        <v/>
      </c>
      <c r="N4827" s="21">
        <f>IF(J4827="Yes","",IF(H4827&gt;=I4827,1,0))</f>
        <v/>
      </c>
      <c r="O4827" s="21">
        <f>IF(I4827&lt;=5000000,"Under $5M",IF(I4827&lt;=20000000,"$5M-20M",IF(I4827&lt;=50000000,"$20M-50M",IF(I4827&lt;=100000000,"$50M-100M","$100M+"))))</f>
        <v/>
      </c>
      <c r="P4827" s="21">
        <f>IF(E4827&lt;=90,"90 or less",IF(E4827&lt;=105,"91-105",IF(E4827&lt;=120,"106-120",IF(E4827&lt;=140,"121-140","Over 140"))))</f>
        <v/>
      </c>
      <c r="Q4827" s="28">
        <f>INT(C4827/10)*10</f>
        <v/>
      </c>
    </row>
    <row r="4828">
      <c r="A4828" s="21" t="n">
        <v>4949</v>
      </c>
      <c r="B4828" s="21" t="inlineStr">
        <is>
          <t>Space: Above and Beyond</t>
        </is>
      </c>
      <c r="C4828" s="21" t="n">
        <v>2005</v>
      </c>
      <c r="D4828" s="21" t="inlineStr">
        <is>
          <t>USA</t>
        </is>
      </c>
      <c r="E4828" s="21" t="n">
        <v>60</v>
      </c>
      <c r="F4828" s="21" t="inlineStr">
        <is>
          <t>English</t>
        </is>
      </c>
      <c r="G4828" s="21" t="n"/>
      <c r="H4828" s="22" t="n">
        <v>25529689.5</v>
      </c>
      <c r="I4828" s="22" t="n">
        <v>5000000</v>
      </c>
      <c r="J4828" s="21">
        <f>IF(OR(H4828="",H4828=25529689.5),"Yes","No")</f>
        <v/>
      </c>
      <c r="K4828" s="21">
        <f>IF(AND(D4828="USA",C4828&gt;=1980,J4828="No"),"Yes","No")</f>
        <v/>
      </c>
      <c r="L4828" s="26">
        <f>IF(J4828="Yes","",H4828-I4828)</f>
        <v/>
      </c>
      <c r="M4828" s="27">
        <f>IF(OR(J4828="Yes",I4828=0),"",H4828/I4828)</f>
        <v/>
      </c>
      <c r="N4828" s="21">
        <f>IF(J4828="Yes","",IF(H4828&gt;=I4828,1,0))</f>
        <v/>
      </c>
      <c r="O4828" s="21">
        <f>IF(I4828&lt;=5000000,"Under $5M",IF(I4828&lt;=20000000,"$5M-20M",IF(I4828&lt;=50000000,"$20M-50M",IF(I4828&lt;=100000000,"$50M-100M","$100M+"))))</f>
        <v/>
      </c>
      <c r="P4828" s="21">
        <f>IF(E4828&lt;=90,"90 or less",IF(E4828&lt;=105,"91-105",IF(E4828&lt;=120,"106-120",IF(E4828&lt;=140,"121-140","Over 140"))))</f>
        <v/>
      </c>
      <c r="Q4828" s="28">
        <f>INT(C4828/10)*10</f>
        <v/>
      </c>
    </row>
    <row r="4829">
      <c r="A4829" s="21" t="n">
        <v>4950</v>
      </c>
      <c r="B4829" s="21" t="inlineStr">
        <is>
          <t>The Bachelor</t>
        </is>
      </c>
      <c r="C4829" s="21" t="n">
        <v>2005</v>
      </c>
      <c r="D4829" s="21" t="inlineStr">
        <is>
          <t>USA</t>
        </is>
      </c>
      <c r="E4829" s="21" t="n">
        <v>60</v>
      </c>
      <c r="F4829" s="21" t="inlineStr">
        <is>
          <t>English</t>
        </is>
      </c>
      <c r="G4829" s="21" t="n"/>
      <c r="H4829" s="22" t="n">
        <v>25529689.5</v>
      </c>
      <c r="I4829" s="22" t="n">
        <v>3000000</v>
      </c>
      <c r="J4829" s="21">
        <f>IF(OR(H4829="",H4829=25529689.5),"Yes","No")</f>
        <v/>
      </c>
      <c r="K4829" s="21">
        <f>IF(AND(D4829="USA",C4829&gt;=1980,J4829="No"),"Yes","No")</f>
        <v/>
      </c>
      <c r="L4829" s="26">
        <f>IF(J4829="Yes","",H4829-I4829)</f>
        <v/>
      </c>
      <c r="M4829" s="27">
        <f>IF(OR(J4829="Yes",I4829=0),"",H4829/I4829)</f>
        <v/>
      </c>
      <c r="N4829" s="21">
        <f>IF(J4829="Yes","",IF(H4829&gt;=I4829,1,0))</f>
        <v/>
      </c>
      <c r="O4829" s="21">
        <f>IF(I4829&lt;=5000000,"Under $5M",IF(I4829&lt;=20000000,"$5M-20M",IF(I4829&lt;=50000000,"$20M-50M",IF(I4829&lt;=100000000,"$50M-100M","$100M+"))))</f>
        <v/>
      </c>
      <c r="P4829" s="21">
        <f>IF(E4829&lt;=90,"90 or less",IF(E4829&lt;=105,"91-105",IF(E4829&lt;=120,"106-120",IF(E4829&lt;=140,"121-140","Over 140"))))</f>
        <v/>
      </c>
      <c r="Q4829" s="28">
        <f>INT(C4829/10)*10</f>
        <v/>
      </c>
    </row>
    <row r="4830">
      <c r="A4830" s="21" t="n">
        <v>4951</v>
      </c>
      <c r="B4830" s="21" t="inlineStr">
        <is>
          <t>The Border</t>
        </is>
      </c>
      <c r="C4830" s="21" t="n">
        <v>2005</v>
      </c>
      <c r="D4830" s="21" t="inlineStr">
        <is>
          <t>Poland</t>
        </is>
      </c>
      <c r="E4830" s="21" t="n">
        <v>41</v>
      </c>
      <c r="F4830" s="21" t="inlineStr">
        <is>
          <t>Polish</t>
        </is>
      </c>
      <c r="G4830" s="21" t="n"/>
      <c r="H4830" s="22" t="n">
        <v>25529689.5</v>
      </c>
      <c r="I4830" s="22" t="n">
        <v>20000000</v>
      </c>
      <c r="J4830" s="21">
        <f>IF(OR(H4830="",H4830=25529689.5),"Yes","No")</f>
        <v/>
      </c>
      <c r="K4830" s="21">
        <f>IF(AND(D4830="USA",C4830&gt;=1980,J4830="No"),"Yes","No")</f>
        <v/>
      </c>
      <c r="L4830" s="26">
        <f>IF(J4830="Yes","",H4830-I4830)</f>
        <v/>
      </c>
      <c r="M4830" s="27">
        <f>IF(OR(J4830="Yes",I4830=0),"",H4830/I4830)</f>
        <v/>
      </c>
      <c r="N4830" s="21">
        <f>IF(J4830="Yes","",IF(H4830&gt;=I4830,1,0))</f>
        <v/>
      </c>
      <c r="O4830" s="21">
        <f>IF(I4830&lt;=5000000,"Under $5M",IF(I4830&lt;=20000000,"$5M-20M",IF(I4830&lt;=50000000,"$20M-50M",IF(I4830&lt;=100000000,"$50M-100M","$100M+"))))</f>
        <v/>
      </c>
      <c r="P4830" s="21">
        <f>IF(E4830&lt;=90,"90 or less",IF(E4830&lt;=105,"91-105",IF(E4830&lt;=120,"106-120",IF(E4830&lt;=140,"121-140","Over 140"))))</f>
        <v/>
      </c>
      <c r="Q4830" s="28">
        <f>INT(C4830/10)*10</f>
        <v/>
      </c>
    </row>
    <row r="4831">
      <c r="A4831" s="21" t="n">
        <v>4952</v>
      </c>
      <c r="B4831" s="21" t="inlineStr">
        <is>
          <t>The Company</t>
        </is>
      </c>
      <c r="C4831" s="21" t="n">
        <v>2005</v>
      </c>
      <c r="D4831" s="21" t="inlineStr">
        <is>
          <t>USA</t>
        </is>
      </c>
      <c r="E4831" s="21" t="n">
        <v>286</v>
      </c>
      <c r="F4831" s="21" t="inlineStr">
        <is>
          <t>English</t>
        </is>
      </c>
      <c r="G4831" s="21" t="n"/>
      <c r="H4831" s="22" t="n">
        <v>25529689.5</v>
      </c>
      <c r="I4831" s="22" t="n">
        <v>20000000</v>
      </c>
      <c r="J4831" s="21">
        <f>IF(OR(H4831="",H4831=25529689.5),"Yes","No")</f>
        <v/>
      </c>
      <c r="K4831" s="21">
        <f>IF(AND(D4831="USA",C4831&gt;=1980,J4831="No"),"Yes","No")</f>
        <v/>
      </c>
      <c r="L4831" s="26">
        <f>IF(J4831="Yes","",H4831-I4831)</f>
        <v/>
      </c>
      <c r="M4831" s="27">
        <f>IF(OR(J4831="Yes",I4831=0),"",H4831/I4831)</f>
        <v/>
      </c>
      <c r="N4831" s="21">
        <f>IF(J4831="Yes","",IF(H4831&gt;=I4831,1,0))</f>
        <v/>
      </c>
      <c r="O4831" s="21">
        <f>IF(I4831&lt;=5000000,"Under $5M",IF(I4831&lt;=20000000,"$5M-20M",IF(I4831&lt;=50000000,"$20M-50M",IF(I4831&lt;=100000000,"$50M-100M","$100M+"))))</f>
        <v/>
      </c>
      <c r="P4831" s="21">
        <f>IF(E4831&lt;=90,"90 or less",IF(E4831&lt;=105,"91-105",IF(E4831&lt;=120,"106-120",IF(E4831&lt;=140,"121-140","Over 140"))))</f>
        <v/>
      </c>
      <c r="Q4831" s="28">
        <f>INT(C4831/10)*10</f>
        <v/>
      </c>
    </row>
    <row r="4832">
      <c r="A4832" s="21" t="n">
        <v>4953</v>
      </c>
      <c r="B4832" s="21" t="inlineStr">
        <is>
          <t>The Doombolt Chase</t>
        </is>
      </c>
      <c r="C4832" s="21" t="n">
        <v>2005</v>
      </c>
      <c r="D4832" s="21" t="inlineStr">
        <is>
          <t>UK</t>
        </is>
      </c>
      <c r="E4832" s="21" t="n">
        <v>30</v>
      </c>
      <c r="F4832" s="21" t="inlineStr">
        <is>
          <t>English</t>
        </is>
      </c>
      <c r="G4832" s="21" t="n"/>
      <c r="H4832" s="22" t="n">
        <v>25529689.5</v>
      </c>
      <c r="I4832" s="22" t="n">
        <v>20000000</v>
      </c>
      <c r="J4832" s="21">
        <f>IF(OR(H4832="",H4832=25529689.5),"Yes","No")</f>
        <v/>
      </c>
      <c r="K4832" s="21">
        <f>IF(AND(D4832="USA",C4832&gt;=1980,J4832="No"),"Yes","No")</f>
        <v/>
      </c>
      <c r="L4832" s="26">
        <f>IF(J4832="Yes","",H4832-I4832)</f>
        <v/>
      </c>
      <c r="M4832" s="27">
        <f>IF(OR(J4832="Yes",I4832=0),"",H4832/I4832)</f>
        <v/>
      </c>
      <c r="N4832" s="21">
        <f>IF(J4832="Yes","",IF(H4832&gt;=I4832,1,0))</f>
        <v/>
      </c>
      <c r="O4832" s="21">
        <f>IF(I4832&lt;=5000000,"Under $5M",IF(I4832&lt;=20000000,"$5M-20M",IF(I4832&lt;=50000000,"$20M-50M",IF(I4832&lt;=100000000,"$50M-100M","$100M+"))))</f>
        <v/>
      </c>
      <c r="P4832" s="21">
        <f>IF(E4832&lt;=90,"90 or less",IF(E4832&lt;=105,"91-105",IF(E4832&lt;=120,"106-120",IF(E4832&lt;=140,"121-140","Over 140"))))</f>
        <v/>
      </c>
      <c r="Q4832" s="28">
        <f>INT(C4832/10)*10</f>
        <v/>
      </c>
    </row>
    <row r="4833">
      <c r="A4833" s="21" t="n">
        <v>4954</v>
      </c>
      <c r="B4833" s="21" t="inlineStr">
        <is>
          <t>The Grand</t>
        </is>
      </c>
      <c r="C4833" s="21" t="n">
        <v>2005</v>
      </c>
      <c r="D4833" s="21" t="inlineStr">
        <is>
          <t>UK</t>
        </is>
      </c>
      <c r="E4833" s="21" t="n">
        <v>60</v>
      </c>
      <c r="F4833" s="21" t="inlineStr">
        <is>
          <t>English</t>
        </is>
      </c>
      <c r="G4833" s="21" t="n"/>
      <c r="H4833" s="22" t="n">
        <v>25529689.5</v>
      </c>
      <c r="I4833" s="22" t="n">
        <v>20000000</v>
      </c>
      <c r="J4833" s="21">
        <f>IF(OR(H4833="",H4833=25529689.5),"Yes","No")</f>
        <v/>
      </c>
      <c r="K4833" s="21">
        <f>IF(AND(D4833="USA",C4833&gt;=1980,J4833="No"),"Yes","No")</f>
        <v/>
      </c>
      <c r="L4833" s="26">
        <f>IF(J4833="Yes","",H4833-I4833)</f>
        <v/>
      </c>
      <c r="M4833" s="27">
        <f>IF(OR(J4833="Yes",I4833=0),"",H4833/I4833)</f>
        <v/>
      </c>
      <c r="N4833" s="21">
        <f>IF(J4833="Yes","",IF(H4833&gt;=I4833,1,0))</f>
        <v/>
      </c>
      <c r="O4833" s="21">
        <f>IF(I4833&lt;=5000000,"Under $5M",IF(I4833&lt;=20000000,"$5M-20M",IF(I4833&lt;=50000000,"$20M-50M",IF(I4833&lt;=100000000,"$50M-100M","$100M+"))))</f>
        <v/>
      </c>
      <c r="P4833" s="21">
        <f>IF(E4833&lt;=90,"90 or less",IF(E4833&lt;=105,"91-105",IF(E4833&lt;=120,"106-120",IF(E4833&lt;=140,"121-140","Over 140"))))</f>
        <v/>
      </c>
      <c r="Q4833" s="28">
        <f>INT(C4833/10)*10</f>
        <v/>
      </c>
    </row>
    <row r="4834">
      <c r="A4834" s="21" t="n">
        <v>4955</v>
      </c>
      <c r="B4834" s="21" t="inlineStr">
        <is>
          <t>The Honeymooners</t>
        </is>
      </c>
      <c r="C4834" s="21" t="n">
        <v>2005</v>
      </c>
      <c r="D4834" s="21" t="inlineStr">
        <is>
          <t>USA</t>
        </is>
      </c>
      <c r="E4834" s="21" t="n">
        <v>30</v>
      </c>
      <c r="F4834" s="21" t="inlineStr">
        <is>
          <t>English</t>
        </is>
      </c>
      <c r="G4834" s="21" t="n"/>
      <c r="H4834" s="22" t="n">
        <v>25529689.5</v>
      </c>
      <c r="I4834" s="22" t="n">
        <v>20000000</v>
      </c>
      <c r="J4834" s="21">
        <f>IF(OR(H4834="",H4834=25529689.5),"Yes","No")</f>
        <v/>
      </c>
      <c r="K4834" s="21">
        <f>IF(AND(D4834="USA",C4834&gt;=1980,J4834="No"),"Yes","No")</f>
        <v/>
      </c>
      <c r="L4834" s="26">
        <f>IF(J4834="Yes","",H4834-I4834)</f>
        <v/>
      </c>
      <c r="M4834" s="27">
        <f>IF(OR(J4834="Yes",I4834=0),"",H4834/I4834)</f>
        <v/>
      </c>
      <c r="N4834" s="21">
        <f>IF(J4834="Yes","",IF(H4834&gt;=I4834,1,0))</f>
        <v/>
      </c>
      <c r="O4834" s="21">
        <f>IF(I4834&lt;=5000000,"Under $5M",IF(I4834&lt;=20000000,"$5M-20M",IF(I4834&lt;=50000000,"$20M-50M",IF(I4834&lt;=100000000,"$50M-100M","$100M+"))))</f>
        <v/>
      </c>
      <c r="P4834" s="21">
        <f>IF(E4834&lt;=90,"90 or less",IF(E4834&lt;=105,"91-105",IF(E4834&lt;=120,"106-120",IF(E4834&lt;=140,"121-140","Over 140"))))</f>
        <v/>
      </c>
      <c r="Q4834" s="28">
        <f>INT(C4834/10)*10</f>
        <v/>
      </c>
    </row>
    <row r="4835">
      <c r="A4835" s="21" t="n">
        <v>4956</v>
      </c>
      <c r="B4835" s="21" t="inlineStr">
        <is>
          <t>The Messengers</t>
        </is>
      </c>
      <c r="C4835" s="21" t="n">
        <v>2005</v>
      </c>
      <c r="D4835" s="21" t="inlineStr">
        <is>
          <t>USA</t>
        </is>
      </c>
      <c r="E4835" s="21" t="n">
        <v>60</v>
      </c>
      <c r="F4835" s="21" t="inlineStr">
        <is>
          <t>English</t>
        </is>
      </c>
      <c r="G4835" s="21" t="n"/>
      <c r="H4835" s="22" t="n">
        <v>25529689.5</v>
      </c>
      <c r="I4835" s="22" t="n">
        <v>20000000</v>
      </c>
      <c r="J4835" s="21">
        <f>IF(OR(H4835="",H4835=25529689.5),"Yes","No")</f>
        <v/>
      </c>
      <c r="K4835" s="21">
        <f>IF(AND(D4835="USA",C4835&gt;=1980,J4835="No"),"Yes","No")</f>
        <v/>
      </c>
      <c r="L4835" s="26">
        <f>IF(J4835="Yes","",H4835-I4835)</f>
        <v/>
      </c>
      <c r="M4835" s="27">
        <f>IF(OR(J4835="Yes",I4835=0),"",H4835/I4835)</f>
        <v/>
      </c>
      <c r="N4835" s="21">
        <f>IF(J4835="Yes","",IF(H4835&gt;=I4835,1,0))</f>
        <v/>
      </c>
      <c r="O4835" s="21">
        <f>IF(I4835&lt;=5000000,"Under $5M",IF(I4835&lt;=20000000,"$5M-20M",IF(I4835&lt;=50000000,"$20M-50M",IF(I4835&lt;=100000000,"$50M-100M","$100M+"))))</f>
        <v/>
      </c>
      <c r="P4835" s="21">
        <f>IF(E4835&lt;=90,"90 or less",IF(E4835&lt;=105,"91-105",IF(E4835&lt;=120,"106-120",IF(E4835&lt;=140,"121-140","Over 140"))))</f>
        <v/>
      </c>
      <c r="Q4835" s="28">
        <f>INT(C4835/10)*10</f>
        <v/>
      </c>
    </row>
    <row r="4836">
      <c r="A4836" s="21" t="n">
        <v>4957</v>
      </c>
      <c r="B4836" s="21" t="inlineStr">
        <is>
          <t>The Missing</t>
        </is>
      </c>
      <c r="C4836" s="21" t="n">
        <v>2005</v>
      </c>
      <c r="D4836" s="21" t="inlineStr">
        <is>
          <t>UK</t>
        </is>
      </c>
      <c r="E4836" s="21" t="n">
        <v>60</v>
      </c>
      <c r="F4836" s="21" t="inlineStr">
        <is>
          <t>English</t>
        </is>
      </c>
      <c r="G4836" s="21" t="n"/>
      <c r="H4836" s="22" t="n">
        <v>25529689.5</v>
      </c>
      <c r="I4836" s="22" t="n">
        <v>20000000</v>
      </c>
      <c r="J4836" s="21">
        <f>IF(OR(H4836="",H4836=25529689.5),"Yes","No")</f>
        <v/>
      </c>
      <c r="K4836" s="21">
        <f>IF(AND(D4836="USA",C4836&gt;=1980,J4836="No"),"Yes","No")</f>
        <v/>
      </c>
      <c r="L4836" s="26">
        <f>IF(J4836="Yes","",H4836-I4836)</f>
        <v/>
      </c>
      <c r="M4836" s="27">
        <f>IF(OR(J4836="Yes",I4836=0),"",H4836/I4836)</f>
        <v/>
      </c>
      <c r="N4836" s="21">
        <f>IF(J4836="Yes","",IF(H4836&gt;=I4836,1,0))</f>
        <v/>
      </c>
      <c r="O4836" s="21">
        <f>IF(I4836&lt;=5000000,"Under $5M",IF(I4836&lt;=20000000,"$5M-20M",IF(I4836&lt;=50000000,"$20M-50M",IF(I4836&lt;=100000000,"$50M-100M","$100M+"))))</f>
        <v/>
      </c>
      <c r="P4836" s="21">
        <f>IF(E4836&lt;=90,"90 or less",IF(E4836&lt;=105,"91-105",IF(E4836&lt;=120,"106-120",IF(E4836&lt;=140,"121-140","Over 140"))))</f>
        <v/>
      </c>
      <c r="Q4836" s="28">
        <f>INT(C4836/10)*10</f>
        <v/>
      </c>
    </row>
    <row r="4837">
      <c r="A4837" s="21" t="n">
        <v>4958</v>
      </c>
      <c r="B4837" s="21" t="inlineStr">
        <is>
          <t>The Secret</t>
        </is>
      </c>
      <c r="C4837" s="21" t="n">
        <v>2005</v>
      </c>
      <c r="D4837" s="21" t="inlineStr">
        <is>
          <t>UK</t>
        </is>
      </c>
      <c r="E4837" s="21" t="n">
        <v>45</v>
      </c>
      <c r="F4837" s="21" t="inlineStr">
        <is>
          <t>English</t>
        </is>
      </c>
      <c r="G4837" s="21" t="n"/>
      <c r="H4837" s="22" t="n">
        <v>25529689.5</v>
      </c>
      <c r="I4837" s="22" t="n">
        <v>20000000</v>
      </c>
      <c r="J4837" s="21">
        <f>IF(OR(H4837="",H4837=25529689.5),"Yes","No")</f>
        <v/>
      </c>
      <c r="K4837" s="21">
        <f>IF(AND(D4837="USA",C4837&gt;=1980,J4837="No"),"Yes","No")</f>
        <v/>
      </c>
      <c r="L4837" s="26">
        <f>IF(J4837="Yes","",H4837-I4837)</f>
        <v/>
      </c>
      <c r="M4837" s="27">
        <f>IF(OR(J4837="Yes",I4837=0),"",H4837/I4837)</f>
        <v/>
      </c>
      <c r="N4837" s="21">
        <f>IF(J4837="Yes","",IF(H4837&gt;=I4837,1,0))</f>
        <v/>
      </c>
      <c r="O4837" s="21">
        <f>IF(I4837&lt;=5000000,"Under $5M",IF(I4837&lt;=20000000,"$5M-20M",IF(I4837&lt;=50000000,"$20M-50M",IF(I4837&lt;=100000000,"$50M-100M","$100M+"))))</f>
        <v/>
      </c>
      <c r="P4837" s="21">
        <f>IF(E4837&lt;=90,"90 or less",IF(E4837&lt;=105,"91-105",IF(E4837&lt;=120,"106-120",IF(E4837&lt;=140,"121-140","Over 140"))))</f>
        <v/>
      </c>
      <c r="Q4837" s="28">
        <f>INT(C4837/10)*10</f>
        <v/>
      </c>
    </row>
    <row r="4838">
      <c r="A4838" s="21" t="n">
        <v>4959</v>
      </c>
      <c r="B4838" s="21" t="inlineStr">
        <is>
          <t>The Streets of San Francisco</t>
        </is>
      </c>
      <c r="C4838" s="21" t="n">
        <v>2005</v>
      </c>
      <c r="D4838" s="21" t="inlineStr">
        <is>
          <t>USA</t>
        </is>
      </c>
      <c r="E4838" s="21" t="n">
        <v>120</v>
      </c>
      <c r="F4838" s="21" t="inlineStr">
        <is>
          <t>English</t>
        </is>
      </c>
      <c r="G4838" s="21" t="n"/>
      <c r="H4838" s="22" t="n">
        <v>25529689.5</v>
      </c>
      <c r="I4838" s="22" t="n">
        <v>20000000</v>
      </c>
      <c r="J4838" s="21">
        <f>IF(OR(H4838="",H4838=25529689.5),"Yes","No")</f>
        <v/>
      </c>
      <c r="K4838" s="21">
        <f>IF(AND(D4838="USA",C4838&gt;=1980,J4838="No"),"Yes","No")</f>
        <v/>
      </c>
      <c r="L4838" s="26">
        <f>IF(J4838="Yes","",H4838-I4838)</f>
        <v/>
      </c>
      <c r="M4838" s="27">
        <f>IF(OR(J4838="Yes",I4838=0),"",H4838/I4838)</f>
        <v/>
      </c>
      <c r="N4838" s="21">
        <f>IF(J4838="Yes","",IF(H4838&gt;=I4838,1,0))</f>
        <v/>
      </c>
      <c r="O4838" s="21">
        <f>IF(I4838&lt;=5000000,"Under $5M",IF(I4838&lt;=20000000,"$5M-20M",IF(I4838&lt;=50000000,"$20M-50M",IF(I4838&lt;=100000000,"$50M-100M","$100M+"))))</f>
        <v/>
      </c>
      <c r="P4838" s="21">
        <f>IF(E4838&lt;=90,"90 or less",IF(E4838&lt;=105,"91-105",IF(E4838&lt;=120,"106-120",IF(E4838&lt;=140,"121-140","Over 140"))))</f>
        <v/>
      </c>
      <c r="Q4838" s="28">
        <f>INT(C4838/10)*10</f>
        <v/>
      </c>
    </row>
    <row r="4839">
      <c r="A4839" s="21" t="n">
        <v>4960</v>
      </c>
      <c r="B4839" s="21" t="inlineStr">
        <is>
          <t>Towering Inferno</t>
        </is>
      </c>
      <c r="C4839" s="21" t="n">
        <v>2005</v>
      </c>
      <c r="D4839" s="21" t="inlineStr">
        <is>
          <t>Canada</t>
        </is>
      </c>
      <c r="E4839" s="21" t="n">
        <v>65</v>
      </c>
      <c r="F4839" s="21" t="inlineStr">
        <is>
          <t>English</t>
        </is>
      </c>
      <c r="G4839" s="21" t="n"/>
      <c r="H4839" s="22" t="n">
        <v>25529689.5</v>
      </c>
      <c r="I4839" s="22" t="n">
        <v>20000000</v>
      </c>
      <c r="J4839" s="21">
        <f>IF(OR(H4839="",H4839=25529689.5),"Yes","No")</f>
        <v/>
      </c>
      <c r="K4839" s="21">
        <f>IF(AND(D4839="USA",C4839&gt;=1980,J4839="No"),"Yes","No")</f>
        <v/>
      </c>
      <c r="L4839" s="26">
        <f>IF(J4839="Yes","",H4839-I4839)</f>
        <v/>
      </c>
      <c r="M4839" s="27">
        <f>IF(OR(J4839="Yes",I4839=0),"",H4839/I4839)</f>
        <v/>
      </c>
      <c r="N4839" s="21">
        <f>IF(J4839="Yes","",IF(H4839&gt;=I4839,1,0))</f>
        <v/>
      </c>
      <c r="O4839" s="21">
        <f>IF(I4839&lt;=5000000,"Under $5M",IF(I4839&lt;=20000000,"$5M-20M",IF(I4839&lt;=50000000,"$20M-50M",IF(I4839&lt;=100000000,"$50M-100M","$100M+"))))</f>
        <v/>
      </c>
      <c r="P4839" s="21">
        <f>IF(E4839&lt;=90,"90 or less",IF(E4839&lt;=105,"91-105",IF(E4839&lt;=120,"106-120",IF(E4839&lt;=140,"121-140","Over 140"))))</f>
        <v/>
      </c>
      <c r="Q4839" s="28">
        <f>INT(C4839/10)*10</f>
        <v/>
      </c>
    </row>
    <row r="4840">
      <c r="A4840" s="21" t="n">
        <v>4961</v>
      </c>
      <c r="B4840" s="21" t="inlineStr">
        <is>
          <t>Trapped</t>
        </is>
      </c>
      <c r="C4840" s="21" t="n">
        <v>2005</v>
      </c>
      <c r="D4840" s="21" t="inlineStr">
        <is>
          <t>Iceland</t>
        </is>
      </c>
      <c r="E4840" s="21" t="n">
        <v>60</v>
      </c>
      <c r="F4840" s="21" t="inlineStr">
        <is>
          <t>Icelandic</t>
        </is>
      </c>
      <c r="G4840" s="21" t="n"/>
      <c r="H4840" s="22" t="n">
        <v>25529689.5</v>
      </c>
      <c r="I4840" s="22" t="n">
        <v>20000000</v>
      </c>
      <c r="J4840" s="21">
        <f>IF(OR(H4840="",H4840=25529689.5),"Yes","No")</f>
        <v/>
      </c>
      <c r="K4840" s="21">
        <f>IF(AND(D4840="USA",C4840&gt;=1980,J4840="No"),"Yes","No")</f>
        <v/>
      </c>
      <c r="L4840" s="26">
        <f>IF(J4840="Yes","",H4840-I4840)</f>
        <v/>
      </c>
      <c r="M4840" s="27">
        <f>IF(OR(J4840="Yes",I4840=0),"",H4840/I4840)</f>
        <v/>
      </c>
      <c r="N4840" s="21">
        <f>IF(J4840="Yes","",IF(H4840&gt;=I4840,1,0))</f>
        <v/>
      </c>
      <c r="O4840" s="21">
        <f>IF(I4840&lt;=5000000,"Under $5M",IF(I4840&lt;=20000000,"$5M-20M",IF(I4840&lt;=50000000,"$20M-50M",IF(I4840&lt;=100000000,"$50M-100M","$100M+"))))</f>
        <v/>
      </c>
      <c r="P4840" s="21">
        <f>IF(E4840&lt;=90,"90 or less",IF(E4840&lt;=105,"91-105",IF(E4840&lt;=120,"106-120",IF(E4840&lt;=140,"121-140","Over 140"))))</f>
        <v/>
      </c>
      <c r="Q4840" s="28">
        <f>INT(C4840/10)*10</f>
        <v/>
      </c>
    </row>
    <row r="4841">
      <c r="A4841" s="21" t="n">
        <v>4962</v>
      </c>
      <c r="B4841" s="21" t="inlineStr">
        <is>
          <t>Twisted</t>
        </is>
      </c>
      <c r="C4841" s="21" t="n">
        <v>2005</v>
      </c>
      <c r="D4841" s="21" t="inlineStr">
        <is>
          <t>USA</t>
        </is>
      </c>
      <c r="E4841" s="21" t="n">
        <v>60</v>
      </c>
      <c r="F4841" s="21" t="inlineStr">
        <is>
          <t>English</t>
        </is>
      </c>
      <c r="G4841" s="21" t="n"/>
      <c r="H4841" s="22" t="n">
        <v>25529689.5</v>
      </c>
      <c r="I4841" s="22" t="n">
        <v>20000000</v>
      </c>
      <c r="J4841" s="21">
        <f>IF(OR(H4841="",H4841=25529689.5),"Yes","No")</f>
        <v/>
      </c>
      <c r="K4841" s="21">
        <f>IF(AND(D4841="USA",C4841&gt;=1980,J4841="No"),"Yes","No")</f>
        <v/>
      </c>
      <c r="L4841" s="26">
        <f>IF(J4841="Yes","",H4841-I4841)</f>
        <v/>
      </c>
      <c r="M4841" s="27">
        <f>IF(OR(J4841="Yes",I4841=0),"",H4841/I4841)</f>
        <v/>
      </c>
      <c r="N4841" s="21">
        <f>IF(J4841="Yes","",IF(H4841&gt;=I4841,1,0))</f>
        <v/>
      </c>
      <c r="O4841" s="21">
        <f>IF(I4841&lt;=5000000,"Under $5M",IF(I4841&lt;=20000000,"$5M-20M",IF(I4841&lt;=50000000,"$20M-50M",IF(I4841&lt;=100000000,"$50M-100M","$100M+"))))</f>
        <v/>
      </c>
      <c r="P4841" s="21">
        <f>IF(E4841&lt;=90,"90 or less",IF(E4841&lt;=105,"91-105",IF(E4841&lt;=120,"106-120",IF(E4841&lt;=140,"121-140","Over 140"))))</f>
        <v/>
      </c>
      <c r="Q4841" s="28">
        <f>INT(C4841/10)*10</f>
        <v/>
      </c>
    </row>
    <row r="4842">
      <c r="A4842" s="21" t="n">
        <v>4963</v>
      </c>
      <c r="B4842" s="21" t="inlineStr">
        <is>
          <t>Unforgettable</t>
        </is>
      </c>
      <c r="C4842" s="21" t="n">
        <v>2005</v>
      </c>
      <c r="D4842" s="21" t="inlineStr">
        <is>
          <t>USA</t>
        </is>
      </c>
      <c r="E4842" s="21" t="n">
        <v>60</v>
      </c>
      <c r="F4842" s="21" t="n"/>
      <c r="G4842" s="21" t="n"/>
      <c r="H4842" s="22" t="n">
        <v>25529689.5</v>
      </c>
      <c r="I4842" s="22" t="n">
        <v>20000000</v>
      </c>
      <c r="J4842" s="21">
        <f>IF(OR(H4842="",H4842=25529689.5),"Yes","No")</f>
        <v/>
      </c>
      <c r="K4842" s="21">
        <f>IF(AND(D4842="USA",C4842&gt;=1980,J4842="No"),"Yes","No")</f>
        <v/>
      </c>
      <c r="L4842" s="26">
        <f>IF(J4842="Yes","",H4842-I4842)</f>
        <v/>
      </c>
      <c r="M4842" s="27">
        <f>IF(OR(J4842="Yes",I4842=0),"",H4842/I4842)</f>
        <v/>
      </c>
      <c r="N4842" s="21">
        <f>IF(J4842="Yes","",IF(H4842&gt;=I4842,1,0))</f>
        <v/>
      </c>
      <c r="O4842" s="21">
        <f>IF(I4842&lt;=5000000,"Under $5M",IF(I4842&lt;=20000000,"$5M-20M",IF(I4842&lt;=50000000,"$20M-50M",IF(I4842&lt;=100000000,"$50M-100M","$100M+"))))</f>
        <v/>
      </c>
      <c r="P4842" s="21">
        <f>IF(E4842&lt;=90,"90 or less",IF(E4842&lt;=105,"91-105",IF(E4842&lt;=120,"106-120",IF(E4842&lt;=140,"121-140","Over 140"))))</f>
        <v/>
      </c>
      <c r="Q4842" s="28">
        <f>INT(C4842/10)*10</f>
        <v/>
      </c>
    </row>
    <row r="4843">
      <c r="A4843" s="21" t="n">
        <v>4964</v>
      </c>
      <c r="B4843" s="21" t="inlineStr">
        <is>
          <t>Unforgotten</t>
        </is>
      </c>
      <c r="C4843" s="21" t="n">
        <v>2005</v>
      </c>
      <c r="D4843" s="21" t="inlineStr">
        <is>
          <t>UK</t>
        </is>
      </c>
      <c r="E4843" s="21" t="n">
        <v>45</v>
      </c>
      <c r="F4843" s="21" t="inlineStr">
        <is>
          <t>English</t>
        </is>
      </c>
      <c r="G4843" s="21" t="n"/>
      <c r="H4843" s="22" t="n">
        <v>25529689.5</v>
      </c>
      <c r="I4843" s="22" t="n">
        <v>20000000</v>
      </c>
      <c r="J4843" s="21">
        <f>IF(OR(H4843="",H4843=25529689.5),"Yes","No")</f>
        <v/>
      </c>
      <c r="K4843" s="21">
        <f>IF(AND(D4843="USA",C4843&gt;=1980,J4843="No"),"Yes","No")</f>
        <v/>
      </c>
      <c r="L4843" s="26">
        <f>IF(J4843="Yes","",H4843-I4843)</f>
        <v/>
      </c>
      <c r="M4843" s="27">
        <f>IF(OR(J4843="Yes",I4843=0),"",H4843/I4843)</f>
        <v/>
      </c>
      <c r="N4843" s="21">
        <f>IF(J4843="Yes","",IF(H4843&gt;=I4843,1,0))</f>
        <v/>
      </c>
      <c r="O4843" s="21">
        <f>IF(I4843&lt;=5000000,"Under $5M",IF(I4843&lt;=20000000,"$5M-20M",IF(I4843&lt;=50000000,"$20M-50M",IF(I4843&lt;=100000000,"$50M-100M","$100M+"))))</f>
        <v/>
      </c>
      <c r="P4843" s="21">
        <f>IF(E4843&lt;=90,"90 or less",IF(E4843&lt;=105,"91-105",IF(E4843&lt;=120,"106-120",IF(E4843&lt;=140,"121-140","Over 140"))))</f>
        <v/>
      </c>
      <c r="Q4843" s="28">
        <f>INT(C4843/10)*10</f>
        <v/>
      </c>
    </row>
    <row r="4844">
      <c r="A4844" s="21" t="n">
        <v>4965</v>
      </c>
      <c r="B4844" s="21" t="inlineStr">
        <is>
          <t>Wings</t>
        </is>
      </c>
      <c r="C4844" s="21" t="n">
        <v>2005</v>
      </c>
      <c r="D4844" s="21" t="inlineStr">
        <is>
          <t>USA</t>
        </is>
      </c>
      <c r="E4844" s="21" t="n">
        <v>30</v>
      </c>
      <c r="F4844" s="21" t="inlineStr">
        <is>
          <t>English</t>
        </is>
      </c>
      <c r="G4844" s="21" t="n"/>
      <c r="H4844" s="22" t="n">
        <v>25529689.5</v>
      </c>
      <c r="I4844" s="22" t="n">
        <v>20000000</v>
      </c>
      <c r="J4844" s="21">
        <f>IF(OR(H4844="",H4844=25529689.5),"Yes","No")</f>
        <v/>
      </c>
      <c r="K4844" s="21">
        <f>IF(AND(D4844="USA",C4844&gt;=1980,J4844="No"),"Yes","No")</f>
        <v/>
      </c>
      <c r="L4844" s="26">
        <f>IF(J4844="Yes","",H4844-I4844)</f>
        <v/>
      </c>
      <c r="M4844" s="27">
        <f>IF(OR(J4844="Yes",I4844=0),"",H4844/I4844)</f>
        <v/>
      </c>
      <c r="N4844" s="21">
        <f>IF(J4844="Yes","",IF(H4844&gt;=I4844,1,0))</f>
        <v/>
      </c>
      <c r="O4844" s="21">
        <f>IF(I4844&lt;=5000000,"Under $5M",IF(I4844&lt;=20000000,"$5M-20M",IF(I4844&lt;=50000000,"$20M-50M",IF(I4844&lt;=100000000,"$50M-100M","$100M+"))))</f>
        <v/>
      </c>
      <c r="P4844" s="21">
        <f>IF(E4844&lt;=90,"90 or less",IF(E4844&lt;=105,"91-105",IF(E4844&lt;=120,"106-120",IF(E4844&lt;=140,"121-140","Over 140"))))</f>
        <v/>
      </c>
      <c r="Q4844" s="28">
        <f>INT(C4844/10)*10</f>
        <v/>
      </c>
    </row>
    <row r="4845">
      <c r="A4845" s="21" t="n">
        <v>4966</v>
      </c>
      <c r="B4845" s="21" t="inlineStr">
        <is>
          <t>Wolf Creek</t>
        </is>
      </c>
      <c r="C4845" s="21" t="n">
        <v>2005</v>
      </c>
      <c r="D4845" s="21" t="inlineStr">
        <is>
          <t>Australia</t>
        </is>
      </c>
      <c r="E4845" s="21" t="n">
        <v>104</v>
      </c>
      <c r="F4845" s="21" t="inlineStr">
        <is>
          <t>English</t>
        </is>
      </c>
      <c r="G4845" s="21" t="n"/>
      <c r="H4845" s="22" t="n">
        <v>25529689.5</v>
      </c>
      <c r="I4845" s="22" t="n">
        <v>20000000</v>
      </c>
      <c r="J4845" s="21">
        <f>IF(OR(H4845="",H4845=25529689.5),"Yes","No")</f>
        <v/>
      </c>
      <c r="K4845" s="21">
        <f>IF(AND(D4845="USA",C4845&gt;=1980,J4845="No"),"Yes","No")</f>
        <v/>
      </c>
      <c r="L4845" s="26">
        <f>IF(J4845="Yes","",H4845-I4845)</f>
        <v/>
      </c>
      <c r="M4845" s="27">
        <f>IF(OR(J4845="Yes",I4845=0),"",H4845/I4845)</f>
        <v/>
      </c>
      <c r="N4845" s="21">
        <f>IF(J4845="Yes","",IF(H4845&gt;=I4845,1,0))</f>
        <v/>
      </c>
      <c r="O4845" s="21">
        <f>IF(I4845&lt;=5000000,"Under $5M",IF(I4845&lt;=20000000,"$5M-20M",IF(I4845&lt;=50000000,"$20M-50M",IF(I4845&lt;=100000000,"$50M-100M","$100M+"))))</f>
        <v/>
      </c>
      <c r="P4845" s="21">
        <f>IF(E4845&lt;=90,"90 or less",IF(E4845&lt;=105,"91-105",IF(E4845&lt;=120,"106-120",IF(E4845&lt;=140,"121-140","Over 140"))))</f>
        <v/>
      </c>
      <c r="Q4845" s="28">
        <f>INT(C4845/10)*10</f>
        <v/>
      </c>
    </row>
    <row r="4846">
      <c r="A4846" s="21" t="n">
        <v>4967</v>
      </c>
      <c r="B4846" s="21" t="inlineStr">
        <is>
          <t>Wuthering Heights</t>
        </is>
      </c>
      <c r="C4846" s="21" t="n">
        <v>2005</v>
      </c>
      <c r="D4846" s="21" t="inlineStr">
        <is>
          <t>UK</t>
        </is>
      </c>
      <c r="E4846" s="21" t="n">
        <v>142</v>
      </c>
      <c r="F4846" s="21" t="inlineStr">
        <is>
          <t>English</t>
        </is>
      </c>
      <c r="G4846" s="21" t="n"/>
      <c r="H4846" s="22" t="n">
        <v>25529689.5</v>
      </c>
      <c r="I4846" s="22" t="n">
        <v>20000000</v>
      </c>
      <c r="J4846" s="21">
        <f>IF(OR(H4846="",H4846=25529689.5),"Yes","No")</f>
        <v/>
      </c>
      <c r="K4846" s="21">
        <f>IF(AND(D4846="USA",C4846&gt;=1980,J4846="No"),"Yes","No")</f>
        <v/>
      </c>
      <c r="L4846" s="26">
        <f>IF(J4846="Yes","",H4846-I4846)</f>
        <v/>
      </c>
      <c r="M4846" s="27">
        <f>IF(OR(J4846="Yes",I4846=0),"",H4846/I4846)</f>
        <v/>
      </c>
      <c r="N4846" s="21">
        <f>IF(J4846="Yes","",IF(H4846&gt;=I4846,1,0))</f>
        <v/>
      </c>
      <c r="O4846" s="21">
        <f>IF(I4846&lt;=5000000,"Under $5M",IF(I4846&lt;=20000000,"$5M-20M",IF(I4846&lt;=50000000,"$20M-50M",IF(I4846&lt;=100000000,"$50M-100M","$100M+"))))</f>
        <v/>
      </c>
      <c r="P4846" s="21">
        <f>IF(E4846&lt;=90,"90 or less",IF(E4846&lt;=105,"91-105",IF(E4846&lt;=120,"106-120",IF(E4846&lt;=140,"121-140","Over 140"))))</f>
        <v/>
      </c>
      <c r="Q4846" s="28">
        <f>INT(C4846/10)*10</f>
        <v/>
      </c>
    </row>
    <row r="4847">
      <c r="A4847" s="21" t="n">
        <v>4968</v>
      </c>
      <c r="B4847" s="21" t="inlineStr">
        <is>
          <t>Yu-Gi-Oh! Duel Monsters</t>
        </is>
      </c>
      <c r="C4847" s="21" t="n">
        <v>2005</v>
      </c>
      <c r="D4847" s="21" t="inlineStr">
        <is>
          <t>Japan</t>
        </is>
      </c>
      <c r="E4847" s="21" t="n">
        <v>24</v>
      </c>
      <c r="F4847" s="21" t="inlineStr">
        <is>
          <t>Japanese</t>
        </is>
      </c>
      <c r="G4847" s="21" t="n"/>
      <c r="H4847" s="22" t="n">
        <v>25529689.5</v>
      </c>
      <c r="I4847" s="22" t="n">
        <v>20000000</v>
      </c>
      <c r="J4847" s="21">
        <f>IF(OR(H4847="",H4847=25529689.5),"Yes","No")</f>
        <v/>
      </c>
      <c r="K4847" s="21">
        <f>IF(AND(D4847="USA",C4847&gt;=1980,J4847="No"),"Yes","No")</f>
        <v/>
      </c>
      <c r="L4847" s="26">
        <f>IF(J4847="Yes","",H4847-I4847)</f>
        <v/>
      </c>
      <c r="M4847" s="27">
        <f>IF(OR(J4847="Yes",I4847=0),"",H4847/I4847)</f>
        <v/>
      </c>
      <c r="N4847" s="21">
        <f>IF(J4847="Yes","",IF(H4847&gt;=I4847,1,0))</f>
        <v/>
      </c>
      <c r="O4847" s="21">
        <f>IF(I4847&lt;=5000000,"Under $5M",IF(I4847&lt;=20000000,"$5M-20M",IF(I4847&lt;=50000000,"$20M-50M",IF(I4847&lt;=100000000,"$50M-100M","$100M+"))))</f>
        <v/>
      </c>
      <c r="P4847" s="21">
        <f>IF(E4847&lt;=90,"90 or less",IF(E4847&lt;=105,"91-105",IF(E4847&lt;=120,"106-120",IF(E4847&lt;=140,"121-140","Over 140"))))</f>
        <v/>
      </c>
      <c r="Q4847" s="28">
        <f>INT(C4847/10)*10</f>
        <v/>
      </c>
    </row>
  </sheetData>
  <autoFilter ref="A1:Q484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2026-10-20T16:02:32Z</dcterms:created>
  <dcterms:modified xsi:type="dcterms:W3CDTF">2026-10-20T16:02:32Z</dcterms:modified>
</cp:coreProperties>
</file>